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5C6974D9-A3A1-40DB-B447-66F810C6AA65}" xr6:coauthVersionLast="47" xr6:coauthVersionMax="47" xr10:uidLastSave="{00000000-0000-0000-0000-000000000000}"/>
  <bookViews>
    <workbookView xWindow="-108" yWindow="-108" windowWidth="30936" windowHeight="16776" firstSheet="3" activeTab="3" xr2:uid="{00000000-000D-0000-FFFF-FFFF00000000}"/>
  </bookViews>
  <sheets>
    <sheet name="Sensitivity Report 1" sheetId="2" state="hidden" r:id="rId1"/>
    <sheet name="Limits Report 1" sheetId="3" state="hidden" r:id="rId2"/>
    <sheet name="Answer Report 1" sheetId="4" state="hidden" r:id="rId3"/>
    <sheet name="nph14260-supp-002" sheetId="1" r:id="rId4"/>
  </sheets>
  <definedNames>
    <definedName name="CCtr">'nph14260-supp-002'!$P$24</definedName>
    <definedName name="Gammastr">'nph14260-supp-002'!$P$40</definedName>
    <definedName name="J">'nph14260-supp-002'!$P$21</definedName>
    <definedName name="Kc">'nph14260-supp-002'!$P$38</definedName>
    <definedName name="Ko">'nph14260-supp-002'!$P$39</definedName>
    <definedName name="O">'nph14260-supp-002'!$B$14</definedName>
    <definedName name="Rd">'nph14260-supp-002'!$P$22</definedName>
    <definedName name="solver_adj" localSheetId="3" hidden="1">'nph14260-supp-002'!$P$20,'nph14260-supp-002'!$P$21,'nph14260-supp-002'!$P$23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'nph14260-supp-002'!$P$24</definedName>
    <definedName name="solver_lhs2" localSheetId="3" hidden="1">'nph14260-supp-002'!$P$24</definedName>
    <definedName name="solver_lhs3" localSheetId="3" hidden="1">'nph14260-supp-002'!$P$40</definedName>
    <definedName name="solver_lhs4" localSheetId="3" hidden="1">'nph14260-supp-002'!$P$21</definedName>
    <definedName name="solver_lhs5" localSheetId="3" hidden="1">'nph14260-supp-002'!$P$23</definedName>
    <definedName name="solver_lhs6" localSheetId="3" hidden="1">'nph14260-supp-002'!$P$20</definedName>
    <definedName name="solver_lhs7" localSheetId="3" hidden="1">'nph14260-supp-002'!$P$20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6</definedName>
    <definedName name="solver_nwt" localSheetId="3" hidden="1">1</definedName>
    <definedName name="solver_opt" localSheetId="3" hidden="1">'nph14260-supp-002'!$X$22</definedName>
    <definedName name="solver_pre" localSheetId="3" hidden="1">0.000001</definedName>
    <definedName name="solver_rbv" localSheetId="3" hidden="1">1</definedName>
    <definedName name="solver_rel1" localSheetId="3" hidden="1">1</definedName>
    <definedName name="solver_rel2" localSheetId="3" hidden="1">3</definedName>
    <definedName name="solver_rel3" localSheetId="3" hidden="1">1</definedName>
    <definedName name="solver_rel4" localSheetId="3" hidden="1">3</definedName>
    <definedName name="solver_rel5" localSheetId="3" hidden="1">1</definedName>
    <definedName name="solver_rel6" localSheetId="3" hidden="1">3</definedName>
    <definedName name="solver_rel7" localSheetId="3" hidden="1">3</definedName>
    <definedName name="solver_rhs1" localSheetId="3" hidden="1">400</definedName>
    <definedName name="solver_rhs2" localSheetId="3" hidden="1">Gammastr</definedName>
    <definedName name="solver_rhs3" localSheetId="3" hidden="1">70</definedName>
    <definedName name="solver_rhs4" localSheetId="3" hidden="1">30</definedName>
    <definedName name="solver_rhs5" localSheetId="3" hidden="1">0.55</definedName>
    <definedName name="solver_rhs6" localSheetId="3" hidden="1">30</definedName>
    <definedName name="solver_rhs7" localSheetId="3" hidden="1">30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1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val" localSheetId="3" hidden="1">0</definedName>
    <definedName name="solver_ver" localSheetId="3" hidden="1">3</definedName>
    <definedName name="SSE">'nph14260-supp-002'!$X$22</definedName>
    <definedName name="Tau">'nph14260-supp-002'!$P$23</definedName>
    <definedName name="Vcmax">'nph14260-supp-002'!$P$20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P45" i="1" l="1"/>
  <c r="P43" i="1"/>
  <c r="P42" i="1"/>
  <c r="Q20" i="1" s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L41" i="1" l="1"/>
  <c r="L42" i="1"/>
  <c r="L43" i="1"/>
  <c r="L44" i="1"/>
  <c r="L45" i="1"/>
  <c r="I41" i="1" l="1"/>
  <c r="J41" i="1"/>
  <c r="K41" i="1"/>
  <c r="I42" i="1"/>
  <c r="J42" i="1"/>
  <c r="K42" i="1"/>
  <c r="I43" i="1"/>
  <c r="J43" i="1"/>
  <c r="K43" i="1"/>
  <c r="I44" i="1"/>
  <c r="J44" i="1"/>
  <c r="K44" i="1"/>
  <c r="I45" i="1"/>
  <c r="J45" i="1"/>
  <c r="K45" i="1"/>
  <c r="Q38" i="1"/>
  <c r="M41" i="1"/>
  <c r="M42" i="1"/>
  <c r="M43" i="1"/>
  <c r="M44" i="1"/>
  <c r="M45" i="1"/>
  <c r="H23" i="1"/>
  <c r="I23" i="1" s="1"/>
  <c r="H24" i="1"/>
  <c r="I24" i="1" s="1"/>
  <c r="H25" i="1"/>
  <c r="I25" i="1" s="1"/>
  <c r="L25" i="1" s="1"/>
  <c r="H26" i="1"/>
  <c r="I26" i="1" s="1"/>
  <c r="H27" i="1"/>
  <c r="I27" i="1" s="1"/>
  <c r="H28" i="1"/>
  <c r="I28" i="1" s="1"/>
  <c r="L28" i="1" s="1"/>
  <c r="H29" i="1"/>
  <c r="I29" i="1" s="1"/>
  <c r="L29" i="1" s="1"/>
  <c r="H30" i="1"/>
  <c r="I30" i="1" s="1"/>
  <c r="H31" i="1"/>
  <c r="I31" i="1" s="1"/>
  <c r="H32" i="1"/>
  <c r="I32" i="1" s="1"/>
  <c r="H33" i="1"/>
  <c r="I33" i="1" s="1"/>
  <c r="L33" i="1" s="1"/>
  <c r="H34" i="1"/>
  <c r="I34" i="1" s="1"/>
  <c r="H35" i="1"/>
  <c r="I35" i="1" s="1"/>
  <c r="H36" i="1"/>
  <c r="I36" i="1" s="1"/>
  <c r="H37" i="1"/>
  <c r="I37" i="1" s="1"/>
  <c r="L37" i="1" s="1"/>
  <c r="H38" i="1"/>
  <c r="I38" i="1" s="1"/>
  <c r="H39" i="1"/>
  <c r="I39" i="1" s="1"/>
  <c r="H40" i="1"/>
  <c r="I40" i="1" s="1"/>
  <c r="H41" i="1"/>
  <c r="H42" i="1"/>
  <c r="H43" i="1"/>
  <c r="H44" i="1"/>
  <c r="H45" i="1"/>
  <c r="L40" i="1" l="1"/>
  <c r="L36" i="1"/>
  <c r="L32" i="1"/>
  <c r="L24" i="1"/>
  <c r="L39" i="1"/>
  <c r="L35" i="1"/>
  <c r="L31" i="1"/>
  <c r="L27" i="1"/>
  <c r="L23" i="1"/>
  <c r="L38" i="1"/>
  <c r="L34" i="1"/>
  <c r="L30" i="1"/>
  <c r="L26" i="1"/>
  <c r="P24" i="1"/>
  <c r="K39" i="1"/>
  <c r="K35" i="1"/>
  <c r="K38" i="1"/>
  <c r="K34" i="1"/>
  <c r="K37" i="1"/>
  <c r="K33" i="1"/>
  <c r="K40" i="1"/>
  <c r="K36" i="1"/>
  <c r="K32" i="1"/>
  <c r="K25" i="1"/>
  <c r="K24" i="1"/>
  <c r="K31" i="1"/>
  <c r="K27" i="1"/>
  <c r="K23" i="1"/>
  <c r="K29" i="1"/>
  <c r="K28" i="1"/>
  <c r="K30" i="1"/>
  <c r="K26" i="1"/>
  <c r="H20" i="1"/>
  <c r="J36" i="1" l="1"/>
  <c r="M36" i="1" s="1"/>
  <c r="J33" i="1"/>
  <c r="M33" i="1" s="1"/>
  <c r="J34" i="1"/>
  <c r="M34" i="1" s="1"/>
  <c r="J35" i="1"/>
  <c r="M35" i="1" s="1"/>
  <c r="J40" i="1"/>
  <c r="M40" i="1" s="1"/>
  <c r="J37" i="1"/>
  <c r="M37" i="1" s="1"/>
  <c r="J38" i="1"/>
  <c r="M38" i="1" s="1"/>
  <c r="J39" i="1"/>
  <c r="M39" i="1" s="1"/>
  <c r="J32" i="1"/>
  <c r="M32" i="1" s="1"/>
  <c r="J30" i="1"/>
  <c r="M30" i="1" s="1"/>
  <c r="J29" i="1"/>
  <c r="M29" i="1" s="1"/>
  <c r="J27" i="1"/>
  <c r="M27" i="1" s="1"/>
  <c r="J28" i="1"/>
  <c r="M28" i="1" s="1"/>
  <c r="J24" i="1"/>
  <c r="M24" i="1" s="1"/>
  <c r="J26" i="1"/>
  <c r="M26" i="1" s="1"/>
  <c r="J23" i="1"/>
  <c r="M23" i="1" s="1"/>
  <c r="J31" i="1"/>
  <c r="M31" i="1" s="1"/>
  <c r="J25" i="1"/>
  <c r="M25" i="1" s="1"/>
  <c r="D230" i="1"/>
  <c r="D232" i="1"/>
  <c r="D233" i="1"/>
  <c r="D235" i="1"/>
  <c r="D237" i="1"/>
  <c r="D239" i="1"/>
  <c r="D241" i="1"/>
  <c r="D243" i="1"/>
  <c r="D245" i="1"/>
  <c r="D247" i="1"/>
  <c r="D250" i="1"/>
  <c r="D252" i="1"/>
  <c r="D254" i="1"/>
  <c r="D256" i="1"/>
  <c r="D258" i="1"/>
  <c r="D260" i="1"/>
  <c r="D263" i="1"/>
  <c r="D265" i="1"/>
  <c r="D267" i="1"/>
  <c r="D269" i="1"/>
  <c r="D270" i="1"/>
  <c r="D272" i="1"/>
  <c r="D274" i="1"/>
  <c r="D276" i="1"/>
  <c r="D277" i="1"/>
  <c r="D279" i="1"/>
  <c r="D281" i="1"/>
  <c r="D283" i="1"/>
  <c r="D285" i="1"/>
  <c r="D287" i="1"/>
  <c r="D289" i="1"/>
  <c r="D291" i="1"/>
  <c r="D294" i="1"/>
  <c r="D296" i="1"/>
  <c r="D298" i="1"/>
  <c r="D300" i="1"/>
  <c r="D302" i="1"/>
  <c r="D304" i="1"/>
  <c r="D306" i="1"/>
  <c r="D308" i="1"/>
  <c r="D310" i="1"/>
  <c r="D312" i="1"/>
  <c r="D313" i="1"/>
  <c r="D315" i="1"/>
  <c r="D317" i="1"/>
  <c r="D319" i="1"/>
  <c r="D321" i="1"/>
  <c r="D323" i="1"/>
  <c r="D325" i="1"/>
  <c r="D327" i="1"/>
  <c r="D330" i="1"/>
  <c r="D332" i="1"/>
  <c r="D334" i="1"/>
  <c r="D336" i="1"/>
  <c r="D338" i="1"/>
  <c r="D340" i="1"/>
  <c r="D342" i="1"/>
  <c r="D344" i="1"/>
  <c r="D346" i="1"/>
  <c r="D348" i="1"/>
  <c r="D350" i="1"/>
  <c r="D352" i="1"/>
  <c r="D354" i="1"/>
  <c r="D356" i="1"/>
  <c r="D357" i="1"/>
  <c r="D355" i="1" l="1"/>
  <c r="D353" i="1"/>
  <c r="D351" i="1"/>
  <c r="D349" i="1"/>
  <c r="D347" i="1"/>
  <c r="D345" i="1"/>
  <c r="D343" i="1"/>
  <c r="D341" i="1"/>
  <c r="D328" i="1"/>
  <c r="D326" i="1"/>
  <c r="D324" i="1"/>
  <c r="D322" i="1"/>
  <c r="D311" i="1"/>
  <c r="D309" i="1"/>
  <c r="D307" i="1"/>
  <c r="D305" i="1"/>
  <c r="D292" i="1"/>
  <c r="D290" i="1"/>
  <c r="D288" i="1"/>
  <c r="D286" i="1"/>
  <c r="D275" i="1"/>
  <c r="D273" i="1"/>
  <c r="D268" i="1"/>
  <c r="D266" i="1"/>
  <c r="D261" i="1"/>
  <c r="D259" i="1"/>
  <c r="D257" i="1"/>
  <c r="D255" i="1"/>
  <c r="D248" i="1"/>
  <c r="D246" i="1"/>
  <c r="D231" i="1"/>
  <c r="D229" i="1"/>
  <c r="D358" i="1"/>
  <c r="D339" i="1"/>
  <c r="D337" i="1"/>
  <c r="D335" i="1"/>
  <c r="D333" i="1"/>
  <c r="D331" i="1"/>
  <c r="D329" i="1"/>
  <c r="D320" i="1"/>
  <c r="D318" i="1"/>
  <c r="D316" i="1"/>
  <c r="D314" i="1"/>
  <c r="D303" i="1"/>
  <c r="D301" i="1"/>
  <c r="D299" i="1"/>
  <c r="D297" i="1"/>
  <c r="D295" i="1"/>
  <c r="D293" i="1"/>
  <c r="D284" i="1"/>
  <c r="D282" i="1"/>
  <c r="D280" i="1"/>
  <c r="D278" i="1"/>
  <c r="D271" i="1"/>
  <c r="D264" i="1"/>
  <c r="D262" i="1"/>
  <c r="D253" i="1"/>
  <c r="D251" i="1"/>
  <c r="D249" i="1"/>
  <c r="D244" i="1"/>
  <c r="D242" i="1"/>
  <c r="D240" i="1"/>
  <c r="D238" i="1"/>
  <c r="D236" i="1"/>
  <c r="D234" i="1"/>
  <c r="Q40" i="1"/>
  <c r="C195" i="1"/>
  <c r="D80" i="1"/>
  <c r="D82" i="1"/>
  <c r="D86" i="1"/>
  <c r="D87" i="1"/>
  <c r="D88" i="1"/>
  <c r="D92" i="1"/>
  <c r="D94" i="1"/>
  <c r="D96" i="1"/>
  <c r="D99" i="1"/>
  <c r="D102" i="1"/>
  <c r="D103" i="1"/>
  <c r="D107" i="1"/>
  <c r="D108" i="1"/>
  <c r="D110" i="1"/>
  <c r="D114" i="1"/>
  <c r="D115" i="1"/>
  <c r="D118" i="1"/>
  <c r="D120" i="1"/>
  <c r="D123" i="1"/>
  <c r="D124" i="1"/>
  <c r="D128" i="1"/>
  <c r="D130" i="1"/>
  <c r="D131" i="1"/>
  <c r="D135" i="1"/>
  <c r="D136" i="1"/>
  <c r="D139" i="1"/>
  <c r="D142" i="1"/>
  <c r="D144" i="1"/>
  <c r="D146" i="1"/>
  <c r="D150" i="1"/>
  <c r="D151" i="1"/>
  <c r="D152" i="1"/>
  <c r="D156" i="1"/>
  <c r="D158" i="1"/>
  <c r="D160" i="1"/>
  <c r="D162" i="1"/>
  <c r="D163" i="1"/>
  <c r="D164" i="1"/>
  <c r="D166" i="1"/>
  <c r="D167" i="1"/>
  <c r="D168" i="1"/>
  <c r="D170" i="1"/>
  <c r="D171" i="1"/>
  <c r="D172" i="1"/>
  <c r="D174" i="1"/>
  <c r="D175" i="1"/>
  <c r="D176" i="1"/>
  <c r="D178" i="1"/>
  <c r="D179" i="1"/>
  <c r="D180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79" i="1"/>
  <c r="C229" i="1" l="1"/>
  <c r="E229" i="1" s="1"/>
  <c r="C86" i="1"/>
  <c r="C118" i="1"/>
  <c r="C166" i="1"/>
  <c r="C182" i="1"/>
  <c r="C198" i="1"/>
  <c r="C214" i="1"/>
  <c r="C266" i="1"/>
  <c r="E266" i="1" s="1"/>
  <c r="C347" i="1"/>
  <c r="E347" i="1" s="1"/>
  <c r="C263" i="1"/>
  <c r="E263" i="1" s="1"/>
  <c r="C279" i="1"/>
  <c r="E279" i="1" s="1"/>
  <c r="C296" i="1"/>
  <c r="E296" i="1" s="1"/>
  <c r="C336" i="1"/>
  <c r="E336" i="1" s="1"/>
  <c r="C225" i="1"/>
  <c r="C106" i="1"/>
  <c r="C138" i="1"/>
  <c r="C186" i="1"/>
  <c r="C218" i="1"/>
  <c r="C268" i="1"/>
  <c r="E268" i="1" s="1"/>
  <c r="C309" i="1"/>
  <c r="E309" i="1" s="1"/>
  <c r="C326" i="1"/>
  <c r="E326" i="1" s="1"/>
  <c r="C341" i="1"/>
  <c r="E341" i="1" s="1"/>
  <c r="C281" i="1"/>
  <c r="E281" i="1" s="1"/>
  <c r="C298" i="1"/>
  <c r="E298" i="1" s="1"/>
  <c r="C313" i="1"/>
  <c r="E313" i="1" s="1"/>
  <c r="C330" i="1"/>
  <c r="E330" i="1" s="1"/>
  <c r="C338" i="1"/>
  <c r="E338" i="1" s="1"/>
  <c r="C94" i="1"/>
  <c r="C110" i="1"/>
  <c r="C126" i="1"/>
  <c r="C142" i="1"/>
  <c r="C158" i="1"/>
  <c r="C174" i="1"/>
  <c r="C190" i="1"/>
  <c r="C206" i="1"/>
  <c r="C222" i="1"/>
  <c r="C231" i="1"/>
  <c r="E231" i="1" s="1"/>
  <c r="C248" i="1"/>
  <c r="E248" i="1" s="1"/>
  <c r="C255" i="1"/>
  <c r="E255" i="1" s="1"/>
  <c r="C288" i="1"/>
  <c r="E288" i="1" s="1"/>
  <c r="C311" i="1"/>
  <c r="E311" i="1" s="1"/>
  <c r="C328" i="1"/>
  <c r="E328" i="1" s="1"/>
  <c r="C343" i="1"/>
  <c r="E343" i="1" s="1"/>
  <c r="C351" i="1"/>
  <c r="E351" i="1" s="1"/>
  <c r="C233" i="1"/>
  <c r="E233" i="1" s="1"/>
  <c r="C241" i="1"/>
  <c r="E241" i="1" s="1"/>
  <c r="C250" i="1"/>
  <c r="E250" i="1" s="1"/>
  <c r="C283" i="1"/>
  <c r="E283" i="1" s="1"/>
  <c r="C300" i="1"/>
  <c r="E300" i="1" s="1"/>
  <c r="C315" i="1"/>
  <c r="E315" i="1" s="1"/>
  <c r="C332" i="1"/>
  <c r="E332" i="1" s="1"/>
  <c r="C340" i="1"/>
  <c r="E340" i="1" s="1"/>
  <c r="C102" i="1"/>
  <c r="C134" i="1"/>
  <c r="C150" i="1"/>
  <c r="C230" i="1"/>
  <c r="E230" i="1" s="1"/>
  <c r="C232" i="1"/>
  <c r="E232" i="1" s="1"/>
  <c r="C245" i="1"/>
  <c r="E245" i="1" s="1"/>
  <c r="C247" i="1"/>
  <c r="E247" i="1" s="1"/>
  <c r="C254" i="1"/>
  <c r="E254" i="1" s="1"/>
  <c r="C256" i="1"/>
  <c r="E256" i="1" s="1"/>
  <c r="C258" i="1"/>
  <c r="E258" i="1" s="1"/>
  <c r="C260" i="1"/>
  <c r="E260" i="1" s="1"/>
  <c r="C265" i="1"/>
  <c r="E265" i="1" s="1"/>
  <c r="C267" i="1"/>
  <c r="E267" i="1" s="1"/>
  <c r="C269" i="1"/>
  <c r="E269" i="1" s="1"/>
  <c r="C249" i="1"/>
  <c r="E249" i="1" s="1"/>
  <c r="C253" i="1"/>
  <c r="E253" i="1" s="1"/>
  <c r="C271" i="1"/>
  <c r="E271" i="1" s="1"/>
  <c r="C278" i="1"/>
  <c r="E278" i="1" s="1"/>
  <c r="C282" i="1"/>
  <c r="E282" i="1" s="1"/>
  <c r="C293" i="1"/>
  <c r="E293" i="1" s="1"/>
  <c r="C301" i="1"/>
  <c r="E301" i="1" s="1"/>
  <c r="C316" i="1"/>
  <c r="E316" i="1" s="1"/>
  <c r="C335" i="1"/>
  <c r="E335" i="1" s="1"/>
  <c r="C358" i="1"/>
  <c r="E358" i="1" s="1"/>
  <c r="C236" i="1"/>
  <c r="E236" i="1" s="1"/>
  <c r="C240" i="1"/>
  <c r="E240" i="1" s="1"/>
  <c r="C244" i="1"/>
  <c r="E244" i="1" s="1"/>
  <c r="C262" i="1"/>
  <c r="E262" i="1" s="1"/>
  <c r="C276" i="1"/>
  <c r="E276" i="1" s="1"/>
  <c r="C287" i="1"/>
  <c r="E287" i="1" s="1"/>
  <c r="C291" i="1"/>
  <c r="E291" i="1" s="1"/>
  <c r="C306" i="1"/>
  <c r="E306" i="1" s="1"/>
  <c r="C310" i="1"/>
  <c r="E310" i="1" s="1"/>
  <c r="C321" i="1"/>
  <c r="E321" i="1" s="1"/>
  <c r="C325" i="1"/>
  <c r="E325" i="1" s="1"/>
  <c r="C344" i="1"/>
  <c r="E344" i="1" s="1"/>
  <c r="C348" i="1"/>
  <c r="E348" i="1" s="1"/>
  <c r="C352" i="1"/>
  <c r="E352" i="1" s="1"/>
  <c r="C356" i="1"/>
  <c r="E356" i="1" s="1"/>
  <c r="C251" i="1"/>
  <c r="E251" i="1" s="1"/>
  <c r="C280" i="1"/>
  <c r="E280" i="1" s="1"/>
  <c r="C284" i="1"/>
  <c r="E284" i="1" s="1"/>
  <c r="C295" i="1"/>
  <c r="E295" i="1" s="1"/>
  <c r="C299" i="1"/>
  <c r="E299" i="1" s="1"/>
  <c r="C303" i="1"/>
  <c r="E303" i="1" s="1"/>
  <c r="C314" i="1"/>
  <c r="E314" i="1" s="1"/>
  <c r="C318" i="1"/>
  <c r="E318" i="1" s="1"/>
  <c r="C329" i="1"/>
  <c r="E329" i="1" s="1"/>
  <c r="C333" i="1"/>
  <c r="E333" i="1" s="1"/>
  <c r="C337" i="1"/>
  <c r="E337" i="1" s="1"/>
  <c r="C234" i="1"/>
  <c r="E234" i="1" s="1"/>
  <c r="C238" i="1"/>
  <c r="E238" i="1" s="1"/>
  <c r="C242" i="1"/>
  <c r="E242" i="1" s="1"/>
  <c r="C264" i="1"/>
  <c r="E264" i="1" s="1"/>
  <c r="C274" i="1"/>
  <c r="E274" i="1" s="1"/>
  <c r="C285" i="1"/>
  <c r="E285" i="1" s="1"/>
  <c r="C289" i="1"/>
  <c r="E289" i="1" s="1"/>
  <c r="C308" i="1"/>
  <c r="E308" i="1" s="1"/>
  <c r="C312" i="1"/>
  <c r="E312" i="1" s="1"/>
  <c r="C323" i="1"/>
  <c r="E323" i="1" s="1"/>
  <c r="C327" i="1"/>
  <c r="E327" i="1" s="1"/>
  <c r="C342" i="1"/>
  <c r="E342" i="1" s="1"/>
  <c r="C346" i="1"/>
  <c r="E346" i="1" s="1"/>
  <c r="C350" i="1"/>
  <c r="E350" i="1" s="1"/>
  <c r="C354" i="1"/>
  <c r="E354" i="1" s="1"/>
  <c r="C297" i="1"/>
  <c r="E297" i="1" s="1"/>
  <c r="C320" i="1"/>
  <c r="E320" i="1" s="1"/>
  <c r="C331" i="1"/>
  <c r="E331" i="1" s="1"/>
  <c r="C339" i="1"/>
  <c r="E339" i="1" s="1"/>
  <c r="C259" i="1"/>
  <c r="E259" i="1" s="1"/>
  <c r="C275" i="1"/>
  <c r="E275" i="1" s="1"/>
  <c r="C292" i="1"/>
  <c r="E292" i="1" s="1"/>
  <c r="C307" i="1"/>
  <c r="E307" i="1" s="1"/>
  <c r="C324" i="1"/>
  <c r="E324" i="1" s="1"/>
  <c r="C355" i="1"/>
  <c r="E355" i="1" s="1"/>
  <c r="C237" i="1"/>
  <c r="E237" i="1" s="1"/>
  <c r="C272" i="1"/>
  <c r="E272" i="1" s="1"/>
  <c r="C304" i="1"/>
  <c r="E304" i="1" s="1"/>
  <c r="C319" i="1"/>
  <c r="E319" i="1" s="1"/>
  <c r="C90" i="1"/>
  <c r="C122" i="1"/>
  <c r="C154" i="1"/>
  <c r="C170" i="1"/>
  <c r="C202" i="1"/>
  <c r="C246" i="1"/>
  <c r="E246" i="1" s="1"/>
  <c r="C261" i="1"/>
  <c r="E261" i="1" s="1"/>
  <c r="C286" i="1"/>
  <c r="E286" i="1" s="1"/>
  <c r="C349" i="1"/>
  <c r="E349" i="1" s="1"/>
  <c r="C239" i="1"/>
  <c r="E239" i="1" s="1"/>
  <c r="C82" i="1"/>
  <c r="C98" i="1"/>
  <c r="C114" i="1"/>
  <c r="C130" i="1"/>
  <c r="C146" i="1"/>
  <c r="C162" i="1"/>
  <c r="C178" i="1"/>
  <c r="C194" i="1"/>
  <c r="C210" i="1"/>
  <c r="C226" i="1"/>
  <c r="C257" i="1"/>
  <c r="E257" i="1" s="1"/>
  <c r="C273" i="1"/>
  <c r="E273" i="1" s="1"/>
  <c r="C290" i="1"/>
  <c r="E290" i="1" s="1"/>
  <c r="C305" i="1"/>
  <c r="E305" i="1" s="1"/>
  <c r="C322" i="1"/>
  <c r="E322" i="1" s="1"/>
  <c r="C345" i="1"/>
  <c r="E345" i="1" s="1"/>
  <c r="C353" i="1"/>
  <c r="E353" i="1" s="1"/>
  <c r="C235" i="1"/>
  <c r="E235" i="1" s="1"/>
  <c r="C243" i="1"/>
  <c r="E243" i="1" s="1"/>
  <c r="C252" i="1"/>
  <c r="E252" i="1" s="1"/>
  <c r="C270" i="1"/>
  <c r="E270" i="1" s="1"/>
  <c r="C277" i="1"/>
  <c r="E277" i="1" s="1"/>
  <c r="C294" i="1"/>
  <c r="E294" i="1" s="1"/>
  <c r="C302" i="1"/>
  <c r="E302" i="1" s="1"/>
  <c r="C317" i="1"/>
  <c r="E317" i="1" s="1"/>
  <c r="C334" i="1"/>
  <c r="E334" i="1" s="1"/>
  <c r="C357" i="1"/>
  <c r="E357" i="1" s="1"/>
  <c r="C83" i="1"/>
  <c r="C91" i="1"/>
  <c r="C99" i="1"/>
  <c r="C107" i="1"/>
  <c r="C115" i="1"/>
  <c r="C123" i="1"/>
  <c r="C131" i="1"/>
  <c r="C139" i="1"/>
  <c r="C147" i="1"/>
  <c r="C155" i="1"/>
  <c r="C163" i="1"/>
  <c r="C171" i="1"/>
  <c r="C179" i="1"/>
  <c r="C183" i="1"/>
  <c r="C187" i="1"/>
  <c r="C191" i="1"/>
  <c r="C199" i="1"/>
  <c r="C203" i="1"/>
  <c r="C207" i="1"/>
  <c r="C211" i="1"/>
  <c r="C215" i="1"/>
  <c r="C219" i="1"/>
  <c r="C223" i="1"/>
  <c r="C227" i="1"/>
  <c r="D181" i="1"/>
  <c r="D177" i="1"/>
  <c r="D173" i="1"/>
  <c r="D169" i="1"/>
  <c r="D165" i="1"/>
  <c r="D161" i="1"/>
  <c r="D155" i="1"/>
  <c r="D147" i="1"/>
  <c r="D140" i="1"/>
  <c r="D134" i="1"/>
  <c r="D126" i="1"/>
  <c r="D119" i="1"/>
  <c r="D112" i="1"/>
  <c r="D104" i="1"/>
  <c r="D98" i="1"/>
  <c r="D91" i="1"/>
  <c r="D83" i="1"/>
  <c r="D81" i="1"/>
  <c r="C80" i="1"/>
  <c r="C84" i="1"/>
  <c r="C88" i="1"/>
  <c r="C92" i="1"/>
  <c r="C96" i="1"/>
  <c r="C100" i="1"/>
  <c r="C104" i="1"/>
  <c r="C108" i="1"/>
  <c r="C112" i="1"/>
  <c r="C116" i="1"/>
  <c r="C120" i="1"/>
  <c r="C124" i="1"/>
  <c r="C128" i="1"/>
  <c r="C132" i="1"/>
  <c r="C136" i="1"/>
  <c r="C140" i="1"/>
  <c r="C144" i="1"/>
  <c r="C148" i="1"/>
  <c r="C152" i="1"/>
  <c r="C156" i="1"/>
  <c r="C160" i="1"/>
  <c r="C164" i="1"/>
  <c r="C168" i="1"/>
  <c r="C172" i="1"/>
  <c r="C176" i="1"/>
  <c r="C180" i="1"/>
  <c r="C184" i="1"/>
  <c r="C188" i="1"/>
  <c r="C192" i="1"/>
  <c r="C196" i="1"/>
  <c r="C200" i="1"/>
  <c r="C204" i="1"/>
  <c r="C208" i="1"/>
  <c r="C212" i="1"/>
  <c r="C216" i="1"/>
  <c r="C220" i="1"/>
  <c r="C224" i="1"/>
  <c r="C228" i="1"/>
  <c r="C79" i="1"/>
  <c r="C87" i="1"/>
  <c r="C95" i="1"/>
  <c r="C103" i="1"/>
  <c r="C111" i="1"/>
  <c r="C119" i="1"/>
  <c r="C127" i="1"/>
  <c r="C135" i="1"/>
  <c r="C143" i="1"/>
  <c r="C151" i="1"/>
  <c r="C159" i="1"/>
  <c r="C167" i="1"/>
  <c r="C175" i="1"/>
  <c r="C81" i="1"/>
  <c r="C85" i="1"/>
  <c r="C89" i="1"/>
  <c r="C93" i="1"/>
  <c r="C97" i="1"/>
  <c r="C101" i="1"/>
  <c r="C105" i="1"/>
  <c r="C109" i="1"/>
  <c r="C113" i="1"/>
  <c r="C117" i="1"/>
  <c r="C121" i="1"/>
  <c r="C125" i="1"/>
  <c r="C129" i="1"/>
  <c r="C133" i="1"/>
  <c r="C137" i="1"/>
  <c r="C141" i="1"/>
  <c r="C145" i="1"/>
  <c r="C149" i="1"/>
  <c r="C153" i="1"/>
  <c r="C157" i="1"/>
  <c r="C161" i="1"/>
  <c r="C165" i="1"/>
  <c r="C169" i="1"/>
  <c r="C173" i="1"/>
  <c r="C177" i="1"/>
  <c r="C181" i="1"/>
  <c r="C185" i="1"/>
  <c r="C189" i="1"/>
  <c r="C193" i="1"/>
  <c r="C197" i="1"/>
  <c r="C201" i="1"/>
  <c r="C205" i="1"/>
  <c r="C209" i="1"/>
  <c r="C213" i="1"/>
  <c r="C217" i="1"/>
  <c r="C221" i="1"/>
  <c r="D159" i="1"/>
  <c r="D154" i="1"/>
  <c r="D148" i="1"/>
  <c r="D143" i="1"/>
  <c r="D138" i="1"/>
  <c r="D132" i="1"/>
  <c r="D127" i="1"/>
  <c r="D122" i="1"/>
  <c r="D116" i="1"/>
  <c r="D111" i="1"/>
  <c r="D106" i="1"/>
  <c r="D100" i="1"/>
  <c r="D95" i="1"/>
  <c r="D90" i="1"/>
  <c r="D84" i="1"/>
  <c r="D157" i="1"/>
  <c r="D153" i="1"/>
  <c r="D149" i="1"/>
  <c r="D145" i="1"/>
  <c r="D141" i="1"/>
  <c r="D137" i="1"/>
  <c r="D133" i="1"/>
  <c r="D129" i="1"/>
  <c r="D125" i="1"/>
  <c r="D121" i="1"/>
  <c r="D117" i="1"/>
  <c r="D113" i="1"/>
  <c r="D109" i="1"/>
  <c r="D105" i="1"/>
  <c r="D101" i="1"/>
  <c r="D97" i="1"/>
  <c r="D93" i="1"/>
  <c r="D89" i="1"/>
  <c r="D85" i="1"/>
  <c r="Q43" i="1" l="1"/>
  <c r="Q44" i="1"/>
  <c r="Q42" i="1"/>
  <c r="Q45" i="1" l="1"/>
  <c r="Q39" i="1"/>
  <c r="P44" i="1"/>
  <c r="Q22" i="1" s="1"/>
  <c r="Q21" i="1"/>
  <c r="I20" i="1" l="1"/>
  <c r="L20" i="1" s="1"/>
  <c r="H22" i="1"/>
  <c r="I22" i="1" s="1"/>
  <c r="L22" i="1" s="1"/>
  <c r="H21" i="1"/>
  <c r="I21" i="1" s="1"/>
  <c r="K21" i="1" l="1"/>
  <c r="L21" i="1"/>
  <c r="K22" i="1"/>
  <c r="K20" i="1"/>
  <c r="E85" i="1"/>
  <c r="E205" i="1"/>
  <c r="E173" i="1"/>
  <c r="E141" i="1"/>
  <c r="E109" i="1"/>
  <c r="E95" i="1"/>
  <c r="E127" i="1"/>
  <c r="E191" i="1"/>
  <c r="E128" i="1"/>
  <c r="E102" i="1"/>
  <c r="E134" i="1"/>
  <c r="E166" i="1"/>
  <c r="E198" i="1"/>
  <c r="E193" i="1"/>
  <c r="E161" i="1"/>
  <c r="E145" i="1"/>
  <c r="E159" i="1"/>
  <c r="E223" i="1"/>
  <c r="E192" i="1"/>
  <c r="E153" i="1"/>
  <c r="E89" i="1"/>
  <c r="E129" i="1"/>
  <c r="E113" i="1"/>
  <c r="E200" i="1"/>
  <c r="E136" i="1"/>
  <c r="E81" i="1"/>
  <c r="E111" i="1"/>
  <c r="E143" i="1"/>
  <c r="E175" i="1"/>
  <c r="E207" i="1"/>
  <c r="E213" i="1"/>
  <c r="E181" i="1"/>
  <c r="E149" i="1"/>
  <c r="E117" i="1"/>
  <c r="E208" i="1"/>
  <c r="E144" i="1"/>
  <c r="E80" i="1"/>
  <c r="E225" i="1"/>
  <c r="E177" i="1"/>
  <c r="E169" i="1"/>
  <c r="E216" i="1"/>
  <c r="E106" i="1"/>
  <c r="E138" i="1"/>
  <c r="E170" i="1"/>
  <c r="E202" i="1"/>
  <c r="E86" i="1"/>
  <c r="E118" i="1"/>
  <c r="E150" i="1"/>
  <c r="E182" i="1"/>
  <c r="E214" i="1"/>
  <c r="E189" i="1"/>
  <c r="E157" i="1"/>
  <c r="E125" i="1"/>
  <c r="E93" i="1"/>
  <c r="E168" i="1"/>
  <c r="E152" i="1"/>
  <c r="E88" i="1"/>
  <c r="E114" i="1"/>
  <c r="E146" i="1"/>
  <c r="E210" i="1"/>
  <c r="E87" i="1"/>
  <c r="E119" i="1"/>
  <c r="E184" i="1"/>
  <c r="E120" i="1"/>
  <c r="E104" i="1"/>
  <c r="E139" i="1"/>
  <c r="E178" i="1"/>
  <c r="E185" i="1"/>
  <c r="E121" i="1"/>
  <c r="E105" i="1"/>
  <c r="E103" i="1"/>
  <c r="E135" i="1"/>
  <c r="E167" i="1"/>
  <c r="E199" i="1"/>
  <c r="E197" i="1"/>
  <c r="E165" i="1"/>
  <c r="E133" i="1"/>
  <c r="E101" i="1"/>
  <c r="E224" i="1"/>
  <c r="E176" i="1"/>
  <c r="E112" i="1"/>
  <c r="E187" i="1"/>
  <c r="E151" i="1"/>
  <c r="E183" i="1"/>
  <c r="E215" i="1"/>
  <c r="E79" i="1"/>
  <c r="E209" i="1"/>
  <c r="E195" i="1"/>
  <c r="E147" i="1"/>
  <c r="E99" i="1"/>
  <c r="E110" i="1"/>
  <c r="E142" i="1"/>
  <c r="E174" i="1"/>
  <c r="E206" i="1"/>
  <c r="E217" i="1"/>
  <c r="E201" i="1"/>
  <c r="E137" i="1"/>
  <c r="E228" i="1"/>
  <c r="E212" i="1"/>
  <c r="E196" i="1"/>
  <c r="E180" i="1"/>
  <c r="E164" i="1"/>
  <c r="E148" i="1"/>
  <c r="E132" i="1"/>
  <c r="E116" i="1"/>
  <c r="E100" i="1"/>
  <c r="E84" i="1"/>
  <c r="E90" i="1"/>
  <c r="E122" i="1"/>
  <c r="E154" i="1"/>
  <c r="E186" i="1"/>
  <c r="E218" i="1"/>
  <c r="E171" i="1"/>
  <c r="E179" i="1"/>
  <c r="E131" i="1"/>
  <c r="E91" i="1"/>
  <c r="E219" i="1"/>
  <c r="E163" i="1"/>
  <c r="E221" i="1"/>
  <c r="E160" i="1"/>
  <c r="E96" i="1"/>
  <c r="E98" i="1"/>
  <c r="E130" i="1"/>
  <c r="E162" i="1"/>
  <c r="E194" i="1"/>
  <c r="E226" i="1"/>
  <c r="E203" i="1"/>
  <c r="E83" i="1"/>
  <c r="E211" i="1"/>
  <c r="E227" i="1"/>
  <c r="E123" i="1"/>
  <c r="E94" i="1"/>
  <c r="E126" i="1"/>
  <c r="E158" i="1"/>
  <c r="E190" i="1"/>
  <c r="E222" i="1"/>
  <c r="E97" i="1"/>
  <c r="E220" i="1"/>
  <c r="E204" i="1"/>
  <c r="E188" i="1"/>
  <c r="E172" i="1"/>
  <c r="E156" i="1"/>
  <c r="E140" i="1"/>
  <c r="E124" i="1"/>
  <c r="E108" i="1"/>
  <c r="E92" i="1"/>
  <c r="E107" i="1"/>
  <c r="E82" i="1"/>
  <c r="E115" i="1"/>
  <c r="E155" i="1"/>
  <c r="J21" i="1" l="1"/>
  <c r="M21" i="1" s="1"/>
  <c r="J22" i="1"/>
  <c r="M22" i="1" s="1"/>
  <c r="J20" i="1"/>
  <c r="M20" i="1" s="1"/>
  <c r="X22" i="1" l="1"/>
</calcChain>
</file>

<file path=xl/sharedStrings.xml><?xml version="1.0" encoding="utf-8"?>
<sst xmlns="http://schemas.openxmlformats.org/spreadsheetml/2006/main" count="174" uniqueCount="105">
  <si>
    <t>°C</t>
  </si>
  <si>
    <t>Patm</t>
  </si>
  <si>
    <t>Tleaf</t>
  </si>
  <si>
    <t>O2</t>
  </si>
  <si>
    <t>kPa</t>
  </si>
  <si>
    <t>A</t>
  </si>
  <si>
    <t>Ci ppm</t>
  </si>
  <si>
    <t>* If Ci  is provided in Pa, then the value will be converted in ppm</t>
  </si>
  <si>
    <t>Cc</t>
  </si>
  <si>
    <t>Ci  Pa*</t>
  </si>
  <si>
    <t>Calculated</t>
  </si>
  <si>
    <t>Limitations</t>
  </si>
  <si>
    <t>Aj</t>
  </si>
  <si>
    <t>Outputs</t>
  </si>
  <si>
    <t>@ T leaf</t>
  </si>
  <si>
    <t>@ 25</t>
  </si>
  <si>
    <r>
      <t>°</t>
    </r>
    <r>
      <rPr>
        <sz val="10"/>
        <rFont val="Arial"/>
        <family val="2"/>
      </rPr>
      <t>C</t>
    </r>
  </si>
  <si>
    <t>Vcmax</t>
  </si>
  <si>
    <r>
      <t>m</t>
    </r>
    <r>
      <rPr>
        <sz val="10"/>
        <rFont val="Times New Roman"/>
        <family val="1"/>
      </rPr>
      <t>mol m</t>
    </r>
    <r>
      <rPr>
        <vertAlign val="superscript"/>
        <sz val="10"/>
        <rFont val="Times New Roman"/>
        <family val="1"/>
      </rPr>
      <t>-2</t>
    </r>
    <r>
      <rPr>
        <sz val="10"/>
        <rFont val="Times New Roman"/>
        <family val="1"/>
      </rPr>
      <t xml:space="preserve"> s</t>
    </r>
    <r>
      <rPr>
        <vertAlign val="superscript"/>
        <sz val="10"/>
        <rFont val="Times New Roman"/>
        <family val="1"/>
      </rPr>
      <t>-1</t>
    </r>
  </si>
  <si>
    <t>J</t>
  </si>
  <si>
    <r>
      <t>m</t>
    </r>
    <r>
      <rPr>
        <sz val="10"/>
        <rFont val="Times New Roman"/>
        <family val="1"/>
      </rPr>
      <t>mol m</t>
    </r>
    <r>
      <rPr>
        <vertAlign val="superscript"/>
        <sz val="10"/>
        <rFont val="Times New Roman"/>
        <family val="1"/>
      </rPr>
      <t>-2</t>
    </r>
    <r>
      <rPr>
        <sz val="10"/>
        <rFont val="Times New Roman"/>
        <family val="1"/>
      </rPr>
      <t xml:space="preserve"> s</t>
    </r>
    <r>
      <rPr>
        <vertAlign val="superscript"/>
        <sz val="10"/>
        <rFont val="Times New Roman"/>
        <family val="1"/>
      </rPr>
      <t>-1</t>
    </r>
    <r>
      <rPr>
        <sz val="10"/>
        <rFont val="Arial"/>
        <family val="2"/>
      </rPr>
      <t/>
    </r>
  </si>
  <si>
    <t>Rd*</t>
  </si>
  <si>
    <t xml:space="preserve">* Rd is constrained to be &gt;0 and </t>
  </si>
  <si>
    <t>Constants</t>
  </si>
  <si>
    <t>@T leaf</t>
  </si>
  <si>
    <t>@ 25°C</t>
  </si>
  <si>
    <t>c</t>
  </si>
  <si>
    <r>
      <t>D</t>
    </r>
    <r>
      <rPr>
        <b/>
        <sz val="10"/>
        <rFont val="Arial"/>
        <family val="2"/>
      </rPr>
      <t>Ha</t>
    </r>
  </si>
  <si>
    <r>
      <t>D</t>
    </r>
    <r>
      <rPr>
        <b/>
        <sz val="10"/>
        <rFont val="Arial"/>
        <family val="2"/>
      </rPr>
      <t>Hd</t>
    </r>
  </si>
  <si>
    <t>DS</t>
  </si>
  <si>
    <t>For Fitting</t>
  </si>
  <si>
    <t>For adjusting to 25°C</t>
  </si>
  <si>
    <t>Rd</t>
  </si>
  <si>
    <t>gm</t>
  </si>
  <si>
    <t>Kc (ppm)</t>
  </si>
  <si>
    <t>Data for lines - Expand lines to view full data</t>
  </si>
  <si>
    <t>Ac</t>
  </si>
  <si>
    <t>Tau</t>
  </si>
  <si>
    <t>PARi</t>
  </si>
  <si>
    <t>PhiPS2</t>
  </si>
  <si>
    <t>Cctr</t>
  </si>
  <si>
    <t>Ahat</t>
  </si>
  <si>
    <t>Microsoft Excel 15.0 Sensitivity Report</t>
  </si>
  <si>
    <t>Worksheet: [ExcelCode1.1.xlsx]Sheet1</t>
  </si>
  <si>
    <t>Report Created: 09/02/2016 09:04:08</t>
  </si>
  <si>
    <t>Variable Cells</t>
  </si>
  <si>
    <t>Cell</t>
  </si>
  <si>
    <t>Name</t>
  </si>
  <si>
    <t>Final</t>
  </si>
  <si>
    <t>Value</t>
  </si>
  <si>
    <t>Reduced</t>
  </si>
  <si>
    <t>Gradient</t>
  </si>
  <si>
    <t>Constraints</t>
  </si>
  <si>
    <t>NONE</t>
  </si>
  <si>
    <t>$T$21</t>
  </si>
  <si>
    <t>$T$22</t>
  </si>
  <si>
    <t>$T$23</t>
  </si>
  <si>
    <t>$T$24</t>
  </si>
  <si>
    <t>Microsoft Excel 15.0 Limits Report</t>
  </si>
  <si>
    <t>Objective</t>
  </si>
  <si>
    <t>Variable</t>
  </si>
  <si>
    <t>Lower</t>
  </si>
  <si>
    <t>Limit</t>
  </si>
  <si>
    <t>Result</t>
  </si>
  <si>
    <t>Upper</t>
  </si>
  <si>
    <t>$M$19</t>
  </si>
  <si>
    <t>Ac Square error</t>
  </si>
  <si>
    <t>Microsoft Excel 15.0 Answer Report</t>
  </si>
  <si>
    <t>Report Created: 09/02/2016 09:04:33</t>
  </si>
  <si>
    <t>Result: Solver found a solution.  All Constraints and optimality conditions are satisfied.</t>
  </si>
  <si>
    <t>Solver Engine</t>
  </si>
  <si>
    <t>Engine: GRG Nonlinear</t>
  </si>
  <si>
    <t>Solution Time: 0.063 Seconds.</t>
  </si>
  <si>
    <t>Iterations: 1 Subproblems: 0</t>
  </si>
  <si>
    <t>Solver Options</t>
  </si>
  <si>
    <t>Max Time Unlimited,  Iterations Unlimited, Precision 0.000001, Use Automatic Scaling</t>
  </si>
  <si>
    <t xml:space="preserve"> Convergence 0.0001, Population Size 100, Random Seed 0, Derivatives Forward, Require Bounds</t>
  </si>
  <si>
    <t>Max Subproblems Unlimited, Max Integer Sols Unlimited, Integer Tolerance 1%, Assume NonNegative</t>
  </si>
  <si>
    <t>Objective Cell (Min)</t>
  </si>
  <si>
    <t>Original Value</t>
  </si>
  <si>
    <t>Final Value</t>
  </si>
  <si>
    <t>Integer</t>
  </si>
  <si>
    <t>Cell Value</t>
  </si>
  <si>
    <t>Formula</t>
  </si>
  <si>
    <t>Status</t>
  </si>
  <si>
    <t>Slack</t>
  </si>
  <si>
    <t>Contin</t>
  </si>
  <si>
    <t>$T$21&gt;=10</t>
  </si>
  <si>
    <t>Not Binding</t>
  </si>
  <si>
    <t>$T$22&gt;=10</t>
  </si>
  <si>
    <t>$T$23&lt;=5</t>
  </si>
  <si>
    <t>$T$23&gt;=0</t>
  </si>
  <si>
    <t>Binding</t>
  </si>
  <si>
    <t>$T$24&lt;=0.57</t>
  </si>
  <si>
    <t>$T$24&gt;=0.22</t>
  </si>
  <si>
    <t>Please enter your values</t>
  </si>
  <si>
    <t>Tau*</t>
  </si>
  <si>
    <t>*Tau is constrained to be between 0.225 and 0.57</t>
  </si>
  <si>
    <r>
      <t>G</t>
    </r>
    <r>
      <rPr>
        <b/>
        <sz val="10"/>
        <rFont val="Arial"/>
        <family val="2"/>
      </rPr>
      <t>* (ppm)</t>
    </r>
  </si>
  <si>
    <t>RuBP</t>
  </si>
  <si>
    <t>Rubisco</t>
  </si>
  <si>
    <t>Squared error</t>
  </si>
  <si>
    <t>Sum of squared error</t>
  </si>
  <si>
    <r>
      <t>Ko (mmol mol</t>
    </r>
    <r>
      <rPr>
        <b/>
        <vertAlign val="superscript"/>
        <sz val="10"/>
        <rFont val="Arial"/>
        <family val="2"/>
      </rPr>
      <t>-1</t>
    </r>
    <r>
      <rPr>
        <b/>
        <sz val="10"/>
        <rFont val="Arial"/>
        <family val="2"/>
      </rPr>
      <t>)</t>
    </r>
  </si>
  <si>
    <r>
      <t>mmol mol</t>
    </r>
    <r>
      <rPr>
        <vertAlign val="superscript"/>
        <sz val="11"/>
        <color theme="1"/>
        <rFont val="宋体"/>
        <family val="2"/>
        <scheme val="minor"/>
      </rPr>
      <t>-1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</si>
</sst>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.0"/>
  </numFmts>
  <fonts count="24" x14ac:knownFonts="1">
    <font>
      <sz val="11"/>
      <color theme="1"/>
      <name val="宋体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name val="Symbol"/>
      <family val="1"/>
      <charset val="2"/>
    </font>
    <font>
      <sz val="10"/>
      <name val="Symbol"/>
      <family val="1"/>
    </font>
    <font>
      <sz val="10"/>
      <name val="Times New Roman"/>
      <family val="1"/>
    </font>
    <font>
      <vertAlign val="superscript"/>
      <sz val="10"/>
      <name val="Times New Roman"/>
      <family val="1"/>
    </font>
    <font>
      <b/>
      <sz val="10"/>
      <name val="Symbol"/>
      <family val="1"/>
    </font>
    <font>
      <i/>
      <sz val="10"/>
      <name val="Arial"/>
      <family val="2"/>
    </font>
    <font>
      <sz val="11"/>
      <name val="宋体"/>
      <family val="2"/>
      <scheme val="minor"/>
    </font>
    <font>
      <b/>
      <sz val="11"/>
      <color theme="1"/>
      <name val="宋体"/>
      <family val="2"/>
      <scheme val="minor"/>
    </font>
    <font>
      <b/>
      <sz val="11"/>
      <color indexed="18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1"/>
      <color rgb="FF000000"/>
      <name val="Calibri"/>
      <family val="2"/>
    </font>
    <font>
      <b/>
      <sz val="11"/>
      <color rgb="FFFA7D00"/>
      <name val="宋体"/>
      <family val="2"/>
      <scheme val="minor"/>
    </font>
    <font>
      <b/>
      <sz val="11"/>
      <color theme="0"/>
      <name val="宋体"/>
      <family val="2"/>
      <scheme val="minor"/>
    </font>
    <font>
      <sz val="11"/>
      <color theme="0"/>
      <name val="宋体"/>
      <family val="2"/>
      <scheme val="minor"/>
    </font>
    <font>
      <sz val="8"/>
      <name val="Arial"/>
      <family val="2"/>
    </font>
    <font>
      <b/>
      <sz val="16"/>
      <color theme="4" tint="-0.499984740745262"/>
      <name val="宋体"/>
      <family val="2"/>
      <scheme val="minor"/>
    </font>
    <font>
      <b/>
      <sz val="11"/>
      <name val="Arial"/>
      <family val="2"/>
    </font>
    <font>
      <b/>
      <sz val="12"/>
      <name val="Arial"/>
      <family val="2"/>
    </font>
    <font>
      <b/>
      <vertAlign val="superscript"/>
      <sz val="10"/>
      <name val="Arial"/>
      <family val="2"/>
    </font>
    <font>
      <vertAlign val="superscript"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509B"/>
        <bgColor indexed="64"/>
      </patternFill>
    </fill>
    <fill>
      <patternFill patternType="solid">
        <fgColor rgb="FFCCDCEB"/>
        <bgColor indexed="64"/>
      </patternFill>
    </fill>
    <fill>
      <patternFill patternType="solid">
        <fgColor rgb="FF99B9D8"/>
        <bgColor indexed="64"/>
      </patternFill>
    </fill>
    <fill>
      <patternFill patternType="solid">
        <fgColor rgb="FFF2F2F2"/>
      </patternFill>
    </fill>
    <fill>
      <patternFill patternType="solid">
        <fgColor theme="8"/>
      </patternFill>
    </fill>
  </fills>
  <borders count="49">
    <border>
      <left/>
      <right/>
      <top/>
      <bottom/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  <border>
      <left/>
      <right/>
      <top style="thin">
        <color indexed="23"/>
      </top>
      <bottom/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 style="thin">
        <color rgb="FF00509B"/>
      </left>
      <right style="thin">
        <color rgb="FF00509B"/>
      </right>
      <top style="thin">
        <color rgb="FF00509B"/>
      </top>
      <bottom style="thin">
        <color rgb="FF00509B"/>
      </bottom>
      <diagonal/>
    </border>
    <border>
      <left style="thin">
        <color rgb="FF00509B"/>
      </left>
      <right/>
      <top style="thin">
        <color rgb="FF00509B"/>
      </top>
      <bottom/>
      <diagonal/>
    </border>
    <border>
      <left/>
      <right/>
      <top style="thin">
        <color rgb="FF00509B"/>
      </top>
      <bottom/>
      <diagonal/>
    </border>
    <border>
      <left/>
      <right style="thin">
        <color rgb="FF00509B"/>
      </right>
      <top style="thin">
        <color rgb="FF00509B"/>
      </top>
      <bottom/>
      <diagonal/>
    </border>
    <border>
      <left style="thin">
        <color rgb="FF00509B"/>
      </left>
      <right/>
      <top/>
      <bottom/>
      <diagonal/>
    </border>
    <border>
      <left/>
      <right style="thin">
        <color rgb="FF00509B"/>
      </right>
      <top/>
      <bottom/>
      <diagonal/>
    </border>
    <border>
      <left style="thin">
        <color rgb="FF00509B"/>
      </left>
      <right/>
      <top/>
      <bottom style="thin">
        <color rgb="FF00509B"/>
      </bottom>
      <diagonal/>
    </border>
    <border>
      <left/>
      <right/>
      <top/>
      <bottom style="thin">
        <color rgb="FF00509B"/>
      </bottom>
      <diagonal/>
    </border>
    <border>
      <left/>
      <right style="thin">
        <color rgb="FF00509B"/>
      </right>
      <top/>
      <bottom style="thin">
        <color rgb="FF00509B"/>
      </bottom>
      <diagonal/>
    </border>
    <border>
      <left style="thin">
        <color rgb="FFCCDCEB"/>
      </left>
      <right style="thin">
        <color rgb="FFCCDCEB"/>
      </right>
      <top/>
      <bottom style="thin">
        <color rgb="FFCCDCEB"/>
      </bottom>
      <diagonal/>
    </border>
    <border>
      <left/>
      <right style="thin">
        <color rgb="FFCCDCEB"/>
      </right>
      <top style="thin">
        <color rgb="FFCCDCEB"/>
      </top>
      <bottom style="thin">
        <color rgb="FFCCDCEB"/>
      </bottom>
      <diagonal/>
    </border>
    <border>
      <left/>
      <right style="thin">
        <color rgb="FFCCDCEB"/>
      </right>
      <top style="thin">
        <color rgb="FFCCDCEB"/>
      </top>
      <bottom/>
      <diagonal/>
    </border>
    <border>
      <left style="thin">
        <color rgb="FF00509B"/>
      </left>
      <right style="thin">
        <color rgb="FF00509B"/>
      </right>
      <top/>
      <bottom/>
      <diagonal/>
    </border>
    <border>
      <left style="thin">
        <color rgb="FF00509B"/>
      </left>
      <right style="thin">
        <color rgb="FF00509B"/>
      </right>
      <top/>
      <bottom style="thin">
        <color rgb="FF00509B"/>
      </bottom>
      <diagonal/>
    </border>
    <border>
      <left style="thin">
        <color rgb="FF00509B"/>
      </left>
      <right style="thin">
        <color rgb="FF00509B"/>
      </right>
      <top style="thin">
        <color rgb="FF00509B"/>
      </top>
      <bottom/>
      <diagonal/>
    </border>
    <border>
      <left style="thin">
        <color rgb="FF00509B"/>
      </left>
      <right style="thin">
        <color rgb="FF99B9D8"/>
      </right>
      <top style="thin">
        <color rgb="FF00509B"/>
      </top>
      <bottom style="thin">
        <color rgb="FF99B9D8"/>
      </bottom>
      <diagonal/>
    </border>
    <border>
      <left style="thin">
        <color rgb="FF99B9D8"/>
      </left>
      <right style="thin">
        <color rgb="FF99B9D8"/>
      </right>
      <top style="thin">
        <color rgb="FF00509B"/>
      </top>
      <bottom style="thin">
        <color rgb="FF99B9D8"/>
      </bottom>
      <diagonal/>
    </border>
    <border>
      <left style="thin">
        <color rgb="FF99B9D8"/>
      </left>
      <right style="thin">
        <color rgb="FF00509B"/>
      </right>
      <top style="thin">
        <color rgb="FF00509B"/>
      </top>
      <bottom style="thin">
        <color rgb="FF99B9D8"/>
      </bottom>
      <diagonal/>
    </border>
    <border>
      <left style="thin">
        <color rgb="FF00509B"/>
      </left>
      <right style="thin">
        <color rgb="FF99B9D8"/>
      </right>
      <top style="thin">
        <color rgb="FF99B9D8"/>
      </top>
      <bottom style="thin">
        <color rgb="FF99B9D8"/>
      </bottom>
      <diagonal/>
    </border>
    <border>
      <left style="thin">
        <color rgb="FF99B9D8"/>
      </left>
      <right style="thin">
        <color rgb="FF99B9D8"/>
      </right>
      <top style="thin">
        <color rgb="FF99B9D8"/>
      </top>
      <bottom style="thin">
        <color rgb="FF99B9D8"/>
      </bottom>
      <diagonal/>
    </border>
    <border>
      <left style="thin">
        <color rgb="FF99B9D8"/>
      </left>
      <right style="thin">
        <color rgb="FF00509B"/>
      </right>
      <top style="thin">
        <color rgb="FF99B9D8"/>
      </top>
      <bottom style="thin">
        <color rgb="FF99B9D8"/>
      </bottom>
      <diagonal/>
    </border>
    <border>
      <left style="thin">
        <color rgb="FF00509B"/>
      </left>
      <right style="thin">
        <color rgb="FF99B9D8"/>
      </right>
      <top style="thin">
        <color rgb="FF99B9D8"/>
      </top>
      <bottom style="thin">
        <color rgb="FF00509B"/>
      </bottom>
      <diagonal/>
    </border>
    <border>
      <left style="thin">
        <color rgb="FF99B9D8"/>
      </left>
      <right style="thin">
        <color rgb="FF99B9D8"/>
      </right>
      <top style="thin">
        <color rgb="FF99B9D8"/>
      </top>
      <bottom style="thin">
        <color rgb="FF00509B"/>
      </bottom>
      <diagonal/>
    </border>
    <border>
      <left style="thin">
        <color rgb="FF99B9D8"/>
      </left>
      <right style="thin">
        <color rgb="FF00509B"/>
      </right>
      <top style="thin">
        <color rgb="FF99B9D8"/>
      </top>
      <bottom style="thin">
        <color rgb="FF00509B"/>
      </bottom>
      <diagonal/>
    </border>
    <border>
      <left style="thin">
        <color rgb="FF00509B"/>
      </left>
      <right/>
      <top style="thin">
        <color rgb="FF00509B"/>
      </top>
      <bottom style="thin">
        <color rgb="FF00509B"/>
      </bottom>
      <diagonal/>
    </border>
    <border>
      <left/>
      <right style="thin">
        <color rgb="FF00509B"/>
      </right>
      <top style="thin">
        <color rgb="FF00509B"/>
      </top>
      <bottom style="thin">
        <color rgb="FF00509B"/>
      </bottom>
      <diagonal/>
    </border>
    <border>
      <left style="thin">
        <color rgb="FF99B9D8"/>
      </left>
      <right/>
      <top style="thin">
        <color rgb="FF00509B"/>
      </top>
      <bottom style="thin">
        <color rgb="FF99B9D8"/>
      </bottom>
      <diagonal/>
    </border>
    <border>
      <left/>
      <right style="thin">
        <color rgb="FF00509B"/>
      </right>
      <top style="thin">
        <color rgb="FF00509B"/>
      </top>
      <bottom style="thin">
        <color rgb="FF99B9D8"/>
      </bottom>
      <diagonal/>
    </border>
    <border>
      <left style="thin">
        <color rgb="FF99B9D8"/>
      </left>
      <right/>
      <top style="thin">
        <color rgb="FF99B9D8"/>
      </top>
      <bottom style="thin">
        <color rgb="FF99B9D8"/>
      </bottom>
      <diagonal/>
    </border>
    <border>
      <left/>
      <right style="thin">
        <color rgb="FF00509B"/>
      </right>
      <top style="thin">
        <color rgb="FF99B9D8"/>
      </top>
      <bottom style="thin">
        <color rgb="FF99B9D8"/>
      </bottom>
      <diagonal/>
    </border>
    <border>
      <left style="thin">
        <color rgb="FF99B9D8"/>
      </left>
      <right/>
      <top style="thin">
        <color rgb="FF99B9D8"/>
      </top>
      <bottom style="thin">
        <color rgb="FF00509B"/>
      </bottom>
      <diagonal/>
    </border>
    <border>
      <left/>
      <right style="thin">
        <color rgb="FF00509B"/>
      </right>
      <top style="thin">
        <color rgb="FF99B9D8"/>
      </top>
      <bottom style="thin">
        <color rgb="FF00509B"/>
      </bottom>
      <diagonal/>
    </border>
    <border>
      <left style="thin">
        <color rgb="FF00509B"/>
      </left>
      <right style="thin">
        <color rgb="FF99B9D8"/>
      </right>
      <top/>
      <bottom style="thin">
        <color rgb="FF99B9D8"/>
      </bottom>
      <diagonal/>
    </border>
    <border>
      <left style="thin">
        <color rgb="FF99B9D8"/>
      </left>
      <right style="thin">
        <color rgb="FF99B9D8"/>
      </right>
      <top/>
      <bottom style="thin">
        <color rgb="FF99B9D8"/>
      </bottom>
      <diagonal/>
    </border>
    <border>
      <left style="thin">
        <color rgb="FF99B9D8"/>
      </left>
      <right style="thin">
        <color rgb="FF00509B"/>
      </right>
      <top/>
      <bottom style="thin">
        <color rgb="FF99B9D8"/>
      </bottom>
      <diagonal/>
    </border>
    <border>
      <left style="thin">
        <color rgb="FF00509B"/>
      </left>
      <right/>
      <top style="thin">
        <color rgb="FF99B9D8"/>
      </top>
      <bottom style="thin">
        <color rgb="FF99B9D8"/>
      </bottom>
      <diagonal/>
    </border>
    <border>
      <left/>
      <right/>
      <top style="thin">
        <color rgb="FF99B9D8"/>
      </top>
      <bottom style="thin">
        <color rgb="FF99B9D8"/>
      </bottom>
      <diagonal/>
    </border>
    <border>
      <left/>
      <right/>
      <top/>
      <bottom style="thick">
        <color rgb="FF00509B"/>
      </bottom>
      <diagonal/>
    </border>
    <border>
      <left/>
      <right/>
      <top style="thick">
        <color rgb="FF00509B"/>
      </top>
      <bottom/>
      <diagonal/>
    </border>
    <border>
      <left style="thin">
        <color rgb="FF00509B"/>
      </left>
      <right style="thin">
        <color indexed="8"/>
      </right>
      <top style="thin">
        <color rgb="FF00509B"/>
      </top>
      <bottom/>
      <diagonal/>
    </border>
    <border>
      <left style="thin">
        <color indexed="8"/>
      </left>
      <right style="thin">
        <color indexed="8"/>
      </right>
      <top style="thin">
        <color rgb="FF00509B"/>
      </top>
      <bottom/>
      <diagonal/>
    </border>
    <border>
      <left style="thin">
        <color indexed="8"/>
      </left>
      <right style="thin">
        <color rgb="FF00509B"/>
      </right>
      <top style="thin">
        <color rgb="FF00509B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4" fillId="5" borderId="48" applyNumberFormat="0" applyAlignment="0" applyProtection="0"/>
    <xf numFmtId="0" fontId="16" fillId="6" borderId="0" applyNumberFormat="0" applyBorder="0" applyAlignment="0" applyProtection="0"/>
  </cellStyleXfs>
  <cellXfs count="122">
    <xf numFmtId="0" fontId="0" fillId="0" borderId="0" xfId="0"/>
    <xf numFmtId="2" fontId="2" fillId="0" borderId="0" xfId="0" applyNumberFormat="1" applyFont="1" applyFill="1" applyBorder="1"/>
    <xf numFmtId="0" fontId="10" fillId="0" borderId="0" xfId="0" applyFont="1"/>
    <xf numFmtId="0" fontId="0" fillId="0" borderId="3" xfId="0" applyFill="1" applyBorder="1" applyAlignment="1"/>
    <xf numFmtId="0" fontId="0" fillId="0" borderId="4" xfId="0" applyFill="1" applyBorder="1" applyAlignment="1"/>
    <xf numFmtId="0" fontId="11" fillId="0" borderId="1" xfId="0" applyFont="1" applyFill="1" applyBorder="1" applyAlignment="1">
      <alignment horizontal="center"/>
    </xf>
    <xf numFmtId="0" fontId="11" fillId="0" borderId="2" xfId="0" applyFont="1" applyFill="1" applyBorder="1" applyAlignment="1">
      <alignment horizontal="center"/>
    </xf>
    <xf numFmtId="176" fontId="0" fillId="0" borderId="4" xfId="0" applyNumberFormat="1" applyFill="1" applyBorder="1" applyAlignment="1"/>
    <xf numFmtId="0" fontId="0" fillId="0" borderId="3" xfId="0" applyNumberFormat="1" applyFill="1" applyBorder="1" applyAlignment="1"/>
    <xf numFmtId="0" fontId="0" fillId="0" borderId="4" xfId="0" applyNumberFormat="1" applyFill="1" applyBorder="1" applyAlignment="1"/>
    <xf numFmtId="0" fontId="11" fillId="0" borderId="5" xfId="0" applyFont="1" applyFill="1" applyBorder="1" applyAlignment="1">
      <alignment horizontal="center"/>
    </xf>
    <xf numFmtId="0" fontId="0" fillId="2" borderId="0" xfId="0" applyFill="1"/>
    <xf numFmtId="0" fontId="0" fillId="3" borderId="0" xfId="0" applyFill="1"/>
    <xf numFmtId="0" fontId="0" fillId="3" borderId="0" xfId="0" applyFill="1" applyBorder="1"/>
    <xf numFmtId="0" fontId="2" fillId="3" borderId="0" xfId="0" applyFont="1" applyFill="1" applyBorder="1"/>
    <xf numFmtId="176" fontId="2" fillId="3" borderId="0" xfId="0" applyNumberFormat="1" applyFont="1" applyFill="1" applyBorder="1"/>
    <xf numFmtId="0" fontId="2" fillId="3" borderId="0" xfId="0" applyFont="1" applyFill="1" applyBorder="1" applyAlignment="1">
      <alignment horizontal="right"/>
    </xf>
    <xf numFmtId="0" fontId="2" fillId="3" borderId="0" xfId="0" applyFont="1" applyFill="1" applyBorder="1" applyAlignment="1">
      <alignment vertical="center"/>
    </xf>
    <xf numFmtId="2" fontId="2" fillId="3" borderId="0" xfId="0" applyNumberFormat="1" applyFont="1" applyFill="1" applyBorder="1"/>
    <xf numFmtId="0" fontId="0" fillId="0" borderId="6" xfId="0" applyFill="1" applyBorder="1"/>
    <xf numFmtId="0" fontId="0" fillId="4" borderId="10" xfId="0" applyFill="1" applyBorder="1"/>
    <xf numFmtId="0" fontId="0" fillId="4" borderId="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14" xfId="0" applyFill="1" applyBorder="1"/>
    <xf numFmtId="0" fontId="0" fillId="0" borderId="15" xfId="0" applyFill="1" applyBorder="1"/>
    <xf numFmtId="0" fontId="0" fillId="0" borderId="16" xfId="0" applyFill="1" applyBorder="1"/>
    <xf numFmtId="0" fontId="0" fillId="0" borderId="17" xfId="0" applyFill="1" applyBorder="1"/>
    <xf numFmtId="0" fontId="0" fillId="4" borderId="1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3" xfId="0" applyFill="1" applyBorder="1"/>
    <xf numFmtId="0" fontId="0" fillId="3" borderId="14" xfId="0" applyFill="1" applyBorder="1"/>
    <xf numFmtId="0" fontId="1" fillId="4" borderId="20" xfId="0" applyFont="1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176" fontId="1" fillId="4" borderId="6" xfId="0" applyNumberFormat="1" applyFont="1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176" fontId="2" fillId="4" borderId="6" xfId="0" applyNumberFormat="1" applyFont="1" applyFill="1" applyBorder="1"/>
    <xf numFmtId="0" fontId="0" fillId="3" borderId="21" xfId="0" applyFill="1" applyBorder="1"/>
    <xf numFmtId="0" fontId="0" fillId="3" borderId="22" xfId="0" applyFill="1" applyBorder="1"/>
    <xf numFmtId="0" fontId="0" fillId="3" borderId="23" xfId="0" applyFill="1" applyBorder="1"/>
    <xf numFmtId="0" fontId="0" fillId="3" borderId="24" xfId="0" applyFill="1" applyBorder="1"/>
    <xf numFmtId="0" fontId="0" fillId="3" borderId="25" xfId="0" applyFill="1" applyBorder="1"/>
    <xf numFmtId="0" fontId="1" fillId="4" borderId="20" xfId="0" applyFont="1" applyFill="1" applyBorder="1"/>
    <xf numFmtId="0" fontId="1" fillId="4" borderId="18" xfId="0" applyFont="1" applyFill="1" applyBorder="1"/>
    <xf numFmtId="0" fontId="1" fillId="4" borderId="19" xfId="0" applyFont="1" applyFill="1" applyBorder="1"/>
    <xf numFmtId="0" fontId="2" fillId="3" borderId="21" xfId="0" applyNumberFormat="1" applyFont="1" applyFill="1" applyBorder="1"/>
    <xf numFmtId="0" fontId="2" fillId="3" borderId="24" xfId="0" applyNumberFormat="1" applyFont="1" applyFill="1" applyBorder="1"/>
    <xf numFmtId="0" fontId="2" fillId="3" borderId="26" xfId="0" applyFont="1" applyFill="1" applyBorder="1"/>
    <xf numFmtId="176" fontId="1" fillId="4" borderId="6" xfId="0" applyNumberFormat="1" applyFont="1" applyFill="1" applyBorder="1"/>
    <xf numFmtId="177" fontId="1" fillId="4" borderId="6" xfId="0" quotePrefix="1" applyNumberFormat="1" applyFont="1" applyFill="1" applyBorder="1" applyAlignment="1">
      <alignment horizontal="right"/>
    </xf>
    <xf numFmtId="0" fontId="1" fillId="4" borderId="6" xfId="0" quotePrefix="1" applyFont="1" applyFill="1" applyBorder="1" applyAlignment="1">
      <alignment horizontal="right"/>
    </xf>
    <xf numFmtId="0" fontId="1" fillId="4" borderId="30" xfId="0" quotePrefix="1" applyFont="1" applyFill="1" applyBorder="1" applyAlignment="1">
      <alignment horizontal="right"/>
    </xf>
    <xf numFmtId="2" fontId="3" fillId="4" borderId="31" xfId="0" applyNumberFormat="1" applyFont="1" applyFill="1" applyBorder="1"/>
    <xf numFmtId="0" fontId="2" fillId="3" borderId="32" xfId="0" applyNumberFormat="1" applyFont="1" applyFill="1" applyBorder="1"/>
    <xf numFmtId="0" fontId="4" fillId="3" borderId="33" xfId="0" applyFont="1" applyFill="1" applyBorder="1"/>
    <xf numFmtId="0" fontId="2" fillId="3" borderId="34" xfId="0" applyNumberFormat="1" applyFont="1" applyFill="1" applyBorder="1"/>
    <xf numFmtId="0" fontId="4" fillId="3" borderId="35" xfId="0" applyFont="1" applyFill="1" applyBorder="1"/>
    <xf numFmtId="0" fontId="0" fillId="3" borderId="34" xfId="0" applyFill="1" applyBorder="1"/>
    <xf numFmtId="0" fontId="2" fillId="3" borderId="35" xfId="0" applyFont="1" applyFill="1" applyBorder="1"/>
    <xf numFmtId="0" fontId="0" fillId="3" borderId="36" xfId="0" applyFill="1" applyBorder="1"/>
    <xf numFmtId="0" fontId="2" fillId="3" borderId="37" xfId="0" applyFont="1" applyFill="1" applyBorder="1"/>
    <xf numFmtId="0" fontId="2" fillId="3" borderId="11" xfId="0" applyFont="1" applyFill="1" applyBorder="1" applyAlignment="1">
      <alignment vertical="center"/>
    </xf>
    <xf numFmtId="2" fontId="2" fillId="3" borderId="39" xfId="0" applyNumberFormat="1" applyFont="1" applyFill="1" applyBorder="1"/>
    <xf numFmtId="0" fontId="2" fillId="3" borderId="39" xfId="0" applyFont="1" applyFill="1" applyBorder="1" applyAlignment="1">
      <alignment horizontal="right"/>
    </xf>
    <xf numFmtId="0" fontId="2" fillId="3" borderId="39" xfId="0" applyFont="1" applyFill="1" applyBorder="1"/>
    <xf numFmtId="0" fontId="2" fillId="3" borderId="40" xfId="0" applyFont="1" applyFill="1" applyBorder="1"/>
    <xf numFmtId="2" fontId="2" fillId="3" borderId="25" xfId="0" applyNumberFormat="1" applyFont="1" applyFill="1" applyBorder="1"/>
    <xf numFmtId="0" fontId="2" fillId="3" borderId="25" xfId="0" applyFont="1" applyFill="1" applyBorder="1" applyAlignment="1">
      <alignment horizontal="right"/>
    </xf>
    <xf numFmtId="0" fontId="2" fillId="3" borderId="25" xfId="0" applyFont="1" applyFill="1" applyBorder="1"/>
    <xf numFmtId="176" fontId="2" fillId="3" borderId="25" xfId="0" applyNumberFormat="1" applyFont="1" applyFill="1" applyBorder="1"/>
    <xf numFmtId="176" fontId="2" fillId="3" borderId="28" xfId="0" applyNumberFormat="1" applyFont="1" applyFill="1" applyBorder="1" applyAlignment="1">
      <alignment vertical="center"/>
    </xf>
    <xf numFmtId="0" fontId="2" fillId="3" borderId="28" xfId="0" applyFont="1" applyFill="1" applyBorder="1" applyAlignment="1">
      <alignment horizontal="right"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42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1" fillId="4" borderId="6" xfId="0" applyFont="1" applyFill="1" applyBorder="1"/>
    <xf numFmtId="0" fontId="1" fillId="4" borderId="6" xfId="0" applyFont="1" applyFill="1" applyBorder="1" applyAlignment="1">
      <alignment horizontal="right"/>
    </xf>
    <xf numFmtId="0" fontId="7" fillId="4" borderId="6" xfId="0" applyFont="1" applyFill="1" applyBorder="1" applyAlignment="1">
      <alignment horizontal="right"/>
    </xf>
    <xf numFmtId="0" fontId="2" fillId="4" borderId="20" xfId="0" applyFont="1" applyFill="1" applyBorder="1" applyAlignment="1">
      <alignment vertical="center"/>
    </xf>
    <xf numFmtId="0" fontId="7" fillId="4" borderId="6" xfId="0" applyFont="1" applyFill="1" applyBorder="1"/>
    <xf numFmtId="0" fontId="1" fillId="4" borderId="6" xfId="0" applyFont="1" applyFill="1" applyBorder="1" applyAlignment="1">
      <alignment vertical="center"/>
    </xf>
    <xf numFmtId="0" fontId="0" fillId="3" borderId="43" xfId="0" applyFill="1" applyBorder="1"/>
    <xf numFmtId="0" fontId="2" fillId="3" borderId="43" xfId="0" applyFont="1" applyFill="1" applyBorder="1" applyAlignment="1">
      <alignment vertical="center"/>
    </xf>
    <xf numFmtId="0" fontId="0" fillId="3" borderId="44" xfId="0" applyFill="1" applyBorder="1"/>
    <xf numFmtId="0" fontId="2" fillId="3" borderId="44" xfId="0" applyFont="1" applyFill="1" applyBorder="1"/>
    <xf numFmtId="0" fontId="9" fillId="3" borderId="0" xfId="0" applyFont="1" applyFill="1" applyBorder="1"/>
    <xf numFmtId="177" fontId="2" fillId="3" borderId="0" xfId="0" applyNumberFormat="1" applyFont="1" applyFill="1" applyBorder="1"/>
    <xf numFmtId="0" fontId="8" fillId="3" borderId="45" xfId="0" applyFont="1" applyFill="1" applyBorder="1"/>
    <xf numFmtId="0" fontId="2" fillId="3" borderId="46" xfId="0" applyFont="1" applyFill="1" applyBorder="1"/>
    <xf numFmtId="0" fontId="2" fillId="3" borderId="47" xfId="0" applyFont="1" applyFill="1" applyBorder="1"/>
    <xf numFmtId="0" fontId="1" fillId="4" borderId="27" xfId="0" applyFont="1" applyFill="1" applyBorder="1"/>
    <xf numFmtId="0" fontId="1" fillId="4" borderId="28" xfId="0" applyFont="1" applyFill="1" applyBorder="1"/>
    <xf numFmtId="0" fontId="1" fillId="4" borderId="29" xfId="0" applyFont="1" applyFill="1" applyBorder="1"/>
    <xf numFmtId="2" fontId="2" fillId="3" borderId="22" xfId="0" applyNumberFormat="1" applyFont="1" applyFill="1" applyBorder="1"/>
    <xf numFmtId="2" fontId="2" fillId="3" borderId="23" xfId="0" applyNumberFormat="1" applyFont="1" applyFill="1" applyBorder="1"/>
    <xf numFmtId="2" fontId="2" fillId="3" borderId="26" xfId="0" applyNumberFormat="1" applyFont="1" applyFill="1" applyBorder="1"/>
    <xf numFmtId="2" fontId="2" fillId="3" borderId="29" xfId="0" applyNumberFormat="1" applyFont="1" applyFill="1" applyBorder="1"/>
    <xf numFmtId="0" fontId="2" fillId="0" borderId="0" xfId="0" applyNumberFormat="1" applyFont="1" applyFill="1" applyBorder="1"/>
    <xf numFmtId="0" fontId="16" fillId="6" borderId="0" xfId="2"/>
    <xf numFmtId="0" fontId="17" fillId="3" borderId="12" xfId="0" applyFont="1" applyFill="1" applyBorder="1"/>
    <xf numFmtId="0" fontId="17" fillId="3" borderId="10" xfId="0" applyFont="1" applyFill="1" applyBorder="1"/>
    <xf numFmtId="0" fontId="15" fillId="6" borderId="0" xfId="2" applyFont="1"/>
    <xf numFmtId="176" fontId="18" fillId="5" borderId="48" xfId="1" applyNumberFormat="1" applyFont="1"/>
    <xf numFmtId="2" fontId="19" fillId="3" borderId="38" xfId="0" applyNumberFormat="1" applyFont="1" applyFill="1" applyBorder="1"/>
    <xf numFmtId="2" fontId="19" fillId="3" borderId="24" xfId="0" applyNumberFormat="1" applyFont="1" applyFill="1" applyBorder="1"/>
    <xf numFmtId="0" fontId="19" fillId="3" borderId="41" xfId="0" applyFont="1" applyFill="1" applyBorder="1" applyAlignment="1">
      <alignment vertical="center"/>
    </xf>
    <xf numFmtId="176" fontId="19" fillId="3" borderId="24" xfId="0" applyNumberFormat="1" applyFont="1" applyFill="1" applyBorder="1"/>
    <xf numFmtId="176" fontId="19" fillId="3" borderId="27" xfId="0" applyNumberFormat="1" applyFont="1" applyFill="1" applyBorder="1"/>
    <xf numFmtId="0" fontId="20" fillId="3" borderId="21" xfId="0" applyNumberFormat="1" applyFont="1" applyFill="1" applyBorder="1"/>
    <xf numFmtId="0" fontId="20" fillId="3" borderId="24" xfId="0" applyNumberFormat="1" applyFont="1" applyFill="1" applyBorder="1"/>
    <xf numFmtId="0" fontId="12" fillId="3" borderId="27" xfId="0" applyFont="1" applyFill="1" applyBorder="1"/>
    <xf numFmtId="0" fontId="1" fillId="4" borderId="6" xfId="0" applyFont="1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12" fillId="4" borderId="7" xfId="0" applyFont="1" applyFill="1" applyBorder="1" applyAlignment="1">
      <alignment horizontal="center"/>
    </xf>
    <xf numFmtId="0" fontId="12" fillId="4" borderId="8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6" xfId="0" applyBorder="1" applyAlignment="1"/>
  </cellXfs>
  <cellStyles count="3">
    <cellStyle name="常规" xfId="0" builtinId="0"/>
    <cellStyle name="计算" xfId="1" builtinId="22"/>
    <cellStyle name="着色 5" xfId="2" builtinId="45"/>
  </cellStyles>
  <dxfs count="9">
    <dxf>
      <fill>
        <patternFill patternType="none">
          <fgColor indexed="64"/>
          <bgColor auto="1"/>
        </patternFill>
      </fill>
      <border diagonalUp="0" diagonalDown="0">
        <left style="thin">
          <color rgb="FFCCDCEB"/>
        </left>
        <right/>
        <top style="thin">
          <color rgb="FFCCDCEB"/>
        </top>
        <bottom style="thin">
          <color rgb="FFCCDCEB"/>
        </bottom>
        <vertical style="thin">
          <color rgb="FFCCDCEB"/>
        </vertical>
        <horizontal style="thin">
          <color rgb="FFCCDCEB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rgb="FFCCDCEB"/>
        </left>
        <right style="thin">
          <color rgb="FFCCDCEB"/>
        </right>
        <top style="thin">
          <color rgb="FFCCDCEB"/>
        </top>
        <bottom style="thin">
          <color rgb="FFCCDCEB"/>
        </bottom>
        <vertical style="thin">
          <color rgb="FFCCDCEB"/>
        </vertical>
        <horizontal style="thin">
          <color rgb="FFCCDCEB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rgb="FFCCDCEB"/>
        </left>
        <right style="thin">
          <color rgb="FFCCDCEB"/>
        </right>
        <top style="thin">
          <color rgb="FFCCDCEB"/>
        </top>
        <bottom style="thin">
          <color rgb="FFCCDCEB"/>
        </bottom>
        <vertical style="thin">
          <color rgb="FFCCDCEB"/>
        </vertical>
        <horizontal style="thin">
          <color rgb="FFCCDCEB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rgb="FFCCDCEB"/>
        </left>
        <right style="thin">
          <color rgb="FFCCDCEB"/>
        </right>
        <top style="thin">
          <color rgb="FFCCDCEB"/>
        </top>
        <bottom style="thin">
          <color rgb="FFCCDCEB"/>
        </bottom>
        <vertical style="thin">
          <color rgb="FFCCDCEB"/>
        </vertical>
        <horizontal style="thin">
          <color rgb="FFCCDCEB"/>
        </horizontal>
      </border>
    </dxf>
    <dxf>
      <fill>
        <patternFill patternType="none">
          <fgColor indexed="64"/>
          <bgColor auto="1"/>
        </patternFill>
      </fill>
      <border diagonalUp="0" diagonalDown="0">
        <left/>
        <right style="thin">
          <color rgb="FFCCDCEB"/>
        </right>
        <top style="thin">
          <color rgb="FFCCDCEB"/>
        </top>
        <bottom style="thin">
          <color rgb="FFCCDCEB"/>
        </bottom>
        <vertical style="thin">
          <color rgb="FFCCDCEB"/>
        </vertical>
        <horizontal style="thin">
          <color rgb="FFCCDCEB"/>
        </horizontal>
      </border>
    </dxf>
    <dxf>
      <border diagonalUp="0" diagonalDown="0">
        <left style="thin">
          <color rgb="FF00509B"/>
        </left>
        <right style="thin">
          <color rgb="FF00509B"/>
        </right>
        <top style="thin">
          <color rgb="FF00509B"/>
        </top>
        <bottom style="thin">
          <color rgb="FF00509B"/>
        </bottom>
      </border>
    </dxf>
    <dxf>
      <fill>
        <patternFill patternType="none">
          <fgColor indexed="64"/>
          <bgColor auto="1"/>
        </patternFill>
      </fill>
    </dxf>
    <dxf>
      <border>
        <bottom style="thin">
          <color rgb="FF00509B"/>
        </bottom>
      </border>
    </dxf>
    <dxf>
      <fill>
        <patternFill patternType="solid">
          <fgColor indexed="64"/>
          <bgColor rgb="FF99B9D8"/>
        </patternFill>
      </fill>
    </dxf>
  </dxfs>
  <tableStyles count="0" defaultTableStyle="TableStyleMedium2" defaultPivotStyle="PivotStyleLight16"/>
  <colors>
    <mruColors>
      <color rgb="FF00509B"/>
      <color rgb="FFCCDCEB"/>
      <color rgb="FF99B9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'nph14260-supp-002'!$B$19</c:f>
              <c:strCache>
                <c:ptCount val="1"/>
                <c:pt idx="0">
                  <c:v>A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xVal>
            <c:strRef>
              <c:f>'nph14260-supp-002'!$I$20:$I$31</c:f>
              <c:strCache>
                <c:ptCount val="12"/>
                <c:pt idx="0">
                  <c:v>71.04185639</c:v>
                </c:pt>
                <c:pt idx="1">
                  <c:v>62.95598398</c:v>
                </c:pt>
                <c:pt idx="2">
                  <c:v>51.56408908</c:v>
                </c:pt>
                <c:pt idx="3">
                  <c:v>45.39017685</c:v>
                </c:pt>
                <c:pt idx="4">
                  <c:v>125.9109724</c:v>
                </c:pt>
                <c:pt idx="5">
                  <c:v>118.931397</c:v>
                </c:pt>
                <c:pt idx="6">
                  <c:v>157.2459293</c:v>
                </c:pt>
                <c:pt idx="7">
                  <c:v>205.9826864</c:v>
                </c:pt>
                <c:pt idx="8">
                  <c:v>229.1930459</c:v>
                </c:pt>
                <c:pt idx="9">
                  <c:v>250.3228839</c:v>
                </c:pt>
                <c:pt idx="10">
                  <c:v>284.5832503</c:v>
                </c:pt>
                <c:pt idx="11">
                  <c:v> </c:v>
                </c:pt>
              </c:strCache>
            </c:strRef>
          </c:xVal>
          <c:yVal>
            <c:numRef>
              <c:f>'nph14260-supp-002'!$B$20:$B$31</c:f>
              <c:numCache>
                <c:formatCode>General</c:formatCode>
                <c:ptCount val="12"/>
                <c:pt idx="0">
                  <c:v>9.4794060952915746</c:v>
                </c:pt>
                <c:pt idx="1">
                  <c:v>6.4774905854171649</c:v>
                </c:pt>
                <c:pt idx="2">
                  <c:v>3.2045048455243736</c:v>
                </c:pt>
                <c:pt idx="3">
                  <c:v>1.4171773825559097</c:v>
                </c:pt>
                <c:pt idx="4">
                  <c:v>21.939990266036784</c:v>
                </c:pt>
                <c:pt idx="5">
                  <c:v>20.9759009402269</c:v>
                </c:pt>
                <c:pt idx="6">
                  <c:v>30.521746259614222</c:v>
                </c:pt>
                <c:pt idx="7">
                  <c:v>37.592406650263435</c:v>
                </c:pt>
                <c:pt idx="8">
                  <c:v>41.365107826599427</c:v>
                </c:pt>
                <c:pt idx="9">
                  <c:v>43.492345378412615</c:v>
                </c:pt>
                <c:pt idx="10">
                  <c:v>46.711130395848464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87-48A7-9C91-D391A30EAAFC}"/>
            </c:ext>
          </c:extLst>
        </c:ser>
        <c:ser>
          <c:idx val="1"/>
          <c:order val="1"/>
          <c:tx>
            <c:strRef>
              <c:f>'nph14260-supp-002'!$C$78</c:f>
              <c:strCache>
                <c:ptCount val="1"/>
                <c:pt idx="0">
                  <c:v>Rubisco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'nph14260-supp-002'!$B$79:$B$358</c:f>
              <c:numCache>
                <c:formatCode>General</c:formatCode>
                <c:ptCount val="280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105</c:v>
                </c:pt>
                <c:pt idx="20">
                  <c:v>110</c:v>
                </c:pt>
                <c:pt idx="21">
                  <c:v>115</c:v>
                </c:pt>
                <c:pt idx="22">
                  <c:v>120</c:v>
                </c:pt>
                <c:pt idx="23">
                  <c:v>125</c:v>
                </c:pt>
                <c:pt idx="24">
                  <c:v>130</c:v>
                </c:pt>
                <c:pt idx="25">
                  <c:v>135</c:v>
                </c:pt>
                <c:pt idx="26">
                  <c:v>140</c:v>
                </c:pt>
                <c:pt idx="27">
                  <c:v>145</c:v>
                </c:pt>
                <c:pt idx="28">
                  <c:v>150</c:v>
                </c:pt>
                <c:pt idx="29">
                  <c:v>155</c:v>
                </c:pt>
                <c:pt idx="30">
                  <c:v>160</c:v>
                </c:pt>
                <c:pt idx="31">
                  <c:v>165</c:v>
                </c:pt>
                <c:pt idx="32">
                  <c:v>170</c:v>
                </c:pt>
                <c:pt idx="33">
                  <c:v>175</c:v>
                </c:pt>
                <c:pt idx="34">
                  <c:v>180</c:v>
                </c:pt>
                <c:pt idx="35">
                  <c:v>185</c:v>
                </c:pt>
                <c:pt idx="36">
                  <c:v>190</c:v>
                </c:pt>
                <c:pt idx="37">
                  <c:v>195</c:v>
                </c:pt>
                <c:pt idx="38">
                  <c:v>200</c:v>
                </c:pt>
                <c:pt idx="39">
                  <c:v>205</c:v>
                </c:pt>
                <c:pt idx="40">
                  <c:v>210</c:v>
                </c:pt>
                <c:pt idx="41">
                  <c:v>215</c:v>
                </c:pt>
                <c:pt idx="42">
                  <c:v>220</c:v>
                </c:pt>
                <c:pt idx="43">
                  <c:v>225</c:v>
                </c:pt>
                <c:pt idx="44">
                  <c:v>230</c:v>
                </c:pt>
                <c:pt idx="45">
                  <c:v>235</c:v>
                </c:pt>
                <c:pt idx="46">
                  <c:v>240</c:v>
                </c:pt>
                <c:pt idx="47">
                  <c:v>245</c:v>
                </c:pt>
                <c:pt idx="48">
                  <c:v>250</c:v>
                </c:pt>
                <c:pt idx="49">
                  <c:v>255</c:v>
                </c:pt>
                <c:pt idx="50">
                  <c:v>260</c:v>
                </c:pt>
                <c:pt idx="51">
                  <c:v>265</c:v>
                </c:pt>
                <c:pt idx="52">
                  <c:v>270</c:v>
                </c:pt>
                <c:pt idx="53">
                  <c:v>275</c:v>
                </c:pt>
                <c:pt idx="54">
                  <c:v>280</c:v>
                </c:pt>
                <c:pt idx="55">
                  <c:v>285</c:v>
                </c:pt>
                <c:pt idx="56">
                  <c:v>290</c:v>
                </c:pt>
                <c:pt idx="57">
                  <c:v>295</c:v>
                </c:pt>
                <c:pt idx="58">
                  <c:v>300</c:v>
                </c:pt>
                <c:pt idx="59">
                  <c:v>305</c:v>
                </c:pt>
                <c:pt idx="60">
                  <c:v>310</c:v>
                </c:pt>
                <c:pt idx="61">
                  <c:v>315</c:v>
                </c:pt>
                <c:pt idx="62">
                  <c:v>320</c:v>
                </c:pt>
                <c:pt idx="63">
                  <c:v>325</c:v>
                </c:pt>
                <c:pt idx="64">
                  <c:v>330</c:v>
                </c:pt>
                <c:pt idx="65">
                  <c:v>335</c:v>
                </c:pt>
                <c:pt idx="66">
                  <c:v>340</c:v>
                </c:pt>
                <c:pt idx="67">
                  <c:v>345</c:v>
                </c:pt>
                <c:pt idx="68">
                  <c:v>350</c:v>
                </c:pt>
                <c:pt idx="69">
                  <c:v>355</c:v>
                </c:pt>
                <c:pt idx="70">
                  <c:v>360</c:v>
                </c:pt>
                <c:pt idx="71">
                  <c:v>365</c:v>
                </c:pt>
                <c:pt idx="72">
                  <c:v>370</c:v>
                </c:pt>
                <c:pt idx="73">
                  <c:v>375</c:v>
                </c:pt>
                <c:pt idx="74">
                  <c:v>380</c:v>
                </c:pt>
                <c:pt idx="75">
                  <c:v>385</c:v>
                </c:pt>
                <c:pt idx="76">
                  <c:v>390</c:v>
                </c:pt>
                <c:pt idx="77">
                  <c:v>395</c:v>
                </c:pt>
                <c:pt idx="78">
                  <c:v>400</c:v>
                </c:pt>
                <c:pt idx="79">
                  <c:v>405</c:v>
                </c:pt>
                <c:pt idx="80">
                  <c:v>410</c:v>
                </c:pt>
                <c:pt idx="81">
                  <c:v>415</c:v>
                </c:pt>
                <c:pt idx="82">
                  <c:v>420</c:v>
                </c:pt>
                <c:pt idx="83">
                  <c:v>425</c:v>
                </c:pt>
                <c:pt idx="84">
                  <c:v>430</c:v>
                </c:pt>
                <c:pt idx="85">
                  <c:v>435</c:v>
                </c:pt>
                <c:pt idx="86">
                  <c:v>440</c:v>
                </c:pt>
                <c:pt idx="87">
                  <c:v>445</c:v>
                </c:pt>
                <c:pt idx="88">
                  <c:v>450</c:v>
                </c:pt>
                <c:pt idx="89">
                  <c:v>455</c:v>
                </c:pt>
                <c:pt idx="90">
                  <c:v>460</c:v>
                </c:pt>
                <c:pt idx="91">
                  <c:v>465</c:v>
                </c:pt>
                <c:pt idx="92">
                  <c:v>470</c:v>
                </c:pt>
                <c:pt idx="93">
                  <c:v>475</c:v>
                </c:pt>
                <c:pt idx="94">
                  <c:v>480</c:v>
                </c:pt>
                <c:pt idx="95">
                  <c:v>485</c:v>
                </c:pt>
                <c:pt idx="96">
                  <c:v>490</c:v>
                </c:pt>
                <c:pt idx="97">
                  <c:v>495</c:v>
                </c:pt>
                <c:pt idx="98">
                  <c:v>500</c:v>
                </c:pt>
                <c:pt idx="99">
                  <c:v>505</c:v>
                </c:pt>
                <c:pt idx="100">
                  <c:v>510</c:v>
                </c:pt>
                <c:pt idx="101">
                  <c:v>515</c:v>
                </c:pt>
                <c:pt idx="102">
                  <c:v>520</c:v>
                </c:pt>
                <c:pt idx="103">
                  <c:v>525</c:v>
                </c:pt>
                <c:pt idx="104">
                  <c:v>530</c:v>
                </c:pt>
                <c:pt idx="105">
                  <c:v>535</c:v>
                </c:pt>
                <c:pt idx="106">
                  <c:v>540</c:v>
                </c:pt>
                <c:pt idx="107">
                  <c:v>545</c:v>
                </c:pt>
                <c:pt idx="108">
                  <c:v>550</c:v>
                </c:pt>
                <c:pt idx="109">
                  <c:v>555</c:v>
                </c:pt>
                <c:pt idx="110">
                  <c:v>560</c:v>
                </c:pt>
                <c:pt idx="111">
                  <c:v>565</c:v>
                </c:pt>
                <c:pt idx="112">
                  <c:v>570</c:v>
                </c:pt>
                <c:pt idx="113">
                  <c:v>575</c:v>
                </c:pt>
                <c:pt idx="114">
                  <c:v>580</c:v>
                </c:pt>
                <c:pt idx="115">
                  <c:v>585</c:v>
                </c:pt>
                <c:pt idx="116">
                  <c:v>590</c:v>
                </c:pt>
                <c:pt idx="117">
                  <c:v>595</c:v>
                </c:pt>
                <c:pt idx="118">
                  <c:v>600</c:v>
                </c:pt>
                <c:pt idx="119">
                  <c:v>605</c:v>
                </c:pt>
                <c:pt idx="120">
                  <c:v>610</c:v>
                </c:pt>
                <c:pt idx="121">
                  <c:v>615</c:v>
                </c:pt>
                <c:pt idx="122">
                  <c:v>620</c:v>
                </c:pt>
                <c:pt idx="123">
                  <c:v>625</c:v>
                </c:pt>
                <c:pt idx="124">
                  <c:v>630</c:v>
                </c:pt>
                <c:pt idx="125">
                  <c:v>635</c:v>
                </c:pt>
                <c:pt idx="126">
                  <c:v>640</c:v>
                </c:pt>
                <c:pt idx="127">
                  <c:v>645</c:v>
                </c:pt>
                <c:pt idx="128">
                  <c:v>650</c:v>
                </c:pt>
                <c:pt idx="129">
                  <c:v>655</c:v>
                </c:pt>
                <c:pt idx="130">
                  <c:v>660</c:v>
                </c:pt>
                <c:pt idx="131">
                  <c:v>665</c:v>
                </c:pt>
                <c:pt idx="132">
                  <c:v>670</c:v>
                </c:pt>
                <c:pt idx="133">
                  <c:v>675</c:v>
                </c:pt>
                <c:pt idx="134">
                  <c:v>680</c:v>
                </c:pt>
                <c:pt idx="135">
                  <c:v>685</c:v>
                </c:pt>
                <c:pt idx="136">
                  <c:v>690</c:v>
                </c:pt>
                <c:pt idx="137">
                  <c:v>695</c:v>
                </c:pt>
                <c:pt idx="138">
                  <c:v>700</c:v>
                </c:pt>
                <c:pt idx="139">
                  <c:v>705</c:v>
                </c:pt>
                <c:pt idx="140">
                  <c:v>710</c:v>
                </c:pt>
                <c:pt idx="141">
                  <c:v>715</c:v>
                </c:pt>
                <c:pt idx="142">
                  <c:v>720</c:v>
                </c:pt>
                <c:pt idx="143">
                  <c:v>725</c:v>
                </c:pt>
                <c:pt idx="144">
                  <c:v>730</c:v>
                </c:pt>
                <c:pt idx="145">
                  <c:v>735</c:v>
                </c:pt>
                <c:pt idx="146">
                  <c:v>740</c:v>
                </c:pt>
                <c:pt idx="147">
                  <c:v>745</c:v>
                </c:pt>
                <c:pt idx="148">
                  <c:v>750</c:v>
                </c:pt>
                <c:pt idx="149">
                  <c:v>755</c:v>
                </c:pt>
                <c:pt idx="150">
                  <c:v>760</c:v>
                </c:pt>
                <c:pt idx="151">
                  <c:v>765</c:v>
                </c:pt>
                <c:pt idx="152">
                  <c:v>770</c:v>
                </c:pt>
                <c:pt idx="153">
                  <c:v>775</c:v>
                </c:pt>
                <c:pt idx="154">
                  <c:v>780</c:v>
                </c:pt>
                <c:pt idx="155">
                  <c:v>785</c:v>
                </c:pt>
                <c:pt idx="156">
                  <c:v>790</c:v>
                </c:pt>
                <c:pt idx="157">
                  <c:v>795</c:v>
                </c:pt>
                <c:pt idx="158">
                  <c:v>800</c:v>
                </c:pt>
                <c:pt idx="159">
                  <c:v>805</c:v>
                </c:pt>
                <c:pt idx="160">
                  <c:v>810</c:v>
                </c:pt>
                <c:pt idx="161">
                  <c:v>815</c:v>
                </c:pt>
                <c:pt idx="162">
                  <c:v>820</c:v>
                </c:pt>
                <c:pt idx="163">
                  <c:v>825</c:v>
                </c:pt>
                <c:pt idx="164">
                  <c:v>830</c:v>
                </c:pt>
                <c:pt idx="165">
                  <c:v>835</c:v>
                </c:pt>
                <c:pt idx="166">
                  <c:v>840</c:v>
                </c:pt>
                <c:pt idx="167">
                  <c:v>845</c:v>
                </c:pt>
                <c:pt idx="168">
                  <c:v>850</c:v>
                </c:pt>
                <c:pt idx="169">
                  <c:v>855</c:v>
                </c:pt>
                <c:pt idx="170">
                  <c:v>860</c:v>
                </c:pt>
                <c:pt idx="171">
                  <c:v>865</c:v>
                </c:pt>
                <c:pt idx="172">
                  <c:v>870</c:v>
                </c:pt>
                <c:pt idx="173">
                  <c:v>875</c:v>
                </c:pt>
                <c:pt idx="174">
                  <c:v>880</c:v>
                </c:pt>
                <c:pt idx="175">
                  <c:v>885</c:v>
                </c:pt>
                <c:pt idx="176">
                  <c:v>890</c:v>
                </c:pt>
                <c:pt idx="177">
                  <c:v>895</c:v>
                </c:pt>
                <c:pt idx="178">
                  <c:v>900</c:v>
                </c:pt>
                <c:pt idx="179">
                  <c:v>905</c:v>
                </c:pt>
                <c:pt idx="180">
                  <c:v>910</c:v>
                </c:pt>
                <c:pt idx="181">
                  <c:v>915</c:v>
                </c:pt>
                <c:pt idx="182">
                  <c:v>920</c:v>
                </c:pt>
                <c:pt idx="183">
                  <c:v>925</c:v>
                </c:pt>
                <c:pt idx="184">
                  <c:v>930</c:v>
                </c:pt>
                <c:pt idx="185">
                  <c:v>935</c:v>
                </c:pt>
                <c:pt idx="186">
                  <c:v>940</c:v>
                </c:pt>
                <c:pt idx="187">
                  <c:v>945</c:v>
                </c:pt>
                <c:pt idx="188">
                  <c:v>950</c:v>
                </c:pt>
                <c:pt idx="189">
                  <c:v>955</c:v>
                </c:pt>
                <c:pt idx="190">
                  <c:v>960</c:v>
                </c:pt>
                <c:pt idx="191">
                  <c:v>965</c:v>
                </c:pt>
                <c:pt idx="192">
                  <c:v>970</c:v>
                </c:pt>
                <c:pt idx="193">
                  <c:v>975</c:v>
                </c:pt>
                <c:pt idx="194">
                  <c:v>980</c:v>
                </c:pt>
                <c:pt idx="195">
                  <c:v>985</c:v>
                </c:pt>
                <c:pt idx="196">
                  <c:v>990</c:v>
                </c:pt>
                <c:pt idx="197">
                  <c:v>995</c:v>
                </c:pt>
                <c:pt idx="198">
                  <c:v>1000</c:v>
                </c:pt>
                <c:pt idx="199">
                  <c:v>1005</c:v>
                </c:pt>
                <c:pt idx="200">
                  <c:v>1010</c:v>
                </c:pt>
                <c:pt idx="201">
                  <c:v>1015</c:v>
                </c:pt>
                <c:pt idx="202">
                  <c:v>1020</c:v>
                </c:pt>
                <c:pt idx="203">
                  <c:v>1025</c:v>
                </c:pt>
                <c:pt idx="204">
                  <c:v>1030</c:v>
                </c:pt>
                <c:pt idx="205">
                  <c:v>1035</c:v>
                </c:pt>
                <c:pt idx="206">
                  <c:v>1040</c:v>
                </c:pt>
                <c:pt idx="207">
                  <c:v>1045</c:v>
                </c:pt>
                <c:pt idx="208">
                  <c:v>1050</c:v>
                </c:pt>
                <c:pt idx="209">
                  <c:v>1055</c:v>
                </c:pt>
                <c:pt idx="210">
                  <c:v>1060</c:v>
                </c:pt>
                <c:pt idx="211">
                  <c:v>1065</c:v>
                </c:pt>
                <c:pt idx="212">
                  <c:v>1070</c:v>
                </c:pt>
                <c:pt idx="213">
                  <c:v>1075</c:v>
                </c:pt>
                <c:pt idx="214">
                  <c:v>1080</c:v>
                </c:pt>
                <c:pt idx="215">
                  <c:v>1085</c:v>
                </c:pt>
                <c:pt idx="216">
                  <c:v>1090</c:v>
                </c:pt>
                <c:pt idx="217">
                  <c:v>1095</c:v>
                </c:pt>
                <c:pt idx="218">
                  <c:v>1100</c:v>
                </c:pt>
                <c:pt idx="219">
                  <c:v>1105</c:v>
                </c:pt>
                <c:pt idx="220">
                  <c:v>1110</c:v>
                </c:pt>
                <c:pt idx="221">
                  <c:v>1115</c:v>
                </c:pt>
                <c:pt idx="222">
                  <c:v>1120</c:v>
                </c:pt>
                <c:pt idx="223">
                  <c:v>1125</c:v>
                </c:pt>
                <c:pt idx="224">
                  <c:v>1130</c:v>
                </c:pt>
                <c:pt idx="225">
                  <c:v>1135</c:v>
                </c:pt>
                <c:pt idx="226">
                  <c:v>1140</c:v>
                </c:pt>
                <c:pt idx="227">
                  <c:v>1145</c:v>
                </c:pt>
                <c:pt idx="228">
                  <c:v>1150</c:v>
                </c:pt>
                <c:pt idx="229">
                  <c:v>1155</c:v>
                </c:pt>
                <c:pt idx="230">
                  <c:v>1160</c:v>
                </c:pt>
                <c:pt idx="231">
                  <c:v>1165</c:v>
                </c:pt>
                <c:pt idx="232">
                  <c:v>1170</c:v>
                </c:pt>
                <c:pt idx="233">
                  <c:v>1175</c:v>
                </c:pt>
                <c:pt idx="234">
                  <c:v>1180</c:v>
                </c:pt>
                <c:pt idx="235">
                  <c:v>1185</c:v>
                </c:pt>
                <c:pt idx="236">
                  <c:v>1190</c:v>
                </c:pt>
                <c:pt idx="237">
                  <c:v>1195</c:v>
                </c:pt>
                <c:pt idx="238">
                  <c:v>1200</c:v>
                </c:pt>
                <c:pt idx="239">
                  <c:v>1205</c:v>
                </c:pt>
                <c:pt idx="240">
                  <c:v>1210</c:v>
                </c:pt>
                <c:pt idx="241">
                  <c:v>1215</c:v>
                </c:pt>
                <c:pt idx="242">
                  <c:v>1220</c:v>
                </c:pt>
                <c:pt idx="243">
                  <c:v>1225</c:v>
                </c:pt>
                <c:pt idx="244">
                  <c:v>1230</c:v>
                </c:pt>
                <c:pt idx="245">
                  <c:v>1235</c:v>
                </c:pt>
                <c:pt idx="246">
                  <c:v>1240</c:v>
                </c:pt>
                <c:pt idx="247">
                  <c:v>1245</c:v>
                </c:pt>
                <c:pt idx="248">
                  <c:v>1250</c:v>
                </c:pt>
                <c:pt idx="249">
                  <c:v>1255</c:v>
                </c:pt>
                <c:pt idx="250">
                  <c:v>1260</c:v>
                </c:pt>
                <c:pt idx="251">
                  <c:v>1265</c:v>
                </c:pt>
                <c:pt idx="252">
                  <c:v>1270</c:v>
                </c:pt>
                <c:pt idx="253">
                  <c:v>1275</c:v>
                </c:pt>
                <c:pt idx="254">
                  <c:v>1280</c:v>
                </c:pt>
                <c:pt idx="255">
                  <c:v>1285</c:v>
                </c:pt>
                <c:pt idx="256">
                  <c:v>1290</c:v>
                </c:pt>
                <c:pt idx="257">
                  <c:v>1295</c:v>
                </c:pt>
                <c:pt idx="258">
                  <c:v>1300</c:v>
                </c:pt>
                <c:pt idx="259">
                  <c:v>1305</c:v>
                </c:pt>
                <c:pt idx="260">
                  <c:v>1310</c:v>
                </c:pt>
                <c:pt idx="261">
                  <c:v>1315</c:v>
                </c:pt>
                <c:pt idx="262">
                  <c:v>1320</c:v>
                </c:pt>
                <c:pt idx="263">
                  <c:v>1325</c:v>
                </c:pt>
                <c:pt idx="264">
                  <c:v>1330</c:v>
                </c:pt>
                <c:pt idx="265">
                  <c:v>1335</c:v>
                </c:pt>
                <c:pt idx="266">
                  <c:v>1340</c:v>
                </c:pt>
                <c:pt idx="267">
                  <c:v>1345</c:v>
                </c:pt>
                <c:pt idx="268">
                  <c:v>1350</c:v>
                </c:pt>
                <c:pt idx="269">
                  <c:v>1355</c:v>
                </c:pt>
                <c:pt idx="270">
                  <c:v>1360</c:v>
                </c:pt>
                <c:pt idx="271">
                  <c:v>1365</c:v>
                </c:pt>
                <c:pt idx="272">
                  <c:v>1370</c:v>
                </c:pt>
                <c:pt idx="273">
                  <c:v>1375</c:v>
                </c:pt>
                <c:pt idx="274">
                  <c:v>1380</c:v>
                </c:pt>
                <c:pt idx="275">
                  <c:v>1385</c:v>
                </c:pt>
                <c:pt idx="276">
                  <c:v>1390</c:v>
                </c:pt>
                <c:pt idx="277">
                  <c:v>1395</c:v>
                </c:pt>
                <c:pt idx="278">
                  <c:v>1400</c:v>
                </c:pt>
                <c:pt idx="279">
                  <c:v>1405</c:v>
                </c:pt>
              </c:numCache>
            </c:numRef>
          </c:xVal>
          <c:yVal>
            <c:numRef>
              <c:f>'nph14260-supp-002'!$C$79:$C$358</c:f>
              <c:numCache>
                <c:formatCode>0.00</c:formatCode>
                <c:ptCount val="280"/>
                <c:pt idx="0">
                  <c:v>-10.713732098722614</c:v>
                </c:pt>
                <c:pt idx="1">
                  <c:v>-8.8875367196597868</c:v>
                </c:pt>
                <c:pt idx="2">
                  <c:v>-7.0869008963813833</c:v>
                </c:pt>
                <c:pt idx="3">
                  <c:v>-5.3112917579923646</c:v>
                </c:pt>
                <c:pt idx="4">
                  <c:v>-3.5601911439063918</c:v>
                </c:pt>
                <c:pt idx="5">
                  <c:v>-1.8330950997134139</c:v>
                </c:pt>
                <c:pt idx="6">
                  <c:v>-0.12951339363847694</c:v>
                </c:pt>
                <c:pt idx="7">
                  <c:v>1.5510309473828354</c:v>
                </c:pt>
                <c:pt idx="8">
                  <c:v>3.2090020829345409</c:v>
                </c:pt>
                <c:pt idx="9">
                  <c:v>4.8448517865289862</c:v>
                </c:pt>
                <c:pt idx="10">
                  <c:v>6.4590198560208902</c:v>
                </c:pt>
                <c:pt idx="11">
                  <c:v>8.0519345078098716</c:v>
                </c:pt>
                <c:pt idx="12">
                  <c:v>9.6240127555736628</c:v>
                </c:pt>
                <c:pt idx="13">
                  <c:v>11.17566077423565</c:v>
                </c:pt>
                <c:pt idx="14">
                  <c:v>12.707274249833983</c:v>
                </c:pt>
                <c:pt idx="15">
                  <c:v>14.219238715925334</c:v>
                </c:pt>
                <c:pt idx="16">
                  <c:v>15.711929877124021</c:v>
                </c:pt>
                <c:pt idx="17">
                  <c:v>17.185713920346863</c:v>
                </c:pt>
                <c:pt idx="18">
                  <c:v>18.640947814305349</c:v>
                </c:pt>
                <c:pt idx="19">
                  <c:v>20.077979597759619</c:v>
                </c:pt>
                <c:pt idx="20">
                  <c:v>21.497148657023221</c:v>
                </c:pt>
                <c:pt idx="21">
                  <c:v>22.898785993183381</c:v>
                </c:pt>
                <c:pt idx="22">
                  <c:v>24.283214479478751</c:v>
                </c:pt>
                <c:pt idx="23">
                  <c:v>25.650749109254978</c:v>
                </c:pt>
                <c:pt idx="24">
                  <c:v>27.001697234898117</c:v>
                </c:pt>
                <c:pt idx="25">
                  <c:v>28.336358798126511</c:v>
                </c:pt>
                <c:pt idx="26">
                  <c:v>29.655026552003676</c:v>
                </c:pt>
                <c:pt idx="27">
                  <c:v>30.957986275017216</c:v>
                </c:pt>
                <c:pt idx="28">
                  <c:v>32.245516977552782</c:v>
                </c:pt>
                <c:pt idx="29">
                  <c:v>33.517891101076216</c:v>
                </c:pt>
                <c:pt idx="30">
                  <c:v>34.775374710322737</c:v>
                </c:pt>
                <c:pt idx="31">
                  <c:v>36.018227678777748</c:v>
                </c:pt>
                <c:pt idx="32">
                  <c:v>37.246703867721038</c:v>
                </c:pt>
                <c:pt idx="33">
                  <c:v>38.461051299093363</c:v>
                </c:pt>
                <c:pt idx="34">
                  <c:v>39.661512322432714</c:v>
                </c:pt>
                <c:pt idx="35">
                  <c:v>40.84832377611621</c:v>
                </c:pt>
                <c:pt idx="36">
                  <c:v>42.021717143133053</c:v>
                </c:pt>
                <c:pt idx="37">
                  <c:v>43.181918701603607</c:v>
                </c:pt>
                <c:pt idx="38">
                  <c:v>44.32914967025031</c:v>
                </c:pt>
                <c:pt idx="39">
                  <c:v>45.463626349016749</c:v>
                </c:pt>
                <c:pt idx="40">
                  <c:v>46.585560255022692</c:v>
                </c:pt>
                <c:pt idx="41">
                  <c:v>47.695158254034553</c:v>
                </c:pt>
                <c:pt idx="42">
                  <c:v>48.792622687622924</c:v>
                </c:pt>
                <c:pt idx="43">
                  <c:v>49.878151496171391</c:v>
                </c:pt>
                <c:pt idx="44">
                  <c:v>50.951938337893566</c:v>
                </c:pt>
                <c:pt idx="45">
                  <c:v>52.01417270400885</c:v>
                </c:pt>
                <c:pt idx="46">
                  <c:v>53.065040030220594</c:v>
                </c:pt>
                <c:pt idx="47">
                  <c:v>54.104721804634572</c:v>
                </c:pt>
                <c:pt idx="48">
                  <c:v>55.133395672249542</c:v>
                </c:pt>
                <c:pt idx="49">
                  <c:v>56.151235536146373</c:v>
                </c:pt>
                <c:pt idx="50">
                  <c:v>57.1584116554967</c:v>
                </c:pt>
                <c:pt idx="51">
                  <c:v>58.155090740507241</c:v>
                </c:pt>
                <c:pt idx="52">
                  <c:v>59.141436044410803</c:v>
                </c:pt>
                <c:pt idx="53">
                  <c:v>60.117607452610791</c:v>
                </c:pt>
                <c:pt idx="54">
                  <c:v>61.083761569081318</c:v>
                </c:pt>
                <c:pt idx="55">
                  <c:v>62.040051800121013</c:v>
                </c:pt>
                <c:pt idx="56">
                  <c:v>62.986628435554664</c:v>
                </c:pt>
                <c:pt idx="57">
                  <c:v>63.923638727472905</c:v>
                </c:pt>
                <c:pt idx="58">
                  <c:v>64.851226966596599</c:v>
                </c:pt>
                <c:pt idx="59">
                  <c:v>65.769534556349129</c:v>
                </c:pt>
                <c:pt idx="60">
                  <c:v>66.678700084716482</c:v>
                </c:pt>
                <c:pt idx="61">
                  <c:v>67.578859393971712</c:v>
                </c:pt>
                <c:pt idx="62">
                  <c:v>68.470145648337578</c:v>
                </c:pt>
                <c:pt idx="63">
                  <c:v>69.352689399658175</c:v>
                </c:pt>
                <c:pt idx="64">
                  <c:v>70.226618651147277</c:v>
                </c:pt>
                <c:pt idx="65">
                  <c:v>71.092058919279367</c:v>
                </c:pt>
                <c:pt idx="66">
                  <c:v>71.949133293885424</c:v>
                </c:pt>
                <c:pt idx="67">
                  <c:v>72.7979624965147</c:v>
                </c:pt>
                <c:pt idx="68">
                  <c:v>73.63866493711987</c:v>
                </c:pt>
                <c:pt idx="69">
                  <c:v>74.471356769122181</c:v>
                </c:pt>
                <c:pt idx="70">
                  <c:v>75.296151942909574</c:v>
                </c:pt>
                <c:pt idx="71">
                  <c:v>76.113162257820449</c:v>
                </c:pt>
                <c:pt idx="72">
                  <c:v>76.92249741266194</c:v>
                </c:pt>
                <c:pt idx="73">
                  <c:v>77.724265054811468</c:v>
                </c:pt>
                <c:pt idx="74">
                  <c:v>78.518570827947116</c:v>
                </c:pt>
                <c:pt idx="75">
                  <c:v>79.305518418451726</c:v>
                </c:pt>
                <c:pt idx="76">
                  <c:v>80.085209600533105</c:v>
                </c:pt>
                <c:pt idx="77">
                  <c:v>80.857744280102054</c:v>
                </c:pt>
                <c:pt idx="78">
                  <c:v>81.623220537447466</c:v>
                </c:pt>
                <c:pt idx="79">
                  <c:v>82.381734668747157</c:v>
                </c:pt>
                <c:pt idx="80">
                  <c:v>83.13338122645122</c:v>
                </c:pt>
                <c:pt idx="81">
                  <c:v>83.878253058573151</c:v>
                </c:pt>
                <c:pt idx="82">
                  <c:v>84.616441346923793</c:v>
                </c:pt>
                <c:pt idx="83">
                  <c:v>85.348035644320177</c:v>
                </c:pt>
                <c:pt idx="84">
                  <c:v>86.073123910802124</c:v>
                </c:pt>
                <c:pt idx="85">
                  <c:v>86.791792548886505</c:v>
                </c:pt>
                <c:pt idx="86">
                  <c:v>87.504126437889653</c:v>
                </c:pt>
                <c:pt idx="87">
                  <c:v>88.210208967345778</c:v>
                </c:pt>
                <c:pt idx="88">
                  <c:v>88.910122069549672</c:v>
                </c:pt>
                <c:pt idx="89">
                  <c:v>89.603946251249852</c:v>
                </c:pt>
                <c:pt idx="90">
                  <c:v>90.291760624518446</c:v>
                </c:pt>
                <c:pt idx="91">
                  <c:v>90.973642936822017</c:v>
                </c:pt>
                <c:pt idx="92">
                  <c:v>91.649669600317978</c:v>
                </c:pt>
                <c:pt idx="93">
                  <c:v>92.319915720399294</c:v>
                </c:pt>
                <c:pt idx="94">
                  <c:v>92.98445512351023</c:v>
                </c:pt>
                <c:pt idx="95">
                  <c:v>93.643360384254393</c:v>
                </c:pt>
                <c:pt idx="96">
                  <c:v>94.296702851816448</c:v>
                </c:pt>
                <c:pt idx="97">
                  <c:v>94.944552675717276</c:v>
                </c:pt>
                <c:pt idx="98">
                  <c:v>95.58697883092232</c:v>
                </c:pt>
                <c:pt idx="99">
                  <c:v>96.224049142322016</c:v>
                </c:pt>
                <c:pt idx="100">
                  <c:v>96.855830308602378</c:v>
                </c:pt>
                <c:pt idx="101">
                  <c:v>97.482387925523653</c:v>
                </c:pt>
                <c:pt idx="102">
                  <c:v>98.103786508623784</c:v>
                </c:pt>
                <c:pt idx="103">
                  <c:v>98.720089515363497</c:v>
                </c:pt>
                <c:pt idx="104">
                  <c:v>99.331359366728705</c:v>
                </c:pt>
                <c:pt idx="105">
                  <c:v>99.937657468305957</c:v>
                </c:pt>
                <c:pt idx="106">
                  <c:v>100.53904423084553</c:v>
                </c:pt>
                <c:pt idx="107">
                  <c:v>101.13557909032707</c:v>
                </c:pt>
                <c:pt idx="108">
                  <c:v>101.72732052754118</c:v>
                </c:pt>
                <c:pt idx="109">
                  <c:v>102.31432608720122</c:v>
                </c:pt>
                <c:pt idx="110">
                  <c:v>102.89665239659787</c:v>
                </c:pt>
                <c:pt idx="111">
                  <c:v>103.47435518380932</c:v>
                </c:pt>
                <c:pt idx="112">
                  <c:v>104.04748929547952</c:v>
                </c:pt>
                <c:pt idx="113">
                  <c:v>104.61610871417626</c:v>
                </c:pt>
                <c:pt idx="114">
                  <c:v>105.1802665753407</c:v>
                </c:pt>
                <c:pt idx="115">
                  <c:v>105.74001518383945</c:v>
                </c:pt>
                <c:pt idx="116">
                  <c:v>106.29540603013002</c:v>
                </c:pt>
                <c:pt idx="117">
                  <c:v>106.84648980605029</c:v>
                </c:pt>
                <c:pt idx="118">
                  <c:v>107.3933164202419</c:v>
                </c:pt>
                <c:pt idx="119">
                  <c:v>107.93593501321784</c:v>
                </c:pt>
                <c:pt idx="120">
                  <c:v>108.47439397208319</c:v>
                </c:pt>
                <c:pt idx="121">
                  <c:v>109.00874094491884</c:v>
                </c:pt>
                <c:pt idx="122">
                  <c:v>109.53902285483682</c:v>
                </c:pt>
                <c:pt idx="123">
                  <c:v>110.06528591371624</c:v>
                </c:pt>
                <c:pt idx="124">
                  <c:v>110.58757563562786</c:v>
                </c:pt>
                <c:pt idx="125">
                  <c:v>111.10593684995587</c:v>
                </c:pt>
                <c:pt idx="126">
                  <c:v>111.62041371422472</c:v>
                </c:pt>
                <c:pt idx="127">
                  <c:v>112.13104972663864</c:v>
                </c:pt>
                <c:pt idx="128">
                  <c:v>112.63788773834123</c:v>
                </c:pt>
                <c:pt idx="129">
                  <c:v>113.14096996540279</c:v>
                </c:pt>
                <c:pt idx="130">
                  <c:v>113.64033800054176</c:v>
                </c:pt>
                <c:pt idx="131">
                  <c:v>114.13603282458803</c:v>
                </c:pt>
                <c:pt idx="132">
                  <c:v>114.62809481769361</c:v>
                </c:pt>
                <c:pt idx="133">
                  <c:v>115.11656377029819</c:v>
                </c:pt>
                <c:pt idx="134">
                  <c:v>115.60147889385509</c:v>
                </c:pt>
                <c:pt idx="135">
                  <c:v>116.08287883132417</c:v>
                </c:pt>
                <c:pt idx="136">
                  <c:v>116.56080166743716</c:v>
                </c:pt>
                <c:pt idx="137">
                  <c:v>117.03528493874146</c:v>
                </c:pt>
                <c:pt idx="138">
                  <c:v>117.50636564342783</c:v>
                </c:pt>
                <c:pt idx="139">
                  <c:v>117.97408025094749</c:v>
                </c:pt>
                <c:pt idx="140">
                  <c:v>118.43846471142373</c:v>
                </c:pt>
                <c:pt idx="141">
                  <c:v>118.89955446486314</c:v>
                </c:pt>
                <c:pt idx="142">
                  <c:v>119.35738445017161</c:v>
                </c:pt>
                <c:pt idx="143">
                  <c:v>119.81198911397966</c:v>
                </c:pt>
                <c:pt idx="144">
                  <c:v>120.26340241928207</c:v>
                </c:pt>
                <c:pt idx="145">
                  <c:v>120.71165785389596</c:v>
                </c:pt>
                <c:pt idx="146">
                  <c:v>121.1567884387422</c:v>
                </c:pt>
                <c:pt idx="147">
                  <c:v>121.59882673595405</c:v>
                </c:pt>
                <c:pt idx="148">
                  <c:v>122.03780485681766</c:v>
                </c:pt>
                <c:pt idx="149">
                  <c:v>122.47375446954784</c:v>
                </c:pt>
                <c:pt idx="150">
                  <c:v>122.90670680690378</c:v>
                </c:pt>
                <c:pt idx="151">
                  <c:v>123.33669267364809</c:v>
                </c:pt>
                <c:pt idx="152">
                  <c:v>123.76374245385298</c:v>
                </c:pt>
                <c:pt idx="153">
                  <c:v>124.18788611805758</c:v>
                </c:pt>
                <c:pt idx="154">
                  <c:v>124.60915323027908</c:v>
                </c:pt>
                <c:pt idx="155">
                  <c:v>125.02757295488234</c:v>
                </c:pt>
                <c:pt idx="156">
                  <c:v>125.44317406331021</c:v>
                </c:pt>
                <c:pt idx="157">
                  <c:v>125.85598494067852</c:v>
                </c:pt>
                <c:pt idx="158">
                  <c:v>126.26603359223859</c:v>
                </c:pt>
                <c:pt idx="159">
                  <c:v>126.67334764971045</c:v>
                </c:pt>
                <c:pt idx="160">
                  <c:v>127.07795437748983</c:v>
                </c:pt>
                <c:pt idx="161">
                  <c:v>127.47988067873183</c:v>
                </c:pt>
                <c:pt idx="162">
                  <c:v>127.87915310131386</c:v>
                </c:pt>
                <c:pt idx="163">
                  <c:v>128.27579784368109</c:v>
                </c:pt>
                <c:pt idx="164">
                  <c:v>128.66984076057673</c:v>
                </c:pt>
                <c:pt idx="165">
                  <c:v>129.06130736866004</c:v>
                </c:pt>
                <c:pt idx="166">
                  <c:v>129.45022285201438</c:v>
                </c:pt>
                <c:pt idx="167">
                  <c:v>129.83661206754792</c:v>
                </c:pt>
                <c:pt idx="168">
                  <c:v>130.22049955028956</c:v>
                </c:pt>
                <c:pt idx="169">
                  <c:v>130.60190951858223</c:v>
                </c:pt>
                <c:pt idx="170">
                  <c:v>130.98086587917604</c:v>
                </c:pt>
                <c:pt idx="171">
                  <c:v>131.35739223222333</c:v>
                </c:pt>
                <c:pt idx="172">
                  <c:v>131.73151187617799</c:v>
                </c:pt>
                <c:pt idx="173">
                  <c:v>132.10324781260121</c:v>
                </c:pt>
                <c:pt idx="174">
                  <c:v>132.47262275087562</c:v>
                </c:pt>
                <c:pt idx="175">
                  <c:v>132.83965911282974</c:v>
                </c:pt>
                <c:pt idx="176">
                  <c:v>133.2043790372752</c:v>
                </c:pt>
                <c:pt idx="177">
                  <c:v>133.56680438445792</c:v>
                </c:pt>
                <c:pt idx="178">
                  <c:v>133.92695674042591</c:v>
                </c:pt>
                <c:pt idx="179">
                  <c:v>134.28485742131494</c:v>
                </c:pt>
                <c:pt idx="180">
                  <c:v>134.64052747755409</c:v>
                </c:pt>
                <c:pt idx="181">
                  <c:v>134.99398769799291</c:v>
                </c:pt>
                <c:pt idx="182">
                  <c:v>135.34525861395215</c:v>
                </c:pt>
                <c:pt idx="183">
                  <c:v>135.69436050319894</c:v>
                </c:pt>
                <c:pt idx="184">
                  <c:v>136.04131339384901</c:v>
                </c:pt>
                <c:pt idx="185">
                  <c:v>136.38613706819689</c:v>
                </c:pt>
                <c:pt idx="186">
                  <c:v>136.72885106647576</c:v>
                </c:pt>
                <c:pt idx="187">
                  <c:v>137.06947469054873</c:v>
                </c:pt>
                <c:pt idx="188">
                  <c:v>137.40802700753241</c:v>
                </c:pt>
                <c:pt idx="189">
                  <c:v>137.7445268533549</c:v>
                </c:pt>
                <c:pt idx="190">
                  <c:v>138.07899283624909</c:v>
                </c:pt>
                <c:pt idx="191">
                  <c:v>138.41144334018296</c:v>
                </c:pt>
                <c:pt idx="192">
                  <c:v>138.74189652822787</c:v>
                </c:pt>
                <c:pt idx="193">
                  <c:v>139.07037034586642</c:v>
                </c:pt>
                <c:pt idx="194">
                  <c:v>139.39688252424111</c:v>
                </c:pt>
                <c:pt idx="195">
                  <c:v>139.72145058334482</c:v>
                </c:pt>
                <c:pt idx="196">
                  <c:v>140.0440918351546</c:v>
                </c:pt>
                <c:pt idx="197">
                  <c:v>140.36482338670973</c:v>
                </c:pt>
                <c:pt idx="198">
                  <c:v>140.68366214313534</c:v>
                </c:pt>
                <c:pt idx="199">
                  <c:v>141.00062481061261</c:v>
                </c:pt>
                <c:pt idx="200">
                  <c:v>141.31572789929677</c:v>
                </c:pt>
                <c:pt idx="201">
                  <c:v>141.62898772618374</c:v>
                </c:pt>
                <c:pt idx="202">
                  <c:v>141.94042041792679</c:v>
                </c:pt>
                <c:pt idx="203">
                  <c:v>142.25004191360401</c:v>
                </c:pt>
                <c:pt idx="204">
                  <c:v>142.55786796743743</c:v>
                </c:pt>
                <c:pt idx="205">
                  <c:v>142.86391415146534</c:v>
                </c:pt>
                <c:pt idx="206">
                  <c:v>143.16819585816808</c:v>
                </c:pt>
                <c:pt idx="207">
                  <c:v>143.47072830304867</c:v>
                </c:pt>
                <c:pt idx="208">
                  <c:v>143.77152652716907</c:v>
                </c:pt>
                <c:pt idx="209">
                  <c:v>144.07060539964297</c:v>
                </c:pt>
                <c:pt idx="210">
                  <c:v>144.36797962008578</c:v>
                </c:pt>
                <c:pt idx="211">
                  <c:v>144.66366372102308</c:v>
                </c:pt>
                <c:pt idx="212">
                  <c:v>144.9576720702581</c:v>
                </c:pt>
                <c:pt idx="213">
                  <c:v>145.25001887319871</c:v>
                </c:pt>
                <c:pt idx="214">
                  <c:v>145.54071817514571</c:v>
                </c:pt>
                <c:pt idx="215">
                  <c:v>145.82978386354179</c:v>
                </c:pt>
                <c:pt idx="216">
                  <c:v>146.11722967018341</c:v>
                </c:pt>
                <c:pt idx="217">
                  <c:v>146.40306917339501</c:v>
                </c:pt>
                <c:pt idx="218">
                  <c:v>146.68731580016723</c:v>
                </c:pt>
                <c:pt idx="219">
                  <c:v>146.9699828282593</c:v>
                </c:pt>
                <c:pt idx="220">
                  <c:v>147.25108338826669</c:v>
                </c:pt>
                <c:pt idx="221">
                  <c:v>147.5306304656541</c:v>
                </c:pt>
                <c:pt idx="222">
                  <c:v>147.80863690275527</c:v>
                </c:pt>
                <c:pt idx="223">
                  <c:v>148.08511540073957</c:v>
                </c:pt>
                <c:pt idx="224">
                  <c:v>148.36007852154626</c:v>
                </c:pt>
                <c:pt idx="225">
                  <c:v>148.63353868978709</c:v>
                </c:pt>
                <c:pt idx="226">
                  <c:v>148.90550819461782</c:v>
                </c:pt>
                <c:pt idx="227">
                  <c:v>149.17599919157908</c:v>
                </c:pt>
                <c:pt idx="228">
                  <c:v>149.4450237044075</c:v>
                </c:pt>
                <c:pt idx="229">
                  <c:v>149.71259362681718</c:v>
                </c:pt>
                <c:pt idx="230">
                  <c:v>149.97872072425264</c:v>
                </c:pt>
                <c:pt idx="231">
                  <c:v>150.24341663561336</c:v>
                </c:pt>
                <c:pt idx="232">
                  <c:v>150.50669287495029</c:v>
                </c:pt>
                <c:pt idx="233">
                  <c:v>150.76856083313589</c:v>
                </c:pt>
                <c:pt idx="234">
                  <c:v>151.02903177950648</c:v>
                </c:pt>
                <c:pt idx="235">
                  <c:v>151.2881168634791</c:v>
                </c:pt>
                <c:pt idx="236">
                  <c:v>151.5458271161425</c:v>
                </c:pt>
                <c:pt idx="237">
                  <c:v>151.80217345182234</c:v>
                </c:pt>
                <c:pt idx="238">
                  <c:v>152.05716666962246</c:v>
                </c:pt>
                <c:pt idx="239">
                  <c:v>152.31081745494117</c:v>
                </c:pt>
                <c:pt idx="240">
                  <c:v>152.56313638096378</c:v>
                </c:pt>
                <c:pt idx="241">
                  <c:v>152.81413391013191</c:v>
                </c:pt>
                <c:pt idx="242">
                  <c:v>153.06382039558952</c:v>
                </c:pt>
                <c:pt idx="243">
                  <c:v>153.31220608260642</c:v>
                </c:pt>
                <c:pt idx="244">
                  <c:v>153.55930110997977</c:v>
                </c:pt>
                <c:pt idx="245">
                  <c:v>153.80511551141333</c:v>
                </c:pt>
                <c:pt idx="246">
                  <c:v>154.04965921687597</c:v>
                </c:pt>
                <c:pt idx="247">
                  <c:v>154.29294205393845</c:v>
                </c:pt>
                <c:pt idx="248">
                  <c:v>154.53497374909031</c:v>
                </c:pt>
                <c:pt idx="249">
                  <c:v>154.77576392903583</c:v>
                </c:pt>
                <c:pt idx="250">
                  <c:v>155.01532212197051</c:v>
                </c:pt>
                <c:pt idx="251">
                  <c:v>155.25365775883787</c:v>
                </c:pt>
                <c:pt idx="252">
                  <c:v>155.49078017456719</c:v>
                </c:pt>
                <c:pt idx="253">
                  <c:v>155.72669860929201</c:v>
                </c:pt>
                <c:pt idx="254">
                  <c:v>155.96142220955068</c:v>
                </c:pt>
                <c:pt idx="255">
                  <c:v>156.19496002946821</c:v>
                </c:pt>
                <c:pt idx="256">
                  <c:v>156.42732103192066</c:v>
                </c:pt>
                <c:pt idx="257">
                  <c:v>156.65851408968163</c:v>
                </c:pt>
                <c:pt idx="258">
                  <c:v>156.88854798655166</c:v>
                </c:pt>
                <c:pt idx="259">
                  <c:v>157.11743141847074</c:v>
                </c:pt>
                <c:pt idx="260">
                  <c:v>157.34517299461419</c:v>
                </c:pt>
                <c:pt idx="261">
                  <c:v>157.5717812384718</c:v>
                </c:pt>
                <c:pt idx="262">
                  <c:v>157.79726458891159</c:v>
                </c:pt>
                <c:pt idx="263">
                  <c:v>158.02163140122704</c:v>
                </c:pt>
                <c:pt idx="264">
                  <c:v>158.24488994816934</c:v>
                </c:pt>
                <c:pt idx="265">
                  <c:v>158.46704842096418</c:v>
                </c:pt>
                <c:pt idx="266">
                  <c:v>158.68811493031328</c:v>
                </c:pt>
                <c:pt idx="267">
                  <c:v>158.90809750738185</c:v>
                </c:pt>
                <c:pt idx="268">
                  <c:v>159.12700410477089</c:v>
                </c:pt>
                <c:pt idx="269">
                  <c:v>159.34484259747555</c:v>
                </c:pt>
                <c:pt idx="270">
                  <c:v>159.56162078382965</c:v>
                </c:pt>
                <c:pt idx="271">
                  <c:v>159.77734638643602</c:v>
                </c:pt>
                <c:pt idx="272">
                  <c:v>159.99202705308377</c:v>
                </c:pt>
                <c:pt idx="273">
                  <c:v>160.20567035765202</c:v>
                </c:pt>
                <c:pt idx="274">
                  <c:v>160.41828380100046</c:v>
                </c:pt>
                <c:pt idx="275">
                  <c:v>160.6298748118474</c:v>
                </c:pt>
                <c:pt idx="276">
                  <c:v>160.84045074763489</c:v>
                </c:pt>
                <c:pt idx="277">
                  <c:v>161.0500188953815</c:v>
                </c:pt>
                <c:pt idx="278">
                  <c:v>161.25858647252298</c:v>
                </c:pt>
                <c:pt idx="279">
                  <c:v>161.46616062774069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87-48A7-9C91-D391A30EAAFC}"/>
            </c:ext>
          </c:extLst>
        </c:ser>
        <c:ser>
          <c:idx val="2"/>
          <c:order val="2"/>
          <c:tx>
            <c:strRef>
              <c:f>'nph14260-supp-002'!$D$78</c:f>
              <c:strCache>
                <c:ptCount val="1"/>
                <c:pt idx="0">
                  <c:v>RuBP</c:v>
                </c:pt>
              </c:strCache>
            </c:strRef>
          </c:tx>
          <c:spPr>
            <a:ln w="2540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bg2">
                  <a:lumMod val="10000"/>
                </a:schemeClr>
              </a:solidFill>
              <a:ln w="9525">
                <a:solidFill>
                  <a:schemeClr val="tx1">
                    <a:lumMod val="95000"/>
                    <a:lumOff val="5000"/>
                  </a:schemeClr>
                </a:solidFill>
              </a:ln>
              <a:effectLst/>
            </c:spPr>
          </c:marker>
          <c:xVal>
            <c:numRef>
              <c:f>'nph14260-supp-002'!$B$79:$B$358</c:f>
              <c:numCache>
                <c:formatCode>General</c:formatCode>
                <c:ptCount val="280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  <c:pt idx="17">
                  <c:v>95</c:v>
                </c:pt>
                <c:pt idx="18">
                  <c:v>100</c:v>
                </c:pt>
                <c:pt idx="19">
                  <c:v>105</c:v>
                </c:pt>
                <c:pt idx="20">
                  <c:v>110</c:v>
                </c:pt>
                <c:pt idx="21">
                  <c:v>115</c:v>
                </c:pt>
                <c:pt idx="22">
                  <c:v>120</c:v>
                </c:pt>
                <c:pt idx="23">
                  <c:v>125</c:v>
                </c:pt>
                <c:pt idx="24">
                  <c:v>130</c:v>
                </c:pt>
                <c:pt idx="25">
                  <c:v>135</c:v>
                </c:pt>
                <c:pt idx="26">
                  <c:v>140</c:v>
                </c:pt>
                <c:pt idx="27">
                  <c:v>145</c:v>
                </c:pt>
                <c:pt idx="28">
                  <c:v>150</c:v>
                </c:pt>
                <c:pt idx="29">
                  <c:v>155</c:v>
                </c:pt>
                <c:pt idx="30">
                  <c:v>160</c:v>
                </c:pt>
                <c:pt idx="31">
                  <c:v>165</c:v>
                </c:pt>
                <c:pt idx="32">
                  <c:v>170</c:v>
                </c:pt>
                <c:pt idx="33">
                  <c:v>175</c:v>
                </c:pt>
                <c:pt idx="34">
                  <c:v>180</c:v>
                </c:pt>
                <c:pt idx="35">
                  <c:v>185</c:v>
                </c:pt>
                <c:pt idx="36">
                  <c:v>190</c:v>
                </c:pt>
                <c:pt idx="37">
                  <c:v>195</c:v>
                </c:pt>
                <c:pt idx="38">
                  <c:v>200</c:v>
                </c:pt>
                <c:pt idx="39">
                  <c:v>205</c:v>
                </c:pt>
                <c:pt idx="40">
                  <c:v>210</c:v>
                </c:pt>
                <c:pt idx="41">
                  <c:v>215</c:v>
                </c:pt>
                <c:pt idx="42">
                  <c:v>220</c:v>
                </c:pt>
                <c:pt idx="43">
                  <c:v>225</c:v>
                </c:pt>
                <c:pt idx="44">
                  <c:v>230</c:v>
                </c:pt>
                <c:pt idx="45">
                  <c:v>235</c:v>
                </c:pt>
                <c:pt idx="46">
                  <c:v>240</c:v>
                </c:pt>
                <c:pt idx="47">
                  <c:v>245</c:v>
                </c:pt>
                <c:pt idx="48">
                  <c:v>250</c:v>
                </c:pt>
                <c:pt idx="49">
                  <c:v>255</c:v>
                </c:pt>
                <c:pt idx="50">
                  <c:v>260</c:v>
                </c:pt>
                <c:pt idx="51">
                  <c:v>265</c:v>
                </c:pt>
                <c:pt idx="52">
                  <c:v>270</c:v>
                </c:pt>
                <c:pt idx="53">
                  <c:v>275</c:v>
                </c:pt>
                <c:pt idx="54">
                  <c:v>280</c:v>
                </c:pt>
                <c:pt idx="55">
                  <c:v>285</c:v>
                </c:pt>
                <c:pt idx="56">
                  <c:v>290</c:v>
                </c:pt>
                <c:pt idx="57">
                  <c:v>295</c:v>
                </c:pt>
                <c:pt idx="58">
                  <c:v>300</c:v>
                </c:pt>
                <c:pt idx="59">
                  <c:v>305</c:v>
                </c:pt>
                <c:pt idx="60">
                  <c:v>310</c:v>
                </c:pt>
                <c:pt idx="61">
                  <c:v>315</c:v>
                </c:pt>
                <c:pt idx="62">
                  <c:v>320</c:v>
                </c:pt>
                <c:pt idx="63">
                  <c:v>325</c:v>
                </c:pt>
                <c:pt idx="64">
                  <c:v>330</c:v>
                </c:pt>
                <c:pt idx="65">
                  <c:v>335</c:v>
                </c:pt>
                <c:pt idx="66">
                  <c:v>340</c:v>
                </c:pt>
                <c:pt idx="67">
                  <c:v>345</c:v>
                </c:pt>
                <c:pt idx="68">
                  <c:v>350</c:v>
                </c:pt>
                <c:pt idx="69">
                  <c:v>355</c:v>
                </c:pt>
                <c:pt idx="70">
                  <c:v>360</c:v>
                </c:pt>
                <c:pt idx="71">
                  <c:v>365</c:v>
                </c:pt>
                <c:pt idx="72">
                  <c:v>370</c:v>
                </c:pt>
                <c:pt idx="73">
                  <c:v>375</c:v>
                </c:pt>
                <c:pt idx="74">
                  <c:v>380</c:v>
                </c:pt>
                <c:pt idx="75">
                  <c:v>385</c:v>
                </c:pt>
                <c:pt idx="76">
                  <c:v>390</c:v>
                </c:pt>
                <c:pt idx="77">
                  <c:v>395</c:v>
                </c:pt>
                <c:pt idx="78">
                  <c:v>400</c:v>
                </c:pt>
                <c:pt idx="79">
                  <c:v>405</c:v>
                </c:pt>
                <c:pt idx="80">
                  <c:v>410</c:v>
                </c:pt>
                <c:pt idx="81">
                  <c:v>415</c:v>
                </c:pt>
                <c:pt idx="82">
                  <c:v>420</c:v>
                </c:pt>
                <c:pt idx="83">
                  <c:v>425</c:v>
                </c:pt>
                <c:pt idx="84">
                  <c:v>430</c:v>
                </c:pt>
                <c:pt idx="85">
                  <c:v>435</c:v>
                </c:pt>
                <c:pt idx="86">
                  <c:v>440</c:v>
                </c:pt>
                <c:pt idx="87">
                  <c:v>445</c:v>
                </c:pt>
                <c:pt idx="88">
                  <c:v>450</c:v>
                </c:pt>
                <c:pt idx="89">
                  <c:v>455</c:v>
                </c:pt>
                <c:pt idx="90">
                  <c:v>460</c:v>
                </c:pt>
                <c:pt idx="91">
                  <c:v>465</c:v>
                </c:pt>
                <c:pt idx="92">
                  <c:v>470</c:v>
                </c:pt>
                <c:pt idx="93">
                  <c:v>475</c:v>
                </c:pt>
                <c:pt idx="94">
                  <c:v>480</c:v>
                </c:pt>
                <c:pt idx="95">
                  <c:v>485</c:v>
                </c:pt>
                <c:pt idx="96">
                  <c:v>490</c:v>
                </c:pt>
                <c:pt idx="97">
                  <c:v>495</c:v>
                </c:pt>
                <c:pt idx="98">
                  <c:v>500</c:v>
                </c:pt>
                <c:pt idx="99">
                  <c:v>505</c:v>
                </c:pt>
                <c:pt idx="100">
                  <c:v>510</c:v>
                </c:pt>
                <c:pt idx="101">
                  <c:v>515</c:v>
                </c:pt>
                <c:pt idx="102">
                  <c:v>520</c:v>
                </c:pt>
                <c:pt idx="103">
                  <c:v>525</c:v>
                </c:pt>
                <c:pt idx="104">
                  <c:v>530</c:v>
                </c:pt>
                <c:pt idx="105">
                  <c:v>535</c:v>
                </c:pt>
                <c:pt idx="106">
                  <c:v>540</c:v>
                </c:pt>
                <c:pt idx="107">
                  <c:v>545</c:v>
                </c:pt>
                <c:pt idx="108">
                  <c:v>550</c:v>
                </c:pt>
                <c:pt idx="109">
                  <c:v>555</c:v>
                </c:pt>
                <c:pt idx="110">
                  <c:v>560</c:v>
                </c:pt>
                <c:pt idx="111">
                  <c:v>565</c:v>
                </c:pt>
                <c:pt idx="112">
                  <c:v>570</c:v>
                </c:pt>
                <c:pt idx="113">
                  <c:v>575</c:v>
                </c:pt>
                <c:pt idx="114">
                  <c:v>580</c:v>
                </c:pt>
                <c:pt idx="115">
                  <c:v>585</c:v>
                </c:pt>
                <c:pt idx="116">
                  <c:v>590</c:v>
                </c:pt>
                <c:pt idx="117">
                  <c:v>595</c:v>
                </c:pt>
                <c:pt idx="118">
                  <c:v>600</c:v>
                </c:pt>
                <c:pt idx="119">
                  <c:v>605</c:v>
                </c:pt>
                <c:pt idx="120">
                  <c:v>610</c:v>
                </c:pt>
                <c:pt idx="121">
                  <c:v>615</c:v>
                </c:pt>
                <c:pt idx="122">
                  <c:v>620</c:v>
                </c:pt>
                <c:pt idx="123">
                  <c:v>625</c:v>
                </c:pt>
                <c:pt idx="124">
                  <c:v>630</c:v>
                </c:pt>
                <c:pt idx="125">
                  <c:v>635</c:v>
                </c:pt>
                <c:pt idx="126">
                  <c:v>640</c:v>
                </c:pt>
                <c:pt idx="127">
                  <c:v>645</c:v>
                </c:pt>
                <c:pt idx="128">
                  <c:v>650</c:v>
                </c:pt>
                <c:pt idx="129">
                  <c:v>655</c:v>
                </c:pt>
                <c:pt idx="130">
                  <c:v>660</c:v>
                </c:pt>
                <c:pt idx="131">
                  <c:v>665</c:v>
                </c:pt>
                <c:pt idx="132">
                  <c:v>670</c:v>
                </c:pt>
                <c:pt idx="133">
                  <c:v>675</c:v>
                </c:pt>
                <c:pt idx="134">
                  <c:v>680</c:v>
                </c:pt>
                <c:pt idx="135">
                  <c:v>685</c:v>
                </c:pt>
                <c:pt idx="136">
                  <c:v>690</c:v>
                </c:pt>
                <c:pt idx="137">
                  <c:v>695</c:v>
                </c:pt>
                <c:pt idx="138">
                  <c:v>700</c:v>
                </c:pt>
                <c:pt idx="139">
                  <c:v>705</c:v>
                </c:pt>
                <c:pt idx="140">
                  <c:v>710</c:v>
                </c:pt>
                <c:pt idx="141">
                  <c:v>715</c:v>
                </c:pt>
                <c:pt idx="142">
                  <c:v>720</c:v>
                </c:pt>
                <c:pt idx="143">
                  <c:v>725</c:v>
                </c:pt>
                <c:pt idx="144">
                  <c:v>730</c:v>
                </c:pt>
                <c:pt idx="145">
                  <c:v>735</c:v>
                </c:pt>
                <c:pt idx="146">
                  <c:v>740</c:v>
                </c:pt>
                <c:pt idx="147">
                  <c:v>745</c:v>
                </c:pt>
                <c:pt idx="148">
                  <c:v>750</c:v>
                </c:pt>
                <c:pt idx="149">
                  <c:v>755</c:v>
                </c:pt>
                <c:pt idx="150">
                  <c:v>760</c:v>
                </c:pt>
                <c:pt idx="151">
                  <c:v>765</c:v>
                </c:pt>
                <c:pt idx="152">
                  <c:v>770</c:v>
                </c:pt>
                <c:pt idx="153">
                  <c:v>775</c:v>
                </c:pt>
                <c:pt idx="154">
                  <c:v>780</c:v>
                </c:pt>
                <c:pt idx="155">
                  <c:v>785</c:v>
                </c:pt>
                <c:pt idx="156">
                  <c:v>790</c:v>
                </c:pt>
                <c:pt idx="157">
                  <c:v>795</c:v>
                </c:pt>
                <c:pt idx="158">
                  <c:v>800</c:v>
                </c:pt>
                <c:pt idx="159">
                  <c:v>805</c:v>
                </c:pt>
                <c:pt idx="160">
                  <c:v>810</c:v>
                </c:pt>
                <c:pt idx="161">
                  <c:v>815</c:v>
                </c:pt>
                <c:pt idx="162">
                  <c:v>820</c:v>
                </c:pt>
                <c:pt idx="163">
                  <c:v>825</c:v>
                </c:pt>
                <c:pt idx="164">
                  <c:v>830</c:v>
                </c:pt>
                <c:pt idx="165">
                  <c:v>835</c:v>
                </c:pt>
                <c:pt idx="166">
                  <c:v>840</c:v>
                </c:pt>
                <c:pt idx="167">
                  <c:v>845</c:v>
                </c:pt>
                <c:pt idx="168">
                  <c:v>850</c:v>
                </c:pt>
                <c:pt idx="169">
                  <c:v>855</c:v>
                </c:pt>
                <c:pt idx="170">
                  <c:v>860</c:v>
                </c:pt>
                <c:pt idx="171">
                  <c:v>865</c:v>
                </c:pt>
                <c:pt idx="172">
                  <c:v>870</c:v>
                </c:pt>
                <c:pt idx="173">
                  <c:v>875</c:v>
                </c:pt>
                <c:pt idx="174">
                  <c:v>880</c:v>
                </c:pt>
                <c:pt idx="175">
                  <c:v>885</c:v>
                </c:pt>
                <c:pt idx="176">
                  <c:v>890</c:v>
                </c:pt>
                <c:pt idx="177">
                  <c:v>895</c:v>
                </c:pt>
                <c:pt idx="178">
                  <c:v>900</c:v>
                </c:pt>
                <c:pt idx="179">
                  <c:v>905</c:v>
                </c:pt>
                <c:pt idx="180">
                  <c:v>910</c:v>
                </c:pt>
                <c:pt idx="181">
                  <c:v>915</c:v>
                </c:pt>
                <c:pt idx="182">
                  <c:v>920</c:v>
                </c:pt>
                <c:pt idx="183">
                  <c:v>925</c:v>
                </c:pt>
                <c:pt idx="184">
                  <c:v>930</c:v>
                </c:pt>
                <c:pt idx="185">
                  <c:v>935</c:v>
                </c:pt>
                <c:pt idx="186">
                  <c:v>940</c:v>
                </c:pt>
                <c:pt idx="187">
                  <c:v>945</c:v>
                </c:pt>
                <c:pt idx="188">
                  <c:v>950</c:v>
                </c:pt>
                <c:pt idx="189">
                  <c:v>955</c:v>
                </c:pt>
                <c:pt idx="190">
                  <c:v>960</c:v>
                </c:pt>
                <c:pt idx="191">
                  <c:v>965</c:v>
                </c:pt>
                <c:pt idx="192">
                  <c:v>970</c:v>
                </c:pt>
                <c:pt idx="193">
                  <c:v>975</c:v>
                </c:pt>
                <c:pt idx="194">
                  <c:v>980</c:v>
                </c:pt>
                <c:pt idx="195">
                  <c:v>985</c:v>
                </c:pt>
                <c:pt idx="196">
                  <c:v>990</c:v>
                </c:pt>
                <c:pt idx="197">
                  <c:v>995</c:v>
                </c:pt>
                <c:pt idx="198">
                  <c:v>1000</c:v>
                </c:pt>
                <c:pt idx="199">
                  <c:v>1005</c:v>
                </c:pt>
                <c:pt idx="200">
                  <c:v>1010</c:v>
                </c:pt>
                <c:pt idx="201">
                  <c:v>1015</c:v>
                </c:pt>
                <c:pt idx="202">
                  <c:v>1020</c:v>
                </c:pt>
                <c:pt idx="203">
                  <c:v>1025</c:v>
                </c:pt>
                <c:pt idx="204">
                  <c:v>1030</c:v>
                </c:pt>
                <c:pt idx="205">
                  <c:v>1035</c:v>
                </c:pt>
                <c:pt idx="206">
                  <c:v>1040</c:v>
                </c:pt>
                <c:pt idx="207">
                  <c:v>1045</c:v>
                </c:pt>
                <c:pt idx="208">
                  <c:v>1050</c:v>
                </c:pt>
                <c:pt idx="209">
                  <c:v>1055</c:v>
                </c:pt>
                <c:pt idx="210">
                  <c:v>1060</c:v>
                </c:pt>
                <c:pt idx="211">
                  <c:v>1065</c:v>
                </c:pt>
                <c:pt idx="212">
                  <c:v>1070</c:v>
                </c:pt>
                <c:pt idx="213">
                  <c:v>1075</c:v>
                </c:pt>
                <c:pt idx="214">
                  <c:v>1080</c:v>
                </c:pt>
                <c:pt idx="215">
                  <c:v>1085</c:v>
                </c:pt>
                <c:pt idx="216">
                  <c:v>1090</c:v>
                </c:pt>
                <c:pt idx="217">
                  <c:v>1095</c:v>
                </c:pt>
                <c:pt idx="218">
                  <c:v>1100</c:v>
                </c:pt>
                <c:pt idx="219">
                  <c:v>1105</c:v>
                </c:pt>
                <c:pt idx="220">
                  <c:v>1110</c:v>
                </c:pt>
                <c:pt idx="221">
                  <c:v>1115</c:v>
                </c:pt>
                <c:pt idx="222">
                  <c:v>1120</c:v>
                </c:pt>
                <c:pt idx="223">
                  <c:v>1125</c:v>
                </c:pt>
                <c:pt idx="224">
                  <c:v>1130</c:v>
                </c:pt>
                <c:pt idx="225">
                  <c:v>1135</c:v>
                </c:pt>
                <c:pt idx="226">
                  <c:v>1140</c:v>
                </c:pt>
                <c:pt idx="227">
                  <c:v>1145</c:v>
                </c:pt>
                <c:pt idx="228">
                  <c:v>1150</c:v>
                </c:pt>
                <c:pt idx="229">
                  <c:v>1155</c:v>
                </c:pt>
                <c:pt idx="230">
                  <c:v>1160</c:v>
                </c:pt>
                <c:pt idx="231">
                  <c:v>1165</c:v>
                </c:pt>
                <c:pt idx="232">
                  <c:v>1170</c:v>
                </c:pt>
                <c:pt idx="233">
                  <c:v>1175</c:v>
                </c:pt>
                <c:pt idx="234">
                  <c:v>1180</c:v>
                </c:pt>
                <c:pt idx="235">
                  <c:v>1185</c:v>
                </c:pt>
                <c:pt idx="236">
                  <c:v>1190</c:v>
                </c:pt>
                <c:pt idx="237">
                  <c:v>1195</c:v>
                </c:pt>
                <c:pt idx="238">
                  <c:v>1200</c:v>
                </c:pt>
                <c:pt idx="239">
                  <c:v>1205</c:v>
                </c:pt>
                <c:pt idx="240">
                  <c:v>1210</c:v>
                </c:pt>
                <c:pt idx="241">
                  <c:v>1215</c:v>
                </c:pt>
                <c:pt idx="242">
                  <c:v>1220</c:v>
                </c:pt>
                <c:pt idx="243">
                  <c:v>1225</c:v>
                </c:pt>
                <c:pt idx="244">
                  <c:v>1230</c:v>
                </c:pt>
                <c:pt idx="245">
                  <c:v>1235</c:v>
                </c:pt>
                <c:pt idx="246">
                  <c:v>1240</c:v>
                </c:pt>
                <c:pt idx="247">
                  <c:v>1245</c:v>
                </c:pt>
                <c:pt idx="248">
                  <c:v>1250</c:v>
                </c:pt>
                <c:pt idx="249">
                  <c:v>1255</c:v>
                </c:pt>
                <c:pt idx="250">
                  <c:v>1260</c:v>
                </c:pt>
                <c:pt idx="251">
                  <c:v>1265</c:v>
                </c:pt>
                <c:pt idx="252">
                  <c:v>1270</c:v>
                </c:pt>
                <c:pt idx="253">
                  <c:v>1275</c:v>
                </c:pt>
                <c:pt idx="254">
                  <c:v>1280</c:v>
                </c:pt>
                <c:pt idx="255">
                  <c:v>1285</c:v>
                </c:pt>
                <c:pt idx="256">
                  <c:v>1290</c:v>
                </c:pt>
                <c:pt idx="257">
                  <c:v>1295</c:v>
                </c:pt>
                <c:pt idx="258">
                  <c:v>1300</c:v>
                </c:pt>
                <c:pt idx="259">
                  <c:v>1305</c:v>
                </c:pt>
                <c:pt idx="260">
                  <c:v>1310</c:v>
                </c:pt>
                <c:pt idx="261">
                  <c:v>1315</c:v>
                </c:pt>
                <c:pt idx="262">
                  <c:v>1320</c:v>
                </c:pt>
                <c:pt idx="263">
                  <c:v>1325</c:v>
                </c:pt>
                <c:pt idx="264">
                  <c:v>1330</c:v>
                </c:pt>
                <c:pt idx="265">
                  <c:v>1335</c:v>
                </c:pt>
                <c:pt idx="266">
                  <c:v>1340</c:v>
                </c:pt>
                <c:pt idx="267">
                  <c:v>1345</c:v>
                </c:pt>
                <c:pt idx="268">
                  <c:v>1350</c:v>
                </c:pt>
                <c:pt idx="269">
                  <c:v>1355</c:v>
                </c:pt>
                <c:pt idx="270">
                  <c:v>1360</c:v>
                </c:pt>
                <c:pt idx="271">
                  <c:v>1365</c:v>
                </c:pt>
                <c:pt idx="272">
                  <c:v>1370</c:v>
                </c:pt>
                <c:pt idx="273">
                  <c:v>1375</c:v>
                </c:pt>
                <c:pt idx="274">
                  <c:v>1380</c:v>
                </c:pt>
                <c:pt idx="275">
                  <c:v>1385</c:v>
                </c:pt>
                <c:pt idx="276">
                  <c:v>1390</c:v>
                </c:pt>
                <c:pt idx="277">
                  <c:v>1395</c:v>
                </c:pt>
                <c:pt idx="278">
                  <c:v>1400</c:v>
                </c:pt>
                <c:pt idx="279">
                  <c:v>1405</c:v>
                </c:pt>
              </c:numCache>
            </c:numRef>
          </c:xVal>
          <c:yVal>
            <c:numRef>
              <c:f>'nph14260-supp-002'!$D$79:$D$358</c:f>
              <c:numCache>
                <c:formatCode>0.00</c:formatCode>
                <c:ptCount val="280"/>
                <c:pt idx="0">
                  <c:v>-22.77875181877662</c:v>
                </c:pt>
                <c:pt idx="1">
                  <c:v>-18.03656460988995</c:v>
                </c:pt>
                <c:pt idx="2">
                  <c:v>-13.764991913022186</c:v>
                </c:pt>
                <c:pt idx="3">
                  <c:v>-9.8972899013891631</c:v>
                </c:pt>
                <c:pt idx="4">
                  <c:v>-6.3787660845720735</c:v>
                </c:pt>
                <c:pt idx="5">
                  <c:v>-3.164176784500996</c:v>
                </c:pt>
                <c:pt idx="6">
                  <c:v>-0.21577111638532384</c:v>
                </c:pt>
                <c:pt idx="7">
                  <c:v>2.4981984444635841</c:v>
                </c:pt>
                <c:pt idx="8">
                  <c:v>5.0046237934863571</c:v>
                </c:pt>
                <c:pt idx="9">
                  <c:v>7.326435315166413</c:v>
                </c:pt>
                <c:pt idx="10">
                  <c:v>9.4833054469468436</c:v>
                </c:pt>
                <c:pt idx="11">
                  <c:v>11.492207442995049</c:v>
                </c:pt>
                <c:pt idx="12">
                  <c:v>13.367862952889617</c:v>
                </c:pt>
                <c:pt idx="13">
                  <c:v>15.123103398097461</c:v>
                </c:pt>
                <c:pt idx="14">
                  <c:v>16.769163913145519</c:v>
                </c:pt>
                <c:pt idx="15">
                  <c:v>18.315924089857916</c:v>
                </c:pt>
                <c:pt idx="16">
                  <c:v>19.772106427849739</c:v>
                </c:pt>
                <c:pt idx="17">
                  <c:v>21.145440913169342</c:v>
                </c:pt>
                <c:pt idx="18">
                  <c:v>22.442802283378814</c:v>
                </c:pt>
                <c:pt idx="19">
                  <c:v>23.670325125199589</c:v>
                </c:pt>
                <c:pt idx="20">
                  <c:v>24.833500871804478</c:v>
                </c:pt>
                <c:pt idx="21">
                  <c:v>25.937259935827985</c:v>
                </c:pt>
                <c:pt idx="22">
                  <c:v>26.986041569421435</c:v>
                </c:pt>
                <c:pt idx="23">
                  <c:v>27.983853538936494</c:v>
                </c:pt>
                <c:pt idx="24">
                  <c:v>28.934323305630738</c:v>
                </c:pt>
                <c:pt idx="25">
                  <c:v>29.840742090227824</c:v>
                </c:pt>
                <c:pt idx="26">
                  <c:v>30.706102949518943</c:v>
                </c:pt>
                <c:pt idx="27">
                  <c:v>31.533133793306067</c:v>
                </c:pt>
                <c:pt idx="28">
                  <c:v>32.324326109079749</c:v>
                </c:pt>
                <c:pt idx="29">
                  <c:v>33.081960031628412</c:v>
                </c:pt>
                <c:pt idx="30">
                  <c:v>33.808126288914437</c:v>
                </c:pt>
                <c:pt idx="31">
                  <c:v>34.504745469074166</c:v>
                </c:pt>
                <c:pt idx="32">
                  <c:v>35.173584982438918</c:v>
                </c:pt>
                <c:pt idx="33">
                  <c:v>35.816274033999427</c:v>
                </c:pt>
                <c:pt idx="34">
                  <c:v>36.434316873352124</c:v>
                </c:pt>
                <c:pt idx="35">
                  <c:v>37.029104548973947</c:v>
                </c:pt>
                <c:pt idx="36">
                  <c:v>37.601925360160664</c:v>
                </c:pt>
                <c:pt idx="37">
                  <c:v>38.15397417192036</c:v>
                </c:pt>
                <c:pt idx="38">
                  <c:v>38.686360734564929</c:v>
                </c:pt>
                <c:pt idx="39">
                  <c:v>39.200117129902083</c:v>
                </c:pt>
                <c:pt idx="40">
                  <c:v>39.696204449160582</c:v>
                </c:pt>
                <c:pt idx="41">
                  <c:v>40.175518793562802</c:v>
                </c:pt>
                <c:pt idx="42">
                  <c:v>40.638896676368127</c:v>
                </c:pt>
                <c:pt idx="43">
                  <c:v>41.087119894898521</c:v>
                </c:pt>
                <c:pt idx="44">
                  <c:v>41.52091993223987</c:v>
                </c:pt>
                <c:pt idx="45">
                  <c:v>41.940981940750227</c:v>
                </c:pt>
                <c:pt idx="46">
                  <c:v>42.347948353005947</c:v>
                </c:pt>
                <c:pt idx="47">
                  <c:v>42.742422160213273</c:v>
                </c:pt>
                <c:pt idx="48">
                  <c:v>43.124969893272564</c:v>
                </c:pt>
                <c:pt idx="49">
                  <c:v>43.496124337490471</c:v>
                </c:pt>
                <c:pt idx="50">
                  <c:v>43.856387008297041</c:v>
                </c:pt>
                <c:pt idx="51">
                  <c:v>44.206230412159883</c:v>
                </c:pt>
                <c:pt idx="52">
                  <c:v>44.546100114128834</c:v>
                </c:pt>
                <c:pt idx="53">
                  <c:v>44.876416631034623</c:v>
                </c:pt>
                <c:pt idx="54">
                  <c:v>45.197577167255943</c:v>
                </c:pt>
                <c:pt idx="55">
                  <c:v>45.509957208119438</c:v>
                </c:pt>
                <c:pt idx="56">
                  <c:v>45.813911984371913</c:v>
                </c:pt>
                <c:pt idx="57">
                  <c:v>46.109777819733651</c:v>
                </c:pt>
                <c:pt idx="58">
                  <c:v>46.397873372279797</c:v>
                </c:pt>
                <c:pt idx="59">
                  <c:v>46.678500779282842</c:v>
                </c:pt>
                <c:pt idx="60">
                  <c:v>46.951946714162908</c:v>
                </c:pt>
                <c:pt idx="61">
                  <c:v>47.218483363318605</c:v>
                </c:pt>
                <c:pt idx="62">
                  <c:v>47.478369329835608</c:v>
                </c:pt>
                <c:pt idx="63">
                  <c:v>47.73185047038023</c:v>
                </c:pt>
                <c:pt idx="64">
                  <c:v>47.979160670970991</c:v>
                </c:pt>
                <c:pt idx="65">
                  <c:v>48.220522566773703</c:v>
                </c:pt>
                <c:pt idx="66">
                  <c:v>48.456148210576103</c:v>
                </c:pt>
                <c:pt idx="67">
                  <c:v>48.686239694160975</c:v>
                </c:pt>
                <c:pt idx="68">
                  <c:v>48.910989726404722</c:v>
                </c:pt>
                <c:pt idx="69">
                  <c:v>49.130582171577167</c:v>
                </c:pt>
                <c:pt idx="70">
                  <c:v>49.34519255100281</c:v>
                </c:pt>
                <c:pt idx="71">
                  <c:v>49.554988510960357</c:v>
                </c:pt>
                <c:pt idx="72">
                  <c:v>49.760130259441972</c:v>
                </c:pt>
                <c:pt idx="73">
                  <c:v>49.960770974163545</c:v>
                </c:pt>
                <c:pt idx="74">
                  <c:v>50.157057184009915</c:v>
                </c:pt>
                <c:pt idx="75">
                  <c:v>50.349129125911062</c:v>
                </c:pt>
                <c:pt idx="76">
                  <c:v>50.537121078976156</c:v>
                </c:pt>
                <c:pt idx="77">
                  <c:v>50.721161677558271</c:v>
                </c:pt>
                <c:pt idx="78">
                  <c:v>50.901374204783785</c:v>
                </c:pt>
                <c:pt idx="79">
                  <c:v>51.077876867953933</c:v>
                </c:pt>
                <c:pt idx="80">
                  <c:v>51.250783057111335</c:v>
                </c:pt>
                <c:pt idx="81">
                  <c:v>51.420201587960037</c:v>
                </c:pt>
                <c:pt idx="82">
                  <c:v>51.58623693023268</c:v>
                </c:pt>
                <c:pt idx="83">
                  <c:v>51.748989422511769</c:v>
                </c:pt>
                <c:pt idx="84">
                  <c:v>51.90855547443347</c:v>
                </c:pt>
                <c:pt idx="85">
                  <c:v>52.065027757129847</c:v>
                </c:pt>
                <c:pt idx="86">
                  <c:v>52.218495382700389</c:v>
                </c:pt>
                <c:pt idx="87">
                  <c:v>52.369044073442858</c:v>
                </c:pt>
                <c:pt idx="88">
                  <c:v>52.516756321518898</c:v>
                </c:pt>
                <c:pt idx="89">
                  <c:v>52.661711539679182</c:v>
                </c:pt>
                <c:pt idx="90">
                  <c:v>52.803986203626849</c:v>
                </c:pt>
                <c:pt idx="91">
                  <c:v>52.94365398655539</c:v>
                </c:pt>
                <c:pt idx="92">
                  <c:v>53.080785886358321</c:v>
                </c:pt>
                <c:pt idx="93">
                  <c:v>53.215450345972144</c:v>
                </c:pt>
                <c:pt idx="94">
                  <c:v>53.347713367281109</c:v>
                </c:pt>
                <c:pt idx="95">
                  <c:v>53.477638618982205</c:v>
                </c:pt>
                <c:pt idx="96">
                  <c:v>53.605287538780608</c:v>
                </c:pt>
                <c:pt idx="97">
                  <c:v>53.730719430260315</c:v>
                </c:pt>
                <c:pt idx="98">
                  <c:v>53.853991554750806</c:v>
                </c:pt>
                <c:pt idx="99">
                  <c:v>53.97515921848877</c:v>
                </c:pt>
                <c:pt idx="100">
                  <c:v>54.094275855353644</c:v>
                </c:pt>
                <c:pt idx="101">
                  <c:v>54.211393105436933</c:v>
                </c:pt>
                <c:pt idx="102">
                  <c:v>54.326560889688118</c:v>
                </c:pt>
                <c:pt idx="103">
                  <c:v>54.439827480863741</c:v>
                </c:pt>
                <c:pt idx="104">
                  <c:v>54.551239570991633</c:v>
                </c:pt>
                <c:pt idx="105">
                  <c:v>54.660842335548203</c:v>
                </c:pt>
                <c:pt idx="106">
                  <c:v>54.768679494534332</c:v>
                </c:pt>
                <c:pt idx="107">
                  <c:v>54.874793370623081</c:v>
                </c:pt>
                <c:pt idx="108">
                  <c:v>54.979224944541919</c:v>
                </c:pt>
                <c:pt idx="109">
                  <c:v>55.082013907841564</c:v>
                </c:pt>
                <c:pt idx="110">
                  <c:v>55.183198713194294</c:v>
                </c:pt>
                <c:pt idx="111">
                  <c:v>55.282816622355483</c:v>
                </c:pt>
                <c:pt idx="112">
                  <c:v>55.380903751914261</c:v>
                </c:pt>
                <c:pt idx="113">
                  <c:v>55.47749511695104</c:v>
                </c:pt>
                <c:pt idx="114">
                  <c:v>55.572624672713033</c:v>
                </c:pt>
                <c:pt idx="115">
                  <c:v>55.666325354411711</c:v>
                </c:pt>
                <c:pt idx="116">
                  <c:v>55.758629115240431</c:v>
                </c:pt>
                <c:pt idx="117">
                  <c:v>55.84956696270423</c:v>
                </c:pt>
                <c:pt idx="118">
                  <c:v>55.939168993348673</c:v>
                </c:pt>
                <c:pt idx="119">
                  <c:v>56.02746442596942</c:v>
                </c:pt>
                <c:pt idx="120">
                  <c:v>56.114481633379505</c:v>
                </c:pt>
                <c:pt idx="121">
                  <c:v>56.200248172806866</c:v>
                </c:pt>
                <c:pt idx="122">
                  <c:v>56.284790814990522</c:v>
                </c:pt>
                <c:pt idx="123">
                  <c:v>56.368135572040039</c:v>
                </c:pt>
                <c:pt idx="124">
                  <c:v>56.450307724119035</c:v>
                </c:pt>
                <c:pt idx="125">
                  <c:v>56.531331845010278</c:v>
                </c:pt>
                <c:pt idx="126">
                  <c:v>56.611231826616773</c:v>
                </c:pt>
                <c:pt idx="127">
                  <c:v>56.690030902450033</c:v>
                </c:pt>
                <c:pt idx="128">
                  <c:v>56.767751670154105</c:v>
                </c:pt>
                <c:pt idx="129">
                  <c:v>56.844416113111215</c:v>
                </c:pt>
                <c:pt idx="130">
                  <c:v>56.920045621172378</c:v>
                </c:pt>
                <c:pt idx="131">
                  <c:v>56.994661010554104</c:v>
                </c:pt>
                <c:pt idx="132">
                  <c:v>57.068282542940054</c:v>
                </c:pt>
                <c:pt idx="133">
                  <c:v>57.140929943824467</c:v>
                </c:pt>
                <c:pt idx="134">
                  <c:v>57.212622420132156</c:v>
                </c:pt>
                <c:pt idx="135">
                  <c:v>57.28337867714832</c:v>
                </c:pt>
                <c:pt idx="136">
                  <c:v>57.353216934789351</c:v>
                </c:pt>
                <c:pt idx="137">
                  <c:v>57.422154943244436</c:v>
                </c:pt>
                <c:pt idx="138">
                  <c:v>57.490209998016134</c:v>
                </c:pt>
                <c:pt idx="139">
                  <c:v>57.557398954386741</c:v>
                </c:pt>
                <c:pt idx="140">
                  <c:v>57.623738241335836</c:v>
                </c:pt>
                <c:pt idx="141">
                  <c:v>57.689243874933062</c:v>
                </c:pt>
                <c:pt idx="142">
                  <c:v>57.753931471229329</c:v>
                </c:pt>
                <c:pt idx="143">
                  <c:v>57.81781625866784</c:v>
                </c:pt>
                <c:pt idx="144">
                  <c:v>57.880913090036032</c:v>
                </c:pt>
                <c:pt idx="145">
                  <c:v>57.943236453977967</c:v>
                </c:pt>
                <c:pt idx="146">
                  <c:v>58.004800486085877</c:v>
                </c:pt>
                <c:pt idx="147">
                  <c:v>58.065618979588784</c:v>
                </c:pt>
                <c:pt idx="148">
                  <c:v>58.125705395655139</c:v>
                </c:pt>
                <c:pt idx="149">
                  <c:v>58.185072873325645</c:v>
                </c:pt>
                <c:pt idx="150">
                  <c:v>58.243734239091687</c:v>
                </c:pt>
                <c:pt idx="151">
                  <c:v>58.301702016133909</c:v>
                </c:pt>
                <c:pt idx="152">
                  <c:v>58.358988433235197</c:v>
                </c:pt>
                <c:pt idx="153">
                  <c:v>58.415605433380989</c:v>
                </c:pt>
                <c:pt idx="154">
                  <c:v>58.471564682059991</c:v>
                </c:pt>
                <c:pt idx="155">
                  <c:v>58.526877575277254</c:v>
                </c:pt>
                <c:pt idx="156">
                  <c:v>58.581555247291085</c:v>
                </c:pt>
                <c:pt idx="157">
                  <c:v>58.635608578085019</c:v>
                </c:pt>
                <c:pt idx="158">
                  <c:v>58.689048200585269</c:v>
                </c:pt>
                <c:pt idx="159">
                  <c:v>58.741884507633671</c:v>
                </c:pt>
                <c:pt idx="160">
                  <c:v>58.794127658725849</c:v>
                </c:pt>
                <c:pt idx="161">
                  <c:v>58.845787586523713</c:v>
                </c:pt>
                <c:pt idx="162">
                  <c:v>58.896874003151005</c:v>
                </c:pt>
                <c:pt idx="163">
                  <c:v>58.947396406280369</c:v>
                </c:pt>
                <c:pt idx="164">
                  <c:v>58.997364085019925</c:v>
                </c:pt>
                <c:pt idx="165">
                  <c:v>59.046786125606992</c:v>
                </c:pt>
                <c:pt idx="166">
                  <c:v>59.095671416916275</c:v>
                </c:pt>
                <c:pt idx="167">
                  <c:v>59.144028655789576</c:v>
                </c:pt>
                <c:pt idx="168">
                  <c:v>59.191866352193742</c:v>
                </c:pt>
                <c:pt idx="169">
                  <c:v>59.239192834213235</c:v>
                </c:pt>
                <c:pt idx="170">
                  <c:v>59.286016252883449</c:v>
                </c:pt>
                <c:pt idx="171">
                  <c:v>59.332344586870818</c:v>
                </c:pt>
                <c:pt idx="172">
                  <c:v>59.378185647005132</c:v>
                </c:pt>
                <c:pt idx="173">
                  <c:v>59.423547080669671</c:v>
                </c:pt>
                <c:pt idx="174">
                  <c:v>59.468436376054235</c:v>
                </c:pt>
                <c:pt idx="175">
                  <c:v>59.512860866276043</c:v>
                </c:pt>
                <c:pt idx="176">
                  <c:v>59.556827733373304</c:v>
                </c:pt>
                <c:pt idx="177">
                  <c:v>59.600344012176009</c:v>
                </c:pt>
                <c:pt idx="178">
                  <c:v>59.643416594058287</c:v>
                </c:pt>
                <c:pt idx="179">
                  <c:v>59.686052230576585</c:v>
                </c:pt>
                <c:pt idx="180">
                  <c:v>59.728257536997738</c:v>
                </c:pt>
                <c:pt idx="181">
                  <c:v>59.77003899572064</c:v>
                </c:pt>
                <c:pt idx="182">
                  <c:v>59.811402959595412</c:v>
                </c:pt>
                <c:pt idx="183">
                  <c:v>59.85235565514359</c:v>
                </c:pt>
                <c:pt idx="184">
                  <c:v>59.892903185682655</c:v>
                </c:pt>
                <c:pt idx="185">
                  <c:v>59.933051534358356</c:v>
                </c:pt>
                <c:pt idx="186">
                  <c:v>59.972806567087879</c:v>
                </c:pt>
                <c:pt idx="187">
                  <c:v>60.01217403541694</c:v>
                </c:pt>
                <c:pt idx="188">
                  <c:v>60.051159579293746</c:v>
                </c:pt>
                <c:pt idx="189">
                  <c:v>60.089768729762554</c:v>
                </c:pt>
                <c:pt idx="190">
                  <c:v>60.128006911579689</c:v>
                </c:pt>
                <c:pt idx="191">
                  <c:v>60.165879445754406</c:v>
                </c:pt>
                <c:pt idx="192">
                  <c:v>60.203391552017266</c:v>
                </c:pt>
                <c:pt idx="193">
                  <c:v>60.240548351218386</c:v>
                </c:pt>
                <c:pt idx="194">
                  <c:v>60.277354867657813</c:v>
                </c:pt>
                <c:pt idx="195">
                  <c:v>60.313816031350356</c:v>
                </c:pt>
                <c:pt idx="196">
                  <c:v>60.349936680226918</c:v>
                </c:pt>
                <c:pt idx="197">
                  <c:v>60.385721562274455</c:v>
                </c:pt>
                <c:pt idx="198">
                  <c:v>60.42117533761656</c:v>
                </c:pt>
                <c:pt idx="199">
                  <c:v>60.456302580536523</c:v>
                </c:pt>
                <c:pt idx="200">
                  <c:v>60.491107781444725</c:v>
                </c:pt>
                <c:pt idx="201">
                  <c:v>60.525595348792294</c:v>
                </c:pt>
                <c:pt idx="202">
                  <c:v>60.55976961093242</c:v>
                </c:pt>
                <c:pt idx="203">
                  <c:v>60.59363481793136</c:v>
                </c:pt>
                <c:pt idx="204">
                  <c:v>60.627195143330376</c:v>
                </c:pt>
                <c:pt idx="205">
                  <c:v>60.660454685860373</c:v>
                </c:pt>
                <c:pt idx="206">
                  <c:v>60.693417471110685</c:v>
                </c:pt>
                <c:pt idx="207">
                  <c:v>60.726087453153262</c:v>
                </c:pt>
                <c:pt idx="208">
                  <c:v>60.758468516123919</c:v>
                </c:pt>
                <c:pt idx="209">
                  <c:v>60.790564475761649</c:v>
                </c:pt>
                <c:pt idx="210">
                  <c:v>60.822379080907652</c:v>
                </c:pt>
                <c:pt idx="211">
                  <c:v>60.853916014964916</c:v>
                </c:pt>
                <c:pt idx="212">
                  <c:v>60.885178897319875</c:v>
                </c:pt>
                <c:pt idx="213">
                  <c:v>60.91617128472717</c:v>
                </c:pt>
                <c:pt idx="214">
                  <c:v>60.946896672658532</c:v>
                </c:pt>
                <c:pt idx="215">
                  <c:v>60.977358496617001</c:v>
                </c:pt>
                <c:pt idx="216">
                  <c:v>61.007560133417499</c:v>
                </c:pt>
                <c:pt idx="217">
                  <c:v>61.037504902434677</c:v>
                </c:pt>
                <c:pt idx="218">
                  <c:v>61.067196066819108</c:v>
                </c:pt>
                <c:pt idx="219">
                  <c:v>61.096636834682627</c:v>
                </c:pt>
                <c:pt idx="220">
                  <c:v>61.12583036025395</c:v>
                </c:pt>
                <c:pt idx="221">
                  <c:v>61.154779745005122</c:v>
                </c:pt>
                <c:pt idx="222">
                  <c:v>61.183488038749999</c:v>
                </c:pt>
                <c:pt idx="223">
                  <c:v>61.211958240715212</c:v>
                </c:pt>
                <c:pt idx="224">
                  <c:v>61.240193300584806</c:v>
                </c:pt>
                <c:pt idx="225">
                  <c:v>61.268196119518947</c:v>
                </c:pt>
                <c:pt idx="226">
                  <c:v>61.295969551147579</c:v>
                </c:pt>
                <c:pt idx="227">
                  <c:v>61.323516402539944</c:v>
                </c:pt>
                <c:pt idx="228">
                  <c:v>61.35083943515022</c:v>
                </c:pt>
                <c:pt idx="229">
                  <c:v>61.377941365740462</c:v>
                </c:pt>
                <c:pt idx="230">
                  <c:v>61.404824867280965</c:v>
                </c:pt>
                <c:pt idx="231">
                  <c:v>61.431492569829196</c:v>
                </c:pt>
                <c:pt idx="232">
                  <c:v>61.457947061387408</c:v>
                </c:pt>
                <c:pt idx="233">
                  <c:v>61.484190888740002</c:v>
                </c:pt>
                <c:pt idx="234">
                  <c:v>61.510226558270766</c:v>
                </c:pt>
                <c:pt idx="235">
                  <c:v>61.53605653676081</c:v>
                </c:pt>
                <c:pt idx="236">
                  <c:v>61.561683252167768</c:v>
                </c:pt>
                <c:pt idx="237">
                  <c:v>61.58710909438647</c:v>
                </c:pt>
                <c:pt idx="238">
                  <c:v>61.612336415992011</c:v>
                </c:pt>
                <c:pt idx="239">
                  <c:v>61.637367532965314</c:v>
                </c:pt>
                <c:pt idx="240">
                  <c:v>61.662204725401949</c:v>
                </c:pt>
                <c:pt idx="241">
                  <c:v>61.686850238204435</c:v>
                </c:pt>
                <c:pt idx="242">
                  <c:v>61.711306281758695</c:v>
                </c:pt>
                <c:pt idx="243">
                  <c:v>61.735575032594873</c:v>
                </c:pt>
                <c:pt idx="244">
                  <c:v>61.75965863403303</c:v>
                </c:pt>
                <c:pt idx="245">
                  <c:v>61.783559196814217</c:v>
                </c:pt>
                <c:pt idx="246">
                  <c:v>61.807278799717061</c:v>
                </c:pt>
                <c:pt idx="247">
                  <c:v>61.830819490160579</c:v>
                </c:pt>
                <c:pt idx="248">
                  <c:v>61.85418328479318</c:v>
                </c:pt>
                <c:pt idx="249">
                  <c:v>61.87737217006871</c:v>
                </c:pt>
                <c:pt idx="250">
                  <c:v>61.900388102809323</c:v>
                </c:pt>
                <c:pt idx="251">
                  <c:v>61.923233010756036</c:v>
                </c:pt>
                <c:pt idx="252">
                  <c:v>61.945908793106945</c:v>
                </c:pt>
                <c:pt idx="253">
                  <c:v>61.968417321043489</c:v>
                </c:pt>
                <c:pt idx="254">
                  <c:v>61.990760438245275</c:v>
                </c:pt>
                <c:pt idx="255">
                  <c:v>62.012939961393393</c:v>
                </c:pt>
                <c:pt idx="256">
                  <c:v>62.034957680662892</c:v>
                </c:pt>
                <c:pt idx="257">
                  <c:v>62.056815360204375</c:v>
                </c:pt>
                <c:pt idx="258">
                  <c:v>62.078514738615254</c:v>
                </c:pt>
                <c:pt idx="259">
                  <c:v>62.100057529400701</c:v>
                </c:pt>
                <c:pt idx="260">
                  <c:v>62.121445421424724</c:v>
                </c:pt>
                <c:pt idx="261">
                  <c:v>62.142680079351493</c:v>
                </c:pt>
                <c:pt idx="262">
                  <c:v>62.163763144077286</c:v>
                </c:pt>
                <c:pt idx="263">
                  <c:v>62.184696233153147</c:v>
                </c:pt>
                <c:pt idx="264">
                  <c:v>62.205480941198573</c:v>
                </c:pt>
                <c:pt idx="265">
                  <c:v>62.226118840306484</c:v>
                </c:pt>
                <c:pt idx="266">
                  <c:v>62.246611480439562</c:v>
                </c:pt>
                <c:pt idx="267">
                  <c:v>62.266960389818323</c:v>
                </c:pt>
                <c:pt idx="268">
                  <c:v>62.287167075301006</c:v>
                </c:pt>
                <c:pt idx="269">
                  <c:v>62.307233022755561</c:v>
                </c:pt>
                <c:pt idx="270">
                  <c:v>62.327159697423816</c:v>
                </c:pt>
                <c:pt idx="271">
                  <c:v>62.346948544278213</c:v>
                </c:pt>
                <c:pt idx="272">
                  <c:v>62.366600988371054</c:v>
                </c:pt>
                <c:pt idx="273">
                  <c:v>62.386118435176577</c:v>
                </c:pt>
                <c:pt idx="274">
                  <c:v>62.405502270926071</c:v>
                </c:pt>
                <c:pt idx="275">
                  <c:v>62.424753862936022</c:v>
                </c:pt>
                <c:pt idx="276">
                  <c:v>62.443874559929704</c:v>
                </c:pt>
                <c:pt idx="277">
                  <c:v>62.462865692352047</c:v>
                </c:pt>
                <c:pt idx="278">
                  <c:v>62.481728572678364</c:v>
                </c:pt>
                <c:pt idx="279">
                  <c:v>62.500464495716571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87-48A7-9C91-D391A30EAA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30260544"/>
        <c:axId val="-1430262176"/>
      </c:scatterChart>
      <c:valAx>
        <c:axId val="-1430260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300" baseline="0"/>
                  <a:t>Cc, ppm</a:t>
                </a:r>
              </a:p>
            </c:rich>
          </c:tx>
          <c:layout>
            <c:manualLayout>
              <c:xMode val="edge"/>
              <c:yMode val="edge"/>
              <c:x val="0.47428242198572562"/>
              <c:y val="0.92169505284259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3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30262176"/>
        <c:crosses val="autoZero"/>
        <c:crossBetween val="midCat"/>
      </c:valAx>
      <c:valAx>
        <c:axId val="-143026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300"/>
                  <a:t>A,</a:t>
                </a:r>
                <a:r>
                  <a:rPr lang="en-US" sz="1300" baseline="0"/>
                  <a:t> µmol m</a:t>
                </a:r>
                <a:r>
                  <a:rPr lang="en-US" sz="1300" baseline="36000"/>
                  <a:t>-2 </a:t>
                </a:r>
                <a:r>
                  <a:rPr lang="en-US" sz="1300" baseline="0"/>
                  <a:t>s</a:t>
                </a:r>
                <a:r>
                  <a:rPr lang="en-US" sz="1300" baseline="34000"/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3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30260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'nph14260-supp-002'!$H$19</c:f>
              <c:strCache>
                <c:ptCount val="1"/>
                <c:pt idx="0">
                  <c:v>gm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bg2">
                    <a:lumMod val="75000"/>
                  </a:schemeClr>
                </a:solidFill>
              </a:ln>
              <a:effectLst/>
            </c:spPr>
          </c:marker>
          <c:xVal>
            <c:numRef>
              <c:f>'nph14260-supp-002'!$C$20:$C$31</c:f>
              <c:numCache>
                <c:formatCode>General</c:formatCode>
                <c:ptCount val="12"/>
                <c:pt idx="0">
                  <c:v>130.79080093617549</c:v>
                </c:pt>
                <c:pt idx="1">
                  <c:v>101.89564709304018</c:v>
                </c:pt>
                <c:pt idx="2">
                  <c:v>60.633308854653087</c:v>
                </c:pt>
                <c:pt idx="3">
                  <c:v>63.880438345086475</c:v>
                </c:pt>
                <c:pt idx="4">
                  <c:v>214.49552057728997</c:v>
                </c:pt>
                <c:pt idx="5">
                  <c:v>168.01331470657257</c:v>
                </c:pt>
                <c:pt idx="6">
                  <c:v>287.86451404646431</c:v>
                </c:pt>
                <c:pt idx="7">
                  <c:v>355.43851552555736</c:v>
                </c:pt>
                <c:pt idx="8">
                  <c:v>410.76195982216899</c:v>
                </c:pt>
                <c:pt idx="9">
                  <c:v>463.53226180942045</c:v>
                </c:pt>
                <c:pt idx="10">
                  <c:v>723.1667547402368</c:v>
                </c:pt>
              </c:numCache>
            </c:numRef>
          </c:xVal>
          <c:yVal>
            <c:numRef>
              <c:f>'nph14260-supp-002'!$H$20:$H$31</c:f>
              <c:numCache>
                <c:formatCode>General</c:formatCode>
                <c:ptCount val="12"/>
                <c:pt idx="0">
                  <c:v>0.1586539505886955</c:v>
                </c:pt>
                <c:pt idx="1">
                  <c:v>0.16634685737105173</c:v>
                </c:pt>
                <c:pt idx="2">
                  <c:v>0.35333853678222915</c:v>
                </c:pt>
                <c:pt idx="3">
                  <c:v>7.6644528953089389E-2</c:v>
                </c:pt>
                <c:pt idx="4">
                  <c:v>0.24767288113253677</c:v>
                </c:pt>
                <c:pt idx="5">
                  <c:v>0.42736514647638879</c:v>
                </c:pt>
                <c:pt idx="6">
                  <c:v>0.23367077747585085</c:v>
                </c:pt>
                <c:pt idx="7">
                  <c:v>0.25152854102075595</c:v>
                </c:pt>
                <c:pt idx="8">
                  <c:v>0.22782042878862915</c:v>
                </c:pt>
                <c:pt idx="9">
                  <c:v>0.20398889485992686</c:v>
                </c:pt>
                <c:pt idx="10">
                  <c:v>0.10650453087728656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E6-43AA-9054-D2439A8C4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430260000"/>
        <c:axId val="-1430258368"/>
      </c:scatterChart>
      <c:valAx>
        <c:axId val="-143026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300" baseline="0"/>
                  <a:t>Ci, ppm</a:t>
                </a:r>
              </a:p>
            </c:rich>
          </c:tx>
          <c:layout>
            <c:manualLayout>
              <c:xMode val="edge"/>
              <c:yMode val="edge"/>
              <c:x val="0.47428242198572562"/>
              <c:y val="0.92169505284259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3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30258368"/>
        <c:crosses val="autoZero"/>
        <c:crossBetween val="midCat"/>
      </c:valAx>
      <c:valAx>
        <c:axId val="-143025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3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300"/>
                  <a:t>g</a:t>
                </a:r>
                <a:r>
                  <a:rPr lang="en-US" sz="1300" baseline="-25000"/>
                  <a:t>m</a:t>
                </a:r>
                <a:r>
                  <a:rPr lang="en-US" sz="1300"/>
                  <a:t>,</a:t>
                </a:r>
                <a:r>
                  <a:rPr lang="en-US" sz="1300" baseline="0"/>
                  <a:t> mol m</a:t>
                </a:r>
                <a:r>
                  <a:rPr lang="en-US" sz="1300" baseline="36000"/>
                  <a:t>-2 </a:t>
                </a:r>
                <a:r>
                  <a:rPr lang="en-US" sz="1300" baseline="0"/>
                  <a:t>s</a:t>
                </a:r>
                <a:r>
                  <a:rPr lang="en-US" sz="1300" baseline="34000"/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3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1430260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99060</xdr:colOff>
          <xdr:row>75</xdr:row>
          <xdr:rowOff>175260</xdr:rowOff>
        </xdr:from>
        <xdr:to>
          <xdr:col>6</xdr:col>
          <xdr:colOff>335280</xdr:colOff>
          <xdr:row>77</xdr:row>
          <xdr:rowOff>38100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Expand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396240</xdr:colOff>
          <xdr:row>75</xdr:row>
          <xdr:rowOff>175260</xdr:rowOff>
        </xdr:from>
        <xdr:to>
          <xdr:col>7</xdr:col>
          <xdr:colOff>601980</xdr:colOff>
          <xdr:row>77</xdr:row>
          <xdr:rowOff>53340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461962</xdr:colOff>
      <xdr:row>50</xdr:row>
      <xdr:rowOff>61911</xdr:rowOff>
    </xdr:from>
    <xdr:to>
      <xdr:col>12</xdr:col>
      <xdr:colOff>9525</xdr:colOff>
      <xdr:row>72</xdr:row>
      <xdr:rowOff>66674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190500</xdr:colOff>
      <xdr:row>50</xdr:row>
      <xdr:rowOff>57150</xdr:rowOff>
    </xdr:from>
    <xdr:to>
      <xdr:col>22</xdr:col>
      <xdr:colOff>38100</xdr:colOff>
      <xdr:row>72</xdr:row>
      <xdr:rowOff>61913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342900</xdr:colOff>
      <xdr:row>18</xdr:row>
      <xdr:rowOff>114300</xdr:rowOff>
    </xdr:from>
    <xdr:to>
      <xdr:col>25</xdr:col>
      <xdr:colOff>342900</xdr:colOff>
      <xdr:row>19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13296900" y="3552825"/>
          <a:ext cx="3381375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Use the Solver to minimize the</a:t>
          </a:r>
          <a:r>
            <a:rPr lang="en-US" sz="1100" b="1" baseline="0"/>
            <a:t> sum of squared error</a:t>
          </a:r>
          <a:endParaRPr lang="en-US" sz="1100" b="1"/>
        </a:p>
      </xdr:txBody>
    </xdr:sp>
    <xdr:clientData/>
  </xdr:twoCellAnchor>
  <xdr:oneCellAnchor>
    <xdr:from>
      <xdr:col>23</xdr:col>
      <xdr:colOff>818029</xdr:colOff>
      <xdr:row>29</xdr:row>
      <xdr:rowOff>22411</xdr:rowOff>
    </xdr:from>
    <xdr:ext cx="6017559" cy="250350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5520147" y="5703793"/>
          <a:ext cx="6017559" cy="2503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Background</a:t>
          </a:r>
          <a:endParaRPr lang="en-US">
            <a:effectLst/>
          </a:endParaRPr>
        </a:p>
        <a:p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This sheet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allows fitting  the FvCB photosynthesis model  to A-Ci data measured</a:t>
          </a:r>
          <a:r>
            <a:rPr lang="en-GB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 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This model</a:t>
          </a:r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allows variability in </a:t>
          </a:r>
          <a:r>
            <a:rPr lang="en-US" sz="1100" b="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</a:t>
          </a:r>
          <a:r>
            <a:rPr lang="en-US" sz="1100" b="0" i="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(1+O/</a:t>
          </a:r>
          <a:r>
            <a:rPr lang="en-US" sz="1100" b="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</a:t>
          </a:r>
          <a:r>
            <a:rPr lang="en-US" sz="1100" b="0" i="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</a:t>
          </a:r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  and t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he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compensation point </a:t>
          </a:r>
          <a:r>
            <a:rPr lang="el-GR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Γ</a:t>
          </a:r>
          <a:r>
            <a:rPr lang="it-IT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* </a:t>
          </a:r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to account for differences between individual plants, 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takes into consideration the  variation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of the </a:t>
          </a:r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mesophyll conductance (</a:t>
          </a:r>
          <a:r>
            <a:rPr lang="en-US" sz="1100" b="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</a:t>
          </a:r>
          <a:r>
            <a:rPr lang="en-US" sz="1100" b="0" i="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</a:t>
          </a:r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  with  Ci. 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it-IT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l-GR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Γ</a:t>
          </a:r>
          <a:r>
            <a:rPr lang="it-IT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* can be fitted together with </a:t>
          </a:r>
          <a:r>
            <a:rPr lang="en-US" sz="1100" b="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</a:t>
          </a:r>
          <a:r>
            <a:rPr lang="en-US" sz="1100" b="0" i="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cmax</a:t>
          </a:r>
          <a:r>
            <a:rPr lang="en-GB" sz="1100" b="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</a:t>
          </a:r>
          <a:r>
            <a:rPr lang="en-GB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J, R</a:t>
          </a:r>
          <a:r>
            <a:rPr lang="en-GB" sz="1100" b="0" i="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</a:t>
          </a:r>
          <a:r>
            <a:rPr lang="en-GB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,  </a:t>
          </a:r>
          <a:r>
            <a:rPr lang="en-US" sz="1100" b="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</a:t>
          </a:r>
          <a:r>
            <a:rPr lang="en-US" sz="1100" b="0" i="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GB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and </a:t>
          </a:r>
          <a:r>
            <a:rPr lang="en-US" sz="1100" b="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</a:t>
          </a:r>
          <a:r>
            <a:rPr lang="en-US" sz="1100" b="0" i="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 All the parameters together are  simultaneously festimated by minimizing the sum of residuals SSE (X22) between modelled and measured assimilation. </a:t>
          </a:r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This sheet can be used for </a:t>
          </a:r>
          <a:r>
            <a:rPr lang="it-IT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it-IT" sz="1100" b="0" i="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it-IT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plant photosynthetic parameters only.</a:t>
          </a:r>
        </a:p>
        <a:p>
          <a:endParaRPr lang="en-US">
            <a:effectLst/>
          </a:endParaRPr>
        </a:p>
        <a:p>
          <a:r>
            <a:rPr lang="en-US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Instructions</a:t>
          </a:r>
          <a:endParaRPr lang="en-US">
            <a:effectLst/>
          </a:endParaRPr>
        </a:p>
        <a:p>
          <a:pPr eaLnBrk="1" fontAlgn="auto" latinLnBrk="0" hangingPunct="1"/>
          <a:r>
            <a:rPr lang="en-US" sz="1100" b="0" i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Copy and paste data in column B-F.  In the solver dialog box, select which estimate is desired using.  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Set the ambient O</a:t>
          </a:r>
          <a:r>
            <a:rPr lang="en-US" sz="110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concentration (210000 μmol mol</a:t>
          </a:r>
          <a:r>
            <a:rPr lang="en-US" sz="1100" baseline="30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-1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).  The objective cell  for the solver is  SSE or $X$22.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Chose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'min' (which asks solver to minimise the sum of squared  error). Then specify variable cells  on column P. Select GRG nonlinear as a solving method and click 'solve'. </a:t>
          </a:r>
          <a:endParaRPr lang="en-US">
            <a:effectLst/>
          </a:endParaRPr>
        </a:p>
        <a:p>
          <a:pPr eaLnBrk="1" fontAlgn="auto" latinLnBrk="0" hangingPunct="1"/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 fitted value </a:t>
          </a:r>
          <a:r>
            <a:rPr lang="en-US" sz="110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of</a:t>
          </a:r>
          <a:r>
            <a:rPr lang="de-DE" sz="110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chosen parameters 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will be placed in cell corresponding cells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respectively</a:t>
          </a:r>
          <a:r>
            <a:rPr lang="en-US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en-US">
            <a:effectLst/>
          </a:endParaRPr>
        </a:p>
      </xdr:txBody>
    </xdr:sp>
    <xdr:clientData/>
  </xdr:oneCellAnchor>
  <xdr:twoCellAnchor>
    <xdr:from>
      <xdr:col>5</xdr:col>
      <xdr:colOff>588869</xdr:colOff>
      <xdr:row>0</xdr:row>
      <xdr:rowOff>140633</xdr:rowOff>
    </xdr:from>
    <xdr:to>
      <xdr:col>20</xdr:col>
      <xdr:colOff>326275</xdr:colOff>
      <xdr:row>3</xdr:row>
      <xdr:rowOff>72597</xdr:rowOff>
    </xdr:to>
    <xdr:sp macro="" textlink="">
      <xdr:nvSpPr>
        <xdr:cNvPr id="9" name="Text Box 15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>
          <a:spLocks noChangeArrowheads="1"/>
        </xdr:cNvSpPr>
      </xdr:nvSpPr>
      <xdr:spPr bwMode="auto">
        <a:xfrm>
          <a:off x="3715310" y="140633"/>
          <a:ext cx="9878730" cy="503464"/>
        </a:xfrm>
        <a:prstGeom prst="rect">
          <a:avLst/>
        </a:prstGeom>
        <a:noFill/>
        <a:ln>
          <a:noFill/>
        </a:ln>
        <a:effectLst/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en-US" sz="2000" b="1" i="1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A-C</a:t>
          </a:r>
          <a:r>
            <a:rPr lang="en-US" sz="2000" b="1" i="0" u="none" strike="noStrike" baseline="-25000">
              <a:solidFill>
                <a:sysClr val="windowText" lastClr="000000"/>
              </a:solidFill>
              <a:latin typeface="Arial"/>
              <a:cs typeface="Arial"/>
            </a:rPr>
            <a:t>i</a:t>
          </a:r>
          <a:r>
            <a:rPr lang="en-US" sz="2000" b="1" i="0" u="none" strike="noStrike" baseline="0">
              <a:solidFill>
                <a:sysClr val="windowText" lastClr="000000"/>
              </a:solidFill>
              <a:latin typeface="Arial"/>
              <a:cs typeface="Arial"/>
            </a:rPr>
            <a:t> curve fitting utility </a:t>
          </a:r>
          <a:r>
            <a:rPr lang="en-CA" sz="2000" b="1">
              <a:effectLst/>
              <a:latin typeface="Cambria" panose="02040503050406030204" pitchFamily="18" charset="0"/>
              <a:ea typeface="SimSun" panose="02010600030101010101" pitchFamily="2" charset="-122"/>
              <a:cs typeface="Times New Roman" panose="02020603050405020304" pitchFamily="18" charset="0"/>
            </a:rPr>
            <a:t>to estimate photosynthetic parameters by the new method  </a:t>
          </a:r>
          <a:endParaRPr lang="en-US" sz="2000" b="1" i="0" u="none" strike="noStrike" baseline="0">
            <a:solidFill>
              <a:sysClr val="windowText" lastClr="000000"/>
            </a:solidFill>
            <a:latin typeface="Arial"/>
            <a:cs typeface="Arial"/>
          </a:endParaRPr>
        </a:p>
      </xdr:txBody>
    </xdr:sp>
    <xdr:clientData/>
  </xdr:twoCellAnchor>
  <xdr:oneCellAnchor>
    <xdr:from>
      <xdr:col>5</xdr:col>
      <xdr:colOff>493060</xdr:colOff>
      <xdr:row>4</xdr:row>
      <xdr:rowOff>33616</xdr:rowOff>
    </xdr:from>
    <xdr:ext cx="15632206" cy="1893795"/>
    <xdr:sp macro="" textlink="">
      <xdr:nvSpPr>
        <xdr:cNvPr id="10" name="TextBox 8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3619501" y="795616"/>
          <a:ext cx="15632206" cy="18937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20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Journal: New Phytologist</a:t>
          </a:r>
        </a:p>
        <a:p>
          <a:r>
            <a:rPr lang="en-US" sz="20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Article title: </a:t>
          </a:r>
          <a:r>
            <a:rPr lang="en-US" sz="20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 new method to estimate photosynthetic parameters through </a:t>
          </a:r>
          <a:r>
            <a:rPr lang="en-US" sz="2000" b="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</a:t>
          </a:r>
          <a:r>
            <a:rPr lang="en-US" sz="20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-</a:t>
          </a:r>
          <a:r>
            <a:rPr lang="en-US" sz="2000" b="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en-US" sz="2000" b="0" baseline="-250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 </a:t>
          </a:r>
          <a:r>
            <a:rPr lang="en-US" sz="20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curve and chlorophyll fluorescence measurements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20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Authors: </a:t>
          </a:r>
          <a:r>
            <a:rPr lang="de-DE" sz="20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Dany P. Moualeu-Ngangue – Tsu-Wei Chen – Hartmut Stützel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0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Article acceptance date</a:t>
          </a:r>
          <a:r>
            <a:rPr kumimoji="0" lang="en-US" sz="20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: 08/09/2016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20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lt"/>
              <a:ea typeface="+mn-ea"/>
              <a:cs typeface="+mn-cs"/>
            </a:rPr>
            <a:t>Correction added after first publication: 21 October 2016. The formula for the computation of Ac and the units of Ko and O have been corrected 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20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B19:F45" totalsRowShown="0" headerRowDxfId="8" dataDxfId="6" headerRowBorderDxfId="7" tableBorderDxfId="5">
  <autoFilter ref="B19:F45" xr:uid="{00000000-0009-0000-0100-000001000000}"/>
  <tableColumns count="5">
    <tableColumn id="1" xr3:uid="{00000000-0010-0000-0000-000001000000}" name="A" dataDxfId="4"/>
    <tableColumn id="2" xr3:uid="{00000000-0010-0000-0000-000002000000}" name="Ci ppm" dataDxfId="3"/>
    <tableColumn id="3" xr3:uid="{00000000-0010-0000-0000-000003000000}" name="Ci  Pa*" dataDxfId="2">
      <calculatedColumnFormula>IF(Table1[[#This Row],[A]], Table1[[#This Row],[Ci ppm]]*0.001*$B$13, " ")</calculatedColumnFormula>
    </tableColumn>
    <tableColumn id="4" xr3:uid="{00000000-0010-0000-0000-000004000000}" name="PARi" dataDxfId="1"/>
    <tableColumn id="5" xr3:uid="{00000000-0010-0000-0000-000005000000}" name="PhiPS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E15"/>
  <sheetViews>
    <sheetView showGridLines="0" workbookViewId="0">
      <selection activeCell="J19" sqref="J19"/>
    </sheetView>
  </sheetViews>
  <sheetFormatPr defaultColWidth="9.21875" defaultRowHeight="14.4" x14ac:dyDescent="0.25"/>
  <cols>
    <col min="1" max="1" width="2.21875" customWidth="1"/>
    <col min="2" max="2" width="6.21875" bestFit="1" customWidth="1"/>
    <col min="3" max="3" width="6.77734375" bestFit="1" customWidth="1"/>
    <col min="4" max="5" width="12" bestFit="1" customWidth="1"/>
  </cols>
  <sheetData>
    <row r="1" spans="1:5" x14ac:dyDescent="0.25">
      <c r="A1" s="2" t="s">
        <v>42</v>
      </c>
    </row>
    <row r="2" spans="1:5" x14ac:dyDescent="0.25">
      <c r="A2" s="2" t="s">
        <v>43</v>
      </c>
    </row>
    <row r="3" spans="1:5" x14ac:dyDescent="0.25">
      <c r="A3" s="2" t="s">
        <v>44</v>
      </c>
    </row>
    <row r="6" spans="1:5" ht="15" thickBot="1" x14ac:dyDescent="0.3">
      <c r="A6" t="s">
        <v>45</v>
      </c>
    </row>
    <row r="7" spans="1:5" x14ac:dyDescent="0.25">
      <c r="B7" s="5"/>
      <c r="C7" s="5"/>
      <c r="D7" s="5" t="s">
        <v>48</v>
      </c>
      <c r="E7" s="5" t="s">
        <v>50</v>
      </c>
    </row>
    <row r="8" spans="1:5" ht="15" thickBot="1" x14ac:dyDescent="0.3">
      <c r="B8" s="6" t="s">
        <v>46</v>
      </c>
      <c r="C8" s="6" t="s">
        <v>47</v>
      </c>
      <c r="D8" s="6" t="s">
        <v>49</v>
      </c>
      <c r="E8" s="6" t="s">
        <v>51</v>
      </c>
    </row>
    <row r="9" spans="1:5" x14ac:dyDescent="0.25">
      <c r="B9" s="3" t="s">
        <v>54</v>
      </c>
      <c r="C9" s="3" t="s">
        <v>17</v>
      </c>
      <c r="D9" s="3">
        <v>100.42131853415141</v>
      </c>
      <c r="E9" s="3">
        <v>0</v>
      </c>
    </row>
    <row r="10" spans="1:5" x14ac:dyDescent="0.25">
      <c r="B10" s="3" t="s">
        <v>55</v>
      </c>
      <c r="C10" s="3" t="s">
        <v>19</v>
      </c>
      <c r="D10" s="3">
        <v>124.79423104361256</v>
      </c>
      <c r="E10" s="3">
        <v>0</v>
      </c>
    </row>
    <row r="11" spans="1:5" x14ac:dyDescent="0.25">
      <c r="B11" s="3" t="s">
        <v>56</v>
      </c>
      <c r="C11" s="3" t="s">
        <v>32</v>
      </c>
      <c r="D11" s="3">
        <v>0</v>
      </c>
      <c r="E11" s="3">
        <v>0.42323158466793076</v>
      </c>
    </row>
    <row r="12" spans="1:5" ht="15" thickBot="1" x14ac:dyDescent="0.3">
      <c r="B12" s="4" t="s">
        <v>57</v>
      </c>
      <c r="C12" s="4" t="s">
        <v>37</v>
      </c>
      <c r="D12" s="4">
        <v>0.53036901170737172</v>
      </c>
      <c r="E12" s="4">
        <v>0</v>
      </c>
    </row>
    <row r="14" spans="1:5" x14ac:dyDescent="0.25">
      <c r="A14" t="s">
        <v>52</v>
      </c>
    </row>
    <row r="15" spans="1:5" x14ac:dyDescent="0.25">
      <c r="B15" t="s">
        <v>53</v>
      </c>
    </row>
  </sheetData>
  <phoneticPr fontId="2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J16"/>
  <sheetViews>
    <sheetView showGridLines="0" workbookViewId="0"/>
  </sheetViews>
  <sheetFormatPr defaultColWidth="9.21875" defaultRowHeight="14.4" x14ac:dyDescent="0.25"/>
  <cols>
    <col min="1" max="1" width="2.21875" customWidth="1"/>
    <col min="2" max="2" width="6.77734375" bestFit="1" customWidth="1"/>
    <col min="3" max="3" width="14.77734375" bestFit="1" customWidth="1"/>
    <col min="4" max="4" width="12" bestFit="1" customWidth="1"/>
    <col min="5" max="5" width="2.21875" customWidth="1"/>
    <col min="6" max="6" width="6.44140625" customWidth="1"/>
    <col min="7" max="7" width="12" bestFit="1" customWidth="1"/>
    <col min="8" max="8" width="2.21875" customWidth="1"/>
    <col min="9" max="9" width="6.5546875" customWidth="1"/>
    <col min="10" max="10" width="12" bestFit="1" customWidth="1"/>
  </cols>
  <sheetData>
    <row r="1" spans="1:10" x14ac:dyDescent="0.25">
      <c r="A1" s="2" t="s">
        <v>58</v>
      </c>
    </row>
    <row r="2" spans="1:10" x14ac:dyDescent="0.25">
      <c r="A2" s="2" t="s">
        <v>43</v>
      </c>
    </row>
    <row r="3" spans="1:10" x14ac:dyDescent="0.25">
      <c r="A3" s="2" t="s">
        <v>44</v>
      </c>
    </row>
    <row r="5" spans="1:10" ht="15" thickBot="1" x14ac:dyDescent="0.3"/>
    <row r="6" spans="1:10" x14ac:dyDescent="0.25">
      <c r="B6" s="5"/>
      <c r="C6" s="5" t="s">
        <v>59</v>
      </c>
      <c r="D6" s="5"/>
    </row>
    <row r="7" spans="1:10" ht="15" thickBot="1" x14ac:dyDescent="0.3">
      <c r="B7" s="6" t="s">
        <v>46</v>
      </c>
      <c r="C7" s="6" t="s">
        <v>47</v>
      </c>
      <c r="D7" s="6" t="s">
        <v>49</v>
      </c>
    </row>
    <row r="8" spans="1:10" ht="15" thickBot="1" x14ac:dyDescent="0.3">
      <c r="B8" s="4" t="s">
        <v>65</v>
      </c>
      <c r="C8" s="4" t="s">
        <v>66</v>
      </c>
      <c r="D8" s="7">
        <v>1.5186913996857156</v>
      </c>
    </row>
    <row r="10" spans="1:10" ht="15" thickBot="1" x14ac:dyDescent="0.3"/>
    <row r="11" spans="1:10" x14ac:dyDescent="0.25">
      <c r="B11" s="5"/>
      <c r="C11" s="5" t="s">
        <v>60</v>
      </c>
      <c r="D11" s="5"/>
      <c r="F11" s="5" t="s">
        <v>61</v>
      </c>
      <c r="G11" s="5" t="s">
        <v>59</v>
      </c>
      <c r="I11" s="5" t="s">
        <v>64</v>
      </c>
      <c r="J11" s="5" t="s">
        <v>59</v>
      </c>
    </row>
    <row r="12" spans="1:10" ht="15" thickBot="1" x14ac:dyDescent="0.3">
      <c r="B12" s="6" t="s">
        <v>46</v>
      </c>
      <c r="C12" s="6" t="s">
        <v>47</v>
      </c>
      <c r="D12" s="6" t="s">
        <v>49</v>
      </c>
      <c r="F12" s="6" t="s">
        <v>62</v>
      </c>
      <c r="G12" s="6" t="s">
        <v>63</v>
      </c>
      <c r="I12" s="6" t="s">
        <v>62</v>
      </c>
      <c r="J12" s="6" t="s">
        <v>63</v>
      </c>
    </row>
    <row r="13" spans="1:10" x14ac:dyDescent="0.25">
      <c r="B13" s="3" t="s">
        <v>54</v>
      </c>
      <c r="C13" s="3" t="s">
        <v>17</v>
      </c>
      <c r="D13" s="8">
        <v>100.42131853415141</v>
      </c>
      <c r="F13" s="8">
        <v>9.9999999999999964</v>
      </c>
      <c r="G13" s="8">
        <v>2122.6437613905314</v>
      </c>
      <c r="I13" s="3" t="e">
        <v>#N/A</v>
      </c>
      <c r="J13" s="3" t="e">
        <v>#N/A</v>
      </c>
    </row>
    <row r="14" spans="1:10" x14ac:dyDescent="0.25">
      <c r="B14" s="3" t="s">
        <v>55</v>
      </c>
      <c r="C14" s="3" t="s">
        <v>19</v>
      </c>
      <c r="D14" s="8">
        <v>124.79423104361256</v>
      </c>
      <c r="F14" s="8">
        <v>10.000000000000005</v>
      </c>
      <c r="G14" s="8">
        <v>2271.1814237685567</v>
      </c>
      <c r="I14" s="3" t="e">
        <v>#N/A</v>
      </c>
      <c r="J14" s="3" t="e">
        <v>#N/A</v>
      </c>
    </row>
    <row r="15" spans="1:10" x14ac:dyDescent="0.25">
      <c r="B15" s="3" t="s">
        <v>56</v>
      </c>
      <c r="C15" s="3" t="s">
        <v>32</v>
      </c>
      <c r="D15" s="8">
        <v>0</v>
      </c>
      <c r="F15" s="8">
        <v>0</v>
      </c>
      <c r="G15" s="8">
        <v>1.5186913996857156</v>
      </c>
      <c r="I15" s="8">
        <v>5</v>
      </c>
      <c r="J15" s="8">
        <v>72.717727077973166</v>
      </c>
    </row>
    <row r="16" spans="1:10" ht="15" thickBot="1" x14ac:dyDescent="0.3">
      <c r="B16" s="4" t="s">
        <v>57</v>
      </c>
      <c r="C16" s="4" t="s">
        <v>37</v>
      </c>
      <c r="D16" s="9">
        <v>0.53036901170737172</v>
      </c>
      <c r="F16" s="9">
        <v>0.21999999999999997</v>
      </c>
      <c r="G16" s="9">
        <v>447191.06608275906</v>
      </c>
      <c r="I16" s="9">
        <v>0.56999999999999995</v>
      </c>
      <c r="J16" s="9">
        <v>21.543458303858117</v>
      </c>
    </row>
  </sheetData>
  <phoneticPr fontId="2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G34"/>
  <sheetViews>
    <sheetView showGridLines="0" workbookViewId="0">
      <selection activeCell="V30" sqref="V30"/>
    </sheetView>
  </sheetViews>
  <sheetFormatPr defaultColWidth="9.21875" defaultRowHeight="14.4" x14ac:dyDescent="0.25"/>
  <cols>
    <col min="1" max="1" width="2.21875" customWidth="1"/>
    <col min="2" max="2" width="6" customWidth="1"/>
    <col min="3" max="3" width="14.77734375" bestFit="1" customWidth="1"/>
    <col min="4" max="4" width="13.77734375" bestFit="1" customWidth="1"/>
    <col min="5" max="5" width="12" bestFit="1" customWidth="1"/>
    <col min="6" max="6" width="11.44140625" customWidth="1"/>
    <col min="7" max="7" width="12" bestFit="1" customWidth="1"/>
  </cols>
  <sheetData>
    <row r="1" spans="1:5" x14ac:dyDescent="0.25">
      <c r="A1" s="2" t="s">
        <v>67</v>
      </c>
    </row>
    <row r="2" spans="1:5" x14ac:dyDescent="0.25">
      <c r="A2" s="2" t="s">
        <v>43</v>
      </c>
    </row>
    <row r="3" spans="1:5" x14ac:dyDescent="0.25">
      <c r="A3" s="2" t="s">
        <v>68</v>
      </c>
    </row>
    <row r="4" spans="1:5" x14ac:dyDescent="0.25">
      <c r="A4" s="2" t="s">
        <v>69</v>
      </c>
    </row>
    <row r="5" spans="1:5" x14ac:dyDescent="0.25">
      <c r="A5" s="2" t="s">
        <v>70</v>
      </c>
    </row>
    <row r="6" spans="1:5" x14ac:dyDescent="0.25">
      <c r="A6" s="2"/>
      <c r="B6" t="s">
        <v>71</v>
      </c>
    </row>
    <row r="7" spans="1:5" x14ac:dyDescent="0.25">
      <c r="A7" s="2"/>
      <c r="B7" t="s">
        <v>72</v>
      </c>
    </row>
    <row r="8" spans="1:5" x14ac:dyDescent="0.25">
      <c r="A8" s="2"/>
      <c r="B8" t="s">
        <v>73</v>
      </c>
    </row>
    <row r="9" spans="1:5" x14ac:dyDescent="0.25">
      <c r="A9" s="2" t="s">
        <v>74</v>
      </c>
    </row>
    <row r="10" spans="1:5" x14ac:dyDescent="0.25">
      <c r="B10" t="s">
        <v>75</v>
      </c>
    </row>
    <row r="11" spans="1:5" x14ac:dyDescent="0.25">
      <c r="B11" t="s">
        <v>76</v>
      </c>
    </row>
    <row r="12" spans="1:5" x14ac:dyDescent="0.25">
      <c r="B12" t="s">
        <v>77</v>
      </c>
    </row>
    <row r="14" spans="1:5" ht="15" thickBot="1" x14ac:dyDescent="0.3">
      <c r="A14" t="s">
        <v>78</v>
      </c>
    </row>
    <row r="15" spans="1:5" ht="15" thickBot="1" x14ac:dyDescent="0.3">
      <c r="B15" s="10" t="s">
        <v>46</v>
      </c>
      <c r="C15" s="10" t="s">
        <v>47</v>
      </c>
      <c r="D15" s="10" t="s">
        <v>79</v>
      </c>
      <c r="E15" s="10" t="s">
        <v>80</v>
      </c>
    </row>
    <row r="16" spans="1:5" ht="15" thickBot="1" x14ac:dyDescent="0.3">
      <c r="B16" s="4" t="s">
        <v>65</v>
      </c>
      <c r="C16" s="4" t="s">
        <v>66</v>
      </c>
      <c r="D16" s="7">
        <v>1.5186913996857156</v>
      </c>
      <c r="E16" s="7">
        <v>1.5186913996857156</v>
      </c>
    </row>
    <row r="19" spans="1:7" ht="15" thickBot="1" x14ac:dyDescent="0.3">
      <c r="A19" t="s">
        <v>45</v>
      </c>
    </row>
    <row r="20" spans="1:7" ht="15" thickBot="1" x14ac:dyDescent="0.3">
      <c r="B20" s="10" t="s">
        <v>46</v>
      </c>
      <c r="C20" s="10" t="s">
        <v>47</v>
      </c>
      <c r="D20" s="10" t="s">
        <v>79</v>
      </c>
      <c r="E20" s="10" t="s">
        <v>80</v>
      </c>
      <c r="F20" s="10" t="s">
        <v>81</v>
      </c>
    </row>
    <row r="21" spans="1:7" x14ac:dyDescent="0.25">
      <c r="B21" s="3" t="s">
        <v>54</v>
      </c>
      <c r="C21" s="3" t="s">
        <v>17</v>
      </c>
      <c r="D21" s="8">
        <v>100.42131853415141</v>
      </c>
      <c r="E21" s="8">
        <v>100.42131853415141</v>
      </c>
      <c r="F21" s="3" t="s">
        <v>86</v>
      </c>
    </row>
    <row r="22" spans="1:7" x14ac:dyDescent="0.25">
      <c r="B22" s="3" t="s">
        <v>55</v>
      </c>
      <c r="C22" s="3" t="s">
        <v>19</v>
      </c>
      <c r="D22" s="8">
        <v>124.79423104361256</v>
      </c>
      <c r="E22" s="8">
        <v>124.79423104361256</v>
      </c>
      <c r="F22" s="3" t="s">
        <v>86</v>
      </c>
    </row>
    <row r="23" spans="1:7" x14ac:dyDescent="0.25">
      <c r="B23" s="3" t="s">
        <v>56</v>
      </c>
      <c r="C23" s="3" t="s">
        <v>32</v>
      </c>
      <c r="D23" s="8">
        <v>0</v>
      </c>
      <c r="E23" s="8">
        <v>0</v>
      </c>
      <c r="F23" s="3" t="s">
        <v>86</v>
      </c>
    </row>
    <row r="24" spans="1:7" ht="15" thickBot="1" x14ac:dyDescent="0.3">
      <c r="B24" s="4" t="s">
        <v>57</v>
      </c>
      <c r="C24" s="4" t="s">
        <v>37</v>
      </c>
      <c r="D24" s="9">
        <v>0.53036901170737172</v>
      </c>
      <c r="E24" s="9">
        <v>0.53036901170737172</v>
      </c>
      <c r="F24" s="4" t="s">
        <v>86</v>
      </c>
    </row>
    <row r="27" spans="1:7" ht="15" thickBot="1" x14ac:dyDescent="0.3">
      <c r="A27" t="s">
        <v>52</v>
      </c>
    </row>
    <row r="28" spans="1:7" ht="15" thickBot="1" x14ac:dyDescent="0.3">
      <c r="B28" s="10" t="s">
        <v>46</v>
      </c>
      <c r="C28" s="10" t="s">
        <v>47</v>
      </c>
      <c r="D28" s="10" t="s">
        <v>82</v>
      </c>
      <c r="E28" s="10" t="s">
        <v>83</v>
      </c>
      <c r="F28" s="10" t="s">
        <v>84</v>
      </c>
      <c r="G28" s="10" t="s">
        <v>85</v>
      </c>
    </row>
    <row r="29" spans="1:7" x14ac:dyDescent="0.25">
      <c r="B29" s="3" t="s">
        <v>54</v>
      </c>
      <c r="C29" s="3" t="s">
        <v>17</v>
      </c>
      <c r="D29" s="8">
        <v>100.42131853415141</v>
      </c>
      <c r="E29" s="3" t="s">
        <v>87</v>
      </c>
      <c r="F29" s="3" t="s">
        <v>88</v>
      </c>
      <c r="G29" s="8">
        <v>90.421318534151411</v>
      </c>
    </row>
    <row r="30" spans="1:7" x14ac:dyDescent="0.25">
      <c r="B30" s="3" t="s">
        <v>55</v>
      </c>
      <c r="C30" s="3" t="s">
        <v>19</v>
      </c>
      <c r="D30" s="8">
        <v>124.79423104361256</v>
      </c>
      <c r="E30" s="3" t="s">
        <v>89</v>
      </c>
      <c r="F30" s="3" t="s">
        <v>88</v>
      </c>
      <c r="G30" s="8">
        <v>114.79423104361256</v>
      </c>
    </row>
    <row r="31" spans="1:7" x14ac:dyDescent="0.25">
      <c r="B31" s="3" t="s">
        <v>56</v>
      </c>
      <c r="C31" s="3" t="s">
        <v>32</v>
      </c>
      <c r="D31" s="8">
        <v>0</v>
      </c>
      <c r="E31" s="3" t="s">
        <v>90</v>
      </c>
      <c r="F31" s="3" t="s">
        <v>88</v>
      </c>
      <c r="G31" s="3">
        <v>5</v>
      </c>
    </row>
    <row r="32" spans="1:7" x14ac:dyDescent="0.25">
      <c r="B32" s="3" t="s">
        <v>56</v>
      </c>
      <c r="C32" s="3" t="s">
        <v>32</v>
      </c>
      <c r="D32" s="8">
        <v>0</v>
      </c>
      <c r="E32" s="3" t="s">
        <v>91</v>
      </c>
      <c r="F32" s="3" t="s">
        <v>92</v>
      </c>
      <c r="G32" s="8">
        <v>0</v>
      </c>
    </row>
    <row r="33" spans="2:7" x14ac:dyDescent="0.25">
      <c r="B33" s="3" t="s">
        <v>57</v>
      </c>
      <c r="C33" s="3" t="s">
        <v>37</v>
      </c>
      <c r="D33" s="8">
        <v>0.53036901170737172</v>
      </c>
      <c r="E33" s="3" t="s">
        <v>93</v>
      </c>
      <c r="F33" s="3" t="s">
        <v>88</v>
      </c>
      <c r="G33" s="3">
        <v>3.9630988292628233E-2</v>
      </c>
    </row>
    <row r="34" spans="2:7" ht="15" thickBot="1" x14ac:dyDescent="0.3">
      <c r="B34" s="4" t="s">
        <v>57</v>
      </c>
      <c r="C34" s="4" t="s">
        <v>37</v>
      </c>
      <c r="D34" s="9">
        <v>0.53036901170737172</v>
      </c>
      <c r="E34" s="4" t="s">
        <v>94</v>
      </c>
      <c r="F34" s="4" t="s">
        <v>88</v>
      </c>
      <c r="G34" s="9">
        <v>0.31036901170737174</v>
      </c>
    </row>
  </sheetData>
  <phoneticPr fontId="2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J536"/>
  <sheetViews>
    <sheetView tabSelected="1" zoomScale="85" zoomScaleNormal="85" workbookViewId="0">
      <selection activeCell="X22" sqref="X22"/>
    </sheetView>
  </sheetViews>
  <sheetFormatPr defaultColWidth="9.21875" defaultRowHeight="14.4" x14ac:dyDescent="0.25"/>
  <cols>
    <col min="3" max="3" width="9.21875" customWidth="1"/>
    <col min="5" max="5" width="10.44140625" customWidth="1"/>
    <col min="9" max="9" width="12" bestFit="1" customWidth="1"/>
    <col min="13" max="13" width="12.5546875" bestFit="1" customWidth="1"/>
    <col min="15" max="15" width="16.21875" customWidth="1"/>
    <col min="16" max="16" width="10.44140625" customWidth="1"/>
    <col min="18" max="18" width="10" bestFit="1" customWidth="1"/>
    <col min="24" max="24" width="14.21875" customWidth="1"/>
  </cols>
  <sheetData>
    <row r="1" spans="1:4" s="11" customFormat="1" x14ac:dyDescent="0.25"/>
    <row r="2" spans="1:4" s="11" customFormat="1" x14ac:dyDescent="0.25">
      <c r="A2" s="116"/>
      <c r="B2" s="116"/>
      <c r="C2" s="116"/>
      <c r="D2" s="116"/>
    </row>
    <row r="3" spans="1:4" s="11" customFormat="1" x14ac:dyDescent="0.25">
      <c r="A3" s="116"/>
      <c r="B3" s="116"/>
      <c r="C3" s="116"/>
      <c r="D3" s="116"/>
    </row>
    <row r="4" spans="1:4" s="11" customFormat="1" x14ac:dyDescent="0.25"/>
    <row r="5" spans="1:4" s="12" customFormat="1" x14ac:dyDescent="0.25"/>
    <row r="6" spans="1:4" s="12" customFormat="1" x14ac:dyDescent="0.25"/>
    <row r="7" spans="1:4" s="12" customFormat="1" x14ac:dyDescent="0.25"/>
    <row r="8" spans="1:4" s="12" customFormat="1" x14ac:dyDescent="0.25"/>
    <row r="9" spans="1:4" s="12" customFormat="1" x14ac:dyDescent="0.25"/>
    <row r="10" spans="1:4" s="12" customFormat="1" ht="15.6" x14ac:dyDescent="0.25">
      <c r="A10" s="117" t="s">
        <v>95</v>
      </c>
      <c r="B10" s="118"/>
      <c r="C10" s="118"/>
      <c r="D10" s="119"/>
    </row>
    <row r="11" spans="1:4" s="12" customFormat="1" x14ac:dyDescent="0.25">
      <c r="A11" s="20"/>
      <c r="B11" s="21"/>
      <c r="C11" s="21"/>
      <c r="D11" s="22"/>
    </row>
    <row r="12" spans="1:4" s="12" customFormat="1" x14ac:dyDescent="0.25">
      <c r="A12" s="20" t="s">
        <v>2</v>
      </c>
      <c r="B12" s="19">
        <v>25.21</v>
      </c>
      <c r="C12" s="21" t="s">
        <v>0</v>
      </c>
      <c r="D12" s="22"/>
    </row>
    <row r="13" spans="1:4" s="12" customFormat="1" x14ac:dyDescent="0.25">
      <c r="A13" s="20" t="s">
        <v>1</v>
      </c>
      <c r="B13" s="19">
        <v>95.71</v>
      </c>
      <c r="C13" s="21" t="s">
        <v>4</v>
      </c>
      <c r="D13" s="22"/>
    </row>
    <row r="14" spans="1:4" s="12" customFormat="1" ht="16.8" x14ac:dyDescent="0.25">
      <c r="A14" s="20" t="s">
        <v>3</v>
      </c>
      <c r="B14" s="19">
        <v>210</v>
      </c>
      <c r="C14" s="21" t="s">
        <v>104</v>
      </c>
      <c r="D14" s="22"/>
    </row>
    <row r="15" spans="1:4" s="12" customFormat="1" x14ac:dyDescent="0.25">
      <c r="A15" s="23"/>
      <c r="B15" s="24"/>
      <c r="C15" s="24"/>
      <c r="D15" s="25"/>
    </row>
    <row r="16" spans="1:4" s="12" customFormat="1" x14ac:dyDescent="0.25"/>
    <row r="17" spans="2:36" s="12" customFormat="1" x14ac:dyDescent="0.25">
      <c r="AC17" s="13"/>
      <c r="AD17" s="13"/>
      <c r="AE17" s="13"/>
      <c r="AF17" s="13"/>
      <c r="AG17" s="13"/>
      <c r="AH17" s="13"/>
      <c r="AI17" s="13"/>
      <c r="AJ17" s="13"/>
    </row>
    <row r="18" spans="2:36" s="12" customFormat="1" x14ac:dyDescent="0.25">
      <c r="H18" s="114" t="s">
        <v>10</v>
      </c>
      <c r="I18" s="120"/>
      <c r="J18" s="114" t="s">
        <v>11</v>
      </c>
      <c r="K18" s="121"/>
      <c r="L18" s="121"/>
      <c r="M18" s="34" t="s">
        <v>101</v>
      </c>
      <c r="O18" s="114" t="s">
        <v>13</v>
      </c>
      <c r="P18" s="120"/>
      <c r="Q18" s="120"/>
      <c r="R18" s="120"/>
    </row>
    <row r="19" spans="2:36" s="12" customFormat="1" x14ac:dyDescent="0.25">
      <c r="B19" s="25" t="s">
        <v>5</v>
      </c>
      <c r="C19" s="29" t="s">
        <v>6</v>
      </c>
      <c r="D19" s="29" t="s">
        <v>9</v>
      </c>
      <c r="E19" s="29" t="s">
        <v>38</v>
      </c>
      <c r="F19" s="23" t="s">
        <v>39</v>
      </c>
      <c r="H19" s="35" t="s">
        <v>33</v>
      </c>
      <c r="I19" s="36" t="s">
        <v>8</v>
      </c>
      <c r="J19" s="37" t="s">
        <v>41</v>
      </c>
      <c r="K19" s="37" t="s">
        <v>12</v>
      </c>
      <c r="L19" s="37" t="s">
        <v>36</v>
      </c>
      <c r="M19" s="38"/>
      <c r="N19" s="15"/>
      <c r="O19" s="50"/>
      <c r="P19" s="51" t="s">
        <v>14</v>
      </c>
      <c r="Q19" s="53" t="s">
        <v>15</v>
      </c>
      <c r="R19" s="54" t="s">
        <v>16</v>
      </c>
    </row>
    <row r="20" spans="2:36" s="12" customFormat="1" ht="16.2" x14ac:dyDescent="0.3">
      <c r="B20">
        <v>9.4794060952915746</v>
      </c>
      <c r="C20">
        <v>130.79080093617549</v>
      </c>
      <c r="D20" s="26">
        <v>12.534602436207479</v>
      </c>
      <c r="E20">
        <v>1800.0433333333301</v>
      </c>
      <c r="F20">
        <v>0.25300074506776471</v>
      </c>
      <c r="H20" s="39">
        <f>IF(Table1[[#This Row],[A]], ($P$23*Table1[[#This Row],[PhiPS2]]*Table1[[#This Row],[PARi]]*Table1[[#This Row],[A]]-4*(Table1[[#This Row],[A]]+$P$22)*Table1[[#This Row],[A]])/($P$23*Table1[[#This Row],[PhiPS2]]*Table1[[#This Row],[PARi]]*(Table1[[#This Row],[Ci ppm]]-$P$40)-4*(Table1[[#This Row],[A]]+$P$22)*(Table1[[#This Row],[Ci ppm]]+2*$P$40))," ")</f>
        <v>0.1586539505886955</v>
      </c>
      <c r="I20" s="43">
        <f t="shared" ref="I20:I21" si="0">IF(B20,C20-B20/H20," ")</f>
        <v>71.04185639292497</v>
      </c>
      <c r="J20" s="40">
        <f t="shared" ref="J20:J21" si="1">IF($B20, MIN(K20,L20)-$P$22,"")</f>
        <v>8.6670040794530241</v>
      </c>
      <c r="K20" s="40">
        <f t="shared" ref="K20:K21" si="2">IF(B20,J*(I20-Gammastr)/(4*I20+8*Gammastr),"")</f>
        <v>13.743140779448531</v>
      </c>
      <c r="L20" s="40">
        <f>IF(Table1[[#This Row],[A]],Vcmax*(I20-Gammastr)/(I20+Kc*(1+O/Ko)),"")</f>
        <v>8.6670040794530241</v>
      </c>
      <c r="M20" s="41">
        <f>IF(Table1[[#This Row],[A]], ABS(J20-Table1[[#This Row],[A]])^2," ")</f>
        <v>0.65999703533854048</v>
      </c>
      <c r="O20" s="44" t="s">
        <v>17</v>
      </c>
      <c r="P20" s="111">
        <v>248.41840768566334</v>
      </c>
      <c r="Q20" s="55">
        <f>P20/P42</f>
        <v>243.92379443761365</v>
      </c>
      <c r="R20" s="56" t="s">
        <v>18</v>
      </c>
    </row>
    <row r="21" spans="2:36" s="12" customFormat="1" ht="16.2" x14ac:dyDescent="0.3">
      <c r="B21">
        <v>6.4774905854171649</v>
      </c>
      <c r="C21">
        <v>101.89564709304018</v>
      </c>
      <c r="D21" s="26">
        <v>9.7648776272082252</v>
      </c>
      <c r="E21">
        <v>1799.96</v>
      </c>
      <c r="F21">
        <v>0.22231210012600289</v>
      </c>
      <c r="H21" s="42">
        <f>IF(Table1[[#This Row],[A]], ($P$23*Table1[[#This Row],[PhiPS2]]*Table1[[#This Row],[PARi]]*Table1[[#This Row],[A]]-4*(Table1[[#This Row],[A]]+$P$22)*Table1[[#This Row],[A]])/($P$23*Table1[[#This Row],[PhiPS2]]*Table1[[#This Row],[PARi]]*(Table1[[#This Row],[Ci ppm]]-$P$40)-4*(Table1[[#This Row],[A]]+$P$22)*(Table1[[#This Row],[Ci ppm]]+2*$P$40))," ")</f>
        <v>0.16634685737105173</v>
      </c>
      <c r="I21" s="43">
        <f t="shared" si="0"/>
        <v>62.95598398315326</v>
      </c>
      <c r="J21" s="40">
        <f t="shared" si="1"/>
        <v>6.4404620651351463</v>
      </c>
      <c r="K21" s="40">
        <f t="shared" si="2"/>
        <v>10.687852755069139</v>
      </c>
      <c r="L21" s="40">
        <f>IF(Table1[[#This Row],[A]],Vcmax*(I21-Gammastr)/(I21+Kc*(1+O/Ko)),"")</f>
        <v>6.4404620651351463</v>
      </c>
      <c r="M21" s="41">
        <f>IF(Table1[[#This Row],[A]], ABS(J21-Table1[[#This Row],[A]])^2," ")</f>
        <v>1.3711113142758657E-3</v>
      </c>
      <c r="O21" s="45" t="s">
        <v>19</v>
      </c>
      <c r="P21" s="112">
        <v>272.19667000973652</v>
      </c>
      <c r="Q21" s="57">
        <f>P21/P43</f>
        <v>268.83708544001001</v>
      </c>
      <c r="R21" s="58" t="s">
        <v>20</v>
      </c>
      <c r="V21" s="101"/>
      <c r="W21" s="101"/>
      <c r="X21" s="101"/>
    </row>
    <row r="22" spans="2:36" s="12" customFormat="1" ht="20.399999999999999" x14ac:dyDescent="0.3">
      <c r="B22">
        <v>3.2045048455243736</v>
      </c>
      <c r="C22">
        <v>60.633308854653087</v>
      </c>
      <c r="D22" s="26">
        <v>5.8106147072260539</v>
      </c>
      <c r="E22">
        <v>1800.0050000000001</v>
      </c>
      <c r="F22">
        <v>0.20443025026067019</v>
      </c>
      <c r="H22" s="42">
        <f>IF(Table1[[#This Row],[A]], ($P$23*Table1[[#This Row],[PhiPS2]]*Table1[[#This Row],[PARi]]*Table1[[#This Row],[A]]-4*(Table1[[#This Row],[A]]+$P$22)*Table1[[#This Row],[A]])/($P$23*Table1[[#This Row],[PhiPS2]]*Table1[[#This Row],[PARi]]*(Table1[[#This Row],[Ci ppm]]-$P$40)-4*(Table1[[#This Row],[A]]+$P$22)*(Table1[[#This Row],[Ci ppm]]+2*$P$40))," ")</f>
        <v>0.35333853678222915</v>
      </c>
      <c r="I22" s="43">
        <f t="shared" ref="I22:I45" si="3">IF(B22,C22-B22/H22," ")</f>
        <v>51.564089078324571</v>
      </c>
      <c r="J22" s="40">
        <f t="shared" ref="J22:J45" si="4">IF($B22, MIN(K22,L22)-$P$22,"")</f>
        <v>3.2324618075509508</v>
      </c>
      <c r="K22" s="40">
        <f t="shared" ref="K22:K45" si="5">IF(B22,J*(I22-Gammastr)/(4*I22+8*Gammastr),"")</f>
        <v>5.7497860881407927</v>
      </c>
      <c r="L22" s="40">
        <f>IF(Table1[[#This Row],[A]],Vcmax*(I22-Gammastr)/(I22+Kc*(1+O/Ko)),"")</f>
        <v>3.2324618075509508</v>
      </c>
      <c r="M22" s="41">
        <f>IF(Table1[[#This Row],[A]], ABS(J22-Table1[[#This Row],[A]])^2," ")</f>
        <v>7.815917257554773E-4</v>
      </c>
      <c r="O22" s="45" t="s">
        <v>21</v>
      </c>
      <c r="P22" s="112">
        <v>0</v>
      </c>
      <c r="Q22" s="57">
        <f>P22/P44</f>
        <v>0</v>
      </c>
      <c r="R22" s="58" t="s">
        <v>20</v>
      </c>
      <c r="V22" s="104" t="s">
        <v>102</v>
      </c>
      <c r="W22" s="101"/>
      <c r="X22" s="105">
        <f>SUM(M20:M45)</f>
        <v>6.0718145696481525</v>
      </c>
    </row>
    <row r="23" spans="2:36" s="12" customFormat="1" ht="15.6" x14ac:dyDescent="0.3">
      <c r="B23">
        <v>1.4171773825559097</v>
      </c>
      <c r="C23">
        <v>63.880438345086475</v>
      </c>
      <c r="D23" s="26">
        <v>6.1214193096015146</v>
      </c>
      <c r="E23">
        <v>1800.0650000000001</v>
      </c>
      <c r="F23">
        <v>0.19245601030505644</v>
      </c>
      <c r="H23" s="39">
        <f>IF(Table1[[#This Row],[A]], ($P$23*Table1[[#This Row],[PhiPS2]]*Table1[[#This Row],[PARi]]*Table1[[#This Row],[A]]-4*(Table1[[#This Row],[A]]+$P$22)*Table1[[#This Row],[A]])/($P$23*Table1[[#This Row],[PhiPS2]]*Table1[[#This Row],[PARi]]*(Table1[[#This Row],[Ci ppm]]-$P$40)-4*(Table1[[#This Row],[A]]+$P$22)*(Table1[[#This Row],[Ci ppm]]+2*$P$40))," ")</f>
        <v>7.6644528953089389E-2</v>
      </c>
      <c r="I23" s="43">
        <f t="shared" si="3"/>
        <v>45.390176849405563</v>
      </c>
      <c r="J23" s="40">
        <f t="shared" si="4"/>
        <v>1.4580668016780272</v>
      </c>
      <c r="K23" s="40">
        <f t="shared" si="5"/>
        <v>2.7009352529426636</v>
      </c>
      <c r="L23" s="40">
        <f>IF(Table1[[#This Row],[A]],Vcmax*(I23-Gammastr)/(I23+Kc*(1+O/Ko)),"")</f>
        <v>1.4580668016780272</v>
      </c>
      <c r="M23" s="41">
        <f>IF(Table1[[#This Row],[A]], ABS(J23-Table1[[#This Row],[A]])^2," ")</f>
        <v>1.671944596144181E-3</v>
      </c>
      <c r="O23" s="45" t="s">
        <v>96</v>
      </c>
      <c r="P23" s="112">
        <v>0.4122618814699166</v>
      </c>
      <c r="Q23" s="59"/>
      <c r="R23" s="60"/>
      <c r="V23" s="101"/>
      <c r="W23" s="101"/>
      <c r="X23" s="101"/>
    </row>
    <row r="24" spans="2:36" s="12" customFormat="1" ht="15.6" x14ac:dyDescent="0.25">
      <c r="B24">
        <v>21.939990266036784</v>
      </c>
      <c r="C24">
        <v>214.49552057728997</v>
      </c>
      <c r="D24" s="26">
        <v>20.551681744926722</v>
      </c>
      <c r="E24">
        <v>1800.0050000000001</v>
      </c>
      <c r="F24">
        <v>0.28578060773882208</v>
      </c>
      <c r="H24" s="42">
        <f>IF(Table1[[#This Row],[A]], ($P$23*Table1[[#This Row],[PhiPS2]]*Table1[[#This Row],[PARi]]*Table1[[#This Row],[A]]-4*(Table1[[#This Row],[A]]+$P$22)*Table1[[#This Row],[A]])/($P$23*Table1[[#This Row],[PhiPS2]]*Table1[[#This Row],[PARi]]*(Table1[[#This Row],[Ci ppm]]-$P$40)-4*(Table1[[#This Row],[A]]+$P$22)*(Table1[[#This Row],[Ci ppm]]+2*$P$40))," ")</f>
        <v>0.24767288113253677</v>
      </c>
      <c r="I24" s="43">
        <f t="shared" si="3"/>
        <v>125.91097241960905</v>
      </c>
      <c r="J24" s="40">
        <f t="shared" si="4"/>
        <v>22.757079831575197</v>
      </c>
      <c r="K24" s="40">
        <f t="shared" si="5"/>
        <v>28.160450001423854</v>
      </c>
      <c r="L24" s="40">
        <f>IF(Table1[[#This Row],[A]],Vcmax*(I24-Gammastr)/(I24+Kc*(1+O/Ko)),"")</f>
        <v>22.757079831575197</v>
      </c>
      <c r="M24" s="41">
        <f>IF(Table1[[#This Row],[A]], ABS(J24-Table1[[#This Row],[A]])^2," ")</f>
        <v>0.66763535811175356</v>
      </c>
      <c r="O24" s="46" t="s">
        <v>40</v>
      </c>
      <c r="P24" s="113">
        <f>($P$38*(1+$P$39/$B$14)*$P$21/(4*$P$20)-2*$P$40)/(1-P21/(4*$P$20))</f>
        <v>150.77678358302643</v>
      </c>
      <c r="Q24" s="61"/>
      <c r="R24" s="62"/>
      <c r="V24" s="101"/>
      <c r="W24" s="101"/>
      <c r="X24" s="101"/>
    </row>
    <row r="25" spans="2:36" s="12" customFormat="1" x14ac:dyDescent="0.25">
      <c r="B25">
        <v>20.9759009402269</v>
      </c>
      <c r="C25">
        <v>168.01331470657257</v>
      </c>
      <c r="D25" s="26">
        <v>16.096707094637519</v>
      </c>
      <c r="E25">
        <v>1799.9866666666701</v>
      </c>
      <c r="F25">
        <v>0.28745673617243817</v>
      </c>
      <c r="H25" s="42">
        <f>IF(Table1[[#This Row],[A]], ($P$23*Table1[[#This Row],[PhiPS2]]*Table1[[#This Row],[PARi]]*Table1[[#This Row],[A]]-4*(Table1[[#This Row],[A]]+$P$22)*Table1[[#This Row],[A]])/($P$23*Table1[[#This Row],[PhiPS2]]*Table1[[#This Row],[PARi]]*(Table1[[#This Row],[Ci ppm]]-$P$40)-4*(Table1[[#This Row],[A]]+$P$22)*(Table1[[#This Row],[Ci ppm]]+2*$P$40))," ")</f>
        <v>0.42736514647638879</v>
      </c>
      <c r="I25" s="43">
        <f t="shared" si="3"/>
        <v>118.93139702289506</v>
      </c>
      <c r="J25" s="40">
        <f t="shared" si="4"/>
        <v>21.057391823941146</v>
      </c>
      <c r="K25" s="40">
        <f t="shared" si="5"/>
        <v>26.76630805321529</v>
      </c>
      <c r="L25" s="40">
        <f>IF(Table1[[#This Row],[A]],Vcmax*(I25-Gammastr)/(I25+Kc*(1+O/Ko)),"")</f>
        <v>21.057391823941146</v>
      </c>
      <c r="M25" s="41">
        <f>IF(Table1[[#This Row],[A]], ABS(J25-Table1[[#This Row],[A]])^2," ")</f>
        <v>6.6407641285286664E-3</v>
      </c>
      <c r="O25" s="30"/>
      <c r="P25" s="14"/>
      <c r="Q25" s="14"/>
      <c r="R25" s="31"/>
    </row>
    <row r="26" spans="2:36" s="12" customFormat="1" x14ac:dyDescent="0.25">
      <c r="B26">
        <v>30.521746259614222</v>
      </c>
      <c r="C26">
        <v>287.86451404646431</v>
      </c>
      <c r="D26" s="26">
        <v>27.575459080784825</v>
      </c>
      <c r="E26">
        <v>1799.99</v>
      </c>
      <c r="F26">
        <v>0.33507922763786868</v>
      </c>
      <c r="H26" s="39">
        <f>IF(Table1[[#This Row],[A]], ($P$23*Table1[[#This Row],[PhiPS2]]*Table1[[#This Row],[PARi]]*Table1[[#This Row],[A]]-4*(Table1[[#This Row],[A]]+$P$22)*Table1[[#This Row],[A]])/($P$23*Table1[[#This Row],[PhiPS2]]*Table1[[#This Row],[PARi]]*(Table1[[#This Row],[Ci ppm]]-$P$40)-4*(Table1[[#This Row],[A]]+$P$22)*(Table1[[#This Row],[Ci ppm]]+2*$P$40))," ")</f>
        <v>0.23367077747585085</v>
      </c>
      <c r="I26" s="43">
        <f t="shared" si="3"/>
        <v>157.24592926100243</v>
      </c>
      <c r="J26" s="40">
        <f t="shared" si="4"/>
        <v>30.084881981225294</v>
      </c>
      <c r="K26" s="40">
        <f t="shared" si="5"/>
        <v>33.411917961202931</v>
      </c>
      <c r="L26" s="40">
        <f>IF(Table1[[#This Row],[A]],Vcmax*(I26-Gammastr)/(I26+Kc*(1+O/Ko)),"")</f>
        <v>30.084881981225294</v>
      </c>
      <c r="M26" s="41">
        <f>IF(Table1[[#This Row],[A]], ABS(J26-Table1[[#This Row],[A]])^2," ")</f>
        <v>0.19085039773227863</v>
      </c>
      <c r="O26" s="103" t="s">
        <v>22</v>
      </c>
      <c r="P26" s="14"/>
      <c r="Q26" s="14"/>
      <c r="R26" s="31"/>
    </row>
    <row r="27" spans="2:36" s="12" customFormat="1" x14ac:dyDescent="0.25">
      <c r="B27">
        <v>37.592406650263435</v>
      </c>
      <c r="C27">
        <v>355.43851552555736</v>
      </c>
      <c r="D27" s="26">
        <v>34.049158189641503</v>
      </c>
      <c r="E27">
        <v>1800.0266666666701</v>
      </c>
      <c r="F27">
        <v>0.35087264364347359</v>
      </c>
      <c r="H27" s="42">
        <f>IF(Table1[[#This Row],[A]], ($P$23*Table1[[#This Row],[PhiPS2]]*Table1[[#This Row],[PARi]]*Table1[[#This Row],[A]]-4*(Table1[[#This Row],[A]]+$P$22)*Table1[[#This Row],[A]])/($P$23*Table1[[#This Row],[PhiPS2]]*Table1[[#This Row],[PARi]]*(Table1[[#This Row],[Ci ppm]]-$P$40)-4*(Table1[[#This Row],[A]]+$P$22)*(Table1[[#This Row],[Ci ppm]]+2*$P$40))," ")</f>
        <v>0.25152854102075595</v>
      </c>
      <c r="I27" s="43">
        <f t="shared" si="3"/>
        <v>205.982686387021</v>
      </c>
      <c r="J27" s="40">
        <f t="shared" si="4"/>
        <v>39.298982739737419</v>
      </c>
      <c r="K27" s="40">
        <f t="shared" si="5"/>
        <v>39.298982739737419</v>
      </c>
      <c r="L27" s="40">
        <f>IF(Table1[[#This Row],[A]],Vcmax*(I27-Gammastr)/(I27+Kc*(1+O/Ko)),"")</f>
        <v>40.581900385064287</v>
      </c>
      <c r="M27" s="41">
        <f>IF(Table1[[#This Row],[A]], ABS(J27-Table1[[#This Row],[A]])^2," ")</f>
        <v>2.9124019491643152</v>
      </c>
      <c r="O27" s="102" t="s">
        <v>97</v>
      </c>
      <c r="P27" s="32"/>
      <c r="Q27" s="32"/>
      <c r="R27" s="33"/>
    </row>
    <row r="28" spans="2:36" s="12" customFormat="1" x14ac:dyDescent="0.25">
      <c r="B28">
        <v>41.365107826599427</v>
      </c>
      <c r="C28">
        <v>410.76195982216899</v>
      </c>
      <c r="D28" s="26">
        <v>39.348089445793264</v>
      </c>
      <c r="E28">
        <v>1800.09</v>
      </c>
      <c r="F28">
        <v>0.36602065248642801</v>
      </c>
      <c r="H28" s="42">
        <f>IF(Table1[[#This Row],[A]], ($P$23*Table1[[#This Row],[PhiPS2]]*Table1[[#This Row],[PARi]]*Table1[[#This Row],[A]]-4*(Table1[[#This Row],[A]]+$P$22)*Table1[[#This Row],[A]])/($P$23*Table1[[#This Row],[PhiPS2]]*Table1[[#This Row],[PARi]]*(Table1[[#This Row],[Ci ppm]]-$P$40)-4*(Table1[[#This Row],[A]]+$P$22)*(Table1[[#This Row],[Ci ppm]]+2*$P$40))," ")</f>
        <v>0.22782042878862915</v>
      </c>
      <c r="I28" s="43">
        <f>IF(B28,C28-B28/H28," ")</f>
        <v>229.19304589049605</v>
      </c>
      <c r="J28" s="40">
        <f t="shared" si="4"/>
        <v>41.45185568350702</v>
      </c>
      <c r="K28" s="40">
        <f t="shared" si="5"/>
        <v>41.45185568350702</v>
      </c>
      <c r="L28" s="40">
        <f>IF(Table1[[#This Row],[A]],Vcmax*(I28-Gammastr)/(I28+Kc*(1+O/Ko)),"")</f>
        <v>45.23412714416795</v>
      </c>
      <c r="M28" s="41">
        <f>IF(Table1[[#This Row],[A]], ABS(J28-Table1[[#This Row],[A]])^2," ")</f>
        <v>7.5251906780601941E-3</v>
      </c>
    </row>
    <row r="29" spans="2:36" s="12" customFormat="1" x14ac:dyDescent="0.25">
      <c r="B29">
        <v>43.492345378412615</v>
      </c>
      <c r="C29">
        <v>463.53226180942045</v>
      </c>
      <c r="D29" s="26">
        <v>44.402898537439533</v>
      </c>
      <c r="E29">
        <v>1800.0833333333301</v>
      </c>
      <c r="F29">
        <v>0.3697058534827008</v>
      </c>
      <c r="H29" s="39">
        <f>IF(Table1[[#This Row],[A]], ($P$23*Table1[[#This Row],[PhiPS2]]*Table1[[#This Row],[PARi]]*Table1[[#This Row],[A]]-4*(Table1[[#This Row],[A]]+$P$22)*Table1[[#This Row],[A]])/($P$23*Table1[[#This Row],[PhiPS2]]*Table1[[#This Row],[PARi]]*(Table1[[#This Row],[Ci ppm]]-$P$40)-4*(Table1[[#This Row],[A]]+$P$22)*(Table1[[#This Row],[Ci ppm]]+2*$P$40))," ")</f>
        <v>0.20398889485992686</v>
      </c>
      <c r="I29" s="43">
        <f t="shared" si="3"/>
        <v>250.32288387599166</v>
      </c>
      <c r="J29" s="40">
        <f t="shared" si="4"/>
        <v>43.14927643308264</v>
      </c>
      <c r="K29" s="40">
        <f t="shared" si="5"/>
        <v>43.14927643308264</v>
      </c>
      <c r="L29" s="40">
        <f>IF(Table1[[#This Row],[A]],Vcmax*(I29-Gammastr)/(I29+Kc*(1+O/Ko)),"")</f>
        <v>49.291851320912237</v>
      </c>
      <c r="M29" s="41">
        <f>IF(Table1[[#This Row],[A]], ABS(J29-Table1[[#This Row],[A]])^2," ")</f>
        <v>0.11769630124982131</v>
      </c>
    </row>
    <row r="30" spans="2:36" s="12" customFormat="1" x14ac:dyDescent="0.25">
      <c r="B30">
        <v>46.711130395848464</v>
      </c>
      <c r="C30">
        <v>723.1667547402368</v>
      </c>
      <c r="D30" s="26">
        <v>69.277193093065605</v>
      </c>
      <c r="E30">
        <v>1799.885</v>
      </c>
      <c r="F30">
        <v>0.37672482293593046</v>
      </c>
      <c r="H30" s="42">
        <f>IF(Table1[[#This Row],[A]], ($P$23*Table1[[#This Row],[PhiPS2]]*Table1[[#This Row],[PARi]]*Table1[[#This Row],[A]]-4*(Table1[[#This Row],[A]]+$P$22)*Table1[[#This Row],[A]])/($P$23*Table1[[#This Row],[PhiPS2]]*Table1[[#This Row],[PARi]]*(Table1[[#This Row],[Ci ppm]]-$P$40)-4*(Table1[[#This Row],[A]]+$P$22)*(Table1[[#This Row],[Ci ppm]]+2*$P$40))," ")</f>
        <v>0.10650453087728656</v>
      </c>
      <c r="I30" s="43">
        <f t="shared" si="3"/>
        <v>284.58325025376053</v>
      </c>
      <c r="J30" s="40">
        <f t="shared" si="4"/>
        <v>45.484246976118342</v>
      </c>
      <c r="K30" s="40">
        <f t="shared" si="5"/>
        <v>45.484246976118342</v>
      </c>
      <c r="L30" s="40">
        <f>IF(Table1[[#This Row],[A]],Vcmax*(I30-Gammastr)/(I30+Kc*(1+O/Ko)),"")</f>
        <v>55.537499203572324</v>
      </c>
      <c r="M30" s="41">
        <f>IF(Table1[[#This Row],[A]], ABS(J30-Table1[[#This Row],[A]])^2," ")</f>
        <v>1.5052429256086781</v>
      </c>
    </row>
    <row r="31" spans="2:36" s="12" customFormat="1" x14ac:dyDescent="0.25">
      <c r="B31"/>
      <c r="C31"/>
      <c r="D31" s="26"/>
      <c r="E31"/>
      <c r="F31"/>
      <c r="H31" s="42" t="str">
        <f>IF(Table1[[#This Row],[A]], ($P$23*Table1[[#This Row],[PhiPS2]]*Table1[[#This Row],[PARi]]*Table1[[#This Row],[A]]-4*(Table1[[#This Row],[A]]+$P$22)*Table1[[#This Row],[A]])/($P$23*Table1[[#This Row],[PhiPS2]]*Table1[[#This Row],[PARi]]*(Table1[[#This Row],[Ci ppm]]-$P$40)-4*(Table1[[#This Row],[A]]+$P$22)*(Table1[[#This Row],[Ci ppm]]+2*$P$40))," ")</f>
        <v xml:space="preserve"> </v>
      </c>
      <c r="I31" s="43" t="str">
        <f t="shared" si="3"/>
        <v xml:space="preserve"> </v>
      </c>
      <c r="J31" s="40" t="str">
        <f t="shared" si="4"/>
        <v/>
      </c>
      <c r="K31" s="40" t="str">
        <f t="shared" si="5"/>
        <v/>
      </c>
      <c r="L31" s="40" t="str">
        <f>IF(Table1[[#This Row],[A]],Vcmax*(I31-Gammastr)/(I31+Kc*(1+O/Ko)),"")</f>
        <v/>
      </c>
      <c r="M31" s="41" t="str">
        <f>IF(Table1[[#This Row],[A]], ABS(J31-Table1[[#This Row],[A]])^2," ")</f>
        <v xml:space="preserve"> </v>
      </c>
    </row>
    <row r="32" spans="2:36" s="12" customFormat="1" x14ac:dyDescent="0.25">
      <c r="B32"/>
      <c r="C32"/>
      <c r="D32" s="26" t="str">
        <f>IF(Table1[[#This Row],[A]], Table1[[#This Row],[Ci ppm]]*0.001*$B$13, " ")</f>
        <v xml:space="preserve"> </v>
      </c>
      <c r="E32"/>
      <c r="F32"/>
      <c r="H32" s="39" t="str">
        <f>IF(Table1[[#This Row],[A]], ($P$23*Table1[[#This Row],[PhiPS2]]*Table1[[#This Row],[PARi]]*Table1[[#This Row],[A]]-4*(Table1[[#This Row],[A]]+$P$22)*Table1[[#This Row],[A]])/($P$23*Table1[[#This Row],[PhiPS2]]*Table1[[#This Row],[PARi]]*(Table1[[#This Row],[Ci ppm]]-$P$40)-4*(Table1[[#This Row],[A]]+$P$22)*(Table1[[#This Row],[Ci ppm]]+2*$P$40))," ")</f>
        <v xml:space="preserve"> </v>
      </c>
      <c r="I32" s="43" t="str">
        <f t="shared" si="3"/>
        <v xml:space="preserve"> </v>
      </c>
      <c r="J32" s="40" t="str">
        <f t="shared" si="4"/>
        <v/>
      </c>
      <c r="K32" s="40" t="str">
        <f t="shared" si="5"/>
        <v/>
      </c>
      <c r="L32" s="40" t="str">
        <f>IF(Table1[[#This Row],[A]],Vcmax*(I32-Gammastr)/(I32+Kc*(1+O/Ko)),"")</f>
        <v/>
      </c>
      <c r="M32" s="41" t="str">
        <f>IF(Table1[[#This Row],[A]], ABS(J32-Table1[[#This Row],[A]])^2," ")</f>
        <v xml:space="preserve"> </v>
      </c>
    </row>
    <row r="33" spans="1:27" s="12" customFormat="1" x14ac:dyDescent="0.25">
      <c r="B33"/>
      <c r="C33"/>
      <c r="D33" s="26" t="str">
        <f>IF(Table1[[#This Row],[A]], Table1[[#This Row],[Ci ppm]]*0.001*$B$13, " ")</f>
        <v xml:space="preserve"> </v>
      </c>
      <c r="E33"/>
      <c r="F33"/>
      <c r="H33" s="42" t="str">
        <f>IF(Table1[[#This Row],[A]], ($P$23*Table1[[#This Row],[PhiPS2]]*Table1[[#This Row],[PARi]]*Table1[[#This Row],[A]]-4*(Table1[[#This Row],[A]]+$P$22)*Table1[[#This Row],[A]])/($P$23*Table1[[#This Row],[PhiPS2]]*Table1[[#This Row],[PARi]]*(Table1[[#This Row],[Ci ppm]]-$P$40)-4*(Table1[[#This Row],[A]]+$P$22)*(Table1[[#This Row],[Ci ppm]]+2*$P$40))," ")</f>
        <v xml:space="preserve"> </v>
      </c>
      <c r="I33" s="43" t="str">
        <f t="shared" si="3"/>
        <v xml:space="preserve"> </v>
      </c>
      <c r="J33" s="40" t="str">
        <f t="shared" si="4"/>
        <v/>
      </c>
      <c r="K33" s="40" t="str">
        <f t="shared" si="5"/>
        <v/>
      </c>
      <c r="L33" s="40" t="str">
        <f>IF(Table1[[#This Row],[A]],Vcmax*(I33-Gammastr)/(I33+Kc*(1+O/Ko)),"")</f>
        <v/>
      </c>
      <c r="M33" s="41" t="str">
        <f>IF(Table1[[#This Row],[A]], ABS(J33-Table1[[#This Row],[A]])^2," ")</f>
        <v xml:space="preserve"> </v>
      </c>
    </row>
    <row r="34" spans="1:27" s="12" customFormat="1" x14ac:dyDescent="0.25">
      <c r="B34" s="27"/>
      <c r="C34"/>
      <c r="D34" s="26" t="str">
        <f>IF(Table1[[#This Row],[A]], Table1[[#This Row],[Ci ppm]]*0.001*$B$13, " ")</f>
        <v xml:space="preserve"> </v>
      </c>
      <c r="E34"/>
      <c r="F34"/>
      <c r="H34" s="42" t="str">
        <f>IF(Table1[[#This Row],[A]], ($P$23*Table1[[#This Row],[PhiPS2]]*Table1[[#This Row],[PARi]]*Table1[[#This Row],[A]]-4*(Table1[[#This Row],[A]]+$P$22)*Table1[[#This Row],[A]])/($P$23*Table1[[#This Row],[PhiPS2]]*Table1[[#This Row],[PARi]]*(Table1[[#This Row],[Ci ppm]]-$P$40)-4*(Table1[[#This Row],[A]]+$P$22)*(Table1[[#This Row],[Ci ppm]]+2*$P$40))," ")</f>
        <v xml:space="preserve"> </v>
      </c>
      <c r="I34" s="43" t="str">
        <f t="shared" si="3"/>
        <v xml:space="preserve"> </v>
      </c>
      <c r="J34" s="40" t="str">
        <f t="shared" si="4"/>
        <v/>
      </c>
      <c r="K34" s="40" t="str">
        <f t="shared" si="5"/>
        <v/>
      </c>
      <c r="L34" s="40" t="str">
        <f>IF(Table1[[#This Row],[A]],Vcmax*(I34-Gammastr)/(I34+Kc*(1+O/Ko)),"")</f>
        <v/>
      </c>
      <c r="M34" s="41" t="str">
        <f>IF(Table1[[#This Row],[A]], ABS(J34-Table1[[#This Row],[A]])^2," ")</f>
        <v xml:space="preserve"> </v>
      </c>
    </row>
    <row r="35" spans="1:27" s="12" customFormat="1" x14ac:dyDescent="0.25">
      <c r="B35" s="27"/>
      <c r="C35"/>
      <c r="D35" s="26" t="str">
        <f>IF(Table1[[#This Row],[A]], Table1[[#This Row],[Ci ppm]]*0.001*$B$13, " ")</f>
        <v xml:space="preserve"> </v>
      </c>
      <c r="E35"/>
      <c r="F35"/>
      <c r="H35" s="39" t="str">
        <f>IF(Table1[[#This Row],[A]], ($P$23*Table1[[#This Row],[PhiPS2]]*Table1[[#This Row],[PARi]]*Table1[[#This Row],[A]]-4*(Table1[[#This Row],[A]]+$P$22)*Table1[[#This Row],[A]])/($P$23*Table1[[#This Row],[PhiPS2]]*Table1[[#This Row],[PARi]]*(Table1[[#This Row],[Ci ppm]]-$P$40)-4*(Table1[[#This Row],[A]]+$P$22)*(Table1[[#This Row],[Ci ppm]]+2*$P$40))," ")</f>
        <v xml:space="preserve"> </v>
      </c>
      <c r="I35" s="43" t="str">
        <f t="shared" si="3"/>
        <v xml:space="preserve"> </v>
      </c>
      <c r="J35" s="40" t="str">
        <f t="shared" si="4"/>
        <v/>
      </c>
      <c r="K35" s="40" t="str">
        <f t="shared" si="5"/>
        <v/>
      </c>
      <c r="L35" s="40" t="str">
        <f>IF(Table1[[#This Row],[A]],Vcmax*(I35-Gammastr)/(I35+Kc*(1+O/Ko)),"")</f>
        <v/>
      </c>
      <c r="M35" s="41" t="str">
        <f>IF(Table1[[#This Row],[A]], ABS(J35-Table1[[#This Row],[A]])^2," ")</f>
        <v xml:space="preserve"> </v>
      </c>
      <c r="O35" s="114" t="s">
        <v>23</v>
      </c>
      <c r="P35" s="115"/>
      <c r="Q35" s="115"/>
      <c r="R35" s="115"/>
      <c r="S35" s="115"/>
      <c r="T35" s="115"/>
      <c r="U35" s="115"/>
    </row>
    <row r="36" spans="1:27" s="12" customFormat="1" x14ac:dyDescent="0.25">
      <c r="B36" s="27"/>
      <c r="C36"/>
      <c r="D36" s="26" t="str">
        <f>IF(Table1[[#This Row],[A]], Table1[[#This Row],[Ci ppm]]*0.001*$B$13, " ")</f>
        <v xml:space="preserve"> </v>
      </c>
      <c r="E36"/>
      <c r="F36"/>
      <c r="H36" s="42" t="str">
        <f>IF(Table1[[#This Row],[A]], ($P$23*Table1[[#This Row],[PhiPS2]]*Table1[[#This Row],[PARi]]*Table1[[#This Row],[A]]-4*(Table1[[#This Row],[A]]+$P$22)*Table1[[#This Row],[A]])/($P$23*Table1[[#This Row],[PhiPS2]]*Table1[[#This Row],[PARi]]*(Table1[[#This Row],[Ci ppm]]-$P$40)-4*(Table1[[#This Row],[A]]+$P$22)*(Table1[[#This Row],[Ci ppm]]+2*$P$40))," ")</f>
        <v xml:space="preserve"> </v>
      </c>
      <c r="I36" s="43" t="str">
        <f t="shared" si="3"/>
        <v xml:space="preserve"> </v>
      </c>
      <c r="J36" s="40" t="str">
        <f t="shared" si="4"/>
        <v/>
      </c>
      <c r="K36" s="40" t="str">
        <f t="shared" si="5"/>
        <v/>
      </c>
      <c r="L36" s="40" t="str">
        <f>IF(Table1[[#This Row],[A]],Vcmax*(I36-Gammastr)/(I36+Kc*(1+O/Ko)),"")</f>
        <v/>
      </c>
      <c r="M36" s="41" t="str">
        <f>IF(Table1[[#This Row],[A]], ABS(J36-Table1[[#This Row],[A]])^2," ")</f>
        <v xml:space="preserve"> </v>
      </c>
      <c r="O36" s="78"/>
      <c r="P36" s="52" t="s">
        <v>24</v>
      </c>
      <c r="Q36" s="52" t="s">
        <v>25</v>
      </c>
      <c r="R36" s="79" t="s">
        <v>26</v>
      </c>
      <c r="S36" s="80" t="s">
        <v>27</v>
      </c>
      <c r="T36" s="80" t="s">
        <v>28</v>
      </c>
      <c r="U36" s="80" t="s">
        <v>29</v>
      </c>
    </row>
    <row r="37" spans="1:27" s="12" customFormat="1" x14ac:dyDescent="0.25">
      <c r="B37" s="27"/>
      <c r="C37"/>
      <c r="D37" s="26" t="str">
        <f>IF(Table1[[#This Row],[A]], Table1[[#This Row],[Ci ppm]]*0.001*$B$13, " ")</f>
        <v xml:space="preserve"> </v>
      </c>
      <c r="E37"/>
      <c r="F37"/>
      <c r="H37" s="42" t="str">
        <f>IF(Table1[[#This Row],[A]], ($P$23*Table1[[#This Row],[PhiPS2]]*Table1[[#This Row],[PARi]]*Table1[[#This Row],[A]]-4*(Table1[[#This Row],[A]]+$P$22)*Table1[[#This Row],[A]])/($P$23*Table1[[#This Row],[PhiPS2]]*Table1[[#This Row],[PARi]]*(Table1[[#This Row],[Ci ppm]]-$P$40)-4*(Table1[[#This Row],[A]]+$P$22)*(Table1[[#This Row],[Ci ppm]]+2*$P$40))," ")</f>
        <v xml:space="preserve"> </v>
      </c>
      <c r="I37" s="43" t="str">
        <f t="shared" si="3"/>
        <v xml:space="preserve"> </v>
      </c>
      <c r="J37" s="40" t="str">
        <f t="shared" si="4"/>
        <v/>
      </c>
      <c r="K37" s="40" t="str">
        <f t="shared" si="5"/>
        <v/>
      </c>
      <c r="L37" s="40" t="str">
        <f>IF(Table1[[#This Row],[A]],Vcmax*(I37-Gammastr)/(I37+Kc*(1+O/Ko)),"")</f>
        <v/>
      </c>
      <c r="M37" s="41" t="str">
        <f>IF(Table1[[#This Row],[A]], ABS(J37-Table1[[#This Row],[A]])^2," ")</f>
        <v xml:space="preserve"> </v>
      </c>
      <c r="O37" s="81" t="s">
        <v>30</v>
      </c>
      <c r="P37" s="17"/>
      <c r="Q37" s="17"/>
      <c r="R37" s="17"/>
      <c r="S37" s="17"/>
      <c r="T37" s="17"/>
      <c r="U37" s="63"/>
      <c r="V37" s="14"/>
      <c r="W37" s="14"/>
      <c r="X37" s="16"/>
      <c r="Y37" s="14"/>
      <c r="Z37" s="14"/>
      <c r="AA37" s="14"/>
    </row>
    <row r="38" spans="1:27" s="12" customFormat="1" x14ac:dyDescent="0.25">
      <c r="B38" s="27"/>
      <c r="C38"/>
      <c r="D38" s="26" t="str">
        <f>IF(Table1[[#This Row],[A]], Table1[[#This Row],[Ci ppm]]*0.001*$B$13, " ")</f>
        <v xml:space="preserve"> </v>
      </c>
      <c r="E38"/>
      <c r="F38"/>
      <c r="H38" s="39" t="str">
        <f>IF(Table1[[#This Row],[A]], ($P$23*Table1[[#This Row],[PhiPS2]]*Table1[[#This Row],[PARi]]*Table1[[#This Row],[A]]-4*(Table1[[#This Row],[A]]+$P$22)*Table1[[#This Row],[A]])/($P$23*Table1[[#This Row],[PhiPS2]]*Table1[[#This Row],[PARi]]*(Table1[[#This Row],[Ci ppm]]-$P$40)-4*(Table1[[#This Row],[A]]+$P$22)*(Table1[[#This Row],[Ci ppm]]+2*$P$40))," ")</f>
        <v xml:space="preserve"> </v>
      </c>
      <c r="I38" s="43" t="str">
        <f t="shared" si="3"/>
        <v xml:space="preserve"> </v>
      </c>
      <c r="J38" s="40" t="str">
        <f t="shared" si="4"/>
        <v/>
      </c>
      <c r="K38" s="40" t="str">
        <f t="shared" si="5"/>
        <v/>
      </c>
      <c r="L38" s="40" t="str">
        <f>IF(Table1[[#This Row],[A]],Vcmax*(I38-Gammastr)/(I38+Kc*(1+O/Ko)),"")</f>
        <v/>
      </c>
      <c r="M38" s="41" t="str">
        <f>IF(Table1[[#This Row],[A]], ABS(J38-Table1[[#This Row],[A]])^2," ")</f>
        <v xml:space="preserve"> </v>
      </c>
      <c r="O38" s="46" t="s">
        <v>34</v>
      </c>
      <c r="P38" s="106">
        <v>373.41800000000001</v>
      </c>
      <c r="Q38" s="64">
        <f>EXP(R38-(S38/(0.008314*(273.15+25))))/($B$13*0.001)</f>
        <v>284.58063333141968</v>
      </c>
      <c r="R38" s="65">
        <v>35.977400000000003</v>
      </c>
      <c r="S38" s="66">
        <v>80.989999999999995</v>
      </c>
      <c r="T38" s="66"/>
      <c r="U38" s="67"/>
      <c r="Z38" s="14"/>
    </row>
    <row r="39" spans="1:27" s="12" customFormat="1" ht="15.6" x14ac:dyDescent="0.25">
      <c r="B39" s="27"/>
      <c r="C39"/>
      <c r="D39" s="26" t="str">
        <f>IF(Table1[[#This Row],[A]], Table1[[#This Row],[Ci ppm]]*0.001*$B$13, " ")</f>
        <v xml:space="preserve"> </v>
      </c>
      <c r="E39"/>
      <c r="F39"/>
      <c r="H39" s="42" t="str">
        <f>IF(Table1[[#This Row],[A]], ($P$23*Table1[[#This Row],[PhiPS2]]*Table1[[#This Row],[PARi]]*Table1[[#This Row],[A]]-4*(Table1[[#This Row],[A]]+$P$22)*Table1[[#This Row],[A]])/($P$23*Table1[[#This Row],[PhiPS2]]*Table1[[#This Row],[PARi]]*(Table1[[#This Row],[Ci ppm]]-$P$40)-4*(Table1[[#This Row],[A]]+$P$22)*(Table1[[#This Row],[Ci ppm]]+2*$P$40))," ")</f>
        <v xml:space="preserve"> </v>
      </c>
      <c r="I39" s="43" t="str">
        <f t="shared" si="3"/>
        <v xml:space="preserve"> </v>
      </c>
      <c r="J39" s="40" t="str">
        <f t="shared" si="4"/>
        <v/>
      </c>
      <c r="K39" s="40" t="str">
        <f t="shared" si="5"/>
        <v/>
      </c>
      <c r="L39" s="40" t="str">
        <f>IF(Table1[[#This Row],[A]],Vcmax*(I39-Gammastr)/(I39+Kc*(1+O/Ko)),"")</f>
        <v/>
      </c>
      <c r="M39" s="41" t="str">
        <f>IF(Table1[[#This Row],[A]], ABS(J39-Table1[[#This Row],[A]])^2," ")</f>
        <v xml:space="preserve"> </v>
      </c>
      <c r="O39" s="78" t="s">
        <v>103</v>
      </c>
      <c r="P39" s="107">
        <v>180.56</v>
      </c>
      <c r="Q39" s="68">
        <f>EXP(R39-(S39/(0.008314*(273.15+25))))/($B$13*0.001)</f>
        <v>173.21954992295548</v>
      </c>
      <c r="R39" s="69">
        <v>12.3772</v>
      </c>
      <c r="S39" s="70">
        <v>23.72</v>
      </c>
      <c r="T39" s="70"/>
      <c r="U39" s="49"/>
      <c r="Z39" s="14"/>
    </row>
    <row r="40" spans="1:27" s="12" customFormat="1" x14ac:dyDescent="0.25">
      <c r="B40" s="27"/>
      <c r="C40"/>
      <c r="D40" s="26" t="str">
        <f>IF(Table1[[#This Row],[A]], Table1[[#This Row],[Ci ppm]]*0.001*$B$13, " ")</f>
        <v xml:space="preserve"> </v>
      </c>
      <c r="E40"/>
      <c r="F40"/>
      <c r="H40" s="42" t="str">
        <f>IF(Table1[[#This Row],[A]], ($P$23*Table1[[#This Row],[PhiPS2]]*Table1[[#This Row],[PARi]]*Table1[[#This Row],[A]]-4*(Table1[[#This Row],[A]]+$P$22)*Table1[[#This Row],[A]])/($P$23*Table1[[#This Row],[PhiPS2]]*Table1[[#This Row],[PARi]]*(Table1[[#This Row],[Ci ppm]]-$P$40)-4*(Table1[[#This Row],[A]]+$P$22)*(Table1[[#This Row],[Ci ppm]]+2*$P$40))," ")</f>
        <v xml:space="preserve"> </v>
      </c>
      <c r="I40" s="43" t="str">
        <f t="shared" si="3"/>
        <v xml:space="preserve"> </v>
      </c>
      <c r="J40" s="40" t="str">
        <f t="shared" si="4"/>
        <v/>
      </c>
      <c r="K40" s="40" t="str">
        <f t="shared" si="5"/>
        <v/>
      </c>
      <c r="L40" s="40" t="str">
        <f>IF(Table1[[#This Row],[A]],Vcmax*(I40-Gammastr)/(I40+Kc*(1+O/Ko)),"")</f>
        <v/>
      </c>
      <c r="M40" s="41" t="str">
        <f>IF(Table1[[#This Row],[A]], ABS(J40-Table1[[#This Row],[A]])^2," ")</f>
        <v xml:space="preserve"> </v>
      </c>
      <c r="O40" s="82" t="s">
        <v>98</v>
      </c>
      <c r="P40" s="107">
        <v>40.382925810585299</v>
      </c>
      <c r="Q40" s="68">
        <f>EXP(R40-(S40/(0.008314*(273.15+25))))/(B13*0.001)</f>
        <v>39.08859034401992</v>
      </c>
      <c r="R40" s="69">
        <v>11.186999999999999</v>
      </c>
      <c r="S40" s="70">
        <v>24.46</v>
      </c>
      <c r="T40" s="70"/>
      <c r="U40" s="49"/>
      <c r="Z40" s="14"/>
    </row>
    <row r="41" spans="1:27" s="12" customFormat="1" x14ac:dyDescent="0.25">
      <c r="B41" s="27"/>
      <c r="C41"/>
      <c r="D41" s="26" t="str">
        <f>IF(Table1[[#This Row],[A]], Table1[[#This Row],[Ci ppm]]*0.001*$B$13, " ")</f>
        <v xml:space="preserve"> </v>
      </c>
      <c r="E41"/>
      <c r="F41"/>
      <c r="H41" s="39" t="str">
        <f>IF(Table1[[#This Row],[A]], ($P$23*Table1[[#This Row],[PhiPS2]]*Table1[[#This Row],[PARi]]*Table1[[#This Row],[A]]-4*(Table1[[#This Row],[A]]+$P$22)*Table1[[#This Row],[A]])/($P$23*Table1[[#This Row],[PhiPS2]]*Table1[[#This Row],[PARi]]*(Table1[[#This Row],[Ci ppm]]-$P$40)-4*(Table1[[#This Row],[A]]+$P$22)*(Table1[[#This Row],[Ci ppm]]+2*$P$40))," ")</f>
        <v xml:space="preserve"> </v>
      </c>
      <c r="I41" s="43" t="str">
        <f t="shared" si="3"/>
        <v xml:space="preserve"> </v>
      </c>
      <c r="J41" s="40" t="str">
        <f t="shared" si="4"/>
        <v/>
      </c>
      <c r="K41" s="40" t="str">
        <f t="shared" si="5"/>
        <v/>
      </c>
      <c r="L41" s="40" t="str">
        <f>IF(Table1[[#This Row],[A]],Vcmax*(I41-Gammastr)/(I41+Kc*(1+O/Ko)),"")</f>
        <v/>
      </c>
      <c r="M41" s="41" t="str">
        <f>IF(Table1[[#This Row],[A]], ABS(J41-Table1[[#This Row],[A]])^2," ")</f>
        <v xml:space="preserve"> </v>
      </c>
      <c r="O41" s="81" t="s">
        <v>31</v>
      </c>
      <c r="P41" s="108"/>
      <c r="Q41" s="76"/>
      <c r="R41" s="76"/>
      <c r="S41" s="76"/>
      <c r="T41" s="76"/>
      <c r="U41" s="77"/>
      <c r="Z41" s="14"/>
    </row>
    <row r="42" spans="1:27" s="12" customFormat="1" x14ac:dyDescent="0.25">
      <c r="B42" s="27"/>
      <c r="C42"/>
      <c r="D42" s="26" t="str">
        <f>IF(Table1[[#This Row],[A]], Table1[[#This Row],[Ci ppm]]*0.001*$B$13, " ")</f>
        <v xml:space="preserve"> </v>
      </c>
      <c r="E42"/>
      <c r="F42"/>
      <c r="H42" s="42" t="str">
        <f>IF(Table1[[#This Row],[A]], ($P$23*Table1[[#This Row],[PhiPS2]]*Table1[[#This Row],[PARi]]*Table1[[#This Row],[A]]-4*(Table1[[#This Row],[A]]+$P$22)*Table1[[#This Row],[A]])/($P$23*Table1[[#This Row],[PhiPS2]]*Table1[[#This Row],[PARi]]*(Table1[[#This Row],[Ci ppm]]-$P$40)-4*(Table1[[#This Row],[A]]+$P$22)*(Table1[[#This Row],[Ci ppm]]+2*$P$40))," ")</f>
        <v xml:space="preserve"> </v>
      </c>
      <c r="I42" s="43" t="str">
        <f t="shared" si="3"/>
        <v xml:space="preserve"> </v>
      </c>
      <c r="J42" s="40" t="str">
        <f t="shared" si="4"/>
        <v/>
      </c>
      <c r="K42" s="40" t="str">
        <f t="shared" si="5"/>
        <v/>
      </c>
      <c r="L42" s="40" t="str">
        <f>IF(Table1[[#This Row],[A]],Vcmax*(I42-Gammastr)/(I42+Kc*(1+O/Ko)),"")</f>
        <v/>
      </c>
      <c r="M42" s="41" t="str">
        <f>IF(Table1[[#This Row],[A]], ABS(J42-Table1[[#This Row],[A]])^2," ")</f>
        <v xml:space="preserve"> </v>
      </c>
      <c r="O42" s="46" t="s">
        <v>17</v>
      </c>
      <c r="P42" s="109">
        <f>EXP($R42-($S42/(0.008314*(273.15+$B$12))))</f>
        <v>1.0184263009617918</v>
      </c>
      <c r="Q42" s="71">
        <f>EXP($R42-($S42/(0.008314*(273.15+25))))</f>
        <v>0.99970852484472605</v>
      </c>
      <c r="R42" s="69">
        <v>26.355</v>
      </c>
      <c r="S42" s="70">
        <v>65.33</v>
      </c>
      <c r="T42" s="70"/>
      <c r="U42" s="49"/>
      <c r="Z42" s="14"/>
    </row>
    <row r="43" spans="1:27" s="12" customFormat="1" x14ac:dyDescent="0.25">
      <c r="B43" s="27"/>
      <c r="C43"/>
      <c r="D43" s="26" t="str">
        <f>IF(Table1[[#This Row],[A]], Table1[[#This Row],[Ci ppm]]*0.001*$B$13, " ")</f>
        <v xml:space="preserve"> </v>
      </c>
      <c r="E43"/>
      <c r="F43"/>
      <c r="H43" s="42" t="str">
        <f>IF(Table1[[#This Row],[A]], ($P$23*Table1[[#This Row],[PhiPS2]]*Table1[[#This Row],[PARi]]*Table1[[#This Row],[A]]-4*(Table1[[#This Row],[A]]+$P$22)*Table1[[#This Row],[A]])/($P$23*Table1[[#This Row],[PhiPS2]]*Table1[[#This Row],[PARi]]*(Table1[[#This Row],[Ci ppm]]-$P$40)-4*(Table1[[#This Row],[A]]+$P$22)*(Table1[[#This Row],[Ci ppm]]+2*$P$40))," ")</f>
        <v xml:space="preserve"> </v>
      </c>
      <c r="I43" s="43" t="str">
        <f t="shared" si="3"/>
        <v xml:space="preserve"> </v>
      </c>
      <c r="J43" s="40" t="str">
        <f t="shared" si="4"/>
        <v/>
      </c>
      <c r="K43" s="40" t="str">
        <f t="shared" si="5"/>
        <v/>
      </c>
      <c r="L43" s="40" t="str">
        <f>IF(Table1[[#This Row],[A]],Vcmax*(I43-Gammastr)/(I43+Kc*(1+O/Ko)),"")</f>
        <v/>
      </c>
      <c r="M43" s="41" t="str">
        <f>IF(Table1[[#This Row],[A]], ABS(J43-Table1[[#This Row],[A]])^2," ")</f>
        <v xml:space="preserve"> </v>
      </c>
      <c r="O43" s="78" t="s">
        <v>19</v>
      </c>
      <c r="P43" s="109">
        <f>EXP($R43-($S43/(0.008314*(273.15+$B$12))))</f>
        <v>1.0124967303682371</v>
      </c>
      <c r="Q43" s="71">
        <f>EXP($R43-($S43/(0.008314*(273.15+25))))</f>
        <v>0.99995411670395185</v>
      </c>
      <c r="R43" s="69">
        <v>17.71</v>
      </c>
      <c r="S43" s="70">
        <v>43.9</v>
      </c>
      <c r="T43" s="70"/>
      <c r="U43" s="49"/>
      <c r="Z43" s="14"/>
    </row>
    <row r="44" spans="1:27" s="12" customFormat="1" x14ac:dyDescent="0.25">
      <c r="B44" s="27"/>
      <c r="C44"/>
      <c r="D44" s="26" t="str">
        <f>IF(Table1[[#This Row],[A]], Table1[[#This Row],[Ci ppm]]*0.001*$B$13, " ")</f>
        <v xml:space="preserve"> </v>
      </c>
      <c r="E44"/>
      <c r="F44"/>
      <c r="H44" s="39" t="str">
        <f>IF(Table1[[#This Row],[A]], ($P$23*Table1[[#This Row],[PhiPS2]]*Table1[[#This Row],[PARi]]*Table1[[#This Row],[A]]-4*(Table1[[#This Row],[A]]+$P$22)*Table1[[#This Row],[A]])/($P$23*Table1[[#This Row],[PhiPS2]]*Table1[[#This Row],[PARi]]*(Table1[[#This Row],[Ci ppm]]-$P$40)-4*(Table1[[#This Row],[A]]+$P$22)*(Table1[[#This Row],[Ci ppm]]+2*$P$40))," ")</f>
        <v xml:space="preserve"> </v>
      </c>
      <c r="I44" s="43" t="str">
        <f t="shared" si="3"/>
        <v xml:space="preserve"> </v>
      </c>
      <c r="J44" s="40" t="str">
        <f t="shared" si="4"/>
        <v/>
      </c>
      <c r="K44" s="40" t="str">
        <f t="shared" si="5"/>
        <v/>
      </c>
      <c r="L44" s="40" t="str">
        <f>IF(Table1[[#This Row],[A]],Vcmax*(I44-Gammastr)/(I44+Kc*(1+O/Ko)),"")</f>
        <v/>
      </c>
      <c r="M44" s="41" t="str">
        <f>IF(Table1[[#This Row],[A]], ABS(J44-Table1[[#This Row],[A]])^2," ")</f>
        <v xml:space="preserve"> </v>
      </c>
      <c r="O44" s="78" t="s">
        <v>32</v>
      </c>
      <c r="P44" s="109">
        <f>EXP($R44-($S44/(0.008314*(273.15+$B$12))))</f>
        <v>1.0137088542650823</v>
      </c>
      <c r="Q44" s="71">
        <f>EXP($R44-($S44/(0.008314*(273.15+25))))</f>
        <v>1.0004436388128359</v>
      </c>
      <c r="R44" s="69">
        <v>18.715</v>
      </c>
      <c r="S44" s="70">
        <v>46.39</v>
      </c>
      <c r="T44" s="70"/>
      <c r="U44" s="49"/>
      <c r="Z44" s="14"/>
    </row>
    <row r="45" spans="1:27" s="12" customFormat="1" x14ac:dyDescent="0.25">
      <c r="B45" s="28"/>
      <c r="C45"/>
      <c r="D45" s="26" t="str">
        <f>IF(Table1[[#This Row],[A]], Table1[[#This Row],[Ci ppm]]*0.001*$B$13, " ")</f>
        <v xml:space="preserve"> </v>
      </c>
      <c r="E45"/>
      <c r="F45"/>
      <c r="H45" s="42" t="str">
        <f>IF(Table1[[#This Row],[A]], ($P$23*Table1[[#This Row],[PhiPS2]]*Table1[[#This Row],[PARi]]*Table1[[#This Row],[A]]-4*(Table1[[#This Row],[A]]+$P$22)*Table1[[#This Row],[A]])/($P$23*Table1[[#This Row],[PhiPS2]]*Table1[[#This Row],[PARi]]*(Table1[[#This Row],[Ci ppm]]-$P$40)-4*(Table1[[#This Row],[A]]+$P$22)*(Table1[[#This Row],[Ci ppm]]+2*$P$40))," ")</f>
        <v xml:space="preserve"> </v>
      </c>
      <c r="I45" s="43" t="str">
        <f t="shared" si="3"/>
        <v xml:space="preserve"> </v>
      </c>
      <c r="J45" s="40" t="str">
        <f t="shared" si="4"/>
        <v/>
      </c>
      <c r="K45" s="40" t="str">
        <f t="shared" si="5"/>
        <v/>
      </c>
      <c r="L45" s="40" t="str">
        <f>IF(Table1[[#This Row],[A]],Vcmax*(I45-Gammastr)/(I45+Kc*(1+O/Ko)),"")</f>
        <v/>
      </c>
      <c r="M45" s="41" t="str">
        <f>IF(Table1[[#This Row],[A]], ABS(J45-Table1[[#This Row],[A]])^2," ")</f>
        <v xml:space="preserve"> </v>
      </c>
      <c r="O45" s="83" t="s">
        <v>33</v>
      </c>
      <c r="P45" s="110">
        <f>(EXP($R45-$S45/(0.008314*(273.15+$B$12))))/(1+EXP(($U45*($B$12+273.15)-$T45)/(0.008314*($B$12+273.15))))</f>
        <v>1.0143009319190301</v>
      </c>
      <c r="Q45" s="72">
        <f>(EXP($R45-$S45/(0.008314*(273.15+25))))/(1+EXP(($U45*(25+273.15)-$T45)/(0.008314*(25+273.15))))</f>
        <v>1.000157574143463</v>
      </c>
      <c r="R45" s="73">
        <v>20.010000000000002</v>
      </c>
      <c r="S45" s="74">
        <v>49.6</v>
      </c>
      <c r="T45" s="74">
        <v>437.4</v>
      </c>
      <c r="U45" s="75">
        <v>1.4</v>
      </c>
      <c r="Z45" s="14"/>
    </row>
    <row r="46" spans="1:27" s="12" customFormat="1" x14ac:dyDescent="0.25">
      <c r="A46" s="14" t="s">
        <v>7</v>
      </c>
      <c r="Z46" s="14"/>
    </row>
    <row r="47" spans="1:27" s="12" customFormat="1" x14ac:dyDescent="0.25">
      <c r="Z47" s="14"/>
    </row>
    <row r="48" spans="1:27" s="12" customFormat="1" x14ac:dyDescent="0.25">
      <c r="Z48" s="14"/>
    </row>
    <row r="49" spans="1:26" s="84" customFormat="1" ht="15" thickBot="1" x14ac:dyDescent="0.3">
      <c r="Z49" s="85"/>
    </row>
    <row r="50" spans="1:26" s="86" customFormat="1" ht="15" thickTop="1" x14ac:dyDescent="0.25">
      <c r="B50" s="87"/>
      <c r="C50" s="87"/>
      <c r="D50" s="87"/>
      <c r="E50" s="87"/>
      <c r="F50" s="87"/>
    </row>
    <row r="51" spans="1:26" s="13" customFormat="1" x14ac:dyDescent="0.25">
      <c r="A51" s="88"/>
      <c r="F51" s="14"/>
    </row>
    <row r="52" spans="1:26" s="13" customFormat="1" x14ac:dyDescent="0.25">
      <c r="A52" s="88"/>
      <c r="F52" s="88"/>
    </row>
    <row r="53" spans="1:26" s="13" customFormat="1" x14ac:dyDescent="0.25">
      <c r="A53" s="88"/>
      <c r="F53" s="14"/>
      <c r="K53" s="88"/>
    </row>
    <row r="54" spans="1:26" s="13" customFormat="1" x14ac:dyDescent="0.25">
      <c r="A54" s="88"/>
      <c r="F54" s="14"/>
    </row>
    <row r="55" spans="1:26" s="13" customFormat="1" x14ac:dyDescent="0.25">
      <c r="A55" s="88"/>
      <c r="F55" s="14"/>
      <c r="K55" s="14"/>
    </row>
    <row r="56" spans="1:26" s="13" customFormat="1" x14ac:dyDescent="0.25">
      <c r="A56" s="88"/>
      <c r="F56" s="14"/>
      <c r="K56" s="14"/>
    </row>
    <row r="57" spans="1:26" s="13" customFormat="1" x14ac:dyDescent="0.25">
      <c r="A57" s="88"/>
      <c r="F57" s="14"/>
      <c r="K57" s="14"/>
    </row>
    <row r="58" spans="1:26" s="13" customFormat="1" x14ac:dyDescent="0.25">
      <c r="A58" s="88"/>
      <c r="F58" s="14"/>
      <c r="K58" s="14"/>
    </row>
    <row r="59" spans="1:26" s="13" customFormat="1" x14ac:dyDescent="0.25">
      <c r="A59" s="88"/>
      <c r="F59" s="14"/>
      <c r="K59" s="14"/>
    </row>
    <row r="60" spans="1:26" s="13" customFormat="1" x14ac:dyDescent="0.25">
      <c r="A60" s="88"/>
      <c r="F60" s="14"/>
      <c r="K60" s="14"/>
    </row>
    <row r="61" spans="1:26" s="13" customFormat="1" x14ac:dyDescent="0.25">
      <c r="A61" s="88"/>
      <c r="F61" s="14"/>
      <c r="K61" s="14"/>
      <c r="L61" s="14"/>
      <c r="M61" s="14"/>
      <c r="N61" s="14"/>
    </row>
    <row r="62" spans="1:26" s="13" customFormat="1" x14ac:dyDescent="0.25">
      <c r="A62" s="88"/>
      <c r="F62" s="14"/>
      <c r="K62" s="14"/>
      <c r="L62" s="14"/>
      <c r="M62" s="14"/>
      <c r="N62" s="14"/>
    </row>
    <row r="63" spans="1:26" s="13" customFormat="1" x14ac:dyDescent="0.25">
      <c r="A63" s="88"/>
      <c r="F63" s="14"/>
      <c r="K63" s="14"/>
      <c r="L63" s="14"/>
      <c r="M63" s="14"/>
      <c r="N63" s="14"/>
    </row>
    <row r="64" spans="1:26" s="13" customFormat="1" x14ac:dyDescent="0.25">
      <c r="A64" s="88"/>
      <c r="F64" s="14"/>
      <c r="K64" s="14"/>
      <c r="L64" s="14"/>
      <c r="M64" s="14"/>
      <c r="N64" s="14"/>
    </row>
    <row r="65" spans="1:14" s="13" customFormat="1" x14ac:dyDescent="0.25">
      <c r="A65" s="88"/>
      <c r="F65" s="14"/>
      <c r="K65" s="14"/>
      <c r="L65" s="14"/>
      <c r="M65" s="14"/>
      <c r="N65" s="14"/>
    </row>
    <row r="66" spans="1:14" s="13" customFormat="1" x14ac:dyDescent="0.25">
      <c r="A66" s="88"/>
      <c r="F66" s="14"/>
      <c r="K66" s="14"/>
      <c r="L66" s="14"/>
      <c r="M66" s="14"/>
      <c r="N66" s="14"/>
    </row>
    <row r="67" spans="1:14" s="13" customFormat="1" x14ac:dyDescent="0.25">
      <c r="A67" s="88"/>
      <c r="F67" s="14"/>
      <c r="K67" s="14"/>
      <c r="L67" s="14"/>
      <c r="M67" s="14"/>
      <c r="N67" s="14"/>
    </row>
    <row r="68" spans="1:14" s="13" customFormat="1" x14ac:dyDescent="0.25">
      <c r="A68" s="88"/>
      <c r="F68" s="14"/>
      <c r="K68" s="14"/>
      <c r="L68" s="14"/>
      <c r="M68" s="14"/>
      <c r="N68" s="14"/>
    </row>
    <row r="69" spans="1:14" s="13" customFormat="1" x14ac:dyDescent="0.25">
      <c r="A69" s="88"/>
      <c r="F69" s="14"/>
      <c r="K69" s="14"/>
      <c r="L69" s="14"/>
      <c r="M69" s="14"/>
      <c r="N69" s="14"/>
    </row>
    <row r="70" spans="1:14" s="13" customFormat="1" x14ac:dyDescent="0.25">
      <c r="A70" s="88"/>
      <c r="F70" s="14"/>
      <c r="K70" s="14"/>
      <c r="L70" s="14"/>
      <c r="M70" s="14"/>
      <c r="N70" s="14"/>
    </row>
    <row r="71" spans="1:14" s="13" customFormat="1" x14ac:dyDescent="0.25">
      <c r="A71" s="88"/>
      <c r="F71" s="14"/>
      <c r="K71" s="14"/>
      <c r="L71" s="14"/>
      <c r="M71" s="14"/>
      <c r="N71" s="14"/>
    </row>
    <row r="72" spans="1:14" s="13" customFormat="1" x14ac:dyDescent="0.25">
      <c r="A72" s="88"/>
      <c r="F72" s="14"/>
      <c r="K72" s="14"/>
      <c r="L72" s="14"/>
      <c r="M72" s="14"/>
      <c r="N72" s="14"/>
    </row>
    <row r="73" spans="1:14" s="13" customFormat="1" x14ac:dyDescent="0.25">
      <c r="A73" s="88"/>
      <c r="F73" s="14"/>
      <c r="K73" s="14"/>
      <c r="L73" s="14"/>
      <c r="M73" s="14"/>
      <c r="N73" s="14"/>
    </row>
    <row r="74" spans="1:14" s="13" customFormat="1" x14ac:dyDescent="0.25">
      <c r="A74" s="88"/>
      <c r="F74" s="14"/>
      <c r="K74" s="14"/>
      <c r="L74" s="14"/>
      <c r="M74" s="14"/>
      <c r="N74" s="14"/>
    </row>
    <row r="75" spans="1:14" s="13" customFormat="1" x14ac:dyDescent="0.25">
      <c r="A75" s="88"/>
      <c r="F75" s="14"/>
      <c r="K75" s="14"/>
      <c r="L75" s="14"/>
      <c r="M75" s="14"/>
      <c r="N75" s="14"/>
    </row>
    <row r="76" spans="1:14" s="13" customFormat="1" x14ac:dyDescent="0.25">
      <c r="A76" s="88"/>
      <c r="F76" s="14"/>
      <c r="K76" s="14"/>
      <c r="L76" s="14"/>
      <c r="M76" s="14"/>
      <c r="N76" s="14"/>
    </row>
    <row r="77" spans="1:14" s="13" customFormat="1" x14ac:dyDescent="0.25">
      <c r="A77" s="88"/>
      <c r="B77" s="90" t="s">
        <v>35</v>
      </c>
      <c r="C77" s="91"/>
      <c r="D77" s="91"/>
      <c r="E77" s="92"/>
      <c r="F77" s="14"/>
      <c r="K77" s="14"/>
      <c r="L77" s="14"/>
      <c r="M77" s="14"/>
      <c r="N77" s="14"/>
    </row>
    <row r="78" spans="1:14" s="13" customFormat="1" x14ac:dyDescent="0.25">
      <c r="A78" s="88"/>
      <c r="B78" s="93" t="s">
        <v>8</v>
      </c>
      <c r="C78" s="94" t="s">
        <v>100</v>
      </c>
      <c r="D78" s="94" t="s">
        <v>99</v>
      </c>
      <c r="E78" s="95" t="s">
        <v>5</v>
      </c>
      <c r="F78" s="14"/>
      <c r="K78" s="14"/>
      <c r="L78" s="14"/>
      <c r="M78" s="14"/>
      <c r="N78" s="14"/>
    </row>
    <row r="79" spans="1:14" s="13" customFormat="1" x14ac:dyDescent="0.25">
      <c r="A79" s="88"/>
      <c r="B79" s="47">
        <v>10</v>
      </c>
      <c r="C79" s="96">
        <f t="shared" ref="C79:C110" si="6">Vcmax*(B79-Gammastr)/(B79+Kc*(1+Ko/O))</f>
        <v>-10.713732098722614</v>
      </c>
      <c r="D79" s="96">
        <f t="shared" ref="D79:D110" si="7">J*(B79-Gammastr)/(4*B79+8*Gammastr)</f>
        <v>-22.77875181877662</v>
      </c>
      <c r="E79" s="97">
        <f t="shared" ref="E79:E110" si="8">MIN(C79,D79)</f>
        <v>-22.77875181877662</v>
      </c>
      <c r="F79" s="14"/>
      <c r="K79" s="14"/>
      <c r="L79" s="14"/>
      <c r="M79" s="14"/>
      <c r="N79" s="14"/>
    </row>
    <row r="80" spans="1:14" s="13" customFormat="1" x14ac:dyDescent="0.25">
      <c r="A80" s="88"/>
      <c r="B80" s="48">
        <v>15</v>
      </c>
      <c r="C80" s="96">
        <f t="shared" si="6"/>
        <v>-8.8875367196597868</v>
      </c>
      <c r="D80" s="96">
        <f t="shared" si="7"/>
        <v>-18.03656460988995</v>
      </c>
      <c r="E80" s="98">
        <f t="shared" si="8"/>
        <v>-18.03656460988995</v>
      </c>
      <c r="F80" s="14"/>
      <c r="K80" s="14"/>
      <c r="L80" s="14"/>
      <c r="M80" s="14"/>
      <c r="N80" s="14"/>
    </row>
    <row r="81" spans="1:14" s="13" customFormat="1" x14ac:dyDescent="0.25">
      <c r="A81" s="88"/>
      <c r="B81" s="48">
        <v>20</v>
      </c>
      <c r="C81" s="96">
        <f t="shared" si="6"/>
        <v>-7.0869008963813833</v>
      </c>
      <c r="D81" s="96">
        <f t="shared" si="7"/>
        <v>-13.764991913022186</v>
      </c>
      <c r="E81" s="98">
        <f t="shared" si="8"/>
        <v>-13.764991913022186</v>
      </c>
      <c r="F81" s="14"/>
      <c r="K81" s="14"/>
      <c r="L81" s="14"/>
      <c r="M81" s="14"/>
      <c r="N81" s="14"/>
    </row>
    <row r="82" spans="1:14" s="13" customFormat="1" x14ac:dyDescent="0.25">
      <c r="A82" s="88"/>
      <c r="B82" s="47">
        <v>25</v>
      </c>
      <c r="C82" s="96">
        <f t="shared" si="6"/>
        <v>-5.3112917579923646</v>
      </c>
      <c r="D82" s="96">
        <f t="shared" si="7"/>
        <v>-9.8972899013891631</v>
      </c>
      <c r="E82" s="98">
        <f t="shared" si="8"/>
        <v>-9.8972899013891631</v>
      </c>
      <c r="F82" s="14"/>
      <c r="K82" s="14"/>
      <c r="L82" s="14"/>
      <c r="M82" s="14"/>
      <c r="N82" s="14"/>
    </row>
    <row r="83" spans="1:14" s="13" customFormat="1" x14ac:dyDescent="0.25">
      <c r="A83" s="88"/>
      <c r="B83" s="48">
        <v>30</v>
      </c>
      <c r="C83" s="96">
        <f t="shared" si="6"/>
        <v>-3.5601911439063918</v>
      </c>
      <c r="D83" s="96">
        <f t="shared" si="7"/>
        <v>-6.3787660845720735</v>
      </c>
      <c r="E83" s="98">
        <f t="shared" si="8"/>
        <v>-6.3787660845720735</v>
      </c>
      <c r="F83" s="14"/>
      <c r="K83" s="14"/>
      <c r="L83" s="14"/>
      <c r="M83" s="14"/>
      <c r="N83" s="14"/>
    </row>
    <row r="84" spans="1:14" s="13" customFormat="1" x14ac:dyDescent="0.25">
      <c r="A84" s="88"/>
      <c r="B84" s="48">
        <v>35</v>
      </c>
      <c r="C84" s="96">
        <f t="shared" si="6"/>
        <v>-1.8330950997134139</v>
      </c>
      <c r="D84" s="96">
        <f t="shared" si="7"/>
        <v>-3.164176784500996</v>
      </c>
      <c r="E84" s="98">
        <f t="shared" si="8"/>
        <v>-3.164176784500996</v>
      </c>
      <c r="F84" s="14"/>
      <c r="K84" s="14"/>
      <c r="L84" s="14"/>
      <c r="M84" s="14"/>
      <c r="N84" s="14"/>
    </row>
    <row r="85" spans="1:14" s="13" customFormat="1" x14ac:dyDescent="0.25">
      <c r="A85" s="88"/>
      <c r="B85" s="47">
        <v>40</v>
      </c>
      <c r="C85" s="96">
        <f t="shared" si="6"/>
        <v>-0.12951339363847694</v>
      </c>
      <c r="D85" s="96">
        <f t="shared" si="7"/>
        <v>-0.21577111638532384</v>
      </c>
      <c r="E85" s="98">
        <f t="shared" si="8"/>
        <v>-0.21577111638532384</v>
      </c>
      <c r="F85" s="14"/>
      <c r="K85" s="14"/>
      <c r="L85" s="14"/>
      <c r="M85" s="14"/>
      <c r="N85" s="14"/>
    </row>
    <row r="86" spans="1:14" s="13" customFormat="1" x14ac:dyDescent="0.25">
      <c r="A86" s="88"/>
      <c r="B86" s="48">
        <v>45</v>
      </c>
      <c r="C86" s="96">
        <f t="shared" si="6"/>
        <v>1.5510309473828354</v>
      </c>
      <c r="D86" s="96">
        <f t="shared" si="7"/>
        <v>2.4981984444635841</v>
      </c>
      <c r="E86" s="98">
        <f t="shared" si="8"/>
        <v>1.5510309473828354</v>
      </c>
      <c r="F86" s="14"/>
      <c r="K86" s="14"/>
      <c r="L86" s="14"/>
      <c r="M86" s="14"/>
      <c r="N86" s="14"/>
    </row>
    <row r="87" spans="1:14" s="13" customFormat="1" x14ac:dyDescent="0.25">
      <c r="A87" s="88"/>
      <c r="B87" s="48">
        <v>50</v>
      </c>
      <c r="C87" s="96">
        <f t="shared" si="6"/>
        <v>3.2090020829345409</v>
      </c>
      <c r="D87" s="96">
        <f t="shared" si="7"/>
        <v>5.0046237934863571</v>
      </c>
      <c r="E87" s="98">
        <f t="shared" si="8"/>
        <v>3.2090020829345409</v>
      </c>
      <c r="F87" s="14"/>
      <c r="K87" s="14"/>
      <c r="L87" s="14"/>
      <c r="M87" s="14"/>
      <c r="N87" s="14"/>
    </row>
    <row r="88" spans="1:14" s="13" customFormat="1" x14ac:dyDescent="0.25">
      <c r="A88" s="88"/>
      <c r="B88" s="47">
        <v>55</v>
      </c>
      <c r="C88" s="96">
        <f t="shared" si="6"/>
        <v>4.8448517865289862</v>
      </c>
      <c r="D88" s="96">
        <f t="shared" si="7"/>
        <v>7.326435315166413</v>
      </c>
      <c r="E88" s="98">
        <f t="shared" si="8"/>
        <v>4.8448517865289862</v>
      </c>
      <c r="F88" s="14"/>
      <c r="K88" s="14"/>
      <c r="L88" s="14"/>
      <c r="M88" s="14"/>
      <c r="N88" s="14"/>
    </row>
    <row r="89" spans="1:14" s="13" customFormat="1" x14ac:dyDescent="0.25">
      <c r="A89" s="88"/>
      <c r="B89" s="48">
        <v>60</v>
      </c>
      <c r="C89" s="96">
        <f t="shared" si="6"/>
        <v>6.4590198560208902</v>
      </c>
      <c r="D89" s="96">
        <f t="shared" si="7"/>
        <v>9.4833054469468436</v>
      </c>
      <c r="E89" s="98">
        <f t="shared" si="8"/>
        <v>6.4590198560208902</v>
      </c>
      <c r="F89" s="14"/>
      <c r="K89" s="14"/>
      <c r="L89" s="14"/>
      <c r="M89" s="14"/>
      <c r="N89" s="14"/>
    </row>
    <row r="90" spans="1:14" s="13" customFormat="1" x14ac:dyDescent="0.25">
      <c r="A90" s="88"/>
      <c r="B90" s="48">
        <v>65</v>
      </c>
      <c r="C90" s="96">
        <f t="shared" si="6"/>
        <v>8.0519345078098716</v>
      </c>
      <c r="D90" s="96">
        <f t="shared" si="7"/>
        <v>11.492207442995049</v>
      </c>
      <c r="E90" s="98">
        <f t="shared" si="8"/>
        <v>8.0519345078098716</v>
      </c>
      <c r="F90" s="14"/>
      <c r="K90" s="14"/>
      <c r="L90" s="14"/>
      <c r="M90" s="14"/>
      <c r="N90" s="14"/>
    </row>
    <row r="91" spans="1:14" s="13" customFormat="1" x14ac:dyDescent="0.25">
      <c r="A91" s="88"/>
      <c r="B91" s="47">
        <v>70</v>
      </c>
      <c r="C91" s="96">
        <f t="shared" si="6"/>
        <v>9.6240127555736628</v>
      </c>
      <c r="D91" s="96">
        <f t="shared" si="7"/>
        <v>13.367862952889617</v>
      </c>
      <c r="E91" s="98">
        <f t="shared" si="8"/>
        <v>9.6240127555736628</v>
      </c>
      <c r="F91" s="14"/>
      <c r="K91" s="14"/>
      <c r="L91" s="14"/>
      <c r="M91" s="14"/>
      <c r="N91" s="14"/>
    </row>
    <row r="92" spans="1:14" s="13" customFormat="1" x14ac:dyDescent="0.25">
      <c r="A92" s="88"/>
      <c r="B92" s="48">
        <v>75</v>
      </c>
      <c r="C92" s="96">
        <f t="shared" si="6"/>
        <v>11.17566077423565</v>
      </c>
      <c r="D92" s="96">
        <f t="shared" si="7"/>
        <v>15.123103398097461</v>
      </c>
      <c r="E92" s="98">
        <f t="shared" si="8"/>
        <v>11.17566077423565</v>
      </c>
      <c r="F92" s="14"/>
      <c r="K92" s="14"/>
      <c r="L92" s="14"/>
      <c r="M92" s="14"/>
      <c r="N92" s="14"/>
    </row>
    <row r="93" spans="1:14" s="13" customFormat="1" x14ac:dyDescent="0.25">
      <c r="A93" s="88"/>
      <c r="B93" s="48">
        <v>80</v>
      </c>
      <c r="C93" s="96">
        <f t="shared" si="6"/>
        <v>12.707274249833983</v>
      </c>
      <c r="D93" s="96">
        <f t="shared" si="7"/>
        <v>16.769163913145519</v>
      </c>
      <c r="E93" s="98">
        <f t="shared" si="8"/>
        <v>12.707274249833983</v>
      </c>
      <c r="F93" s="14"/>
      <c r="K93" s="14"/>
      <c r="L93" s="14"/>
      <c r="M93" s="14"/>
      <c r="N93" s="14"/>
    </row>
    <row r="94" spans="1:14" s="13" customFormat="1" x14ac:dyDescent="0.25">
      <c r="A94" s="88"/>
      <c r="B94" s="47">
        <v>85</v>
      </c>
      <c r="C94" s="96">
        <f t="shared" si="6"/>
        <v>14.219238715925334</v>
      </c>
      <c r="D94" s="96">
        <f t="shared" si="7"/>
        <v>18.315924089857916</v>
      </c>
      <c r="E94" s="98">
        <f t="shared" si="8"/>
        <v>14.219238715925334</v>
      </c>
      <c r="F94" s="14"/>
      <c r="K94" s="14"/>
      <c r="L94" s="14"/>
      <c r="M94" s="14"/>
      <c r="N94" s="14"/>
    </row>
    <row r="95" spans="1:14" s="13" customFormat="1" x14ac:dyDescent="0.25">
      <c r="A95" s="88"/>
      <c r="B95" s="48">
        <v>90</v>
      </c>
      <c r="C95" s="96">
        <f t="shared" si="6"/>
        <v>15.711929877124021</v>
      </c>
      <c r="D95" s="96">
        <f t="shared" si="7"/>
        <v>19.772106427849739</v>
      </c>
      <c r="E95" s="98">
        <f t="shared" si="8"/>
        <v>15.711929877124021</v>
      </c>
      <c r="F95" s="18"/>
      <c r="K95" s="14"/>
      <c r="L95" s="14"/>
      <c r="M95" s="14"/>
      <c r="N95" s="14"/>
    </row>
    <row r="96" spans="1:14" s="13" customFormat="1" x14ac:dyDescent="0.25">
      <c r="A96" s="88"/>
      <c r="B96" s="48">
        <v>95</v>
      </c>
      <c r="C96" s="96">
        <f t="shared" si="6"/>
        <v>17.185713920346863</v>
      </c>
      <c r="D96" s="96">
        <f t="shared" si="7"/>
        <v>21.145440913169342</v>
      </c>
      <c r="E96" s="98">
        <f t="shared" si="8"/>
        <v>17.185713920346863</v>
      </c>
      <c r="F96" s="18"/>
      <c r="K96" s="14"/>
      <c r="L96" s="14"/>
      <c r="M96" s="14"/>
      <c r="N96" s="14"/>
    </row>
    <row r="97" spans="1:14" s="13" customFormat="1" x14ac:dyDescent="0.25">
      <c r="A97" s="88"/>
      <c r="B97" s="47">
        <v>100</v>
      </c>
      <c r="C97" s="96">
        <f t="shared" si="6"/>
        <v>18.640947814305349</v>
      </c>
      <c r="D97" s="96">
        <f t="shared" si="7"/>
        <v>22.442802283378814</v>
      </c>
      <c r="E97" s="98">
        <f t="shared" si="8"/>
        <v>18.640947814305349</v>
      </c>
      <c r="F97" s="14"/>
      <c r="K97" s="18"/>
      <c r="L97" s="14"/>
      <c r="M97" s="14"/>
      <c r="N97" s="14"/>
    </row>
    <row r="98" spans="1:14" s="13" customFormat="1" x14ac:dyDescent="0.25">
      <c r="A98" s="88"/>
      <c r="B98" s="48">
        <v>105</v>
      </c>
      <c r="C98" s="96">
        <f t="shared" si="6"/>
        <v>20.077979597759619</v>
      </c>
      <c r="D98" s="96">
        <f t="shared" si="7"/>
        <v>23.670325125199589</v>
      </c>
      <c r="E98" s="98">
        <f t="shared" si="8"/>
        <v>20.077979597759619</v>
      </c>
      <c r="F98" s="88"/>
      <c r="K98" s="18"/>
      <c r="L98" s="14"/>
      <c r="M98" s="14"/>
      <c r="N98" s="14"/>
    </row>
    <row r="99" spans="1:14" s="13" customFormat="1" x14ac:dyDescent="0.25">
      <c r="A99" s="88"/>
      <c r="B99" s="48">
        <v>110</v>
      </c>
      <c r="C99" s="96">
        <f t="shared" si="6"/>
        <v>21.497148657023221</v>
      </c>
      <c r="D99" s="96">
        <f t="shared" si="7"/>
        <v>24.833500871804478</v>
      </c>
      <c r="E99" s="98">
        <f t="shared" si="8"/>
        <v>21.497148657023221</v>
      </c>
      <c r="F99" s="88"/>
      <c r="K99" s="14"/>
      <c r="L99" s="14"/>
      <c r="M99" s="14"/>
      <c r="N99" s="14"/>
    </row>
    <row r="100" spans="1:14" s="13" customFormat="1" x14ac:dyDescent="0.25">
      <c r="A100" s="88"/>
      <c r="B100" s="47">
        <v>115</v>
      </c>
      <c r="C100" s="96">
        <f t="shared" si="6"/>
        <v>22.898785993183381</v>
      </c>
      <c r="D100" s="96">
        <f t="shared" si="7"/>
        <v>25.937259935827985</v>
      </c>
      <c r="E100" s="98">
        <f t="shared" si="8"/>
        <v>22.898785993183381</v>
      </c>
      <c r="F100" s="88"/>
    </row>
    <row r="101" spans="1:14" s="13" customFormat="1" x14ac:dyDescent="0.25">
      <c r="A101" s="88"/>
      <c r="B101" s="48">
        <v>120</v>
      </c>
      <c r="C101" s="96">
        <f t="shared" si="6"/>
        <v>24.283214479478751</v>
      </c>
      <c r="D101" s="96">
        <f t="shared" si="7"/>
        <v>26.986041569421435</v>
      </c>
      <c r="E101" s="98">
        <f t="shared" si="8"/>
        <v>24.283214479478751</v>
      </c>
      <c r="F101" s="88"/>
    </row>
    <row r="102" spans="1:14" s="13" customFormat="1" x14ac:dyDescent="0.25">
      <c r="A102" s="88"/>
      <c r="B102" s="48">
        <v>125</v>
      </c>
      <c r="C102" s="96">
        <f t="shared" si="6"/>
        <v>25.650749109254978</v>
      </c>
      <c r="D102" s="96">
        <f t="shared" si="7"/>
        <v>27.983853538936494</v>
      </c>
      <c r="E102" s="98">
        <f t="shared" si="8"/>
        <v>25.650749109254978</v>
      </c>
      <c r="F102" s="88"/>
    </row>
    <row r="103" spans="1:14" s="13" customFormat="1" x14ac:dyDescent="0.25">
      <c r="A103" s="88"/>
      <c r="B103" s="47">
        <v>130</v>
      </c>
      <c r="C103" s="96">
        <f t="shared" si="6"/>
        <v>27.001697234898117</v>
      </c>
      <c r="D103" s="96">
        <f t="shared" si="7"/>
        <v>28.934323305630738</v>
      </c>
      <c r="E103" s="98">
        <f t="shared" si="8"/>
        <v>27.001697234898117</v>
      </c>
      <c r="F103" s="88"/>
    </row>
    <row r="104" spans="1:14" s="13" customFormat="1" x14ac:dyDescent="0.25">
      <c r="A104" s="88"/>
      <c r="B104" s="48">
        <v>135</v>
      </c>
      <c r="C104" s="96">
        <f t="shared" si="6"/>
        <v>28.336358798126511</v>
      </c>
      <c r="D104" s="96">
        <f t="shared" si="7"/>
        <v>29.840742090227824</v>
      </c>
      <c r="E104" s="98">
        <f t="shared" si="8"/>
        <v>28.336358798126511</v>
      </c>
      <c r="F104" s="88"/>
    </row>
    <row r="105" spans="1:14" s="13" customFormat="1" x14ac:dyDescent="0.25">
      <c r="A105" s="88"/>
      <c r="B105" s="48">
        <v>140</v>
      </c>
      <c r="C105" s="96">
        <f t="shared" si="6"/>
        <v>29.655026552003676</v>
      </c>
      <c r="D105" s="96">
        <f t="shared" si="7"/>
        <v>30.706102949518943</v>
      </c>
      <c r="E105" s="98">
        <f t="shared" si="8"/>
        <v>29.655026552003676</v>
      </c>
      <c r="F105" s="88"/>
    </row>
    <row r="106" spans="1:14" s="13" customFormat="1" x14ac:dyDescent="0.25">
      <c r="A106" s="88"/>
      <c r="B106" s="47">
        <v>145</v>
      </c>
      <c r="C106" s="96">
        <f t="shared" si="6"/>
        <v>30.957986275017216</v>
      </c>
      <c r="D106" s="96">
        <f t="shared" si="7"/>
        <v>31.533133793306067</v>
      </c>
      <c r="E106" s="98">
        <f t="shared" si="8"/>
        <v>30.957986275017216</v>
      </c>
      <c r="F106" s="88"/>
    </row>
    <row r="107" spans="1:14" s="13" customFormat="1" x14ac:dyDescent="0.25">
      <c r="A107" s="88"/>
      <c r="B107" s="48">
        <v>150</v>
      </c>
      <c r="C107" s="96">
        <f t="shared" si="6"/>
        <v>32.245516977552782</v>
      </c>
      <c r="D107" s="96">
        <f t="shared" si="7"/>
        <v>32.324326109079749</v>
      </c>
      <c r="E107" s="98">
        <f t="shared" si="8"/>
        <v>32.245516977552782</v>
      </c>
      <c r="F107" s="88"/>
    </row>
    <row r="108" spans="1:14" s="13" customFormat="1" x14ac:dyDescent="0.25">
      <c r="A108" s="88"/>
      <c r="B108" s="48">
        <v>155</v>
      </c>
      <c r="C108" s="96">
        <f t="shared" si="6"/>
        <v>33.517891101076216</v>
      </c>
      <c r="D108" s="96">
        <f t="shared" si="7"/>
        <v>33.081960031628412</v>
      </c>
      <c r="E108" s="98">
        <f t="shared" si="8"/>
        <v>33.081960031628412</v>
      </c>
      <c r="F108" s="88"/>
    </row>
    <row r="109" spans="1:14" s="13" customFormat="1" x14ac:dyDescent="0.25">
      <c r="A109" s="88"/>
      <c r="B109" s="47">
        <v>160</v>
      </c>
      <c r="C109" s="96">
        <f t="shared" si="6"/>
        <v>34.775374710322737</v>
      </c>
      <c r="D109" s="96">
        <f t="shared" si="7"/>
        <v>33.808126288914437</v>
      </c>
      <c r="E109" s="98">
        <f t="shared" si="8"/>
        <v>33.808126288914437</v>
      </c>
      <c r="F109" s="88"/>
    </row>
    <row r="110" spans="1:14" s="13" customFormat="1" x14ac:dyDescent="0.25">
      <c r="A110" s="88"/>
      <c r="B110" s="48">
        <v>165</v>
      </c>
      <c r="C110" s="96">
        <f t="shared" si="6"/>
        <v>36.018227678777748</v>
      </c>
      <c r="D110" s="96">
        <f t="shared" si="7"/>
        <v>34.504745469074166</v>
      </c>
      <c r="E110" s="98">
        <f t="shared" si="8"/>
        <v>34.504745469074166</v>
      </c>
      <c r="F110" s="88"/>
    </row>
    <row r="111" spans="1:14" s="13" customFormat="1" x14ac:dyDescent="0.25">
      <c r="A111" s="88"/>
      <c r="B111" s="48">
        <v>170</v>
      </c>
      <c r="C111" s="96">
        <f t="shared" ref="C111:C142" si="9">Vcmax*(B111-Gammastr)/(B111+Kc*(1+Ko/O))</f>
        <v>37.246703867721038</v>
      </c>
      <c r="D111" s="96">
        <f t="shared" ref="D111:D142" si="10">J*(B111-Gammastr)/(4*B111+8*Gammastr)</f>
        <v>35.173584982438918</v>
      </c>
      <c r="E111" s="98">
        <f t="shared" ref="E111:E142" si="11">MIN(C111,D111)</f>
        <v>35.173584982438918</v>
      </c>
      <c r="F111" s="88"/>
    </row>
    <row r="112" spans="1:14" s="13" customFormat="1" x14ac:dyDescent="0.25">
      <c r="A112" s="88"/>
      <c r="B112" s="47">
        <v>175</v>
      </c>
      <c r="C112" s="96">
        <f t="shared" si="9"/>
        <v>38.461051299093363</v>
      </c>
      <c r="D112" s="96">
        <f t="shared" si="10"/>
        <v>35.816274033999427</v>
      </c>
      <c r="E112" s="98">
        <f t="shared" si="11"/>
        <v>35.816274033999427</v>
      </c>
      <c r="F112" s="88"/>
    </row>
    <row r="113" spans="1:6" s="13" customFormat="1" x14ac:dyDescent="0.25">
      <c r="A113" s="88"/>
      <c r="B113" s="48">
        <v>180</v>
      </c>
      <c r="C113" s="96">
        <f t="shared" si="9"/>
        <v>39.661512322432714</v>
      </c>
      <c r="D113" s="96">
        <f t="shared" si="10"/>
        <v>36.434316873352124</v>
      </c>
      <c r="E113" s="98">
        <f t="shared" si="11"/>
        <v>36.434316873352124</v>
      </c>
      <c r="F113" s="88"/>
    </row>
    <row r="114" spans="1:6" s="13" customFormat="1" x14ac:dyDescent="0.25">
      <c r="A114" s="88"/>
      <c r="B114" s="48">
        <v>185</v>
      </c>
      <c r="C114" s="96">
        <f t="shared" si="9"/>
        <v>40.84832377611621</v>
      </c>
      <c r="D114" s="96">
        <f t="shared" si="10"/>
        <v>37.029104548973947</v>
      </c>
      <c r="E114" s="98">
        <f t="shared" si="11"/>
        <v>37.029104548973947</v>
      </c>
      <c r="F114" s="88"/>
    </row>
    <row r="115" spans="1:6" s="13" customFormat="1" x14ac:dyDescent="0.25">
      <c r="A115" s="88"/>
      <c r="B115" s="47">
        <v>190</v>
      </c>
      <c r="C115" s="96">
        <f t="shared" si="9"/>
        <v>42.021717143133053</v>
      </c>
      <c r="D115" s="96">
        <f t="shared" si="10"/>
        <v>37.601925360160664</v>
      </c>
      <c r="E115" s="98">
        <f t="shared" si="11"/>
        <v>37.601925360160664</v>
      </c>
      <c r="F115" s="88"/>
    </row>
    <row r="116" spans="1:6" s="13" customFormat="1" x14ac:dyDescent="0.25">
      <c r="A116" s="88"/>
      <c r="B116" s="48">
        <v>195</v>
      </c>
      <c r="C116" s="96">
        <f t="shared" si="9"/>
        <v>43.181918701603607</v>
      </c>
      <c r="D116" s="96">
        <f t="shared" si="10"/>
        <v>38.15397417192036</v>
      </c>
      <c r="E116" s="98">
        <f t="shared" si="11"/>
        <v>38.15397417192036</v>
      </c>
      <c r="F116" s="88"/>
    </row>
    <row r="117" spans="1:6" s="13" customFormat="1" x14ac:dyDescent="0.25">
      <c r="A117" s="88"/>
      <c r="B117" s="48">
        <v>200</v>
      </c>
      <c r="C117" s="96">
        <f t="shared" si="9"/>
        <v>44.32914967025031</v>
      </c>
      <c r="D117" s="96">
        <f t="shared" si="10"/>
        <v>38.686360734564929</v>
      </c>
      <c r="E117" s="98">
        <f t="shared" si="11"/>
        <v>38.686360734564929</v>
      </c>
      <c r="F117" s="88"/>
    </row>
    <row r="118" spans="1:6" s="13" customFormat="1" x14ac:dyDescent="0.25">
      <c r="A118" s="88"/>
      <c r="B118" s="47">
        <v>205</v>
      </c>
      <c r="C118" s="96">
        <f t="shared" si="9"/>
        <v>45.463626349016749</v>
      </c>
      <c r="D118" s="96">
        <f t="shared" si="10"/>
        <v>39.200117129902083</v>
      </c>
      <c r="E118" s="98">
        <f t="shared" si="11"/>
        <v>39.200117129902083</v>
      </c>
      <c r="F118" s="88"/>
    </row>
    <row r="119" spans="1:6" s="13" customFormat="1" x14ac:dyDescent="0.25">
      <c r="A119" s="88"/>
      <c r="B119" s="48">
        <v>210</v>
      </c>
      <c r="C119" s="96">
        <f t="shared" si="9"/>
        <v>46.585560255022692</v>
      </c>
      <c r="D119" s="96">
        <f t="shared" si="10"/>
        <v>39.696204449160582</v>
      </c>
      <c r="E119" s="98">
        <f t="shared" si="11"/>
        <v>39.696204449160582</v>
      </c>
      <c r="F119" s="88"/>
    </row>
    <row r="120" spans="1:6" s="13" customFormat="1" x14ac:dyDescent="0.25">
      <c r="A120" s="88"/>
      <c r="B120" s="48">
        <v>215</v>
      </c>
      <c r="C120" s="96">
        <f t="shared" si="9"/>
        <v>47.695158254034553</v>
      </c>
      <c r="D120" s="96">
        <f t="shared" si="10"/>
        <v>40.175518793562802</v>
      </c>
      <c r="E120" s="98">
        <f t="shared" si="11"/>
        <v>40.175518793562802</v>
      </c>
      <c r="F120" s="88"/>
    </row>
    <row r="121" spans="1:6" s="13" customFormat="1" x14ac:dyDescent="0.25">
      <c r="A121" s="88"/>
      <c r="B121" s="47">
        <v>220</v>
      </c>
      <c r="C121" s="96">
        <f t="shared" si="9"/>
        <v>48.792622687622924</v>
      </c>
      <c r="D121" s="96">
        <f t="shared" si="10"/>
        <v>40.638896676368127</v>
      </c>
      <c r="E121" s="98">
        <f t="shared" si="11"/>
        <v>40.638896676368127</v>
      </c>
      <c r="F121" s="88"/>
    </row>
    <row r="122" spans="1:6" s="13" customFormat="1" x14ac:dyDescent="0.25">
      <c r="A122" s="88"/>
      <c r="B122" s="48">
        <v>225</v>
      </c>
      <c r="C122" s="96">
        <f t="shared" si="9"/>
        <v>49.878151496171391</v>
      </c>
      <c r="D122" s="96">
        <f t="shared" si="10"/>
        <v>41.087119894898521</v>
      </c>
      <c r="E122" s="98">
        <f t="shared" si="11"/>
        <v>41.087119894898521</v>
      </c>
      <c r="F122" s="88"/>
    </row>
    <row r="123" spans="1:6" s="13" customFormat="1" x14ac:dyDescent="0.25">
      <c r="A123" s="88"/>
      <c r="B123" s="48">
        <v>230</v>
      </c>
      <c r="C123" s="96">
        <f t="shared" si="9"/>
        <v>50.951938337893566</v>
      </c>
      <c r="D123" s="96">
        <f t="shared" si="10"/>
        <v>41.52091993223987</v>
      </c>
      <c r="E123" s="98">
        <f t="shared" si="11"/>
        <v>41.52091993223987</v>
      </c>
      <c r="F123" s="88"/>
    </row>
    <row r="124" spans="1:6" s="13" customFormat="1" x14ac:dyDescent="0.25">
      <c r="A124" s="88"/>
      <c r="B124" s="47">
        <v>235</v>
      </c>
      <c r="C124" s="96">
        <f t="shared" si="9"/>
        <v>52.01417270400885</v>
      </c>
      <c r="D124" s="96">
        <f t="shared" si="10"/>
        <v>41.940981940750227</v>
      </c>
      <c r="E124" s="98">
        <f t="shared" si="11"/>
        <v>41.940981940750227</v>
      </c>
      <c r="F124" s="88"/>
    </row>
    <row r="125" spans="1:6" s="13" customFormat="1" x14ac:dyDescent="0.25">
      <c r="A125" s="88"/>
      <c r="B125" s="48">
        <v>240</v>
      </c>
      <c r="C125" s="96">
        <f t="shared" si="9"/>
        <v>53.065040030220594</v>
      </c>
      <c r="D125" s="96">
        <f t="shared" si="10"/>
        <v>42.347948353005947</v>
      </c>
      <c r="E125" s="98">
        <f t="shared" si="11"/>
        <v>42.347948353005947</v>
      </c>
      <c r="F125" s="88"/>
    </row>
    <row r="126" spans="1:6" s="13" customFormat="1" x14ac:dyDescent="0.25">
      <c r="A126" s="88"/>
      <c r="B126" s="48">
        <v>245</v>
      </c>
      <c r="C126" s="96">
        <f t="shared" si="9"/>
        <v>54.104721804634572</v>
      </c>
      <c r="D126" s="96">
        <f t="shared" si="10"/>
        <v>42.742422160213273</v>
      </c>
      <c r="E126" s="98">
        <f t="shared" si="11"/>
        <v>42.742422160213273</v>
      </c>
      <c r="F126" s="88"/>
    </row>
    <row r="127" spans="1:6" s="13" customFormat="1" x14ac:dyDescent="0.25">
      <c r="A127" s="88"/>
      <c r="B127" s="47">
        <v>250</v>
      </c>
      <c r="C127" s="96">
        <f t="shared" si="9"/>
        <v>55.133395672249542</v>
      </c>
      <c r="D127" s="96">
        <f t="shared" si="10"/>
        <v>43.124969893272564</v>
      </c>
      <c r="E127" s="98">
        <f t="shared" si="11"/>
        <v>43.124969893272564</v>
      </c>
      <c r="F127" s="88"/>
    </row>
    <row r="128" spans="1:6" s="13" customFormat="1" x14ac:dyDescent="0.25">
      <c r="A128" s="88"/>
      <c r="B128" s="48">
        <v>255</v>
      </c>
      <c r="C128" s="96">
        <f t="shared" si="9"/>
        <v>56.151235536146373</v>
      </c>
      <c r="D128" s="96">
        <f t="shared" si="10"/>
        <v>43.496124337490471</v>
      </c>
      <c r="E128" s="98">
        <f t="shared" si="11"/>
        <v>43.496124337490471</v>
      </c>
      <c r="F128" s="88"/>
    </row>
    <row r="129" spans="1:6" s="13" customFormat="1" x14ac:dyDescent="0.25">
      <c r="A129" s="88"/>
      <c r="B129" s="48">
        <v>260</v>
      </c>
      <c r="C129" s="96">
        <f t="shared" si="9"/>
        <v>57.1584116554967</v>
      </c>
      <c r="D129" s="96">
        <f t="shared" si="10"/>
        <v>43.856387008297041</v>
      </c>
      <c r="E129" s="98">
        <f t="shared" si="11"/>
        <v>43.856387008297041</v>
      </c>
      <c r="F129" s="88"/>
    </row>
    <row r="130" spans="1:6" s="13" customFormat="1" x14ac:dyDescent="0.25">
      <c r="A130" s="88"/>
      <c r="B130" s="47">
        <v>265</v>
      </c>
      <c r="C130" s="96">
        <f t="shared" si="9"/>
        <v>58.155090740507241</v>
      </c>
      <c r="D130" s="96">
        <f t="shared" si="10"/>
        <v>44.206230412159883</v>
      </c>
      <c r="E130" s="98">
        <f t="shared" si="11"/>
        <v>44.206230412159883</v>
      </c>
      <c r="F130" s="88"/>
    </row>
    <row r="131" spans="1:6" s="13" customFormat="1" x14ac:dyDescent="0.25">
      <c r="A131" s="88"/>
      <c r="B131" s="48">
        <v>270</v>
      </c>
      <c r="C131" s="96">
        <f t="shared" si="9"/>
        <v>59.141436044410803</v>
      </c>
      <c r="D131" s="96">
        <f t="shared" si="10"/>
        <v>44.546100114128834</v>
      </c>
      <c r="E131" s="98">
        <f t="shared" si="11"/>
        <v>44.546100114128834</v>
      </c>
      <c r="F131" s="88"/>
    </row>
    <row r="132" spans="1:6" s="13" customFormat="1" x14ac:dyDescent="0.25">
      <c r="A132" s="88"/>
      <c r="B132" s="48">
        <v>275</v>
      </c>
      <c r="C132" s="96">
        <f t="shared" si="9"/>
        <v>60.117607452610791</v>
      </c>
      <c r="D132" s="96">
        <f t="shared" si="10"/>
        <v>44.876416631034623</v>
      </c>
      <c r="E132" s="98">
        <f t="shared" si="11"/>
        <v>44.876416631034623</v>
      </c>
      <c r="F132" s="88"/>
    </row>
    <row r="133" spans="1:6" s="13" customFormat="1" x14ac:dyDescent="0.25">
      <c r="A133" s="88"/>
      <c r="B133" s="47">
        <v>280</v>
      </c>
      <c r="C133" s="96">
        <f t="shared" si="9"/>
        <v>61.083761569081318</v>
      </c>
      <c r="D133" s="96">
        <f t="shared" si="10"/>
        <v>45.197577167255943</v>
      </c>
      <c r="E133" s="98">
        <f t="shared" si="11"/>
        <v>45.197577167255943</v>
      </c>
      <c r="F133" s="88"/>
    </row>
    <row r="134" spans="1:6" s="13" customFormat="1" x14ac:dyDescent="0.25">
      <c r="A134" s="88"/>
      <c r="B134" s="48">
        <v>285</v>
      </c>
      <c r="C134" s="96">
        <f t="shared" si="9"/>
        <v>62.040051800121013</v>
      </c>
      <c r="D134" s="96">
        <f t="shared" si="10"/>
        <v>45.509957208119438</v>
      </c>
      <c r="E134" s="98">
        <f t="shared" si="11"/>
        <v>45.509957208119438</v>
      </c>
      <c r="F134" s="88"/>
    </row>
    <row r="135" spans="1:6" s="13" customFormat="1" x14ac:dyDescent="0.25">
      <c r="A135" s="88"/>
      <c r="B135" s="48">
        <v>290</v>
      </c>
      <c r="C135" s="96">
        <f t="shared" si="9"/>
        <v>62.986628435554664</v>
      </c>
      <c r="D135" s="96">
        <f t="shared" si="10"/>
        <v>45.813911984371913</v>
      </c>
      <c r="E135" s="98">
        <f t="shared" si="11"/>
        <v>45.813911984371913</v>
      </c>
      <c r="F135" s="88"/>
    </row>
    <row r="136" spans="1:6" s="13" customFormat="1" x14ac:dyDescent="0.25">
      <c r="A136" s="88"/>
      <c r="B136" s="47">
        <v>295</v>
      </c>
      <c r="C136" s="96">
        <f t="shared" si="9"/>
        <v>63.923638727472905</v>
      </c>
      <c r="D136" s="96">
        <f t="shared" si="10"/>
        <v>46.109777819733651</v>
      </c>
      <c r="E136" s="98">
        <f t="shared" si="11"/>
        <v>46.109777819733651</v>
      </c>
      <c r="F136" s="88"/>
    </row>
    <row r="137" spans="1:6" s="13" customFormat="1" x14ac:dyDescent="0.25">
      <c r="A137" s="88"/>
      <c r="B137" s="48">
        <v>300</v>
      </c>
      <c r="C137" s="96">
        <f t="shared" si="9"/>
        <v>64.851226966596599</v>
      </c>
      <c r="D137" s="96">
        <f t="shared" si="10"/>
        <v>46.397873372279797</v>
      </c>
      <c r="E137" s="98">
        <f t="shared" si="11"/>
        <v>46.397873372279797</v>
      </c>
      <c r="F137" s="88"/>
    </row>
    <row r="138" spans="1:6" s="13" customFormat="1" x14ac:dyDescent="0.25">
      <c r="A138" s="88"/>
      <c r="B138" s="48">
        <v>305</v>
      </c>
      <c r="C138" s="96">
        <f t="shared" si="9"/>
        <v>65.769534556349129</v>
      </c>
      <c r="D138" s="96">
        <f t="shared" si="10"/>
        <v>46.678500779282842</v>
      </c>
      <c r="E138" s="98">
        <f t="shared" si="11"/>
        <v>46.678500779282842</v>
      </c>
      <c r="F138" s="88"/>
    </row>
    <row r="139" spans="1:6" s="13" customFormat="1" x14ac:dyDescent="0.25">
      <c r="A139" s="88"/>
      <c r="B139" s="47">
        <v>310</v>
      </c>
      <c r="C139" s="96">
        <f t="shared" si="9"/>
        <v>66.678700084716482</v>
      </c>
      <c r="D139" s="96">
        <f t="shared" si="10"/>
        <v>46.951946714162908</v>
      </c>
      <c r="E139" s="98">
        <f t="shared" si="11"/>
        <v>46.951946714162908</v>
      </c>
      <c r="F139" s="88"/>
    </row>
    <row r="140" spans="1:6" s="13" customFormat="1" x14ac:dyDescent="0.25">
      <c r="A140" s="88"/>
      <c r="B140" s="48">
        <v>315</v>
      </c>
      <c r="C140" s="96">
        <f t="shared" si="9"/>
        <v>67.578859393971712</v>
      </c>
      <c r="D140" s="96">
        <f t="shared" si="10"/>
        <v>47.218483363318605</v>
      </c>
      <c r="E140" s="98">
        <f t="shared" si="11"/>
        <v>47.218483363318605</v>
      </c>
      <c r="F140" s="88"/>
    </row>
    <row r="141" spans="1:6" s="13" customFormat="1" x14ac:dyDescent="0.25">
      <c r="A141" s="88"/>
      <c r="B141" s="48">
        <v>320</v>
      </c>
      <c r="C141" s="96">
        <f t="shared" si="9"/>
        <v>68.470145648337578</v>
      </c>
      <c r="D141" s="96">
        <f t="shared" si="10"/>
        <v>47.478369329835608</v>
      </c>
      <c r="E141" s="98">
        <f t="shared" si="11"/>
        <v>47.478369329835608</v>
      </c>
      <c r="F141" s="88"/>
    </row>
    <row r="142" spans="1:6" s="13" customFormat="1" x14ac:dyDescent="0.25">
      <c r="A142" s="88"/>
      <c r="B142" s="47">
        <v>325</v>
      </c>
      <c r="C142" s="96">
        <f t="shared" si="9"/>
        <v>69.352689399658175</v>
      </c>
      <c r="D142" s="96">
        <f t="shared" si="10"/>
        <v>47.73185047038023</v>
      </c>
      <c r="E142" s="98">
        <f t="shared" si="11"/>
        <v>47.73185047038023</v>
      </c>
      <c r="F142" s="88"/>
    </row>
    <row r="143" spans="1:6" s="13" customFormat="1" x14ac:dyDescent="0.25">
      <c r="A143" s="88"/>
      <c r="B143" s="48">
        <v>330</v>
      </c>
      <c r="C143" s="96">
        <f t="shared" ref="C143:C174" si="12">Vcmax*(B143-Gammastr)/(B143+Kc*(1+Ko/O))</f>
        <v>70.226618651147277</v>
      </c>
      <c r="D143" s="96">
        <f t="shared" ref="D143:D174" si="13">J*(B143-Gammastr)/(4*B143+8*Gammastr)</f>
        <v>47.979160670970991</v>
      </c>
      <c r="E143" s="98">
        <f t="shared" ref="E143:E174" si="14">MIN(C143,D143)</f>
        <v>47.979160670970991</v>
      </c>
      <c r="F143" s="88"/>
    </row>
    <row r="144" spans="1:6" s="13" customFormat="1" x14ac:dyDescent="0.25">
      <c r="A144" s="88"/>
      <c r="B144" s="48">
        <v>335</v>
      </c>
      <c r="C144" s="96">
        <f t="shared" si="12"/>
        <v>71.092058919279367</v>
      </c>
      <c r="D144" s="96">
        <f t="shared" si="13"/>
        <v>48.220522566773703</v>
      </c>
      <c r="E144" s="98">
        <f t="shared" si="14"/>
        <v>48.220522566773703</v>
      </c>
      <c r="F144" s="88"/>
    </row>
    <row r="145" spans="1:6" s="13" customFormat="1" x14ac:dyDescent="0.25">
      <c r="A145" s="88"/>
      <c r="B145" s="47">
        <v>340</v>
      </c>
      <c r="C145" s="96">
        <f t="shared" si="12"/>
        <v>71.949133293885424</v>
      </c>
      <c r="D145" s="96">
        <f t="shared" si="13"/>
        <v>48.456148210576103</v>
      </c>
      <c r="E145" s="98">
        <f t="shared" si="14"/>
        <v>48.456148210576103</v>
      </c>
      <c r="F145" s="88"/>
    </row>
    <row r="146" spans="1:6" s="13" customFormat="1" x14ac:dyDescent="0.25">
      <c r="A146" s="88"/>
      <c r="B146" s="48">
        <v>345</v>
      </c>
      <c r="C146" s="96">
        <f t="shared" si="12"/>
        <v>72.7979624965147</v>
      </c>
      <c r="D146" s="96">
        <f t="shared" si="13"/>
        <v>48.686239694160975</v>
      </c>
      <c r="E146" s="98">
        <f t="shared" si="14"/>
        <v>48.686239694160975</v>
      </c>
      <c r="F146" s="88"/>
    </row>
    <row r="147" spans="1:6" s="13" customFormat="1" x14ac:dyDescent="0.25">
      <c r="A147" s="88"/>
      <c r="B147" s="48">
        <v>350</v>
      </c>
      <c r="C147" s="96">
        <f t="shared" si="12"/>
        <v>73.63866493711987</v>
      </c>
      <c r="D147" s="96">
        <f t="shared" si="13"/>
        <v>48.910989726404722</v>
      </c>
      <c r="E147" s="98">
        <f t="shared" si="14"/>
        <v>48.910989726404722</v>
      </c>
      <c r="F147" s="88"/>
    </row>
    <row r="148" spans="1:6" s="13" customFormat="1" x14ac:dyDescent="0.25">
      <c r="A148" s="88"/>
      <c r="B148" s="47">
        <v>355</v>
      </c>
      <c r="C148" s="96">
        <f t="shared" si="12"/>
        <v>74.471356769122181</v>
      </c>
      <c r="D148" s="96">
        <f t="shared" si="13"/>
        <v>49.130582171577167</v>
      </c>
      <c r="E148" s="98">
        <f t="shared" si="14"/>
        <v>49.130582171577167</v>
      </c>
      <c r="F148" s="88"/>
    </row>
    <row r="149" spans="1:6" s="13" customFormat="1" x14ac:dyDescent="0.25">
      <c r="A149" s="88"/>
      <c r="B149" s="48">
        <v>360</v>
      </c>
      <c r="C149" s="96">
        <f t="shared" si="12"/>
        <v>75.296151942909574</v>
      </c>
      <c r="D149" s="96">
        <f t="shared" si="13"/>
        <v>49.34519255100281</v>
      </c>
      <c r="E149" s="98">
        <f t="shared" si="14"/>
        <v>49.34519255100281</v>
      </c>
      <c r="F149" s="88"/>
    </row>
    <row r="150" spans="1:6" s="13" customFormat="1" x14ac:dyDescent="0.25">
      <c r="A150" s="88"/>
      <c r="B150" s="48">
        <v>365</v>
      </c>
      <c r="C150" s="96">
        <f t="shared" si="12"/>
        <v>76.113162257820449</v>
      </c>
      <c r="D150" s="96">
        <f t="shared" si="13"/>
        <v>49.554988510960357</v>
      </c>
      <c r="E150" s="98">
        <f t="shared" si="14"/>
        <v>49.554988510960357</v>
      </c>
      <c r="F150" s="88"/>
    </row>
    <row r="151" spans="1:6" s="13" customFormat="1" x14ac:dyDescent="0.25">
      <c r="A151" s="88"/>
      <c r="B151" s="47">
        <v>370</v>
      </c>
      <c r="C151" s="96">
        <f t="shared" si="12"/>
        <v>76.92249741266194</v>
      </c>
      <c r="D151" s="96">
        <f t="shared" si="13"/>
        <v>49.760130259441972</v>
      </c>
      <c r="E151" s="98">
        <f t="shared" si="14"/>
        <v>49.760130259441972</v>
      </c>
      <c r="F151" s="88"/>
    </row>
    <row r="152" spans="1:6" s="13" customFormat="1" x14ac:dyDescent="0.25">
      <c r="A152" s="88"/>
      <c r="B152" s="48">
        <v>375</v>
      </c>
      <c r="C152" s="96">
        <f t="shared" si="12"/>
        <v>77.724265054811468</v>
      </c>
      <c r="D152" s="96">
        <f t="shared" si="13"/>
        <v>49.960770974163545</v>
      </c>
      <c r="E152" s="98">
        <f t="shared" si="14"/>
        <v>49.960770974163545</v>
      </c>
      <c r="F152" s="88"/>
    </row>
    <row r="153" spans="1:6" s="13" customFormat="1" x14ac:dyDescent="0.25">
      <c r="A153" s="88"/>
      <c r="B153" s="48">
        <v>380</v>
      </c>
      <c r="C153" s="96">
        <f t="shared" si="12"/>
        <v>78.518570827947116</v>
      </c>
      <c r="D153" s="96">
        <f t="shared" si="13"/>
        <v>50.157057184009915</v>
      </c>
      <c r="E153" s="98">
        <f t="shared" si="14"/>
        <v>50.157057184009915</v>
      </c>
      <c r="F153" s="88"/>
    </row>
    <row r="154" spans="1:6" s="13" customFormat="1" x14ac:dyDescent="0.25">
      <c r="A154" s="88"/>
      <c r="B154" s="47">
        <v>385</v>
      </c>
      <c r="C154" s="96">
        <f t="shared" si="12"/>
        <v>79.305518418451726</v>
      </c>
      <c r="D154" s="96">
        <f t="shared" si="13"/>
        <v>50.349129125911062</v>
      </c>
      <c r="E154" s="98">
        <f t="shared" si="14"/>
        <v>50.349129125911062</v>
      </c>
      <c r="F154" s="88"/>
    </row>
    <row r="155" spans="1:6" s="13" customFormat="1" x14ac:dyDescent="0.25">
      <c r="A155" s="88"/>
      <c r="B155" s="48">
        <v>390</v>
      </c>
      <c r="C155" s="96">
        <f t="shared" si="12"/>
        <v>80.085209600533105</v>
      </c>
      <c r="D155" s="96">
        <f t="shared" si="13"/>
        <v>50.537121078976156</v>
      </c>
      <c r="E155" s="98">
        <f t="shared" si="14"/>
        <v>50.537121078976156</v>
      </c>
      <c r="F155" s="88"/>
    </row>
    <row r="156" spans="1:6" s="13" customFormat="1" x14ac:dyDescent="0.25">
      <c r="A156" s="88"/>
      <c r="B156" s="48">
        <v>395</v>
      </c>
      <c r="C156" s="96">
        <f t="shared" si="12"/>
        <v>80.857744280102054</v>
      </c>
      <c r="D156" s="96">
        <f t="shared" si="13"/>
        <v>50.721161677558271</v>
      </c>
      <c r="E156" s="98">
        <f t="shared" si="14"/>
        <v>50.721161677558271</v>
      </c>
      <c r="F156" s="88"/>
    </row>
    <row r="157" spans="1:6" s="13" customFormat="1" x14ac:dyDescent="0.25">
      <c r="A157" s="88"/>
      <c r="B157" s="47">
        <v>400</v>
      </c>
      <c r="C157" s="96">
        <f t="shared" si="12"/>
        <v>81.623220537447466</v>
      </c>
      <c r="D157" s="96">
        <f t="shared" si="13"/>
        <v>50.901374204783785</v>
      </c>
      <c r="E157" s="98">
        <f t="shared" si="14"/>
        <v>50.901374204783785</v>
      </c>
      <c r="F157" s="88"/>
    </row>
    <row r="158" spans="1:6" s="13" customFormat="1" x14ac:dyDescent="0.25">
      <c r="A158" s="88"/>
      <c r="B158" s="48">
        <v>405</v>
      </c>
      <c r="C158" s="96">
        <f t="shared" si="12"/>
        <v>82.381734668747157</v>
      </c>
      <c r="D158" s="96">
        <f t="shared" si="13"/>
        <v>51.077876867953933</v>
      </c>
      <c r="E158" s="98">
        <f t="shared" si="14"/>
        <v>51.077876867953933</v>
      </c>
      <c r="F158" s="88"/>
    </row>
    <row r="159" spans="1:6" s="13" customFormat="1" x14ac:dyDescent="0.25">
      <c r="A159" s="88"/>
      <c r="B159" s="48">
        <v>410</v>
      </c>
      <c r="C159" s="96">
        <f t="shared" si="12"/>
        <v>83.13338122645122</v>
      </c>
      <c r="D159" s="96">
        <f t="shared" si="13"/>
        <v>51.250783057111335</v>
      </c>
      <c r="E159" s="98">
        <f t="shared" si="14"/>
        <v>51.250783057111335</v>
      </c>
      <c r="F159" s="88"/>
    </row>
    <row r="160" spans="1:6" s="13" customFormat="1" x14ac:dyDescent="0.25">
      <c r="A160" s="88"/>
      <c r="B160" s="47">
        <v>415</v>
      </c>
      <c r="C160" s="96">
        <f t="shared" si="12"/>
        <v>83.878253058573151</v>
      </c>
      <c r="D160" s="96">
        <f t="shared" si="13"/>
        <v>51.420201587960037</v>
      </c>
      <c r="E160" s="98">
        <f t="shared" si="14"/>
        <v>51.420201587960037</v>
      </c>
      <c r="F160" s="88"/>
    </row>
    <row r="161" spans="1:6" s="13" customFormat="1" x14ac:dyDescent="0.25">
      <c r="A161" s="88"/>
      <c r="B161" s="48">
        <v>420</v>
      </c>
      <c r="C161" s="96">
        <f t="shared" si="12"/>
        <v>84.616441346923793</v>
      </c>
      <c r="D161" s="96">
        <f t="shared" si="13"/>
        <v>51.58623693023268</v>
      </c>
      <c r="E161" s="98">
        <f t="shared" si="14"/>
        <v>51.58623693023268</v>
      </c>
      <c r="F161" s="88"/>
    </row>
    <row r="162" spans="1:6" s="13" customFormat="1" x14ac:dyDescent="0.25">
      <c r="A162" s="88"/>
      <c r="B162" s="48">
        <v>425</v>
      </c>
      <c r="C162" s="96">
        <f t="shared" si="12"/>
        <v>85.348035644320177</v>
      </c>
      <c r="D162" s="96">
        <f t="shared" si="13"/>
        <v>51.748989422511769</v>
      </c>
      <c r="E162" s="98">
        <f t="shared" si="14"/>
        <v>51.748989422511769</v>
      </c>
      <c r="F162" s="88"/>
    </row>
    <row r="163" spans="1:6" s="13" customFormat="1" x14ac:dyDescent="0.25">
      <c r="A163" s="88"/>
      <c r="B163" s="47">
        <v>430</v>
      </c>
      <c r="C163" s="96">
        <f t="shared" si="12"/>
        <v>86.073123910802124</v>
      </c>
      <c r="D163" s="96">
        <f t="shared" si="13"/>
        <v>51.90855547443347</v>
      </c>
      <c r="E163" s="98">
        <f t="shared" si="14"/>
        <v>51.90855547443347</v>
      </c>
      <c r="F163" s="88"/>
    </row>
    <row r="164" spans="1:6" s="13" customFormat="1" x14ac:dyDescent="0.25">
      <c r="A164" s="88"/>
      <c r="B164" s="48">
        <v>435</v>
      </c>
      <c r="C164" s="96">
        <f t="shared" si="12"/>
        <v>86.791792548886505</v>
      </c>
      <c r="D164" s="96">
        <f t="shared" si="13"/>
        <v>52.065027757129847</v>
      </c>
      <c r="E164" s="98">
        <f t="shared" si="14"/>
        <v>52.065027757129847</v>
      </c>
      <c r="F164" s="88"/>
    </row>
    <row r="165" spans="1:6" s="13" customFormat="1" x14ac:dyDescent="0.25">
      <c r="A165" s="88"/>
      <c r="B165" s="48">
        <v>440</v>
      </c>
      <c r="C165" s="96">
        <f t="shared" si="12"/>
        <v>87.504126437889653</v>
      </c>
      <c r="D165" s="96">
        <f t="shared" si="13"/>
        <v>52.218495382700389</v>
      </c>
      <c r="E165" s="98">
        <f t="shared" si="14"/>
        <v>52.218495382700389</v>
      </c>
      <c r="F165" s="88"/>
    </row>
    <row r="166" spans="1:6" s="13" customFormat="1" x14ac:dyDescent="0.25">
      <c r="A166" s="88"/>
      <c r="B166" s="47">
        <v>445</v>
      </c>
      <c r="C166" s="96">
        <f t="shared" si="12"/>
        <v>88.210208967345778</v>
      </c>
      <c r="D166" s="96">
        <f t="shared" si="13"/>
        <v>52.369044073442858</v>
      </c>
      <c r="E166" s="98">
        <f t="shared" si="14"/>
        <v>52.369044073442858</v>
      </c>
      <c r="F166" s="88"/>
    </row>
    <row r="167" spans="1:6" s="13" customFormat="1" x14ac:dyDescent="0.25">
      <c r="A167" s="88"/>
      <c r="B167" s="48">
        <v>450</v>
      </c>
      <c r="C167" s="96">
        <f t="shared" si="12"/>
        <v>88.910122069549672</v>
      </c>
      <c r="D167" s="96">
        <f t="shared" si="13"/>
        <v>52.516756321518898</v>
      </c>
      <c r="E167" s="98">
        <f t="shared" si="14"/>
        <v>52.516756321518898</v>
      </c>
      <c r="F167" s="88"/>
    </row>
    <row r="168" spans="1:6" s="13" customFormat="1" x14ac:dyDescent="0.25">
      <c r="A168" s="88"/>
      <c r="B168" s="48">
        <v>455</v>
      </c>
      <c r="C168" s="96">
        <f t="shared" si="12"/>
        <v>89.603946251249852</v>
      </c>
      <c r="D168" s="96">
        <f t="shared" si="13"/>
        <v>52.661711539679182</v>
      </c>
      <c r="E168" s="98">
        <f t="shared" si="14"/>
        <v>52.661711539679182</v>
      </c>
      <c r="F168" s="88"/>
    </row>
    <row r="169" spans="1:6" s="13" customFormat="1" x14ac:dyDescent="0.25">
      <c r="A169" s="88"/>
      <c r="B169" s="47">
        <v>460</v>
      </c>
      <c r="C169" s="96">
        <f t="shared" si="12"/>
        <v>90.291760624518446</v>
      </c>
      <c r="D169" s="96">
        <f t="shared" si="13"/>
        <v>52.803986203626849</v>
      </c>
      <c r="E169" s="98">
        <f t="shared" si="14"/>
        <v>52.803986203626849</v>
      </c>
      <c r="F169" s="88"/>
    </row>
    <row r="170" spans="1:6" s="13" customFormat="1" x14ac:dyDescent="0.25">
      <c r="A170" s="88"/>
      <c r="B170" s="48">
        <v>465</v>
      </c>
      <c r="C170" s="96">
        <f t="shared" si="12"/>
        <v>90.973642936822017</v>
      </c>
      <c r="D170" s="96">
        <f t="shared" si="13"/>
        <v>52.94365398655539</v>
      </c>
      <c r="E170" s="98">
        <f t="shared" si="14"/>
        <v>52.94365398655539</v>
      </c>
      <c r="F170" s="88"/>
    </row>
    <row r="171" spans="1:6" s="13" customFormat="1" x14ac:dyDescent="0.25">
      <c r="A171" s="88"/>
      <c r="B171" s="48">
        <v>470</v>
      </c>
      <c r="C171" s="96">
        <f t="shared" si="12"/>
        <v>91.649669600317978</v>
      </c>
      <c r="D171" s="96">
        <f t="shared" si="13"/>
        <v>53.080785886358321</v>
      </c>
      <c r="E171" s="98">
        <f t="shared" si="14"/>
        <v>53.080785886358321</v>
      </c>
      <c r="F171" s="88"/>
    </row>
    <row r="172" spans="1:6" s="13" customFormat="1" x14ac:dyDescent="0.25">
      <c r="A172" s="88"/>
      <c r="B172" s="47">
        <v>475</v>
      </c>
      <c r="C172" s="96">
        <f t="shared" si="12"/>
        <v>92.319915720399294</v>
      </c>
      <c r="D172" s="96">
        <f t="shared" si="13"/>
        <v>53.215450345972144</v>
      </c>
      <c r="E172" s="98">
        <f t="shared" si="14"/>
        <v>53.215450345972144</v>
      </c>
      <c r="F172" s="88"/>
    </row>
    <row r="173" spans="1:6" s="13" customFormat="1" x14ac:dyDescent="0.25">
      <c r="A173" s="88"/>
      <c r="B173" s="48">
        <v>480</v>
      </c>
      <c r="C173" s="96">
        <f t="shared" si="12"/>
        <v>92.98445512351023</v>
      </c>
      <c r="D173" s="96">
        <f t="shared" si="13"/>
        <v>53.347713367281109</v>
      </c>
      <c r="E173" s="98">
        <f t="shared" si="14"/>
        <v>53.347713367281109</v>
      </c>
      <c r="F173" s="88"/>
    </row>
    <row r="174" spans="1:6" s="13" customFormat="1" x14ac:dyDescent="0.25">
      <c r="A174" s="88"/>
      <c r="B174" s="48">
        <v>485</v>
      </c>
      <c r="C174" s="96">
        <f t="shared" si="12"/>
        <v>93.643360384254393</v>
      </c>
      <c r="D174" s="96">
        <f t="shared" si="13"/>
        <v>53.477638618982205</v>
      </c>
      <c r="E174" s="98">
        <f t="shared" si="14"/>
        <v>53.477638618982205</v>
      </c>
      <c r="F174" s="88"/>
    </row>
    <row r="175" spans="1:6" s="13" customFormat="1" x14ac:dyDescent="0.25">
      <c r="A175" s="88"/>
      <c r="B175" s="47">
        <v>490</v>
      </c>
      <c r="C175" s="96">
        <f t="shared" ref="C175:C206" si="15">Vcmax*(B175-Gammastr)/(B175+Kc*(1+Ko/O))</f>
        <v>94.296702851816448</v>
      </c>
      <c r="D175" s="96">
        <f t="shared" ref="D175:D206" si="16">J*(B175-Gammastr)/(4*B175+8*Gammastr)</f>
        <v>53.605287538780608</v>
      </c>
      <c r="E175" s="98">
        <f t="shared" ref="E175:E206" si="17">MIN(C175,D175)</f>
        <v>53.605287538780608</v>
      </c>
      <c r="F175" s="88"/>
    </row>
    <row r="176" spans="1:6" s="13" customFormat="1" x14ac:dyDescent="0.25">
      <c r="A176" s="88"/>
      <c r="B176" s="48">
        <v>495</v>
      </c>
      <c r="C176" s="96">
        <f t="shared" si="15"/>
        <v>94.944552675717276</v>
      </c>
      <c r="D176" s="96">
        <f t="shared" si="16"/>
        <v>53.730719430260315</v>
      </c>
      <c r="E176" s="98">
        <f t="shared" si="17"/>
        <v>53.730719430260315</v>
      </c>
      <c r="F176" s="88"/>
    </row>
    <row r="177" spans="1:6" s="13" customFormat="1" x14ac:dyDescent="0.25">
      <c r="A177" s="88"/>
      <c r="B177" s="48">
        <v>500</v>
      </c>
      <c r="C177" s="96">
        <f t="shared" si="15"/>
        <v>95.58697883092232</v>
      </c>
      <c r="D177" s="96">
        <f t="shared" si="16"/>
        <v>53.853991554750806</v>
      </c>
      <c r="E177" s="98">
        <f t="shared" si="17"/>
        <v>53.853991554750806</v>
      </c>
      <c r="F177" s="88"/>
    </row>
    <row r="178" spans="1:6" s="13" customFormat="1" x14ac:dyDescent="0.25">
      <c r="A178" s="88"/>
      <c r="B178" s="47">
        <v>505</v>
      </c>
      <c r="C178" s="96">
        <f t="shared" si="15"/>
        <v>96.224049142322016</v>
      </c>
      <c r="D178" s="96">
        <f t="shared" si="16"/>
        <v>53.97515921848877</v>
      </c>
      <c r="E178" s="98">
        <f t="shared" si="17"/>
        <v>53.97515921848877</v>
      </c>
      <c r="F178" s="88"/>
    </row>
    <row r="179" spans="1:6" s="13" customFormat="1" x14ac:dyDescent="0.25">
      <c r="A179" s="88"/>
      <c r="B179" s="48">
        <v>510</v>
      </c>
      <c r="C179" s="96">
        <f t="shared" si="15"/>
        <v>96.855830308602378</v>
      </c>
      <c r="D179" s="96">
        <f t="shared" si="16"/>
        <v>54.094275855353644</v>
      </c>
      <c r="E179" s="98">
        <f t="shared" si="17"/>
        <v>54.094275855353644</v>
      </c>
      <c r="F179" s="88"/>
    </row>
    <row r="180" spans="1:6" s="13" customFormat="1" x14ac:dyDescent="0.25">
      <c r="A180" s="88"/>
      <c r="B180" s="48">
        <v>515</v>
      </c>
      <c r="C180" s="96">
        <f t="shared" si="15"/>
        <v>97.482387925523653</v>
      </c>
      <c r="D180" s="96">
        <f t="shared" si="16"/>
        <v>54.211393105436933</v>
      </c>
      <c r="E180" s="98">
        <f t="shared" si="17"/>
        <v>54.211393105436933</v>
      </c>
      <c r="F180" s="88"/>
    </row>
    <row r="181" spans="1:6" s="13" customFormat="1" x14ac:dyDescent="0.25">
      <c r="A181" s="88"/>
      <c r="B181" s="47">
        <v>520</v>
      </c>
      <c r="C181" s="96">
        <f t="shared" si="15"/>
        <v>98.103786508623784</v>
      </c>
      <c r="D181" s="96">
        <f t="shared" si="16"/>
        <v>54.326560889688118</v>
      </c>
      <c r="E181" s="98">
        <f t="shared" si="17"/>
        <v>54.326560889688118</v>
      </c>
      <c r="F181" s="88"/>
    </row>
    <row r="182" spans="1:6" s="13" customFormat="1" x14ac:dyDescent="0.25">
      <c r="A182" s="88"/>
      <c r="B182" s="48">
        <v>525</v>
      </c>
      <c r="C182" s="96">
        <f t="shared" si="15"/>
        <v>98.720089515363497</v>
      </c>
      <c r="D182" s="96">
        <f t="shared" si="16"/>
        <v>54.439827480863741</v>
      </c>
      <c r="E182" s="98">
        <f t="shared" si="17"/>
        <v>54.439827480863741</v>
      </c>
      <c r="F182" s="88"/>
    </row>
    <row r="183" spans="1:6" s="13" customFormat="1" x14ac:dyDescent="0.25">
      <c r="A183" s="88"/>
      <c r="B183" s="48">
        <v>530</v>
      </c>
      <c r="C183" s="96">
        <f t="shared" si="15"/>
        <v>99.331359366728705</v>
      </c>
      <c r="D183" s="96">
        <f t="shared" si="16"/>
        <v>54.551239570991633</v>
      </c>
      <c r="E183" s="98">
        <f t="shared" si="17"/>
        <v>54.551239570991633</v>
      </c>
      <c r="F183" s="88"/>
    </row>
    <row r="184" spans="1:6" s="13" customFormat="1" x14ac:dyDescent="0.25">
      <c r="A184" s="88"/>
      <c r="B184" s="47">
        <v>535</v>
      </c>
      <c r="C184" s="96">
        <f t="shared" si="15"/>
        <v>99.937657468305957</v>
      </c>
      <c r="D184" s="96">
        <f t="shared" si="16"/>
        <v>54.660842335548203</v>
      </c>
      <c r="E184" s="98">
        <f t="shared" si="17"/>
        <v>54.660842335548203</v>
      </c>
      <c r="F184" s="88"/>
    </row>
    <row r="185" spans="1:6" s="13" customFormat="1" x14ac:dyDescent="0.25">
      <c r="A185" s="88"/>
      <c r="B185" s="48">
        <v>540</v>
      </c>
      <c r="C185" s="96">
        <f t="shared" si="15"/>
        <v>100.53904423084553</v>
      </c>
      <c r="D185" s="96">
        <f t="shared" si="16"/>
        <v>54.768679494534332</v>
      </c>
      <c r="E185" s="98">
        <f t="shared" si="17"/>
        <v>54.768679494534332</v>
      </c>
      <c r="F185" s="88"/>
    </row>
    <row r="186" spans="1:6" s="13" customFormat="1" x14ac:dyDescent="0.25">
      <c r="A186" s="88"/>
      <c r="B186" s="48">
        <v>545</v>
      </c>
      <c r="C186" s="96">
        <f t="shared" si="15"/>
        <v>101.13557909032707</v>
      </c>
      <c r="D186" s="96">
        <f t="shared" si="16"/>
        <v>54.874793370623081</v>
      </c>
      <c r="E186" s="98">
        <f t="shared" si="17"/>
        <v>54.874793370623081</v>
      </c>
      <c r="F186" s="88"/>
    </row>
    <row r="187" spans="1:6" s="13" customFormat="1" x14ac:dyDescent="0.25">
      <c r="A187" s="88"/>
      <c r="B187" s="47">
        <v>550</v>
      </c>
      <c r="C187" s="96">
        <f t="shared" si="15"/>
        <v>101.72732052754118</v>
      </c>
      <c r="D187" s="96">
        <f t="shared" si="16"/>
        <v>54.979224944541919</v>
      </c>
      <c r="E187" s="98">
        <f t="shared" si="17"/>
        <v>54.979224944541919</v>
      </c>
      <c r="F187" s="88"/>
    </row>
    <row r="188" spans="1:6" s="13" customFormat="1" x14ac:dyDescent="0.25">
      <c r="A188" s="88"/>
      <c r="B188" s="48">
        <v>555</v>
      </c>
      <c r="C188" s="96">
        <f t="shared" si="15"/>
        <v>102.31432608720122</v>
      </c>
      <c r="D188" s="96">
        <f t="shared" si="16"/>
        <v>55.082013907841564</v>
      </c>
      <c r="E188" s="98">
        <f t="shared" si="17"/>
        <v>55.082013907841564</v>
      </c>
      <c r="F188" s="88"/>
    </row>
    <row r="189" spans="1:6" s="13" customFormat="1" x14ac:dyDescent="0.25">
      <c r="A189" s="88"/>
      <c r="B189" s="48">
        <v>560</v>
      </c>
      <c r="C189" s="96">
        <f t="shared" si="15"/>
        <v>102.89665239659787</v>
      </c>
      <c r="D189" s="96">
        <f t="shared" si="16"/>
        <v>55.183198713194294</v>
      </c>
      <c r="E189" s="98">
        <f t="shared" si="17"/>
        <v>55.183198713194294</v>
      </c>
      <c r="F189" s="88"/>
    </row>
    <row r="190" spans="1:6" s="13" customFormat="1" x14ac:dyDescent="0.25">
      <c r="A190" s="88"/>
      <c r="B190" s="47">
        <v>565</v>
      </c>
      <c r="C190" s="96">
        <f t="shared" si="15"/>
        <v>103.47435518380932</v>
      </c>
      <c r="D190" s="96">
        <f t="shared" si="16"/>
        <v>55.282816622355483</v>
      </c>
      <c r="E190" s="98">
        <f t="shared" si="17"/>
        <v>55.282816622355483</v>
      </c>
      <c r="F190" s="88"/>
    </row>
    <row r="191" spans="1:6" s="13" customFormat="1" x14ac:dyDescent="0.25">
      <c r="A191" s="88"/>
      <c r="B191" s="48">
        <v>570</v>
      </c>
      <c r="C191" s="96">
        <f t="shared" si="15"/>
        <v>104.04748929547952</v>
      </c>
      <c r="D191" s="96">
        <f t="shared" si="16"/>
        <v>55.380903751914261</v>
      </c>
      <c r="E191" s="98">
        <f t="shared" si="17"/>
        <v>55.380903751914261</v>
      </c>
      <c r="F191" s="88"/>
    </row>
    <row r="192" spans="1:6" s="13" customFormat="1" x14ac:dyDescent="0.25">
      <c r="A192" s="88"/>
      <c r="B192" s="48">
        <v>575</v>
      </c>
      <c r="C192" s="96">
        <f t="shared" si="15"/>
        <v>104.61610871417626</v>
      </c>
      <c r="D192" s="96">
        <f t="shared" si="16"/>
        <v>55.47749511695104</v>
      </c>
      <c r="E192" s="98">
        <f t="shared" si="17"/>
        <v>55.47749511695104</v>
      </c>
      <c r="F192" s="88"/>
    </row>
    <row r="193" spans="1:10" s="13" customFormat="1" x14ac:dyDescent="0.25">
      <c r="A193" s="88"/>
      <c r="B193" s="47">
        <v>580</v>
      </c>
      <c r="C193" s="96">
        <f t="shared" si="15"/>
        <v>105.1802665753407</v>
      </c>
      <c r="D193" s="96">
        <f t="shared" si="16"/>
        <v>55.572624672713033</v>
      </c>
      <c r="E193" s="98">
        <f t="shared" si="17"/>
        <v>55.572624672713033</v>
      </c>
      <c r="F193" s="88"/>
    </row>
    <row r="194" spans="1:10" s="13" customFormat="1" x14ac:dyDescent="0.25">
      <c r="A194" s="88"/>
      <c r="B194" s="48">
        <v>585</v>
      </c>
      <c r="C194" s="96">
        <f t="shared" si="15"/>
        <v>105.74001518383945</v>
      </c>
      <c r="D194" s="96">
        <f t="shared" si="16"/>
        <v>55.666325354411711</v>
      </c>
      <c r="E194" s="98">
        <f t="shared" si="17"/>
        <v>55.666325354411711</v>
      </c>
      <c r="F194" s="88"/>
    </row>
    <row r="195" spans="1:10" s="13" customFormat="1" x14ac:dyDescent="0.25">
      <c r="A195" s="88"/>
      <c r="B195" s="48">
        <v>590</v>
      </c>
      <c r="C195" s="96">
        <f t="shared" si="15"/>
        <v>106.29540603013002</v>
      </c>
      <c r="D195" s="96">
        <f t="shared" si="16"/>
        <v>55.758629115240431</v>
      </c>
      <c r="E195" s="98">
        <f t="shared" si="17"/>
        <v>55.758629115240431</v>
      </c>
      <c r="F195" s="88"/>
    </row>
    <row r="196" spans="1:10" s="13" customFormat="1" x14ac:dyDescent="0.25">
      <c r="A196" s="88"/>
      <c r="B196" s="47">
        <v>595</v>
      </c>
      <c r="C196" s="96">
        <f t="shared" si="15"/>
        <v>106.84648980605029</v>
      </c>
      <c r="D196" s="96">
        <f t="shared" si="16"/>
        <v>55.84956696270423</v>
      </c>
      <c r="E196" s="98">
        <f t="shared" si="17"/>
        <v>55.84956696270423</v>
      </c>
      <c r="F196" s="88"/>
    </row>
    <row r="197" spans="1:10" s="13" customFormat="1" x14ac:dyDescent="0.25">
      <c r="A197" s="88"/>
      <c r="B197" s="48">
        <v>600</v>
      </c>
      <c r="C197" s="96">
        <f t="shared" si="15"/>
        <v>107.3933164202419</v>
      </c>
      <c r="D197" s="96">
        <f t="shared" si="16"/>
        <v>55.939168993348673</v>
      </c>
      <c r="E197" s="98">
        <f t="shared" si="17"/>
        <v>55.939168993348673</v>
      </c>
      <c r="F197" s="88"/>
    </row>
    <row r="198" spans="1:10" s="13" customFormat="1" x14ac:dyDescent="0.25">
      <c r="A198" s="88"/>
      <c r="B198" s="48">
        <v>605</v>
      </c>
      <c r="C198" s="96">
        <f t="shared" si="15"/>
        <v>107.93593501321784</v>
      </c>
      <c r="D198" s="96">
        <f t="shared" si="16"/>
        <v>56.02746442596942</v>
      </c>
      <c r="E198" s="98">
        <f t="shared" si="17"/>
        <v>56.02746442596942</v>
      </c>
      <c r="F198" s="88"/>
    </row>
    <row r="199" spans="1:10" s="13" customFormat="1" x14ac:dyDescent="0.25">
      <c r="A199" s="88"/>
      <c r="B199" s="47">
        <v>610</v>
      </c>
      <c r="C199" s="96">
        <f t="shared" si="15"/>
        <v>108.47439397208319</v>
      </c>
      <c r="D199" s="96">
        <f t="shared" si="16"/>
        <v>56.114481633379505</v>
      </c>
      <c r="E199" s="98">
        <f t="shared" si="17"/>
        <v>56.114481633379505</v>
      </c>
      <c r="F199" s="88"/>
    </row>
    <row r="200" spans="1:10" s="13" customFormat="1" x14ac:dyDescent="0.25">
      <c r="A200" s="88"/>
      <c r="B200" s="48">
        <v>615</v>
      </c>
      <c r="C200" s="96">
        <f t="shared" si="15"/>
        <v>109.00874094491884</v>
      </c>
      <c r="D200" s="96">
        <f t="shared" si="16"/>
        <v>56.200248172806866</v>
      </c>
      <c r="E200" s="98">
        <f t="shared" si="17"/>
        <v>56.200248172806866</v>
      </c>
      <c r="F200" s="88"/>
    </row>
    <row r="201" spans="1:10" s="13" customFormat="1" x14ac:dyDescent="0.25">
      <c r="A201" s="88"/>
      <c r="B201" s="48">
        <v>620</v>
      </c>
      <c r="C201" s="96">
        <f t="shared" si="15"/>
        <v>109.53902285483682</v>
      </c>
      <c r="D201" s="96">
        <f t="shared" si="16"/>
        <v>56.284790814990522</v>
      </c>
      <c r="E201" s="98">
        <f t="shared" si="17"/>
        <v>56.284790814990522</v>
      </c>
      <c r="F201" s="88"/>
    </row>
    <row r="202" spans="1:10" s="13" customFormat="1" x14ac:dyDescent="0.25">
      <c r="A202" s="88"/>
      <c r="B202" s="47">
        <v>625</v>
      </c>
      <c r="C202" s="96">
        <f t="shared" si="15"/>
        <v>110.06528591371624</v>
      </c>
      <c r="D202" s="96">
        <f t="shared" si="16"/>
        <v>56.368135572040039</v>
      </c>
      <c r="E202" s="98">
        <f t="shared" si="17"/>
        <v>56.368135572040039</v>
      </c>
      <c r="F202" s="88"/>
    </row>
    <row r="203" spans="1:10" s="13" customFormat="1" x14ac:dyDescent="0.25">
      <c r="A203" s="88"/>
      <c r="B203" s="48">
        <v>630</v>
      </c>
      <c r="C203" s="96">
        <f t="shared" si="15"/>
        <v>110.58757563562786</v>
      </c>
      <c r="D203" s="96">
        <f t="shared" si="16"/>
        <v>56.450307724119035</v>
      </c>
      <c r="E203" s="98">
        <f t="shared" si="17"/>
        <v>56.450307724119035</v>
      </c>
      <c r="F203" s="88"/>
    </row>
    <row r="204" spans="1:10" s="13" customFormat="1" x14ac:dyDescent="0.25">
      <c r="B204" s="48">
        <v>635</v>
      </c>
      <c r="C204" s="96">
        <f t="shared" si="15"/>
        <v>111.10593684995587</v>
      </c>
      <c r="D204" s="96">
        <f t="shared" si="16"/>
        <v>56.531331845010278</v>
      </c>
      <c r="E204" s="98">
        <f t="shared" si="17"/>
        <v>56.531331845010278</v>
      </c>
    </row>
    <row r="205" spans="1:10" s="13" customFormat="1" x14ac:dyDescent="0.25">
      <c r="B205" s="47">
        <v>640</v>
      </c>
      <c r="C205" s="96">
        <f t="shared" si="15"/>
        <v>111.62041371422472</v>
      </c>
      <c r="D205" s="96">
        <f t="shared" si="16"/>
        <v>56.611231826616773</v>
      </c>
      <c r="E205" s="98">
        <f t="shared" si="17"/>
        <v>56.611231826616773</v>
      </c>
    </row>
    <row r="206" spans="1:10" s="13" customFormat="1" x14ac:dyDescent="0.25">
      <c r="B206" s="48">
        <v>645</v>
      </c>
      <c r="C206" s="96">
        <f t="shared" si="15"/>
        <v>112.13104972663864</v>
      </c>
      <c r="D206" s="96">
        <f t="shared" si="16"/>
        <v>56.690030902450033</v>
      </c>
      <c r="E206" s="98">
        <f t="shared" si="17"/>
        <v>56.690030902450033</v>
      </c>
      <c r="F206" s="89"/>
      <c r="G206" s="18"/>
      <c r="H206" s="18"/>
      <c r="I206" s="18"/>
      <c r="J206" s="18"/>
    </row>
    <row r="207" spans="1:10" s="13" customFormat="1" x14ac:dyDescent="0.25">
      <c r="B207" s="48">
        <v>650</v>
      </c>
      <c r="C207" s="96">
        <f t="shared" ref="C207:C228" si="18">Vcmax*(B207-Gammastr)/(B207+Kc*(1+Ko/O))</f>
        <v>112.63788773834123</v>
      </c>
      <c r="D207" s="96">
        <f t="shared" ref="D207:D228" si="19">J*(B207-Gammastr)/(4*B207+8*Gammastr)</f>
        <v>56.767751670154105</v>
      </c>
      <c r="E207" s="98">
        <f t="shared" ref="E207:E228" si="20">MIN(C207,D207)</f>
        <v>56.767751670154105</v>
      </c>
      <c r="F207" s="89"/>
      <c r="G207" s="18"/>
      <c r="H207" s="18"/>
      <c r="I207" s="18"/>
      <c r="J207" s="18"/>
    </row>
    <row r="208" spans="1:10" s="13" customFormat="1" x14ac:dyDescent="0.25">
      <c r="B208" s="47">
        <v>655</v>
      </c>
      <c r="C208" s="96">
        <f t="shared" si="18"/>
        <v>113.14096996540279</v>
      </c>
      <c r="D208" s="96">
        <f t="shared" si="19"/>
        <v>56.844416113111215</v>
      </c>
      <c r="E208" s="98">
        <f t="shared" si="20"/>
        <v>56.844416113111215</v>
      </c>
      <c r="F208" s="89"/>
      <c r="G208" s="18"/>
      <c r="H208" s="18"/>
      <c r="I208" s="18"/>
      <c r="J208" s="18"/>
    </row>
    <row r="209" spans="2:10" s="13" customFormat="1" x14ac:dyDescent="0.25">
      <c r="B209" s="48">
        <v>660</v>
      </c>
      <c r="C209" s="96">
        <f t="shared" si="18"/>
        <v>113.64033800054176</v>
      </c>
      <c r="D209" s="96">
        <f t="shared" si="19"/>
        <v>56.920045621172378</v>
      </c>
      <c r="E209" s="98">
        <f t="shared" si="20"/>
        <v>56.920045621172378</v>
      </c>
      <c r="F209" s="89"/>
      <c r="G209" s="18"/>
      <c r="H209" s="18"/>
      <c r="I209" s="18"/>
      <c r="J209" s="18"/>
    </row>
    <row r="210" spans="2:10" s="13" customFormat="1" x14ac:dyDescent="0.25">
      <c r="B210" s="48">
        <v>665</v>
      </c>
      <c r="C210" s="96">
        <f t="shared" si="18"/>
        <v>114.13603282458803</v>
      </c>
      <c r="D210" s="96">
        <f t="shared" si="19"/>
        <v>56.994661010554104</v>
      </c>
      <c r="E210" s="98">
        <f t="shared" si="20"/>
        <v>56.994661010554104</v>
      </c>
      <c r="F210" s="89"/>
      <c r="G210" s="18"/>
      <c r="H210" s="18"/>
      <c r="I210" s="18"/>
      <c r="J210" s="18"/>
    </row>
    <row r="211" spans="2:10" s="13" customFormat="1" x14ac:dyDescent="0.25">
      <c r="B211" s="47">
        <v>670</v>
      </c>
      <c r="C211" s="96">
        <f t="shared" si="18"/>
        <v>114.62809481769361</v>
      </c>
      <c r="D211" s="96">
        <f t="shared" si="19"/>
        <v>57.068282542940054</v>
      </c>
      <c r="E211" s="98">
        <f t="shared" si="20"/>
        <v>57.068282542940054</v>
      </c>
      <c r="F211" s="89"/>
      <c r="G211" s="18"/>
      <c r="H211" s="18"/>
      <c r="I211" s="18"/>
      <c r="J211" s="18"/>
    </row>
    <row r="212" spans="2:10" s="13" customFormat="1" x14ac:dyDescent="0.25">
      <c r="B212" s="48">
        <v>675</v>
      </c>
      <c r="C212" s="96">
        <f t="shared" si="18"/>
        <v>115.11656377029819</v>
      </c>
      <c r="D212" s="96">
        <f t="shared" si="19"/>
        <v>57.140929943824467</v>
      </c>
      <c r="E212" s="98">
        <f t="shared" si="20"/>
        <v>57.140929943824467</v>
      </c>
      <c r="F212" s="89"/>
      <c r="G212" s="18"/>
      <c r="H212" s="18"/>
      <c r="I212" s="18"/>
      <c r="J212" s="18"/>
    </row>
    <row r="213" spans="2:10" s="13" customFormat="1" x14ac:dyDescent="0.25">
      <c r="B213" s="48">
        <v>680</v>
      </c>
      <c r="C213" s="96">
        <f t="shared" si="18"/>
        <v>115.60147889385509</v>
      </c>
      <c r="D213" s="96">
        <f t="shared" si="19"/>
        <v>57.212622420132156</v>
      </c>
      <c r="E213" s="98">
        <f t="shared" si="20"/>
        <v>57.212622420132156</v>
      </c>
      <c r="F213" s="89"/>
      <c r="G213" s="18"/>
      <c r="H213" s="18"/>
      <c r="I213" s="18"/>
      <c r="J213" s="18"/>
    </row>
    <row r="214" spans="2:10" s="13" customFormat="1" x14ac:dyDescent="0.25">
      <c r="B214" s="47">
        <v>685</v>
      </c>
      <c r="C214" s="96">
        <f t="shared" si="18"/>
        <v>116.08287883132417</v>
      </c>
      <c r="D214" s="96">
        <f t="shared" si="19"/>
        <v>57.28337867714832</v>
      </c>
      <c r="E214" s="98">
        <f t="shared" si="20"/>
        <v>57.28337867714832</v>
      </c>
      <c r="F214" s="89"/>
      <c r="G214" s="18"/>
      <c r="H214" s="18"/>
      <c r="I214" s="18"/>
      <c r="J214" s="18"/>
    </row>
    <row r="215" spans="2:10" s="13" customFormat="1" x14ac:dyDescent="0.25">
      <c r="B215" s="48">
        <v>690</v>
      </c>
      <c r="C215" s="96">
        <f t="shared" si="18"/>
        <v>116.56080166743716</v>
      </c>
      <c r="D215" s="96">
        <f t="shared" si="19"/>
        <v>57.353216934789351</v>
      </c>
      <c r="E215" s="98">
        <f t="shared" si="20"/>
        <v>57.353216934789351</v>
      </c>
      <c r="F215" s="89"/>
      <c r="G215" s="18"/>
      <c r="H215" s="18"/>
      <c r="I215" s="18"/>
      <c r="J215" s="18"/>
    </row>
    <row r="216" spans="2:10" s="13" customFormat="1" x14ac:dyDescent="0.25">
      <c r="B216" s="48">
        <v>695</v>
      </c>
      <c r="C216" s="96">
        <f t="shared" si="18"/>
        <v>117.03528493874146</v>
      </c>
      <c r="D216" s="96">
        <f t="shared" si="19"/>
        <v>57.422154943244436</v>
      </c>
      <c r="E216" s="98">
        <f t="shared" si="20"/>
        <v>57.422154943244436</v>
      </c>
      <c r="F216" s="89"/>
      <c r="G216" s="18"/>
      <c r="H216" s="18"/>
      <c r="I216" s="18"/>
      <c r="J216" s="18"/>
    </row>
    <row r="217" spans="2:10" s="13" customFormat="1" x14ac:dyDescent="0.25">
      <c r="B217" s="47">
        <v>700</v>
      </c>
      <c r="C217" s="96">
        <f t="shared" si="18"/>
        <v>117.50636564342783</v>
      </c>
      <c r="D217" s="96">
        <f t="shared" si="19"/>
        <v>57.490209998016134</v>
      </c>
      <c r="E217" s="98">
        <f t="shared" si="20"/>
        <v>57.490209998016134</v>
      </c>
      <c r="F217" s="89"/>
      <c r="G217" s="18"/>
      <c r="H217" s="18"/>
      <c r="I217" s="18"/>
      <c r="J217" s="18"/>
    </row>
    <row r="218" spans="2:10" s="13" customFormat="1" x14ac:dyDescent="0.25">
      <c r="B218" s="48">
        <v>705</v>
      </c>
      <c r="C218" s="96">
        <f t="shared" si="18"/>
        <v>117.97408025094749</v>
      </c>
      <c r="D218" s="96">
        <f t="shared" si="19"/>
        <v>57.557398954386741</v>
      </c>
      <c r="E218" s="98">
        <f t="shared" si="20"/>
        <v>57.557398954386741</v>
      </c>
      <c r="F218" s="89"/>
      <c r="G218" s="18"/>
      <c r="H218" s="18"/>
      <c r="I218" s="18"/>
      <c r="J218" s="18"/>
    </row>
    <row r="219" spans="2:10" s="13" customFormat="1" x14ac:dyDescent="0.25">
      <c r="B219" s="48">
        <v>710</v>
      </c>
      <c r="C219" s="96">
        <f t="shared" si="18"/>
        <v>118.43846471142373</v>
      </c>
      <c r="D219" s="96">
        <f t="shared" si="19"/>
        <v>57.623738241335836</v>
      </c>
      <c r="E219" s="98">
        <f t="shared" si="20"/>
        <v>57.623738241335836</v>
      </c>
      <c r="F219" s="89"/>
      <c r="G219" s="18"/>
      <c r="H219" s="18"/>
      <c r="I219" s="18"/>
      <c r="J219" s="18"/>
    </row>
    <row r="220" spans="2:10" s="13" customFormat="1" x14ac:dyDescent="0.25">
      <c r="B220" s="47">
        <v>715</v>
      </c>
      <c r="C220" s="96">
        <f t="shared" si="18"/>
        <v>118.89955446486314</v>
      </c>
      <c r="D220" s="96">
        <f t="shared" si="19"/>
        <v>57.689243874933062</v>
      </c>
      <c r="E220" s="98">
        <f t="shared" si="20"/>
        <v>57.689243874933062</v>
      </c>
      <c r="F220" s="89"/>
      <c r="G220" s="18"/>
      <c r="H220" s="18"/>
      <c r="I220" s="18"/>
      <c r="J220" s="18"/>
    </row>
    <row r="221" spans="2:10" s="13" customFormat="1" x14ac:dyDescent="0.25">
      <c r="B221" s="48">
        <v>720</v>
      </c>
      <c r="C221" s="96">
        <f t="shared" si="18"/>
        <v>119.35738445017161</v>
      </c>
      <c r="D221" s="96">
        <f t="shared" si="19"/>
        <v>57.753931471229329</v>
      </c>
      <c r="E221" s="98">
        <f t="shared" si="20"/>
        <v>57.753931471229329</v>
      </c>
      <c r="F221" s="89"/>
      <c r="G221" s="18"/>
      <c r="H221" s="18"/>
      <c r="I221" s="18"/>
      <c r="J221" s="18"/>
    </row>
    <row r="222" spans="2:10" s="13" customFormat="1" x14ac:dyDescent="0.25">
      <c r="B222" s="48">
        <v>725</v>
      </c>
      <c r="C222" s="96">
        <f t="shared" si="18"/>
        <v>119.81198911397966</v>
      </c>
      <c r="D222" s="96">
        <f t="shared" si="19"/>
        <v>57.81781625866784</v>
      </c>
      <c r="E222" s="98">
        <f t="shared" si="20"/>
        <v>57.81781625866784</v>
      </c>
      <c r="F222" s="89"/>
      <c r="G222" s="18"/>
      <c r="H222" s="18"/>
      <c r="I222" s="18"/>
      <c r="J222" s="18"/>
    </row>
    <row r="223" spans="2:10" s="13" customFormat="1" x14ac:dyDescent="0.25">
      <c r="B223" s="47">
        <v>730</v>
      </c>
      <c r="C223" s="96">
        <f t="shared" si="18"/>
        <v>120.26340241928207</v>
      </c>
      <c r="D223" s="96">
        <f t="shared" si="19"/>
        <v>57.880913090036032</v>
      </c>
      <c r="E223" s="98">
        <f t="shared" si="20"/>
        <v>57.880913090036032</v>
      </c>
      <c r="F223" s="89"/>
      <c r="G223" s="18"/>
      <c r="H223" s="18"/>
      <c r="I223" s="18"/>
      <c r="J223" s="18"/>
    </row>
    <row r="224" spans="2:10" s="13" customFormat="1" x14ac:dyDescent="0.25">
      <c r="B224" s="48">
        <v>735</v>
      </c>
      <c r="C224" s="96">
        <f t="shared" si="18"/>
        <v>120.71165785389596</v>
      </c>
      <c r="D224" s="96">
        <f t="shared" si="19"/>
        <v>57.943236453977967</v>
      </c>
      <c r="E224" s="98">
        <f t="shared" si="20"/>
        <v>57.943236453977967</v>
      </c>
      <c r="F224" s="89"/>
      <c r="G224" s="18"/>
      <c r="H224" s="18"/>
      <c r="I224" s="18"/>
      <c r="J224" s="18"/>
    </row>
    <row r="225" spans="2:10" s="13" customFormat="1" x14ac:dyDescent="0.25">
      <c r="B225" s="48">
        <v>740</v>
      </c>
      <c r="C225" s="96">
        <f t="shared" si="18"/>
        <v>121.1567884387422</v>
      </c>
      <c r="D225" s="96">
        <f t="shared" si="19"/>
        <v>58.004800486085877</v>
      </c>
      <c r="E225" s="98">
        <f t="shared" si="20"/>
        <v>58.004800486085877</v>
      </c>
      <c r="F225" s="89"/>
      <c r="G225" s="18"/>
      <c r="H225" s="18"/>
      <c r="I225" s="18"/>
      <c r="J225" s="18"/>
    </row>
    <row r="226" spans="2:10" s="13" customFormat="1" x14ac:dyDescent="0.25">
      <c r="B226" s="47">
        <v>745</v>
      </c>
      <c r="C226" s="96">
        <f t="shared" si="18"/>
        <v>121.59882673595405</v>
      </c>
      <c r="D226" s="96">
        <f t="shared" si="19"/>
        <v>58.065618979588784</v>
      </c>
      <c r="E226" s="98">
        <f t="shared" si="20"/>
        <v>58.065618979588784</v>
      </c>
      <c r="F226" s="89"/>
      <c r="G226" s="18"/>
      <c r="H226" s="18"/>
      <c r="I226" s="18"/>
      <c r="J226" s="18"/>
    </row>
    <row r="227" spans="2:10" s="13" customFormat="1" x14ac:dyDescent="0.25">
      <c r="B227" s="48">
        <v>750</v>
      </c>
      <c r="C227" s="96">
        <f t="shared" si="18"/>
        <v>122.03780485681766</v>
      </c>
      <c r="D227" s="96">
        <f t="shared" si="19"/>
        <v>58.125705395655139</v>
      </c>
      <c r="E227" s="98">
        <f t="shared" si="20"/>
        <v>58.125705395655139</v>
      </c>
      <c r="F227" s="89"/>
      <c r="G227" s="18"/>
      <c r="H227" s="18"/>
      <c r="I227" s="18"/>
      <c r="J227" s="18"/>
    </row>
    <row r="228" spans="2:10" s="13" customFormat="1" x14ac:dyDescent="0.25">
      <c r="B228" s="48">
        <v>755</v>
      </c>
      <c r="C228" s="96">
        <f t="shared" si="18"/>
        <v>122.47375446954784</v>
      </c>
      <c r="D228" s="96">
        <f t="shared" si="19"/>
        <v>58.185072873325645</v>
      </c>
      <c r="E228" s="99">
        <f t="shared" si="20"/>
        <v>58.185072873325645</v>
      </c>
      <c r="F228" s="89"/>
      <c r="G228" s="18"/>
      <c r="H228" s="18"/>
      <c r="I228" s="18"/>
      <c r="J228" s="18"/>
    </row>
    <row r="229" spans="2:10" s="13" customFormat="1" x14ac:dyDescent="0.25">
      <c r="B229" s="47">
        <v>760</v>
      </c>
      <c r="C229" s="96">
        <f t="shared" ref="C229:C292" si="21">Vcmax*(B229-Gammastr)/(B229+Kc*(1+Ko/O))</f>
        <v>122.90670680690378</v>
      </c>
      <c r="D229" s="96">
        <f t="shared" ref="D229:D292" si="22">J*(B229-Gammastr)/(4*B229+8*Gammastr)</f>
        <v>58.243734239091687</v>
      </c>
      <c r="E229" s="98">
        <f t="shared" ref="E229:E292" si="23">MIN(C229,D229)</f>
        <v>58.243734239091687</v>
      </c>
      <c r="F229" s="89"/>
      <c r="G229" s="18"/>
      <c r="H229" s="18"/>
      <c r="I229" s="18"/>
      <c r="J229" s="18"/>
    </row>
    <row r="230" spans="2:10" s="13" customFormat="1" x14ac:dyDescent="0.25">
      <c r="B230" s="48">
        <v>765</v>
      </c>
      <c r="C230" s="96">
        <f t="shared" si="21"/>
        <v>123.33669267364809</v>
      </c>
      <c r="D230" s="96">
        <f t="shared" si="22"/>
        <v>58.301702016133909</v>
      </c>
      <c r="E230" s="98">
        <f t="shared" si="23"/>
        <v>58.301702016133909</v>
      </c>
      <c r="F230" s="89"/>
      <c r="G230" s="18"/>
      <c r="H230" s="18"/>
      <c r="I230" s="18"/>
      <c r="J230" s="18"/>
    </row>
    <row r="231" spans="2:10" s="13" customFormat="1" x14ac:dyDescent="0.25">
      <c r="B231" s="48">
        <v>770</v>
      </c>
      <c r="C231" s="96">
        <f t="shared" si="21"/>
        <v>123.76374245385298</v>
      </c>
      <c r="D231" s="96">
        <f t="shared" si="22"/>
        <v>58.358988433235197</v>
      </c>
      <c r="E231" s="98">
        <f t="shared" si="23"/>
        <v>58.358988433235197</v>
      </c>
      <c r="F231" s="89"/>
      <c r="G231" s="18"/>
      <c r="H231" s="18"/>
      <c r="I231" s="18"/>
      <c r="J231" s="18"/>
    </row>
    <row r="232" spans="2:10" s="13" customFormat="1" x14ac:dyDescent="0.25">
      <c r="B232" s="47">
        <v>775</v>
      </c>
      <c r="C232" s="96">
        <f t="shared" si="21"/>
        <v>124.18788611805758</v>
      </c>
      <c r="D232" s="96">
        <f t="shared" si="22"/>
        <v>58.415605433380989</v>
      </c>
      <c r="E232" s="98">
        <f t="shared" si="23"/>
        <v>58.415605433380989</v>
      </c>
      <c r="F232" s="89"/>
      <c r="G232" s="18"/>
      <c r="H232" s="18"/>
      <c r="I232" s="18"/>
      <c r="J232" s="18"/>
    </row>
    <row r="233" spans="2:10" s="13" customFormat="1" x14ac:dyDescent="0.25">
      <c r="B233" s="48">
        <v>780</v>
      </c>
      <c r="C233" s="96">
        <f t="shared" si="21"/>
        <v>124.60915323027908</v>
      </c>
      <c r="D233" s="96">
        <f t="shared" si="22"/>
        <v>58.471564682059991</v>
      </c>
      <c r="E233" s="98">
        <f t="shared" si="23"/>
        <v>58.471564682059991</v>
      </c>
      <c r="F233" s="89"/>
      <c r="G233" s="18"/>
      <c r="H233" s="18"/>
      <c r="I233" s="18"/>
      <c r="J233" s="18"/>
    </row>
    <row r="234" spans="2:10" s="13" customFormat="1" x14ac:dyDescent="0.25">
      <c r="B234" s="48">
        <v>785</v>
      </c>
      <c r="C234" s="96">
        <f t="shared" si="21"/>
        <v>125.02757295488234</v>
      </c>
      <c r="D234" s="96">
        <f t="shared" si="22"/>
        <v>58.526877575277254</v>
      </c>
      <c r="E234" s="98">
        <f t="shared" si="23"/>
        <v>58.526877575277254</v>
      </c>
      <c r="F234" s="89"/>
      <c r="G234" s="18"/>
      <c r="H234" s="18"/>
      <c r="I234" s="18"/>
      <c r="J234" s="18"/>
    </row>
    <row r="235" spans="2:10" s="13" customFormat="1" x14ac:dyDescent="0.25">
      <c r="B235" s="47">
        <v>790</v>
      </c>
      <c r="C235" s="96">
        <f t="shared" si="21"/>
        <v>125.44317406331021</v>
      </c>
      <c r="D235" s="96">
        <f t="shared" si="22"/>
        <v>58.581555247291085</v>
      </c>
      <c r="E235" s="98">
        <f t="shared" si="23"/>
        <v>58.581555247291085</v>
      </c>
      <c r="F235" s="89"/>
      <c r="G235" s="18"/>
      <c r="H235" s="18"/>
      <c r="I235" s="18"/>
      <c r="J235" s="18"/>
    </row>
    <row r="236" spans="2:10" s="13" customFormat="1" x14ac:dyDescent="0.25">
      <c r="B236" s="48">
        <v>795</v>
      </c>
      <c r="C236" s="96">
        <f t="shared" si="21"/>
        <v>125.85598494067852</v>
      </c>
      <c r="D236" s="96">
        <f t="shared" si="22"/>
        <v>58.635608578085019</v>
      </c>
      <c r="E236" s="98">
        <f t="shared" si="23"/>
        <v>58.635608578085019</v>
      </c>
      <c r="F236" s="89"/>
      <c r="G236" s="18"/>
      <c r="H236" s="18"/>
      <c r="I236" s="18"/>
      <c r="J236" s="18"/>
    </row>
    <row r="237" spans="2:10" s="13" customFormat="1" x14ac:dyDescent="0.25">
      <c r="B237" s="48">
        <v>800</v>
      </c>
      <c r="C237" s="96">
        <f t="shared" si="21"/>
        <v>126.26603359223859</v>
      </c>
      <c r="D237" s="96">
        <f t="shared" si="22"/>
        <v>58.689048200585269</v>
      </c>
      <c r="E237" s="99">
        <f t="shared" si="23"/>
        <v>58.689048200585269</v>
      </c>
      <c r="F237" s="89"/>
      <c r="G237" s="18"/>
      <c r="H237" s="18"/>
      <c r="I237" s="18"/>
      <c r="J237" s="18"/>
    </row>
    <row r="238" spans="2:10" s="13" customFormat="1" x14ac:dyDescent="0.25">
      <c r="B238" s="47">
        <v>805</v>
      </c>
      <c r="C238" s="96">
        <f t="shared" si="21"/>
        <v>126.67334764971045</v>
      </c>
      <c r="D238" s="96">
        <f t="shared" si="22"/>
        <v>58.741884507633671</v>
      </c>
      <c r="E238" s="98">
        <f t="shared" si="23"/>
        <v>58.741884507633671</v>
      </c>
      <c r="F238" s="89"/>
      <c r="G238" s="18"/>
      <c r="H238" s="18"/>
      <c r="I238" s="18"/>
      <c r="J238" s="18"/>
    </row>
    <row r="239" spans="2:10" s="13" customFormat="1" x14ac:dyDescent="0.25">
      <c r="B239" s="48">
        <v>810</v>
      </c>
      <c r="C239" s="96">
        <f t="shared" si="21"/>
        <v>127.07795437748983</v>
      </c>
      <c r="D239" s="96">
        <f t="shared" si="22"/>
        <v>58.794127658725849</v>
      </c>
      <c r="E239" s="98">
        <f t="shared" si="23"/>
        <v>58.794127658725849</v>
      </c>
      <c r="F239" s="89"/>
      <c r="G239" s="18"/>
      <c r="H239" s="18"/>
      <c r="I239" s="18"/>
      <c r="J239" s="18"/>
    </row>
    <row r="240" spans="2:10" s="13" customFormat="1" x14ac:dyDescent="0.25">
      <c r="B240" s="48">
        <v>815</v>
      </c>
      <c r="C240" s="96">
        <f t="shared" si="21"/>
        <v>127.47988067873183</v>
      </c>
      <c r="D240" s="96">
        <f t="shared" si="22"/>
        <v>58.845787586523713</v>
      </c>
      <c r="E240" s="98">
        <f t="shared" si="23"/>
        <v>58.845787586523713</v>
      </c>
      <c r="F240" s="89"/>
      <c r="G240" s="18"/>
      <c r="H240" s="18"/>
      <c r="I240" s="18"/>
      <c r="J240" s="18"/>
    </row>
    <row r="241" spans="2:10" s="13" customFormat="1" x14ac:dyDescent="0.25">
      <c r="B241" s="47">
        <v>820</v>
      </c>
      <c r="C241" s="96">
        <f t="shared" si="21"/>
        <v>127.87915310131386</v>
      </c>
      <c r="D241" s="96">
        <f t="shared" si="22"/>
        <v>58.896874003151005</v>
      </c>
      <c r="E241" s="98">
        <f t="shared" si="23"/>
        <v>58.896874003151005</v>
      </c>
      <c r="F241" s="89"/>
      <c r="G241" s="18"/>
      <c r="H241" s="18"/>
      <c r="I241" s="18"/>
      <c r="J241" s="18"/>
    </row>
    <row r="242" spans="2:10" s="13" customFormat="1" x14ac:dyDescent="0.25">
      <c r="B242" s="48">
        <v>825</v>
      </c>
      <c r="C242" s="96">
        <f t="shared" si="21"/>
        <v>128.27579784368109</v>
      </c>
      <c r="D242" s="96">
        <f t="shared" si="22"/>
        <v>58.947396406280369</v>
      </c>
      <c r="E242" s="98">
        <f t="shared" si="23"/>
        <v>58.947396406280369</v>
      </c>
      <c r="F242" s="89"/>
      <c r="G242" s="18"/>
      <c r="H242" s="18"/>
      <c r="I242" s="18"/>
      <c r="J242" s="18"/>
    </row>
    <row r="243" spans="2:10" s="13" customFormat="1" x14ac:dyDescent="0.25">
      <c r="B243" s="48">
        <v>830</v>
      </c>
      <c r="C243" s="96">
        <f t="shared" si="21"/>
        <v>128.66984076057673</v>
      </c>
      <c r="D243" s="96">
        <f t="shared" si="22"/>
        <v>58.997364085019925</v>
      </c>
      <c r="E243" s="98">
        <f t="shared" si="23"/>
        <v>58.997364085019925</v>
      </c>
      <c r="F243" s="89"/>
      <c r="G243" s="18"/>
      <c r="H243" s="18"/>
      <c r="I243" s="18"/>
      <c r="J243" s="18"/>
    </row>
    <row r="244" spans="2:10" s="13" customFormat="1" x14ac:dyDescent="0.25">
      <c r="B244" s="47">
        <v>835</v>
      </c>
      <c r="C244" s="96">
        <f t="shared" si="21"/>
        <v>129.06130736866004</v>
      </c>
      <c r="D244" s="96">
        <f t="shared" si="22"/>
        <v>59.046786125606992</v>
      </c>
      <c r="E244" s="98">
        <f t="shared" si="23"/>
        <v>59.046786125606992</v>
      </c>
      <c r="F244" s="89"/>
      <c r="G244" s="18"/>
      <c r="H244" s="18"/>
      <c r="I244" s="18"/>
      <c r="J244" s="18"/>
    </row>
    <row r="245" spans="2:10" s="13" customFormat="1" x14ac:dyDescent="0.25">
      <c r="B245" s="48">
        <v>840</v>
      </c>
      <c r="C245" s="96">
        <f t="shared" si="21"/>
        <v>129.45022285201438</v>
      </c>
      <c r="D245" s="96">
        <f t="shared" si="22"/>
        <v>59.095671416916275</v>
      </c>
      <c r="E245" s="98">
        <f t="shared" si="23"/>
        <v>59.095671416916275</v>
      </c>
      <c r="F245" s="89"/>
      <c r="G245" s="18"/>
      <c r="H245" s="18"/>
      <c r="I245" s="18"/>
      <c r="J245" s="18"/>
    </row>
    <row r="246" spans="2:10" s="13" customFormat="1" x14ac:dyDescent="0.25">
      <c r="B246" s="48">
        <v>845</v>
      </c>
      <c r="C246" s="96">
        <f t="shared" si="21"/>
        <v>129.83661206754792</v>
      </c>
      <c r="D246" s="96">
        <f t="shared" si="22"/>
        <v>59.144028655789576</v>
      </c>
      <c r="E246" s="99">
        <f t="shared" si="23"/>
        <v>59.144028655789576</v>
      </c>
      <c r="F246" s="89"/>
      <c r="G246" s="18"/>
      <c r="H246" s="18"/>
      <c r="I246" s="18"/>
      <c r="J246" s="18"/>
    </row>
    <row r="247" spans="2:10" s="13" customFormat="1" x14ac:dyDescent="0.25">
      <c r="B247" s="47">
        <v>850</v>
      </c>
      <c r="C247" s="96">
        <f t="shared" si="21"/>
        <v>130.22049955028956</v>
      </c>
      <c r="D247" s="96">
        <f t="shared" si="22"/>
        <v>59.191866352193742</v>
      </c>
      <c r="E247" s="98">
        <f t="shared" si="23"/>
        <v>59.191866352193742</v>
      </c>
      <c r="F247" s="89"/>
      <c r="G247" s="18"/>
      <c r="H247" s="18"/>
      <c r="I247" s="18"/>
      <c r="J247" s="18"/>
    </row>
    <row r="248" spans="2:10" s="13" customFormat="1" x14ac:dyDescent="0.25">
      <c r="B248" s="48">
        <v>855</v>
      </c>
      <c r="C248" s="96">
        <f t="shared" si="21"/>
        <v>130.60190951858223</v>
      </c>
      <c r="D248" s="96">
        <f t="shared" si="22"/>
        <v>59.239192834213235</v>
      </c>
      <c r="E248" s="98">
        <f t="shared" si="23"/>
        <v>59.239192834213235</v>
      </c>
      <c r="F248" s="89"/>
      <c r="G248" s="18"/>
      <c r="H248" s="18"/>
      <c r="I248" s="18"/>
      <c r="J248" s="18"/>
    </row>
    <row r="249" spans="2:10" s="13" customFormat="1" x14ac:dyDescent="0.25">
      <c r="B249" s="48">
        <v>860</v>
      </c>
      <c r="C249" s="96">
        <f t="shared" si="21"/>
        <v>130.98086587917604</v>
      </c>
      <c r="D249" s="96">
        <f t="shared" si="22"/>
        <v>59.286016252883449</v>
      </c>
      <c r="E249" s="98">
        <f t="shared" si="23"/>
        <v>59.286016252883449</v>
      </c>
      <c r="F249" s="89"/>
      <c r="G249" s="18"/>
      <c r="H249" s="18"/>
      <c r="I249" s="18"/>
      <c r="J249" s="18"/>
    </row>
    <row r="250" spans="2:10" s="13" customFormat="1" x14ac:dyDescent="0.25">
      <c r="B250" s="47">
        <v>865</v>
      </c>
      <c r="C250" s="96">
        <f t="shared" si="21"/>
        <v>131.35739223222333</v>
      </c>
      <c r="D250" s="96">
        <f t="shared" si="22"/>
        <v>59.332344586870818</v>
      </c>
      <c r="E250" s="98">
        <f t="shared" si="23"/>
        <v>59.332344586870818</v>
      </c>
      <c r="F250" s="89"/>
      <c r="G250" s="18"/>
      <c r="H250" s="18"/>
      <c r="I250" s="18"/>
      <c r="J250" s="18"/>
    </row>
    <row r="251" spans="2:10" s="13" customFormat="1" x14ac:dyDescent="0.25">
      <c r="B251" s="48">
        <v>870</v>
      </c>
      <c r="C251" s="96">
        <f t="shared" si="21"/>
        <v>131.73151187617799</v>
      </c>
      <c r="D251" s="96">
        <f t="shared" si="22"/>
        <v>59.378185647005132</v>
      </c>
      <c r="E251" s="98">
        <f t="shared" si="23"/>
        <v>59.378185647005132</v>
      </c>
      <c r="F251" s="89"/>
      <c r="G251" s="18"/>
      <c r="H251" s="18"/>
      <c r="I251" s="18"/>
      <c r="J251" s="18"/>
    </row>
    <row r="252" spans="2:10" s="13" customFormat="1" x14ac:dyDescent="0.25">
      <c r="B252" s="48">
        <v>875</v>
      </c>
      <c r="C252" s="96">
        <f t="shared" si="21"/>
        <v>132.10324781260121</v>
      </c>
      <c r="D252" s="96">
        <f t="shared" si="22"/>
        <v>59.423547080669671</v>
      </c>
      <c r="E252" s="98">
        <f t="shared" si="23"/>
        <v>59.423547080669671</v>
      </c>
      <c r="F252" s="89"/>
      <c r="G252" s="18"/>
      <c r="H252" s="18"/>
      <c r="I252" s="18"/>
      <c r="J252" s="18"/>
    </row>
    <row r="253" spans="2:10" s="13" customFormat="1" x14ac:dyDescent="0.25">
      <c r="B253" s="47">
        <v>880</v>
      </c>
      <c r="C253" s="96">
        <f t="shared" si="21"/>
        <v>132.47262275087562</v>
      </c>
      <c r="D253" s="96">
        <f t="shared" si="22"/>
        <v>59.468436376054235</v>
      </c>
      <c r="E253" s="98">
        <f t="shared" si="23"/>
        <v>59.468436376054235</v>
      </c>
      <c r="F253" s="89"/>
      <c r="G253" s="18"/>
      <c r="H253" s="18"/>
      <c r="I253" s="18"/>
      <c r="J253" s="18"/>
    </row>
    <row r="254" spans="2:10" s="13" customFormat="1" x14ac:dyDescent="0.25">
      <c r="B254" s="48">
        <v>885</v>
      </c>
      <c r="C254" s="96">
        <f t="shared" si="21"/>
        <v>132.83965911282974</v>
      </c>
      <c r="D254" s="96">
        <f t="shared" si="22"/>
        <v>59.512860866276043</v>
      </c>
      <c r="E254" s="98">
        <f t="shared" si="23"/>
        <v>59.512860866276043</v>
      </c>
      <c r="F254" s="89"/>
      <c r="G254" s="18"/>
      <c r="H254" s="18"/>
      <c r="I254" s="18"/>
      <c r="J254" s="18"/>
    </row>
    <row r="255" spans="2:10" s="13" customFormat="1" x14ac:dyDescent="0.25">
      <c r="B255" s="48">
        <v>890</v>
      </c>
      <c r="C255" s="96">
        <f t="shared" si="21"/>
        <v>133.2043790372752</v>
      </c>
      <c r="D255" s="96">
        <f t="shared" si="22"/>
        <v>59.556827733373304</v>
      </c>
      <c r="E255" s="99">
        <f t="shared" si="23"/>
        <v>59.556827733373304</v>
      </c>
      <c r="F255" s="89"/>
      <c r="G255" s="18"/>
      <c r="H255" s="18"/>
      <c r="I255" s="18"/>
      <c r="J255" s="18"/>
    </row>
    <row r="256" spans="2:10" s="13" customFormat="1" x14ac:dyDescent="0.25">
      <c r="B256" s="47">
        <v>895</v>
      </c>
      <c r="C256" s="96">
        <f t="shared" si="21"/>
        <v>133.56680438445792</v>
      </c>
      <c r="D256" s="96">
        <f t="shared" si="22"/>
        <v>59.600344012176009</v>
      </c>
      <c r="E256" s="98">
        <f t="shared" si="23"/>
        <v>59.600344012176009</v>
      </c>
      <c r="F256" s="89"/>
      <c r="G256" s="18"/>
      <c r="H256" s="18"/>
      <c r="I256" s="18"/>
      <c r="J256" s="18"/>
    </row>
    <row r="257" spans="2:10" s="13" customFormat="1" x14ac:dyDescent="0.25">
      <c r="B257" s="48">
        <v>900</v>
      </c>
      <c r="C257" s="96">
        <f t="shared" si="21"/>
        <v>133.92695674042591</v>
      </c>
      <c r="D257" s="96">
        <f t="shared" si="22"/>
        <v>59.643416594058287</v>
      </c>
      <c r="E257" s="98">
        <f t="shared" si="23"/>
        <v>59.643416594058287</v>
      </c>
      <c r="F257" s="89"/>
      <c r="G257" s="18"/>
      <c r="H257" s="18"/>
      <c r="I257" s="18"/>
      <c r="J257" s="18"/>
    </row>
    <row r="258" spans="2:10" s="13" customFormat="1" x14ac:dyDescent="0.25">
      <c r="B258" s="48">
        <v>905</v>
      </c>
      <c r="C258" s="96">
        <f t="shared" si="21"/>
        <v>134.28485742131494</v>
      </c>
      <c r="D258" s="96">
        <f t="shared" si="22"/>
        <v>59.686052230576585</v>
      </c>
      <c r="E258" s="98">
        <f t="shared" si="23"/>
        <v>59.686052230576585</v>
      </c>
      <c r="F258" s="89"/>
      <c r="G258" s="18"/>
      <c r="H258" s="18"/>
      <c r="I258" s="18"/>
      <c r="J258" s="18"/>
    </row>
    <row r="259" spans="2:10" s="13" customFormat="1" x14ac:dyDescent="0.25">
      <c r="B259" s="47">
        <v>910</v>
      </c>
      <c r="C259" s="96">
        <f t="shared" si="21"/>
        <v>134.64052747755409</v>
      </c>
      <c r="D259" s="96">
        <f t="shared" si="22"/>
        <v>59.728257536997738</v>
      </c>
      <c r="E259" s="98">
        <f t="shared" si="23"/>
        <v>59.728257536997738</v>
      </c>
      <c r="F259" s="89"/>
      <c r="G259" s="18"/>
      <c r="H259" s="18"/>
      <c r="I259" s="18"/>
      <c r="J259" s="18"/>
    </row>
    <row r="260" spans="2:10" s="13" customFormat="1" x14ac:dyDescent="0.25">
      <c r="B260" s="48">
        <v>915</v>
      </c>
      <c r="C260" s="96">
        <f t="shared" si="21"/>
        <v>134.99398769799291</v>
      </c>
      <c r="D260" s="96">
        <f t="shared" si="22"/>
        <v>59.77003899572064</v>
      </c>
      <c r="E260" s="98">
        <f t="shared" si="23"/>
        <v>59.77003899572064</v>
      </c>
      <c r="F260" s="89"/>
      <c r="G260" s="18"/>
      <c r="H260" s="18"/>
      <c r="I260" s="18"/>
      <c r="J260" s="18"/>
    </row>
    <row r="261" spans="2:10" s="13" customFormat="1" x14ac:dyDescent="0.25">
      <c r="B261" s="48">
        <v>920</v>
      </c>
      <c r="C261" s="96">
        <f t="shared" si="21"/>
        <v>135.34525861395215</v>
      </c>
      <c r="D261" s="96">
        <f t="shared" si="22"/>
        <v>59.811402959595412</v>
      </c>
      <c r="E261" s="98">
        <f t="shared" si="23"/>
        <v>59.811402959595412</v>
      </c>
      <c r="F261" s="89"/>
      <c r="G261" s="18"/>
      <c r="H261" s="18"/>
      <c r="I261" s="18"/>
      <c r="J261" s="18"/>
    </row>
    <row r="262" spans="2:10" s="13" customFormat="1" x14ac:dyDescent="0.25">
      <c r="B262" s="47">
        <v>925</v>
      </c>
      <c r="C262" s="96">
        <f t="shared" si="21"/>
        <v>135.69436050319894</v>
      </c>
      <c r="D262" s="96">
        <f t="shared" si="22"/>
        <v>59.85235565514359</v>
      </c>
      <c r="E262" s="98">
        <f t="shared" si="23"/>
        <v>59.85235565514359</v>
      </c>
      <c r="F262" s="89"/>
      <c r="G262" s="18"/>
      <c r="H262" s="18"/>
      <c r="I262" s="18"/>
      <c r="J262" s="18"/>
    </row>
    <row r="263" spans="2:10" s="13" customFormat="1" x14ac:dyDescent="0.25">
      <c r="B263" s="48">
        <v>930</v>
      </c>
      <c r="C263" s="96">
        <f t="shared" si="21"/>
        <v>136.04131339384901</v>
      </c>
      <c r="D263" s="96">
        <f t="shared" si="22"/>
        <v>59.892903185682655</v>
      </c>
      <c r="E263" s="98">
        <f t="shared" si="23"/>
        <v>59.892903185682655</v>
      </c>
      <c r="F263" s="89"/>
      <c r="G263" s="18"/>
      <c r="H263" s="18"/>
      <c r="I263" s="18"/>
      <c r="J263" s="18"/>
    </row>
    <row r="264" spans="2:10" s="13" customFormat="1" x14ac:dyDescent="0.25">
      <c r="B264" s="48">
        <v>935</v>
      </c>
      <c r="C264" s="96">
        <f t="shared" si="21"/>
        <v>136.38613706819689</v>
      </c>
      <c r="D264" s="96">
        <f t="shared" si="22"/>
        <v>59.933051534358356</v>
      </c>
      <c r="E264" s="99">
        <f t="shared" si="23"/>
        <v>59.933051534358356</v>
      </c>
      <c r="F264" s="89"/>
      <c r="G264" s="18"/>
      <c r="H264" s="18"/>
      <c r="I264" s="18"/>
      <c r="J264" s="18"/>
    </row>
    <row r="265" spans="2:10" s="13" customFormat="1" x14ac:dyDescent="0.25">
      <c r="B265" s="47">
        <v>940</v>
      </c>
      <c r="C265" s="96">
        <f t="shared" si="21"/>
        <v>136.72885106647576</v>
      </c>
      <c r="D265" s="96">
        <f t="shared" si="22"/>
        <v>59.972806567087879</v>
      </c>
      <c r="E265" s="98">
        <f t="shared" si="23"/>
        <v>59.972806567087879</v>
      </c>
      <c r="F265" s="89"/>
      <c r="G265" s="18"/>
      <c r="H265" s="18"/>
      <c r="I265" s="18"/>
      <c r="J265" s="18"/>
    </row>
    <row r="266" spans="2:10" s="13" customFormat="1" x14ac:dyDescent="0.25">
      <c r="B266" s="48">
        <v>945</v>
      </c>
      <c r="C266" s="96">
        <f t="shared" si="21"/>
        <v>137.06947469054873</v>
      </c>
      <c r="D266" s="96">
        <f t="shared" si="22"/>
        <v>60.01217403541694</v>
      </c>
      <c r="E266" s="98">
        <f t="shared" si="23"/>
        <v>60.01217403541694</v>
      </c>
      <c r="F266" s="89"/>
      <c r="G266" s="18"/>
      <c r="H266" s="18"/>
      <c r="I266" s="18"/>
      <c r="J266" s="18"/>
    </row>
    <row r="267" spans="2:10" s="13" customFormat="1" x14ac:dyDescent="0.25">
      <c r="B267" s="48">
        <v>950</v>
      </c>
      <c r="C267" s="96">
        <f t="shared" si="21"/>
        <v>137.40802700753241</v>
      </c>
      <c r="D267" s="96">
        <f t="shared" si="22"/>
        <v>60.051159579293746</v>
      </c>
      <c r="E267" s="98">
        <f t="shared" si="23"/>
        <v>60.051159579293746</v>
      </c>
      <c r="F267" s="89"/>
      <c r="G267" s="18"/>
      <c r="H267" s="18"/>
      <c r="I267" s="18"/>
      <c r="J267" s="18"/>
    </row>
    <row r="268" spans="2:10" s="13" customFormat="1" x14ac:dyDescent="0.25">
      <c r="B268" s="47">
        <v>955</v>
      </c>
      <c r="C268" s="96">
        <f t="shared" si="21"/>
        <v>137.7445268533549</v>
      </c>
      <c r="D268" s="96">
        <f t="shared" si="22"/>
        <v>60.089768729762554</v>
      </c>
      <c r="E268" s="98">
        <f t="shared" si="23"/>
        <v>60.089768729762554</v>
      </c>
      <c r="F268" s="89"/>
      <c r="G268" s="18"/>
      <c r="H268" s="18"/>
      <c r="I268" s="18"/>
      <c r="J268" s="18"/>
    </row>
    <row r="269" spans="2:10" s="13" customFormat="1" x14ac:dyDescent="0.25">
      <c r="B269" s="48">
        <v>960</v>
      </c>
      <c r="C269" s="96">
        <f t="shared" si="21"/>
        <v>138.07899283624909</v>
      </c>
      <c r="D269" s="96">
        <f t="shared" si="22"/>
        <v>60.128006911579689</v>
      </c>
      <c r="E269" s="98">
        <f t="shared" si="23"/>
        <v>60.128006911579689</v>
      </c>
      <c r="F269" s="89"/>
      <c r="G269" s="18"/>
      <c r="H269" s="18"/>
      <c r="I269" s="18"/>
      <c r="J269" s="18"/>
    </row>
    <row r="270" spans="2:10" s="13" customFormat="1" x14ac:dyDescent="0.25">
      <c r="B270" s="48">
        <v>965</v>
      </c>
      <c r="C270" s="96">
        <f t="shared" si="21"/>
        <v>138.41144334018296</v>
      </c>
      <c r="D270" s="96">
        <f t="shared" si="22"/>
        <v>60.165879445754406</v>
      </c>
      <c r="E270" s="98">
        <f t="shared" si="23"/>
        <v>60.165879445754406</v>
      </c>
      <c r="F270" s="89"/>
      <c r="G270" s="18"/>
      <c r="H270" s="18"/>
      <c r="I270" s="18"/>
      <c r="J270" s="18"/>
    </row>
    <row r="271" spans="2:10" s="13" customFormat="1" x14ac:dyDescent="0.25">
      <c r="B271" s="47">
        <v>970</v>
      </c>
      <c r="C271" s="96">
        <f t="shared" si="21"/>
        <v>138.74189652822787</v>
      </c>
      <c r="D271" s="96">
        <f t="shared" si="22"/>
        <v>60.203391552017266</v>
      </c>
      <c r="E271" s="98">
        <f t="shared" si="23"/>
        <v>60.203391552017266</v>
      </c>
      <c r="F271" s="89"/>
      <c r="G271" s="18"/>
      <c r="H271" s="18"/>
      <c r="I271" s="18"/>
      <c r="J271" s="18"/>
    </row>
    <row r="272" spans="2:10" s="13" customFormat="1" x14ac:dyDescent="0.25">
      <c r="B272" s="48">
        <v>975</v>
      </c>
      <c r="C272" s="96">
        <f t="shared" si="21"/>
        <v>139.07037034586642</v>
      </c>
      <c r="D272" s="96">
        <f t="shared" si="22"/>
        <v>60.240548351218386</v>
      </c>
      <c r="E272" s="98">
        <f t="shared" si="23"/>
        <v>60.240548351218386</v>
      </c>
      <c r="F272" s="89"/>
      <c r="G272" s="18"/>
      <c r="H272" s="18"/>
      <c r="I272" s="18"/>
      <c r="J272" s="18"/>
    </row>
    <row r="273" spans="2:10" s="13" customFormat="1" x14ac:dyDescent="0.25">
      <c r="B273" s="48">
        <v>980</v>
      </c>
      <c r="C273" s="96">
        <f t="shared" si="21"/>
        <v>139.39688252424111</v>
      </c>
      <c r="D273" s="96">
        <f t="shared" si="22"/>
        <v>60.277354867657813</v>
      </c>
      <c r="E273" s="99">
        <f t="shared" si="23"/>
        <v>60.277354867657813</v>
      </c>
      <c r="F273" s="89"/>
      <c r="G273" s="18"/>
      <c r="H273" s="18"/>
      <c r="I273" s="18"/>
      <c r="J273" s="18"/>
    </row>
    <row r="274" spans="2:10" s="13" customFormat="1" x14ac:dyDescent="0.25">
      <c r="B274" s="47">
        <v>985</v>
      </c>
      <c r="C274" s="96">
        <f t="shared" si="21"/>
        <v>139.72145058334482</v>
      </c>
      <c r="D274" s="96">
        <f t="shared" si="22"/>
        <v>60.313816031350356</v>
      </c>
      <c r="E274" s="98">
        <f t="shared" si="23"/>
        <v>60.313816031350356</v>
      </c>
      <c r="F274" s="89"/>
      <c r="G274" s="18"/>
      <c r="H274" s="18"/>
      <c r="I274" s="18"/>
      <c r="J274" s="18"/>
    </row>
    <row r="275" spans="2:10" s="13" customFormat="1" x14ac:dyDescent="0.25">
      <c r="B275" s="48">
        <v>990</v>
      </c>
      <c r="C275" s="96">
        <f t="shared" si="21"/>
        <v>140.0440918351546</v>
      </c>
      <c r="D275" s="96">
        <f t="shared" si="22"/>
        <v>60.349936680226918</v>
      </c>
      <c r="E275" s="98">
        <f t="shared" si="23"/>
        <v>60.349936680226918</v>
      </c>
      <c r="F275" s="89"/>
      <c r="G275" s="18"/>
      <c r="H275" s="18"/>
      <c r="I275" s="18"/>
      <c r="J275" s="18"/>
    </row>
    <row r="276" spans="2:10" s="13" customFormat="1" x14ac:dyDescent="0.25">
      <c r="B276" s="48">
        <v>995</v>
      </c>
      <c r="C276" s="96">
        <f t="shared" si="21"/>
        <v>140.36482338670973</v>
      </c>
      <c r="D276" s="96">
        <f t="shared" si="22"/>
        <v>60.385721562274455</v>
      </c>
      <c r="E276" s="98">
        <f t="shared" si="23"/>
        <v>60.385721562274455</v>
      </c>
      <c r="F276" s="89"/>
      <c r="G276" s="18"/>
      <c r="H276" s="18"/>
      <c r="I276" s="18"/>
      <c r="J276" s="18"/>
    </row>
    <row r="277" spans="2:10" s="13" customFormat="1" x14ac:dyDescent="0.25">
      <c r="B277" s="47">
        <v>1000</v>
      </c>
      <c r="C277" s="96">
        <f t="shared" si="21"/>
        <v>140.68366214313534</v>
      </c>
      <c r="D277" s="96">
        <f t="shared" si="22"/>
        <v>60.42117533761656</v>
      </c>
      <c r="E277" s="98">
        <f t="shared" si="23"/>
        <v>60.42117533761656</v>
      </c>
      <c r="F277" s="89"/>
      <c r="G277" s="18"/>
      <c r="H277" s="18"/>
      <c r="I277" s="18"/>
      <c r="J277" s="18"/>
    </row>
    <row r="278" spans="2:10" s="13" customFormat="1" x14ac:dyDescent="0.25">
      <c r="B278" s="48">
        <v>1005</v>
      </c>
      <c r="C278" s="96">
        <f t="shared" si="21"/>
        <v>141.00062481061261</v>
      </c>
      <c r="D278" s="96">
        <f t="shared" si="22"/>
        <v>60.456302580536523</v>
      </c>
      <c r="E278" s="98">
        <f t="shared" si="23"/>
        <v>60.456302580536523</v>
      </c>
      <c r="F278" s="89"/>
      <c r="G278" s="18"/>
      <c r="H278" s="18"/>
      <c r="I278" s="18"/>
      <c r="J278" s="18"/>
    </row>
    <row r="279" spans="2:10" s="13" customFormat="1" x14ac:dyDescent="0.25">
      <c r="B279" s="48">
        <v>1010</v>
      </c>
      <c r="C279" s="96">
        <f t="shared" si="21"/>
        <v>141.31572789929677</v>
      </c>
      <c r="D279" s="96">
        <f t="shared" si="22"/>
        <v>60.491107781444725</v>
      </c>
      <c r="E279" s="98">
        <f t="shared" si="23"/>
        <v>60.491107781444725</v>
      </c>
      <c r="F279" s="89"/>
      <c r="G279" s="18"/>
      <c r="H279" s="18"/>
      <c r="I279" s="18"/>
      <c r="J279" s="18"/>
    </row>
    <row r="280" spans="2:10" s="13" customFormat="1" x14ac:dyDescent="0.25">
      <c r="B280" s="47">
        <v>1015</v>
      </c>
      <c r="C280" s="96">
        <f t="shared" si="21"/>
        <v>141.62898772618374</v>
      </c>
      <c r="D280" s="96">
        <f t="shared" si="22"/>
        <v>60.525595348792294</v>
      </c>
      <c r="E280" s="98">
        <f t="shared" si="23"/>
        <v>60.525595348792294</v>
      </c>
      <c r="F280" s="89"/>
      <c r="G280" s="18"/>
      <c r="H280" s="18"/>
      <c r="I280" s="18"/>
      <c r="J280" s="18"/>
    </row>
    <row r="281" spans="2:10" s="13" customFormat="1" x14ac:dyDescent="0.25">
      <c r="B281" s="48">
        <v>1020</v>
      </c>
      <c r="C281" s="96">
        <f t="shared" si="21"/>
        <v>141.94042041792679</v>
      </c>
      <c r="D281" s="96">
        <f t="shared" si="22"/>
        <v>60.55976961093242</v>
      </c>
      <c r="E281" s="98">
        <f t="shared" si="23"/>
        <v>60.55976961093242</v>
      </c>
      <c r="F281" s="89"/>
      <c r="G281" s="18"/>
      <c r="H281" s="18"/>
      <c r="I281" s="18"/>
      <c r="J281" s="18"/>
    </row>
    <row r="282" spans="2:10" s="13" customFormat="1" x14ac:dyDescent="0.25">
      <c r="B282" s="48">
        <v>1025</v>
      </c>
      <c r="C282" s="96">
        <f t="shared" si="21"/>
        <v>142.25004191360401</v>
      </c>
      <c r="D282" s="96">
        <f t="shared" si="22"/>
        <v>60.59363481793136</v>
      </c>
      <c r="E282" s="99">
        <f t="shared" si="23"/>
        <v>60.59363481793136</v>
      </c>
      <c r="F282" s="89"/>
      <c r="G282" s="18"/>
      <c r="H282" s="18"/>
      <c r="I282" s="18"/>
      <c r="J282" s="18"/>
    </row>
    <row r="283" spans="2:10" s="13" customFormat="1" x14ac:dyDescent="0.25">
      <c r="B283" s="47">
        <v>1030</v>
      </c>
      <c r="C283" s="96">
        <f t="shared" si="21"/>
        <v>142.55786796743743</v>
      </c>
      <c r="D283" s="96">
        <f t="shared" si="22"/>
        <v>60.627195143330376</v>
      </c>
      <c r="E283" s="98">
        <f t="shared" si="23"/>
        <v>60.627195143330376</v>
      </c>
      <c r="F283" s="89"/>
      <c r="G283" s="18"/>
      <c r="H283" s="18"/>
      <c r="I283" s="18"/>
      <c r="J283" s="18"/>
    </row>
    <row r="284" spans="2:10" s="13" customFormat="1" x14ac:dyDescent="0.25">
      <c r="B284" s="48">
        <v>1035</v>
      </c>
      <c r="C284" s="96">
        <f t="shared" si="21"/>
        <v>142.86391415146534</v>
      </c>
      <c r="D284" s="96">
        <f t="shared" si="22"/>
        <v>60.660454685860373</v>
      </c>
      <c r="E284" s="98">
        <f t="shared" si="23"/>
        <v>60.660454685860373</v>
      </c>
      <c r="F284" s="89"/>
      <c r="G284" s="18"/>
      <c r="H284" s="18"/>
      <c r="I284" s="18"/>
      <c r="J284" s="18"/>
    </row>
    <row r="285" spans="2:10" s="13" customFormat="1" x14ac:dyDescent="0.25">
      <c r="B285" s="48">
        <v>1040</v>
      </c>
      <c r="C285" s="96">
        <f t="shared" si="21"/>
        <v>143.16819585816808</v>
      </c>
      <c r="D285" s="96">
        <f t="shared" si="22"/>
        <v>60.693417471110685</v>
      </c>
      <c r="E285" s="98">
        <f t="shared" si="23"/>
        <v>60.693417471110685</v>
      </c>
      <c r="F285" s="89"/>
      <c r="G285" s="18"/>
      <c r="H285" s="18"/>
      <c r="I285" s="18"/>
      <c r="J285" s="18"/>
    </row>
    <row r="286" spans="2:10" s="13" customFormat="1" x14ac:dyDescent="0.25">
      <c r="B286" s="47">
        <v>1045</v>
      </c>
      <c r="C286" s="96">
        <f t="shared" si="21"/>
        <v>143.47072830304867</v>
      </c>
      <c r="D286" s="96">
        <f t="shared" si="22"/>
        <v>60.726087453153262</v>
      </c>
      <c r="E286" s="98">
        <f t="shared" si="23"/>
        <v>60.726087453153262</v>
      </c>
      <c r="F286" s="89"/>
      <c r="G286" s="18"/>
      <c r="H286" s="18"/>
      <c r="I286" s="18"/>
      <c r="J286" s="18"/>
    </row>
    <row r="287" spans="2:10" s="13" customFormat="1" x14ac:dyDescent="0.25">
      <c r="B287" s="48">
        <v>1050</v>
      </c>
      <c r="C287" s="96">
        <f t="shared" si="21"/>
        <v>143.77152652716907</v>
      </c>
      <c r="D287" s="96">
        <f t="shared" si="22"/>
        <v>60.758468516123919</v>
      </c>
      <c r="E287" s="98">
        <f t="shared" si="23"/>
        <v>60.758468516123919</v>
      </c>
      <c r="F287" s="89"/>
      <c r="G287" s="18"/>
      <c r="H287" s="18"/>
      <c r="I287" s="18"/>
      <c r="J287" s="18"/>
    </row>
    <row r="288" spans="2:10" s="13" customFormat="1" x14ac:dyDescent="0.25">
      <c r="B288" s="48">
        <v>1055</v>
      </c>
      <c r="C288" s="96">
        <f t="shared" si="21"/>
        <v>144.07060539964297</v>
      </c>
      <c r="D288" s="96">
        <f t="shared" si="22"/>
        <v>60.790564475761649</v>
      </c>
      <c r="E288" s="98">
        <f t="shared" si="23"/>
        <v>60.790564475761649</v>
      </c>
      <c r="F288" s="89"/>
      <c r="G288" s="18"/>
      <c r="H288" s="18"/>
      <c r="I288" s="18"/>
      <c r="J288" s="18"/>
    </row>
    <row r="289" spans="2:10" s="13" customFormat="1" x14ac:dyDescent="0.25">
      <c r="B289" s="47">
        <v>1060</v>
      </c>
      <c r="C289" s="96">
        <f t="shared" si="21"/>
        <v>144.36797962008578</v>
      </c>
      <c r="D289" s="96">
        <f t="shared" si="22"/>
        <v>60.822379080907652</v>
      </c>
      <c r="E289" s="98">
        <f t="shared" si="23"/>
        <v>60.822379080907652</v>
      </c>
      <c r="F289" s="89"/>
      <c r="G289" s="18"/>
      <c r="H289" s="18"/>
      <c r="I289" s="18"/>
      <c r="J289" s="18"/>
    </row>
    <row r="290" spans="2:10" s="13" customFormat="1" x14ac:dyDescent="0.25">
      <c r="B290" s="48">
        <v>1065</v>
      </c>
      <c r="C290" s="96">
        <f t="shared" si="21"/>
        <v>144.66366372102308</v>
      </c>
      <c r="D290" s="96">
        <f t="shared" si="22"/>
        <v>60.853916014964916</v>
      </c>
      <c r="E290" s="98">
        <f t="shared" si="23"/>
        <v>60.853916014964916</v>
      </c>
      <c r="F290" s="89"/>
      <c r="G290" s="18"/>
      <c r="H290" s="18"/>
      <c r="I290" s="18"/>
      <c r="J290" s="18"/>
    </row>
    <row r="291" spans="2:10" s="13" customFormat="1" x14ac:dyDescent="0.25">
      <c r="B291" s="48">
        <v>1070</v>
      </c>
      <c r="C291" s="96">
        <f t="shared" si="21"/>
        <v>144.9576720702581</v>
      </c>
      <c r="D291" s="96">
        <f t="shared" si="22"/>
        <v>60.885178897319875</v>
      </c>
      <c r="E291" s="99">
        <f t="shared" si="23"/>
        <v>60.885178897319875</v>
      </c>
      <c r="F291" s="89"/>
      <c r="G291" s="18"/>
      <c r="H291" s="18"/>
      <c r="I291" s="18"/>
      <c r="J291" s="18"/>
    </row>
    <row r="292" spans="2:10" s="13" customFormat="1" x14ac:dyDescent="0.25">
      <c r="B292" s="47">
        <v>1075</v>
      </c>
      <c r="C292" s="96">
        <f t="shared" si="21"/>
        <v>145.25001887319871</v>
      </c>
      <c r="D292" s="96">
        <f t="shared" si="22"/>
        <v>60.91617128472717</v>
      </c>
      <c r="E292" s="98">
        <f t="shared" si="23"/>
        <v>60.91617128472717</v>
      </c>
      <c r="F292" s="89"/>
      <c r="G292" s="18"/>
      <c r="H292" s="18"/>
      <c r="I292" s="18"/>
      <c r="J292" s="18"/>
    </row>
    <row r="293" spans="2:10" s="13" customFormat="1" x14ac:dyDescent="0.25">
      <c r="B293" s="48">
        <v>1080</v>
      </c>
      <c r="C293" s="96">
        <f t="shared" ref="C293:C356" si="24">Vcmax*(B293-Gammastr)/(B293+Kc*(1+Ko/O))</f>
        <v>145.54071817514571</v>
      </c>
      <c r="D293" s="96">
        <f t="shared" ref="D293:D356" si="25">J*(B293-Gammastr)/(4*B293+8*Gammastr)</f>
        <v>60.946896672658532</v>
      </c>
      <c r="E293" s="98">
        <f t="shared" ref="E293:E356" si="26">MIN(C293,D293)</f>
        <v>60.946896672658532</v>
      </c>
      <c r="F293" s="89"/>
      <c r="G293" s="18"/>
      <c r="H293" s="18"/>
      <c r="I293" s="18"/>
      <c r="J293" s="18"/>
    </row>
    <row r="294" spans="2:10" s="13" customFormat="1" x14ac:dyDescent="0.25">
      <c r="B294" s="48">
        <v>1085</v>
      </c>
      <c r="C294" s="96">
        <f t="shared" si="24"/>
        <v>145.82978386354179</v>
      </c>
      <c r="D294" s="96">
        <f t="shared" si="25"/>
        <v>60.977358496617001</v>
      </c>
      <c r="E294" s="98">
        <f t="shared" si="26"/>
        <v>60.977358496617001</v>
      </c>
      <c r="F294" s="89"/>
      <c r="G294" s="18"/>
      <c r="H294" s="18"/>
      <c r="I294" s="18"/>
      <c r="J294" s="18"/>
    </row>
    <row r="295" spans="2:10" s="13" customFormat="1" x14ac:dyDescent="0.25">
      <c r="B295" s="47">
        <v>1090</v>
      </c>
      <c r="C295" s="96">
        <f t="shared" si="24"/>
        <v>146.11722967018341</v>
      </c>
      <c r="D295" s="96">
        <f t="shared" si="25"/>
        <v>61.007560133417499</v>
      </c>
      <c r="E295" s="98">
        <f t="shared" si="26"/>
        <v>61.007560133417499</v>
      </c>
      <c r="F295" s="89"/>
      <c r="G295" s="18"/>
      <c r="H295" s="18"/>
      <c r="I295" s="18"/>
      <c r="J295" s="18"/>
    </row>
    <row r="296" spans="2:10" s="13" customFormat="1" x14ac:dyDescent="0.25">
      <c r="B296" s="48">
        <v>1095</v>
      </c>
      <c r="C296" s="96">
        <f t="shared" si="24"/>
        <v>146.40306917339501</v>
      </c>
      <c r="D296" s="96">
        <f t="shared" si="25"/>
        <v>61.037504902434677</v>
      </c>
      <c r="E296" s="98">
        <f t="shared" si="26"/>
        <v>61.037504902434677</v>
      </c>
      <c r="F296" s="89"/>
      <c r="G296" s="18"/>
      <c r="H296" s="18"/>
      <c r="I296" s="18"/>
      <c r="J296" s="18"/>
    </row>
    <row r="297" spans="2:10" s="13" customFormat="1" x14ac:dyDescent="0.25">
      <c r="B297" s="48">
        <v>1100</v>
      </c>
      <c r="C297" s="96">
        <f t="shared" si="24"/>
        <v>146.68731580016723</v>
      </c>
      <c r="D297" s="96">
        <f t="shared" si="25"/>
        <v>61.067196066819108</v>
      </c>
      <c r="E297" s="98">
        <f t="shared" si="26"/>
        <v>61.067196066819108</v>
      </c>
      <c r="F297" s="89"/>
      <c r="G297" s="18"/>
      <c r="H297" s="18"/>
      <c r="I297" s="18"/>
      <c r="J297" s="18"/>
    </row>
    <row r="298" spans="2:10" s="13" customFormat="1" x14ac:dyDescent="0.25">
      <c r="B298" s="47">
        <v>1105</v>
      </c>
      <c r="C298" s="96">
        <f t="shared" si="24"/>
        <v>146.9699828282593</v>
      </c>
      <c r="D298" s="96">
        <f t="shared" si="25"/>
        <v>61.096636834682627</v>
      </c>
      <c r="E298" s="98">
        <f t="shared" si="26"/>
        <v>61.096636834682627</v>
      </c>
      <c r="F298" s="89"/>
      <c r="G298" s="18"/>
      <c r="H298" s="18"/>
      <c r="I298" s="18"/>
      <c r="J298" s="18"/>
    </row>
    <row r="299" spans="2:10" s="13" customFormat="1" x14ac:dyDescent="0.25">
      <c r="B299" s="48">
        <v>1110</v>
      </c>
      <c r="C299" s="96">
        <f t="shared" si="24"/>
        <v>147.25108338826669</v>
      </c>
      <c r="D299" s="96">
        <f t="shared" si="25"/>
        <v>61.12583036025395</v>
      </c>
      <c r="E299" s="98">
        <f t="shared" si="26"/>
        <v>61.12583036025395</v>
      </c>
      <c r="F299" s="89"/>
      <c r="G299" s="18"/>
      <c r="H299" s="18"/>
      <c r="I299" s="18"/>
      <c r="J299" s="18"/>
    </row>
    <row r="300" spans="2:10" s="13" customFormat="1" x14ac:dyDescent="0.25">
      <c r="B300" s="48">
        <v>1115</v>
      </c>
      <c r="C300" s="96">
        <f t="shared" si="24"/>
        <v>147.5306304656541</v>
      </c>
      <c r="D300" s="96">
        <f t="shared" si="25"/>
        <v>61.154779745005122</v>
      </c>
      <c r="E300" s="99">
        <f t="shared" si="26"/>
        <v>61.154779745005122</v>
      </c>
      <c r="F300" s="89"/>
      <c r="G300" s="18"/>
      <c r="H300" s="18"/>
      <c r="I300" s="18"/>
      <c r="J300" s="18"/>
    </row>
    <row r="301" spans="2:10" s="13" customFormat="1" x14ac:dyDescent="0.25">
      <c r="B301" s="47">
        <v>1120</v>
      </c>
      <c r="C301" s="96">
        <f t="shared" si="24"/>
        <v>147.80863690275527</v>
      </c>
      <c r="D301" s="96">
        <f t="shared" si="25"/>
        <v>61.183488038749999</v>
      </c>
      <c r="E301" s="98">
        <f t="shared" si="26"/>
        <v>61.183488038749999</v>
      </c>
      <c r="F301" s="89"/>
      <c r="G301" s="18"/>
      <c r="H301" s="18"/>
      <c r="I301" s="18"/>
      <c r="J301" s="18"/>
    </row>
    <row r="302" spans="2:10" s="13" customFormat="1" x14ac:dyDescent="0.25">
      <c r="B302" s="48">
        <v>1125</v>
      </c>
      <c r="C302" s="96">
        <f t="shared" si="24"/>
        <v>148.08511540073957</v>
      </c>
      <c r="D302" s="96">
        <f t="shared" si="25"/>
        <v>61.211958240715212</v>
      </c>
      <c r="E302" s="98">
        <f t="shared" si="26"/>
        <v>61.211958240715212</v>
      </c>
      <c r="F302" s="89"/>
      <c r="G302" s="18"/>
      <c r="H302" s="18"/>
      <c r="I302" s="18"/>
      <c r="J302" s="18"/>
    </row>
    <row r="303" spans="2:10" s="13" customFormat="1" x14ac:dyDescent="0.25">
      <c r="B303" s="48">
        <v>1130</v>
      </c>
      <c r="C303" s="96">
        <f t="shared" si="24"/>
        <v>148.36007852154626</v>
      </c>
      <c r="D303" s="96">
        <f t="shared" si="25"/>
        <v>61.240193300584806</v>
      </c>
      <c r="E303" s="98">
        <f t="shared" si="26"/>
        <v>61.240193300584806</v>
      </c>
      <c r="F303" s="89"/>
      <c r="G303" s="18"/>
      <c r="H303" s="18"/>
      <c r="I303" s="18"/>
      <c r="J303" s="18"/>
    </row>
    <row r="304" spans="2:10" s="13" customFormat="1" x14ac:dyDescent="0.25">
      <c r="B304" s="47">
        <v>1135</v>
      </c>
      <c r="C304" s="96">
        <f t="shared" si="24"/>
        <v>148.63353868978709</v>
      </c>
      <c r="D304" s="96">
        <f t="shared" si="25"/>
        <v>61.268196119518947</v>
      </c>
      <c r="E304" s="98">
        <f t="shared" si="26"/>
        <v>61.268196119518947</v>
      </c>
      <c r="F304" s="89"/>
      <c r="G304" s="18"/>
      <c r="H304" s="18"/>
      <c r="I304" s="18"/>
      <c r="J304" s="18"/>
    </row>
    <row r="305" spans="2:10" s="13" customFormat="1" x14ac:dyDescent="0.25">
      <c r="B305" s="48">
        <v>1140</v>
      </c>
      <c r="C305" s="96">
        <f t="shared" si="24"/>
        <v>148.90550819461782</v>
      </c>
      <c r="D305" s="96">
        <f t="shared" si="25"/>
        <v>61.295969551147579</v>
      </c>
      <c r="E305" s="98">
        <f t="shared" si="26"/>
        <v>61.295969551147579</v>
      </c>
      <c r="F305" s="89"/>
      <c r="G305" s="18"/>
      <c r="H305" s="18"/>
      <c r="I305" s="18"/>
      <c r="J305" s="18"/>
    </row>
    <row r="306" spans="2:10" s="13" customFormat="1" x14ac:dyDescent="0.25">
      <c r="B306" s="48">
        <v>1145</v>
      </c>
      <c r="C306" s="96">
        <f t="shared" si="24"/>
        <v>149.17599919157908</v>
      </c>
      <c r="D306" s="96">
        <f t="shared" si="25"/>
        <v>61.323516402539944</v>
      </c>
      <c r="E306" s="98">
        <f t="shared" si="26"/>
        <v>61.323516402539944</v>
      </c>
      <c r="F306" s="89"/>
      <c r="G306" s="18"/>
      <c r="H306" s="18"/>
      <c r="I306" s="18"/>
      <c r="J306" s="18"/>
    </row>
    <row r="307" spans="2:10" s="13" customFormat="1" x14ac:dyDescent="0.25">
      <c r="B307" s="47">
        <v>1150</v>
      </c>
      <c r="C307" s="96">
        <f t="shared" si="24"/>
        <v>149.4450237044075</v>
      </c>
      <c r="D307" s="96">
        <f t="shared" si="25"/>
        <v>61.35083943515022</v>
      </c>
      <c r="E307" s="98">
        <f t="shared" si="26"/>
        <v>61.35083943515022</v>
      </c>
      <c r="F307" s="89"/>
      <c r="G307" s="18"/>
      <c r="H307" s="18"/>
      <c r="I307" s="18"/>
      <c r="J307" s="18"/>
    </row>
    <row r="308" spans="2:10" s="13" customFormat="1" x14ac:dyDescent="0.25">
      <c r="B308" s="48">
        <v>1155</v>
      </c>
      <c r="C308" s="96">
        <f t="shared" si="24"/>
        <v>149.71259362681718</v>
      </c>
      <c r="D308" s="96">
        <f t="shared" si="25"/>
        <v>61.377941365740462</v>
      </c>
      <c r="E308" s="98">
        <f t="shared" si="26"/>
        <v>61.377941365740462</v>
      </c>
      <c r="F308" s="89"/>
      <c r="G308" s="18"/>
      <c r="H308" s="18"/>
      <c r="I308" s="18"/>
      <c r="J308" s="18"/>
    </row>
    <row r="309" spans="2:10" s="13" customFormat="1" x14ac:dyDescent="0.25">
      <c r="B309" s="48">
        <v>1160</v>
      </c>
      <c r="C309" s="96">
        <f t="shared" si="24"/>
        <v>149.97872072425264</v>
      </c>
      <c r="D309" s="96">
        <f t="shared" si="25"/>
        <v>61.404824867280965</v>
      </c>
      <c r="E309" s="99">
        <f t="shared" si="26"/>
        <v>61.404824867280965</v>
      </c>
      <c r="F309" s="89"/>
      <c r="G309" s="18"/>
      <c r="H309" s="18"/>
      <c r="I309" s="18"/>
      <c r="J309" s="18"/>
    </row>
    <row r="310" spans="2:10" s="13" customFormat="1" x14ac:dyDescent="0.25">
      <c r="B310" s="47">
        <v>1165</v>
      </c>
      <c r="C310" s="96">
        <f t="shared" si="24"/>
        <v>150.24341663561336</v>
      </c>
      <c r="D310" s="96">
        <f t="shared" si="25"/>
        <v>61.431492569829196</v>
      </c>
      <c r="E310" s="98">
        <f t="shared" si="26"/>
        <v>61.431492569829196</v>
      </c>
      <c r="F310" s="89"/>
      <c r="G310" s="18"/>
      <c r="H310" s="18"/>
      <c r="I310" s="18"/>
      <c r="J310" s="18"/>
    </row>
    <row r="311" spans="2:10" s="13" customFormat="1" x14ac:dyDescent="0.25">
      <c r="B311" s="48">
        <v>1170</v>
      </c>
      <c r="C311" s="96">
        <f t="shared" si="24"/>
        <v>150.50669287495029</v>
      </c>
      <c r="D311" s="96">
        <f t="shared" si="25"/>
        <v>61.457947061387408</v>
      </c>
      <c r="E311" s="98">
        <f t="shared" si="26"/>
        <v>61.457947061387408</v>
      </c>
      <c r="F311" s="89"/>
      <c r="G311" s="18"/>
      <c r="H311" s="18"/>
      <c r="I311" s="18"/>
      <c r="J311" s="18"/>
    </row>
    <row r="312" spans="2:10" s="13" customFormat="1" x14ac:dyDescent="0.25">
      <c r="B312" s="48">
        <v>1175</v>
      </c>
      <c r="C312" s="96">
        <f t="shared" si="24"/>
        <v>150.76856083313589</v>
      </c>
      <c r="D312" s="96">
        <f t="shared" si="25"/>
        <v>61.484190888740002</v>
      </c>
      <c r="E312" s="98">
        <f t="shared" si="26"/>
        <v>61.484190888740002</v>
      </c>
      <c r="F312" s="89"/>
      <c r="G312" s="18"/>
      <c r="H312" s="18"/>
      <c r="I312" s="18"/>
      <c r="J312" s="18"/>
    </row>
    <row r="313" spans="2:10" s="13" customFormat="1" x14ac:dyDescent="0.25">
      <c r="B313" s="47">
        <v>1180</v>
      </c>
      <c r="C313" s="96">
        <f t="shared" si="24"/>
        <v>151.02903177950648</v>
      </c>
      <c r="D313" s="96">
        <f t="shared" si="25"/>
        <v>61.510226558270766</v>
      </c>
      <c r="E313" s="98">
        <f t="shared" si="26"/>
        <v>61.510226558270766</v>
      </c>
      <c r="F313" s="89"/>
      <c r="G313" s="18"/>
      <c r="H313" s="18"/>
      <c r="I313" s="18"/>
      <c r="J313" s="18"/>
    </row>
    <row r="314" spans="2:10" s="13" customFormat="1" x14ac:dyDescent="0.25">
      <c r="B314" s="48">
        <v>1185</v>
      </c>
      <c r="C314" s="96">
        <f t="shared" si="24"/>
        <v>151.2881168634791</v>
      </c>
      <c r="D314" s="96">
        <f t="shared" si="25"/>
        <v>61.53605653676081</v>
      </c>
      <c r="E314" s="98">
        <f t="shared" si="26"/>
        <v>61.53605653676081</v>
      </c>
      <c r="F314" s="89"/>
      <c r="G314" s="18"/>
      <c r="H314" s="18"/>
      <c r="I314" s="18"/>
      <c r="J314" s="18"/>
    </row>
    <row r="315" spans="2:10" s="13" customFormat="1" x14ac:dyDescent="0.25">
      <c r="B315" s="48">
        <v>1190</v>
      </c>
      <c r="C315" s="96">
        <f t="shared" si="24"/>
        <v>151.5458271161425</v>
      </c>
      <c r="D315" s="96">
        <f t="shared" si="25"/>
        <v>61.561683252167768</v>
      </c>
      <c r="E315" s="98">
        <f t="shared" si="26"/>
        <v>61.561683252167768</v>
      </c>
      <c r="F315" s="89"/>
      <c r="G315" s="18"/>
      <c r="H315" s="18"/>
      <c r="I315" s="18"/>
      <c r="J315" s="18"/>
    </row>
    <row r="316" spans="2:10" s="13" customFormat="1" x14ac:dyDescent="0.25">
      <c r="B316" s="47">
        <v>1195</v>
      </c>
      <c r="C316" s="96">
        <f t="shared" si="24"/>
        <v>151.80217345182234</v>
      </c>
      <c r="D316" s="96">
        <f t="shared" si="25"/>
        <v>61.58710909438647</v>
      </c>
      <c r="E316" s="98">
        <f t="shared" si="26"/>
        <v>61.58710909438647</v>
      </c>
      <c r="F316" s="89"/>
      <c r="G316" s="18"/>
      <c r="H316" s="18"/>
      <c r="I316" s="18"/>
      <c r="J316" s="18"/>
    </row>
    <row r="317" spans="2:10" s="13" customFormat="1" x14ac:dyDescent="0.25">
      <c r="B317" s="48">
        <v>1200</v>
      </c>
      <c r="C317" s="96">
        <f t="shared" si="24"/>
        <v>152.05716666962246</v>
      </c>
      <c r="D317" s="96">
        <f t="shared" si="25"/>
        <v>61.612336415992011</v>
      </c>
      <c r="E317" s="98">
        <f t="shared" si="26"/>
        <v>61.612336415992011</v>
      </c>
      <c r="F317" s="89"/>
      <c r="G317" s="18"/>
      <c r="H317" s="18"/>
      <c r="I317" s="18"/>
      <c r="J317" s="18"/>
    </row>
    <row r="318" spans="2:10" s="13" customFormat="1" x14ac:dyDescent="0.25">
      <c r="B318" s="48">
        <v>1205</v>
      </c>
      <c r="C318" s="96">
        <f t="shared" si="24"/>
        <v>152.31081745494117</v>
      </c>
      <c r="D318" s="96">
        <f t="shared" si="25"/>
        <v>61.637367532965314</v>
      </c>
      <c r="E318" s="99">
        <f t="shared" si="26"/>
        <v>61.637367532965314</v>
      </c>
      <c r="F318" s="89"/>
      <c r="G318" s="18"/>
      <c r="H318" s="18"/>
      <c r="I318" s="18"/>
      <c r="J318" s="18"/>
    </row>
    <row r="319" spans="2:10" s="13" customFormat="1" x14ac:dyDescent="0.25">
      <c r="B319" s="47">
        <v>1210</v>
      </c>
      <c r="C319" s="96">
        <f t="shared" si="24"/>
        <v>152.56313638096378</v>
      </c>
      <c r="D319" s="96">
        <f t="shared" si="25"/>
        <v>61.662204725401949</v>
      </c>
      <c r="E319" s="98">
        <f t="shared" si="26"/>
        <v>61.662204725401949</v>
      </c>
      <c r="F319" s="89"/>
      <c r="G319" s="18"/>
      <c r="H319" s="18"/>
      <c r="I319" s="18"/>
      <c r="J319" s="18"/>
    </row>
    <row r="320" spans="2:10" s="13" customFormat="1" x14ac:dyDescent="0.25">
      <c r="B320" s="48">
        <v>1215</v>
      </c>
      <c r="C320" s="96">
        <f t="shared" si="24"/>
        <v>152.81413391013191</v>
      </c>
      <c r="D320" s="96">
        <f t="shared" si="25"/>
        <v>61.686850238204435</v>
      </c>
      <c r="E320" s="98">
        <f t="shared" si="26"/>
        <v>61.686850238204435</v>
      </c>
      <c r="F320" s="89"/>
      <c r="G320" s="18"/>
      <c r="H320" s="18"/>
      <c r="I320" s="18"/>
      <c r="J320" s="18"/>
    </row>
    <row r="321" spans="2:10" s="13" customFormat="1" x14ac:dyDescent="0.25">
      <c r="B321" s="48">
        <v>1220</v>
      </c>
      <c r="C321" s="96">
        <f t="shared" si="24"/>
        <v>153.06382039558952</v>
      </c>
      <c r="D321" s="96">
        <f t="shared" si="25"/>
        <v>61.711306281758695</v>
      </c>
      <c r="E321" s="98">
        <f t="shared" si="26"/>
        <v>61.711306281758695</v>
      </c>
      <c r="F321" s="89"/>
      <c r="G321" s="18"/>
      <c r="H321" s="18"/>
      <c r="I321" s="18"/>
      <c r="J321" s="18"/>
    </row>
    <row r="322" spans="2:10" s="13" customFormat="1" x14ac:dyDescent="0.25">
      <c r="B322" s="47">
        <v>1225</v>
      </c>
      <c r="C322" s="96">
        <f t="shared" si="24"/>
        <v>153.31220608260642</v>
      </c>
      <c r="D322" s="96">
        <f t="shared" si="25"/>
        <v>61.735575032594873</v>
      </c>
      <c r="E322" s="98">
        <f t="shared" si="26"/>
        <v>61.735575032594873</v>
      </c>
      <c r="F322" s="89"/>
      <c r="G322" s="18"/>
      <c r="H322" s="18"/>
      <c r="I322" s="18"/>
      <c r="J322" s="18"/>
    </row>
    <row r="323" spans="2:10" s="13" customFormat="1" x14ac:dyDescent="0.25">
      <c r="B323" s="48">
        <v>1230</v>
      </c>
      <c r="C323" s="96">
        <f t="shared" si="24"/>
        <v>153.55930110997977</v>
      </c>
      <c r="D323" s="96">
        <f t="shared" si="25"/>
        <v>61.75965863403303</v>
      </c>
      <c r="E323" s="98">
        <f t="shared" si="26"/>
        <v>61.75965863403303</v>
      </c>
      <c r="F323" s="89"/>
      <c r="G323" s="18"/>
      <c r="H323" s="18"/>
      <c r="I323" s="18"/>
      <c r="J323" s="18"/>
    </row>
    <row r="324" spans="2:10" s="13" customFormat="1" x14ac:dyDescent="0.25">
      <c r="B324" s="48">
        <v>1235</v>
      </c>
      <c r="C324" s="96">
        <f t="shared" si="24"/>
        <v>153.80511551141333</v>
      </c>
      <c r="D324" s="96">
        <f t="shared" si="25"/>
        <v>61.783559196814217</v>
      </c>
      <c r="E324" s="98">
        <f t="shared" si="26"/>
        <v>61.783559196814217</v>
      </c>
      <c r="F324" s="89"/>
      <c r="G324" s="18"/>
      <c r="H324" s="18"/>
      <c r="I324" s="18"/>
      <c r="J324" s="18"/>
    </row>
    <row r="325" spans="2:10" s="13" customFormat="1" x14ac:dyDescent="0.25">
      <c r="B325" s="47">
        <v>1240</v>
      </c>
      <c r="C325" s="96">
        <f t="shared" si="24"/>
        <v>154.04965921687597</v>
      </c>
      <c r="D325" s="96">
        <f t="shared" si="25"/>
        <v>61.807278799717061</v>
      </c>
      <c r="E325" s="98">
        <f t="shared" si="26"/>
        <v>61.807278799717061</v>
      </c>
      <c r="F325" s="89"/>
      <c r="G325" s="18"/>
      <c r="H325" s="18"/>
      <c r="I325" s="18"/>
      <c r="J325" s="18"/>
    </row>
    <row r="326" spans="2:10" s="13" customFormat="1" x14ac:dyDescent="0.25">
      <c r="B326" s="48">
        <v>1245</v>
      </c>
      <c r="C326" s="96">
        <f t="shared" si="24"/>
        <v>154.29294205393845</v>
      </c>
      <c r="D326" s="96">
        <f t="shared" si="25"/>
        <v>61.830819490160579</v>
      </c>
      <c r="E326" s="98">
        <f t="shared" si="26"/>
        <v>61.830819490160579</v>
      </c>
      <c r="F326" s="89"/>
      <c r="G326" s="18"/>
      <c r="H326" s="18"/>
      <c r="I326" s="18"/>
      <c r="J326" s="18"/>
    </row>
    <row r="327" spans="2:10" s="13" customFormat="1" x14ac:dyDescent="0.25">
      <c r="B327" s="48">
        <v>1250</v>
      </c>
      <c r="C327" s="96">
        <f t="shared" si="24"/>
        <v>154.53497374909031</v>
      </c>
      <c r="D327" s="96">
        <f t="shared" si="25"/>
        <v>61.85418328479318</v>
      </c>
      <c r="E327" s="99">
        <f t="shared" si="26"/>
        <v>61.85418328479318</v>
      </c>
      <c r="F327" s="89"/>
      <c r="G327" s="18"/>
      <c r="H327" s="18"/>
      <c r="I327" s="18"/>
      <c r="J327" s="18"/>
    </row>
    <row r="328" spans="2:10" s="13" customFormat="1" x14ac:dyDescent="0.25">
      <c r="B328" s="47">
        <v>1255</v>
      </c>
      <c r="C328" s="96">
        <f t="shared" si="24"/>
        <v>154.77576392903583</v>
      </c>
      <c r="D328" s="96">
        <f t="shared" si="25"/>
        <v>61.87737217006871</v>
      </c>
      <c r="E328" s="98">
        <f t="shared" si="26"/>
        <v>61.87737217006871</v>
      </c>
      <c r="F328" s="89"/>
      <c r="G328" s="18"/>
      <c r="H328" s="18"/>
      <c r="I328" s="18"/>
      <c r="J328" s="18"/>
    </row>
    <row r="329" spans="2:10" s="13" customFormat="1" x14ac:dyDescent="0.25">
      <c r="B329" s="48">
        <v>1260</v>
      </c>
      <c r="C329" s="96">
        <f t="shared" si="24"/>
        <v>155.01532212197051</v>
      </c>
      <c r="D329" s="96">
        <f t="shared" si="25"/>
        <v>61.900388102809323</v>
      </c>
      <c r="E329" s="98">
        <f t="shared" si="26"/>
        <v>61.900388102809323</v>
      </c>
      <c r="F329" s="89"/>
      <c r="G329" s="18"/>
      <c r="H329" s="18"/>
      <c r="I329" s="18"/>
      <c r="J329" s="18"/>
    </row>
    <row r="330" spans="2:10" s="13" customFormat="1" x14ac:dyDescent="0.25">
      <c r="B330" s="48">
        <v>1265</v>
      </c>
      <c r="C330" s="96">
        <f t="shared" si="24"/>
        <v>155.25365775883787</v>
      </c>
      <c r="D330" s="96">
        <f t="shared" si="25"/>
        <v>61.923233010756036</v>
      </c>
      <c r="E330" s="98">
        <f t="shared" si="26"/>
        <v>61.923233010756036</v>
      </c>
      <c r="F330" s="89"/>
      <c r="G330" s="18"/>
      <c r="H330" s="18"/>
      <c r="I330" s="18"/>
      <c r="J330" s="18"/>
    </row>
    <row r="331" spans="2:10" s="13" customFormat="1" x14ac:dyDescent="0.25">
      <c r="B331" s="47">
        <v>1270</v>
      </c>
      <c r="C331" s="96">
        <f t="shared" si="24"/>
        <v>155.49078017456719</v>
      </c>
      <c r="D331" s="96">
        <f t="shared" si="25"/>
        <v>61.945908793106945</v>
      </c>
      <c r="E331" s="98">
        <f t="shared" si="26"/>
        <v>61.945908793106945</v>
      </c>
      <c r="F331" s="89"/>
      <c r="G331" s="18"/>
      <c r="H331" s="18"/>
      <c r="I331" s="18"/>
      <c r="J331" s="18"/>
    </row>
    <row r="332" spans="2:10" s="13" customFormat="1" x14ac:dyDescent="0.25">
      <c r="B332" s="48">
        <v>1275</v>
      </c>
      <c r="C332" s="96">
        <f t="shared" si="24"/>
        <v>155.72669860929201</v>
      </c>
      <c r="D332" s="96">
        <f t="shared" si="25"/>
        <v>61.968417321043489</v>
      </c>
      <c r="E332" s="98">
        <f t="shared" si="26"/>
        <v>61.968417321043489</v>
      </c>
      <c r="F332" s="89"/>
      <c r="G332" s="18"/>
      <c r="H332" s="18"/>
      <c r="I332" s="18"/>
      <c r="J332" s="18"/>
    </row>
    <row r="333" spans="2:10" s="13" customFormat="1" x14ac:dyDescent="0.25">
      <c r="B333" s="48">
        <v>1280</v>
      </c>
      <c r="C333" s="96">
        <f t="shared" si="24"/>
        <v>155.96142220955068</v>
      </c>
      <c r="D333" s="96">
        <f t="shared" si="25"/>
        <v>61.990760438245275</v>
      </c>
      <c r="E333" s="98">
        <f t="shared" si="26"/>
        <v>61.990760438245275</v>
      </c>
      <c r="F333" s="89"/>
      <c r="G333" s="18"/>
      <c r="H333" s="18"/>
      <c r="I333" s="18"/>
      <c r="J333" s="18"/>
    </row>
    <row r="334" spans="2:10" s="13" customFormat="1" x14ac:dyDescent="0.25">
      <c r="B334" s="47">
        <v>1285</v>
      </c>
      <c r="C334" s="96">
        <f t="shared" si="24"/>
        <v>156.19496002946821</v>
      </c>
      <c r="D334" s="96">
        <f t="shared" si="25"/>
        <v>62.012939961393393</v>
      </c>
      <c r="E334" s="98">
        <f t="shared" si="26"/>
        <v>62.012939961393393</v>
      </c>
      <c r="F334" s="89"/>
      <c r="G334" s="18"/>
      <c r="H334" s="18"/>
      <c r="I334" s="18"/>
      <c r="J334" s="18"/>
    </row>
    <row r="335" spans="2:10" s="13" customFormat="1" x14ac:dyDescent="0.25">
      <c r="B335" s="48">
        <v>1290</v>
      </c>
      <c r="C335" s="96">
        <f t="shared" si="24"/>
        <v>156.42732103192066</v>
      </c>
      <c r="D335" s="96">
        <f t="shared" si="25"/>
        <v>62.034957680662892</v>
      </c>
      <c r="E335" s="98">
        <f t="shared" si="26"/>
        <v>62.034957680662892</v>
      </c>
      <c r="F335" s="89"/>
      <c r="G335" s="18"/>
      <c r="H335" s="18"/>
      <c r="I335" s="18"/>
      <c r="J335" s="18"/>
    </row>
    <row r="336" spans="2:10" s="13" customFormat="1" x14ac:dyDescent="0.25">
      <c r="B336" s="48">
        <v>1295</v>
      </c>
      <c r="C336" s="96">
        <f t="shared" si="24"/>
        <v>156.65851408968163</v>
      </c>
      <c r="D336" s="96">
        <f t="shared" si="25"/>
        <v>62.056815360204375</v>
      </c>
      <c r="E336" s="99">
        <f t="shared" si="26"/>
        <v>62.056815360204375</v>
      </c>
      <c r="F336" s="89"/>
      <c r="G336" s="18"/>
      <c r="H336" s="18"/>
      <c r="I336" s="18"/>
      <c r="J336" s="18"/>
    </row>
    <row r="337" spans="2:10" s="13" customFormat="1" x14ac:dyDescent="0.25">
      <c r="B337" s="47">
        <v>1300</v>
      </c>
      <c r="C337" s="96">
        <f t="shared" si="24"/>
        <v>156.88854798655166</v>
      </c>
      <c r="D337" s="96">
        <f t="shared" si="25"/>
        <v>62.078514738615254</v>
      </c>
      <c r="E337" s="98">
        <f t="shared" si="26"/>
        <v>62.078514738615254</v>
      </c>
      <c r="F337" s="89"/>
      <c r="G337" s="18"/>
      <c r="H337" s="18"/>
      <c r="I337" s="18"/>
      <c r="J337" s="18"/>
    </row>
    <row r="338" spans="2:10" s="13" customFormat="1" x14ac:dyDescent="0.25">
      <c r="B338" s="48">
        <v>1305</v>
      </c>
      <c r="C338" s="96">
        <f t="shared" si="24"/>
        <v>157.11743141847074</v>
      </c>
      <c r="D338" s="96">
        <f t="shared" si="25"/>
        <v>62.100057529400701</v>
      </c>
      <c r="E338" s="98">
        <f t="shared" si="26"/>
        <v>62.100057529400701</v>
      </c>
      <c r="F338" s="89"/>
      <c r="G338" s="18"/>
      <c r="H338" s="18"/>
      <c r="I338" s="18"/>
      <c r="J338" s="18"/>
    </row>
    <row r="339" spans="2:10" s="13" customFormat="1" x14ac:dyDescent="0.25">
      <c r="B339" s="48">
        <v>1310</v>
      </c>
      <c r="C339" s="96">
        <f t="shared" si="24"/>
        <v>157.34517299461419</v>
      </c>
      <c r="D339" s="96">
        <f t="shared" si="25"/>
        <v>62.121445421424724</v>
      </c>
      <c r="E339" s="98">
        <f t="shared" si="26"/>
        <v>62.121445421424724</v>
      </c>
      <c r="F339" s="89"/>
      <c r="G339" s="18"/>
      <c r="H339" s="18"/>
      <c r="I339" s="18"/>
      <c r="J339" s="18"/>
    </row>
    <row r="340" spans="2:10" s="13" customFormat="1" x14ac:dyDescent="0.25">
      <c r="B340" s="47">
        <v>1315</v>
      </c>
      <c r="C340" s="96">
        <f t="shared" si="24"/>
        <v>157.5717812384718</v>
      </c>
      <c r="D340" s="96">
        <f t="shared" si="25"/>
        <v>62.142680079351493</v>
      </c>
      <c r="E340" s="98">
        <f t="shared" si="26"/>
        <v>62.142680079351493</v>
      </c>
      <c r="F340" s="89"/>
      <c r="G340" s="18"/>
      <c r="H340" s="18"/>
      <c r="I340" s="18"/>
      <c r="J340" s="18"/>
    </row>
    <row r="341" spans="2:10" s="13" customFormat="1" x14ac:dyDescent="0.25">
      <c r="B341" s="48">
        <v>1320</v>
      </c>
      <c r="C341" s="96">
        <f t="shared" si="24"/>
        <v>157.79726458891159</v>
      </c>
      <c r="D341" s="96">
        <f t="shared" si="25"/>
        <v>62.163763144077286</v>
      </c>
      <c r="E341" s="98">
        <f t="shared" si="26"/>
        <v>62.163763144077286</v>
      </c>
      <c r="F341" s="89"/>
      <c r="G341" s="18"/>
      <c r="H341" s="18"/>
      <c r="I341" s="18"/>
      <c r="J341" s="18"/>
    </row>
    <row r="342" spans="2:10" s="13" customFormat="1" x14ac:dyDescent="0.25">
      <c r="B342" s="48">
        <v>1325</v>
      </c>
      <c r="C342" s="96">
        <f t="shared" si="24"/>
        <v>158.02163140122704</v>
      </c>
      <c r="D342" s="96">
        <f t="shared" si="25"/>
        <v>62.184696233153147</v>
      </c>
      <c r="E342" s="98">
        <f t="shared" si="26"/>
        <v>62.184696233153147</v>
      </c>
      <c r="F342" s="89"/>
      <c r="G342" s="18"/>
      <c r="H342" s="18"/>
      <c r="I342" s="18"/>
      <c r="J342" s="18"/>
    </row>
    <row r="343" spans="2:10" s="13" customFormat="1" x14ac:dyDescent="0.25">
      <c r="B343" s="47">
        <v>1330</v>
      </c>
      <c r="C343" s="96">
        <f t="shared" si="24"/>
        <v>158.24488994816934</v>
      </c>
      <c r="D343" s="96">
        <f t="shared" si="25"/>
        <v>62.205480941198573</v>
      </c>
      <c r="E343" s="98">
        <f t="shared" si="26"/>
        <v>62.205480941198573</v>
      </c>
      <c r="F343" s="89"/>
      <c r="G343" s="18"/>
      <c r="H343" s="18"/>
      <c r="I343" s="18"/>
      <c r="J343" s="18"/>
    </row>
    <row r="344" spans="2:10" s="13" customFormat="1" x14ac:dyDescent="0.25">
      <c r="B344" s="48">
        <v>1335</v>
      </c>
      <c r="C344" s="96">
        <f t="shared" si="24"/>
        <v>158.46704842096418</v>
      </c>
      <c r="D344" s="96">
        <f t="shared" si="25"/>
        <v>62.226118840306484</v>
      </c>
      <c r="E344" s="98">
        <f t="shared" si="26"/>
        <v>62.226118840306484</v>
      </c>
      <c r="F344" s="89"/>
      <c r="G344" s="18"/>
      <c r="H344" s="18"/>
      <c r="I344" s="18"/>
      <c r="J344" s="18"/>
    </row>
    <row r="345" spans="2:10" s="13" customFormat="1" x14ac:dyDescent="0.25">
      <c r="B345" s="48">
        <v>1340</v>
      </c>
      <c r="C345" s="96">
        <f t="shared" si="24"/>
        <v>158.68811493031328</v>
      </c>
      <c r="D345" s="96">
        <f t="shared" si="25"/>
        <v>62.246611480439562</v>
      </c>
      <c r="E345" s="99">
        <f t="shared" si="26"/>
        <v>62.246611480439562</v>
      </c>
      <c r="F345" s="89"/>
      <c r="G345" s="18"/>
      <c r="H345" s="18"/>
      <c r="I345" s="18"/>
      <c r="J345" s="18"/>
    </row>
    <row r="346" spans="2:10" s="13" customFormat="1" x14ac:dyDescent="0.25">
      <c r="B346" s="47">
        <v>1345</v>
      </c>
      <c r="C346" s="96">
        <f t="shared" si="24"/>
        <v>158.90809750738185</v>
      </c>
      <c r="D346" s="96">
        <f t="shared" si="25"/>
        <v>62.266960389818323</v>
      </c>
      <c r="E346" s="98">
        <f t="shared" si="26"/>
        <v>62.266960389818323</v>
      </c>
      <c r="F346" s="89"/>
      <c r="G346" s="18"/>
      <c r="H346" s="18"/>
      <c r="I346" s="18"/>
      <c r="J346" s="18"/>
    </row>
    <row r="347" spans="2:10" s="13" customFormat="1" x14ac:dyDescent="0.25">
      <c r="B347" s="48">
        <v>1350</v>
      </c>
      <c r="C347" s="96">
        <f t="shared" si="24"/>
        <v>159.12700410477089</v>
      </c>
      <c r="D347" s="96">
        <f t="shared" si="25"/>
        <v>62.287167075301006</v>
      </c>
      <c r="E347" s="98">
        <f t="shared" si="26"/>
        <v>62.287167075301006</v>
      </c>
      <c r="F347" s="89"/>
      <c r="G347" s="18"/>
      <c r="H347" s="18"/>
      <c r="I347" s="18"/>
      <c r="J347" s="18"/>
    </row>
    <row r="348" spans="2:10" s="13" customFormat="1" x14ac:dyDescent="0.25">
      <c r="B348" s="48">
        <v>1355</v>
      </c>
      <c r="C348" s="96">
        <f t="shared" si="24"/>
        <v>159.34484259747555</v>
      </c>
      <c r="D348" s="96">
        <f t="shared" si="25"/>
        <v>62.307233022755561</v>
      </c>
      <c r="E348" s="98">
        <f t="shared" si="26"/>
        <v>62.307233022755561</v>
      </c>
      <c r="F348" s="89"/>
      <c r="G348" s="18"/>
      <c r="H348" s="18"/>
      <c r="I348" s="18"/>
      <c r="J348" s="18"/>
    </row>
    <row r="349" spans="2:10" s="13" customFormat="1" x14ac:dyDescent="0.25">
      <c r="B349" s="47">
        <v>1360</v>
      </c>
      <c r="C349" s="96">
        <f t="shared" si="24"/>
        <v>159.56162078382965</v>
      </c>
      <c r="D349" s="96">
        <f t="shared" si="25"/>
        <v>62.327159697423816</v>
      </c>
      <c r="E349" s="98">
        <f t="shared" si="26"/>
        <v>62.327159697423816</v>
      </c>
    </row>
    <row r="350" spans="2:10" s="13" customFormat="1" x14ac:dyDescent="0.25">
      <c r="B350" s="48">
        <v>1365</v>
      </c>
      <c r="C350" s="96">
        <f t="shared" si="24"/>
        <v>159.77734638643602</v>
      </c>
      <c r="D350" s="96">
        <f t="shared" si="25"/>
        <v>62.346948544278213</v>
      </c>
      <c r="E350" s="98">
        <f t="shared" si="26"/>
        <v>62.346948544278213</v>
      </c>
    </row>
    <row r="351" spans="2:10" s="13" customFormat="1" x14ac:dyDescent="0.25">
      <c r="B351" s="48">
        <v>1370</v>
      </c>
      <c r="C351" s="96">
        <f t="shared" si="24"/>
        <v>159.99202705308377</v>
      </c>
      <c r="D351" s="96">
        <f t="shared" si="25"/>
        <v>62.366600988371054</v>
      </c>
      <c r="E351" s="98">
        <f t="shared" si="26"/>
        <v>62.366600988371054</v>
      </c>
    </row>
    <row r="352" spans="2:10" s="13" customFormat="1" x14ac:dyDescent="0.25">
      <c r="B352" s="47">
        <v>1375</v>
      </c>
      <c r="C352" s="96">
        <f t="shared" si="24"/>
        <v>160.20567035765202</v>
      </c>
      <c r="D352" s="96">
        <f t="shared" si="25"/>
        <v>62.386118435176577</v>
      </c>
      <c r="E352" s="98">
        <f t="shared" si="26"/>
        <v>62.386118435176577</v>
      </c>
    </row>
    <row r="353" spans="2:5" s="13" customFormat="1" x14ac:dyDescent="0.25">
      <c r="B353" s="48">
        <v>1380</v>
      </c>
      <c r="C353" s="96">
        <f t="shared" si="24"/>
        <v>160.41828380100046</v>
      </c>
      <c r="D353" s="96">
        <f t="shared" si="25"/>
        <v>62.405502270926071</v>
      </c>
      <c r="E353" s="98">
        <f t="shared" si="26"/>
        <v>62.405502270926071</v>
      </c>
    </row>
    <row r="354" spans="2:5" s="13" customFormat="1" x14ac:dyDescent="0.25">
      <c r="B354" s="48">
        <v>1385</v>
      </c>
      <c r="C354" s="96">
        <f t="shared" si="24"/>
        <v>160.6298748118474</v>
      </c>
      <c r="D354" s="96">
        <f t="shared" si="25"/>
        <v>62.424753862936022</v>
      </c>
      <c r="E354" s="99">
        <f t="shared" si="26"/>
        <v>62.424753862936022</v>
      </c>
    </row>
    <row r="355" spans="2:5" s="13" customFormat="1" x14ac:dyDescent="0.25">
      <c r="B355" s="47">
        <v>1390</v>
      </c>
      <c r="C355" s="96">
        <f t="shared" si="24"/>
        <v>160.84045074763489</v>
      </c>
      <c r="D355" s="96">
        <f t="shared" si="25"/>
        <v>62.443874559929704</v>
      </c>
      <c r="E355" s="98">
        <f t="shared" si="26"/>
        <v>62.443874559929704</v>
      </c>
    </row>
    <row r="356" spans="2:5" s="13" customFormat="1" x14ac:dyDescent="0.25">
      <c r="B356" s="48">
        <v>1395</v>
      </c>
      <c r="C356" s="96">
        <f t="shared" si="24"/>
        <v>161.0500188953815</v>
      </c>
      <c r="D356" s="96">
        <f t="shared" si="25"/>
        <v>62.462865692352047</v>
      </c>
      <c r="E356" s="98">
        <f t="shared" si="26"/>
        <v>62.462865692352047</v>
      </c>
    </row>
    <row r="357" spans="2:5" s="13" customFormat="1" x14ac:dyDescent="0.25">
      <c r="B357" s="48">
        <v>1400</v>
      </c>
      <c r="C357" s="96">
        <f t="shared" ref="C357:C358" si="27">Vcmax*(B357-Gammastr)/(B357+Kc*(1+Ko/O))</f>
        <v>161.25858647252298</v>
      </c>
      <c r="D357" s="96">
        <f t="shared" ref="D357:D358" si="28">J*(B357-Gammastr)/(4*B357+8*Gammastr)</f>
        <v>62.481728572678364</v>
      </c>
      <c r="E357" s="98">
        <f t="shared" ref="E357:E358" si="29">MIN(C357,D357)</f>
        <v>62.481728572678364</v>
      </c>
    </row>
    <row r="358" spans="2:5" s="13" customFormat="1" x14ac:dyDescent="0.25">
      <c r="B358" s="47">
        <v>1405</v>
      </c>
      <c r="C358" s="96">
        <f t="shared" si="27"/>
        <v>161.46616062774069</v>
      </c>
      <c r="D358" s="96">
        <f t="shared" si="28"/>
        <v>62.500464495716571</v>
      </c>
      <c r="E358" s="98">
        <f t="shared" si="29"/>
        <v>62.500464495716571</v>
      </c>
    </row>
    <row r="359" spans="2:5" s="84" customFormat="1" ht="15" thickBot="1" x14ac:dyDescent="0.3"/>
    <row r="360" spans="2:5" ht="15" thickTop="1" x14ac:dyDescent="0.25"/>
    <row r="387" spans="2:5" x14ac:dyDescent="0.25">
      <c r="B387" s="100"/>
      <c r="C387" s="1"/>
      <c r="D387" s="1"/>
      <c r="E387" s="1"/>
    </row>
    <row r="388" spans="2:5" x14ac:dyDescent="0.25">
      <c r="B388" s="100"/>
      <c r="C388" s="1"/>
      <c r="D388" s="1"/>
      <c r="E388" s="1"/>
    </row>
    <row r="389" spans="2:5" x14ac:dyDescent="0.25">
      <c r="B389" s="100"/>
      <c r="C389" s="1"/>
      <c r="D389" s="1"/>
      <c r="E389" s="1"/>
    </row>
    <row r="390" spans="2:5" x14ac:dyDescent="0.25">
      <c r="B390" s="100"/>
      <c r="C390" s="1"/>
      <c r="D390" s="1"/>
      <c r="E390" s="1"/>
    </row>
    <row r="391" spans="2:5" x14ac:dyDescent="0.25">
      <c r="B391" s="100"/>
      <c r="C391" s="1"/>
      <c r="D391" s="1"/>
      <c r="E391" s="1"/>
    </row>
    <row r="392" spans="2:5" x14ac:dyDescent="0.25">
      <c r="B392" s="100"/>
      <c r="C392" s="1"/>
      <c r="D392" s="1"/>
      <c r="E392" s="1"/>
    </row>
    <row r="393" spans="2:5" x14ac:dyDescent="0.25">
      <c r="B393" s="100"/>
      <c r="C393" s="1"/>
      <c r="D393" s="1"/>
      <c r="E393" s="1"/>
    </row>
    <row r="394" spans="2:5" x14ac:dyDescent="0.25">
      <c r="B394" s="100"/>
      <c r="C394" s="1"/>
      <c r="D394" s="1"/>
      <c r="E394" s="1"/>
    </row>
    <row r="395" spans="2:5" x14ac:dyDescent="0.25">
      <c r="B395" s="100"/>
      <c r="C395" s="1"/>
      <c r="D395" s="1"/>
      <c r="E395" s="1"/>
    </row>
    <row r="396" spans="2:5" x14ac:dyDescent="0.25">
      <c r="B396" s="100"/>
      <c r="C396" s="1"/>
      <c r="D396" s="1"/>
      <c r="E396" s="1"/>
    </row>
    <row r="397" spans="2:5" x14ac:dyDescent="0.25">
      <c r="B397" s="100"/>
      <c r="C397" s="1"/>
      <c r="D397" s="1"/>
      <c r="E397" s="1"/>
    </row>
    <row r="398" spans="2:5" x14ac:dyDescent="0.25">
      <c r="B398" s="100"/>
      <c r="C398" s="1"/>
      <c r="D398" s="1"/>
      <c r="E398" s="1"/>
    </row>
    <row r="399" spans="2:5" x14ac:dyDescent="0.25">
      <c r="B399" s="100"/>
      <c r="C399" s="1"/>
      <c r="D399" s="1"/>
      <c r="E399" s="1"/>
    </row>
    <row r="400" spans="2:5" x14ac:dyDescent="0.25">
      <c r="B400" s="100"/>
      <c r="C400" s="1"/>
      <c r="D400" s="1"/>
      <c r="E400" s="1"/>
    </row>
    <row r="401" spans="2:5" x14ac:dyDescent="0.25">
      <c r="B401" s="100"/>
      <c r="C401" s="1"/>
      <c r="D401" s="1"/>
      <c r="E401" s="1"/>
    </row>
    <row r="402" spans="2:5" x14ac:dyDescent="0.25">
      <c r="B402" s="100"/>
      <c r="C402" s="1"/>
      <c r="D402" s="1"/>
      <c r="E402" s="1"/>
    </row>
    <row r="403" spans="2:5" x14ac:dyDescent="0.25">
      <c r="B403" s="100"/>
      <c r="C403" s="1"/>
      <c r="D403" s="1"/>
      <c r="E403" s="1"/>
    </row>
    <row r="404" spans="2:5" x14ac:dyDescent="0.25">
      <c r="B404" s="100"/>
      <c r="C404" s="1"/>
      <c r="D404" s="1"/>
      <c r="E404" s="1"/>
    </row>
    <row r="405" spans="2:5" x14ac:dyDescent="0.25">
      <c r="B405" s="100"/>
      <c r="C405" s="1"/>
      <c r="D405" s="1"/>
      <c r="E405" s="1"/>
    </row>
    <row r="406" spans="2:5" x14ac:dyDescent="0.25">
      <c r="B406" s="100"/>
      <c r="C406" s="1"/>
      <c r="D406" s="1"/>
      <c r="E406" s="1"/>
    </row>
    <row r="407" spans="2:5" x14ac:dyDescent="0.25">
      <c r="B407" s="100"/>
      <c r="C407" s="1"/>
      <c r="D407" s="1"/>
      <c r="E407" s="1"/>
    </row>
    <row r="408" spans="2:5" x14ac:dyDescent="0.25">
      <c r="B408" s="100"/>
      <c r="C408" s="1"/>
      <c r="D408" s="1"/>
      <c r="E408" s="1"/>
    </row>
    <row r="409" spans="2:5" x14ac:dyDescent="0.25">
      <c r="B409" s="100"/>
      <c r="C409" s="1"/>
      <c r="D409" s="1"/>
      <c r="E409" s="1"/>
    </row>
    <row r="410" spans="2:5" x14ac:dyDescent="0.25">
      <c r="B410" s="100"/>
      <c r="C410" s="1"/>
      <c r="D410" s="1"/>
      <c r="E410" s="1"/>
    </row>
    <row r="411" spans="2:5" x14ac:dyDescent="0.25">
      <c r="B411" s="100"/>
      <c r="C411" s="1"/>
      <c r="D411" s="1"/>
      <c r="E411" s="1"/>
    </row>
    <row r="412" spans="2:5" x14ac:dyDescent="0.25">
      <c r="B412" s="100"/>
      <c r="C412" s="1"/>
      <c r="D412" s="1"/>
      <c r="E412" s="1"/>
    </row>
    <row r="413" spans="2:5" x14ac:dyDescent="0.25">
      <c r="B413" s="100"/>
      <c r="C413" s="1"/>
      <c r="D413" s="1"/>
      <c r="E413" s="1"/>
    </row>
    <row r="414" spans="2:5" x14ac:dyDescent="0.25">
      <c r="B414" s="100"/>
      <c r="C414" s="1"/>
      <c r="D414" s="1"/>
      <c r="E414" s="1"/>
    </row>
    <row r="415" spans="2:5" x14ac:dyDescent="0.25">
      <c r="B415" s="100"/>
      <c r="C415" s="1"/>
      <c r="D415" s="1"/>
      <c r="E415" s="1"/>
    </row>
    <row r="416" spans="2:5" x14ac:dyDescent="0.25">
      <c r="B416" s="100"/>
      <c r="C416" s="1"/>
      <c r="D416" s="1"/>
      <c r="E416" s="1"/>
    </row>
    <row r="417" spans="2:5" x14ac:dyDescent="0.25">
      <c r="B417" s="100"/>
      <c r="C417" s="1"/>
      <c r="D417" s="1"/>
      <c r="E417" s="1"/>
    </row>
    <row r="418" spans="2:5" x14ac:dyDescent="0.25">
      <c r="B418" s="100"/>
      <c r="C418" s="1"/>
      <c r="D418" s="1"/>
      <c r="E418" s="1"/>
    </row>
    <row r="419" spans="2:5" x14ac:dyDescent="0.25">
      <c r="B419" s="100"/>
      <c r="C419" s="1"/>
      <c r="D419" s="1"/>
      <c r="E419" s="1"/>
    </row>
    <row r="420" spans="2:5" x14ac:dyDescent="0.25">
      <c r="B420" s="100"/>
      <c r="C420" s="1"/>
      <c r="D420" s="1"/>
      <c r="E420" s="1"/>
    </row>
    <row r="421" spans="2:5" x14ac:dyDescent="0.25">
      <c r="B421" s="100"/>
      <c r="C421" s="1"/>
      <c r="D421" s="1"/>
      <c r="E421" s="1"/>
    </row>
    <row r="422" spans="2:5" x14ac:dyDescent="0.25">
      <c r="B422" s="100"/>
      <c r="C422" s="1"/>
      <c r="D422" s="1"/>
      <c r="E422" s="1"/>
    </row>
    <row r="423" spans="2:5" x14ac:dyDescent="0.25">
      <c r="B423" s="100"/>
      <c r="C423" s="1"/>
      <c r="D423" s="1"/>
      <c r="E423" s="1"/>
    </row>
    <row r="424" spans="2:5" x14ac:dyDescent="0.25">
      <c r="B424" s="100"/>
      <c r="C424" s="1"/>
      <c r="D424" s="1"/>
      <c r="E424" s="1"/>
    </row>
    <row r="425" spans="2:5" x14ac:dyDescent="0.25">
      <c r="B425" s="100"/>
      <c r="C425" s="1"/>
      <c r="D425" s="1"/>
      <c r="E425" s="1"/>
    </row>
    <row r="426" spans="2:5" x14ac:dyDescent="0.25">
      <c r="B426" s="100"/>
      <c r="C426" s="1"/>
      <c r="D426" s="1"/>
      <c r="E426" s="1"/>
    </row>
    <row r="427" spans="2:5" x14ac:dyDescent="0.25">
      <c r="B427" s="100"/>
      <c r="C427" s="1"/>
      <c r="D427" s="1"/>
      <c r="E427" s="1"/>
    </row>
    <row r="428" spans="2:5" x14ac:dyDescent="0.25">
      <c r="B428" s="100"/>
      <c r="C428" s="1"/>
      <c r="D428" s="1"/>
      <c r="E428" s="1"/>
    </row>
    <row r="429" spans="2:5" x14ac:dyDescent="0.25">
      <c r="B429" s="100"/>
      <c r="C429" s="1"/>
      <c r="D429" s="1"/>
      <c r="E429" s="1"/>
    </row>
    <row r="430" spans="2:5" x14ac:dyDescent="0.25">
      <c r="B430" s="100"/>
      <c r="C430" s="1"/>
      <c r="D430" s="1"/>
      <c r="E430" s="1"/>
    </row>
    <row r="431" spans="2:5" x14ac:dyDescent="0.25">
      <c r="B431" s="100"/>
      <c r="C431" s="1"/>
      <c r="D431" s="1"/>
      <c r="E431" s="1"/>
    </row>
    <row r="432" spans="2:5" x14ac:dyDescent="0.25">
      <c r="B432" s="100"/>
      <c r="C432" s="1"/>
      <c r="D432" s="1"/>
      <c r="E432" s="1"/>
    </row>
    <row r="433" spans="2:5" x14ac:dyDescent="0.25">
      <c r="B433" s="100"/>
      <c r="C433" s="1"/>
      <c r="D433" s="1"/>
      <c r="E433" s="1"/>
    </row>
    <row r="434" spans="2:5" x14ac:dyDescent="0.25">
      <c r="B434" s="100"/>
      <c r="C434" s="1"/>
      <c r="D434" s="1"/>
      <c r="E434" s="1"/>
    </row>
    <row r="435" spans="2:5" x14ac:dyDescent="0.25">
      <c r="B435" s="100"/>
      <c r="C435" s="1"/>
      <c r="D435" s="1"/>
      <c r="E435" s="1"/>
    </row>
    <row r="436" spans="2:5" x14ac:dyDescent="0.25">
      <c r="B436" s="100"/>
      <c r="C436" s="1"/>
      <c r="D436" s="1"/>
      <c r="E436" s="1"/>
    </row>
    <row r="437" spans="2:5" x14ac:dyDescent="0.25">
      <c r="B437" s="100"/>
      <c r="C437" s="1"/>
      <c r="D437" s="1"/>
      <c r="E437" s="1"/>
    </row>
    <row r="438" spans="2:5" x14ac:dyDescent="0.25">
      <c r="B438" s="100"/>
      <c r="C438" s="1"/>
      <c r="D438" s="1"/>
      <c r="E438" s="1"/>
    </row>
    <row r="439" spans="2:5" x14ac:dyDescent="0.25">
      <c r="B439" s="100"/>
      <c r="C439" s="1"/>
      <c r="D439" s="1"/>
      <c r="E439" s="1"/>
    </row>
    <row r="440" spans="2:5" x14ac:dyDescent="0.25">
      <c r="B440" s="100"/>
      <c r="C440" s="1"/>
      <c r="D440" s="1"/>
      <c r="E440" s="1"/>
    </row>
    <row r="441" spans="2:5" x14ac:dyDescent="0.25">
      <c r="B441" s="100"/>
      <c r="C441" s="1"/>
      <c r="D441" s="1"/>
      <c r="E441" s="1"/>
    </row>
    <row r="442" spans="2:5" x14ac:dyDescent="0.25">
      <c r="B442" s="100"/>
      <c r="C442" s="1"/>
      <c r="D442" s="1"/>
      <c r="E442" s="1"/>
    </row>
    <row r="443" spans="2:5" x14ac:dyDescent="0.25">
      <c r="B443" s="100"/>
      <c r="C443" s="1"/>
      <c r="D443" s="1"/>
      <c r="E443" s="1"/>
    </row>
    <row r="444" spans="2:5" x14ac:dyDescent="0.25">
      <c r="B444" s="100"/>
      <c r="C444" s="1"/>
      <c r="D444" s="1"/>
      <c r="E444" s="1"/>
    </row>
    <row r="445" spans="2:5" x14ac:dyDescent="0.25">
      <c r="B445" s="100"/>
      <c r="C445" s="1"/>
      <c r="D445" s="1"/>
      <c r="E445" s="1"/>
    </row>
    <row r="446" spans="2:5" x14ac:dyDescent="0.25">
      <c r="B446" s="100"/>
      <c r="C446" s="1"/>
      <c r="D446" s="1"/>
      <c r="E446" s="1"/>
    </row>
    <row r="447" spans="2:5" x14ac:dyDescent="0.25">
      <c r="B447" s="100"/>
      <c r="C447" s="1"/>
      <c r="D447" s="1"/>
      <c r="E447" s="1"/>
    </row>
    <row r="448" spans="2:5" x14ac:dyDescent="0.25">
      <c r="B448" s="100"/>
      <c r="C448" s="1"/>
      <c r="D448" s="1"/>
      <c r="E448" s="1"/>
    </row>
    <row r="449" spans="2:5" x14ac:dyDescent="0.25">
      <c r="B449" s="100"/>
      <c r="C449" s="1"/>
      <c r="D449" s="1"/>
      <c r="E449" s="1"/>
    </row>
    <row r="450" spans="2:5" x14ac:dyDescent="0.25">
      <c r="B450" s="100"/>
      <c r="C450" s="1"/>
      <c r="D450" s="1"/>
      <c r="E450" s="1"/>
    </row>
    <row r="451" spans="2:5" x14ac:dyDescent="0.25">
      <c r="B451" s="100"/>
      <c r="C451" s="1"/>
      <c r="D451" s="1"/>
      <c r="E451" s="1"/>
    </row>
    <row r="452" spans="2:5" x14ac:dyDescent="0.25">
      <c r="B452" s="100"/>
      <c r="C452" s="1"/>
      <c r="D452" s="1"/>
      <c r="E452" s="1"/>
    </row>
    <row r="453" spans="2:5" x14ac:dyDescent="0.25">
      <c r="B453" s="100"/>
      <c r="C453" s="1"/>
      <c r="D453" s="1"/>
      <c r="E453" s="1"/>
    </row>
    <row r="454" spans="2:5" x14ac:dyDescent="0.25">
      <c r="B454" s="100"/>
      <c r="C454" s="1"/>
      <c r="D454" s="1"/>
      <c r="E454" s="1"/>
    </row>
    <row r="455" spans="2:5" x14ac:dyDescent="0.25">
      <c r="B455" s="100"/>
      <c r="C455" s="1"/>
      <c r="D455" s="1"/>
      <c r="E455" s="1"/>
    </row>
    <row r="456" spans="2:5" x14ac:dyDescent="0.25">
      <c r="B456" s="100"/>
      <c r="C456" s="1"/>
      <c r="D456" s="1"/>
      <c r="E456" s="1"/>
    </row>
    <row r="457" spans="2:5" x14ac:dyDescent="0.25">
      <c r="B457" s="100"/>
      <c r="C457" s="1"/>
      <c r="D457" s="1"/>
      <c r="E457" s="1"/>
    </row>
    <row r="458" spans="2:5" x14ac:dyDescent="0.25">
      <c r="B458" s="100"/>
      <c r="C458" s="1"/>
      <c r="D458" s="1"/>
      <c r="E458" s="1"/>
    </row>
    <row r="459" spans="2:5" x14ac:dyDescent="0.25">
      <c r="B459" s="100"/>
      <c r="C459" s="1"/>
      <c r="D459" s="1"/>
      <c r="E459" s="1"/>
    </row>
    <row r="460" spans="2:5" x14ac:dyDescent="0.25">
      <c r="B460" s="100"/>
      <c r="C460" s="1"/>
      <c r="D460" s="1"/>
      <c r="E460" s="1"/>
    </row>
    <row r="461" spans="2:5" x14ac:dyDescent="0.25">
      <c r="B461" s="100"/>
      <c r="C461" s="1"/>
      <c r="D461" s="1"/>
      <c r="E461" s="1"/>
    </row>
    <row r="462" spans="2:5" x14ac:dyDescent="0.25">
      <c r="B462" s="100"/>
      <c r="C462" s="1"/>
      <c r="D462" s="1"/>
      <c r="E462" s="1"/>
    </row>
    <row r="463" spans="2:5" x14ac:dyDescent="0.25">
      <c r="B463" s="100"/>
      <c r="C463" s="1"/>
      <c r="D463" s="1"/>
      <c r="E463" s="1"/>
    </row>
    <row r="464" spans="2:5" x14ac:dyDescent="0.25">
      <c r="B464" s="100"/>
      <c r="C464" s="1"/>
      <c r="D464" s="1"/>
      <c r="E464" s="1"/>
    </row>
    <row r="465" spans="2:5" x14ac:dyDescent="0.25">
      <c r="B465" s="100"/>
      <c r="C465" s="1"/>
      <c r="D465" s="1"/>
      <c r="E465" s="1"/>
    </row>
    <row r="466" spans="2:5" x14ac:dyDescent="0.25">
      <c r="B466" s="100"/>
      <c r="C466" s="1"/>
      <c r="D466" s="1"/>
      <c r="E466" s="1"/>
    </row>
    <row r="467" spans="2:5" x14ac:dyDescent="0.25">
      <c r="B467" s="100"/>
      <c r="C467" s="1"/>
      <c r="D467" s="1"/>
      <c r="E467" s="1"/>
    </row>
    <row r="468" spans="2:5" x14ac:dyDescent="0.25">
      <c r="B468" s="100"/>
      <c r="C468" s="1"/>
      <c r="D468" s="1"/>
      <c r="E468" s="1"/>
    </row>
    <row r="469" spans="2:5" x14ac:dyDescent="0.25">
      <c r="B469" s="100"/>
      <c r="C469" s="1"/>
      <c r="D469" s="1"/>
      <c r="E469" s="1"/>
    </row>
    <row r="470" spans="2:5" x14ac:dyDescent="0.25">
      <c r="B470" s="100"/>
      <c r="C470" s="1"/>
      <c r="D470" s="1"/>
      <c r="E470" s="1"/>
    </row>
    <row r="471" spans="2:5" x14ac:dyDescent="0.25">
      <c r="B471" s="100"/>
      <c r="C471" s="1"/>
      <c r="D471" s="1"/>
      <c r="E471" s="1"/>
    </row>
    <row r="472" spans="2:5" x14ac:dyDescent="0.25">
      <c r="B472" s="100"/>
      <c r="C472" s="1"/>
      <c r="D472" s="1"/>
      <c r="E472" s="1"/>
    </row>
    <row r="473" spans="2:5" x14ac:dyDescent="0.25">
      <c r="B473" s="100"/>
      <c r="C473" s="1"/>
      <c r="D473" s="1"/>
      <c r="E473" s="1"/>
    </row>
    <row r="474" spans="2:5" x14ac:dyDescent="0.25">
      <c r="B474" s="100"/>
      <c r="C474" s="1"/>
      <c r="D474" s="1"/>
      <c r="E474" s="1"/>
    </row>
    <row r="475" spans="2:5" x14ac:dyDescent="0.25">
      <c r="B475" s="100"/>
      <c r="C475" s="1"/>
      <c r="D475" s="1"/>
      <c r="E475" s="1"/>
    </row>
    <row r="476" spans="2:5" x14ac:dyDescent="0.25">
      <c r="B476" s="100"/>
      <c r="C476" s="1"/>
      <c r="D476" s="1"/>
      <c r="E476" s="1"/>
    </row>
    <row r="477" spans="2:5" x14ac:dyDescent="0.25">
      <c r="B477" s="100"/>
      <c r="C477" s="1"/>
      <c r="D477" s="1"/>
      <c r="E477" s="1"/>
    </row>
    <row r="478" spans="2:5" x14ac:dyDescent="0.25">
      <c r="B478" s="100"/>
      <c r="C478" s="1"/>
      <c r="D478" s="1"/>
      <c r="E478" s="1"/>
    </row>
    <row r="479" spans="2:5" x14ac:dyDescent="0.25">
      <c r="B479" s="100"/>
      <c r="C479" s="1"/>
      <c r="D479" s="1"/>
      <c r="E479" s="1"/>
    </row>
    <row r="480" spans="2:5" x14ac:dyDescent="0.25">
      <c r="B480" s="100"/>
      <c r="C480" s="1"/>
      <c r="D480" s="1"/>
      <c r="E480" s="1"/>
    </row>
    <row r="481" spans="2:5" x14ac:dyDescent="0.25">
      <c r="B481" s="100"/>
      <c r="C481" s="1"/>
      <c r="D481" s="1"/>
      <c r="E481" s="1"/>
    </row>
    <row r="482" spans="2:5" x14ac:dyDescent="0.25">
      <c r="B482" s="100"/>
      <c r="C482" s="1"/>
      <c r="D482" s="1"/>
      <c r="E482" s="1"/>
    </row>
    <row r="483" spans="2:5" x14ac:dyDescent="0.25">
      <c r="B483" s="100"/>
      <c r="C483" s="1"/>
      <c r="D483" s="1"/>
      <c r="E483" s="1"/>
    </row>
    <row r="484" spans="2:5" x14ac:dyDescent="0.25">
      <c r="B484" s="100"/>
      <c r="C484" s="1"/>
      <c r="D484" s="1"/>
      <c r="E484" s="1"/>
    </row>
    <row r="485" spans="2:5" x14ac:dyDescent="0.25">
      <c r="B485" s="100"/>
      <c r="C485" s="1"/>
      <c r="D485" s="1"/>
      <c r="E485" s="1"/>
    </row>
    <row r="486" spans="2:5" x14ac:dyDescent="0.25">
      <c r="B486" s="100"/>
      <c r="C486" s="1"/>
      <c r="D486" s="1"/>
      <c r="E486" s="1"/>
    </row>
    <row r="487" spans="2:5" x14ac:dyDescent="0.25">
      <c r="B487" s="100"/>
      <c r="C487" s="1"/>
      <c r="D487" s="1"/>
      <c r="E487" s="1"/>
    </row>
    <row r="488" spans="2:5" x14ac:dyDescent="0.25">
      <c r="B488" s="100"/>
      <c r="C488" s="1"/>
      <c r="D488" s="1"/>
      <c r="E488" s="1"/>
    </row>
    <row r="489" spans="2:5" x14ac:dyDescent="0.25">
      <c r="B489" s="100"/>
      <c r="C489" s="1"/>
      <c r="D489" s="1"/>
      <c r="E489" s="1"/>
    </row>
    <row r="490" spans="2:5" x14ac:dyDescent="0.25">
      <c r="B490" s="100"/>
      <c r="C490" s="1"/>
      <c r="D490" s="1"/>
      <c r="E490" s="1"/>
    </row>
    <row r="491" spans="2:5" x14ac:dyDescent="0.25">
      <c r="B491" s="100"/>
      <c r="C491" s="1"/>
      <c r="D491" s="1"/>
      <c r="E491" s="1"/>
    </row>
    <row r="492" spans="2:5" x14ac:dyDescent="0.25">
      <c r="B492" s="100"/>
      <c r="C492" s="1"/>
      <c r="D492" s="1"/>
      <c r="E492" s="1"/>
    </row>
    <row r="493" spans="2:5" x14ac:dyDescent="0.25">
      <c r="B493" s="100"/>
      <c r="C493" s="1"/>
      <c r="D493" s="1"/>
      <c r="E493" s="1"/>
    </row>
    <row r="494" spans="2:5" x14ac:dyDescent="0.25">
      <c r="B494" s="100"/>
      <c r="C494" s="1"/>
      <c r="D494" s="1"/>
      <c r="E494" s="1"/>
    </row>
    <row r="495" spans="2:5" x14ac:dyDescent="0.25">
      <c r="B495" s="100"/>
      <c r="C495" s="1"/>
      <c r="D495" s="1"/>
      <c r="E495" s="1"/>
    </row>
    <row r="496" spans="2:5" x14ac:dyDescent="0.25">
      <c r="B496" s="100"/>
      <c r="C496" s="1"/>
      <c r="D496" s="1"/>
      <c r="E496" s="1"/>
    </row>
    <row r="497" spans="2:5" x14ac:dyDescent="0.25">
      <c r="B497" s="100"/>
      <c r="C497" s="1"/>
      <c r="D497" s="1"/>
      <c r="E497" s="1"/>
    </row>
    <row r="498" spans="2:5" x14ac:dyDescent="0.25">
      <c r="B498" s="100"/>
      <c r="C498" s="1"/>
      <c r="D498" s="1"/>
      <c r="E498" s="1"/>
    </row>
    <row r="499" spans="2:5" x14ac:dyDescent="0.25">
      <c r="B499" s="100"/>
      <c r="C499" s="1"/>
      <c r="D499" s="1"/>
      <c r="E499" s="1"/>
    </row>
    <row r="500" spans="2:5" x14ac:dyDescent="0.25">
      <c r="B500" s="100"/>
      <c r="C500" s="1"/>
      <c r="D500" s="1"/>
      <c r="E500" s="1"/>
    </row>
    <row r="501" spans="2:5" x14ac:dyDescent="0.25">
      <c r="B501" s="100"/>
      <c r="C501" s="1"/>
      <c r="D501" s="1"/>
      <c r="E501" s="1"/>
    </row>
    <row r="502" spans="2:5" x14ac:dyDescent="0.25">
      <c r="B502" s="100"/>
      <c r="C502" s="1"/>
      <c r="D502" s="1"/>
      <c r="E502" s="1"/>
    </row>
    <row r="503" spans="2:5" x14ac:dyDescent="0.25">
      <c r="B503" s="100"/>
      <c r="C503" s="1"/>
      <c r="D503" s="1"/>
      <c r="E503" s="1"/>
    </row>
    <row r="504" spans="2:5" x14ac:dyDescent="0.25">
      <c r="B504" s="100"/>
      <c r="C504" s="1"/>
      <c r="D504" s="1"/>
      <c r="E504" s="1"/>
    </row>
    <row r="505" spans="2:5" x14ac:dyDescent="0.25">
      <c r="B505" s="100"/>
      <c r="C505" s="1"/>
      <c r="D505" s="1"/>
      <c r="E505" s="1"/>
    </row>
    <row r="506" spans="2:5" x14ac:dyDescent="0.25">
      <c r="B506" s="100"/>
      <c r="C506" s="1"/>
      <c r="D506" s="1"/>
      <c r="E506" s="1"/>
    </row>
    <row r="507" spans="2:5" x14ac:dyDescent="0.25">
      <c r="B507" s="100"/>
      <c r="C507" s="1"/>
      <c r="D507" s="1"/>
      <c r="E507" s="1"/>
    </row>
    <row r="508" spans="2:5" x14ac:dyDescent="0.25">
      <c r="B508" s="100"/>
      <c r="C508" s="1"/>
      <c r="D508" s="1"/>
      <c r="E508" s="1"/>
    </row>
    <row r="509" spans="2:5" x14ac:dyDescent="0.25">
      <c r="B509" s="100"/>
      <c r="C509" s="1"/>
      <c r="D509" s="1"/>
      <c r="E509" s="1"/>
    </row>
    <row r="510" spans="2:5" x14ac:dyDescent="0.25">
      <c r="B510" s="100"/>
      <c r="C510" s="1"/>
      <c r="D510" s="1"/>
      <c r="E510" s="1"/>
    </row>
    <row r="511" spans="2:5" x14ac:dyDescent="0.25">
      <c r="B511" s="100"/>
      <c r="C511" s="1"/>
      <c r="D511" s="1"/>
      <c r="E511" s="1"/>
    </row>
    <row r="512" spans="2:5" x14ac:dyDescent="0.25">
      <c r="B512" s="100"/>
      <c r="C512" s="1"/>
      <c r="D512" s="1"/>
      <c r="E512" s="1"/>
    </row>
    <row r="513" spans="2:5" x14ac:dyDescent="0.25">
      <c r="B513" s="100"/>
      <c r="C513" s="1"/>
      <c r="D513" s="1"/>
      <c r="E513" s="1"/>
    </row>
    <row r="514" spans="2:5" x14ac:dyDescent="0.25">
      <c r="B514" s="100"/>
      <c r="C514" s="1"/>
      <c r="D514" s="1"/>
      <c r="E514" s="1"/>
    </row>
    <row r="515" spans="2:5" x14ac:dyDescent="0.25">
      <c r="B515" s="100"/>
      <c r="C515" s="1"/>
      <c r="D515" s="1"/>
      <c r="E515" s="1"/>
    </row>
    <row r="516" spans="2:5" x14ac:dyDescent="0.25">
      <c r="B516" s="100"/>
      <c r="C516" s="1"/>
      <c r="D516" s="1"/>
      <c r="E516" s="1"/>
    </row>
    <row r="517" spans="2:5" x14ac:dyDescent="0.25">
      <c r="B517" s="100"/>
      <c r="C517" s="1"/>
      <c r="D517" s="1"/>
      <c r="E517" s="1"/>
    </row>
    <row r="518" spans="2:5" x14ac:dyDescent="0.25">
      <c r="B518" s="100"/>
      <c r="C518" s="1"/>
      <c r="D518" s="1"/>
      <c r="E518" s="1"/>
    </row>
    <row r="519" spans="2:5" x14ac:dyDescent="0.25">
      <c r="B519" s="100"/>
      <c r="C519" s="1"/>
      <c r="D519" s="1"/>
      <c r="E519" s="1"/>
    </row>
    <row r="520" spans="2:5" x14ac:dyDescent="0.25">
      <c r="B520" s="100"/>
      <c r="C520" s="1"/>
      <c r="D520" s="1"/>
      <c r="E520" s="1"/>
    </row>
    <row r="521" spans="2:5" x14ac:dyDescent="0.25">
      <c r="B521" s="100"/>
      <c r="C521" s="1"/>
      <c r="D521" s="1"/>
      <c r="E521" s="1"/>
    </row>
    <row r="522" spans="2:5" x14ac:dyDescent="0.25">
      <c r="B522" s="100"/>
      <c r="C522" s="1"/>
      <c r="D522" s="1"/>
      <c r="E522" s="1"/>
    </row>
    <row r="523" spans="2:5" x14ac:dyDescent="0.25">
      <c r="B523" s="100"/>
      <c r="C523" s="1"/>
      <c r="D523" s="1"/>
      <c r="E523" s="1"/>
    </row>
    <row r="524" spans="2:5" x14ac:dyDescent="0.25">
      <c r="B524" s="100"/>
      <c r="C524" s="1"/>
      <c r="D524" s="1"/>
      <c r="E524" s="1"/>
    </row>
    <row r="525" spans="2:5" x14ac:dyDescent="0.25">
      <c r="B525" s="100"/>
      <c r="C525" s="1"/>
      <c r="D525" s="1"/>
      <c r="E525" s="1"/>
    </row>
    <row r="526" spans="2:5" x14ac:dyDescent="0.25">
      <c r="B526" s="100"/>
      <c r="C526" s="1"/>
      <c r="D526" s="1"/>
      <c r="E526" s="1"/>
    </row>
    <row r="527" spans="2:5" x14ac:dyDescent="0.25">
      <c r="B527" s="100"/>
      <c r="C527" s="1"/>
      <c r="D527" s="1"/>
      <c r="E527" s="1"/>
    </row>
    <row r="528" spans="2:5" x14ac:dyDescent="0.25">
      <c r="B528" s="100"/>
      <c r="C528" s="1"/>
      <c r="D528" s="1"/>
      <c r="E528" s="1"/>
    </row>
    <row r="529" spans="2:5" x14ac:dyDescent="0.25">
      <c r="B529" s="100"/>
      <c r="C529" s="1"/>
      <c r="D529" s="1"/>
      <c r="E529" s="1"/>
    </row>
    <row r="530" spans="2:5" x14ac:dyDescent="0.25">
      <c r="B530" s="100"/>
      <c r="C530" s="1"/>
      <c r="D530" s="1"/>
      <c r="E530" s="1"/>
    </row>
    <row r="531" spans="2:5" x14ac:dyDescent="0.25">
      <c r="B531" s="100"/>
      <c r="C531" s="1"/>
      <c r="D531" s="1"/>
      <c r="E531" s="1"/>
    </row>
    <row r="532" spans="2:5" x14ac:dyDescent="0.25">
      <c r="B532" s="100"/>
      <c r="C532" s="1"/>
      <c r="D532" s="1"/>
      <c r="E532" s="1"/>
    </row>
    <row r="533" spans="2:5" x14ac:dyDescent="0.25">
      <c r="B533" s="100"/>
      <c r="C533" s="1"/>
      <c r="D533" s="1"/>
      <c r="E533" s="1"/>
    </row>
    <row r="534" spans="2:5" x14ac:dyDescent="0.25">
      <c r="B534" s="100"/>
      <c r="C534" s="1"/>
      <c r="D534" s="1"/>
      <c r="E534" s="1"/>
    </row>
    <row r="535" spans="2:5" x14ac:dyDescent="0.25">
      <c r="B535" s="100"/>
      <c r="C535" s="1"/>
      <c r="D535" s="1"/>
      <c r="E535" s="1"/>
    </row>
    <row r="536" spans="2:5" x14ac:dyDescent="0.25">
      <c r="B536" s="100"/>
      <c r="C536" s="1"/>
      <c r="D536" s="1"/>
      <c r="E536" s="1"/>
    </row>
  </sheetData>
  <protectedRanges>
    <protectedRange sqref="C33:C45" name="Values_4"/>
    <protectedRange sqref="P20:P22" name="Solver values_1"/>
    <protectedRange sqref="B20:C31" name="Values_4_2"/>
  </protectedRanges>
  <mergeCells count="6">
    <mergeCell ref="O35:U35"/>
    <mergeCell ref="A2:D3"/>
    <mergeCell ref="A10:D10"/>
    <mergeCell ref="H18:I18"/>
    <mergeCell ref="J18:L18"/>
    <mergeCell ref="O18:R18"/>
  </mergeCells>
  <phoneticPr fontId="2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_xludf.expand">
                <anchor moveWithCells="1" sizeWithCells="1">
                  <from>
                    <xdr:col>5</xdr:col>
                    <xdr:colOff>99060</xdr:colOff>
                    <xdr:row>75</xdr:row>
                    <xdr:rowOff>175260</xdr:rowOff>
                  </from>
                  <to>
                    <xdr:col>6</xdr:col>
                    <xdr:colOff>335280</xdr:colOff>
                    <xdr:row>77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_xludf.hide">
                <anchor moveWithCells="1" sizeWithCells="1">
                  <from>
                    <xdr:col>6</xdr:col>
                    <xdr:colOff>396240</xdr:colOff>
                    <xdr:row>75</xdr:row>
                    <xdr:rowOff>175260</xdr:rowOff>
                  </from>
                  <to>
                    <xdr:col>7</xdr:col>
                    <xdr:colOff>601980</xdr:colOff>
                    <xdr:row>77</xdr:row>
                    <xdr:rowOff>53340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10</vt:i4>
      </vt:variant>
    </vt:vector>
  </HeadingPairs>
  <TitlesOfParts>
    <vt:vector size="14" baseType="lpstr">
      <vt:lpstr>Sensitivity Report 1</vt:lpstr>
      <vt:lpstr>Limits Report 1</vt:lpstr>
      <vt:lpstr>Answer Report 1</vt:lpstr>
      <vt:lpstr>nph14260-supp-002</vt:lpstr>
      <vt:lpstr>CCtr</vt:lpstr>
      <vt:lpstr>Gammastr</vt:lpstr>
      <vt:lpstr>J</vt:lpstr>
      <vt:lpstr>Kc</vt:lpstr>
      <vt:lpstr>Ko</vt:lpstr>
      <vt:lpstr>O</vt:lpstr>
      <vt:lpstr>Rd</vt:lpstr>
      <vt:lpstr>SSE</vt:lpstr>
      <vt:lpstr>Tau</vt:lpstr>
      <vt:lpstr>Vcmax</vt:lpstr>
    </vt:vector>
  </TitlesOfParts>
  <Company>LUIS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moualeu</dc:creator>
  <cp:lastModifiedBy>DELL</cp:lastModifiedBy>
  <dcterms:created xsi:type="dcterms:W3CDTF">2016-02-08T13:51:52Z</dcterms:created>
  <dcterms:modified xsi:type="dcterms:W3CDTF">2025-09-17T15:34:38Z</dcterms:modified>
</cp:coreProperties>
</file>