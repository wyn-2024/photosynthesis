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06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P29" i="1"/>
  <c r="AO29" i="1"/>
  <c r="AK29" i="1"/>
  <c r="AI29" i="1"/>
  <c r="M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AJ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S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AJ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AZ22" i="1" s="1"/>
  <c r="BB22" i="1"/>
  <c r="AX22" i="1"/>
  <c r="AU22" i="1"/>
  <c r="AO22" i="1"/>
  <c r="AP22" i="1" s="1"/>
  <c r="AK22" i="1"/>
  <c r="AI22" i="1"/>
  <c r="H22" i="1" s="1"/>
  <c r="X22" i="1"/>
  <c r="W22" i="1"/>
  <c r="V22" i="1"/>
  <c r="O22" i="1"/>
  <c r="M22" i="1"/>
  <c r="J22" i="1"/>
  <c r="I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AJ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R25" i="1" l="1"/>
  <c r="AW25" i="1"/>
  <c r="R17" i="1"/>
  <c r="AW17" i="1"/>
  <c r="R28" i="1"/>
  <c r="AW28" i="1"/>
  <c r="I17" i="1"/>
  <c r="AX17" i="1" s="1"/>
  <c r="BA17" i="1" s="1"/>
  <c r="H17" i="1"/>
  <c r="J17" i="1"/>
  <c r="AJ17" i="1"/>
  <c r="M17" i="1"/>
  <c r="AW18" i="1"/>
  <c r="AY18" i="1" s="1"/>
  <c r="R18" i="1"/>
  <c r="R22" i="1"/>
  <c r="AW22" i="1"/>
  <c r="AY22" i="1" s="1"/>
  <c r="AY24" i="1"/>
  <c r="R20" i="1"/>
  <c r="AW20" i="1"/>
  <c r="AY20" i="1" s="1"/>
  <c r="BA22" i="1"/>
  <c r="AY28" i="1"/>
  <c r="R21" i="1"/>
  <c r="AW21" i="1"/>
  <c r="I26" i="1"/>
  <c r="AX26" i="1" s="1"/>
  <c r="AJ26" i="1"/>
  <c r="J26" i="1"/>
  <c r="H26" i="1"/>
  <c r="M26" i="1"/>
  <c r="R24" i="1"/>
  <c r="AW24" i="1"/>
  <c r="M30" i="1"/>
  <c r="H30" i="1"/>
  <c r="I30" i="1"/>
  <c r="AX30" i="1" s="1"/>
  <c r="J30" i="1"/>
  <c r="AJ30" i="1"/>
  <c r="AW23" i="1"/>
  <c r="AY23" i="1" s="1"/>
  <c r="R23" i="1"/>
  <c r="AW29" i="1"/>
  <c r="R29" i="1"/>
  <c r="AY19" i="1"/>
  <c r="Z22" i="1"/>
  <c r="AY30" i="1"/>
  <c r="R19" i="1"/>
  <c r="AW19" i="1"/>
  <c r="R27" i="1"/>
  <c r="AW27" i="1"/>
  <c r="AY27" i="1" s="1"/>
  <c r="J25" i="1"/>
  <c r="AJ25" i="1"/>
  <c r="H25" i="1"/>
  <c r="M25" i="1"/>
  <c r="I25" i="1"/>
  <c r="AX25" i="1" s="1"/>
  <c r="BA25" i="1" s="1"/>
  <c r="AY21" i="1"/>
  <c r="AY25" i="1"/>
  <c r="AW26" i="1"/>
  <c r="AY26" i="1" s="1"/>
  <c r="R26" i="1"/>
  <c r="AY29" i="1"/>
  <c r="AY17" i="1"/>
  <c r="AW30" i="1"/>
  <c r="R30" i="1"/>
  <c r="J21" i="1"/>
  <c r="I21" i="1"/>
  <c r="AX21" i="1" s="1"/>
  <c r="BA21" i="1" s="1"/>
  <c r="I29" i="1"/>
  <c r="AX29" i="1" s="1"/>
  <c r="BA29" i="1" s="1"/>
  <c r="AJ21" i="1"/>
  <c r="J20" i="1"/>
  <c r="H29" i="1"/>
  <c r="H28" i="1"/>
  <c r="I28" i="1"/>
  <c r="AX28" i="1" s="1"/>
  <c r="J28" i="1"/>
  <c r="I18" i="1"/>
  <c r="AX18" i="1" s="1"/>
  <c r="J23" i="1"/>
  <c r="AJ29" i="1"/>
  <c r="M20" i="1"/>
  <c r="I24" i="1"/>
  <c r="AX24" i="1" s="1"/>
  <c r="BA24" i="1" s="1"/>
  <c r="J19" i="1"/>
  <c r="M24" i="1"/>
  <c r="I23" i="1"/>
  <c r="AX23" i="1" s="1"/>
  <c r="J18" i="1"/>
  <c r="AJ27" i="1"/>
  <c r="H20" i="1"/>
  <c r="AJ24" i="1"/>
  <c r="J29" i="1"/>
  <c r="AJ18" i="1"/>
  <c r="H23" i="1"/>
  <c r="AJ22" i="1"/>
  <c r="H27" i="1"/>
  <c r="M28" i="1"/>
  <c r="I20" i="1"/>
  <c r="AX20" i="1" s="1"/>
  <c r="BA20" i="1" s="1"/>
  <c r="I19" i="1"/>
  <c r="AX19" i="1" s="1"/>
  <c r="BA19" i="1" s="1"/>
  <c r="M23" i="1"/>
  <c r="I27" i="1"/>
  <c r="AX27" i="1" s="1"/>
  <c r="H21" i="1"/>
  <c r="H19" i="1"/>
  <c r="H18" i="1"/>
  <c r="AJ19" i="1"/>
  <c r="H24" i="1"/>
  <c r="S20" i="1" l="1"/>
  <c r="T20" i="1" s="1"/>
  <c r="S22" i="1"/>
  <c r="T22" i="1" s="1"/>
  <c r="S28" i="1"/>
  <c r="T28" i="1" s="1"/>
  <c r="Z19" i="1"/>
  <c r="Z23" i="1"/>
  <c r="S26" i="1"/>
  <c r="T26" i="1" s="1"/>
  <c r="S18" i="1"/>
  <c r="T18" i="1" s="1"/>
  <c r="BA23" i="1"/>
  <c r="P17" i="1"/>
  <c r="N17" i="1" s="1"/>
  <c r="Q17" i="1" s="1"/>
  <c r="K17" i="1" s="1"/>
  <c r="L17" i="1" s="1"/>
  <c r="Z17" i="1"/>
  <c r="P24" i="1"/>
  <c r="N24" i="1" s="1"/>
  <c r="Q24" i="1" s="1"/>
  <c r="K24" i="1" s="1"/>
  <c r="L24" i="1" s="1"/>
  <c r="Z24" i="1"/>
  <c r="Z26" i="1"/>
  <c r="P26" i="1"/>
  <c r="N26" i="1" s="1"/>
  <c r="Q26" i="1" s="1"/>
  <c r="K26" i="1" s="1"/>
  <c r="L26" i="1" s="1"/>
  <c r="Z21" i="1"/>
  <c r="P21" i="1"/>
  <c r="N21" i="1" s="1"/>
  <c r="Q21" i="1" s="1"/>
  <c r="K21" i="1" s="1"/>
  <c r="L21" i="1" s="1"/>
  <c r="BA28" i="1"/>
  <c r="S17" i="1"/>
  <c r="T17" i="1" s="1"/>
  <c r="S21" i="1"/>
  <c r="T21" i="1" s="1"/>
  <c r="S30" i="1"/>
  <c r="T30" i="1" s="1"/>
  <c r="S29" i="1"/>
  <c r="T29" i="1" s="1"/>
  <c r="P20" i="1"/>
  <c r="N20" i="1" s="1"/>
  <c r="Q20" i="1" s="1"/>
  <c r="K20" i="1" s="1"/>
  <c r="L20" i="1" s="1"/>
  <c r="Z20" i="1"/>
  <c r="Z30" i="1"/>
  <c r="P30" i="1"/>
  <c r="N30" i="1" s="1"/>
  <c r="Q30" i="1" s="1"/>
  <c r="K30" i="1" s="1"/>
  <c r="L30" i="1" s="1"/>
  <c r="BA18" i="1"/>
  <c r="BA27" i="1"/>
  <c r="S19" i="1"/>
  <c r="T19" i="1" s="1"/>
  <c r="BA26" i="1"/>
  <c r="Z27" i="1"/>
  <c r="P27" i="1"/>
  <c r="N27" i="1" s="1"/>
  <c r="Q27" i="1" s="1"/>
  <c r="K27" i="1" s="1"/>
  <c r="L27" i="1" s="1"/>
  <c r="S23" i="1"/>
  <c r="T23" i="1" s="1"/>
  <c r="BA30" i="1"/>
  <c r="P25" i="1"/>
  <c r="N25" i="1" s="1"/>
  <c r="Q25" i="1" s="1"/>
  <c r="K25" i="1" s="1"/>
  <c r="L25" i="1" s="1"/>
  <c r="Z25" i="1"/>
  <c r="S24" i="1"/>
  <c r="T24" i="1" s="1"/>
  <c r="Z18" i="1"/>
  <c r="S27" i="1"/>
  <c r="T27" i="1" s="1"/>
  <c r="P28" i="1"/>
  <c r="N28" i="1" s="1"/>
  <c r="Q28" i="1" s="1"/>
  <c r="K28" i="1" s="1"/>
  <c r="L28" i="1" s="1"/>
  <c r="Z28" i="1"/>
  <c r="P29" i="1"/>
  <c r="N29" i="1" s="1"/>
  <c r="Q29" i="1" s="1"/>
  <c r="K29" i="1" s="1"/>
  <c r="L29" i="1" s="1"/>
  <c r="Z29" i="1"/>
  <c r="S25" i="1"/>
  <c r="T25" i="1" s="1"/>
  <c r="AB26" i="1" l="1"/>
  <c r="U26" i="1"/>
  <c r="Y26" i="1" s="1"/>
  <c r="AA26" i="1"/>
  <c r="AB23" i="1"/>
  <c r="U23" i="1"/>
  <c r="Y23" i="1" s="1"/>
  <c r="AA23" i="1"/>
  <c r="U18" i="1"/>
  <c r="Y18" i="1" s="1"/>
  <c r="AB18" i="1"/>
  <c r="AA18" i="1"/>
  <c r="AB27" i="1"/>
  <c r="U27" i="1"/>
  <c r="Y27" i="1" s="1"/>
  <c r="AA27" i="1"/>
  <c r="U21" i="1"/>
  <c r="Y21" i="1" s="1"/>
  <c r="AB21" i="1"/>
  <c r="AA21" i="1"/>
  <c r="AB22" i="1"/>
  <c r="U22" i="1"/>
  <c r="Y22" i="1" s="1"/>
  <c r="AA22" i="1"/>
  <c r="P22" i="1"/>
  <c r="N22" i="1" s="1"/>
  <c r="Q22" i="1" s="1"/>
  <c r="K22" i="1" s="1"/>
  <c r="L22" i="1" s="1"/>
  <c r="P18" i="1"/>
  <c r="N18" i="1" s="1"/>
  <c r="Q18" i="1" s="1"/>
  <c r="K18" i="1" s="1"/>
  <c r="L18" i="1" s="1"/>
  <c r="AB19" i="1"/>
  <c r="AA19" i="1"/>
  <c r="U19" i="1"/>
  <c r="Y19" i="1" s="1"/>
  <c r="U25" i="1"/>
  <c r="Y25" i="1" s="1"/>
  <c r="AB25" i="1"/>
  <c r="AA25" i="1"/>
  <c r="U29" i="1"/>
  <c r="Y29" i="1" s="1"/>
  <c r="AA29" i="1"/>
  <c r="AB29" i="1"/>
  <c r="AC29" i="1" s="1"/>
  <c r="P19" i="1"/>
  <c r="N19" i="1" s="1"/>
  <c r="Q19" i="1" s="1"/>
  <c r="K19" i="1" s="1"/>
  <c r="L19" i="1" s="1"/>
  <c r="AB30" i="1"/>
  <c r="AA30" i="1"/>
  <c r="U30" i="1"/>
  <c r="Y30" i="1" s="1"/>
  <c r="AB17" i="1"/>
  <c r="U17" i="1"/>
  <c r="Y17" i="1" s="1"/>
  <c r="AA17" i="1"/>
  <c r="P23" i="1"/>
  <c r="N23" i="1" s="1"/>
  <c r="Q23" i="1" s="1"/>
  <c r="K23" i="1" s="1"/>
  <c r="L23" i="1" s="1"/>
  <c r="AA28" i="1"/>
  <c r="AB28" i="1"/>
  <c r="AC28" i="1" s="1"/>
  <c r="U28" i="1"/>
  <c r="Y28" i="1" s="1"/>
  <c r="AB24" i="1"/>
  <c r="U24" i="1"/>
  <c r="Y24" i="1" s="1"/>
  <c r="AA24" i="1"/>
  <c r="AA20" i="1"/>
  <c r="U20" i="1"/>
  <c r="Y20" i="1" s="1"/>
  <c r="AB20" i="1"/>
  <c r="AC20" i="1" s="1"/>
  <c r="AC19" i="1" l="1"/>
  <c r="AC22" i="1"/>
  <c r="AC21" i="1"/>
  <c r="AC23" i="1"/>
  <c r="AC24" i="1"/>
  <c r="AC27" i="1"/>
  <c r="AC18" i="1"/>
  <c r="AC17" i="1"/>
  <c r="AC30" i="1"/>
  <c r="AC25" i="1"/>
  <c r="AC26" i="1"/>
</calcChain>
</file>

<file path=xl/sharedStrings.xml><?xml version="1.0" encoding="utf-8"?>
<sst xmlns="http://schemas.openxmlformats.org/spreadsheetml/2006/main" count="771" uniqueCount="355">
  <si>
    <t>File opened</t>
  </si>
  <si>
    <t>2020-07-06 11:11:28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</si>
  <si>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</si>
  <si>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</si>
  <si>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</si>
  <si>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</si>
  <si>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</si>
  <si>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</si>
  <si>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</si>
  <si>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</si>
  <si>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</si>
  <si>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</si>
  <si>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</si>
  <si>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{"h2obspanconc2": "0", "flowbzero": "0.22736", "co2azero": "0.869071", "h2oaspan2a": "0.0661155", "co2bspan2b": "0.162103", "tbzero": "0.197721", "h2oaspan2b": "0.0662632", "ssa_ref": "36614.9", "co2aspan1": "0.992625", "co2aspanconc1": "1002", "h2obspan2b": "0.0963575", "co2bzero": "0.880288", "co2bspanconc1": "1002", "h2oaspan1": "1.00223", "flowmeterzero": "0.990908", "h2obspanconc1": "20", "tazero": "0.00774765", "co2bspan2": "0", "flowazero": "0.42932", "co2bspan1": "0.992131", "co2aspan2": "0", "h2oaspan2": "0", "h2obspan1": "0.998578", "co2aspan2b": "0.163711", "ssb_ref": "36526.8", "h2oazero": "1.00263", "co2bspanconc2": "0", "oxygen": "21", "h2obspan2a": "0.0975941", "co2aspanconc2": "0", "co2bspan2a": "0.163389", "h2oaspanconc1": "12.19", "h2obzero": "1.01783", "co2aspan2a": "0.164928", "h2obspan2": "0", "h2oaspanconc2": "0", "chamberpressurezero": "2.59209"}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</si>
  <si>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</si>
  <si>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</si>
  <si>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</si>
  <si>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</si>
  <si>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</si>
  <si>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</si>
  <si>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</si>
  <si>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</si>
  <si>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</si>
  <si>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11:11:28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</si>
  <si>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</si>
  <si>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</si>
  <si>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</si>
  <si>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</si>
  <si>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</si>
  <si>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</si>
  <si>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</si>
  <si>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</si>
  <si>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</si>
  <si>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</si>
  <si>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</si>
  <si>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</si>
  <si>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</si>
  <si>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</si>
  <si>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</si>
  <si>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</si>
  <si>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</si>
  <si>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</si>
  <si>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</si>
  <si>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</si>
  <si>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</si>
  <si>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</si>
  <si>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</si>
  <si>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</si>
  <si>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</si>
  <si>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</si>
  <si>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</si>
  <si>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</si>
  <si>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</si>
  <si>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</si>
  <si>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</si>
  <si>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</si>
  <si>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</si>
  <si>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</si>
  <si>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</si>
  <si>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</si>
  <si>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</si>
  <si>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</si>
  <si>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</si>
  <si>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</si>
  <si>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</si>
  <si>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</si>
  <si>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</si>
  <si>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</si>
  <si>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</si>
  <si>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</si>
  <si>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</si>
  <si>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3.70143 76.3892 390.414 623.28 848.427 1048.12 1223.65 1394.11</t>
  </si>
  <si>
    <t>Fs_true</t>
  </si>
  <si>
    <t>0.43856 100.7 401.95 601.097 798.546 1000.45 1200.3 1401.35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</si>
  <si>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</si>
  <si>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</si>
  <si>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</si>
  <si>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</si>
  <si>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</si>
  <si>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</si>
  <si>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</si>
  <si>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</si>
  <si>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</si>
  <si>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</si>
  <si>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</si>
  <si>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</si>
  <si>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</si>
  <si>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</si>
  <si>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</si>
  <si>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</si>
  <si>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</si>
  <si>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</si>
  <si>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</si>
  <si>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</si>
  <si>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</si>
  <si>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</si>
  <si>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</si>
  <si>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</si>
  <si>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</si>
  <si>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</si>
  <si>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</si>
  <si>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</si>
  <si>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</si>
  <si>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</si>
  <si>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</si>
  <si>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</si>
  <si>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</si>
  <si>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</si>
  <si>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</si>
  <si>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</si>
  <si>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</si>
  <si>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</si>
  <si>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</si>
  <si>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</si>
  <si>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</si>
  <si>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</si>
  <si>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</si>
  <si>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</si>
  <si>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</si>
  <si>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</si>
  <si>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</si>
  <si>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</si>
  <si>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</si>
  <si>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</si>
  <si>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</si>
  <si>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</si>
  <si>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</si>
  <si>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</si>
  <si>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</si>
  <si>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</si>
  <si>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</si>
  <si>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</si>
  <si>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</si>
  <si>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</si>
  <si>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</si>
  <si>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</si>
  <si>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</si>
  <si>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</si>
  <si>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</si>
  <si>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</si>
  <si>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</si>
  <si>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</si>
  <si>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</si>
  <si>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</si>
  <si>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</si>
  <si>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</si>
  <si>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</si>
  <si>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</si>
  <si>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</si>
  <si>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</si>
  <si>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</si>
  <si>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</si>
  <si>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</si>
  <si>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</si>
  <si>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</si>
  <si>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</si>
  <si>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</si>
  <si>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</si>
  <si>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</si>
  <si>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</si>
  <si>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</si>
  <si>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</si>
  <si>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</si>
  <si>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</si>
  <si>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</si>
  <si>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</si>
  <si>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</si>
  <si>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</si>
  <si>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</si>
  <si>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</si>
  <si>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</si>
  <si>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</si>
  <si>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</si>
  <si>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</si>
  <si>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</si>
  <si>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</si>
  <si>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</si>
  <si>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</si>
  <si>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</si>
  <si>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</si>
  <si>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</si>
  <si>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</si>
  <si>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</si>
  <si>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</si>
  <si>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</si>
  <si>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</si>
  <si>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</si>
  <si>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</si>
  <si>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</si>
  <si>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</si>
  <si>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</si>
  <si>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</si>
  <si>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</si>
  <si>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</si>
  <si>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</si>
  <si>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</si>
  <si>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</si>
  <si>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</si>
  <si>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</si>
  <si>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</si>
  <si>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</si>
  <si>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</si>
  <si>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</si>
  <si>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</si>
  <si>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</si>
  <si>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</si>
  <si>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</si>
  <si>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</si>
  <si>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</si>
  <si>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</si>
  <si>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</si>
  <si>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</si>
  <si>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</si>
  <si>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</si>
  <si>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</si>
  <si>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</si>
  <si>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</si>
  <si>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</si>
  <si>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</si>
  <si>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</si>
  <si>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</si>
  <si>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</si>
  <si>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</si>
  <si>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</si>
  <si>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</si>
  <si>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</si>
  <si>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</si>
  <si>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</si>
  <si>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</si>
  <si>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</si>
  <si>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</si>
  <si>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</si>
  <si>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</si>
  <si>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</si>
  <si>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</si>
  <si>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</si>
  <si>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</si>
  <si>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</si>
  <si>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</si>
  <si>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</si>
  <si>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</si>
  <si>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</si>
  <si>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</si>
  <si>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</si>
  <si>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</si>
  <si>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</si>
  <si>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</si>
  <si>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</si>
  <si>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</si>
  <si>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</si>
  <si>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</si>
  <si>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</si>
  <si>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</si>
  <si>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</si>
  <si>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</si>
  <si>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</si>
  <si>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</si>
  <si>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</si>
  <si>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</si>
  <si>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</si>
  <si>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</si>
  <si>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</si>
  <si>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</si>
  <si>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</si>
  <si>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</si>
  <si>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</si>
  <si>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</si>
  <si>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</si>
  <si>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</si>
  <si>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</si>
  <si>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</si>
  <si>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</si>
  <si>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</si>
  <si>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</si>
  <si>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</si>
  <si>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</si>
  <si>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</si>
  <si>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20200706 11:16:55</t>
  </si>
  <si>
    <t>11:16:55</t>
  </si>
  <si>
    <t>MPF-4595-20200706-11_16_57</t>
  </si>
  <si>
    <t>DARK-4596-20200706-11_17_05</t>
  </si>
  <si>
    <t>0: Broadleaf</t>
  </si>
  <si>
    <t>11:17:21</t>
  </si>
  <si>
    <t>1/2</t>
  </si>
  <si>
    <t>5</t>
  </si>
  <si>
    <t>11111111</t>
  </si>
  <si>
    <t>oooooooo</t>
  </si>
  <si>
    <t>off</t>
  </si>
  <si>
    <t>20200706 11:18:53</t>
  </si>
  <si>
    <t>11:18:53</t>
  </si>
  <si>
    <t>MPF-4597-20200706-11_18_55</t>
  </si>
  <si>
    <t>DARK-4598-20200706-11_19_03</t>
  </si>
  <si>
    <t>11:19:20</t>
  </si>
  <si>
    <t>2/2</t>
  </si>
  <si>
    <t>20200706 11:20:52</t>
  </si>
  <si>
    <t>11:20:52</t>
  </si>
  <si>
    <t>MPF-4599-20200706-11_20_54</t>
  </si>
  <si>
    <t>DARK-4600-20200706-11_21_01</t>
  </si>
  <si>
    <t>11:21:20</t>
  </si>
  <si>
    <t>20200706 11:22:52</t>
  </si>
  <si>
    <t>11:22:52</t>
  </si>
  <si>
    <t>MPF-4601-20200706-11_22_54</t>
  </si>
  <si>
    <t>DARK-4602-20200706-11_23_02</t>
  </si>
  <si>
    <t>11:23:21</t>
  </si>
  <si>
    <t>20200706 11:24:53</t>
  </si>
  <si>
    <t>11:24:53</t>
  </si>
  <si>
    <t>MPF-4603-20200706-11_24_55</t>
  </si>
  <si>
    <t>DARK-4604-20200706-11_25_03</t>
  </si>
  <si>
    <t>11:25:21</t>
  </si>
  <si>
    <t>20200706 11:27:11</t>
  </si>
  <si>
    <t>11:27:11</t>
  </si>
  <si>
    <t>MPF-4605-20200706-11_27_13</t>
  </si>
  <si>
    <t>DARK-4606-20200706-11_27_20</t>
  </si>
  <si>
    <t>11:27:40</t>
  </si>
  <si>
    <t>20200706 11:29:11</t>
  </si>
  <si>
    <t>11:29:11</t>
  </si>
  <si>
    <t>MPF-4607-20200706-11_29_13</t>
  </si>
  <si>
    <t>DARK-4608-20200706-11_29_21</t>
  </si>
  <si>
    <t>11:29:39</t>
  </si>
  <si>
    <t>20200706 11:31:41</t>
  </si>
  <si>
    <t>11:31:41</t>
  </si>
  <si>
    <t>MPF-4609-20200706-11_31_43</t>
  </si>
  <si>
    <t>DARK-4610-20200706-11_31_50</t>
  </si>
  <si>
    <t>11:32:08</t>
  </si>
  <si>
    <t>0/2</t>
  </si>
  <si>
    <t>20200706 11:33:52</t>
  </si>
  <si>
    <t>11:33:52</t>
  </si>
  <si>
    <t>MPF-4611-20200706-11_33_54</t>
  </si>
  <si>
    <t>DARK-4612-20200706-11_34_01</t>
  </si>
  <si>
    <t>11:34:19</t>
  </si>
  <si>
    <t>20200706 11:36:12</t>
  </si>
  <si>
    <t>11:36:12</t>
  </si>
  <si>
    <t>MPF-4613-20200706-11_36_14</t>
  </si>
  <si>
    <t>DARK-4614-20200706-11_36_21</t>
  </si>
  <si>
    <t>11:36:47</t>
  </si>
  <si>
    <t>20200706 11:38:48</t>
  </si>
  <si>
    <t>11:38:48</t>
  </si>
  <si>
    <t>MPF-4615-20200706-11_38_50</t>
  </si>
  <si>
    <t>DARK-4616-20200706-11_38_57</t>
  </si>
  <si>
    <t>11:39:15</t>
  </si>
  <si>
    <t>20200706 11:41:16</t>
  </si>
  <si>
    <t>11:41:16</t>
  </si>
  <si>
    <t>MPF-4617-20200706-11_41_18</t>
  </si>
  <si>
    <t>DARK-4618-20200706-11_41_25</t>
  </si>
  <si>
    <t>11:41:50</t>
  </si>
  <si>
    <t>20200706 11:43:29</t>
  </si>
  <si>
    <t>11:43:29</t>
  </si>
  <si>
    <t>MPF-4619-20200706-11_43_31</t>
  </si>
  <si>
    <t>DARK-4620-20200706-11_43_38</t>
  </si>
  <si>
    <t>11:44:10</t>
  </si>
  <si>
    <t>20200706 11:45:44</t>
  </si>
  <si>
    <t>11:45:44</t>
  </si>
  <si>
    <t>MPF-4621-20200706-11_45_45</t>
  </si>
  <si>
    <t>DARK-4622-20200706-11_45_53</t>
  </si>
  <si>
    <t>11:46:13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</si>
</sst>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1594052215.9000001</v>
      </c>
      <c r="C17">
        <v>0</v>
      </c>
      <c r="D17" t="s">
        <v>277</v>
      </c>
      <c r="E17" t="s">
        <v>278</v>
      </c>
      <c r="G17">
        <v>1594052207.9000001</v>
      </c>
      <c r="H17">
        <f t="shared" ref="H17:H30" si="0">CC17*AI17*(CA17-CB17)/(100*$B$5*(1000-AI17*CA17))</f>
        <v>9.1254685074947418E-3</v>
      </c>
      <c r="I17">
        <f t="shared" ref="I17:I30" si="1">CC17*AI17*(BZ17-BY17*(1000-AI17*CB17)/(1000-AI17*CA17))/(100*$B$5)</f>
        <v>30.027675771643825</v>
      </c>
      <c r="J17">
        <f t="shared" ref="J17:J30" si="2">BY17 - IF(AI17&gt;1, I17*$B$5*100/(AK17*CI17), 0)</f>
        <v>386.58758064516098</v>
      </c>
      <c r="K17">
        <f t="shared" ref="K17:K30" si="3">((Q17-H17/2)*J17-I17)/(Q17+H17/2)</f>
        <v>291.42764637955014</v>
      </c>
      <c r="L17">
        <f t="shared" ref="L17:L30" si="4">K17*(CD17+CE17)/1000</f>
        <v>28.988560305310273</v>
      </c>
      <c r="M17">
        <f t="shared" ref="M17:M30" si="5">(BY17 - IF(AI17&gt;1, I17*$B$5*100/(AK17*CI17), 0))*(CD17+CE17)/1000</f>
        <v>38.4542013567956</v>
      </c>
      <c r="N17">
        <f t="shared" ref="N17:N30" si="6">2/((1/P17-1/O17)+SIGN(P17)*SQRT((1/P17-1/O17)*(1/P17-1/O17) + 4*BV17/((BV17+1)*(BV17+1))*(2*1/P17*1/O17-1/O17*1/O17)))</f>
        <v>0.60386984905957997</v>
      </c>
      <c r="O17">
        <f t="shared" ref="O17:O30" si="7">AF17+AE17*$B$5+AD17*$B$5*$B$5</f>
        <v>3.3837938522252369</v>
      </c>
      <c r="P17">
        <f t="shared" ref="P17:P30" si="8">H17*(1000-(1000*0.61365*EXP(17.502*T17/(240.97+T17))/(CD17+CE17)+CA17)/2)/(1000*0.61365*EXP(17.502*T17/(240.97+T17))/(CD17+CE17)-CA17)</f>
        <v>0.54976448148925516</v>
      </c>
      <c r="Q17">
        <f t="shared" ref="Q17:Q30" si="9">1/((BV17+1)/(N17/1.6)+1/(O17/1.37)) + BV17/((BV17+1)/(N17/1.6) + BV17/(O17/1.37))</f>
        <v>0.34805907894075988</v>
      </c>
      <c r="R17">
        <f t="shared" ref="R17:R30" si="10">(BS17*BU17)</f>
        <v>321.43982825155047</v>
      </c>
      <c r="S17">
        <f t="shared" ref="S17:S30" si="11">(CF17+(R17+2*0.95*0.0000000567*(((CF17+$B$7)+273)^4-(CF17+273)^4)-44100*H17)/(1.84*29.3*O17+8*0.95*0.0000000567*(CF17+273)^3))</f>
        <v>27.01679250608456</v>
      </c>
      <c r="T17">
        <f t="shared" ref="T17:T30" si="12">($C$7*CG17+$D$7*CH17+$E$7*S17)</f>
        <v>27.263216129032301</v>
      </c>
      <c r="U17">
        <f t="shared" ref="U17:U30" si="13">0.61365*EXP(17.502*T17/(240.97+T17))</f>
        <v>3.634865884793729</v>
      </c>
      <c r="V17">
        <f t="shared" ref="V17:V30" si="14">(W17/X17*100)</f>
        <v>55.313267043318668</v>
      </c>
      <c r="W17">
        <f t="shared" ref="W17:W30" si="15">CA17*(CD17+CE17)/1000</f>
        <v>2.0307837196065655</v>
      </c>
      <c r="X17">
        <f t="shared" ref="X17:X30" si="16">0.61365*EXP(17.502*CF17/(240.97+CF17))</f>
        <v>3.6714224781120852</v>
      </c>
      <c r="Y17">
        <f t="shared" ref="Y17:Y30" si="17">(U17-CA17*(CD17+CE17)/1000)</f>
        <v>1.6040821651871635</v>
      </c>
      <c r="Z17">
        <f t="shared" ref="Z17:Z30" si="18">(-H17*44100)</f>
        <v>-402.43316118051814</v>
      </c>
      <c r="AA17">
        <f t="shared" ref="AA17:AA30" si="19">2*29.3*O17*0.92*(CF17-T17)</f>
        <v>31.163255478703231</v>
      </c>
      <c r="AB17">
        <f t="shared" ref="AB17:AB30" si="20">2*0.95*0.0000000567*(((CF17+$B$7)+273)^4-(T17+273)^4)</f>
        <v>1.9944682524792776</v>
      </c>
      <c r="AC17">
        <f t="shared" ref="AC17:AC30" si="21">R17+AB17+Z17+AA17</f>
        <v>-47.835609197785146</v>
      </c>
      <c r="AD17">
        <v>-4.1196792644017301E-2</v>
      </c>
      <c r="AE17">
        <v>4.6247008780163301E-2</v>
      </c>
      <c r="AF17">
        <v>3.4560870052409798</v>
      </c>
      <c r="AG17">
        <v>166</v>
      </c>
      <c r="AH17">
        <v>33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52454.883284066098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314.57353846153802</v>
      </c>
      <c r="AT17">
        <v>433.86200000000002</v>
      </c>
      <c r="AU17">
        <f t="shared" ref="AU17:AU30" si="27">1-AS17/AT17</f>
        <v>0.27494563141842798</v>
      </c>
      <c r="AV17">
        <v>0.5</v>
      </c>
      <c r="AW17">
        <f t="shared" ref="AW17:AW30" si="28">BS17</f>
        <v>1681.1996810941187</v>
      </c>
      <c r="AX17">
        <f t="shared" ref="AX17:AX30" si="29">I17</f>
        <v>30.027675771643825</v>
      </c>
      <c r="AY17">
        <f t="shared" ref="AY17:AY30" si="30">AU17*AV17*AW17</f>
        <v>231.1192539294411</v>
      </c>
      <c r="AZ17">
        <f t="shared" ref="AZ17:AZ30" si="31">BE17/AT17</f>
        <v>0.53529002309490115</v>
      </c>
      <c r="BA17">
        <f t="shared" ref="BA17:BA30" si="32">(AX17-AQ17)/AW17</f>
        <v>1.845567550396579E-2</v>
      </c>
      <c r="BB17">
        <f t="shared" ref="BB17:BB30" si="33">(AN17-AT17)/AT17</f>
        <v>-1</v>
      </c>
      <c r="BC17" t="s">
        <v>280</v>
      </c>
      <c r="BD17">
        <v>201.62</v>
      </c>
      <c r="BE17">
        <f t="shared" ref="BE17:BE30" si="34">AT17-BD17</f>
        <v>232.24200000000002</v>
      </c>
      <c r="BF17">
        <f t="shared" ref="BF17:BF30" si="35">(AT17-AS17)/(AT17-BD17)</f>
        <v>0.51363862496216017</v>
      </c>
      <c r="BG17">
        <f t="shared" ref="BG17:BG30" si="36">(AN17-AT17)/(AN17-BD17)</f>
        <v>2.1518797738319613</v>
      </c>
      <c r="BH17">
        <f t="shared" ref="BH17:BH30" si="37">(AT17-AS17)/(AT17-AM17)</f>
        <v>0.27494563141842798</v>
      </c>
      <c r="BI17" t="e">
        <f t="shared" ref="BI17:BI30" si="38">(AN17-AT17)/(AN17-AM17)</f>
        <v>#DIV/0!</v>
      </c>
      <c r="BJ17">
        <v>4595</v>
      </c>
      <c r="BK17">
        <v>300</v>
      </c>
      <c r="BL17">
        <v>300</v>
      </c>
      <c r="BM17">
        <v>300</v>
      </c>
      <c r="BN17">
        <v>9875.2800000000007</v>
      </c>
      <c r="BO17">
        <v>401.827</v>
      </c>
      <c r="BP17">
        <v>-6.5685300000000004E-3</v>
      </c>
      <c r="BQ17">
        <v>-0.40185500000000002</v>
      </c>
      <c r="BR17">
        <f t="shared" ref="BR17:BR30" si="39">$B$11*CJ17+$C$11*CK17+$F$11*CL17</f>
        <v>2000.0035483871</v>
      </c>
      <c r="BS17">
        <f t="shared" ref="BS17:BS30" si="40">BR17*BT17</f>
        <v>1681.1996810941187</v>
      </c>
      <c r="BT17">
        <f t="shared" ref="BT17:BT30" si="41">($B$11*$D$9+$C$11*$D$9+$F$11*((CY17+CQ17)/MAX(CY17+CQ17+CZ17, 0.1)*$I$9+CZ17/MAX(CY17+CQ17+CZ17, 0.1)*$J$9))/($B$11+$C$11+$F$11)</f>
        <v>0.84059834916289011</v>
      </c>
      <c r="BU17">
        <f t="shared" ref="BU17:BU30" si="42">($B$11*$K$9+$C$11*$K$9+$F$11*((CY17+CQ17)/MAX(CY17+CQ17+CZ17, 0.1)*$P$9+CZ17/MAX(CY17+CQ17+CZ17, 0.1)*$Q$9))/($B$11+$C$11+$F$11)</f>
        <v>0.19119669832578043</v>
      </c>
      <c r="BV17">
        <v>0.5</v>
      </c>
      <c r="BW17" t="s">
        <v>281</v>
      </c>
      <c r="BX17">
        <v>1594052207.9000001</v>
      </c>
      <c r="BY17">
        <v>386.58758064516098</v>
      </c>
      <c r="BZ17">
        <v>400.00812903225801</v>
      </c>
      <c r="CA17">
        <v>20.415864516129002</v>
      </c>
      <c r="CB17">
        <v>16.840635483871001</v>
      </c>
      <c r="CC17">
        <v>500.06106451612902</v>
      </c>
      <c r="CD17">
        <v>99.2708612903226</v>
      </c>
      <c r="CE17">
        <v>0.200004516129032</v>
      </c>
      <c r="CF17">
        <v>27.434041935483901</v>
      </c>
      <c r="CG17">
        <v>27.263216129032301</v>
      </c>
      <c r="CH17">
        <v>999.9</v>
      </c>
      <c r="CI17">
        <v>10007.777419354799</v>
      </c>
      <c r="CJ17">
        <v>0</v>
      </c>
      <c r="CK17">
        <v>283.99845161290301</v>
      </c>
      <c r="CL17">
        <v>2000.0035483871</v>
      </c>
      <c r="CM17">
        <v>0.98000506451612901</v>
      </c>
      <c r="CN17">
        <v>1.9994777419354799E-2</v>
      </c>
      <c r="CO17">
        <v>0</v>
      </c>
      <c r="CP17">
        <v>314.63625806451603</v>
      </c>
      <c r="CQ17">
        <v>5.00054</v>
      </c>
      <c r="CR17">
        <v>7703.8793548387102</v>
      </c>
      <c r="CS17">
        <v>18703.6870967742</v>
      </c>
      <c r="CT17">
        <v>47.644935483871002</v>
      </c>
      <c r="CU17">
        <v>48.832322580645098</v>
      </c>
      <c r="CV17">
        <v>47.882935483871002</v>
      </c>
      <c r="CW17">
        <v>48.223451612903197</v>
      </c>
      <c r="CX17">
        <v>49.213451612903199</v>
      </c>
      <c r="CY17">
        <v>1955.1122580645199</v>
      </c>
      <c r="CZ17">
        <v>39.89</v>
      </c>
      <c r="DA17">
        <v>0</v>
      </c>
      <c r="DB17">
        <v>436.39999985694902</v>
      </c>
      <c r="DC17">
        <v>314.57353846153802</v>
      </c>
      <c r="DD17">
        <v>-8.0246153769090398</v>
      </c>
      <c r="DE17">
        <v>-9.0396581089997703</v>
      </c>
      <c r="DF17">
        <v>7703.1988461538504</v>
      </c>
      <c r="DG17">
        <v>15</v>
      </c>
      <c r="DH17">
        <v>1594052241.9000001</v>
      </c>
      <c r="DI17" t="s">
        <v>282</v>
      </c>
      <c r="DJ17">
        <v>30</v>
      </c>
      <c r="DK17">
        <v>-0.45500000000000002</v>
      </c>
      <c r="DL17">
        <v>0.104</v>
      </c>
      <c r="DM17">
        <v>400</v>
      </c>
      <c r="DN17">
        <v>17</v>
      </c>
      <c r="DO17">
        <v>0.13</v>
      </c>
      <c r="DP17">
        <v>0.02</v>
      </c>
      <c r="DQ17">
        <v>386.74148148148203</v>
      </c>
      <c r="DR17">
        <v>-0.114440909395539</v>
      </c>
      <c r="DS17">
        <v>2.7008737091664601E-2</v>
      </c>
      <c r="DT17">
        <v>1</v>
      </c>
      <c r="DU17">
        <v>20.470137037036999</v>
      </c>
      <c r="DV17">
        <v>-0.37047924977234298</v>
      </c>
      <c r="DW17">
        <v>5.5779530615318797E-2</v>
      </c>
      <c r="DX17">
        <v>0</v>
      </c>
      <c r="DY17">
        <v>1</v>
      </c>
      <c r="DZ17">
        <v>2</v>
      </c>
      <c r="EA17" t="s">
        <v>283</v>
      </c>
      <c r="EB17">
        <v>1.8666400000000001</v>
      </c>
      <c r="EC17">
        <v>1.86313</v>
      </c>
      <c r="ED17">
        <v>1.8687499999999999</v>
      </c>
      <c r="EE17">
        <v>1.8667400000000001</v>
      </c>
      <c r="EF17">
        <v>1.87144</v>
      </c>
      <c r="EG17">
        <v>1.8638600000000001</v>
      </c>
      <c r="EH17">
        <v>1.86534</v>
      </c>
      <c r="EI17">
        <v>1.8652299999999999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-0.45500000000000002</v>
      </c>
      <c r="EX17">
        <v>0.104</v>
      </c>
      <c r="EY17">
        <v>2</v>
      </c>
      <c r="EZ17">
        <v>319.81599999999997</v>
      </c>
      <c r="FA17">
        <v>441.81200000000001</v>
      </c>
      <c r="FB17">
        <v>21.423100000000002</v>
      </c>
      <c r="FC17">
        <v>38.364600000000003</v>
      </c>
      <c r="FD17">
        <v>30.0001</v>
      </c>
      <c r="FE17">
        <v>38.220999999999997</v>
      </c>
      <c r="FF17">
        <v>38.1967</v>
      </c>
      <c r="FG17">
        <v>22.129000000000001</v>
      </c>
      <c r="FH17">
        <v>53.841200000000001</v>
      </c>
      <c r="FI17">
        <v>0</v>
      </c>
      <c r="FJ17">
        <v>18.175999999999998</v>
      </c>
      <c r="FK17">
        <v>400</v>
      </c>
      <c r="FL17">
        <v>16.739599999999999</v>
      </c>
      <c r="FM17">
        <v>99.815799999999996</v>
      </c>
      <c r="FN17">
        <v>100.251</v>
      </c>
    </row>
    <row r="18" spans="1:170" x14ac:dyDescent="0.25">
      <c r="A18">
        <v>2</v>
      </c>
      <c r="B18">
        <v>1594052333.9000001</v>
      </c>
      <c r="C18">
        <v>118</v>
      </c>
      <c r="D18" t="s">
        <v>288</v>
      </c>
      <c r="E18" t="s">
        <v>289</v>
      </c>
      <c r="G18">
        <v>1594052325.9000001</v>
      </c>
      <c r="H18">
        <f t="shared" si="0"/>
        <v>8.1222250167915754E-3</v>
      </c>
      <c r="I18">
        <f t="shared" si="1"/>
        <v>22.470668141306678</v>
      </c>
      <c r="J18">
        <f t="shared" si="2"/>
        <v>290.03829032258102</v>
      </c>
      <c r="K18">
        <f t="shared" si="3"/>
        <v>210.05440243399909</v>
      </c>
      <c r="L18">
        <f t="shared" si="4"/>
        <v>20.893978398241511</v>
      </c>
      <c r="M18">
        <f t="shared" si="5"/>
        <v>28.849925078656845</v>
      </c>
      <c r="N18">
        <f t="shared" si="6"/>
        <v>0.52621755609820831</v>
      </c>
      <c r="O18">
        <f t="shared" si="7"/>
        <v>3.3808137280900876</v>
      </c>
      <c r="P18">
        <f t="shared" si="8"/>
        <v>0.48458593476864592</v>
      </c>
      <c r="Q18">
        <f t="shared" si="9"/>
        <v>0.30633170602245102</v>
      </c>
      <c r="R18">
        <f t="shared" si="10"/>
        <v>321.44070202782461</v>
      </c>
      <c r="S18">
        <f t="shared" si="11"/>
        <v>26.740472033363037</v>
      </c>
      <c r="T18">
        <f t="shared" si="12"/>
        <v>27.051570967741899</v>
      </c>
      <c r="U18">
        <f t="shared" si="13"/>
        <v>3.5900149181393313</v>
      </c>
      <c r="V18">
        <f t="shared" si="14"/>
        <v>55.250346126860947</v>
      </c>
      <c r="W18">
        <f t="shared" si="15"/>
        <v>1.9693834040877309</v>
      </c>
      <c r="X18">
        <f t="shared" si="16"/>
        <v>3.5644725185355535</v>
      </c>
      <c r="Y18">
        <f t="shared" si="17"/>
        <v>1.6206315140516003</v>
      </c>
      <c r="Z18">
        <f t="shared" si="18"/>
        <v>-358.19012324050846</v>
      </c>
      <c r="AA18">
        <f t="shared" si="19"/>
        <v>-22.157130334109503</v>
      </c>
      <c r="AB18">
        <f t="shared" si="20"/>
        <v>-1.4142534739085051</v>
      </c>
      <c r="AC18">
        <f t="shared" si="21"/>
        <v>-60.320805020701847</v>
      </c>
      <c r="AD18">
        <v>-4.1150703717445503E-2</v>
      </c>
      <c r="AE18">
        <v>4.6195269922474802E-2</v>
      </c>
      <c r="AF18">
        <v>3.4530260031149198</v>
      </c>
      <c r="AG18">
        <v>165</v>
      </c>
      <c r="AH18">
        <v>33</v>
      </c>
      <c r="AI18">
        <f t="shared" si="22"/>
        <v>1</v>
      </c>
      <c r="AJ18">
        <f t="shared" si="23"/>
        <v>0</v>
      </c>
      <c r="AK18">
        <f t="shared" si="24"/>
        <v>52486.62403979915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287.44034615384601</v>
      </c>
      <c r="AT18">
        <v>383.036</v>
      </c>
      <c r="AU18">
        <f t="shared" si="27"/>
        <v>0.24957354882087845</v>
      </c>
      <c r="AV18">
        <v>0.5</v>
      </c>
      <c r="AW18">
        <f t="shared" si="28"/>
        <v>1681.2042867736629</v>
      </c>
      <c r="AX18">
        <f t="shared" si="29"/>
        <v>22.470668141306678</v>
      </c>
      <c r="AY18">
        <f t="shared" si="30"/>
        <v>209.79206007148846</v>
      </c>
      <c r="AZ18">
        <f t="shared" si="31"/>
        <v>0.4854269572572813</v>
      </c>
      <c r="BA18">
        <f t="shared" si="32"/>
        <v>1.3960628298389822E-2</v>
      </c>
      <c r="BB18">
        <f t="shared" si="33"/>
        <v>-1</v>
      </c>
      <c r="BC18" t="s">
        <v>291</v>
      </c>
      <c r="BD18">
        <v>197.1</v>
      </c>
      <c r="BE18">
        <f t="shared" si="34"/>
        <v>185.93600000000001</v>
      </c>
      <c r="BF18">
        <f t="shared" si="35"/>
        <v>0.51413203385118533</v>
      </c>
      <c r="BG18">
        <f t="shared" si="36"/>
        <v>1.9433587011669204</v>
      </c>
      <c r="BH18">
        <f t="shared" si="37"/>
        <v>0.24957354882087843</v>
      </c>
      <c r="BI18" t="e">
        <f t="shared" si="38"/>
        <v>#DIV/0!</v>
      </c>
      <c r="BJ18">
        <v>4597</v>
      </c>
      <c r="BK18">
        <v>300</v>
      </c>
      <c r="BL18">
        <v>300</v>
      </c>
      <c r="BM18">
        <v>300</v>
      </c>
      <c r="BN18">
        <v>9875.85</v>
      </c>
      <c r="BO18">
        <v>356.73899999999998</v>
      </c>
      <c r="BP18">
        <v>-6.56889E-3</v>
      </c>
      <c r="BQ18">
        <v>-0.26998899999999998</v>
      </c>
      <c r="BR18">
        <f t="shared" si="39"/>
        <v>2000.00903225806</v>
      </c>
      <c r="BS18">
        <f t="shared" si="40"/>
        <v>1681.2042867736629</v>
      </c>
      <c r="BT18">
        <f t="shared" si="41"/>
        <v>0.84059834713623338</v>
      </c>
      <c r="BU18">
        <f t="shared" si="42"/>
        <v>0.1911966942724668</v>
      </c>
      <c r="BV18">
        <v>0.5</v>
      </c>
      <c r="BW18" t="s">
        <v>281</v>
      </c>
      <c r="BX18">
        <v>1594052325.9000001</v>
      </c>
      <c r="BY18">
        <v>290.03829032258102</v>
      </c>
      <c r="BZ18">
        <v>299.96787096774199</v>
      </c>
      <c r="CA18">
        <v>19.798893548387099</v>
      </c>
      <c r="CB18">
        <v>16.614645161290301</v>
      </c>
      <c r="CC18">
        <v>500.04980645161299</v>
      </c>
      <c r="CD18">
        <v>99.269374193548401</v>
      </c>
      <c r="CE18">
        <v>0.19999258064516101</v>
      </c>
      <c r="CF18">
        <v>26.930006451612901</v>
      </c>
      <c r="CG18">
        <v>27.051570967741899</v>
      </c>
      <c r="CH18">
        <v>999.9</v>
      </c>
      <c r="CI18">
        <v>9996.7309677419398</v>
      </c>
      <c r="CJ18">
        <v>0</v>
      </c>
      <c r="CK18">
        <v>295.16522580645199</v>
      </c>
      <c r="CL18">
        <v>2000.00903225806</v>
      </c>
      <c r="CM18">
        <v>0.98000399999999999</v>
      </c>
      <c r="CN18">
        <v>1.9995700000000002E-2</v>
      </c>
      <c r="CO18">
        <v>0</v>
      </c>
      <c r="CP18">
        <v>287.52974193548403</v>
      </c>
      <c r="CQ18">
        <v>5.00054</v>
      </c>
      <c r="CR18">
        <v>7228.1867741935503</v>
      </c>
      <c r="CS18">
        <v>18703.754838709701</v>
      </c>
      <c r="CT18">
        <v>47.459387096774201</v>
      </c>
      <c r="CU18">
        <v>48.620870967741901</v>
      </c>
      <c r="CV18">
        <v>47.753999999999998</v>
      </c>
      <c r="CW18">
        <v>47.911064516129002</v>
      </c>
      <c r="CX18">
        <v>48.971483870967703</v>
      </c>
      <c r="CY18">
        <v>1955.1190322580601</v>
      </c>
      <c r="CZ18">
        <v>39.89</v>
      </c>
      <c r="DA18">
        <v>0</v>
      </c>
      <c r="DB18">
        <v>117.60000014305101</v>
      </c>
      <c r="DC18">
        <v>287.44034615384601</v>
      </c>
      <c r="DD18">
        <v>-4.7274187997564701</v>
      </c>
      <c r="DE18">
        <v>-18.381538491880701</v>
      </c>
      <c r="DF18">
        <v>7228.3961538461499</v>
      </c>
      <c r="DG18">
        <v>15</v>
      </c>
      <c r="DH18">
        <v>1594052360.9000001</v>
      </c>
      <c r="DI18" t="s">
        <v>292</v>
      </c>
      <c r="DJ18">
        <v>31</v>
      </c>
      <c r="DK18">
        <v>-0.47599999999999998</v>
      </c>
      <c r="DL18">
        <v>0.104</v>
      </c>
      <c r="DM18">
        <v>300</v>
      </c>
      <c r="DN18">
        <v>17</v>
      </c>
      <c r="DO18">
        <v>0.4</v>
      </c>
      <c r="DP18">
        <v>0.02</v>
      </c>
      <c r="DQ18">
        <v>290.06</v>
      </c>
      <c r="DR18">
        <v>4.5850200114401003E-2</v>
      </c>
      <c r="DS18">
        <v>2.4958484047033502E-2</v>
      </c>
      <c r="DT18">
        <v>1</v>
      </c>
      <c r="DU18">
        <v>19.798381481481499</v>
      </c>
      <c r="DV18">
        <v>3.1271812464285099E-2</v>
      </c>
      <c r="DW18">
        <v>2.0236939767132499E-2</v>
      </c>
      <c r="DX18">
        <v>1</v>
      </c>
      <c r="DY18">
        <v>2</v>
      </c>
      <c r="DZ18">
        <v>2</v>
      </c>
      <c r="EA18" t="s">
        <v>293</v>
      </c>
      <c r="EB18">
        <v>1.8666100000000001</v>
      </c>
      <c r="EC18">
        <v>1.86311</v>
      </c>
      <c r="ED18">
        <v>1.86876</v>
      </c>
      <c r="EE18">
        <v>1.86673</v>
      </c>
      <c r="EF18">
        <v>1.8713900000000001</v>
      </c>
      <c r="EG18">
        <v>1.86385</v>
      </c>
      <c r="EH18">
        <v>1.8652899999999999</v>
      </c>
      <c r="EI18">
        <v>1.8652299999999999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-0.47599999999999998</v>
      </c>
      <c r="EX18">
        <v>0.104</v>
      </c>
      <c r="EY18">
        <v>2</v>
      </c>
      <c r="EZ18">
        <v>320.94900000000001</v>
      </c>
      <c r="FA18">
        <v>441.589</v>
      </c>
      <c r="FB18">
        <v>20.967199999999998</v>
      </c>
      <c r="FC18">
        <v>38.307499999999997</v>
      </c>
      <c r="FD18">
        <v>29.9999</v>
      </c>
      <c r="FE18">
        <v>38.209800000000001</v>
      </c>
      <c r="FF18">
        <v>38.184100000000001</v>
      </c>
      <c r="FG18">
        <v>17.62</v>
      </c>
      <c r="FH18">
        <v>54.177500000000002</v>
      </c>
      <c r="FI18">
        <v>0</v>
      </c>
      <c r="FJ18">
        <v>19.445499999999999</v>
      </c>
      <c r="FK18">
        <v>300</v>
      </c>
      <c r="FL18">
        <v>16.564699999999998</v>
      </c>
      <c r="FM18">
        <v>99.827699999999993</v>
      </c>
      <c r="FN18">
        <v>100.26600000000001</v>
      </c>
    </row>
    <row r="19" spans="1:170" x14ac:dyDescent="0.25">
      <c r="A19">
        <v>3</v>
      </c>
      <c r="B19">
        <v>1594052452.4000001</v>
      </c>
      <c r="C19">
        <v>236.5</v>
      </c>
      <c r="D19" t="s">
        <v>294</v>
      </c>
      <c r="E19" t="s">
        <v>295</v>
      </c>
      <c r="G19">
        <v>1594052444.4000001</v>
      </c>
      <c r="H19">
        <f t="shared" si="0"/>
        <v>7.8494546461584346E-3</v>
      </c>
      <c r="I19">
        <f t="shared" si="1"/>
        <v>14.008311098415698</v>
      </c>
      <c r="J19">
        <f t="shared" si="2"/>
        <v>193.78445161290301</v>
      </c>
      <c r="K19">
        <f t="shared" si="3"/>
        <v>141.88246231414354</v>
      </c>
      <c r="L19">
        <f t="shared" si="4"/>
        <v>14.112489875634633</v>
      </c>
      <c r="M19">
        <f t="shared" si="5"/>
        <v>19.274976391285023</v>
      </c>
      <c r="N19">
        <f t="shared" si="6"/>
        <v>0.50590927293702426</v>
      </c>
      <c r="O19">
        <f t="shared" si="7"/>
        <v>3.3799105037925448</v>
      </c>
      <c r="P19">
        <f t="shared" si="8"/>
        <v>0.4672932925887659</v>
      </c>
      <c r="Q19">
        <f t="shared" si="9"/>
        <v>0.29528178811684114</v>
      </c>
      <c r="R19">
        <f t="shared" si="10"/>
        <v>321.43807176010154</v>
      </c>
      <c r="S19">
        <f t="shared" si="11"/>
        <v>26.623778804334865</v>
      </c>
      <c r="T19">
        <f t="shared" si="12"/>
        <v>26.954861290322601</v>
      </c>
      <c r="U19">
        <f t="shared" si="13"/>
        <v>3.5696819256867593</v>
      </c>
      <c r="V19">
        <f t="shared" si="14"/>
        <v>55.148243413330334</v>
      </c>
      <c r="W19">
        <f t="shared" si="15"/>
        <v>1.9451990688269332</v>
      </c>
      <c r="X19">
        <f t="shared" si="16"/>
        <v>3.5272185448371749</v>
      </c>
      <c r="Y19">
        <f t="shared" si="17"/>
        <v>1.6244828568598262</v>
      </c>
      <c r="Z19">
        <f t="shared" si="18"/>
        <v>-346.16094989558695</v>
      </c>
      <c r="AA19">
        <f t="shared" si="19"/>
        <v>-37.086599281189578</v>
      </c>
      <c r="AB19">
        <f t="shared" si="20"/>
        <v>-2.3645509920755856</v>
      </c>
      <c r="AC19">
        <f t="shared" si="21"/>
        <v>-64.174028408750573</v>
      </c>
      <c r="AD19">
        <v>-4.1136738553486402E-2</v>
      </c>
      <c r="AE19">
        <v>4.6179592802515199E-2</v>
      </c>
      <c r="AF19">
        <v>3.4520982724014599</v>
      </c>
      <c r="AG19">
        <v>163</v>
      </c>
      <c r="AH19">
        <v>33</v>
      </c>
      <c r="AI19">
        <f t="shared" si="22"/>
        <v>1</v>
      </c>
      <c r="AJ19">
        <f t="shared" si="23"/>
        <v>0</v>
      </c>
      <c r="AK19">
        <f t="shared" si="24"/>
        <v>52500.741916514147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278.28557692307697</v>
      </c>
      <c r="AT19">
        <v>352.58699999999999</v>
      </c>
      <c r="AU19">
        <f t="shared" si="27"/>
        <v>0.21073216844898712</v>
      </c>
      <c r="AV19">
        <v>0.5</v>
      </c>
      <c r="AW19">
        <f t="shared" si="28"/>
        <v>1681.1877867735786</v>
      </c>
      <c r="AX19">
        <f t="shared" si="29"/>
        <v>14.008311098415698</v>
      </c>
      <c r="AY19">
        <f t="shared" si="30"/>
        <v>177.1401739383748</v>
      </c>
      <c r="AZ19">
        <f t="shared" si="31"/>
        <v>0.43497633208257819</v>
      </c>
      <c r="BA19">
        <f t="shared" si="32"/>
        <v>8.9272068334606616E-3</v>
      </c>
      <c r="BB19">
        <f t="shared" si="33"/>
        <v>-1</v>
      </c>
      <c r="BC19" t="s">
        <v>297</v>
      </c>
      <c r="BD19">
        <v>199.22</v>
      </c>
      <c r="BE19">
        <f t="shared" si="34"/>
        <v>153.36699999999999</v>
      </c>
      <c r="BF19">
        <f t="shared" si="35"/>
        <v>0.48446812597835925</v>
      </c>
      <c r="BG19">
        <f t="shared" si="36"/>
        <v>1.7698373657263327</v>
      </c>
      <c r="BH19">
        <f t="shared" si="37"/>
        <v>0.21073216844898709</v>
      </c>
      <c r="BI19" t="e">
        <f t="shared" si="38"/>
        <v>#DIV/0!</v>
      </c>
      <c r="BJ19">
        <v>4599</v>
      </c>
      <c r="BK19">
        <v>300</v>
      </c>
      <c r="BL19">
        <v>300</v>
      </c>
      <c r="BM19">
        <v>300</v>
      </c>
      <c r="BN19">
        <v>9876.83</v>
      </c>
      <c r="BO19">
        <v>333.81599999999997</v>
      </c>
      <c r="BP19">
        <v>-6.5696900000000004E-3</v>
      </c>
      <c r="BQ19">
        <v>0.61734</v>
      </c>
      <c r="BR19">
        <f t="shared" si="39"/>
        <v>1999.98903225806</v>
      </c>
      <c r="BS19">
        <f t="shared" si="40"/>
        <v>1681.1877867735786</v>
      </c>
      <c r="BT19">
        <f t="shared" si="41"/>
        <v>0.84059850312051798</v>
      </c>
      <c r="BU19">
        <f t="shared" si="42"/>
        <v>0.19119700624103608</v>
      </c>
      <c r="BV19">
        <v>0.5</v>
      </c>
      <c r="BW19" t="s">
        <v>281</v>
      </c>
      <c r="BX19">
        <v>1594052444.4000001</v>
      </c>
      <c r="BY19">
        <v>193.78445161290301</v>
      </c>
      <c r="BZ19">
        <v>199.99538709677401</v>
      </c>
      <c r="CA19">
        <v>19.556409677419399</v>
      </c>
      <c r="CB19">
        <v>16.4784419354839</v>
      </c>
      <c r="CC19">
        <v>500.06680645161299</v>
      </c>
      <c r="CD19">
        <v>99.266054838709707</v>
      </c>
      <c r="CE19">
        <v>0.20000774193548401</v>
      </c>
      <c r="CF19">
        <v>26.751332258064501</v>
      </c>
      <c r="CG19">
        <v>26.954861290322601</v>
      </c>
      <c r="CH19">
        <v>999.9</v>
      </c>
      <c r="CI19">
        <v>9993.6725806451595</v>
      </c>
      <c r="CJ19">
        <v>0</v>
      </c>
      <c r="CK19">
        <v>309.844290322581</v>
      </c>
      <c r="CL19">
        <v>1999.98903225806</v>
      </c>
      <c r="CM19">
        <v>0.98000225806451602</v>
      </c>
      <c r="CN19">
        <v>1.9997964516129001E-2</v>
      </c>
      <c r="CO19">
        <v>0</v>
      </c>
      <c r="CP19">
        <v>278.30432258064502</v>
      </c>
      <c r="CQ19">
        <v>5.00054</v>
      </c>
      <c r="CR19">
        <v>7000.7632258064496</v>
      </c>
      <c r="CS19">
        <v>18703.529032258099</v>
      </c>
      <c r="CT19">
        <v>47.219516129032201</v>
      </c>
      <c r="CU19">
        <v>48.383000000000003</v>
      </c>
      <c r="CV19">
        <v>47.552</v>
      </c>
      <c r="CW19">
        <v>47.602645161290297</v>
      </c>
      <c r="CX19">
        <v>48.691129032257997</v>
      </c>
      <c r="CY19">
        <v>1955.0890322580599</v>
      </c>
      <c r="CZ19">
        <v>39.9</v>
      </c>
      <c r="DA19">
        <v>0</v>
      </c>
      <c r="DB19">
        <v>117.799999952316</v>
      </c>
      <c r="DC19">
        <v>278.28557692307697</v>
      </c>
      <c r="DD19">
        <v>-2.2042051214719001</v>
      </c>
      <c r="DE19">
        <v>-217.74290580861</v>
      </c>
      <c r="DF19">
        <v>6998.3661538461502</v>
      </c>
      <c r="DG19">
        <v>15</v>
      </c>
      <c r="DH19">
        <v>1594052480.9000001</v>
      </c>
      <c r="DI19" t="s">
        <v>298</v>
      </c>
      <c r="DJ19">
        <v>32</v>
      </c>
      <c r="DK19">
        <v>-0.45200000000000001</v>
      </c>
      <c r="DL19">
        <v>0.106</v>
      </c>
      <c r="DM19">
        <v>200</v>
      </c>
      <c r="DN19">
        <v>16</v>
      </c>
      <c r="DO19">
        <v>0.72</v>
      </c>
      <c r="DP19">
        <v>0.03</v>
      </c>
      <c r="DQ19">
        <v>193.76490740740701</v>
      </c>
      <c r="DR19">
        <v>-2.05786163521554E-2</v>
      </c>
      <c r="DS19">
        <v>1.15410194660395E-2</v>
      </c>
      <c r="DT19">
        <v>1</v>
      </c>
      <c r="DU19">
        <v>19.547644444444401</v>
      </c>
      <c r="DV19">
        <v>6.5899142367069494E-2</v>
      </c>
      <c r="DW19">
        <v>9.8974307677533197E-3</v>
      </c>
      <c r="DX19">
        <v>1</v>
      </c>
      <c r="DY19">
        <v>2</v>
      </c>
      <c r="DZ19">
        <v>2</v>
      </c>
      <c r="EA19" t="s">
        <v>293</v>
      </c>
      <c r="EB19">
        <v>1.8667199999999999</v>
      </c>
      <c r="EC19">
        <v>1.8632500000000001</v>
      </c>
      <c r="ED19">
        <v>1.86886</v>
      </c>
      <c r="EE19">
        <v>1.86676</v>
      </c>
      <c r="EF19">
        <v>1.8714900000000001</v>
      </c>
      <c r="EG19">
        <v>1.8638999999999999</v>
      </c>
      <c r="EH19">
        <v>1.8653900000000001</v>
      </c>
      <c r="EI19">
        <v>1.8653299999999999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-0.45200000000000001</v>
      </c>
      <c r="EX19">
        <v>0.106</v>
      </c>
      <c r="EY19">
        <v>2</v>
      </c>
      <c r="EZ19">
        <v>322.38099999999997</v>
      </c>
      <c r="FA19">
        <v>438.702</v>
      </c>
      <c r="FB19">
        <v>21.469799999999999</v>
      </c>
      <c r="FC19">
        <v>38.1599</v>
      </c>
      <c r="FD19">
        <v>29.998999999999999</v>
      </c>
      <c r="FE19">
        <v>38.126600000000003</v>
      </c>
      <c r="FF19">
        <v>38.107700000000001</v>
      </c>
      <c r="FG19">
        <v>12.9238</v>
      </c>
      <c r="FH19">
        <v>54.380400000000002</v>
      </c>
      <c r="FI19">
        <v>0</v>
      </c>
      <c r="FJ19">
        <v>21.511800000000001</v>
      </c>
      <c r="FK19">
        <v>200</v>
      </c>
      <c r="FL19">
        <v>16.486499999999999</v>
      </c>
      <c r="FM19">
        <v>99.850800000000007</v>
      </c>
      <c r="FN19">
        <v>100.297</v>
      </c>
    </row>
    <row r="20" spans="1:170" x14ac:dyDescent="0.25">
      <c r="A20">
        <v>4</v>
      </c>
      <c r="B20">
        <v>1594052572.4000001</v>
      </c>
      <c r="C20">
        <v>356.5</v>
      </c>
      <c r="D20" t="s">
        <v>299</v>
      </c>
      <c r="E20" t="s">
        <v>300</v>
      </c>
      <c r="G20">
        <v>1594052564.40323</v>
      </c>
      <c r="H20">
        <f t="shared" si="0"/>
        <v>7.6288332235693356E-3</v>
      </c>
      <c r="I20">
        <f t="shared" si="1"/>
        <v>4.8945011333154955</v>
      </c>
      <c r="J20">
        <f t="shared" si="2"/>
        <v>97.736451612903195</v>
      </c>
      <c r="K20">
        <f t="shared" si="3"/>
        <v>78.283868699343415</v>
      </c>
      <c r="L20">
        <f t="shared" si="4"/>
        <v>7.7861952586898937</v>
      </c>
      <c r="M20">
        <f t="shared" si="5"/>
        <v>9.720969451219057</v>
      </c>
      <c r="N20">
        <f t="shared" si="6"/>
        <v>0.48913070200924857</v>
      </c>
      <c r="O20">
        <f t="shared" si="7"/>
        <v>3.3825413967667215</v>
      </c>
      <c r="P20">
        <f t="shared" si="8"/>
        <v>0.45296141446591709</v>
      </c>
      <c r="Q20">
        <f t="shared" si="9"/>
        <v>0.28612734832485198</v>
      </c>
      <c r="R20">
        <f t="shared" si="10"/>
        <v>321.44172709853979</v>
      </c>
      <c r="S20">
        <f t="shared" si="11"/>
        <v>26.779640171610165</v>
      </c>
      <c r="T20">
        <f t="shared" si="12"/>
        <v>27.012883870967698</v>
      </c>
      <c r="U20">
        <f t="shared" si="13"/>
        <v>3.5818689434205013</v>
      </c>
      <c r="V20">
        <f t="shared" si="14"/>
        <v>55.036359520345933</v>
      </c>
      <c r="W20">
        <f t="shared" si="15"/>
        <v>1.9533459104428332</v>
      </c>
      <c r="X20">
        <f t="shared" si="16"/>
        <v>3.5491917115642742</v>
      </c>
      <c r="Y20">
        <f t="shared" si="17"/>
        <v>1.6285230329776681</v>
      </c>
      <c r="Z20">
        <f t="shared" si="18"/>
        <v>-336.43154515940768</v>
      </c>
      <c r="AA20">
        <f t="shared" si="19"/>
        <v>-28.442210631220856</v>
      </c>
      <c r="AB20">
        <f t="shared" si="20"/>
        <v>-1.8134787580267329</v>
      </c>
      <c r="AC20">
        <f t="shared" si="21"/>
        <v>-45.245507450115497</v>
      </c>
      <c r="AD20">
        <v>-4.1177420652032302E-2</v>
      </c>
      <c r="AE20">
        <v>4.62252620220805E-2</v>
      </c>
      <c r="AF20">
        <v>3.45480055533069</v>
      </c>
      <c r="AG20">
        <v>164</v>
      </c>
      <c r="AH20">
        <v>33</v>
      </c>
      <c r="AI20">
        <f t="shared" si="22"/>
        <v>1</v>
      </c>
      <c r="AJ20">
        <f t="shared" si="23"/>
        <v>0</v>
      </c>
      <c r="AK20">
        <f t="shared" si="24"/>
        <v>52531.92960461427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278.191423076923</v>
      </c>
      <c r="AT20">
        <v>332.08</v>
      </c>
      <c r="AU20">
        <f t="shared" si="27"/>
        <v>0.16227588810851901</v>
      </c>
      <c r="AV20">
        <v>0.5</v>
      </c>
      <c r="AW20">
        <f t="shared" si="28"/>
        <v>1681.2070254832627</v>
      </c>
      <c r="AX20">
        <f t="shared" si="29"/>
        <v>4.8945011333154955</v>
      </c>
      <c r="AY20">
        <f t="shared" si="30"/>
        <v>136.40968157728901</v>
      </c>
      <c r="AZ20">
        <f t="shared" si="31"/>
        <v>0.36647795711876657</v>
      </c>
      <c r="BA20">
        <f t="shared" si="32"/>
        <v>3.5061125988461307E-3</v>
      </c>
      <c r="BB20">
        <f t="shared" si="33"/>
        <v>-1</v>
      </c>
      <c r="BC20" t="s">
        <v>302</v>
      </c>
      <c r="BD20">
        <v>210.38</v>
      </c>
      <c r="BE20">
        <f t="shared" si="34"/>
        <v>121.69999999999999</v>
      </c>
      <c r="BF20">
        <f t="shared" si="35"/>
        <v>0.44279849567031215</v>
      </c>
      <c r="BG20">
        <f t="shared" si="36"/>
        <v>1.5784770415438729</v>
      </c>
      <c r="BH20">
        <f t="shared" si="37"/>
        <v>0.16227588810851898</v>
      </c>
      <c r="BI20" t="e">
        <f t="shared" si="38"/>
        <v>#DIV/0!</v>
      </c>
      <c r="BJ20">
        <v>4601</v>
      </c>
      <c r="BK20">
        <v>300</v>
      </c>
      <c r="BL20">
        <v>300</v>
      </c>
      <c r="BM20">
        <v>300</v>
      </c>
      <c r="BN20">
        <v>9876.94</v>
      </c>
      <c r="BO20">
        <v>320.38</v>
      </c>
      <c r="BP20">
        <v>-6.5697200000000002E-3</v>
      </c>
      <c r="BQ20">
        <v>0.83319100000000001</v>
      </c>
      <c r="BR20">
        <f t="shared" si="39"/>
        <v>2000.01193548387</v>
      </c>
      <c r="BS20">
        <f t="shared" si="40"/>
        <v>1681.2070254832627</v>
      </c>
      <c r="BT20">
        <f t="shared" si="41"/>
        <v>0.84059849626673466</v>
      </c>
      <c r="BU20">
        <f t="shared" si="42"/>
        <v>0.19119699253346947</v>
      </c>
      <c r="BV20">
        <v>0.5</v>
      </c>
      <c r="BW20" t="s">
        <v>281</v>
      </c>
      <c r="BX20">
        <v>1594052564.40323</v>
      </c>
      <c r="BY20">
        <v>97.736451612903195</v>
      </c>
      <c r="BZ20">
        <v>99.992264516128998</v>
      </c>
      <c r="CA20">
        <v>19.639306451612899</v>
      </c>
      <c r="CB20">
        <v>16.648012903225801</v>
      </c>
      <c r="CC20">
        <v>500.051774193548</v>
      </c>
      <c r="CD20">
        <v>99.2610903225806</v>
      </c>
      <c r="CE20">
        <v>0.19995303225806399</v>
      </c>
      <c r="CF20">
        <v>26.8569161290323</v>
      </c>
      <c r="CG20">
        <v>27.012883870967698</v>
      </c>
      <c r="CH20">
        <v>999.9</v>
      </c>
      <c r="CI20">
        <v>10004.0561290323</v>
      </c>
      <c r="CJ20">
        <v>0</v>
      </c>
      <c r="CK20">
        <v>292.16903225806499</v>
      </c>
      <c r="CL20">
        <v>2000.01193548387</v>
      </c>
      <c r="CM20">
        <v>0.98000225806451602</v>
      </c>
      <c r="CN20">
        <v>1.9997964516129001E-2</v>
      </c>
      <c r="CO20">
        <v>0</v>
      </c>
      <c r="CP20">
        <v>278.19222580645197</v>
      </c>
      <c r="CQ20">
        <v>5.00054</v>
      </c>
      <c r="CR20">
        <v>6970.9558064516104</v>
      </c>
      <c r="CS20">
        <v>18703.7580645161</v>
      </c>
      <c r="CT20">
        <v>47.118709677419297</v>
      </c>
      <c r="CU20">
        <v>48.316129032257997</v>
      </c>
      <c r="CV20">
        <v>47.420999999999999</v>
      </c>
      <c r="CW20">
        <v>47.4856451612903</v>
      </c>
      <c r="CX20">
        <v>48.586516129032297</v>
      </c>
      <c r="CY20">
        <v>1955.11193548387</v>
      </c>
      <c r="CZ20">
        <v>39.9</v>
      </c>
      <c r="DA20">
        <v>0</v>
      </c>
      <c r="DB20">
        <v>119.40000009536701</v>
      </c>
      <c r="DC20">
        <v>278.191423076923</v>
      </c>
      <c r="DD20">
        <v>-0.287008541146412</v>
      </c>
      <c r="DE20">
        <v>233.48888902346201</v>
      </c>
      <c r="DF20">
        <v>6971.2396153846203</v>
      </c>
      <c r="DG20">
        <v>15</v>
      </c>
      <c r="DH20">
        <v>1594052601.9000001</v>
      </c>
      <c r="DI20" t="s">
        <v>303</v>
      </c>
      <c r="DJ20">
        <v>33</v>
      </c>
      <c r="DK20">
        <v>-0.40799999999999997</v>
      </c>
      <c r="DL20">
        <v>0.111</v>
      </c>
      <c r="DM20">
        <v>100</v>
      </c>
      <c r="DN20">
        <v>17</v>
      </c>
      <c r="DO20">
        <v>0.96</v>
      </c>
      <c r="DP20">
        <v>0.04</v>
      </c>
      <c r="DQ20">
        <v>97.6824129629629</v>
      </c>
      <c r="DR20">
        <v>0.102945680088269</v>
      </c>
      <c r="DS20">
        <v>1.54287495748382E-2</v>
      </c>
      <c r="DT20">
        <v>1</v>
      </c>
      <c r="DU20">
        <v>19.642475925925901</v>
      </c>
      <c r="DV20">
        <v>-7.6027579850569599E-2</v>
      </c>
      <c r="DW20">
        <v>1.10712161864162E-2</v>
      </c>
      <c r="DX20">
        <v>1</v>
      </c>
      <c r="DY20">
        <v>2</v>
      </c>
      <c r="DZ20">
        <v>2</v>
      </c>
      <c r="EA20" t="s">
        <v>293</v>
      </c>
      <c r="EB20">
        <v>1.8666499999999999</v>
      </c>
      <c r="EC20">
        <v>1.8632</v>
      </c>
      <c r="ED20">
        <v>1.8687800000000001</v>
      </c>
      <c r="EE20">
        <v>1.8667499999999999</v>
      </c>
      <c r="EF20">
        <v>1.87148</v>
      </c>
      <c r="EG20">
        <v>1.86388</v>
      </c>
      <c r="EH20">
        <v>1.86538</v>
      </c>
      <c r="EI20">
        <v>1.86528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-0.40799999999999997</v>
      </c>
      <c r="EX20">
        <v>0.111</v>
      </c>
      <c r="EY20">
        <v>2</v>
      </c>
      <c r="EZ20">
        <v>322.238</v>
      </c>
      <c r="FA20">
        <v>441.875</v>
      </c>
      <c r="FB20">
        <v>21.0806</v>
      </c>
      <c r="FC20">
        <v>37.997599999999998</v>
      </c>
      <c r="FD20">
        <v>29.999500000000001</v>
      </c>
      <c r="FE20">
        <v>38.028599999999997</v>
      </c>
      <c r="FF20">
        <v>38.023200000000003</v>
      </c>
      <c r="FG20">
        <v>8.0515000000000008</v>
      </c>
      <c r="FH20">
        <v>54.170699999999997</v>
      </c>
      <c r="FI20">
        <v>0</v>
      </c>
      <c r="FJ20">
        <v>21.519200000000001</v>
      </c>
      <c r="FK20">
        <v>100</v>
      </c>
      <c r="FL20">
        <v>16.621600000000001</v>
      </c>
      <c r="FM20">
        <v>99.868899999999996</v>
      </c>
      <c r="FN20">
        <v>100.32299999999999</v>
      </c>
    </row>
    <row r="21" spans="1:170" x14ac:dyDescent="0.25">
      <c r="A21">
        <v>5</v>
      </c>
      <c r="B21">
        <v>1594052693.4000001</v>
      </c>
      <c r="C21">
        <v>477.5</v>
      </c>
      <c r="D21" t="s">
        <v>304</v>
      </c>
      <c r="E21" t="s">
        <v>305</v>
      </c>
      <c r="G21">
        <v>1594052685.40323</v>
      </c>
      <c r="H21">
        <f t="shared" si="0"/>
        <v>7.9361543775020842E-3</v>
      </c>
      <c r="I21">
        <f t="shared" si="1"/>
        <v>0.49230460975557933</v>
      </c>
      <c r="J21">
        <f t="shared" si="2"/>
        <v>49.648519354838697</v>
      </c>
      <c r="K21">
        <f t="shared" si="3"/>
        <v>46.715247105406554</v>
      </c>
      <c r="L21">
        <f t="shared" si="4"/>
        <v>4.6461409789085364</v>
      </c>
      <c r="M21">
        <f t="shared" si="5"/>
        <v>4.9378743474516016</v>
      </c>
      <c r="N21">
        <f t="shared" si="6"/>
        <v>0.5112449833698357</v>
      </c>
      <c r="O21">
        <f t="shared" si="7"/>
        <v>3.380697697527864</v>
      </c>
      <c r="P21">
        <f t="shared" si="8"/>
        <v>0.47185255347346822</v>
      </c>
      <c r="Q21">
        <f t="shared" si="9"/>
        <v>0.29819375730907438</v>
      </c>
      <c r="R21">
        <f t="shared" si="10"/>
        <v>321.44023407298062</v>
      </c>
      <c r="S21">
        <f t="shared" si="11"/>
        <v>26.726035513867842</v>
      </c>
      <c r="T21">
        <f t="shared" si="12"/>
        <v>26.999780645161302</v>
      </c>
      <c r="U21">
        <f t="shared" si="13"/>
        <v>3.5791135818175182</v>
      </c>
      <c r="V21">
        <f t="shared" si="14"/>
        <v>54.969822372500843</v>
      </c>
      <c r="W21">
        <f t="shared" si="15"/>
        <v>1.9528600968804781</v>
      </c>
      <c r="X21">
        <f t="shared" si="16"/>
        <v>3.5526039790469004</v>
      </c>
      <c r="Y21">
        <f t="shared" si="17"/>
        <v>1.62625348493704</v>
      </c>
      <c r="Z21">
        <f t="shared" si="18"/>
        <v>-349.9844080478419</v>
      </c>
      <c r="AA21">
        <f t="shared" si="19"/>
        <v>-23.059439661318823</v>
      </c>
      <c r="AB21">
        <f t="shared" si="20"/>
        <v>-1.4710982816455753</v>
      </c>
      <c r="AC21">
        <f t="shared" si="21"/>
        <v>-53.074711917825695</v>
      </c>
      <c r="AD21">
        <v>-4.1148909622255002E-2</v>
      </c>
      <c r="AE21">
        <v>4.61932558934521E-2</v>
      </c>
      <c r="AF21">
        <v>3.4529068242299799</v>
      </c>
      <c r="AG21">
        <v>163</v>
      </c>
      <c r="AH21">
        <v>33</v>
      </c>
      <c r="AI21">
        <f t="shared" si="22"/>
        <v>1</v>
      </c>
      <c r="AJ21">
        <f t="shared" si="23"/>
        <v>0</v>
      </c>
      <c r="AK21">
        <f t="shared" si="24"/>
        <v>52494.085857045684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278.99119230769202</v>
      </c>
      <c r="AT21">
        <v>325.411</v>
      </c>
      <c r="AU21">
        <f t="shared" si="27"/>
        <v>0.14264978040787801</v>
      </c>
      <c r="AV21">
        <v>0.5</v>
      </c>
      <c r="AW21">
        <f t="shared" si="28"/>
        <v>1681.1991674187448</v>
      </c>
      <c r="AX21">
        <f t="shared" si="29"/>
        <v>0.49230460975557933</v>
      </c>
      <c r="AY21">
        <f t="shared" si="30"/>
        <v>119.91134602709565</v>
      </c>
      <c r="AZ21">
        <f t="shared" si="31"/>
        <v>0.33837516248682431</v>
      </c>
      <c r="BA21">
        <f t="shared" si="32"/>
        <v>8.8764296264006142E-4</v>
      </c>
      <c r="BB21">
        <f t="shared" si="33"/>
        <v>-1</v>
      </c>
      <c r="BC21" t="s">
        <v>307</v>
      </c>
      <c r="BD21">
        <v>215.3</v>
      </c>
      <c r="BE21">
        <f t="shared" si="34"/>
        <v>110.11099999999999</v>
      </c>
      <c r="BF21">
        <f t="shared" si="35"/>
        <v>0.42157284642141102</v>
      </c>
      <c r="BG21">
        <f t="shared" si="36"/>
        <v>1.5114305620065025</v>
      </c>
      <c r="BH21">
        <f t="shared" si="37"/>
        <v>0.14264978040787799</v>
      </c>
      <c r="BI21" t="e">
        <f t="shared" si="38"/>
        <v>#DIV/0!</v>
      </c>
      <c r="BJ21">
        <v>4603</v>
      </c>
      <c r="BK21">
        <v>300</v>
      </c>
      <c r="BL21">
        <v>300</v>
      </c>
      <c r="BM21">
        <v>300</v>
      </c>
      <c r="BN21">
        <v>9877.17</v>
      </c>
      <c r="BO21">
        <v>313.91300000000001</v>
      </c>
      <c r="BP21">
        <v>-6.5699E-3</v>
      </c>
      <c r="BQ21">
        <v>0.43197600000000003</v>
      </c>
      <c r="BR21">
        <f t="shared" si="39"/>
        <v>2000.0025806451599</v>
      </c>
      <c r="BS21">
        <f t="shared" si="40"/>
        <v>1681.1991674187448</v>
      </c>
      <c r="BT21">
        <f t="shared" si="41"/>
        <v>0.84059849906614836</v>
      </c>
      <c r="BU21">
        <f t="shared" si="42"/>
        <v>0.19119699813229676</v>
      </c>
      <c r="BV21">
        <v>0.5</v>
      </c>
      <c r="BW21" t="s">
        <v>281</v>
      </c>
      <c r="BX21">
        <v>1594052685.40323</v>
      </c>
      <c r="BY21">
        <v>49.648519354838697</v>
      </c>
      <c r="BZ21">
        <v>50.0029903225807</v>
      </c>
      <c r="CA21">
        <v>19.6352935483871</v>
      </c>
      <c r="CB21">
        <v>16.523674193548398</v>
      </c>
      <c r="CC21">
        <v>500.08209677419399</v>
      </c>
      <c r="CD21">
        <v>99.256635483870994</v>
      </c>
      <c r="CE21">
        <v>0.199993064516129</v>
      </c>
      <c r="CF21">
        <v>26.873261290322599</v>
      </c>
      <c r="CG21">
        <v>26.999780645161302</v>
      </c>
      <c r="CH21">
        <v>999.9</v>
      </c>
      <c r="CI21">
        <v>9997.5780645161303</v>
      </c>
      <c r="CJ21">
        <v>0</v>
      </c>
      <c r="CK21">
        <v>319.59858064516101</v>
      </c>
      <c r="CL21">
        <v>2000.0025806451599</v>
      </c>
      <c r="CM21">
        <v>0.98000200000000004</v>
      </c>
      <c r="CN21">
        <v>1.99983E-2</v>
      </c>
      <c r="CO21">
        <v>0</v>
      </c>
      <c r="CP21">
        <v>278.99016129032299</v>
      </c>
      <c r="CQ21">
        <v>5.00054</v>
      </c>
      <c r="CR21">
        <v>6897.2487096774203</v>
      </c>
      <c r="CS21">
        <v>18703.670967741898</v>
      </c>
      <c r="CT21">
        <v>47.0561935483871</v>
      </c>
      <c r="CU21">
        <v>48.320129032258002</v>
      </c>
      <c r="CV21">
        <v>47.352645161290297</v>
      </c>
      <c r="CW21">
        <v>47.527870967741897</v>
      </c>
      <c r="CX21">
        <v>48.558129032258101</v>
      </c>
      <c r="CY21">
        <v>1955.1025806451601</v>
      </c>
      <c r="CZ21">
        <v>39.9</v>
      </c>
      <c r="DA21">
        <v>0</v>
      </c>
      <c r="DB21">
        <v>120.10000014305101</v>
      </c>
      <c r="DC21">
        <v>278.99119230769202</v>
      </c>
      <c r="DD21">
        <v>-0.76147008958607798</v>
      </c>
      <c r="DE21">
        <v>-39.1022221924799</v>
      </c>
      <c r="DF21">
        <v>6897.0376923076901</v>
      </c>
      <c r="DG21">
        <v>15</v>
      </c>
      <c r="DH21">
        <v>1594052721.9000001</v>
      </c>
      <c r="DI21" t="s">
        <v>308</v>
      </c>
      <c r="DJ21">
        <v>34</v>
      </c>
      <c r="DK21">
        <v>-0.47199999999999998</v>
      </c>
      <c r="DL21">
        <v>0.107</v>
      </c>
      <c r="DM21">
        <v>50</v>
      </c>
      <c r="DN21">
        <v>17</v>
      </c>
      <c r="DO21">
        <v>1.94</v>
      </c>
      <c r="DP21">
        <v>0.03</v>
      </c>
      <c r="DQ21">
        <v>49.707214814814797</v>
      </c>
      <c r="DR21">
        <v>4.6605018336473701E-2</v>
      </c>
      <c r="DS21">
        <v>9.4321437688798596E-3</v>
      </c>
      <c r="DT21">
        <v>1</v>
      </c>
      <c r="DU21">
        <v>19.634018518518499</v>
      </c>
      <c r="DV21">
        <v>5.46734879855693E-2</v>
      </c>
      <c r="DW21">
        <v>7.9903662845184197E-3</v>
      </c>
      <c r="DX21">
        <v>1</v>
      </c>
      <c r="DY21">
        <v>2</v>
      </c>
      <c r="DZ21">
        <v>2</v>
      </c>
      <c r="EA21" t="s">
        <v>293</v>
      </c>
      <c r="EB21">
        <v>1.86669</v>
      </c>
      <c r="EC21">
        <v>1.86324</v>
      </c>
      <c r="ED21">
        <v>1.8687800000000001</v>
      </c>
      <c r="EE21">
        <v>1.86676</v>
      </c>
      <c r="EF21">
        <v>1.87148</v>
      </c>
      <c r="EG21">
        <v>1.8638600000000001</v>
      </c>
      <c r="EH21">
        <v>1.86538</v>
      </c>
      <c r="EI21">
        <v>1.86528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-0.47199999999999998</v>
      </c>
      <c r="EX21">
        <v>0.107</v>
      </c>
      <c r="EY21">
        <v>2</v>
      </c>
      <c r="EZ21">
        <v>323.24</v>
      </c>
      <c r="FA21">
        <v>439.19400000000002</v>
      </c>
      <c r="FB21">
        <v>21.4739</v>
      </c>
      <c r="FC21">
        <v>37.9741</v>
      </c>
      <c r="FD21">
        <v>30.000299999999999</v>
      </c>
      <c r="FE21">
        <v>38.003100000000003</v>
      </c>
      <c r="FF21">
        <v>37.998699999999999</v>
      </c>
      <c r="FG21">
        <v>5.5866800000000003</v>
      </c>
      <c r="FH21">
        <v>54.433399999999999</v>
      </c>
      <c r="FI21">
        <v>0</v>
      </c>
      <c r="FJ21">
        <v>21.463899999999999</v>
      </c>
      <c r="FK21">
        <v>50</v>
      </c>
      <c r="FL21">
        <v>16.540600000000001</v>
      </c>
      <c r="FM21">
        <v>99.8703</v>
      </c>
      <c r="FN21">
        <v>100.324</v>
      </c>
    </row>
    <row r="22" spans="1:170" x14ac:dyDescent="0.25">
      <c r="A22">
        <v>6</v>
      </c>
      <c r="B22">
        <v>1594052831.4000001</v>
      </c>
      <c r="C22">
        <v>615.5</v>
      </c>
      <c r="D22" t="s">
        <v>309</v>
      </c>
      <c r="E22" t="s">
        <v>310</v>
      </c>
      <c r="G22">
        <v>1594052823.40323</v>
      </c>
      <c r="H22">
        <f t="shared" si="0"/>
        <v>8.3489094456758554E-3</v>
      </c>
      <c r="I22">
        <f t="shared" si="1"/>
        <v>28.149792849589691</v>
      </c>
      <c r="J22">
        <f t="shared" si="2"/>
        <v>387.481258064516</v>
      </c>
      <c r="K22">
        <f t="shared" si="3"/>
        <v>290.37438753719641</v>
      </c>
      <c r="L22">
        <f t="shared" si="4"/>
        <v>28.880154197656548</v>
      </c>
      <c r="M22">
        <f t="shared" si="5"/>
        <v>38.538242220731973</v>
      </c>
      <c r="N22">
        <f t="shared" si="6"/>
        <v>0.54968763171339663</v>
      </c>
      <c r="O22">
        <f t="shared" si="7"/>
        <v>3.380864273231317</v>
      </c>
      <c r="P22">
        <f t="shared" si="8"/>
        <v>0.50443113553587904</v>
      </c>
      <c r="Q22">
        <f t="shared" si="9"/>
        <v>0.31902449726313137</v>
      </c>
      <c r="R22">
        <f t="shared" si="10"/>
        <v>321.43446790530447</v>
      </c>
      <c r="S22">
        <f t="shared" si="11"/>
        <v>26.76246343946519</v>
      </c>
      <c r="T22">
        <f t="shared" si="12"/>
        <v>26.960719354838702</v>
      </c>
      <c r="U22">
        <f t="shared" si="13"/>
        <v>3.5709107040066494</v>
      </c>
      <c r="V22">
        <f t="shared" si="14"/>
        <v>55.046655266003043</v>
      </c>
      <c r="W22">
        <f t="shared" si="15"/>
        <v>1.9706213238302019</v>
      </c>
      <c r="X22">
        <f t="shared" si="16"/>
        <v>3.5799111032405682</v>
      </c>
      <c r="Y22">
        <f t="shared" si="17"/>
        <v>1.6002893801764475</v>
      </c>
      <c r="Z22">
        <f t="shared" si="18"/>
        <v>-368.18690655430521</v>
      </c>
      <c r="AA22">
        <f t="shared" si="19"/>
        <v>7.8111152263548229</v>
      </c>
      <c r="AB22">
        <f t="shared" si="20"/>
        <v>0.49852018162876083</v>
      </c>
      <c r="AC22">
        <f t="shared" si="21"/>
        <v>-38.442803241017167</v>
      </c>
      <c r="AD22">
        <v>-4.1151485268394503E-2</v>
      </c>
      <c r="AE22">
        <v>4.6196147281882698E-2</v>
      </c>
      <c r="AF22">
        <v>3.4530779197411299</v>
      </c>
      <c r="AG22">
        <v>162</v>
      </c>
      <c r="AH22">
        <v>32</v>
      </c>
      <c r="AI22">
        <f t="shared" si="22"/>
        <v>1</v>
      </c>
      <c r="AJ22">
        <f t="shared" si="23"/>
        <v>0</v>
      </c>
      <c r="AK22">
        <f t="shared" si="24"/>
        <v>52474.471671998472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276.77584615384598</v>
      </c>
      <c r="AT22">
        <v>364.62900000000002</v>
      </c>
      <c r="AU22">
        <f t="shared" si="27"/>
        <v>0.24093847128493351</v>
      </c>
      <c r="AV22">
        <v>0.5</v>
      </c>
      <c r="AW22">
        <f t="shared" si="28"/>
        <v>1681.1688190316406</v>
      </c>
      <c r="AX22">
        <f t="shared" si="29"/>
        <v>28.149792849589691</v>
      </c>
      <c r="AY22">
        <f t="shared" si="30"/>
        <v>202.52912261469027</v>
      </c>
      <c r="AZ22">
        <f t="shared" si="31"/>
        <v>0.49247042884685532</v>
      </c>
      <c r="BA22">
        <f t="shared" si="32"/>
        <v>1.7339003983181223E-2</v>
      </c>
      <c r="BB22">
        <f t="shared" si="33"/>
        <v>-1</v>
      </c>
      <c r="BC22" t="s">
        <v>312</v>
      </c>
      <c r="BD22">
        <v>185.06</v>
      </c>
      <c r="BE22">
        <f t="shared" si="34"/>
        <v>179.56900000000002</v>
      </c>
      <c r="BF22">
        <f t="shared" si="35"/>
        <v>0.48924454580776211</v>
      </c>
      <c r="BG22">
        <f t="shared" si="36"/>
        <v>1.9703285420944558</v>
      </c>
      <c r="BH22">
        <f t="shared" si="37"/>
        <v>0.24093847128493356</v>
      </c>
      <c r="BI22" t="e">
        <f t="shared" si="38"/>
        <v>#DIV/0!</v>
      </c>
      <c r="BJ22">
        <v>4605</v>
      </c>
      <c r="BK22">
        <v>300</v>
      </c>
      <c r="BL22">
        <v>300</v>
      </c>
      <c r="BM22">
        <v>300</v>
      </c>
      <c r="BN22">
        <v>9877.57</v>
      </c>
      <c r="BO22">
        <v>341.17399999999998</v>
      </c>
      <c r="BP22">
        <v>-6.5703699999999999E-3</v>
      </c>
      <c r="BQ22">
        <v>0.19537399999999999</v>
      </c>
      <c r="BR22">
        <f t="shared" si="39"/>
        <v>1999.9664516129001</v>
      </c>
      <c r="BS22">
        <f t="shared" si="40"/>
        <v>1681.1688190316406</v>
      </c>
      <c r="BT22">
        <f t="shared" si="41"/>
        <v>0.84059850987792284</v>
      </c>
      <c r="BU22">
        <f t="shared" si="42"/>
        <v>0.19119701975584574</v>
      </c>
      <c r="BV22">
        <v>0.5</v>
      </c>
      <c r="BW22" t="s">
        <v>281</v>
      </c>
      <c r="BX22">
        <v>1594052823.40323</v>
      </c>
      <c r="BY22">
        <v>387.481258064516</v>
      </c>
      <c r="BZ22">
        <v>400.03383870967701</v>
      </c>
      <c r="CA22">
        <v>19.813535483871</v>
      </c>
      <c r="CB22">
        <v>16.540493548387101</v>
      </c>
      <c r="CC22">
        <v>500.05396774193503</v>
      </c>
      <c r="CD22">
        <v>99.258370967741996</v>
      </c>
      <c r="CE22">
        <v>0.199967774193548</v>
      </c>
      <c r="CF22">
        <v>27.003574193548399</v>
      </c>
      <c r="CG22">
        <v>26.960719354838702</v>
      </c>
      <c r="CH22">
        <v>999.9</v>
      </c>
      <c r="CI22">
        <v>9998.0290322580695</v>
      </c>
      <c r="CJ22">
        <v>0</v>
      </c>
      <c r="CK22">
        <v>313.93758064516101</v>
      </c>
      <c r="CL22">
        <v>1999.9664516129001</v>
      </c>
      <c r="CM22">
        <v>0.98000083870967702</v>
      </c>
      <c r="CN22">
        <v>1.99992677419355E-2</v>
      </c>
      <c r="CO22">
        <v>0</v>
      </c>
      <c r="CP22">
        <v>276.76512903225802</v>
      </c>
      <c r="CQ22">
        <v>5.00054</v>
      </c>
      <c r="CR22">
        <v>6857.5812903225797</v>
      </c>
      <c r="CS22">
        <v>18703.316129032301</v>
      </c>
      <c r="CT22">
        <v>46.912935483871003</v>
      </c>
      <c r="CU22">
        <v>48.108677419354798</v>
      </c>
      <c r="CV22">
        <v>47.191064516129003</v>
      </c>
      <c r="CW22">
        <v>47.336387096774203</v>
      </c>
      <c r="CX22">
        <v>48.412999999999997</v>
      </c>
      <c r="CY22">
        <v>1955.0664516129</v>
      </c>
      <c r="CZ22">
        <v>39.9</v>
      </c>
      <c r="DA22">
        <v>0</v>
      </c>
      <c r="DB22">
        <v>137</v>
      </c>
      <c r="DC22">
        <v>276.77584615384598</v>
      </c>
      <c r="DD22">
        <v>-0.39165812646021297</v>
      </c>
      <c r="DE22">
        <v>-136.51692357254501</v>
      </c>
      <c r="DF22">
        <v>6858.0646153846201</v>
      </c>
      <c r="DG22">
        <v>15</v>
      </c>
      <c r="DH22">
        <v>1594052860.4000001</v>
      </c>
      <c r="DI22" t="s">
        <v>313</v>
      </c>
      <c r="DJ22">
        <v>35</v>
      </c>
      <c r="DK22">
        <v>-0.309</v>
      </c>
      <c r="DL22">
        <v>0.104</v>
      </c>
      <c r="DM22">
        <v>400</v>
      </c>
      <c r="DN22">
        <v>16</v>
      </c>
      <c r="DO22">
        <v>0.36</v>
      </c>
      <c r="DP22">
        <v>0.03</v>
      </c>
      <c r="DQ22">
        <v>387.28720370370399</v>
      </c>
      <c r="DR22">
        <v>0.29016449186231402</v>
      </c>
      <c r="DS22">
        <v>4.6773837111513901E-2</v>
      </c>
      <c r="DT22">
        <v>1</v>
      </c>
      <c r="DU22">
        <v>19.8140111111111</v>
      </c>
      <c r="DV22">
        <v>2.4076326192128999E-2</v>
      </c>
      <c r="DW22">
        <v>5.3120292093500401E-3</v>
      </c>
      <c r="DX22">
        <v>1</v>
      </c>
      <c r="DY22">
        <v>2</v>
      </c>
      <c r="DZ22">
        <v>2</v>
      </c>
      <c r="EA22" t="s">
        <v>293</v>
      </c>
      <c r="EB22">
        <v>1.8667400000000001</v>
      </c>
      <c r="EC22">
        <v>1.86324</v>
      </c>
      <c r="ED22">
        <v>1.86883</v>
      </c>
      <c r="EE22">
        <v>1.86676</v>
      </c>
      <c r="EF22">
        <v>1.8714900000000001</v>
      </c>
      <c r="EG22">
        <v>1.86388</v>
      </c>
      <c r="EH22">
        <v>1.8653900000000001</v>
      </c>
      <c r="EI22">
        <v>1.8653299999999999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-0.309</v>
      </c>
      <c r="EX22">
        <v>0.104</v>
      </c>
      <c r="EY22">
        <v>2</v>
      </c>
      <c r="EZ22">
        <v>323.83600000000001</v>
      </c>
      <c r="FA22">
        <v>441.923</v>
      </c>
      <c r="FB22">
        <v>21.953099999999999</v>
      </c>
      <c r="FC22">
        <v>37.879600000000003</v>
      </c>
      <c r="FD22">
        <v>29.999300000000002</v>
      </c>
      <c r="FE22">
        <v>37.931199999999997</v>
      </c>
      <c r="FF22">
        <v>37.9298</v>
      </c>
      <c r="FG22">
        <v>22.130099999999999</v>
      </c>
      <c r="FH22">
        <v>54.080500000000001</v>
      </c>
      <c r="FI22">
        <v>0</v>
      </c>
      <c r="FJ22">
        <v>21.967300000000002</v>
      </c>
      <c r="FK22">
        <v>400</v>
      </c>
      <c r="FL22">
        <v>16.4983</v>
      </c>
      <c r="FM22">
        <v>99.882900000000006</v>
      </c>
      <c r="FN22">
        <v>100.343</v>
      </c>
    </row>
    <row r="23" spans="1:170" x14ac:dyDescent="0.25">
      <c r="A23">
        <v>7</v>
      </c>
      <c r="B23">
        <v>1594052951.9000001</v>
      </c>
      <c r="C23">
        <v>736</v>
      </c>
      <c r="D23" t="s">
        <v>314</v>
      </c>
      <c r="E23" t="s">
        <v>315</v>
      </c>
      <c r="G23">
        <v>1594052943.90645</v>
      </c>
      <c r="H23">
        <f t="shared" si="0"/>
        <v>7.7578504459875847E-3</v>
      </c>
      <c r="I23">
        <f t="shared" si="1"/>
        <v>28.632253724395405</v>
      </c>
      <c r="J23">
        <f t="shared" si="2"/>
        <v>387.32912903225798</v>
      </c>
      <c r="K23">
        <f t="shared" si="3"/>
        <v>280.67882892505583</v>
      </c>
      <c r="L23">
        <f t="shared" si="4"/>
        <v>27.915924542511664</v>
      </c>
      <c r="M23">
        <f t="shared" si="5"/>
        <v>38.523214524556707</v>
      </c>
      <c r="N23">
        <f t="shared" si="6"/>
        <v>0.5012829931669831</v>
      </c>
      <c r="O23">
        <f t="shared" si="7"/>
        <v>3.3810819903007499</v>
      </c>
      <c r="P23">
        <f t="shared" si="8"/>
        <v>0.46335374066464274</v>
      </c>
      <c r="Q23">
        <f t="shared" si="9"/>
        <v>0.29276435800266487</v>
      </c>
      <c r="R23">
        <f t="shared" si="10"/>
        <v>321.44491672478108</v>
      </c>
      <c r="S23">
        <f t="shared" si="11"/>
        <v>27.023057373769007</v>
      </c>
      <c r="T23">
        <f t="shared" si="12"/>
        <v>27.092151612903201</v>
      </c>
      <c r="U23">
        <f t="shared" si="13"/>
        <v>3.5985769725713479</v>
      </c>
      <c r="V23">
        <f t="shared" si="14"/>
        <v>54.902391922349693</v>
      </c>
      <c r="W23">
        <f t="shared" si="15"/>
        <v>1.9800600709135943</v>
      </c>
      <c r="X23">
        <f t="shared" si="16"/>
        <v>3.6065096648504134</v>
      </c>
      <c r="Y23">
        <f t="shared" si="17"/>
        <v>1.6185169016577536</v>
      </c>
      <c r="Z23">
        <f t="shared" si="18"/>
        <v>-342.12120466805248</v>
      </c>
      <c r="AA23">
        <f t="shared" si="19"/>
        <v>6.8396494799456669</v>
      </c>
      <c r="AB23">
        <f t="shared" si="20"/>
        <v>0.43705361454079517</v>
      </c>
      <c r="AC23">
        <f t="shared" si="21"/>
        <v>-13.399584848784951</v>
      </c>
      <c r="AD23">
        <v>-4.1154851764240601E-2</v>
      </c>
      <c r="AE23">
        <v>4.6199926468391203E-2</v>
      </c>
      <c r="AF23">
        <v>3.4533015444209298</v>
      </c>
      <c r="AG23">
        <v>163</v>
      </c>
      <c r="AH23">
        <v>33</v>
      </c>
      <c r="AI23">
        <f t="shared" si="22"/>
        <v>1</v>
      </c>
      <c r="AJ23">
        <f t="shared" si="23"/>
        <v>0</v>
      </c>
      <c r="AK23">
        <f t="shared" si="24"/>
        <v>52456.545211827251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275.59226923076898</v>
      </c>
      <c r="AT23">
        <v>367.61500000000001</v>
      </c>
      <c r="AU23">
        <f t="shared" si="27"/>
        <v>0.25032365591510419</v>
      </c>
      <c r="AV23">
        <v>0.5</v>
      </c>
      <c r="AW23">
        <f t="shared" si="28"/>
        <v>1681.2257719957934</v>
      </c>
      <c r="AX23">
        <f t="shared" si="29"/>
        <v>28.632253724395405</v>
      </c>
      <c r="AY23">
        <f t="shared" si="30"/>
        <v>210.42529083234021</v>
      </c>
      <c r="AZ23">
        <f t="shared" si="31"/>
        <v>0.48935707193667288</v>
      </c>
      <c r="BA23">
        <f t="shared" si="32"/>
        <v>1.762538632108808E-2</v>
      </c>
      <c r="BB23">
        <f t="shared" si="33"/>
        <v>-1</v>
      </c>
      <c r="BC23" t="s">
        <v>317</v>
      </c>
      <c r="BD23">
        <v>187.72</v>
      </c>
      <c r="BE23">
        <f t="shared" si="34"/>
        <v>179.89500000000001</v>
      </c>
      <c r="BF23">
        <f t="shared" si="35"/>
        <v>0.51153578903933417</v>
      </c>
      <c r="BG23">
        <f t="shared" si="36"/>
        <v>1.9583155763903688</v>
      </c>
      <c r="BH23">
        <f t="shared" si="37"/>
        <v>0.25032365591510419</v>
      </c>
      <c r="BI23" t="e">
        <f t="shared" si="38"/>
        <v>#DIV/0!</v>
      </c>
      <c r="BJ23">
        <v>4607</v>
      </c>
      <c r="BK23">
        <v>300</v>
      </c>
      <c r="BL23">
        <v>300</v>
      </c>
      <c r="BM23">
        <v>300</v>
      </c>
      <c r="BN23">
        <v>9877.1</v>
      </c>
      <c r="BO23">
        <v>343.68599999999998</v>
      </c>
      <c r="BP23">
        <v>-6.5700999999999997E-3</v>
      </c>
      <c r="BQ23">
        <v>0.76443499999999998</v>
      </c>
      <c r="BR23">
        <f t="shared" si="39"/>
        <v>2000.03451612903</v>
      </c>
      <c r="BS23">
        <f t="shared" si="40"/>
        <v>1681.2257719957934</v>
      </c>
      <c r="BT23">
        <f t="shared" si="41"/>
        <v>0.84059837889684252</v>
      </c>
      <c r="BU23">
        <f t="shared" si="42"/>
        <v>0.19119675779368517</v>
      </c>
      <c r="BV23">
        <v>0.5</v>
      </c>
      <c r="BW23" t="s">
        <v>281</v>
      </c>
      <c r="BX23">
        <v>1594052943.90645</v>
      </c>
      <c r="BY23">
        <v>387.32912903225798</v>
      </c>
      <c r="BZ23">
        <v>399.98235483871002</v>
      </c>
      <c r="CA23">
        <v>19.9083838709677</v>
      </c>
      <c r="CB23">
        <v>16.867409677419399</v>
      </c>
      <c r="CC23">
        <v>500.06370967741901</v>
      </c>
      <c r="CD23">
        <v>99.258603225806496</v>
      </c>
      <c r="CE23">
        <v>0.20000093548387099</v>
      </c>
      <c r="CF23">
        <v>27.1296741935484</v>
      </c>
      <c r="CG23">
        <v>27.092151612903201</v>
      </c>
      <c r="CH23">
        <v>999.9</v>
      </c>
      <c r="CI23">
        <v>9998.8235483870994</v>
      </c>
      <c r="CJ23">
        <v>0</v>
      </c>
      <c r="CK23">
        <v>301.17180645161301</v>
      </c>
      <c r="CL23">
        <v>2000.03451612903</v>
      </c>
      <c r="CM23">
        <v>0.980002451612903</v>
      </c>
      <c r="CN23">
        <v>1.9997712903225801E-2</v>
      </c>
      <c r="CO23">
        <v>0</v>
      </c>
      <c r="CP23">
        <v>275.57838709677401</v>
      </c>
      <c r="CQ23">
        <v>5.00054</v>
      </c>
      <c r="CR23">
        <v>6777.9841935483901</v>
      </c>
      <c r="CS23">
        <v>18703.961290322601</v>
      </c>
      <c r="CT23">
        <v>46.911129032258103</v>
      </c>
      <c r="CU23">
        <v>48.076225806451603</v>
      </c>
      <c r="CV23">
        <v>47.126935483871002</v>
      </c>
      <c r="CW23">
        <v>47.380935483870999</v>
      </c>
      <c r="CX23">
        <v>48.447225806451598</v>
      </c>
      <c r="CY23">
        <v>1955.1396774193499</v>
      </c>
      <c r="CZ23">
        <v>39.892580645161303</v>
      </c>
      <c r="DA23">
        <v>0</v>
      </c>
      <c r="DB23">
        <v>119.60000014305101</v>
      </c>
      <c r="DC23">
        <v>275.59226923076898</v>
      </c>
      <c r="DD23">
        <v>-0.14690598339327501</v>
      </c>
      <c r="DE23">
        <v>-227.077265520986</v>
      </c>
      <c r="DF23">
        <v>6778.6411538461498</v>
      </c>
      <c r="DG23">
        <v>15</v>
      </c>
      <c r="DH23">
        <v>1594052979.9000001</v>
      </c>
      <c r="DI23" t="s">
        <v>318</v>
      </c>
      <c r="DJ23">
        <v>36</v>
      </c>
      <c r="DK23">
        <v>-0.38700000000000001</v>
      </c>
      <c r="DL23">
        <v>0.111</v>
      </c>
      <c r="DM23">
        <v>400</v>
      </c>
      <c r="DN23">
        <v>17</v>
      </c>
      <c r="DO23">
        <v>0.1</v>
      </c>
      <c r="DP23">
        <v>0.03</v>
      </c>
      <c r="DQ23">
        <v>387.416055555556</v>
      </c>
      <c r="DR23">
        <v>-1.1657930298122499E-2</v>
      </c>
      <c r="DS23">
        <v>3.9521872362802898E-2</v>
      </c>
      <c r="DT23">
        <v>1</v>
      </c>
      <c r="DU23">
        <v>19.880118518518501</v>
      </c>
      <c r="DV23">
        <v>0.17857145658491</v>
      </c>
      <c r="DW23">
        <v>2.4921410355385299E-2</v>
      </c>
      <c r="DX23">
        <v>1</v>
      </c>
      <c r="DY23">
        <v>2</v>
      </c>
      <c r="DZ23">
        <v>2</v>
      </c>
      <c r="EA23" t="s">
        <v>293</v>
      </c>
      <c r="EB23">
        <v>1.8666199999999999</v>
      </c>
      <c r="EC23">
        <v>1.8631200000000001</v>
      </c>
      <c r="ED23">
        <v>1.8687400000000001</v>
      </c>
      <c r="EE23">
        <v>1.8667199999999999</v>
      </c>
      <c r="EF23">
        <v>1.8714299999999999</v>
      </c>
      <c r="EG23">
        <v>1.8638600000000001</v>
      </c>
      <c r="EH23">
        <v>1.8653200000000001</v>
      </c>
      <c r="EI23">
        <v>1.8652299999999999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-0.38700000000000001</v>
      </c>
      <c r="EX23">
        <v>0.111</v>
      </c>
      <c r="EY23">
        <v>2</v>
      </c>
      <c r="EZ23">
        <v>323.23500000000001</v>
      </c>
      <c r="FA23">
        <v>442.60700000000003</v>
      </c>
      <c r="FB23">
        <v>21.352</v>
      </c>
      <c r="FC23">
        <v>37.821899999999999</v>
      </c>
      <c r="FD23">
        <v>30.000900000000001</v>
      </c>
      <c r="FE23">
        <v>37.887300000000003</v>
      </c>
      <c r="FF23">
        <v>37.890300000000003</v>
      </c>
      <c r="FG23">
        <v>22.1417</v>
      </c>
      <c r="FH23">
        <v>52.747100000000003</v>
      </c>
      <c r="FI23">
        <v>0</v>
      </c>
      <c r="FJ23">
        <v>21.265999999999998</v>
      </c>
      <c r="FK23">
        <v>400</v>
      </c>
      <c r="FL23">
        <v>16.821200000000001</v>
      </c>
      <c r="FM23">
        <v>99.887500000000003</v>
      </c>
      <c r="FN23">
        <v>100.346</v>
      </c>
    </row>
    <row r="24" spans="1:170" x14ac:dyDescent="0.25">
      <c r="A24">
        <v>8</v>
      </c>
      <c r="B24">
        <v>1594053101.4000001</v>
      </c>
      <c r="C24">
        <v>885.5</v>
      </c>
      <c r="D24" t="s">
        <v>319</v>
      </c>
      <c r="E24" t="s">
        <v>320</v>
      </c>
      <c r="G24">
        <v>1594053093.4354801</v>
      </c>
      <c r="H24">
        <f t="shared" si="0"/>
        <v>6.8215273567756038E-3</v>
      </c>
      <c r="I24">
        <f t="shared" si="1"/>
        <v>33.273491789597649</v>
      </c>
      <c r="J24">
        <f t="shared" si="2"/>
        <v>485.343419354839</v>
      </c>
      <c r="K24">
        <f t="shared" si="3"/>
        <v>341.29778677978391</v>
      </c>
      <c r="L24">
        <f t="shared" si="4"/>
        <v>33.943632949397255</v>
      </c>
      <c r="M24">
        <f t="shared" si="5"/>
        <v>48.269632910382136</v>
      </c>
      <c r="N24">
        <f t="shared" si="6"/>
        <v>0.42475146593260793</v>
      </c>
      <c r="O24">
        <f t="shared" si="7"/>
        <v>3.3815277565485493</v>
      </c>
      <c r="P24">
        <f t="shared" si="8"/>
        <v>0.39718151182016731</v>
      </c>
      <c r="Q24">
        <f t="shared" si="9"/>
        <v>0.25056621950501717</v>
      </c>
      <c r="R24">
        <f t="shared" si="10"/>
        <v>321.43822385162696</v>
      </c>
      <c r="S24">
        <f t="shared" si="11"/>
        <v>26.830578606686466</v>
      </c>
      <c r="T24">
        <f t="shared" si="12"/>
        <v>27.124993548387099</v>
      </c>
      <c r="U24">
        <f t="shared" si="13"/>
        <v>3.6055192917203098</v>
      </c>
      <c r="V24">
        <f t="shared" si="14"/>
        <v>55.232335040410959</v>
      </c>
      <c r="W24">
        <f t="shared" si="15"/>
        <v>1.9450681511258539</v>
      </c>
      <c r="X24">
        <f t="shared" si="16"/>
        <v>3.5216112983503902</v>
      </c>
      <c r="Y24">
        <f t="shared" si="17"/>
        <v>1.660451140594456</v>
      </c>
      <c r="Z24">
        <f t="shared" si="18"/>
        <v>-300.82935643380415</v>
      </c>
      <c r="AA24">
        <f t="shared" si="19"/>
        <v>-73.048995131095495</v>
      </c>
      <c r="AB24">
        <f t="shared" si="20"/>
        <v>-4.658532742454546</v>
      </c>
      <c r="AC24">
        <f t="shared" si="21"/>
        <v>-57.098660455727241</v>
      </c>
      <c r="AD24">
        <v>-4.11617448215E-2</v>
      </c>
      <c r="AE24">
        <v>4.6207664529029802E-2</v>
      </c>
      <c r="AF24">
        <v>3.4537594067764901</v>
      </c>
      <c r="AG24">
        <v>163</v>
      </c>
      <c r="AH24">
        <v>33</v>
      </c>
      <c r="AI24">
        <f t="shared" si="22"/>
        <v>1</v>
      </c>
      <c r="AJ24">
        <f t="shared" si="23"/>
        <v>0</v>
      </c>
      <c r="AK24">
        <f t="shared" si="24"/>
        <v>52535.844282925667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278.645884615385</v>
      </c>
      <c r="AT24">
        <v>383.56799999999998</v>
      </c>
      <c r="AU24">
        <f t="shared" si="27"/>
        <v>0.27354241069279761</v>
      </c>
      <c r="AV24">
        <v>0.5</v>
      </c>
      <c r="AW24">
        <f t="shared" si="28"/>
        <v>1681.1905461893641</v>
      </c>
      <c r="AX24">
        <f t="shared" si="29"/>
        <v>33.273491789597649</v>
      </c>
      <c r="AY24">
        <f t="shared" si="30"/>
        <v>229.93845741928988</v>
      </c>
      <c r="AZ24">
        <f t="shared" si="31"/>
        <v>0.5162787302381846</v>
      </c>
      <c r="BA24">
        <f t="shared" si="32"/>
        <v>2.0386440946437007E-2</v>
      </c>
      <c r="BB24">
        <f t="shared" si="33"/>
        <v>-1</v>
      </c>
      <c r="BC24" t="s">
        <v>322</v>
      </c>
      <c r="BD24">
        <v>185.54</v>
      </c>
      <c r="BE24">
        <f t="shared" si="34"/>
        <v>198.02799999999999</v>
      </c>
      <c r="BF24">
        <f t="shared" si="35"/>
        <v>0.52983474753375781</v>
      </c>
      <c r="BG24">
        <f t="shared" si="36"/>
        <v>2.0673062412417806</v>
      </c>
      <c r="BH24">
        <f t="shared" si="37"/>
        <v>0.27354241069279761</v>
      </c>
      <c r="BI24" t="e">
        <f t="shared" si="38"/>
        <v>#DIV/0!</v>
      </c>
      <c r="BJ24">
        <v>4609</v>
      </c>
      <c r="BK24">
        <v>300</v>
      </c>
      <c r="BL24">
        <v>300</v>
      </c>
      <c r="BM24">
        <v>300</v>
      </c>
      <c r="BN24">
        <v>9877.19</v>
      </c>
      <c r="BO24">
        <v>354.67200000000003</v>
      </c>
      <c r="BP24">
        <v>-6.5701700000000002E-3</v>
      </c>
      <c r="BQ24">
        <v>0.81210300000000002</v>
      </c>
      <c r="BR24">
        <f t="shared" si="39"/>
        <v>1999.9925806451599</v>
      </c>
      <c r="BS24">
        <f t="shared" si="40"/>
        <v>1681.1905461893641</v>
      </c>
      <c r="BT24">
        <f t="shared" si="41"/>
        <v>0.84059839144355408</v>
      </c>
      <c r="BU24">
        <f t="shared" si="42"/>
        <v>0.19119678288710837</v>
      </c>
      <c r="BV24">
        <v>0.5</v>
      </c>
      <c r="BW24" t="s">
        <v>281</v>
      </c>
      <c r="BX24">
        <v>1594053093.4354801</v>
      </c>
      <c r="BY24">
        <v>485.343419354839</v>
      </c>
      <c r="BZ24">
        <v>499.97551612903197</v>
      </c>
      <c r="CA24">
        <v>19.557348387096798</v>
      </c>
      <c r="CB24">
        <v>16.882396774193499</v>
      </c>
      <c r="CC24">
        <v>500.05512903225798</v>
      </c>
      <c r="CD24">
        <v>99.254593548387106</v>
      </c>
      <c r="CE24">
        <v>0.200000838709677</v>
      </c>
      <c r="CF24">
        <v>26.724296774193601</v>
      </c>
      <c r="CG24">
        <v>27.124993548387099</v>
      </c>
      <c r="CH24">
        <v>999.9</v>
      </c>
      <c r="CI24">
        <v>10000.9022580645</v>
      </c>
      <c r="CJ24">
        <v>0</v>
      </c>
      <c r="CK24">
        <v>300.035967741935</v>
      </c>
      <c r="CL24">
        <v>1999.9925806451599</v>
      </c>
      <c r="CM24">
        <v>0.98000258064516099</v>
      </c>
      <c r="CN24">
        <v>1.9997545161290299E-2</v>
      </c>
      <c r="CO24">
        <v>0</v>
      </c>
      <c r="CP24">
        <v>278.64109677419401</v>
      </c>
      <c r="CQ24">
        <v>5.00054</v>
      </c>
      <c r="CR24">
        <v>6907.69032258065</v>
      </c>
      <c r="CS24">
        <v>18703.567741935502</v>
      </c>
      <c r="CT24">
        <v>46.947258064516099</v>
      </c>
      <c r="CU24">
        <v>48.120870967741901</v>
      </c>
      <c r="CV24">
        <v>47.158999999999999</v>
      </c>
      <c r="CW24">
        <v>47.431161290322599</v>
      </c>
      <c r="CX24">
        <v>48.4695161290323</v>
      </c>
      <c r="CY24">
        <v>1955.0977419354799</v>
      </c>
      <c r="CZ24">
        <v>39.892580645161303</v>
      </c>
      <c r="DA24">
        <v>0</v>
      </c>
      <c r="DB24">
        <v>149</v>
      </c>
      <c r="DC24">
        <v>278.645884615385</v>
      </c>
      <c r="DD24">
        <v>-0.61336752215581802</v>
      </c>
      <c r="DE24">
        <v>0.584956548354016</v>
      </c>
      <c r="DF24">
        <v>6909.2196153846198</v>
      </c>
      <c r="DG24">
        <v>15</v>
      </c>
      <c r="DH24">
        <v>1594053128.5</v>
      </c>
      <c r="DI24" t="s">
        <v>323</v>
      </c>
      <c r="DJ24">
        <v>37</v>
      </c>
      <c r="DK24">
        <v>-0.377</v>
      </c>
      <c r="DL24">
        <v>0.11</v>
      </c>
      <c r="DM24">
        <v>500</v>
      </c>
      <c r="DN24">
        <v>17</v>
      </c>
      <c r="DO24">
        <v>0.24</v>
      </c>
      <c r="DP24">
        <v>0.04</v>
      </c>
      <c r="DQ24">
        <v>485.29501851851802</v>
      </c>
      <c r="DR24">
        <v>0.40232326674459201</v>
      </c>
      <c r="DS24">
        <v>5.4703744451951697E-2</v>
      </c>
      <c r="DT24">
        <v>0</v>
      </c>
      <c r="DU24">
        <v>19.602066666666701</v>
      </c>
      <c r="DV24">
        <v>-0.442325334765933</v>
      </c>
      <c r="DW24">
        <v>5.8091791987304797E-2</v>
      </c>
      <c r="DX24">
        <v>0</v>
      </c>
      <c r="DY24">
        <v>0</v>
      </c>
      <c r="DZ24">
        <v>2</v>
      </c>
      <c r="EA24" t="s">
        <v>324</v>
      </c>
      <c r="EB24">
        <v>1.8666199999999999</v>
      </c>
      <c r="EC24">
        <v>1.8631800000000001</v>
      </c>
      <c r="ED24">
        <v>1.8687400000000001</v>
      </c>
      <c r="EE24">
        <v>1.86669</v>
      </c>
      <c r="EF24">
        <v>1.87141</v>
      </c>
      <c r="EG24">
        <v>1.86385</v>
      </c>
      <c r="EH24">
        <v>1.86528</v>
      </c>
      <c r="EI24">
        <v>1.8652299999999999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-0.377</v>
      </c>
      <c r="EX24">
        <v>0.11</v>
      </c>
      <c r="EY24">
        <v>2</v>
      </c>
      <c r="EZ24">
        <v>323.11900000000003</v>
      </c>
      <c r="FA24">
        <v>441.923</v>
      </c>
      <c r="FB24">
        <v>20.719899999999999</v>
      </c>
      <c r="FC24">
        <v>37.9251</v>
      </c>
      <c r="FD24">
        <v>30.000699999999998</v>
      </c>
      <c r="FE24">
        <v>37.9238</v>
      </c>
      <c r="FF24">
        <v>37.918999999999997</v>
      </c>
      <c r="FG24">
        <v>26.475300000000001</v>
      </c>
      <c r="FH24">
        <v>52.855800000000002</v>
      </c>
      <c r="FI24">
        <v>0</v>
      </c>
      <c r="FJ24">
        <v>17.527999999999999</v>
      </c>
      <c r="FK24">
        <v>500</v>
      </c>
      <c r="FL24">
        <v>16.927800000000001</v>
      </c>
      <c r="FM24">
        <v>99.870800000000003</v>
      </c>
      <c r="FN24">
        <v>100.325</v>
      </c>
    </row>
    <row r="25" spans="1:170" x14ac:dyDescent="0.25">
      <c r="A25">
        <v>9</v>
      </c>
      <c r="B25">
        <v>1594053232.4000001</v>
      </c>
      <c r="C25">
        <v>1016.5</v>
      </c>
      <c r="D25" t="s">
        <v>325</v>
      </c>
      <c r="E25" t="s">
        <v>326</v>
      </c>
      <c r="G25">
        <v>1594053224.4548399</v>
      </c>
      <c r="H25">
        <f t="shared" si="0"/>
        <v>5.8135593805856665E-3</v>
      </c>
      <c r="I25">
        <f t="shared" si="1"/>
        <v>36.024075675725598</v>
      </c>
      <c r="J25">
        <f t="shared" si="2"/>
        <v>584.23190322580604</v>
      </c>
      <c r="K25">
        <f t="shared" si="3"/>
        <v>401.74587203941309</v>
      </c>
      <c r="L25">
        <f t="shared" si="4"/>
        <v>39.954127899583888</v>
      </c>
      <c r="M25">
        <f t="shared" si="5"/>
        <v>58.102591237604969</v>
      </c>
      <c r="N25">
        <f t="shared" si="6"/>
        <v>0.35810534110005915</v>
      </c>
      <c r="O25">
        <f t="shared" si="7"/>
        <v>3.3787120803786297</v>
      </c>
      <c r="P25">
        <f t="shared" si="8"/>
        <v>0.33827635167393966</v>
      </c>
      <c r="Q25">
        <f t="shared" si="9"/>
        <v>0.21311272756117933</v>
      </c>
      <c r="R25">
        <f t="shared" si="10"/>
        <v>321.44181210124037</v>
      </c>
      <c r="S25">
        <f t="shared" si="11"/>
        <v>26.751616792403762</v>
      </c>
      <c r="T25">
        <f t="shared" si="12"/>
        <v>26.9722677419355</v>
      </c>
      <c r="U25">
        <f t="shared" si="13"/>
        <v>3.5733341568302719</v>
      </c>
      <c r="V25">
        <f t="shared" si="14"/>
        <v>55.269485071764954</v>
      </c>
      <c r="W25">
        <f t="shared" si="15"/>
        <v>1.9113111666305915</v>
      </c>
      <c r="X25">
        <f t="shared" si="16"/>
        <v>3.4581671317343363</v>
      </c>
      <c r="Y25">
        <f t="shared" si="17"/>
        <v>1.6620229901996804</v>
      </c>
      <c r="Z25">
        <f t="shared" si="18"/>
        <v>-256.37796868382787</v>
      </c>
      <c r="AA25">
        <f t="shared" si="19"/>
        <v>-101.37115239310545</v>
      </c>
      <c r="AB25">
        <f t="shared" si="20"/>
        <v>-6.455189084724255</v>
      </c>
      <c r="AC25">
        <f t="shared" si="21"/>
        <v>-42.762498060417229</v>
      </c>
      <c r="AD25">
        <v>-4.1118211761339798E-2</v>
      </c>
      <c r="AE25">
        <v>4.6158794855294498E-2</v>
      </c>
      <c r="AF25">
        <v>3.4508673377134</v>
      </c>
      <c r="AG25">
        <v>163</v>
      </c>
      <c r="AH25">
        <v>33</v>
      </c>
      <c r="AI25">
        <f t="shared" si="22"/>
        <v>1</v>
      </c>
      <c r="AJ25">
        <f t="shared" si="23"/>
        <v>0</v>
      </c>
      <c r="AK25">
        <f t="shared" si="24"/>
        <v>52536.556156736311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327</v>
      </c>
      <c r="AS25">
        <v>280.76680769230802</v>
      </c>
      <c r="AT25">
        <v>389.43599999999998</v>
      </c>
      <c r="AU25">
        <f t="shared" si="27"/>
        <v>0.27904249300961381</v>
      </c>
      <c r="AV25">
        <v>0.5</v>
      </c>
      <c r="AW25">
        <f t="shared" si="28"/>
        <v>1681.2092621253744</v>
      </c>
      <c r="AX25">
        <f t="shared" si="29"/>
        <v>36.024075675725598</v>
      </c>
      <c r="AY25">
        <f t="shared" si="30"/>
        <v>234.56441188715888</v>
      </c>
      <c r="AZ25">
        <f t="shared" si="31"/>
        <v>0.51226902494890048</v>
      </c>
      <c r="BA25">
        <f t="shared" si="32"/>
        <v>2.202228866436293E-2</v>
      </c>
      <c r="BB25">
        <f t="shared" si="33"/>
        <v>-1</v>
      </c>
      <c r="BC25" t="s">
        <v>328</v>
      </c>
      <c r="BD25">
        <v>189.94</v>
      </c>
      <c r="BE25">
        <f t="shared" si="34"/>
        <v>199.49599999999998</v>
      </c>
      <c r="BF25">
        <f t="shared" si="35"/>
        <v>0.54471865254286789</v>
      </c>
      <c r="BG25">
        <f t="shared" si="36"/>
        <v>2.0503106244077074</v>
      </c>
      <c r="BH25">
        <f t="shared" si="37"/>
        <v>0.27904249300961381</v>
      </c>
      <c r="BI25" t="e">
        <f t="shared" si="38"/>
        <v>#DIV/0!</v>
      </c>
      <c r="BJ25">
        <v>4611</v>
      </c>
      <c r="BK25">
        <v>300</v>
      </c>
      <c r="BL25">
        <v>300</v>
      </c>
      <c r="BM25">
        <v>300</v>
      </c>
      <c r="BN25">
        <v>9877.19</v>
      </c>
      <c r="BO25">
        <v>358.79500000000002</v>
      </c>
      <c r="BP25">
        <v>-6.5700699999999999E-3</v>
      </c>
      <c r="BQ25">
        <v>0.42807000000000001</v>
      </c>
      <c r="BR25">
        <f t="shared" si="39"/>
        <v>2000.0148387096799</v>
      </c>
      <c r="BS25">
        <f t="shared" si="40"/>
        <v>1681.2092621253744</v>
      </c>
      <c r="BT25">
        <f t="shared" si="41"/>
        <v>0.84059839436492145</v>
      </c>
      <c r="BU25">
        <f t="shared" si="42"/>
        <v>0.19119678872984297</v>
      </c>
      <c r="BV25">
        <v>0.5</v>
      </c>
      <c r="BW25" t="s">
        <v>281</v>
      </c>
      <c r="BX25">
        <v>1594053224.4548399</v>
      </c>
      <c r="BY25">
        <v>584.23190322580604</v>
      </c>
      <c r="BZ25">
        <v>599.99829032258106</v>
      </c>
      <c r="CA25">
        <v>19.218574193548399</v>
      </c>
      <c r="CB25">
        <v>16.938106451612899</v>
      </c>
      <c r="CC25">
        <v>500.05803225806397</v>
      </c>
      <c r="CD25">
        <v>99.2512258064516</v>
      </c>
      <c r="CE25">
        <v>0.200021064516129</v>
      </c>
      <c r="CF25">
        <v>26.4157516129032</v>
      </c>
      <c r="CG25">
        <v>26.9722677419355</v>
      </c>
      <c r="CH25">
        <v>999.9</v>
      </c>
      <c r="CI25">
        <v>9990.6641935483894</v>
      </c>
      <c r="CJ25">
        <v>0</v>
      </c>
      <c r="CK25">
        <v>308.888709677419</v>
      </c>
      <c r="CL25">
        <v>2000.0148387096799</v>
      </c>
      <c r="CM25">
        <v>0.980002451612903</v>
      </c>
      <c r="CN25">
        <v>1.9997712903225801E-2</v>
      </c>
      <c r="CO25">
        <v>0</v>
      </c>
      <c r="CP25">
        <v>280.76016129032303</v>
      </c>
      <c r="CQ25">
        <v>5.00054</v>
      </c>
      <c r="CR25">
        <v>7072.6719354838697</v>
      </c>
      <c r="CS25">
        <v>18703.783870967702</v>
      </c>
      <c r="CT25">
        <v>47.025935483870903</v>
      </c>
      <c r="CU25">
        <v>48.257935483871002</v>
      </c>
      <c r="CV25">
        <v>47.255935483870999</v>
      </c>
      <c r="CW25">
        <v>47.586387096774203</v>
      </c>
      <c r="CX25">
        <v>48.521999999999998</v>
      </c>
      <c r="CY25">
        <v>1955.11967741935</v>
      </c>
      <c r="CZ25">
        <v>39.893225806451603</v>
      </c>
      <c r="DA25">
        <v>0</v>
      </c>
      <c r="DB25">
        <v>130.299999952316</v>
      </c>
      <c r="DC25">
        <v>280.76680769230802</v>
      </c>
      <c r="DD25">
        <v>-0.733367529313529</v>
      </c>
      <c r="DE25">
        <v>48.471794670545997</v>
      </c>
      <c r="DF25">
        <v>7073.05230769231</v>
      </c>
      <c r="DG25">
        <v>15</v>
      </c>
      <c r="DH25">
        <v>1594053259.5</v>
      </c>
      <c r="DI25" t="s">
        <v>329</v>
      </c>
      <c r="DJ25">
        <v>38</v>
      </c>
      <c r="DK25">
        <v>-0.28999999999999998</v>
      </c>
      <c r="DL25">
        <v>0.111</v>
      </c>
      <c r="DM25">
        <v>600</v>
      </c>
      <c r="DN25">
        <v>17</v>
      </c>
      <c r="DO25">
        <v>0.26</v>
      </c>
      <c r="DP25">
        <v>0.03</v>
      </c>
      <c r="DQ25">
        <v>584.113333333333</v>
      </c>
      <c r="DR25">
        <v>0.297692676840905</v>
      </c>
      <c r="DS25">
        <v>4.4052157638323999E-2</v>
      </c>
      <c r="DT25">
        <v>1</v>
      </c>
      <c r="DU25">
        <v>19.2221166666667</v>
      </c>
      <c r="DV25">
        <v>-4.42892126356286E-2</v>
      </c>
      <c r="DW25">
        <v>5.8404638958320897E-3</v>
      </c>
      <c r="DX25">
        <v>1</v>
      </c>
      <c r="DY25">
        <v>2</v>
      </c>
      <c r="DZ25">
        <v>2</v>
      </c>
      <c r="EA25" t="s">
        <v>293</v>
      </c>
      <c r="EB25">
        <v>1.8666100000000001</v>
      </c>
      <c r="EC25">
        <v>1.8631500000000001</v>
      </c>
      <c r="ED25">
        <v>1.8687400000000001</v>
      </c>
      <c r="EE25">
        <v>1.8667400000000001</v>
      </c>
      <c r="EF25">
        <v>1.87138</v>
      </c>
      <c r="EG25">
        <v>1.86385</v>
      </c>
      <c r="EH25">
        <v>1.8652899999999999</v>
      </c>
      <c r="EI25">
        <v>1.8652299999999999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-0.28999999999999998</v>
      </c>
      <c r="EX25">
        <v>0.111</v>
      </c>
      <c r="EY25">
        <v>2</v>
      </c>
      <c r="EZ25">
        <v>322.80799999999999</v>
      </c>
      <c r="FA25">
        <v>440.71800000000002</v>
      </c>
      <c r="FB25">
        <v>20.622900000000001</v>
      </c>
      <c r="FC25">
        <v>38.1325</v>
      </c>
      <c r="FD25">
        <v>30.000699999999998</v>
      </c>
      <c r="FE25">
        <v>38.053800000000003</v>
      </c>
      <c r="FF25">
        <v>38.042299999999997</v>
      </c>
      <c r="FG25">
        <v>30.661000000000001</v>
      </c>
      <c r="FH25">
        <v>52.685699999999997</v>
      </c>
      <c r="FI25">
        <v>0</v>
      </c>
      <c r="FJ25">
        <v>20.730499999999999</v>
      </c>
      <c r="FK25">
        <v>600</v>
      </c>
      <c r="FL25">
        <v>16.9847</v>
      </c>
      <c r="FM25">
        <v>99.836299999999994</v>
      </c>
      <c r="FN25">
        <v>100.285</v>
      </c>
    </row>
    <row r="26" spans="1:170" x14ac:dyDescent="0.25">
      <c r="A26">
        <v>10</v>
      </c>
      <c r="B26">
        <v>1594053372.5</v>
      </c>
      <c r="C26">
        <v>1156.5999999046301</v>
      </c>
      <c r="D26" t="s">
        <v>330</v>
      </c>
      <c r="E26" t="s">
        <v>331</v>
      </c>
      <c r="G26">
        <v>1594053364.5</v>
      </c>
      <c r="H26">
        <f t="shared" si="0"/>
        <v>5.4680282667004592E-3</v>
      </c>
      <c r="I26">
        <f t="shared" si="1"/>
        <v>37.39152334954268</v>
      </c>
      <c r="J26">
        <f t="shared" si="2"/>
        <v>683.55041935483803</v>
      </c>
      <c r="K26">
        <f t="shared" si="3"/>
        <v>476.416346330583</v>
      </c>
      <c r="L26">
        <f t="shared" si="4"/>
        <v>47.380032911197787</v>
      </c>
      <c r="M26">
        <f t="shared" si="5"/>
        <v>67.979702239314733</v>
      </c>
      <c r="N26">
        <f t="shared" si="6"/>
        <v>0.3277205910539544</v>
      </c>
      <c r="O26">
        <f t="shared" si="7"/>
        <v>3.3814378083503178</v>
      </c>
      <c r="P26">
        <f t="shared" si="8"/>
        <v>0.31104227941084167</v>
      </c>
      <c r="Q26">
        <f t="shared" si="9"/>
        <v>0.19582914722288752</v>
      </c>
      <c r="R26">
        <f t="shared" si="10"/>
        <v>321.4416756149007</v>
      </c>
      <c r="S26">
        <f t="shared" si="11"/>
        <v>26.904617051714208</v>
      </c>
      <c r="T26">
        <f t="shared" si="12"/>
        <v>27.121951612903199</v>
      </c>
      <c r="U26">
        <f t="shared" si="13"/>
        <v>3.6048757788456238</v>
      </c>
      <c r="V26">
        <f t="shared" si="14"/>
        <v>54.844648251269504</v>
      </c>
      <c r="W26">
        <f t="shared" si="15"/>
        <v>1.9049902699884402</v>
      </c>
      <c r="X26">
        <f t="shared" si="16"/>
        <v>3.4734296430542702</v>
      </c>
      <c r="Y26">
        <f t="shared" si="17"/>
        <v>1.6998855088571836</v>
      </c>
      <c r="Z26">
        <f t="shared" si="18"/>
        <v>-241.14004656149027</v>
      </c>
      <c r="AA26">
        <f t="shared" si="19"/>
        <v>-115.12720195873366</v>
      </c>
      <c r="AB26">
        <f t="shared" si="20"/>
        <v>-7.3334783713351381</v>
      </c>
      <c r="AC26">
        <f t="shared" si="21"/>
        <v>-42.159051276658388</v>
      </c>
      <c r="AD26">
        <v>-4.11603538846377E-2</v>
      </c>
      <c r="AE26">
        <v>4.62061030805491E-2</v>
      </c>
      <c r="AF26">
        <v>3.4536670177277702</v>
      </c>
      <c r="AG26">
        <v>163</v>
      </c>
      <c r="AH26">
        <v>33</v>
      </c>
      <c r="AI26">
        <f t="shared" si="22"/>
        <v>1</v>
      </c>
      <c r="AJ26">
        <f t="shared" si="23"/>
        <v>0</v>
      </c>
      <c r="AK26">
        <f t="shared" si="24"/>
        <v>52575.0858569271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332</v>
      </c>
      <c r="AS26">
        <v>279.36330769230801</v>
      </c>
      <c r="AT26">
        <v>382.87799999999999</v>
      </c>
      <c r="AU26">
        <f t="shared" si="27"/>
        <v>0.27035946778789055</v>
      </c>
      <c r="AV26">
        <v>0.5</v>
      </c>
      <c r="AW26">
        <f t="shared" si="28"/>
        <v>1681.2067545155251</v>
      </c>
      <c r="AX26">
        <f t="shared" si="29"/>
        <v>37.39152334954268</v>
      </c>
      <c r="AY26">
        <f t="shared" si="30"/>
        <v>227.26508169611205</v>
      </c>
      <c r="AZ26">
        <f t="shared" si="31"/>
        <v>0.51148929946353672</v>
      </c>
      <c r="BA26">
        <f t="shared" si="32"/>
        <v>2.2835694209785637E-2</v>
      </c>
      <c r="BB26">
        <f t="shared" si="33"/>
        <v>-1</v>
      </c>
      <c r="BC26" t="s">
        <v>333</v>
      </c>
      <c r="BD26">
        <v>187.04</v>
      </c>
      <c r="BE26">
        <f t="shared" si="34"/>
        <v>195.83799999999999</v>
      </c>
      <c r="BF26">
        <f t="shared" si="35"/>
        <v>0.52857306706406304</v>
      </c>
      <c r="BG26">
        <f t="shared" si="36"/>
        <v>2.0470380667236956</v>
      </c>
      <c r="BH26">
        <f t="shared" si="37"/>
        <v>0.27035946778789061</v>
      </c>
      <c r="BI26" t="e">
        <f t="shared" si="38"/>
        <v>#DIV/0!</v>
      </c>
      <c r="BJ26">
        <v>4613</v>
      </c>
      <c r="BK26">
        <v>300</v>
      </c>
      <c r="BL26">
        <v>300</v>
      </c>
      <c r="BM26">
        <v>300</v>
      </c>
      <c r="BN26">
        <v>9877.57</v>
      </c>
      <c r="BO26">
        <v>356.25099999999998</v>
      </c>
      <c r="BP26">
        <v>-6.57035E-3</v>
      </c>
      <c r="BQ26">
        <v>0.34475699999999998</v>
      </c>
      <c r="BR26">
        <f t="shared" si="39"/>
        <v>2000.0116129032299</v>
      </c>
      <c r="BS26">
        <f t="shared" si="40"/>
        <v>1681.2067545155251</v>
      </c>
      <c r="BT26">
        <f t="shared" si="41"/>
        <v>0.84059849636326578</v>
      </c>
      <c r="BU26">
        <f t="shared" si="42"/>
        <v>0.19119699272653162</v>
      </c>
      <c r="BV26">
        <v>0.5</v>
      </c>
      <c r="BW26" t="s">
        <v>281</v>
      </c>
      <c r="BX26">
        <v>1594053364.5</v>
      </c>
      <c r="BY26">
        <v>683.55041935483803</v>
      </c>
      <c r="BZ26">
        <v>700.00022580645202</v>
      </c>
      <c r="CA26">
        <v>19.155083870967701</v>
      </c>
      <c r="CB26">
        <v>17.0100129032258</v>
      </c>
      <c r="CC26">
        <v>500.05690322580602</v>
      </c>
      <c r="CD26">
        <v>99.250925806451605</v>
      </c>
      <c r="CE26">
        <v>0.19997103225806501</v>
      </c>
      <c r="CF26">
        <v>26.490425806451601</v>
      </c>
      <c r="CG26">
        <v>27.121951612903199</v>
      </c>
      <c r="CH26">
        <v>999.9</v>
      </c>
      <c r="CI26">
        <v>10000.933870967699</v>
      </c>
      <c r="CJ26">
        <v>0</v>
      </c>
      <c r="CK26">
        <v>306.31712903225798</v>
      </c>
      <c r="CL26">
        <v>2000.0116129032299</v>
      </c>
      <c r="CM26">
        <v>0.98000170967741895</v>
      </c>
      <c r="CN26">
        <v>1.99985419354839E-2</v>
      </c>
      <c r="CO26">
        <v>0</v>
      </c>
      <c r="CP26">
        <v>279.38516129032303</v>
      </c>
      <c r="CQ26">
        <v>5.00054</v>
      </c>
      <c r="CR26">
        <v>7039.1690322580598</v>
      </c>
      <c r="CS26">
        <v>18703.745161290299</v>
      </c>
      <c r="CT26">
        <v>46.995774193548399</v>
      </c>
      <c r="CU26">
        <v>48.368774193548397</v>
      </c>
      <c r="CV26">
        <v>47.322193548387098</v>
      </c>
      <c r="CW26">
        <v>47.644870967741902</v>
      </c>
      <c r="CX26">
        <v>48.536000000000001</v>
      </c>
      <c r="CY26">
        <v>1955.11161290323</v>
      </c>
      <c r="CZ26">
        <v>39.9</v>
      </c>
      <c r="DA26">
        <v>0</v>
      </c>
      <c r="DB26">
        <v>139.299999952316</v>
      </c>
      <c r="DC26">
        <v>279.36330769230801</v>
      </c>
      <c r="DD26">
        <v>-2.56588033826716</v>
      </c>
      <c r="DE26">
        <v>-170.970598567693</v>
      </c>
      <c r="DF26">
        <v>7040.4488461538504</v>
      </c>
      <c r="DG26">
        <v>15</v>
      </c>
      <c r="DH26">
        <v>1594053407</v>
      </c>
      <c r="DI26" t="s">
        <v>334</v>
      </c>
      <c r="DJ26">
        <v>39</v>
      </c>
      <c r="DK26">
        <v>-0.22500000000000001</v>
      </c>
      <c r="DL26">
        <v>0.111</v>
      </c>
      <c r="DM26">
        <v>700</v>
      </c>
      <c r="DN26">
        <v>17</v>
      </c>
      <c r="DO26">
        <v>0.27</v>
      </c>
      <c r="DP26">
        <v>0.05</v>
      </c>
      <c r="DQ26">
        <v>683.44814814814799</v>
      </c>
      <c r="DR26">
        <v>0.29013613289330098</v>
      </c>
      <c r="DS26">
        <v>4.4730223193502797E-2</v>
      </c>
      <c r="DT26">
        <v>1</v>
      </c>
      <c r="DU26">
        <v>19.159672222222198</v>
      </c>
      <c r="DV26">
        <v>-4.4121063576083898E-2</v>
      </c>
      <c r="DW26">
        <v>5.7540136287210697E-3</v>
      </c>
      <c r="DX26">
        <v>1</v>
      </c>
      <c r="DY26">
        <v>2</v>
      </c>
      <c r="DZ26">
        <v>2</v>
      </c>
      <c r="EA26" t="s">
        <v>293</v>
      </c>
      <c r="EB26">
        <v>1.8666100000000001</v>
      </c>
      <c r="EC26">
        <v>1.8631800000000001</v>
      </c>
      <c r="ED26">
        <v>1.8687400000000001</v>
      </c>
      <c r="EE26">
        <v>1.8667199999999999</v>
      </c>
      <c r="EF26">
        <v>1.87141</v>
      </c>
      <c r="EG26">
        <v>1.86385</v>
      </c>
      <c r="EH26">
        <v>1.8653299999999999</v>
      </c>
      <c r="EI26">
        <v>1.8652299999999999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-0.22500000000000001</v>
      </c>
      <c r="EX26">
        <v>0.111</v>
      </c>
      <c r="EY26">
        <v>2</v>
      </c>
      <c r="EZ26">
        <v>322.28899999999999</v>
      </c>
      <c r="FA26">
        <v>440.52199999999999</v>
      </c>
      <c r="FB26">
        <v>20.6539</v>
      </c>
      <c r="FC26">
        <v>38.254300000000001</v>
      </c>
      <c r="FD26">
        <v>30.0001</v>
      </c>
      <c r="FE26">
        <v>38.1633</v>
      </c>
      <c r="FF26">
        <v>38.146000000000001</v>
      </c>
      <c r="FG26">
        <v>34.728700000000003</v>
      </c>
      <c r="FH26">
        <v>53.019199999999998</v>
      </c>
      <c r="FI26">
        <v>0</v>
      </c>
      <c r="FJ26">
        <v>19.033899999999999</v>
      </c>
      <c r="FK26">
        <v>700</v>
      </c>
      <c r="FL26">
        <v>16.987100000000002</v>
      </c>
      <c r="FM26">
        <v>99.819800000000001</v>
      </c>
      <c r="FN26">
        <v>100.268</v>
      </c>
    </row>
    <row r="27" spans="1:170" x14ac:dyDescent="0.25">
      <c r="A27">
        <v>11</v>
      </c>
      <c r="B27">
        <v>1594053528.5</v>
      </c>
      <c r="C27">
        <v>1312.5999999046301</v>
      </c>
      <c r="D27" t="s">
        <v>335</v>
      </c>
      <c r="E27" t="s">
        <v>336</v>
      </c>
      <c r="G27">
        <v>1594053520.5</v>
      </c>
      <c r="H27">
        <f t="shared" si="0"/>
        <v>4.7440380053845495E-3</v>
      </c>
      <c r="I27">
        <f t="shared" si="1"/>
        <v>37.580676795180338</v>
      </c>
      <c r="J27">
        <f t="shared" si="2"/>
        <v>783.50090322580604</v>
      </c>
      <c r="K27">
        <f t="shared" si="3"/>
        <v>544.15250160096855</v>
      </c>
      <c r="L27">
        <f t="shared" si="4"/>
        <v>54.115050300023078</v>
      </c>
      <c r="M27">
        <f t="shared" si="5"/>
        <v>77.917845941044078</v>
      </c>
      <c r="N27">
        <f t="shared" si="6"/>
        <v>0.28308270581774364</v>
      </c>
      <c r="O27">
        <f t="shared" si="7"/>
        <v>3.3809688524077153</v>
      </c>
      <c r="P27">
        <f t="shared" si="8"/>
        <v>0.27054334007508241</v>
      </c>
      <c r="Q27">
        <f t="shared" si="9"/>
        <v>0.17016990973793886</v>
      </c>
      <c r="R27">
        <f t="shared" si="10"/>
        <v>321.43910143290196</v>
      </c>
      <c r="S27">
        <f t="shared" si="11"/>
        <v>26.844472045787477</v>
      </c>
      <c r="T27">
        <f t="shared" si="12"/>
        <v>27.052483870967698</v>
      </c>
      <c r="U27">
        <f t="shared" si="13"/>
        <v>3.5902073346409673</v>
      </c>
      <c r="V27">
        <f t="shared" si="14"/>
        <v>55.269914374821802</v>
      </c>
      <c r="W27">
        <f t="shared" si="15"/>
        <v>1.8944461621638689</v>
      </c>
      <c r="X27">
        <f t="shared" si="16"/>
        <v>3.4276263742990043</v>
      </c>
      <c r="Y27">
        <f t="shared" si="17"/>
        <v>1.6957611724770985</v>
      </c>
      <c r="Z27">
        <f t="shared" si="18"/>
        <v>-209.21207603745864</v>
      </c>
      <c r="AA27">
        <f t="shared" si="19"/>
        <v>-143.45496577639807</v>
      </c>
      <c r="AB27">
        <f t="shared" si="20"/>
        <v>-9.1257428029863572</v>
      </c>
      <c r="AC27">
        <f t="shared" si="21"/>
        <v>-40.353683183941087</v>
      </c>
      <c r="AD27">
        <v>-4.1153102333714803E-2</v>
      </c>
      <c r="AE27">
        <v>4.6197962579367403E-2</v>
      </c>
      <c r="AF27">
        <v>3.4531853365838399</v>
      </c>
      <c r="AG27">
        <v>163</v>
      </c>
      <c r="AH27">
        <v>33</v>
      </c>
      <c r="AI27">
        <f t="shared" si="22"/>
        <v>1</v>
      </c>
      <c r="AJ27">
        <f t="shared" si="23"/>
        <v>0</v>
      </c>
      <c r="AK27">
        <f t="shared" si="24"/>
        <v>52605.661366363842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277.16784615384603</v>
      </c>
      <c r="AT27">
        <v>374.40199999999999</v>
      </c>
      <c r="AU27">
        <f t="shared" si="27"/>
        <v>0.25970522018085895</v>
      </c>
      <c r="AV27">
        <v>0.5</v>
      </c>
      <c r="AW27">
        <f t="shared" si="28"/>
        <v>1681.193206128424</v>
      </c>
      <c r="AX27">
        <f t="shared" si="29"/>
        <v>37.580676795180338</v>
      </c>
      <c r="AY27">
        <f t="shared" si="30"/>
        <v>218.30732588207326</v>
      </c>
      <c r="AZ27">
        <f t="shared" si="31"/>
        <v>0.49888088204657022</v>
      </c>
      <c r="BA27">
        <f t="shared" si="32"/>
        <v>2.2948389664283007E-2</v>
      </c>
      <c r="BB27">
        <f t="shared" si="33"/>
        <v>-1</v>
      </c>
      <c r="BC27" t="s">
        <v>338</v>
      </c>
      <c r="BD27">
        <v>187.62</v>
      </c>
      <c r="BE27">
        <f t="shared" si="34"/>
        <v>186.78199999999998</v>
      </c>
      <c r="BF27">
        <f t="shared" si="35"/>
        <v>0.52057561138736053</v>
      </c>
      <c r="BG27">
        <f t="shared" si="36"/>
        <v>1.9955335252105317</v>
      </c>
      <c r="BH27">
        <f t="shared" si="37"/>
        <v>0.25970522018085895</v>
      </c>
      <c r="BI27" t="e">
        <f t="shared" si="38"/>
        <v>#DIV/0!</v>
      </c>
      <c r="BJ27">
        <v>4615</v>
      </c>
      <c r="BK27">
        <v>300</v>
      </c>
      <c r="BL27">
        <v>300</v>
      </c>
      <c r="BM27">
        <v>300</v>
      </c>
      <c r="BN27">
        <v>9877.51</v>
      </c>
      <c r="BO27">
        <v>350.71800000000002</v>
      </c>
      <c r="BP27">
        <v>-6.57035E-3</v>
      </c>
      <c r="BQ27">
        <v>1.03339</v>
      </c>
      <c r="BR27">
        <f t="shared" si="39"/>
        <v>1999.99548387097</v>
      </c>
      <c r="BS27">
        <f t="shared" si="40"/>
        <v>1681.193206128424</v>
      </c>
      <c r="BT27">
        <f t="shared" si="41"/>
        <v>0.8405985011898589</v>
      </c>
      <c r="BU27">
        <f t="shared" si="42"/>
        <v>0.19119700237971796</v>
      </c>
      <c r="BV27">
        <v>0.5</v>
      </c>
      <c r="BW27" t="s">
        <v>281</v>
      </c>
      <c r="BX27">
        <v>1594053520.5</v>
      </c>
      <c r="BY27">
        <v>783.50090322580604</v>
      </c>
      <c r="BZ27">
        <v>800.01819354838699</v>
      </c>
      <c r="CA27">
        <v>19.0495548387097</v>
      </c>
      <c r="CB27">
        <v>17.1882870967742</v>
      </c>
      <c r="CC27">
        <v>500.05338709677397</v>
      </c>
      <c r="CD27">
        <v>99.248329032258098</v>
      </c>
      <c r="CE27">
        <v>0.19998764516129</v>
      </c>
      <c r="CF27">
        <v>26.2654580645161</v>
      </c>
      <c r="CG27">
        <v>27.052483870967698</v>
      </c>
      <c r="CH27">
        <v>999.9</v>
      </c>
      <c r="CI27">
        <v>9999.4335483871</v>
      </c>
      <c r="CJ27">
        <v>0</v>
      </c>
      <c r="CK27">
        <v>144.81364516129</v>
      </c>
      <c r="CL27">
        <v>1999.99548387097</v>
      </c>
      <c r="CM27">
        <v>0.98000219354838702</v>
      </c>
      <c r="CN27">
        <v>1.99980483870968E-2</v>
      </c>
      <c r="CO27">
        <v>0</v>
      </c>
      <c r="CP27">
        <v>277.17961290322597</v>
      </c>
      <c r="CQ27">
        <v>5.00054</v>
      </c>
      <c r="CR27">
        <v>6286.92</v>
      </c>
      <c r="CS27">
        <v>18703.5967741936</v>
      </c>
      <c r="CT27">
        <v>47.003806451612903</v>
      </c>
      <c r="CU27">
        <v>48.479612903225799</v>
      </c>
      <c r="CV27">
        <v>47.370741935483899</v>
      </c>
      <c r="CW27">
        <v>47.7134838709677</v>
      </c>
      <c r="CX27">
        <v>48.515999999999998</v>
      </c>
      <c r="CY27">
        <v>1955.0954838709699</v>
      </c>
      <c r="CZ27">
        <v>39.9</v>
      </c>
      <c r="DA27">
        <v>0</v>
      </c>
      <c r="DB27">
        <v>155</v>
      </c>
      <c r="DC27">
        <v>277.16784615384603</v>
      </c>
      <c r="DD27">
        <v>-0.80854700378279898</v>
      </c>
      <c r="DE27">
        <v>-43.141880400049097</v>
      </c>
      <c r="DF27">
        <v>6286.8146153846201</v>
      </c>
      <c r="DG27">
        <v>15</v>
      </c>
      <c r="DH27">
        <v>1594053555</v>
      </c>
      <c r="DI27" t="s">
        <v>339</v>
      </c>
      <c r="DJ27">
        <v>40</v>
      </c>
      <c r="DK27">
        <v>-0.40799999999999997</v>
      </c>
      <c r="DL27">
        <v>0.113</v>
      </c>
      <c r="DM27">
        <v>800</v>
      </c>
      <c r="DN27">
        <v>17</v>
      </c>
      <c r="DO27">
        <v>0.22</v>
      </c>
      <c r="DP27">
        <v>0.05</v>
      </c>
      <c r="DQ27">
        <v>783.65216666666697</v>
      </c>
      <c r="DR27">
        <v>0.29421612349891502</v>
      </c>
      <c r="DS27">
        <v>4.3850651416253397E-2</v>
      </c>
      <c r="DT27">
        <v>1</v>
      </c>
      <c r="DU27">
        <v>19.069209259259299</v>
      </c>
      <c r="DV27">
        <v>-0.22136580903374201</v>
      </c>
      <c r="DW27">
        <v>2.9134231288720201E-2</v>
      </c>
      <c r="DX27">
        <v>0</v>
      </c>
      <c r="DY27">
        <v>1</v>
      </c>
      <c r="DZ27">
        <v>2</v>
      </c>
      <c r="EA27" t="s">
        <v>283</v>
      </c>
      <c r="EB27">
        <v>1.8666100000000001</v>
      </c>
      <c r="EC27">
        <v>1.8631200000000001</v>
      </c>
      <c r="ED27">
        <v>1.8687400000000001</v>
      </c>
      <c r="EE27">
        <v>1.86673</v>
      </c>
      <c r="EF27">
        <v>1.87141</v>
      </c>
      <c r="EG27">
        <v>1.8638600000000001</v>
      </c>
      <c r="EH27">
        <v>1.8652899999999999</v>
      </c>
      <c r="EI27">
        <v>1.8652299999999999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-0.40799999999999997</v>
      </c>
      <c r="EX27">
        <v>0.113</v>
      </c>
      <c r="EY27">
        <v>2</v>
      </c>
      <c r="EZ27">
        <v>322.44</v>
      </c>
      <c r="FA27">
        <v>440.51</v>
      </c>
      <c r="FB27">
        <v>20.558199999999999</v>
      </c>
      <c r="FC27">
        <v>38.258000000000003</v>
      </c>
      <c r="FD27">
        <v>29.9998</v>
      </c>
      <c r="FE27">
        <v>38.186799999999998</v>
      </c>
      <c r="FF27">
        <v>38.171399999999998</v>
      </c>
      <c r="FG27">
        <v>38.6967</v>
      </c>
      <c r="FH27">
        <v>52.757899999999999</v>
      </c>
      <c r="FI27">
        <v>0</v>
      </c>
      <c r="FJ27">
        <v>17.711600000000001</v>
      </c>
      <c r="FK27">
        <v>800</v>
      </c>
      <c r="FL27">
        <v>17.1142</v>
      </c>
      <c r="FM27">
        <v>99.828699999999998</v>
      </c>
      <c r="FN27">
        <v>100.286</v>
      </c>
    </row>
    <row r="28" spans="1:170" x14ac:dyDescent="0.25">
      <c r="A28">
        <v>12</v>
      </c>
      <c r="B28">
        <v>1594053676.5</v>
      </c>
      <c r="C28">
        <v>1460.5999999046301</v>
      </c>
      <c r="D28" t="s">
        <v>340</v>
      </c>
      <c r="E28" t="s">
        <v>341</v>
      </c>
      <c r="G28">
        <v>1594053668.5</v>
      </c>
      <c r="H28">
        <f t="shared" si="0"/>
        <v>3.8707164487032392E-3</v>
      </c>
      <c r="I28">
        <f t="shared" si="1"/>
        <v>38.374488054120292</v>
      </c>
      <c r="J28">
        <f t="shared" si="2"/>
        <v>983.10829032258096</v>
      </c>
      <c r="K28">
        <f t="shared" si="3"/>
        <v>679.03330707450993</v>
      </c>
      <c r="L28">
        <f t="shared" si="4"/>
        <v>67.527178848930475</v>
      </c>
      <c r="M28">
        <f t="shared" si="5"/>
        <v>97.766234228617336</v>
      </c>
      <c r="N28">
        <f t="shared" si="6"/>
        <v>0.22578281953721735</v>
      </c>
      <c r="O28">
        <f t="shared" si="7"/>
        <v>3.3808983372950463</v>
      </c>
      <c r="P28">
        <f t="shared" si="8"/>
        <v>0.21772815972022266</v>
      </c>
      <c r="Q28">
        <f t="shared" si="9"/>
        <v>0.13677983969746227</v>
      </c>
      <c r="R28">
        <f t="shared" si="10"/>
        <v>321.4370935709436</v>
      </c>
      <c r="S28">
        <f t="shared" si="11"/>
        <v>26.973389766023633</v>
      </c>
      <c r="T28">
        <f t="shared" si="12"/>
        <v>27.0787612903226</v>
      </c>
      <c r="U28">
        <f t="shared" si="13"/>
        <v>3.5957497985934661</v>
      </c>
      <c r="V28">
        <f t="shared" si="14"/>
        <v>54.97157708460233</v>
      </c>
      <c r="W28">
        <f t="shared" si="15"/>
        <v>1.8764648025719757</v>
      </c>
      <c r="X28">
        <f t="shared" si="16"/>
        <v>3.4135182253986631</v>
      </c>
      <c r="Y28">
        <f t="shared" si="17"/>
        <v>1.7192849960214904</v>
      </c>
      <c r="Z28">
        <f t="shared" si="18"/>
        <v>-170.69859538781284</v>
      </c>
      <c r="AA28">
        <f t="shared" si="19"/>
        <v>-160.96821606112846</v>
      </c>
      <c r="AB28">
        <f t="shared" si="20"/>
        <v>-10.237816789209717</v>
      </c>
      <c r="AC28">
        <f t="shared" si="21"/>
        <v>-20.467534667207417</v>
      </c>
      <c r="AD28">
        <v>-4.11520119847118E-2</v>
      </c>
      <c r="AE28">
        <v>4.6196738567091701E-2</v>
      </c>
      <c r="AF28">
        <v>3.4531129080997101</v>
      </c>
      <c r="AG28">
        <v>163</v>
      </c>
      <c r="AH28">
        <v>33</v>
      </c>
      <c r="AI28">
        <f t="shared" si="22"/>
        <v>1</v>
      </c>
      <c r="AJ28">
        <f t="shared" si="23"/>
        <v>0</v>
      </c>
      <c r="AK28">
        <f t="shared" si="24"/>
        <v>52616.551414763911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275.21703846153798</v>
      </c>
      <c r="AT28">
        <v>368.471</v>
      </c>
      <c r="AU28">
        <f t="shared" si="27"/>
        <v>0.25308358470127101</v>
      </c>
      <c r="AV28">
        <v>0.5</v>
      </c>
      <c r="AW28">
        <f t="shared" si="28"/>
        <v>1681.182638386488</v>
      </c>
      <c r="AX28">
        <f t="shared" si="29"/>
        <v>38.374488054120292</v>
      </c>
      <c r="AY28">
        <f t="shared" si="30"/>
        <v>212.7398643301965</v>
      </c>
      <c r="AZ28">
        <f t="shared" si="31"/>
        <v>0.49591691069310745</v>
      </c>
      <c r="BA28">
        <f t="shared" si="32"/>
        <v>2.3420708229481769E-2</v>
      </c>
      <c r="BB28">
        <f t="shared" si="33"/>
        <v>-1</v>
      </c>
      <c r="BC28" t="s">
        <v>343</v>
      </c>
      <c r="BD28">
        <v>185.74</v>
      </c>
      <c r="BE28">
        <f t="shared" si="34"/>
        <v>182.73099999999999</v>
      </c>
      <c r="BF28">
        <f t="shared" si="35"/>
        <v>0.51033465333447536</v>
      </c>
      <c r="BG28">
        <f t="shared" si="36"/>
        <v>1.9837999353935609</v>
      </c>
      <c r="BH28">
        <f t="shared" si="37"/>
        <v>0.25308358470127096</v>
      </c>
      <c r="BI28" t="e">
        <f t="shared" si="38"/>
        <v>#DIV/0!</v>
      </c>
      <c r="BJ28">
        <v>4617</v>
      </c>
      <c r="BK28">
        <v>300</v>
      </c>
      <c r="BL28">
        <v>300</v>
      </c>
      <c r="BM28">
        <v>300</v>
      </c>
      <c r="BN28">
        <v>9877.7099999999991</v>
      </c>
      <c r="BO28">
        <v>345.596</v>
      </c>
      <c r="BP28">
        <v>-6.5704700000000001E-3</v>
      </c>
      <c r="BQ28">
        <v>1.22098</v>
      </c>
      <c r="BR28">
        <f t="shared" si="39"/>
        <v>1999.9829032258101</v>
      </c>
      <c r="BS28">
        <f t="shared" si="40"/>
        <v>1681.182638386488</v>
      </c>
      <c r="BT28">
        <f t="shared" si="41"/>
        <v>0.84059850495465571</v>
      </c>
      <c r="BU28">
        <f t="shared" si="42"/>
        <v>0.19119700990931138</v>
      </c>
      <c r="BV28">
        <v>0.5</v>
      </c>
      <c r="BW28" t="s">
        <v>281</v>
      </c>
      <c r="BX28">
        <v>1594053668.5</v>
      </c>
      <c r="BY28">
        <v>983.10829032258096</v>
      </c>
      <c r="BZ28">
        <v>999.97874193548398</v>
      </c>
      <c r="CA28">
        <v>18.8691741935484</v>
      </c>
      <c r="CB28">
        <v>17.350235483871</v>
      </c>
      <c r="CC28">
        <v>500.04377419354802</v>
      </c>
      <c r="CD28">
        <v>99.246054838709696</v>
      </c>
      <c r="CE28">
        <v>0.19999316129032299</v>
      </c>
      <c r="CF28">
        <v>26.195635483871001</v>
      </c>
      <c r="CG28">
        <v>27.0787612903226</v>
      </c>
      <c r="CH28">
        <v>999.9</v>
      </c>
      <c r="CI28">
        <v>9999.3977419354796</v>
      </c>
      <c r="CJ28">
        <v>0</v>
      </c>
      <c r="CK28">
        <v>299.98793548387101</v>
      </c>
      <c r="CL28">
        <v>1999.9829032258101</v>
      </c>
      <c r="CM28">
        <v>0.98000132258064498</v>
      </c>
      <c r="CN28">
        <v>1.9998864516128999E-2</v>
      </c>
      <c r="CO28">
        <v>0</v>
      </c>
      <c r="CP28">
        <v>275.22387096774202</v>
      </c>
      <c r="CQ28">
        <v>5.00054</v>
      </c>
      <c r="CR28">
        <v>6874.1870967741897</v>
      </c>
      <c r="CS28">
        <v>18703.470967741901</v>
      </c>
      <c r="CT28">
        <v>46.947258064516099</v>
      </c>
      <c r="CU28">
        <v>48.429000000000002</v>
      </c>
      <c r="CV28">
        <v>47.262</v>
      </c>
      <c r="CW28">
        <v>47.576387096774198</v>
      </c>
      <c r="CX28">
        <v>48.387</v>
      </c>
      <c r="CY28">
        <v>1955.08290322581</v>
      </c>
      <c r="CZ28">
        <v>39.9</v>
      </c>
      <c r="DA28">
        <v>0</v>
      </c>
      <c r="DB28">
        <v>147.299999952316</v>
      </c>
      <c r="DC28">
        <v>275.21703846153798</v>
      </c>
      <c r="DD28">
        <v>-2.6284786223866901</v>
      </c>
      <c r="DE28">
        <v>-18.8287179902687</v>
      </c>
      <c r="DF28">
        <v>6873.9146153846104</v>
      </c>
      <c r="DG28">
        <v>15</v>
      </c>
      <c r="DH28">
        <v>1594053710.5</v>
      </c>
      <c r="DI28" t="s">
        <v>344</v>
      </c>
      <c r="DJ28">
        <v>41</v>
      </c>
      <c r="DK28">
        <v>-6.5000000000000002E-2</v>
      </c>
      <c r="DL28">
        <v>0.11600000000000001</v>
      </c>
      <c r="DM28">
        <v>1000</v>
      </c>
      <c r="DN28">
        <v>17</v>
      </c>
      <c r="DO28">
        <v>0.21</v>
      </c>
      <c r="DP28">
        <v>0.06</v>
      </c>
      <c r="DQ28">
        <v>982.74496296296297</v>
      </c>
      <c r="DR28">
        <v>0.34877987421419698</v>
      </c>
      <c r="DS28">
        <v>6.5493839959971906E-2</v>
      </c>
      <c r="DT28">
        <v>0</v>
      </c>
      <c r="DU28">
        <v>18.836577777777801</v>
      </c>
      <c r="DV28">
        <v>0.28455117209834102</v>
      </c>
      <c r="DW28">
        <v>3.80130029734791E-2</v>
      </c>
      <c r="DX28">
        <v>0</v>
      </c>
      <c r="DY28">
        <v>0</v>
      </c>
      <c r="DZ28">
        <v>2</v>
      </c>
      <c r="EA28" t="s">
        <v>324</v>
      </c>
      <c r="EB28">
        <v>1.8666100000000001</v>
      </c>
      <c r="EC28">
        <v>1.86311</v>
      </c>
      <c r="ED28">
        <v>1.8687400000000001</v>
      </c>
      <c r="EE28">
        <v>1.8667100000000001</v>
      </c>
      <c r="EF28">
        <v>1.87138</v>
      </c>
      <c r="EG28">
        <v>1.8638600000000001</v>
      </c>
      <c r="EH28">
        <v>1.8653</v>
      </c>
      <c r="EI28">
        <v>1.8652299999999999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-6.5000000000000002E-2</v>
      </c>
      <c r="EX28">
        <v>0.11600000000000001</v>
      </c>
      <c r="EY28">
        <v>2</v>
      </c>
      <c r="EZ28">
        <v>323.125</v>
      </c>
      <c r="FA28">
        <v>441.36599999999999</v>
      </c>
      <c r="FB28">
        <v>20.4499</v>
      </c>
      <c r="FC28">
        <v>38.155500000000004</v>
      </c>
      <c r="FD28">
        <v>30</v>
      </c>
      <c r="FE28">
        <v>38.121099999999998</v>
      </c>
      <c r="FF28">
        <v>38.111600000000003</v>
      </c>
      <c r="FG28">
        <v>46.3384</v>
      </c>
      <c r="FH28">
        <v>52.826700000000002</v>
      </c>
      <c r="FI28">
        <v>0</v>
      </c>
      <c r="FJ28">
        <v>19.4605</v>
      </c>
      <c r="FK28">
        <v>1000</v>
      </c>
      <c r="FL28">
        <v>17.274000000000001</v>
      </c>
      <c r="FM28">
        <v>99.853499999999997</v>
      </c>
      <c r="FN28">
        <v>100.316</v>
      </c>
    </row>
    <row r="29" spans="1:170" x14ac:dyDescent="0.25">
      <c r="A29">
        <v>13</v>
      </c>
      <c r="B29">
        <v>1594053809.5</v>
      </c>
      <c r="C29">
        <v>1593.5999999046301</v>
      </c>
      <c r="D29" t="s">
        <v>345</v>
      </c>
      <c r="E29" t="s">
        <v>346</v>
      </c>
      <c r="G29">
        <v>1594053801.5</v>
      </c>
      <c r="H29">
        <f t="shared" si="0"/>
        <v>3.7416890956085387E-3</v>
      </c>
      <c r="I29">
        <f t="shared" si="1"/>
        <v>38.424006488546425</v>
      </c>
      <c r="J29">
        <f t="shared" si="2"/>
        <v>1182.8722580645201</v>
      </c>
      <c r="K29">
        <f t="shared" si="3"/>
        <v>857.71464647631262</v>
      </c>
      <c r="L29">
        <f t="shared" si="4"/>
        <v>85.294285866999559</v>
      </c>
      <c r="M29">
        <f t="shared" si="5"/>
        <v>117.62914966881678</v>
      </c>
      <c r="N29">
        <f t="shared" si="6"/>
        <v>0.21410504507382638</v>
      </c>
      <c r="O29">
        <f t="shared" si="7"/>
        <v>3.3808219539440132</v>
      </c>
      <c r="P29">
        <f t="shared" si="8"/>
        <v>0.20684746636482157</v>
      </c>
      <c r="Q29">
        <f t="shared" si="9"/>
        <v>0.12991123648282873</v>
      </c>
      <c r="R29">
        <f t="shared" si="10"/>
        <v>321.43955811945642</v>
      </c>
      <c r="S29">
        <f t="shared" si="11"/>
        <v>27.031100278665001</v>
      </c>
      <c r="T29">
        <f t="shared" si="12"/>
        <v>27.183874193548402</v>
      </c>
      <c r="U29">
        <f t="shared" si="13"/>
        <v>3.6179950959714962</v>
      </c>
      <c r="V29">
        <f t="shared" si="14"/>
        <v>54.654639809343678</v>
      </c>
      <c r="W29">
        <f t="shared" si="15"/>
        <v>1.8687719318479741</v>
      </c>
      <c r="X29">
        <f t="shared" si="16"/>
        <v>3.4192374853570833</v>
      </c>
      <c r="Y29">
        <f t="shared" si="17"/>
        <v>1.7492231641235221</v>
      </c>
      <c r="Z29">
        <f t="shared" si="18"/>
        <v>-165.00848911633656</v>
      </c>
      <c r="AA29">
        <f t="shared" si="19"/>
        <v>-174.95855952413515</v>
      </c>
      <c r="AB29">
        <f t="shared" si="20"/>
        <v>-11.135314753481229</v>
      </c>
      <c r="AC29">
        <f t="shared" si="21"/>
        <v>-29.66280527449652</v>
      </c>
      <c r="AD29">
        <v>-4.1150830908818298E-2</v>
      </c>
      <c r="AE29">
        <v>4.6195412705933303E-2</v>
      </c>
      <c r="AF29">
        <v>3.4530344521674201</v>
      </c>
      <c r="AG29">
        <v>162</v>
      </c>
      <c r="AH29">
        <v>32</v>
      </c>
      <c r="AI29">
        <f t="shared" si="22"/>
        <v>1</v>
      </c>
      <c r="AJ29">
        <f t="shared" si="23"/>
        <v>0</v>
      </c>
      <c r="AK29">
        <f t="shared" si="24"/>
        <v>52610.068061691862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273.61930769230798</v>
      </c>
      <c r="AT29">
        <v>362.78199999999998</v>
      </c>
      <c r="AU29">
        <f t="shared" si="27"/>
        <v>0.24577485186059944</v>
      </c>
      <c r="AV29">
        <v>0.5</v>
      </c>
      <c r="AW29">
        <f t="shared" si="28"/>
        <v>1681.1980759936507</v>
      </c>
      <c r="AX29">
        <f t="shared" si="29"/>
        <v>38.424006488546425</v>
      </c>
      <c r="AY29">
        <f t="shared" si="30"/>
        <v>206.59810403783214</v>
      </c>
      <c r="AZ29">
        <f t="shared" si="31"/>
        <v>0.4946827571378955</v>
      </c>
      <c r="BA29">
        <f t="shared" si="32"/>
        <v>2.3449947422313915E-2</v>
      </c>
      <c r="BB29">
        <f t="shared" si="33"/>
        <v>-1</v>
      </c>
      <c r="BC29" t="s">
        <v>348</v>
      </c>
      <c r="BD29">
        <v>183.32</v>
      </c>
      <c r="BE29">
        <f t="shared" si="34"/>
        <v>179.46199999999999</v>
      </c>
      <c r="BF29">
        <f t="shared" si="35"/>
        <v>0.49683327003873801</v>
      </c>
      <c r="BG29">
        <f t="shared" si="36"/>
        <v>1.9789548330787694</v>
      </c>
      <c r="BH29">
        <f t="shared" si="37"/>
        <v>0.2457748518605995</v>
      </c>
      <c r="BI29" t="e">
        <f t="shared" si="38"/>
        <v>#DIV/0!</v>
      </c>
      <c r="BJ29">
        <v>4619</v>
      </c>
      <c r="BK29">
        <v>300</v>
      </c>
      <c r="BL29">
        <v>300</v>
      </c>
      <c r="BM29">
        <v>300</v>
      </c>
      <c r="BN29">
        <v>9877.1200000000008</v>
      </c>
      <c r="BO29">
        <v>339.18099999999998</v>
      </c>
      <c r="BP29">
        <v>-6.5700799999999998E-3</v>
      </c>
      <c r="BQ29">
        <v>0.71682699999999999</v>
      </c>
      <c r="BR29">
        <f t="shared" si="39"/>
        <v>2000.0016129032299</v>
      </c>
      <c r="BS29">
        <f t="shared" si="40"/>
        <v>1681.1980759936507</v>
      </c>
      <c r="BT29">
        <f t="shared" si="41"/>
        <v>0.84059836009492028</v>
      </c>
      <c r="BU29">
        <f t="shared" si="42"/>
        <v>0.1911967201898406</v>
      </c>
      <c r="BV29">
        <v>0.5</v>
      </c>
      <c r="BW29" t="s">
        <v>281</v>
      </c>
      <c r="BX29">
        <v>1594053801.5</v>
      </c>
      <c r="BY29">
        <v>1182.8722580645201</v>
      </c>
      <c r="BZ29">
        <v>1200.01</v>
      </c>
      <c r="CA29">
        <v>18.7922677419355</v>
      </c>
      <c r="CB29">
        <v>17.323909677419401</v>
      </c>
      <c r="CC29">
        <v>500.065258064516</v>
      </c>
      <c r="CD29">
        <v>99.243632258064494</v>
      </c>
      <c r="CE29">
        <v>0.20003029032258099</v>
      </c>
      <c r="CF29">
        <v>26.223970967741899</v>
      </c>
      <c r="CG29">
        <v>27.183874193548402</v>
      </c>
      <c r="CH29">
        <v>999.9</v>
      </c>
      <c r="CI29">
        <v>9999.3548387096798</v>
      </c>
      <c r="CJ29">
        <v>0</v>
      </c>
      <c r="CK29">
        <v>241.63964516128999</v>
      </c>
      <c r="CL29">
        <v>2000.0016129032299</v>
      </c>
      <c r="CM29">
        <v>0.98000283870967697</v>
      </c>
      <c r="CN29">
        <v>1.99972096774194E-2</v>
      </c>
      <c r="CO29">
        <v>0</v>
      </c>
      <c r="CP29">
        <v>273.65396774193499</v>
      </c>
      <c r="CQ29">
        <v>5.00054</v>
      </c>
      <c r="CR29">
        <v>6544.9325806451598</v>
      </c>
      <c r="CS29">
        <v>18703.661290322601</v>
      </c>
      <c r="CT29">
        <v>47.015999999999998</v>
      </c>
      <c r="CU29">
        <v>48.596548387096803</v>
      </c>
      <c r="CV29">
        <v>47.386935483871</v>
      </c>
      <c r="CW29">
        <v>47.747838709677403</v>
      </c>
      <c r="CX29">
        <v>48.4695161290323</v>
      </c>
      <c r="CY29">
        <v>1955.10741935484</v>
      </c>
      <c r="CZ29">
        <v>39.890645161290301</v>
      </c>
      <c r="DA29">
        <v>0</v>
      </c>
      <c r="DB29">
        <v>132.59999990463299</v>
      </c>
      <c r="DC29">
        <v>273.61930769230798</v>
      </c>
      <c r="DD29">
        <v>-3.04622223340112</v>
      </c>
      <c r="DE29">
        <v>-105.05059934631301</v>
      </c>
      <c r="DF29">
        <v>6547.6234615384601</v>
      </c>
      <c r="DG29">
        <v>15</v>
      </c>
      <c r="DH29">
        <v>1594053850</v>
      </c>
      <c r="DI29" t="s">
        <v>349</v>
      </c>
      <c r="DJ29">
        <v>42</v>
      </c>
      <c r="DK29">
        <v>-6.5000000000000002E-2</v>
      </c>
      <c r="DL29">
        <v>0.11600000000000001</v>
      </c>
      <c r="DM29">
        <v>1000</v>
      </c>
      <c r="DN29">
        <v>17</v>
      </c>
      <c r="DO29">
        <v>0.21</v>
      </c>
      <c r="DP29">
        <v>0.05</v>
      </c>
      <c r="DQ29">
        <v>1182.83592592593</v>
      </c>
      <c r="DR29">
        <v>0.28487135506028599</v>
      </c>
      <c r="DS29">
        <v>5.5093137252219503E-2</v>
      </c>
      <c r="DT29">
        <v>1</v>
      </c>
      <c r="DU29">
        <v>18.797968518518498</v>
      </c>
      <c r="DV29">
        <v>-5.4382161234986501E-2</v>
      </c>
      <c r="DW29">
        <v>7.1241068075381204E-3</v>
      </c>
      <c r="DX29">
        <v>1</v>
      </c>
      <c r="DY29">
        <v>2</v>
      </c>
      <c r="DZ29">
        <v>2</v>
      </c>
      <c r="EA29" t="s">
        <v>293</v>
      </c>
      <c r="EB29">
        <v>1.8666100000000001</v>
      </c>
      <c r="EC29">
        <v>1.86313</v>
      </c>
      <c r="ED29">
        <v>1.8687400000000001</v>
      </c>
      <c r="EE29">
        <v>1.86673</v>
      </c>
      <c r="EF29">
        <v>1.8714</v>
      </c>
      <c r="EG29">
        <v>1.86385</v>
      </c>
      <c r="EH29">
        <v>1.8652500000000001</v>
      </c>
      <c r="EI29">
        <v>1.8652299999999999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-6.5000000000000002E-2</v>
      </c>
      <c r="EX29">
        <v>0.11600000000000001</v>
      </c>
      <c r="EY29">
        <v>2</v>
      </c>
      <c r="EZ29">
        <v>323.32600000000002</v>
      </c>
      <c r="FA29">
        <v>441.41399999999999</v>
      </c>
      <c r="FB29">
        <v>20.5459</v>
      </c>
      <c r="FC29">
        <v>38.151899999999998</v>
      </c>
      <c r="FD29">
        <v>30.000399999999999</v>
      </c>
      <c r="FE29">
        <v>38.108499999999999</v>
      </c>
      <c r="FF29">
        <v>38.102600000000002</v>
      </c>
      <c r="FG29">
        <v>53.651800000000001</v>
      </c>
      <c r="FH29">
        <v>52.638599999999997</v>
      </c>
      <c r="FI29">
        <v>0</v>
      </c>
      <c r="FJ29">
        <v>18.245200000000001</v>
      </c>
      <c r="FK29">
        <v>1200</v>
      </c>
      <c r="FL29">
        <v>17.443000000000001</v>
      </c>
      <c r="FM29">
        <v>99.856300000000005</v>
      </c>
      <c r="FN29">
        <v>100.31699999999999</v>
      </c>
    </row>
    <row r="30" spans="1:170" x14ac:dyDescent="0.25">
      <c r="A30">
        <v>14</v>
      </c>
      <c r="B30">
        <v>1594053944</v>
      </c>
      <c r="C30">
        <v>1728.0999999046301</v>
      </c>
      <c r="D30" t="s">
        <v>350</v>
      </c>
      <c r="E30" t="s">
        <v>351</v>
      </c>
      <c r="G30">
        <v>1594053936</v>
      </c>
      <c r="H30">
        <f t="shared" si="0"/>
        <v>3.4729902976272852E-3</v>
      </c>
      <c r="I30">
        <f t="shared" si="1"/>
        <v>38.853284489340879</v>
      </c>
      <c r="J30">
        <f t="shared" si="2"/>
        <v>1582.2096774193501</v>
      </c>
      <c r="K30">
        <f t="shared" si="3"/>
        <v>1217.4802704028998</v>
      </c>
      <c r="L30">
        <f t="shared" si="4"/>
        <v>121.06897624126603</v>
      </c>
      <c r="M30">
        <f t="shared" si="5"/>
        <v>157.33848876318368</v>
      </c>
      <c r="N30">
        <f t="shared" si="6"/>
        <v>0.19707673636536271</v>
      </c>
      <c r="O30">
        <f t="shared" si="7"/>
        <v>3.3799587845555656</v>
      </c>
      <c r="P30">
        <f t="shared" si="8"/>
        <v>0.19090826194968458</v>
      </c>
      <c r="Q30">
        <f t="shared" si="9"/>
        <v>0.11985579353064023</v>
      </c>
      <c r="R30">
        <f t="shared" si="10"/>
        <v>321.44085187665996</v>
      </c>
      <c r="S30">
        <f t="shared" si="11"/>
        <v>27.156967008216625</v>
      </c>
      <c r="T30">
        <f t="shared" si="12"/>
        <v>27.283338709677398</v>
      </c>
      <c r="U30">
        <f t="shared" si="13"/>
        <v>3.6391555279915222</v>
      </c>
      <c r="V30">
        <f t="shared" si="14"/>
        <v>54.782961207023916</v>
      </c>
      <c r="W30">
        <f t="shared" si="15"/>
        <v>1.8803137100513545</v>
      </c>
      <c r="X30">
        <f t="shared" si="16"/>
        <v>3.4322965911712577</v>
      </c>
      <c r="Y30">
        <f t="shared" si="17"/>
        <v>1.7588418179401677</v>
      </c>
      <c r="Z30">
        <f t="shared" si="18"/>
        <v>-153.15887212536327</v>
      </c>
      <c r="AA30">
        <f t="shared" si="19"/>
        <v>-181.27690688817836</v>
      </c>
      <c r="AB30">
        <f t="shared" si="20"/>
        <v>-11.549872979645107</v>
      </c>
      <c r="AC30">
        <f t="shared" si="21"/>
        <v>-24.544800116526773</v>
      </c>
      <c r="AD30">
        <v>-4.1137485002149497E-2</v>
      </c>
      <c r="AE30">
        <v>4.6180430756531901E-2</v>
      </c>
      <c r="AF30">
        <v>3.4521478630511</v>
      </c>
      <c r="AG30">
        <v>162</v>
      </c>
      <c r="AH30">
        <v>32</v>
      </c>
      <c r="AI30">
        <f t="shared" si="22"/>
        <v>1</v>
      </c>
      <c r="AJ30">
        <f t="shared" si="23"/>
        <v>0</v>
      </c>
      <c r="AK30">
        <f t="shared" si="24"/>
        <v>52582.329083833007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273.33634615384602</v>
      </c>
      <c r="AT30">
        <v>353.16500000000002</v>
      </c>
      <c r="AU30">
        <f t="shared" si="27"/>
        <v>0.22603784023375473</v>
      </c>
      <c r="AV30">
        <v>0.5</v>
      </c>
      <c r="AW30">
        <f t="shared" si="28"/>
        <v>1681.202419031647</v>
      </c>
      <c r="AX30">
        <f t="shared" si="29"/>
        <v>38.853284489340879</v>
      </c>
      <c r="AY30">
        <f t="shared" si="30"/>
        <v>190.0076818968387</v>
      </c>
      <c r="AZ30">
        <f t="shared" si="31"/>
        <v>0.48375405263828525</v>
      </c>
      <c r="BA30">
        <f t="shared" si="32"/>
        <v>2.3705226710473037E-2</v>
      </c>
      <c r="BB30">
        <f t="shared" si="33"/>
        <v>-1</v>
      </c>
      <c r="BC30" t="s">
        <v>353</v>
      </c>
      <c r="BD30">
        <v>182.32</v>
      </c>
      <c r="BE30">
        <f t="shared" si="34"/>
        <v>170.84500000000003</v>
      </c>
      <c r="BF30">
        <f t="shared" si="35"/>
        <v>0.46725777076387359</v>
      </c>
      <c r="BG30">
        <f t="shared" si="36"/>
        <v>1.9370612110574816</v>
      </c>
      <c r="BH30">
        <f t="shared" si="37"/>
        <v>0.22603784023375473</v>
      </c>
      <c r="BI30" t="e">
        <f t="shared" si="38"/>
        <v>#DIV/0!</v>
      </c>
      <c r="BJ30">
        <v>4621</v>
      </c>
      <c r="BK30">
        <v>300</v>
      </c>
      <c r="BL30">
        <v>300</v>
      </c>
      <c r="BM30">
        <v>300</v>
      </c>
      <c r="BN30">
        <v>9877.39</v>
      </c>
      <c r="BO30">
        <v>334.3</v>
      </c>
      <c r="BP30">
        <v>-6.5702299999999998E-3</v>
      </c>
      <c r="BQ30">
        <v>0.56021100000000001</v>
      </c>
      <c r="BR30">
        <f t="shared" si="39"/>
        <v>2000.0064516129</v>
      </c>
      <c r="BS30">
        <f t="shared" si="40"/>
        <v>1681.202419031647</v>
      </c>
      <c r="BT30">
        <f t="shared" si="41"/>
        <v>0.84059849790776708</v>
      </c>
      <c r="BU30">
        <f t="shared" si="42"/>
        <v>0.19119699581553432</v>
      </c>
      <c r="BV30">
        <v>0.5</v>
      </c>
      <c r="BW30" t="s">
        <v>281</v>
      </c>
      <c r="BX30">
        <v>1594053936</v>
      </c>
      <c r="BY30">
        <v>1582.2096774193501</v>
      </c>
      <c r="BZ30">
        <v>1599.94677419355</v>
      </c>
      <c r="CA30">
        <v>18.9086</v>
      </c>
      <c r="CB30">
        <v>17.545841935483899</v>
      </c>
      <c r="CC30">
        <v>500.06248387096798</v>
      </c>
      <c r="CD30">
        <v>99.242219354838696</v>
      </c>
      <c r="CE30">
        <v>0.20002967741935501</v>
      </c>
      <c r="CF30">
        <v>26.288516129032299</v>
      </c>
      <c r="CG30">
        <v>27.283338709677398</v>
      </c>
      <c r="CH30">
        <v>999.9</v>
      </c>
      <c r="CI30">
        <v>9996.2541935483896</v>
      </c>
      <c r="CJ30">
        <v>0</v>
      </c>
      <c r="CK30">
        <v>283.27625806451601</v>
      </c>
      <c r="CL30">
        <v>2000.0064516129</v>
      </c>
      <c r="CM30">
        <v>0.98000200000000004</v>
      </c>
      <c r="CN30">
        <v>1.99983E-2</v>
      </c>
      <c r="CO30">
        <v>0</v>
      </c>
      <c r="CP30">
        <v>273.34854838709703</v>
      </c>
      <c r="CQ30">
        <v>5.00054</v>
      </c>
      <c r="CR30">
        <v>7005.46451612903</v>
      </c>
      <c r="CS30">
        <v>18703.693548387098</v>
      </c>
      <c r="CT30">
        <v>46.973516129032198</v>
      </c>
      <c r="CU30">
        <v>48.515935483870997</v>
      </c>
      <c r="CV30">
        <v>47.350612903225802</v>
      </c>
      <c r="CW30">
        <v>47.699322580645202</v>
      </c>
      <c r="CX30">
        <v>48.465451612903202</v>
      </c>
      <c r="CY30">
        <v>1955.1064516128999</v>
      </c>
      <c r="CZ30">
        <v>39.9</v>
      </c>
      <c r="DA30">
        <v>0</v>
      </c>
      <c r="DB30">
        <v>133.799999952316</v>
      </c>
      <c r="DC30">
        <v>273.33634615384602</v>
      </c>
      <c r="DD30">
        <v>-2.8027692422955899</v>
      </c>
      <c r="DE30">
        <v>521.79008527312897</v>
      </c>
      <c r="DF30">
        <v>7009.40846153846</v>
      </c>
      <c r="DG30">
        <v>15</v>
      </c>
      <c r="DH30">
        <v>1594053973.5</v>
      </c>
      <c r="DI30" t="s">
        <v>354</v>
      </c>
      <c r="DJ30">
        <v>43</v>
      </c>
      <c r="DK30">
        <v>-0.27500000000000002</v>
      </c>
      <c r="DL30">
        <v>0.12</v>
      </c>
      <c r="DM30">
        <v>1600</v>
      </c>
      <c r="DN30">
        <v>18</v>
      </c>
      <c r="DO30">
        <v>0.26</v>
      </c>
      <c r="DP30">
        <v>0.08</v>
      </c>
      <c r="DQ30">
        <v>1582.3818518518499</v>
      </c>
      <c r="DR30">
        <v>0.251663807890733</v>
      </c>
      <c r="DS30">
        <v>6.9975500317761494E-2</v>
      </c>
      <c r="DT30">
        <v>1</v>
      </c>
      <c r="DU30">
        <v>18.901648148148201</v>
      </c>
      <c r="DV30">
        <v>2.81248713550677E-2</v>
      </c>
      <c r="DW30">
        <v>6.6865464911307097E-3</v>
      </c>
      <c r="DX30">
        <v>1</v>
      </c>
      <c r="DY30">
        <v>2</v>
      </c>
      <c r="DZ30">
        <v>2</v>
      </c>
      <c r="EA30" t="s">
        <v>293</v>
      </c>
      <c r="EB30">
        <v>1.8666100000000001</v>
      </c>
      <c r="EC30">
        <v>1.8631500000000001</v>
      </c>
      <c r="ED30">
        <v>1.8687400000000001</v>
      </c>
      <c r="EE30">
        <v>1.8667199999999999</v>
      </c>
      <c r="EF30">
        <v>1.87137</v>
      </c>
      <c r="EG30">
        <v>1.86385</v>
      </c>
      <c r="EH30">
        <v>1.86527</v>
      </c>
      <c r="EI30">
        <v>1.8652299999999999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-0.27500000000000002</v>
      </c>
      <c r="EX30">
        <v>0.12</v>
      </c>
      <c r="EY30">
        <v>2</v>
      </c>
      <c r="EZ30">
        <v>324.35000000000002</v>
      </c>
      <c r="FA30">
        <v>442.428</v>
      </c>
      <c r="FB30">
        <v>20.517399999999999</v>
      </c>
      <c r="FC30">
        <v>38.112000000000002</v>
      </c>
      <c r="FD30">
        <v>29.9999</v>
      </c>
      <c r="FE30">
        <v>38.0794</v>
      </c>
      <c r="FF30">
        <v>38.066899999999997</v>
      </c>
      <c r="FG30">
        <v>67.475099999999998</v>
      </c>
      <c r="FH30">
        <v>51.590400000000002</v>
      </c>
      <c r="FI30">
        <v>0</v>
      </c>
      <c r="FJ30">
        <v>16.953700000000001</v>
      </c>
      <c r="FK30">
        <v>1600</v>
      </c>
      <c r="FL30">
        <v>17.570399999999999</v>
      </c>
      <c r="FM30">
        <v>99.860399999999998</v>
      </c>
      <c r="FN30">
        <v>100.32599999999999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2020-07-06T11:48:43Z</dcterms:created>
  <dcterms:modified xsi:type="dcterms:W3CDTF">2024-11-20T09:00:01Z</dcterms:modified>
</cp:coreProperties>
</file>