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706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M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O29" i="1"/>
  <c r="AP29" i="1" s="1"/>
  <c r="AK29" i="1"/>
  <c r="AI29" i="1"/>
  <c r="M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/>
  <c r="H28" i="1" s="1"/>
  <c r="X28" i="1"/>
  <c r="W28" i="1"/>
  <c r="V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P27" i="1"/>
  <c r="AO27" i="1"/>
  <c r="AK27" i="1"/>
  <c r="AI27" i="1"/>
  <c r="AJ27" i="1" s="1"/>
  <c r="X27" i="1"/>
  <c r="W27" i="1"/>
  <c r="V27" i="1"/>
  <c r="O27" i="1"/>
  <c r="M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 s="1"/>
  <c r="X26" i="1"/>
  <c r="W26" i="1"/>
  <c r="V26" i="1"/>
  <c r="O26" i="1"/>
  <c r="BU25" i="1"/>
  <c r="BT25" i="1"/>
  <c r="BS25" i="1" s="1"/>
  <c r="BR25" i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AJ25" i="1" s="1"/>
  <c r="X25" i="1"/>
  <c r="V25" i="1" s="1"/>
  <c r="W25" i="1"/>
  <c r="O25" i="1"/>
  <c r="BU24" i="1"/>
  <c r="BT24" i="1"/>
  <c r="BR24" i="1"/>
  <c r="BS24" i="1" s="1"/>
  <c r="BI24" i="1"/>
  <c r="BH24" i="1"/>
  <c r="BG24" i="1"/>
  <c r="BF24" i="1"/>
  <c r="BE24" i="1"/>
  <c r="BB24" i="1"/>
  <c r="AZ24" i="1"/>
  <c r="AU24" i="1"/>
  <c r="AO24" i="1"/>
  <c r="AP24" i="1" s="1"/>
  <c r="AK24" i="1"/>
  <c r="AI24" i="1"/>
  <c r="M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M23" i="1" s="1"/>
  <c r="X23" i="1"/>
  <c r="W23" i="1"/>
  <c r="V23" i="1"/>
  <c r="O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P22" i="1"/>
  <c r="AO22" i="1"/>
  <c r="AK22" i="1"/>
  <c r="AI22" i="1"/>
  <c r="J22" i="1" s="1"/>
  <c r="X22" i="1"/>
  <c r="W22" i="1"/>
  <c r="V22" i="1"/>
  <c r="O22" i="1"/>
  <c r="M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X21" i="1"/>
  <c r="W21" i="1"/>
  <c r="V21" i="1"/>
  <c r="O21" i="1"/>
  <c r="BU20" i="1"/>
  <c r="BT20" i="1"/>
  <c r="BS20" i="1" s="1"/>
  <c r="BR20" i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M20" i="1" s="1"/>
  <c r="X20" i="1"/>
  <c r="W20" i="1"/>
  <c r="V20" i="1" s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I19" i="1" s="1"/>
  <c r="AX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O18" i="1"/>
  <c r="AP18" i="1" s="1"/>
  <c r="AK18" i="1"/>
  <c r="AI18" i="1"/>
  <c r="M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P17" i="1"/>
  <c r="AO17" i="1"/>
  <c r="AK17" i="1"/>
  <c r="AI17" i="1" s="1"/>
  <c r="X17" i="1"/>
  <c r="W17" i="1"/>
  <c r="V17" i="1"/>
  <c r="O17" i="1"/>
  <c r="J17" i="1"/>
  <c r="R21" i="1" l="1"/>
  <c r="AW21" i="1"/>
  <c r="R29" i="1"/>
  <c r="AW29" i="1"/>
  <c r="AW17" i="1"/>
  <c r="AY17" i="1" s="1"/>
  <c r="R17" i="1"/>
  <c r="AW25" i="1"/>
  <c r="AY25" i="1" s="1"/>
  <c r="R25" i="1"/>
  <c r="AY19" i="1"/>
  <c r="AW28" i="1"/>
  <c r="AY28" i="1" s="1"/>
  <c r="R28" i="1"/>
  <c r="R20" i="1"/>
  <c r="AW20" i="1"/>
  <c r="AY20" i="1" s="1"/>
  <c r="R24" i="1"/>
  <c r="AW24" i="1"/>
  <c r="AY24" i="1" s="1"/>
  <c r="J26" i="1"/>
  <c r="AJ26" i="1"/>
  <c r="M26" i="1"/>
  <c r="I26" i="1"/>
  <c r="AX26" i="1" s="1"/>
  <c r="H26" i="1"/>
  <c r="I17" i="1"/>
  <c r="AX17" i="1" s="1"/>
  <c r="BA17" i="1" s="1"/>
  <c r="H17" i="1"/>
  <c r="AJ17" i="1"/>
  <c r="M17" i="1"/>
  <c r="R19" i="1"/>
  <c r="AW19" i="1"/>
  <c r="BA19" i="1" s="1"/>
  <c r="AY22" i="1"/>
  <c r="J21" i="1"/>
  <c r="I21" i="1"/>
  <c r="AX21" i="1" s="1"/>
  <c r="BA21" i="1" s="1"/>
  <c r="AJ21" i="1"/>
  <c r="M21" i="1"/>
  <c r="H21" i="1"/>
  <c r="AW23" i="1"/>
  <c r="AY23" i="1" s="1"/>
  <c r="R23" i="1"/>
  <c r="R27" i="1"/>
  <c r="AW27" i="1"/>
  <c r="AY27" i="1" s="1"/>
  <c r="AY21" i="1"/>
  <c r="AY29" i="1"/>
  <c r="R18" i="1"/>
  <c r="AW18" i="1"/>
  <c r="AY18" i="1" s="1"/>
  <c r="R26" i="1"/>
  <c r="AW26" i="1"/>
  <c r="AY26" i="1" s="1"/>
  <c r="AW30" i="1"/>
  <c r="AY30" i="1" s="1"/>
  <c r="R30" i="1"/>
  <c r="R22" i="1"/>
  <c r="AW22" i="1"/>
  <c r="Z28" i="1"/>
  <c r="H25" i="1"/>
  <c r="J20" i="1"/>
  <c r="H19" i="1"/>
  <c r="I24" i="1"/>
  <c r="AX24" i="1" s="1"/>
  <c r="J24" i="1"/>
  <c r="I30" i="1"/>
  <c r="AX30" i="1" s="1"/>
  <c r="BA30" i="1" s="1"/>
  <c r="H29" i="1"/>
  <c r="J19" i="1"/>
  <c r="AJ23" i="1"/>
  <c r="H23" i="1"/>
  <c r="H18" i="1"/>
  <c r="I23" i="1"/>
  <c r="AX23" i="1" s="1"/>
  <c r="J28" i="1"/>
  <c r="I18" i="1"/>
  <c r="AX18" i="1" s="1"/>
  <c r="J23" i="1"/>
  <c r="AJ22" i="1"/>
  <c r="H27" i="1"/>
  <c r="M28" i="1"/>
  <c r="J30" i="1"/>
  <c r="J25" i="1"/>
  <c r="AJ24" i="1"/>
  <c r="M19" i="1"/>
  <c r="J18" i="1"/>
  <c r="H22" i="1"/>
  <c r="I27" i="1"/>
  <c r="AX27" i="1" s="1"/>
  <c r="BA27" i="1" s="1"/>
  <c r="AJ30" i="1"/>
  <c r="H30" i="1"/>
  <c r="AJ20" i="1"/>
  <c r="H20" i="1"/>
  <c r="I25" i="1"/>
  <c r="AX25" i="1" s="1"/>
  <c r="BA25" i="1" s="1"/>
  <c r="AJ19" i="1"/>
  <c r="M25" i="1"/>
  <c r="AJ28" i="1"/>
  <c r="AJ18" i="1"/>
  <c r="I28" i="1"/>
  <c r="AX28" i="1" s="1"/>
  <c r="I22" i="1"/>
  <c r="AX22" i="1" s="1"/>
  <c r="J27" i="1"/>
  <c r="I20" i="1"/>
  <c r="AX20" i="1" s="1"/>
  <c r="AJ29" i="1"/>
  <c r="H24" i="1"/>
  <c r="I29" i="1"/>
  <c r="AX29" i="1" s="1"/>
  <c r="BA29" i="1" s="1"/>
  <c r="J29" i="1"/>
  <c r="Z30" i="1" l="1"/>
  <c r="S27" i="1"/>
  <c r="T27" i="1" s="1"/>
  <c r="S23" i="1"/>
  <c r="T23" i="1" s="1"/>
  <c r="Z21" i="1"/>
  <c r="P20" i="1"/>
  <c r="N20" i="1" s="1"/>
  <c r="Q20" i="1" s="1"/>
  <c r="K20" i="1" s="1"/>
  <c r="L20" i="1" s="1"/>
  <c r="Z20" i="1"/>
  <c r="BA24" i="1"/>
  <c r="P25" i="1"/>
  <c r="N25" i="1" s="1"/>
  <c r="Q25" i="1" s="1"/>
  <c r="K25" i="1" s="1"/>
  <c r="L25" i="1" s="1"/>
  <c r="Z25" i="1"/>
  <c r="Z27" i="1"/>
  <c r="P27" i="1"/>
  <c r="N27" i="1" s="1"/>
  <c r="Q27" i="1" s="1"/>
  <c r="K27" i="1" s="1"/>
  <c r="L27" i="1" s="1"/>
  <c r="BA20" i="1"/>
  <c r="BA26" i="1"/>
  <c r="S29" i="1"/>
  <c r="T29" i="1" s="1"/>
  <c r="S24" i="1"/>
  <c r="T24" i="1" s="1"/>
  <c r="P17" i="1"/>
  <c r="N17" i="1" s="1"/>
  <c r="Q17" i="1" s="1"/>
  <c r="K17" i="1" s="1"/>
  <c r="L17" i="1" s="1"/>
  <c r="Z17" i="1"/>
  <c r="S18" i="1"/>
  <c r="T18" i="1" s="1"/>
  <c r="BA18" i="1"/>
  <c r="BA22" i="1"/>
  <c r="BA23" i="1"/>
  <c r="S20" i="1"/>
  <c r="T20" i="1" s="1"/>
  <c r="S19" i="1"/>
  <c r="T19" i="1" s="1"/>
  <c r="S25" i="1"/>
  <c r="T25" i="1" s="1"/>
  <c r="S22" i="1"/>
  <c r="T22" i="1" s="1"/>
  <c r="P22" i="1" s="1"/>
  <c r="N22" i="1" s="1"/>
  <c r="Q22" i="1" s="1"/>
  <c r="K22" i="1" s="1"/>
  <c r="L22" i="1" s="1"/>
  <c r="S17" i="1"/>
  <c r="T17" i="1" s="1"/>
  <c r="BA28" i="1"/>
  <c r="Z18" i="1"/>
  <c r="P18" i="1"/>
  <c r="N18" i="1" s="1"/>
  <c r="Q18" i="1" s="1"/>
  <c r="K18" i="1" s="1"/>
  <c r="L18" i="1" s="1"/>
  <c r="S21" i="1"/>
  <c r="T21" i="1" s="1"/>
  <c r="Z29" i="1"/>
  <c r="P29" i="1"/>
  <c r="N29" i="1" s="1"/>
  <c r="Q29" i="1" s="1"/>
  <c r="K29" i="1" s="1"/>
  <c r="L29" i="1" s="1"/>
  <c r="S28" i="1"/>
  <c r="T28" i="1" s="1"/>
  <c r="Z19" i="1"/>
  <c r="Z22" i="1"/>
  <c r="S30" i="1"/>
  <c r="T30" i="1" s="1"/>
  <c r="S26" i="1"/>
  <c r="T26" i="1" s="1"/>
  <c r="Z24" i="1"/>
  <c r="Z26" i="1"/>
  <c r="P26" i="1"/>
  <c r="N26" i="1" s="1"/>
  <c r="Q26" i="1" s="1"/>
  <c r="K26" i="1" s="1"/>
  <c r="L26" i="1" s="1"/>
  <c r="P23" i="1"/>
  <c r="N23" i="1" s="1"/>
  <c r="Q23" i="1" s="1"/>
  <c r="K23" i="1" s="1"/>
  <c r="L23" i="1" s="1"/>
  <c r="Z23" i="1"/>
  <c r="AA24" i="1" l="1"/>
  <c r="U24" i="1"/>
  <c r="Y24" i="1" s="1"/>
  <c r="AB24" i="1"/>
  <c r="AC24" i="1" s="1"/>
  <c r="U29" i="1"/>
  <c r="Y29" i="1" s="1"/>
  <c r="AA29" i="1"/>
  <c r="AB29" i="1"/>
  <c r="AC29" i="1" s="1"/>
  <c r="AB26" i="1"/>
  <c r="U26" i="1"/>
  <c r="Y26" i="1" s="1"/>
  <c r="AA26" i="1"/>
  <c r="U27" i="1"/>
  <c r="Y27" i="1" s="1"/>
  <c r="AB27" i="1"/>
  <c r="AA27" i="1"/>
  <c r="AB21" i="1"/>
  <c r="U21" i="1"/>
  <c r="Y21" i="1" s="1"/>
  <c r="AA21" i="1"/>
  <c r="AB17" i="1"/>
  <c r="U17" i="1"/>
  <c r="Y17" i="1" s="1"/>
  <c r="AA17" i="1"/>
  <c r="U25" i="1"/>
  <c r="Y25" i="1" s="1"/>
  <c r="AB25" i="1"/>
  <c r="AA25" i="1"/>
  <c r="U20" i="1"/>
  <c r="Y20" i="1" s="1"/>
  <c r="AB20" i="1"/>
  <c r="AA20" i="1"/>
  <c r="U30" i="1"/>
  <c r="Y30" i="1" s="1"/>
  <c r="AB30" i="1"/>
  <c r="AA30" i="1"/>
  <c r="P24" i="1"/>
  <c r="N24" i="1" s="1"/>
  <c r="Q24" i="1" s="1"/>
  <c r="K24" i="1" s="1"/>
  <c r="L24" i="1" s="1"/>
  <c r="P21" i="1"/>
  <c r="N21" i="1" s="1"/>
  <c r="Q21" i="1" s="1"/>
  <c r="K21" i="1" s="1"/>
  <c r="L21" i="1" s="1"/>
  <c r="AB23" i="1"/>
  <c r="U23" i="1"/>
  <c r="Y23" i="1" s="1"/>
  <c r="AA23" i="1"/>
  <c r="P30" i="1"/>
  <c r="N30" i="1" s="1"/>
  <c r="Q30" i="1" s="1"/>
  <c r="K30" i="1" s="1"/>
  <c r="L30" i="1" s="1"/>
  <c r="U28" i="1"/>
  <c r="Y28" i="1" s="1"/>
  <c r="AA28" i="1"/>
  <c r="AB28" i="1"/>
  <c r="AC28" i="1" s="1"/>
  <c r="P28" i="1"/>
  <c r="N28" i="1" s="1"/>
  <c r="Q28" i="1" s="1"/>
  <c r="K28" i="1" s="1"/>
  <c r="L28" i="1" s="1"/>
  <c r="U22" i="1"/>
  <c r="Y22" i="1" s="1"/>
  <c r="AB22" i="1"/>
  <c r="AA22" i="1"/>
  <c r="AA19" i="1"/>
  <c r="AB19" i="1"/>
  <c r="AC19" i="1" s="1"/>
  <c r="U19" i="1"/>
  <c r="Y19" i="1" s="1"/>
  <c r="P19" i="1"/>
  <c r="N19" i="1" s="1"/>
  <c r="Q19" i="1" s="1"/>
  <c r="K19" i="1" s="1"/>
  <c r="L19" i="1" s="1"/>
  <c r="U18" i="1"/>
  <c r="Y18" i="1" s="1"/>
  <c r="AB18" i="1"/>
  <c r="AA18" i="1"/>
  <c r="AC17" i="1" l="1"/>
  <c r="AC20" i="1"/>
  <c r="AC25" i="1"/>
  <c r="AC22" i="1"/>
  <c r="AC23" i="1"/>
  <c r="AC21" i="1"/>
  <c r="AC27" i="1"/>
  <c r="AC26" i="1"/>
  <c r="AC30" i="1"/>
  <c r="AC18" i="1"/>
</calcChain>
</file>

<file path=xl/sharedStrings.xml><?xml version="1.0" encoding="utf-8"?>
<sst xmlns="http://schemas.openxmlformats.org/spreadsheetml/2006/main" count="771" uniqueCount="355">
  <si>
    <t>File opened</t>
  </si>
  <si>
    <t>2020-07-06 13:05:54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</si>
  <si>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</si>
  <si>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</si>
  <si>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</si>
  <si>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</si>
  <si>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</si>
  <si>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</si>
  <si>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</si>
  <si>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</si>
  <si>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</si>
  <si>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</si>
  <si>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</si>
  <si>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{"h2obspanconc2": "0", "flowbzero": "0.22736", "co2azero": "0.869071", "h2oaspan2a": "0.0661155", "co2bspan2b": "0.162103", "tbzero": "0.197721", "h2oaspan2b": "0.0662632", "ssa_ref": "36614.9", "co2aspan1": "0.992625", "co2aspanconc1": "1002", "h2obspan2b": "0.0963575", "co2bzero": "0.880288", "co2bspanconc1": "1002", "h2oaspan1": "1.00223", "flowmeterzero": "0.990908", "h2obspanconc1": "20", "tazero": "0.00774765", "co2bspan2": "0", "flowazero": "0.42932", "co2bspan1": "0.992131", "co2aspan2": "0", "h2oaspan2": "0", "h2obspan1": "0.998578", "co2aspan2b": "0.163711", "ssb_ref": "36526.8", "h2oazero": "1.00263", "co2bspanconc2": "0", "oxygen": "21", "h2obspan2a": "0.0975941", "co2aspanconc2": "0", "co2bspan2a": "0.163389", "h2oaspanconc1": "12.19", "h2obzero": "1.01783", "co2aspan2a": "0.164928", "h2obspan2": "0", "h2oaspanconc2": "0", "chamberpressurezero": "2.59209"}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</si>
  <si>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</si>
  <si>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</si>
  <si>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</si>
  <si>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</si>
  <si>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</si>
  <si>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</si>
  <si>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</si>
  <si>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</si>
  <si>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</si>
  <si>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13:05:54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</si>
  <si>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</si>
  <si>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</si>
  <si>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</si>
  <si>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</si>
  <si>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</si>
  <si>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</si>
  <si>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</si>
  <si>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</si>
  <si>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</si>
  <si>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</si>
  <si>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</si>
  <si>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</si>
  <si>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</si>
  <si>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</si>
  <si>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</si>
  <si>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</si>
  <si>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</si>
  <si>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</si>
  <si>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</si>
  <si>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</si>
  <si>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</si>
  <si>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</si>
  <si>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</si>
  <si>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</si>
  <si>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</si>
  <si>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</si>
  <si>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</si>
  <si>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</si>
  <si>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</si>
  <si>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</si>
  <si>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</si>
  <si>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</si>
  <si>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</si>
  <si>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</si>
  <si>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</si>
  <si>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</si>
  <si>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</si>
  <si>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</si>
  <si>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</si>
  <si>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</si>
  <si>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</si>
  <si>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</si>
  <si>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</si>
  <si>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</si>
  <si>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</si>
  <si>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</si>
  <si>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</si>
  <si>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3.70143 76.3892 390.414 623.28 848.427 1048.12 1223.65 1394.11</t>
  </si>
  <si>
    <t>Fs_true</t>
  </si>
  <si>
    <t>0.43856 100.7 401.95 601.097 798.546 1000.45 1200.3 1401.35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</si>
  <si>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</si>
  <si>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</si>
  <si>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</si>
  <si>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</si>
  <si>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</si>
  <si>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</si>
  <si>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</si>
  <si>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</si>
  <si>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</si>
  <si>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</si>
  <si>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</si>
  <si>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</si>
  <si>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</si>
  <si>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</si>
  <si>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</si>
  <si>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</si>
  <si>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</si>
  <si>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</si>
  <si>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</si>
  <si>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</si>
  <si>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</si>
  <si>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</si>
  <si>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</si>
  <si>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</si>
  <si>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</si>
  <si>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</si>
  <si>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</si>
  <si>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</si>
  <si>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</si>
  <si>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</si>
  <si>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</si>
  <si>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</si>
  <si>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</si>
  <si>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</si>
  <si>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</si>
  <si>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</si>
  <si>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</si>
  <si>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</si>
  <si>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</si>
  <si>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</si>
  <si>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</si>
  <si>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</si>
  <si>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</si>
  <si>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</si>
  <si>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</si>
  <si>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</si>
  <si>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</si>
  <si>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</si>
  <si>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</si>
  <si>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</si>
  <si>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</si>
  <si>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</si>
  <si>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</si>
  <si>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</si>
  <si>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</si>
  <si>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</si>
  <si>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</si>
  <si>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</si>
  <si>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</si>
  <si>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</si>
  <si>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</si>
  <si>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</si>
  <si>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</si>
  <si>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</si>
  <si>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</si>
  <si>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</si>
  <si>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</si>
  <si>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</si>
  <si>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</si>
  <si>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</si>
  <si>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</si>
  <si>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</si>
  <si>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</si>
  <si>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</si>
  <si>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</si>
  <si>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</si>
  <si>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</si>
  <si>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</si>
  <si>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</si>
  <si>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</si>
  <si>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</si>
  <si>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</si>
  <si>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</si>
  <si>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</si>
  <si>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</si>
  <si>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</si>
  <si>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</si>
  <si>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</si>
  <si>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</si>
  <si>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</si>
  <si>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</si>
  <si>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</si>
  <si>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</si>
  <si>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</si>
  <si>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</si>
  <si>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</si>
  <si>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</si>
  <si>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</si>
  <si>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</si>
  <si>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</si>
  <si>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</si>
  <si>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</si>
  <si>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</si>
  <si>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</si>
  <si>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</si>
  <si>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</si>
  <si>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</si>
  <si>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</si>
  <si>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</si>
  <si>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</si>
  <si>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</si>
  <si>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</si>
  <si>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</si>
  <si>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</si>
  <si>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</si>
  <si>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</si>
  <si>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</si>
  <si>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</si>
  <si>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</si>
  <si>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</si>
  <si>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</si>
  <si>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</si>
  <si>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</si>
  <si>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</si>
  <si>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</si>
  <si>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</si>
  <si>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</si>
  <si>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</si>
  <si>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</si>
  <si>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</si>
  <si>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</si>
  <si>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</si>
  <si>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</si>
  <si>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</si>
  <si>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</si>
  <si>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</si>
  <si>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</si>
  <si>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</si>
  <si>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</si>
  <si>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</si>
  <si>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</si>
  <si>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</si>
  <si>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</si>
  <si>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</si>
  <si>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</si>
  <si>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</si>
  <si>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</si>
  <si>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</si>
  <si>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</si>
  <si>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</si>
  <si>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</si>
  <si>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</si>
  <si>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</si>
  <si>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</si>
  <si>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</si>
  <si>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</si>
  <si>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</si>
  <si>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</si>
  <si>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</si>
  <si>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</si>
  <si>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</si>
  <si>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</si>
  <si>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</si>
  <si>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</si>
  <si>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</si>
  <si>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</si>
  <si>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</si>
  <si>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</si>
  <si>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</si>
  <si>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</si>
  <si>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</si>
  <si>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</si>
  <si>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</si>
  <si>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</si>
  <si>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</si>
  <si>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</si>
  <si>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</si>
  <si>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</si>
  <si>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</si>
  <si>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</si>
  <si>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</si>
  <si>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</si>
  <si>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</si>
  <si>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</si>
  <si>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</si>
  <si>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</si>
  <si>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</si>
  <si>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</si>
  <si>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</si>
  <si>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</si>
  <si>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</si>
  <si>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</si>
  <si>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</si>
  <si>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</si>
  <si>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</si>
  <si>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</si>
  <si>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</si>
  <si>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</si>
  <si>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</si>
  <si>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</si>
  <si>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</si>
  <si>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</si>
  <si>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</si>
  <si>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20200706 13:10:42</t>
  </si>
  <si>
    <t>13:10:42</t>
  </si>
  <si>
    <t>MPF-4679-20200706-13_10_43</t>
  </si>
  <si>
    <t>DARK-4680-20200706-13_10_51</t>
  </si>
  <si>
    <t>0: Broadleaf</t>
  </si>
  <si>
    <t>13:11:15</t>
  </si>
  <si>
    <t>0/2</t>
  </si>
  <si>
    <t>5</t>
  </si>
  <si>
    <t>11111111</t>
  </si>
  <si>
    <t>oooooooo</t>
  </si>
  <si>
    <t>off</t>
  </si>
  <si>
    <t>20200706 13:13:01</t>
  </si>
  <si>
    <t>13:13:01</t>
  </si>
  <si>
    <t>MPF-4681-20200706-13_13_02</t>
  </si>
  <si>
    <t>DARK-4682-20200706-13_13_10</t>
  </si>
  <si>
    <t>13:13:35</t>
  </si>
  <si>
    <t>2/2</t>
  </si>
  <si>
    <t>20200706 13:15:21</t>
  </si>
  <si>
    <t>13:15:21</t>
  </si>
  <si>
    <t>MPF-4683-20200706-13_15_23</t>
  </si>
  <si>
    <t>DARK-4684-20200706-13_15_30</t>
  </si>
  <si>
    <t>13:15:46</t>
  </si>
  <si>
    <t>20200706 13:17:17</t>
  </si>
  <si>
    <t>13:17:17</t>
  </si>
  <si>
    <t>MPF-4685-20200706-13_17_19</t>
  </si>
  <si>
    <t>DARK-4686-20200706-13_17_26</t>
  </si>
  <si>
    <t>13:17:46</t>
  </si>
  <si>
    <t>20200706 13:19:17</t>
  </si>
  <si>
    <t>13:19:17</t>
  </si>
  <si>
    <t>MPF-4687-20200706-13_19_19</t>
  </si>
  <si>
    <t>DARK-4688-20200706-13_19_26</t>
  </si>
  <si>
    <t>13:19:47</t>
  </si>
  <si>
    <t>20200706 13:21:18</t>
  </si>
  <si>
    <t>13:21:18</t>
  </si>
  <si>
    <t>MPF-4689-20200706-13_21_20</t>
  </si>
  <si>
    <t>DARK-4690-20200706-13_21_27</t>
  </si>
  <si>
    <t>13:21:44</t>
  </si>
  <si>
    <t>20200706 13:23:40</t>
  </si>
  <si>
    <t>13:23:40</t>
  </si>
  <si>
    <t>MPF-4691-20200706-13_23_42</t>
  </si>
  <si>
    <t>DARK-4692-20200706-13_23_50</t>
  </si>
  <si>
    <t>13:24:08</t>
  </si>
  <si>
    <t>20200706 13:25:39</t>
  </si>
  <si>
    <t>13:25:39</t>
  </si>
  <si>
    <t>MPF-4693-20200706-13_25_41</t>
  </si>
  <si>
    <t>DARK-4694-20200706-13_25_48</t>
  </si>
  <si>
    <t>13:26:06</t>
  </si>
  <si>
    <t>20200706 13:27:43</t>
  </si>
  <si>
    <t>13:27:43</t>
  </si>
  <si>
    <t>MPF-4695-20200706-13_27_45</t>
  </si>
  <si>
    <t>DARK-4696-20200706-13_27_53</t>
  </si>
  <si>
    <t>13:28:08</t>
  </si>
  <si>
    <t>20200706 13:30:10</t>
  </si>
  <si>
    <t>13:30:10</t>
  </si>
  <si>
    <t>MPF-4697-20200706-13_30_11</t>
  </si>
  <si>
    <t>DARK-4698-20200706-13_30_19</t>
  </si>
  <si>
    <t>13:30:43</t>
  </si>
  <si>
    <t>1/2</t>
  </si>
  <si>
    <t>20200706 13:32:44</t>
  </si>
  <si>
    <t>13:32:44</t>
  </si>
  <si>
    <t>MPF-4699-20200706-13_32_46</t>
  </si>
  <si>
    <t>DARK-4700-20200706-13_32_53</t>
  </si>
  <si>
    <t>13:33:14</t>
  </si>
  <si>
    <t>20200706 13:35:16</t>
  </si>
  <si>
    <t>13:35:16</t>
  </si>
  <si>
    <t>MPF-4701-20200706-13_35_17</t>
  </si>
  <si>
    <t>DARK-4702-20200706-13_35_25</t>
  </si>
  <si>
    <t>13:35:49</t>
  </si>
  <si>
    <t>20200706 13:37:44</t>
  </si>
  <si>
    <t>13:37:44</t>
  </si>
  <si>
    <t>MPF-4703-20200706-13_37_45</t>
  </si>
  <si>
    <t>DARK-4704-20200706-13_37_53</t>
  </si>
  <si>
    <t>13:38:24</t>
  </si>
  <si>
    <t>20200706 13:40:26</t>
  </si>
  <si>
    <t>13:40:26</t>
  </si>
  <si>
    <t>MPF-4705-20200706-13_40_27</t>
  </si>
  <si>
    <t>DARK-4706-20200706-13_40_35</t>
  </si>
  <si>
    <t>13:40:51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</si>
</sst>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1594059042</v>
      </c>
      <c r="C17">
        <v>0</v>
      </c>
      <c r="D17" t="s">
        <v>277</v>
      </c>
      <c r="E17" t="s">
        <v>278</v>
      </c>
      <c r="G17">
        <v>1594059034</v>
      </c>
      <c r="H17">
        <f t="shared" ref="H17:H30" si="0">CC17*AI17*(CA17-CB17)/(100*$B$5*(1000-AI17*CA17))</f>
        <v>9.9699195625013275E-3</v>
      </c>
      <c r="I17">
        <f t="shared" ref="I17:I30" si="1">CC17*AI17*(BZ17-BY17*(1000-AI17*CB17)/(1000-AI17*CA17))/(100*$B$5)</f>
        <v>33.062600206227842</v>
      </c>
      <c r="J17">
        <f t="shared" ref="J17:J30" si="2">BY17 - IF(AI17&gt;1, I17*$B$5*100/(AK17*CI17), 0)</f>
        <v>385.22241935483902</v>
      </c>
      <c r="K17">
        <f t="shared" ref="K17:K30" si="3">((Q17-H17/2)*J17-I17)/(Q17+H17/2)</f>
        <v>287.6656886415991</v>
      </c>
      <c r="L17">
        <f t="shared" ref="L17:L30" si="4">K17*(CD17+CE17)/1000</f>
        <v>28.58714885109957</v>
      </c>
      <c r="M17">
        <f t="shared" ref="M17:M30" si="5">(BY17 - IF(AI17&gt;1, I17*$B$5*100/(AK17*CI17), 0))*(CD17+CE17)/1000</f>
        <v>38.281974798175447</v>
      </c>
      <c r="N17">
        <f t="shared" ref="N17:N30" si="6">2/((1/P17-1/O17)+SIGN(P17)*SQRT((1/P17-1/O17)*(1/P17-1/O17) + 4*BV17/((BV17+1)*(BV17+1))*(2*1/P17*1/O17-1/O17*1/O17)))</f>
        <v>0.65165496070784479</v>
      </c>
      <c r="O17">
        <f t="shared" ref="O17:O30" si="7">AF17+AE17*$B$5+AD17*$B$5*$B$5</f>
        <v>3.3806687214824573</v>
      </c>
      <c r="P17">
        <f t="shared" ref="P17:P30" si="8">H17*(1000-(1000*0.61365*EXP(17.502*T17/(240.97+T17))/(CD17+CE17)+CA17)/2)/(1000*0.61365*EXP(17.502*T17/(240.97+T17))/(CD17+CE17)-CA17)</f>
        <v>0.58907014626041743</v>
      </c>
      <c r="Q17">
        <f t="shared" ref="Q17:Q30" si="9">1/((BV17+1)/(N17/1.6)+1/(O17/1.37)) + BV17/((BV17+1)/(N17/1.6) + BV17/(O17/1.37))</f>
        <v>0.3732896756136338</v>
      </c>
      <c r="R17">
        <f t="shared" ref="R17:R30" si="10">(BS17*BU17)</f>
        <v>321.43992977322443</v>
      </c>
      <c r="S17">
        <f t="shared" ref="S17:S30" si="11">(CF17+(R17+2*0.95*0.0000000567*(((CF17+$B$7)+273)^4-(CF17+273)^4)-44100*H17)/(1.84*29.3*O17+8*0.95*0.0000000567*(CF17+273)^3))</f>
        <v>27.261239757062246</v>
      </c>
      <c r="T17">
        <f t="shared" ref="T17:T30" si="12">($C$7*CG17+$D$7*CH17+$E$7*S17)</f>
        <v>27.635870967741901</v>
      </c>
      <c r="U17">
        <f t="shared" ref="U17:U30" si="13">0.61365*EXP(17.502*T17/(240.97+T17))</f>
        <v>3.7150268893621448</v>
      </c>
      <c r="V17">
        <f t="shared" ref="V17:V30" si="14">(W17/X17*100)</f>
        <v>55.283439966598301</v>
      </c>
      <c r="W17">
        <f t="shared" ref="W17:W30" si="15">CA17*(CD17+CE17)/1000</f>
        <v>2.0821570290574409</v>
      </c>
      <c r="X17">
        <f t="shared" ref="X17:X30" si="16">0.61365*EXP(17.502*CF17/(240.97+CF17))</f>
        <v>3.7663304423810446</v>
      </c>
      <c r="Y17">
        <f t="shared" ref="Y17:Y30" si="17">(U17-CA17*(CD17+CE17)/1000)</f>
        <v>1.6328698603047038</v>
      </c>
      <c r="Z17">
        <f t="shared" ref="Z17:Z30" si="18">(-H17*44100)</f>
        <v>-439.67345270630852</v>
      </c>
      <c r="AA17">
        <f t="shared" ref="AA17:AA30" si="19">2*29.3*O17*0.92*(CF17-T17)</f>
        <v>42.800789365110234</v>
      </c>
      <c r="AB17">
        <f t="shared" ref="AB17:AB30" si="20">2*0.95*0.0000000567*(((CF17+$B$7)+273)^4-(T17+273)^4)</f>
        <v>2.752907330556325</v>
      </c>
      <c r="AC17">
        <f t="shared" ref="AC17:AC30" si="21">R17+AB17+Z17+AA17</f>
        <v>-72.679826237417558</v>
      </c>
      <c r="AD17">
        <v>-4.1148461591296197E-2</v>
      </c>
      <c r="AE17">
        <v>4.6192752939451097E-2</v>
      </c>
      <c r="AF17">
        <v>3.4528770619687399</v>
      </c>
      <c r="AG17">
        <v>166</v>
      </c>
      <c r="AH17">
        <v>33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52317.778562018219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332.92280769230803</v>
      </c>
      <c r="AT17">
        <v>471.84800000000001</v>
      </c>
      <c r="AU17">
        <f t="shared" ref="AU17:AU30" si="27">1-AS17/AT17</f>
        <v>0.29442785029859608</v>
      </c>
      <c r="AV17">
        <v>0.5</v>
      </c>
      <c r="AW17">
        <f t="shared" ref="AW17:AW30" si="28">BS17</f>
        <v>1681.2002222575391</v>
      </c>
      <c r="AX17">
        <f t="shared" ref="AX17:AX30" si="29">I17</f>
        <v>33.062600206227842</v>
      </c>
      <c r="AY17">
        <f t="shared" ref="AY17:AY30" si="30">AU17*AV17*AW17</f>
        <v>247.49608368040458</v>
      </c>
      <c r="AZ17">
        <f t="shared" ref="AZ17:AZ30" si="31">BE17/AT17</f>
        <v>0.55964632678320136</v>
      </c>
      <c r="BA17">
        <f t="shared" ref="BA17:BA30" si="32">(AX17-AQ17)/AW17</f>
        <v>2.0260882526227667E-2</v>
      </c>
      <c r="BB17">
        <f t="shared" ref="BB17:BB30" si="33">(AN17-AT17)/AT17</f>
        <v>-1</v>
      </c>
      <c r="BC17" t="s">
        <v>280</v>
      </c>
      <c r="BD17">
        <v>207.78</v>
      </c>
      <c r="BE17">
        <f t="shared" ref="BE17:BE30" si="34">AT17-BD17</f>
        <v>264.06799999999998</v>
      </c>
      <c r="BF17">
        <f t="shared" ref="BF17:BF30" si="35">(AT17-AS17)/(AT17-BD17)</f>
        <v>0.52609627939656445</v>
      </c>
      <c r="BG17">
        <f t="shared" ref="BG17:BG30" si="36">(AN17-AT17)/(AN17-BD17)</f>
        <v>2.2709019154875349</v>
      </c>
      <c r="BH17">
        <f t="shared" ref="BH17:BH30" si="37">(AT17-AS17)/(AT17-AM17)</f>
        <v>0.29442785029859614</v>
      </c>
      <c r="BI17" t="e">
        <f t="shared" ref="BI17:BI30" si="38">(AN17-AT17)/(AN17-AM17)</f>
        <v>#DIV/0!</v>
      </c>
      <c r="BJ17">
        <v>4679</v>
      </c>
      <c r="BK17">
        <v>300</v>
      </c>
      <c r="BL17">
        <v>300</v>
      </c>
      <c r="BM17">
        <v>300</v>
      </c>
      <c r="BN17">
        <v>9874.4599999999991</v>
      </c>
      <c r="BO17">
        <v>436.50599999999997</v>
      </c>
      <c r="BP17">
        <v>-6.5675899999999999E-3</v>
      </c>
      <c r="BQ17">
        <v>1.5675699999999999</v>
      </c>
      <c r="BR17">
        <f t="shared" ref="BR17:BR30" si="39">$B$11*CJ17+$C$11*CK17+$F$11*CL17</f>
        <v>2000.00419354839</v>
      </c>
      <c r="BS17">
        <f t="shared" ref="BS17:BS30" si="40">BR17*BT17</f>
        <v>1681.2002222575391</v>
      </c>
      <c r="BT17">
        <f t="shared" ref="BT17:BT30" si="41">($B$11*$D$9+$C$11*$D$9+$F$11*((CY17+CQ17)/MAX(CY17+CQ17+CZ17, 0.1)*$I$9+CZ17/MAX(CY17+CQ17+CZ17, 0.1)*$J$9))/($B$11+$C$11+$F$11)</f>
        <v>0.84059834858384386</v>
      </c>
      <c r="BU17">
        <f t="shared" ref="BU17:BU30" si="42">($B$11*$K$9+$C$11*$K$9+$F$11*((CY17+CQ17)/MAX(CY17+CQ17+CZ17, 0.1)*$P$9+CZ17/MAX(CY17+CQ17+CZ17, 0.1)*$Q$9))/($B$11+$C$11+$F$11)</f>
        <v>0.191196697167688</v>
      </c>
      <c r="BV17">
        <v>0.5</v>
      </c>
      <c r="BW17" t="s">
        <v>281</v>
      </c>
      <c r="BX17">
        <v>1594059034</v>
      </c>
      <c r="BY17">
        <v>385.22241935483902</v>
      </c>
      <c r="BZ17">
        <v>399.98225806451597</v>
      </c>
      <c r="CA17">
        <v>20.952251612903201</v>
      </c>
      <c r="CB17">
        <v>17.048225806451601</v>
      </c>
      <c r="CC17">
        <v>500.04932258064503</v>
      </c>
      <c r="CD17">
        <v>99.176312903225806</v>
      </c>
      <c r="CE17">
        <v>0.19997693548387099</v>
      </c>
      <c r="CF17">
        <v>27.8707064516129</v>
      </c>
      <c r="CG17">
        <v>27.635870967741901</v>
      </c>
      <c r="CH17">
        <v>999.9</v>
      </c>
      <c r="CI17">
        <v>10005.566129032301</v>
      </c>
      <c r="CJ17">
        <v>0</v>
      </c>
      <c r="CK17">
        <v>269.62396774193599</v>
      </c>
      <c r="CL17">
        <v>2000.00419354839</v>
      </c>
      <c r="CM17">
        <v>0.98000690322580697</v>
      </c>
      <c r="CN17">
        <v>1.9993183870967698E-2</v>
      </c>
      <c r="CO17">
        <v>0</v>
      </c>
      <c r="CP17">
        <v>332.95258064516099</v>
      </c>
      <c r="CQ17">
        <v>5.00054</v>
      </c>
      <c r="CR17">
        <v>7650.1035483871001</v>
      </c>
      <c r="CS17">
        <v>18703.7193548387</v>
      </c>
      <c r="CT17">
        <v>48.546129032258101</v>
      </c>
      <c r="CU17">
        <v>50.195129032258002</v>
      </c>
      <c r="CV17">
        <v>48.945129032258002</v>
      </c>
      <c r="CW17">
        <v>49.425064516128998</v>
      </c>
      <c r="CX17">
        <v>50.108677419354798</v>
      </c>
      <c r="CY17">
        <v>1955.1141935483899</v>
      </c>
      <c r="CZ17">
        <v>39.89</v>
      </c>
      <c r="DA17">
        <v>0</v>
      </c>
      <c r="DB17">
        <v>417.200000047684</v>
      </c>
      <c r="DC17">
        <v>332.92280769230803</v>
      </c>
      <c r="DD17">
        <v>-10.800991435849401</v>
      </c>
      <c r="DE17">
        <v>-377.23521301362803</v>
      </c>
      <c r="DF17">
        <v>7648.4949999999999</v>
      </c>
      <c r="DG17">
        <v>15</v>
      </c>
      <c r="DH17">
        <v>1594059075</v>
      </c>
      <c r="DI17" t="s">
        <v>282</v>
      </c>
      <c r="DJ17">
        <v>72</v>
      </c>
      <c r="DK17">
        <v>-0.51300000000000001</v>
      </c>
      <c r="DL17">
        <v>0.111</v>
      </c>
      <c r="DM17">
        <v>400</v>
      </c>
      <c r="DN17">
        <v>17</v>
      </c>
      <c r="DO17">
        <v>0.25</v>
      </c>
      <c r="DP17">
        <v>0.02</v>
      </c>
      <c r="DQ17">
        <v>385.38137037037001</v>
      </c>
      <c r="DR17">
        <v>0.31698113207537898</v>
      </c>
      <c r="DS17">
        <v>4.2940223867472899E-2</v>
      </c>
      <c r="DT17">
        <v>0</v>
      </c>
      <c r="DU17">
        <v>20.981718518518498</v>
      </c>
      <c r="DV17">
        <v>-0.28578982275589498</v>
      </c>
      <c r="DW17">
        <v>3.7130326399668998E-2</v>
      </c>
      <c r="DX17">
        <v>0</v>
      </c>
      <c r="DY17">
        <v>0</v>
      </c>
      <c r="DZ17">
        <v>2</v>
      </c>
      <c r="EA17" t="s">
        <v>283</v>
      </c>
      <c r="EB17">
        <v>1.8666100000000001</v>
      </c>
      <c r="EC17">
        <v>1.86311</v>
      </c>
      <c r="ED17">
        <v>1.8687400000000001</v>
      </c>
      <c r="EE17">
        <v>1.86673</v>
      </c>
      <c r="EF17">
        <v>1.8713599999999999</v>
      </c>
      <c r="EG17">
        <v>1.8638399999999999</v>
      </c>
      <c r="EH17">
        <v>1.8652500000000001</v>
      </c>
      <c r="EI17">
        <v>1.8652299999999999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-0.51300000000000001</v>
      </c>
      <c r="EX17">
        <v>0.111</v>
      </c>
      <c r="EY17">
        <v>2</v>
      </c>
      <c r="EZ17">
        <v>319.73500000000001</v>
      </c>
      <c r="FA17">
        <v>432.84399999999999</v>
      </c>
      <c r="FB17">
        <v>22.328800000000001</v>
      </c>
      <c r="FC17">
        <v>38.942500000000003</v>
      </c>
      <c r="FD17">
        <v>30.0002</v>
      </c>
      <c r="FE17">
        <v>38.8825</v>
      </c>
      <c r="FF17">
        <v>38.873800000000003</v>
      </c>
      <c r="FG17">
        <v>22.180299999999999</v>
      </c>
      <c r="FH17">
        <v>53.221299999999999</v>
      </c>
      <c r="FI17">
        <v>0</v>
      </c>
      <c r="FJ17">
        <v>18.584900000000001</v>
      </c>
      <c r="FK17">
        <v>400</v>
      </c>
      <c r="FL17">
        <v>16.991499999999998</v>
      </c>
      <c r="FM17">
        <v>99.723399999999998</v>
      </c>
      <c r="FN17">
        <v>100.209</v>
      </c>
    </row>
    <row r="18" spans="1:170" x14ac:dyDescent="0.25">
      <c r="A18">
        <v>2</v>
      </c>
      <c r="B18">
        <v>1594059181</v>
      </c>
      <c r="C18">
        <v>139</v>
      </c>
      <c r="D18" t="s">
        <v>288</v>
      </c>
      <c r="E18" t="s">
        <v>289</v>
      </c>
      <c r="G18">
        <v>1594059173</v>
      </c>
      <c r="H18">
        <f t="shared" si="0"/>
        <v>7.5702530943491456E-3</v>
      </c>
      <c r="I18">
        <f t="shared" si="1"/>
        <v>23.117552353146749</v>
      </c>
      <c r="J18">
        <f t="shared" si="2"/>
        <v>289.83493548387099</v>
      </c>
      <c r="K18">
        <f t="shared" si="3"/>
        <v>198.89750512384305</v>
      </c>
      <c r="L18">
        <f t="shared" si="4"/>
        <v>19.765932689925499</v>
      </c>
      <c r="M18">
        <f t="shared" si="5"/>
        <v>28.803065289310865</v>
      </c>
      <c r="N18">
        <f t="shared" si="6"/>
        <v>0.46809012521102938</v>
      </c>
      <c r="O18">
        <f t="shared" si="7"/>
        <v>3.3794183564858504</v>
      </c>
      <c r="P18">
        <f t="shared" si="8"/>
        <v>0.43482396730738482</v>
      </c>
      <c r="Q18">
        <f t="shared" si="9"/>
        <v>0.27455654277571284</v>
      </c>
      <c r="R18">
        <f t="shared" si="10"/>
        <v>321.44091371469483</v>
      </c>
      <c r="S18">
        <f t="shared" si="11"/>
        <v>27.136624461248502</v>
      </c>
      <c r="T18">
        <f t="shared" si="12"/>
        <v>27.462493548387101</v>
      </c>
      <c r="U18">
        <f t="shared" si="13"/>
        <v>3.6775421688196359</v>
      </c>
      <c r="V18">
        <f t="shared" si="14"/>
        <v>55.136095581517843</v>
      </c>
      <c r="W18">
        <f t="shared" si="15"/>
        <v>1.9967823941293923</v>
      </c>
      <c r="X18">
        <f t="shared" si="16"/>
        <v>3.6215520396745928</v>
      </c>
      <c r="Y18">
        <f t="shared" si="17"/>
        <v>1.6807597746902436</v>
      </c>
      <c r="Z18">
        <f t="shared" si="18"/>
        <v>-333.84816146079731</v>
      </c>
      <c r="AA18">
        <f t="shared" si="19"/>
        <v>-47.709411068566993</v>
      </c>
      <c r="AB18">
        <f t="shared" si="20"/>
        <v>-3.056865345952037</v>
      </c>
      <c r="AC18">
        <f t="shared" si="21"/>
        <v>-63.173524160621497</v>
      </c>
      <c r="AD18">
        <v>-4.1129129942507801E-2</v>
      </c>
      <c r="AE18">
        <v>4.6171051470140702E-2</v>
      </c>
      <c r="AF18">
        <v>3.4515927733156002</v>
      </c>
      <c r="AG18">
        <v>165</v>
      </c>
      <c r="AH18">
        <v>33</v>
      </c>
      <c r="AI18">
        <f t="shared" si="22"/>
        <v>1</v>
      </c>
      <c r="AJ18">
        <f t="shared" si="23"/>
        <v>0</v>
      </c>
      <c r="AK18">
        <f t="shared" si="24"/>
        <v>52410.956749418765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285.833384615385</v>
      </c>
      <c r="AT18">
        <v>393.08100000000002</v>
      </c>
      <c r="AU18">
        <f t="shared" si="27"/>
        <v>0.27283846175372251</v>
      </c>
      <c r="AV18">
        <v>0.5</v>
      </c>
      <c r="AW18">
        <f t="shared" si="28"/>
        <v>1681.2048867736471</v>
      </c>
      <c r="AX18">
        <f t="shared" si="29"/>
        <v>23.117552353146749</v>
      </c>
      <c r="AY18">
        <f t="shared" si="30"/>
        <v>229.34867760008154</v>
      </c>
      <c r="AZ18">
        <f t="shared" si="31"/>
        <v>0.5039190395872607</v>
      </c>
      <c r="BA18">
        <f t="shared" si="32"/>
        <v>1.43453974841996E-2</v>
      </c>
      <c r="BB18">
        <f t="shared" si="33"/>
        <v>-1</v>
      </c>
      <c r="BC18" t="s">
        <v>291</v>
      </c>
      <c r="BD18">
        <v>195</v>
      </c>
      <c r="BE18">
        <f t="shared" si="34"/>
        <v>198.08100000000002</v>
      </c>
      <c r="BF18">
        <f t="shared" si="35"/>
        <v>0.54143312778416408</v>
      </c>
      <c r="BG18">
        <f t="shared" si="36"/>
        <v>2.0158</v>
      </c>
      <c r="BH18">
        <f t="shared" si="37"/>
        <v>0.27283846175372256</v>
      </c>
      <c r="BI18" t="e">
        <f t="shared" si="38"/>
        <v>#DIV/0!</v>
      </c>
      <c r="BJ18">
        <v>4681</v>
      </c>
      <c r="BK18">
        <v>300</v>
      </c>
      <c r="BL18">
        <v>300</v>
      </c>
      <c r="BM18">
        <v>300</v>
      </c>
      <c r="BN18">
        <v>9876.0499999999993</v>
      </c>
      <c r="BO18">
        <v>363.12900000000002</v>
      </c>
      <c r="BP18">
        <v>-6.5686700000000004E-3</v>
      </c>
      <c r="BQ18">
        <v>0.58569300000000002</v>
      </c>
      <c r="BR18">
        <f t="shared" si="39"/>
        <v>2000.0096774193501</v>
      </c>
      <c r="BS18">
        <f t="shared" si="40"/>
        <v>1681.2048867736471</v>
      </c>
      <c r="BT18">
        <f t="shared" si="41"/>
        <v>0.84059837597532894</v>
      </c>
      <c r="BU18">
        <f t="shared" si="42"/>
        <v>0.19119675195065786</v>
      </c>
      <c r="BV18">
        <v>0.5</v>
      </c>
      <c r="BW18" t="s">
        <v>281</v>
      </c>
      <c r="BX18">
        <v>1594059173</v>
      </c>
      <c r="BY18">
        <v>289.83493548387099</v>
      </c>
      <c r="BZ18">
        <v>299.958483870968</v>
      </c>
      <c r="CA18">
        <v>20.092906451612901</v>
      </c>
      <c r="CB18">
        <v>17.1259774193548</v>
      </c>
      <c r="CC18">
        <v>500.05541935483899</v>
      </c>
      <c r="CD18">
        <v>99.177474193548406</v>
      </c>
      <c r="CE18">
        <v>0.20000506451612901</v>
      </c>
      <c r="CF18">
        <v>27.200629032258099</v>
      </c>
      <c r="CG18">
        <v>27.462493548387101</v>
      </c>
      <c r="CH18">
        <v>999.9</v>
      </c>
      <c r="CI18">
        <v>10000.748387096801</v>
      </c>
      <c r="CJ18">
        <v>0</v>
      </c>
      <c r="CK18">
        <v>586.97648387096797</v>
      </c>
      <c r="CL18">
        <v>2000.0096774193501</v>
      </c>
      <c r="CM18">
        <v>0.98000290322580697</v>
      </c>
      <c r="CN18">
        <v>1.9997125806451601E-2</v>
      </c>
      <c r="CO18">
        <v>0</v>
      </c>
      <c r="CP18">
        <v>285.872419354839</v>
      </c>
      <c r="CQ18">
        <v>5.00054</v>
      </c>
      <c r="CR18">
        <v>6755.6083870967796</v>
      </c>
      <c r="CS18">
        <v>18703.732258064501</v>
      </c>
      <c r="CT18">
        <v>48.267870967741899</v>
      </c>
      <c r="CU18">
        <v>49.717483870967698</v>
      </c>
      <c r="CV18">
        <v>48.637</v>
      </c>
      <c r="CW18">
        <v>48.912999999999997</v>
      </c>
      <c r="CX18">
        <v>49.787999999999997</v>
      </c>
      <c r="CY18">
        <v>1955.1177419354799</v>
      </c>
      <c r="CZ18">
        <v>39.891935483871002</v>
      </c>
      <c r="DA18">
        <v>0</v>
      </c>
      <c r="DB18">
        <v>138.299999952316</v>
      </c>
      <c r="DC18">
        <v>285.833384615385</v>
      </c>
      <c r="DD18">
        <v>-6.2529230876337998</v>
      </c>
      <c r="DE18">
        <v>14.530598196322099</v>
      </c>
      <c r="DF18">
        <v>6756.4569230769202</v>
      </c>
      <c r="DG18">
        <v>15</v>
      </c>
      <c r="DH18">
        <v>1594059215.5</v>
      </c>
      <c r="DI18" t="s">
        <v>292</v>
      </c>
      <c r="DJ18">
        <v>73</v>
      </c>
      <c r="DK18">
        <v>-0.44500000000000001</v>
      </c>
      <c r="DL18">
        <v>0.111</v>
      </c>
      <c r="DM18">
        <v>300</v>
      </c>
      <c r="DN18">
        <v>17</v>
      </c>
      <c r="DO18">
        <v>0.26</v>
      </c>
      <c r="DP18">
        <v>0.03</v>
      </c>
      <c r="DQ18">
        <v>289.73601851851902</v>
      </c>
      <c r="DR18">
        <v>0.29274328187538501</v>
      </c>
      <c r="DS18">
        <v>3.9469393083727503E-2</v>
      </c>
      <c r="DT18">
        <v>1</v>
      </c>
      <c r="DU18">
        <v>20.098466666666699</v>
      </c>
      <c r="DV18">
        <v>-2.6727958833662399E-2</v>
      </c>
      <c r="DW18">
        <v>2.1510565879224001E-2</v>
      </c>
      <c r="DX18">
        <v>1</v>
      </c>
      <c r="DY18">
        <v>2</v>
      </c>
      <c r="DZ18">
        <v>2</v>
      </c>
      <c r="EA18" t="s">
        <v>293</v>
      </c>
      <c r="EB18">
        <v>1.8666199999999999</v>
      </c>
      <c r="EC18">
        <v>1.8631</v>
      </c>
      <c r="ED18">
        <v>1.8687400000000001</v>
      </c>
      <c r="EE18">
        <v>1.8667499999999999</v>
      </c>
      <c r="EF18">
        <v>1.87134</v>
      </c>
      <c r="EG18">
        <v>1.86385</v>
      </c>
      <c r="EH18">
        <v>1.86524</v>
      </c>
      <c r="EI18">
        <v>1.8652299999999999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-0.44500000000000001</v>
      </c>
      <c r="EX18">
        <v>0.111</v>
      </c>
      <c r="EY18">
        <v>2</v>
      </c>
      <c r="EZ18">
        <v>321.04399999999998</v>
      </c>
      <c r="FA18">
        <v>432.774</v>
      </c>
      <c r="FB18">
        <v>21.608799999999999</v>
      </c>
      <c r="FC18">
        <v>38.819600000000001</v>
      </c>
      <c r="FD18">
        <v>29.999400000000001</v>
      </c>
      <c r="FE18">
        <v>38.782600000000002</v>
      </c>
      <c r="FF18">
        <v>38.767499999999998</v>
      </c>
      <c r="FG18">
        <v>17.656300000000002</v>
      </c>
      <c r="FH18">
        <v>53.027500000000003</v>
      </c>
      <c r="FI18">
        <v>0</v>
      </c>
      <c r="FJ18">
        <v>17.9114</v>
      </c>
      <c r="FK18">
        <v>300</v>
      </c>
      <c r="FL18">
        <v>17.015599999999999</v>
      </c>
      <c r="FM18">
        <v>99.745000000000005</v>
      </c>
      <c r="FN18">
        <v>100.23699999999999</v>
      </c>
    </row>
    <row r="19" spans="1:170" x14ac:dyDescent="0.25">
      <c r="A19">
        <v>3</v>
      </c>
      <c r="B19">
        <v>1594059321.5</v>
      </c>
      <c r="C19">
        <v>279.5</v>
      </c>
      <c r="D19" t="s">
        <v>294</v>
      </c>
      <c r="E19" t="s">
        <v>295</v>
      </c>
      <c r="G19">
        <v>1594059313.5032301</v>
      </c>
      <c r="H19">
        <f t="shared" si="0"/>
        <v>6.5621530334659291E-3</v>
      </c>
      <c r="I19">
        <f t="shared" si="1"/>
        <v>13.596865100118974</v>
      </c>
      <c r="J19">
        <f t="shared" si="2"/>
        <v>194.04841935483901</v>
      </c>
      <c r="K19">
        <f t="shared" si="3"/>
        <v>133.28738048019082</v>
      </c>
      <c r="L19">
        <f t="shared" si="4"/>
        <v>13.245710595577684</v>
      </c>
      <c r="M19">
        <f t="shared" si="5"/>
        <v>19.283965181426101</v>
      </c>
      <c r="N19">
        <f t="shared" si="6"/>
        <v>0.40843941815411322</v>
      </c>
      <c r="O19">
        <f t="shared" si="7"/>
        <v>3.3789674757902488</v>
      </c>
      <c r="P19">
        <f t="shared" si="8"/>
        <v>0.38285996734914468</v>
      </c>
      <c r="Q19">
        <f t="shared" si="9"/>
        <v>0.2414520748453651</v>
      </c>
      <c r="R19">
        <f t="shared" si="10"/>
        <v>321.43843674766202</v>
      </c>
      <c r="S19">
        <f t="shared" si="11"/>
        <v>26.762689267016935</v>
      </c>
      <c r="T19">
        <f t="shared" si="12"/>
        <v>27.021377419354799</v>
      </c>
      <c r="U19">
        <f t="shared" si="13"/>
        <v>3.5836559656318538</v>
      </c>
      <c r="V19">
        <f t="shared" si="14"/>
        <v>55.14664454158882</v>
      </c>
      <c r="W19">
        <f t="shared" si="15"/>
        <v>1.9275809849489236</v>
      </c>
      <c r="X19">
        <f t="shared" si="16"/>
        <v>3.4953731110425754</v>
      </c>
      <c r="Y19">
        <f t="shared" si="17"/>
        <v>1.6560749806829302</v>
      </c>
      <c r="Z19">
        <f t="shared" si="18"/>
        <v>-289.39094877584745</v>
      </c>
      <c r="AA19">
        <f t="shared" si="19"/>
        <v>-77.255217075252943</v>
      </c>
      <c r="AB19">
        <f t="shared" si="20"/>
        <v>-4.9248235186846117</v>
      </c>
      <c r="AC19">
        <f t="shared" si="21"/>
        <v>-50.132552622122972</v>
      </c>
      <c r="AD19">
        <v>-4.1122159750021398E-2</v>
      </c>
      <c r="AE19">
        <v>4.6163226818452301E-2</v>
      </c>
      <c r="AF19">
        <v>3.4511296611534301</v>
      </c>
      <c r="AG19">
        <v>164</v>
      </c>
      <c r="AH19">
        <v>33</v>
      </c>
      <c r="AI19">
        <f t="shared" si="22"/>
        <v>1</v>
      </c>
      <c r="AJ19">
        <f t="shared" si="23"/>
        <v>0</v>
      </c>
      <c r="AK19">
        <f t="shared" si="24"/>
        <v>52507.959448066213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296</v>
      </c>
      <c r="AS19">
        <v>271.25715384615398</v>
      </c>
      <c r="AT19">
        <v>351.31099999999998</v>
      </c>
      <c r="AU19">
        <f t="shared" si="27"/>
        <v>0.22787173232220459</v>
      </c>
      <c r="AV19">
        <v>0.5</v>
      </c>
      <c r="AW19">
        <f t="shared" si="28"/>
        <v>1681.1923641930211</v>
      </c>
      <c r="AX19">
        <f t="shared" si="29"/>
        <v>13.596865100118974</v>
      </c>
      <c r="AY19">
        <f t="shared" si="30"/>
        <v>191.54810819776321</v>
      </c>
      <c r="AZ19">
        <f t="shared" si="31"/>
        <v>0.43184244159733109</v>
      </c>
      <c r="BA19">
        <f t="shared" si="32"/>
        <v>8.6824478929426532E-3</v>
      </c>
      <c r="BB19">
        <f t="shared" si="33"/>
        <v>-1</v>
      </c>
      <c r="BC19" t="s">
        <v>297</v>
      </c>
      <c r="BD19">
        <v>199.6</v>
      </c>
      <c r="BE19">
        <f t="shared" si="34"/>
        <v>151.71099999999998</v>
      </c>
      <c r="BF19">
        <f t="shared" si="35"/>
        <v>0.52767331408959139</v>
      </c>
      <c r="BG19">
        <f t="shared" si="36"/>
        <v>1.7600751503006011</v>
      </c>
      <c r="BH19">
        <f t="shared" si="37"/>
        <v>0.22787173232220453</v>
      </c>
      <c r="BI19" t="e">
        <f t="shared" si="38"/>
        <v>#DIV/0!</v>
      </c>
      <c r="BJ19">
        <v>4683</v>
      </c>
      <c r="BK19">
        <v>300</v>
      </c>
      <c r="BL19">
        <v>300</v>
      </c>
      <c r="BM19">
        <v>300</v>
      </c>
      <c r="BN19">
        <v>9875.66</v>
      </c>
      <c r="BO19">
        <v>331.11</v>
      </c>
      <c r="BP19">
        <v>-6.5685300000000004E-3</v>
      </c>
      <c r="BQ19">
        <v>1.17035</v>
      </c>
      <c r="BR19">
        <f t="shared" si="39"/>
        <v>1999.9948387096799</v>
      </c>
      <c r="BS19">
        <f t="shared" si="40"/>
        <v>1681.1923641930211</v>
      </c>
      <c r="BT19">
        <f t="shared" si="41"/>
        <v>0.84059835138257766</v>
      </c>
      <c r="BU19">
        <f t="shared" si="42"/>
        <v>0.19119670276515544</v>
      </c>
      <c r="BV19">
        <v>0.5</v>
      </c>
      <c r="BW19" t="s">
        <v>281</v>
      </c>
      <c r="BX19">
        <v>1594059313.5032301</v>
      </c>
      <c r="BY19">
        <v>194.04841935483901</v>
      </c>
      <c r="BZ19">
        <v>199.995838709677</v>
      </c>
      <c r="CA19">
        <v>19.396635483870998</v>
      </c>
      <c r="CB19">
        <v>16.822980645161302</v>
      </c>
      <c r="CC19">
        <v>500.05690322580602</v>
      </c>
      <c r="CD19">
        <v>99.177083870967707</v>
      </c>
      <c r="CE19">
        <v>0.19999554838709699</v>
      </c>
      <c r="CF19">
        <v>26.597287096774199</v>
      </c>
      <c r="CG19">
        <v>27.021377419354799</v>
      </c>
      <c r="CH19">
        <v>999.9</v>
      </c>
      <c r="CI19">
        <v>9999.0929032257991</v>
      </c>
      <c r="CJ19">
        <v>0</v>
      </c>
      <c r="CK19">
        <v>99.004022580645199</v>
      </c>
      <c r="CL19">
        <v>1999.9948387096799</v>
      </c>
      <c r="CM19">
        <v>0.98000419354838697</v>
      </c>
      <c r="CN19">
        <v>1.99955322580645E-2</v>
      </c>
      <c r="CO19">
        <v>0</v>
      </c>
      <c r="CP19">
        <v>271.274870967742</v>
      </c>
      <c r="CQ19">
        <v>5.00054</v>
      </c>
      <c r="CR19">
        <v>6292.6851612903201</v>
      </c>
      <c r="CS19">
        <v>18703.622580645198</v>
      </c>
      <c r="CT19">
        <v>48.074258064516101</v>
      </c>
      <c r="CU19">
        <v>49.381</v>
      </c>
      <c r="CV19">
        <v>48.408999999999999</v>
      </c>
      <c r="CW19">
        <v>48.596548387096803</v>
      </c>
      <c r="CX19">
        <v>49.4593548387097</v>
      </c>
      <c r="CY19">
        <v>1955.1048387096801</v>
      </c>
      <c r="CZ19">
        <v>39.89</v>
      </c>
      <c r="DA19">
        <v>0</v>
      </c>
      <c r="DB19">
        <v>140</v>
      </c>
      <c r="DC19">
        <v>271.25715384615398</v>
      </c>
      <c r="DD19">
        <v>-2.2452649723375599</v>
      </c>
      <c r="DE19">
        <v>-52.161367445037101</v>
      </c>
      <c r="DF19">
        <v>6292.0746153846203</v>
      </c>
      <c r="DG19">
        <v>15</v>
      </c>
      <c r="DH19">
        <v>1594059346</v>
      </c>
      <c r="DI19" t="s">
        <v>298</v>
      </c>
      <c r="DJ19">
        <v>74</v>
      </c>
      <c r="DK19">
        <v>-0.41899999999999998</v>
      </c>
      <c r="DL19">
        <v>0.111</v>
      </c>
      <c r="DM19">
        <v>200</v>
      </c>
      <c r="DN19">
        <v>17</v>
      </c>
      <c r="DO19">
        <v>0.74</v>
      </c>
      <c r="DP19">
        <v>0.04</v>
      </c>
      <c r="DQ19">
        <v>194.00062962963</v>
      </c>
      <c r="DR19">
        <v>0.18179206334315101</v>
      </c>
      <c r="DS19">
        <v>2.8978469847070799E-2</v>
      </c>
      <c r="DT19">
        <v>1</v>
      </c>
      <c r="DU19">
        <v>19.417303703703698</v>
      </c>
      <c r="DV19">
        <v>-0.19865226077534301</v>
      </c>
      <c r="DW19">
        <v>2.5816646675001099E-2</v>
      </c>
      <c r="DX19">
        <v>1</v>
      </c>
      <c r="DY19">
        <v>2</v>
      </c>
      <c r="DZ19">
        <v>2</v>
      </c>
      <c r="EA19" t="s">
        <v>293</v>
      </c>
      <c r="EB19">
        <v>1.8666100000000001</v>
      </c>
      <c r="EC19">
        <v>1.8631</v>
      </c>
      <c r="ED19">
        <v>1.8687400000000001</v>
      </c>
      <c r="EE19">
        <v>1.8667199999999999</v>
      </c>
      <c r="EF19">
        <v>1.8713500000000001</v>
      </c>
      <c r="EG19">
        <v>1.86381</v>
      </c>
      <c r="EH19">
        <v>1.8652299999999999</v>
      </c>
      <c r="EI19">
        <v>1.8652299999999999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-0.41899999999999998</v>
      </c>
      <c r="EX19">
        <v>0.111</v>
      </c>
      <c r="EY19">
        <v>2</v>
      </c>
      <c r="EZ19">
        <v>322.06400000000002</v>
      </c>
      <c r="FA19">
        <v>433.392</v>
      </c>
      <c r="FB19">
        <v>21.2422</v>
      </c>
      <c r="FC19">
        <v>38.542499999999997</v>
      </c>
      <c r="FD19">
        <v>29.999300000000002</v>
      </c>
      <c r="FE19">
        <v>38.550899999999999</v>
      </c>
      <c r="FF19">
        <v>38.545200000000001</v>
      </c>
      <c r="FG19">
        <v>12.942600000000001</v>
      </c>
      <c r="FH19">
        <v>53.236400000000003</v>
      </c>
      <c r="FI19">
        <v>0</v>
      </c>
      <c r="FJ19">
        <v>17.5824</v>
      </c>
      <c r="FK19">
        <v>200</v>
      </c>
      <c r="FL19">
        <v>16.892099999999999</v>
      </c>
      <c r="FM19">
        <v>99.802999999999997</v>
      </c>
      <c r="FN19">
        <v>100.31100000000001</v>
      </c>
    </row>
    <row r="20" spans="1:170" x14ac:dyDescent="0.25">
      <c r="A20">
        <v>4</v>
      </c>
      <c r="B20">
        <v>1594059437.5</v>
      </c>
      <c r="C20">
        <v>395.5</v>
      </c>
      <c r="D20" t="s">
        <v>299</v>
      </c>
      <c r="E20" t="s">
        <v>300</v>
      </c>
      <c r="G20">
        <v>1594059429.5</v>
      </c>
      <c r="H20">
        <f t="shared" si="0"/>
        <v>6.3195277985580601E-3</v>
      </c>
      <c r="I20">
        <f t="shared" si="1"/>
        <v>4.5820471089174282</v>
      </c>
      <c r="J20">
        <f t="shared" si="2"/>
        <v>97.909470967741896</v>
      </c>
      <c r="K20">
        <f t="shared" si="3"/>
        <v>75.817966990112737</v>
      </c>
      <c r="L20">
        <f t="shared" si="4"/>
        <v>7.5342563757388969</v>
      </c>
      <c r="M20">
        <f t="shared" si="5"/>
        <v>9.7295546843155343</v>
      </c>
      <c r="N20">
        <f t="shared" si="6"/>
        <v>0.39203660436563614</v>
      </c>
      <c r="O20">
        <f t="shared" si="7"/>
        <v>3.3795595443470763</v>
      </c>
      <c r="P20">
        <f t="shared" si="8"/>
        <v>0.3684105326502487</v>
      </c>
      <c r="Q20">
        <f t="shared" si="9"/>
        <v>0.23226054690014578</v>
      </c>
      <c r="R20">
        <f t="shared" si="10"/>
        <v>321.44482108042848</v>
      </c>
      <c r="S20">
        <f t="shared" si="11"/>
        <v>26.908722902198164</v>
      </c>
      <c r="T20">
        <f t="shared" si="12"/>
        <v>26.991374193548399</v>
      </c>
      <c r="U20">
        <f t="shared" si="13"/>
        <v>3.5773468378105702</v>
      </c>
      <c r="V20">
        <f t="shared" si="14"/>
        <v>54.633945429149243</v>
      </c>
      <c r="W20">
        <f t="shared" si="15"/>
        <v>1.9199017615560632</v>
      </c>
      <c r="X20">
        <f t="shared" si="16"/>
        <v>3.5141188257140299</v>
      </c>
      <c r="Y20">
        <f t="shared" si="17"/>
        <v>1.657445076254507</v>
      </c>
      <c r="Z20">
        <f t="shared" si="18"/>
        <v>-278.69117591641043</v>
      </c>
      <c r="AA20">
        <f t="shared" si="19"/>
        <v>-55.253847475844033</v>
      </c>
      <c r="AB20">
        <f t="shared" si="20"/>
        <v>-3.5227460288412504</v>
      </c>
      <c r="AC20">
        <f t="shared" si="21"/>
        <v>-16.022948340667234</v>
      </c>
      <c r="AD20">
        <v>-4.1131312659987498E-2</v>
      </c>
      <c r="AE20">
        <v>4.61735017617282E-2</v>
      </c>
      <c r="AF20">
        <v>3.4517377914635698</v>
      </c>
      <c r="AG20">
        <v>163</v>
      </c>
      <c r="AH20">
        <v>33</v>
      </c>
      <c r="AI20">
        <f t="shared" si="22"/>
        <v>1</v>
      </c>
      <c r="AJ20">
        <f t="shared" si="23"/>
        <v>0</v>
      </c>
      <c r="AK20">
        <f t="shared" si="24"/>
        <v>52503.163764681376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269.518653846154</v>
      </c>
      <c r="AT20">
        <v>332.625</v>
      </c>
      <c r="AU20">
        <f t="shared" si="27"/>
        <v>0.18972219813256974</v>
      </c>
      <c r="AV20">
        <v>0.5</v>
      </c>
      <c r="AW20">
        <f t="shared" si="28"/>
        <v>1681.2259643860405</v>
      </c>
      <c r="AX20">
        <f t="shared" si="29"/>
        <v>4.5820471089174282</v>
      </c>
      <c r="AY20">
        <f t="shared" si="30"/>
        <v>159.4829427604345</v>
      </c>
      <c r="AZ20">
        <f t="shared" si="31"/>
        <v>0.38369034197670049</v>
      </c>
      <c r="BA20">
        <f t="shared" si="32"/>
        <v>3.3202241858999075E-3</v>
      </c>
      <c r="BB20">
        <f t="shared" si="33"/>
        <v>-1</v>
      </c>
      <c r="BC20" t="s">
        <v>302</v>
      </c>
      <c r="BD20">
        <v>205</v>
      </c>
      <c r="BE20">
        <f t="shared" si="34"/>
        <v>127.625</v>
      </c>
      <c r="BF20">
        <f t="shared" si="35"/>
        <v>0.49446696300760828</v>
      </c>
      <c r="BG20">
        <f t="shared" si="36"/>
        <v>1.6225609756097561</v>
      </c>
      <c r="BH20">
        <f t="shared" si="37"/>
        <v>0.18972219813256971</v>
      </c>
      <c r="BI20" t="e">
        <f t="shared" si="38"/>
        <v>#DIV/0!</v>
      </c>
      <c r="BJ20">
        <v>4685</v>
      </c>
      <c r="BK20">
        <v>300</v>
      </c>
      <c r="BL20">
        <v>300</v>
      </c>
      <c r="BM20">
        <v>300</v>
      </c>
      <c r="BN20">
        <v>9875.16</v>
      </c>
      <c r="BO20">
        <v>317.05</v>
      </c>
      <c r="BP20">
        <v>-6.5680799999999996E-3</v>
      </c>
      <c r="BQ20">
        <v>1.1827700000000001</v>
      </c>
      <c r="BR20">
        <f t="shared" si="39"/>
        <v>2000.0348387096799</v>
      </c>
      <c r="BS20">
        <f t="shared" si="40"/>
        <v>1681.2259643860405</v>
      </c>
      <c r="BT20">
        <f t="shared" si="41"/>
        <v>0.84059833951226637</v>
      </c>
      <c r="BU20">
        <f t="shared" si="42"/>
        <v>0.19119667902453286</v>
      </c>
      <c r="BV20">
        <v>0.5</v>
      </c>
      <c r="BW20" t="s">
        <v>281</v>
      </c>
      <c r="BX20">
        <v>1594059429.5</v>
      </c>
      <c r="BY20">
        <v>97.909470967741896</v>
      </c>
      <c r="BZ20">
        <v>99.989551612903199</v>
      </c>
      <c r="CA20">
        <v>19.320161290322599</v>
      </c>
      <c r="CB20">
        <v>16.841467741935499</v>
      </c>
      <c r="CC20">
        <v>500.056451612903</v>
      </c>
      <c r="CD20">
        <v>99.173012903225796</v>
      </c>
      <c r="CE20">
        <v>0.19995467741935499</v>
      </c>
      <c r="CF20">
        <v>26.6881129032258</v>
      </c>
      <c r="CG20">
        <v>26.991374193548399</v>
      </c>
      <c r="CH20">
        <v>999.9</v>
      </c>
      <c r="CI20">
        <v>10001.729032258099</v>
      </c>
      <c r="CJ20">
        <v>0</v>
      </c>
      <c r="CK20">
        <v>106.073322580645</v>
      </c>
      <c r="CL20">
        <v>2000.0348387096799</v>
      </c>
      <c r="CM20">
        <v>0.98000535483870999</v>
      </c>
      <c r="CN20">
        <v>1.9994525806451599E-2</v>
      </c>
      <c r="CO20">
        <v>0</v>
      </c>
      <c r="CP20">
        <v>269.56112903225801</v>
      </c>
      <c r="CQ20">
        <v>5.00054</v>
      </c>
      <c r="CR20">
        <v>6276.3845161290301</v>
      </c>
      <c r="CS20">
        <v>18703.990322580699</v>
      </c>
      <c r="CT20">
        <v>48.070193548387103</v>
      </c>
      <c r="CU20">
        <v>49.424999999999997</v>
      </c>
      <c r="CV20">
        <v>48.417000000000002</v>
      </c>
      <c r="CW20">
        <v>48.648935483871</v>
      </c>
      <c r="CX20">
        <v>49.420999999999999</v>
      </c>
      <c r="CY20">
        <v>1955.1445161290301</v>
      </c>
      <c r="CZ20">
        <v>39.89</v>
      </c>
      <c r="DA20">
        <v>0</v>
      </c>
      <c r="DB20">
        <v>115.40000009536701</v>
      </c>
      <c r="DC20">
        <v>269.518653846154</v>
      </c>
      <c r="DD20">
        <v>-0.61466666296215</v>
      </c>
      <c r="DE20">
        <v>-6.78188035469016</v>
      </c>
      <c r="DF20">
        <v>6276.24346153846</v>
      </c>
      <c r="DG20">
        <v>15</v>
      </c>
      <c r="DH20">
        <v>1594059466</v>
      </c>
      <c r="DI20" t="s">
        <v>303</v>
      </c>
      <c r="DJ20">
        <v>75</v>
      </c>
      <c r="DK20">
        <v>-0.32800000000000001</v>
      </c>
      <c r="DL20">
        <v>0.11</v>
      </c>
      <c r="DM20">
        <v>100</v>
      </c>
      <c r="DN20">
        <v>17</v>
      </c>
      <c r="DO20">
        <v>0.8</v>
      </c>
      <c r="DP20">
        <v>0.04</v>
      </c>
      <c r="DQ20">
        <v>97.813294444444495</v>
      </c>
      <c r="DR20">
        <v>5.4775528873618202E-2</v>
      </c>
      <c r="DS20">
        <v>1.5712667886096199E-2</v>
      </c>
      <c r="DT20">
        <v>1</v>
      </c>
      <c r="DU20">
        <v>19.318298148148099</v>
      </c>
      <c r="DV20">
        <v>2.9063922241282399E-2</v>
      </c>
      <c r="DW20">
        <v>4.2512521354057904E-3</v>
      </c>
      <c r="DX20">
        <v>1</v>
      </c>
      <c r="DY20">
        <v>2</v>
      </c>
      <c r="DZ20">
        <v>2</v>
      </c>
      <c r="EA20" t="s">
        <v>293</v>
      </c>
      <c r="EB20">
        <v>1.8666400000000001</v>
      </c>
      <c r="EC20">
        <v>1.86313</v>
      </c>
      <c r="ED20">
        <v>1.8687400000000001</v>
      </c>
      <c r="EE20">
        <v>1.8667499999999999</v>
      </c>
      <c r="EF20">
        <v>1.8714200000000001</v>
      </c>
      <c r="EG20">
        <v>1.8638600000000001</v>
      </c>
      <c r="EH20">
        <v>1.86531</v>
      </c>
      <c r="EI20">
        <v>1.86524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-0.32800000000000001</v>
      </c>
      <c r="EX20">
        <v>0.11</v>
      </c>
      <c r="EY20">
        <v>2</v>
      </c>
      <c r="EZ20">
        <v>322.64100000000002</v>
      </c>
      <c r="FA20">
        <v>433.73</v>
      </c>
      <c r="FB20">
        <v>21.739699999999999</v>
      </c>
      <c r="FC20">
        <v>38.366100000000003</v>
      </c>
      <c r="FD20">
        <v>29.999199999999998</v>
      </c>
      <c r="FE20">
        <v>38.395899999999997</v>
      </c>
      <c r="FF20">
        <v>38.396000000000001</v>
      </c>
      <c r="FG20">
        <v>8.0433199999999996</v>
      </c>
      <c r="FH20">
        <v>52.801600000000001</v>
      </c>
      <c r="FI20">
        <v>0</v>
      </c>
      <c r="FJ20">
        <v>21.750900000000001</v>
      </c>
      <c r="FK20">
        <v>100</v>
      </c>
      <c r="FL20">
        <v>16.909600000000001</v>
      </c>
      <c r="FM20">
        <v>99.8352</v>
      </c>
      <c r="FN20">
        <v>100.351</v>
      </c>
    </row>
    <row r="21" spans="1:170" x14ac:dyDescent="0.25">
      <c r="A21">
        <v>5</v>
      </c>
      <c r="B21">
        <v>1594059557.5</v>
      </c>
      <c r="C21">
        <v>515.5</v>
      </c>
      <c r="D21" t="s">
        <v>304</v>
      </c>
      <c r="E21" t="s">
        <v>305</v>
      </c>
      <c r="G21">
        <v>1594059549.5032301</v>
      </c>
      <c r="H21">
        <f t="shared" si="0"/>
        <v>6.4276151594129093E-3</v>
      </c>
      <c r="I21">
        <f t="shared" si="1"/>
        <v>0.59953855548352852</v>
      </c>
      <c r="J21">
        <f t="shared" si="2"/>
        <v>49.642516129032302</v>
      </c>
      <c r="K21">
        <f t="shared" si="3"/>
        <v>45.822317039059584</v>
      </c>
      <c r="L21">
        <f t="shared" si="4"/>
        <v>4.5535212655512689</v>
      </c>
      <c r="M21">
        <f t="shared" si="5"/>
        <v>4.9331475899905666</v>
      </c>
      <c r="N21">
        <f t="shared" si="6"/>
        <v>0.40092654396323951</v>
      </c>
      <c r="O21">
        <f t="shared" si="7"/>
        <v>3.3801519547980292</v>
      </c>
      <c r="P21">
        <f t="shared" si="8"/>
        <v>0.37625703805490035</v>
      </c>
      <c r="Q21">
        <f t="shared" si="9"/>
        <v>0.23725050411470244</v>
      </c>
      <c r="R21">
        <f t="shared" si="10"/>
        <v>321.43581309520494</v>
      </c>
      <c r="S21">
        <f t="shared" si="11"/>
        <v>27.093036428008514</v>
      </c>
      <c r="T21">
        <f t="shared" si="12"/>
        <v>27.0991</v>
      </c>
      <c r="U21">
        <f t="shared" si="13"/>
        <v>3.6000447890536571</v>
      </c>
      <c r="V21">
        <f t="shared" si="14"/>
        <v>54.808112920798067</v>
      </c>
      <c r="W21">
        <f t="shared" si="15"/>
        <v>1.9498485769271234</v>
      </c>
      <c r="X21">
        <f t="shared" si="16"/>
        <v>3.5575911539680343</v>
      </c>
      <c r="Y21">
        <f t="shared" si="17"/>
        <v>1.6501962121265337</v>
      </c>
      <c r="Z21">
        <f t="shared" si="18"/>
        <v>-283.45782853010928</v>
      </c>
      <c r="AA21">
        <f t="shared" si="19"/>
        <v>-36.805909212701799</v>
      </c>
      <c r="AB21">
        <f t="shared" si="20"/>
        <v>-2.3498933470334622</v>
      </c>
      <c r="AC21">
        <f t="shared" si="21"/>
        <v>-1.1778179946396037</v>
      </c>
      <c r="AD21">
        <v>-4.1140471574179903E-2</v>
      </c>
      <c r="AE21">
        <v>4.6183783445274199E-2</v>
      </c>
      <c r="AF21">
        <v>3.4523462742042001</v>
      </c>
      <c r="AG21">
        <v>163</v>
      </c>
      <c r="AH21">
        <v>33</v>
      </c>
      <c r="AI21">
        <f t="shared" si="22"/>
        <v>1</v>
      </c>
      <c r="AJ21">
        <f t="shared" si="23"/>
        <v>0</v>
      </c>
      <c r="AK21">
        <f t="shared" si="24"/>
        <v>52477.785331970023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269.03411538461501</v>
      </c>
      <c r="AT21">
        <v>322.34500000000003</v>
      </c>
      <c r="AU21">
        <f t="shared" si="27"/>
        <v>0.16538455572565114</v>
      </c>
      <c r="AV21">
        <v>0.5</v>
      </c>
      <c r="AW21">
        <f t="shared" si="28"/>
        <v>1681.1768416123205</v>
      </c>
      <c r="AX21">
        <f t="shared" si="29"/>
        <v>0.59953855548352852</v>
      </c>
      <c r="AY21">
        <f t="shared" si="30"/>
        <v>139.02034252315349</v>
      </c>
      <c r="AZ21">
        <f t="shared" si="31"/>
        <v>0.34697296375001946</v>
      </c>
      <c r="BA21">
        <f t="shared" si="32"/>
        <v>9.5143979853392615E-4</v>
      </c>
      <c r="BB21">
        <f t="shared" si="33"/>
        <v>-1</v>
      </c>
      <c r="BC21" t="s">
        <v>307</v>
      </c>
      <c r="BD21">
        <v>210.5</v>
      </c>
      <c r="BE21">
        <f t="shared" si="34"/>
        <v>111.84500000000003</v>
      </c>
      <c r="BF21">
        <f t="shared" si="35"/>
        <v>0.47664969033381027</v>
      </c>
      <c r="BG21">
        <f t="shared" si="36"/>
        <v>1.5313301662707839</v>
      </c>
      <c r="BH21">
        <f t="shared" si="37"/>
        <v>0.16538455572565114</v>
      </c>
      <c r="BI21" t="e">
        <f t="shared" si="38"/>
        <v>#DIV/0!</v>
      </c>
      <c r="BJ21">
        <v>4687</v>
      </c>
      <c r="BK21">
        <v>300</v>
      </c>
      <c r="BL21">
        <v>300</v>
      </c>
      <c r="BM21">
        <v>300</v>
      </c>
      <c r="BN21">
        <v>9874.39</v>
      </c>
      <c r="BO21">
        <v>309.43400000000003</v>
      </c>
      <c r="BP21">
        <v>-6.5676500000000004E-3</v>
      </c>
      <c r="BQ21">
        <v>0.39440900000000001</v>
      </c>
      <c r="BR21">
        <f t="shared" si="39"/>
        <v>1999.9761290322599</v>
      </c>
      <c r="BS21">
        <f t="shared" si="40"/>
        <v>1681.1768416123205</v>
      </c>
      <c r="BT21">
        <f t="shared" si="41"/>
        <v>0.84059845375544617</v>
      </c>
      <c r="BU21">
        <f t="shared" si="42"/>
        <v>0.19119690751089236</v>
      </c>
      <c r="BV21">
        <v>0.5</v>
      </c>
      <c r="BW21" t="s">
        <v>281</v>
      </c>
      <c r="BX21">
        <v>1594059549.5032301</v>
      </c>
      <c r="BY21">
        <v>49.642516129032302</v>
      </c>
      <c r="BZ21">
        <v>50.009919354838701</v>
      </c>
      <c r="CA21">
        <v>19.621425806451601</v>
      </c>
      <c r="CB21">
        <v>17.1011387096774</v>
      </c>
      <c r="CC21">
        <v>500.06177419354799</v>
      </c>
      <c r="CD21">
        <v>99.173425806451604</v>
      </c>
      <c r="CE21">
        <v>0.200014032258064</v>
      </c>
      <c r="CF21">
        <v>26.897125806451601</v>
      </c>
      <c r="CG21">
        <v>27.0991</v>
      </c>
      <c r="CH21">
        <v>999.9</v>
      </c>
      <c r="CI21">
        <v>10003.914516129</v>
      </c>
      <c r="CJ21">
        <v>0</v>
      </c>
      <c r="CK21">
        <v>293.52761290322599</v>
      </c>
      <c r="CL21">
        <v>1999.9761290322599</v>
      </c>
      <c r="CM21">
        <v>0.98000229032258102</v>
      </c>
      <c r="CN21">
        <v>1.9997751612903202E-2</v>
      </c>
      <c r="CO21">
        <v>0</v>
      </c>
      <c r="CP21">
        <v>269.01412903225798</v>
      </c>
      <c r="CQ21">
        <v>5.00054</v>
      </c>
      <c r="CR21">
        <v>6873.0190322580602</v>
      </c>
      <c r="CS21">
        <v>18703.419354838701</v>
      </c>
      <c r="CT21">
        <v>48.144935483871002</v>
      </c>
      <c r="CU21">
        <v>49.651000000000003</v>
      </c>
      <c r="CV21">
        <v>48.511870967741899</v>
      </c>
      <c r="CW21">
        <v>48.802161290322601</v>
      </c>
      <c r="CX21">
        <v>49.4856451612903</v>
      </c>
      <c r="CY21">
        <v>1955.07967741936</v>
      </c>
      <c r="CZ21">
        <v>39.896451612903199</v>
      </c>
      <c r="DA21">
        <v>0</v>
      </c>
      <c r="DB21">
        <v>119</v>
      </c>
      <c r="DC21">
        <v>269.03411538461501</v>
      </c>
      <c r="DD21">
        <v>-0.161675209682524</v>
      </c>
      <c r="DE21">
        <v>-2488.95213286236</v>
      </c>
      <c r="DF21">
        <v>6864.7503846153804</v>
      </c>
      <c r="DG21">
        <v>15</v>
      </c>
      <c r="DH21">
        <v>1594059587</v>
      </c>
      <c r="DI21" t="s">
        <v>308</v>
      </c>
      <c r="DJ21">
        <v>76</v>
      </c>
      <c r="DK21">
        <v>-0.46700000000000003</v>
      </c>
      <c r="DL21">
        <v>0.11700000000000001</v>
      </c>
      <c r="DM21">
        <v>50</v>
      </c>
      <c r="DN21">
        <v>17</v>
      </c>
      <c r="DO21">
        <v>0.53</v>
      </c>
      <c r="DP21">
        <v>0.04</v>
      </c>
      <c r="DQ21">
        <v>49.789857407407403</v>
      </c>
      <c r="DR21">
        <v>-0.10716276437738</v>
      </c>
      <c r="DS21">
        <v>1.9431280641083501E-2</v>
      </c>
      <c r="DT21">
        <v>1</v>
      </c>
      <c r="DU21">
        <v>19.6106962962963</v>
      </c>
      <c r="DV21">
        <v>3.0863405697053901E-2</v>
      </c>
      <c r="DW21">
        <v>5.5821130660867503E-3</v>
      </c>
      <c r="DX21">
        <v>1</v>
      </c>
      <c r="DY21">
        <v>2</v>
      </c>
      <c r="DZ21">
        <v>2</v>
      </c>
      <c r="EA21" t="s">
        <v>293</v>
      </c>
      <c r="EB21">
        <v>1.8666100000000001</v>
      </c>
      <c r="EC21">
        <v>1.86311</v>
      </c>
      <c r="ED21">
        <v>1.8687400000000001</v>
      </c>
      <c r="EE21">
        <v>1.86669</v>
      </c>
      <c r="EF21">
        <v>1.8713599999999999</v>
      </c>
      <c r="EG21">
        <v>1.86381</v>
      </c>
      <c r="EH21">
        <v>1.86524</v>
      </c>
      <c r="EI21">
        <v>1.8652299999999999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-0.46700000000000003</v>
      </c>
      <c r="EX21">
        <v>0.11700000000000001</v>
      </c>
      <c r="EY21">
        <v>2</v>
      </c>
      <c r="EZ21">
        <v>322.43700000000001</v>
      </c>
      <c r="FA21">
        <v>435.35399999999998</v>
      </c>
      <c r="FB21">
        <v>21.453399999999998</v>
      </c>
      <c r="FC21">
        <v>38.188400000000001</v>
      </c>
      <c r="FD21">
        <v>30</v>
      </c>
      <c r="FE21">
        <v>38.247399999999999</v>
      </c>
      <c r="FF21">
        <v>38.255800000000001</v>
      </c>
      <c r="FG21">
        <v>5.5707700000000004</v>
      </c>
      <c r="FH21">
        <v>51.743000000000002</v>
      </c>
      <c r="FI21">
        <v>0</v>
      </c>
      <c r="FJ21">
        <v>21.152699999999999</v>
      </c>
      <c r="FK21">
        <v>50</v>
      </c>
      <c r="FL21">
        <v>17.186599999999999</v>
      </c>
      <c r="FM21">
        <v>99.861199999999997</v>
      </c>
      <c r="FN21">
        <v>100.38500000000001</v>
      </c>
    </row>
    <row r="22" spans="1:170" x14ac:dyDescent="0.25">
      <c r="A22">
        <v>6</v>
      </c>
      <c r="B22">
        <v>1594059678.5</v>
      </c>
      <c r="C22">
        <v>636.5</v>
      </c>
      <c r="D22" t="s">
        <v>309</v>
      </c>
      <c r="E22" t="s">
        <v>310</v>
      </c>
      <c r="G22">
        <v>1594059670.5483899</v>
      </c>
      <c r="H22">
        <f t="shared" si="0"/>
        <v>6.9827097781456635E-3</v>
      </c>
      <c r="I22">
        <f t="shared" si="1"/>
        <v>29.666144280214453</v>
      </c>
      <c r="J22">
        <f t="shared" si="2"/>
        <v>387.08035483870998</v>
      </c>
      <c r="K22">
        <f t="shared" si="3"/>
        <v>266.7610246983179</v>
      </c>
      <c r="L22">
        <f t="shared" si="4"/>
        <v>26.508951810241452</v>
      </c>
      <c r="M22">
        <f t="shared" si="5"/>
        <v>38.465493543199862</v>
      </c>
      <c r="N22">
        <f t="shared" si="6"/>
        <v>0.45175447244538003</v>
      </c>
      <c r="O22">
        <f t="shared" si="7"/>
        <v>3.3777166589526253</v>
      </c>
      <c r="P22">
        <f t="shared" si="8"/>
        <v>0.42067258525449713</v>
      </c>
      <c r="Q22">
        <f t="shared" si="9"/>
        <v>0.26553452832608215</v>
      </c>
      <c r="R22">
        <f t="shared" si="10"/>
        <v>321.44239178395338</v>
      </c>
      <c r="S22">
        <f t="shared" si="11"/>
        <v>26.963377275871064</v>
      </c>
      <c r="T22">
        <f t="shared" si="12"/>
        <v>26.930258064516099</v>
      </c>
      <c r="U22">
        <f t="shared" si="13"/>
        <v>3.5645252216392103</v>
      </c>
      <c r="V22">
        <f t="shared" si="14"/>
        <v>55.129750915282173</v>
      </c>
      <c r="W22">
        <f t="shared" si="15"/>
        <v>1.9608921597227711</v>
      </c>
      <c r="X22">
        <f t="shared" si="16"/>
        <v>3.5568674393905244</v>
      </c>
      <c r="Y22">
        <f t="shared" si="17"/>
        <v>1.6036330619164392</v>
      </c>
      <c r="Z22">
        <f t="shared" si="18"/>
        <v>-307.93750121622378</v>
      </c>
      <c r="AA22">
        <f t="shared" si="19"/>
        <v>-6.6636654197101048</v>
      </c>
      <c r="AB22">
        <f t="shared" si="20"/>
        <v>-0.42538535840758318</v>
      </c>
      <c r="AC22">
        <f t="shared" si="21"/>
        <v>6.415839789611903</v>
      </c>
      <c r="AD22">
        <v>-4.1102825475059702E-2</v>
      </c>
      <c r="AE22">
        <v>4.6141522401032302E-2</v>
      </c>
      <c r="AF22">
        <v>3.4498449160507998</v>
      </c>
      <c r="AG22">
        <v>164</v>
      </c>
      <c r="AH22">
        <v>33</v>
      </c>
      <c r="AI22">
        <f t="shared" si="22"/>
        <v>1</v>
      </c>
      <c r="AJ22">
        <f t="shared" si="23"/>
        <v>0</v>
      </c>
      <c r="AK22">
        <f t="shared" si="24"/>
        <v>52432.330785910344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269.86099999999999</v>
      </c>
      <c r="AT22">
        <v>372.68700000000001</v>
      </c>
      <c r="AU22">
        <f t="shared" si="27"/>
        <v>0.27590444528518576</v>
      </c>
      <c r="AV22">
        <v>0.5</v>
      </c>
      <c r="AW22">
        <f t="shared" si="28"/>
        <v>1681.2078674186655</v>
      </c>
      <c r="AX22">
        <f t="shared" si="29"/>
        <v>29.666144280214453</v>
      </c>
      <c r="AY22">
        <f t="shared" si="30"/>
        <v>231.92636203461851</v>
      </c>
      <c r="AZ22">
        <f t="shared" si="31"/>
        <v>0.50178031431200976</v>
      </c>
      <c r="BA22">
        <f t="shared" si="32"/>
        <v>1.8240542930184712E-2</v>
      </c>
      <c r="BB22">
        <f t="shared" si="33"/>
        <v>-1</v>
      </c>
      <c r="BC22" t="s">
        <v>312</v>
      </c>
      <c r="BD22">
        <v>185.68</v>
      </c>
      <c r="BE22">
        <f t="shared" si="34"/>
        <v>187.00700000000001</v>
      </c>
      <c r="BF22">
        <f t="shared" si="35"/>
        <v>0.54985107509344577</v>
      </c>
      <c r="BG22">
        <f t="shared" si="36"/>
        <v>2.0071467040068938</v>
      </c>
      <c r="BH22">
        <f t="shared" si="37"/>
        <v>0.27590444528518576</v>
      </c>
      <c r="BI22" t="e">
        <f t="shared" si="38"/>
        <v>#DIV/0!</v>
      </c>
      <c r="BJ22">
        <v>4689</v>
      </c>
      <c r="BK22">
        <v>300</v>
      </c>
      <c r="BL22">
        <v>300</v>
      </c>
      <c r="BM22">
        <v>300</v>
      </c>
      <c r="BN22">
        <v>9873.4</v>
      </c>
      <c r="BO22">
        <v>342.52</v>
      </c>
      <c r="BP22">
        <v>-6.5668899999999997E-3</v>
      </c>
      <c r="BQ22">
        <v>0.40564</v>
      </c>
      <c r="BR22">
        <f t="shared" si="39"/>
        <v>2000.0125806451599</v>
      </c>
      <c r="BS22">
        <f t="shared" si="40"/>
        <v>1681.2078674186655</v>
      </c>
      <c r="BT22">
        <f t="shared" si="41"/>
        <v>0.84059864607268864</v>
      </c>
      <c r="BU22">
        <f t="shared" si="42"/>
        <v>0.19119729214537731</v>
      </c>
      <c r="BV22">
        <v>0.5</v>
      </c>
      <c r="BW22" t="s">
        <v>281</v>
      </c>
      <c r="BX22">
        <v>1594059670.5483899</v>
      </c>
      <c r="BY22">
        <v>387.08035483870998</v>
      </c>
      <c r="BZ22">
        <v>400.026580645161</v>
      </c>
      <c r="CA22">
        <v>19.732564516128999</v>
      </c>
      <c r="CB22">
        <v>16.9948870967742</v>
      </c>
      <c r="CC22">
        <v>500.05329032258101</v>
      </c>
      <c r="CD22">
        <v>99.1734096774194</v>
      </c>
      <c r="CE22">
        <v>0.199997064516129</v>
      </c>
      <c r="CF22">
        <v>26.893664516129</v>
      </c>
      <c r="CG22">
        <v>26.930258064516099</v>
      </c>
      <c r="CH22">
        <v>999.9</v>
      </c>
      <c r="CI22">
        <v>9994.7619354838698</v>
      </c>
      <c r="CJ22">
        <v>0</v>
      </c>
      <c r="CK22">
        <v>108.411129032258</v>
      </c>
      <c r="CL22">
        <v>2000.0125806451599</v>
      </c>
      <c r="CM22">
        <v>0.97999590322580599</v>
      </c>
      <c r="CN22">
        <v>2.0004483870967701E-2</v>
      </c>
      <c r="CO22">
        <v>0</v>
      </c>
      <c r="CP22">
        <v>269.82306451612902</v>
      </c>
      <c r="CQ22">
        <v>5.00054</v>
      </c>
      <c r="CR22">
        <v>6337.2548387096804</v>
      </c>
      <c r="CS22">
        <v>18703.725806451599</v>
      </c>
      <c r="CT22">
        <v>48.4856129032258</v>
      </c>
      <c r="CU22">
        <v>50.112677419354803</v>
      </c>
      <c r="CV22">
        <v>48.844516129032201</v>
      </c>
      <c r="CW22">
        <v>49.300193548387099</v>
      </c>
      <c r="CX22">
        <v>49.840451612903202</v>
      </c>
      <c r="CY22">
        <v>1955.1025806451601</v>
      </c>
      <c r="CZ22">
        <v>39.909999999999997</v>
      </c>
      <c r="DA22">
        <v>0</v>
      </c>
      <c r="DB22">
        <v>120.200000047684</v>
      </c>
      <c r="DC22">
        <v>269.86099999999999</v>
      </c>
      <c r="DD22">
        <v>3.2607179549357901</v>
      </c>
      <c r="DE22">
        <v>47.763760692405697</v>
      </c>
      <c r="DF22">
        <v>6337.4834615384598</v>
      </c>
      <c r="DG22">
        <v>15</v>
      </c>
      <c r="DH22">
        <v>1594059704.0999999</v>
      </c>
      <c r="DI22" t="s">
        <v>313</v>
      </c>
      <c r="DJ22">
        <v>77</v>
      </c>
      <c r="DK22">
        <v>-0.34899999999999998</v>
      </c>
      <c r="DL22">
        <v>0.111</v>
      </c>
      <c r="DM22">
        <v>400</v>
      </c>
      <c r="DN22">
        <v>17</v>
      </c>
      <c r="DO22">
        <v>0.3</v>
      </c>
      <c r="DP22">
        <v>0.03</v>
      </c>
      <c r="DQ22">
        <v>386.95435185185198</v>
      </c>
      <c r="DR22">
        <v>0.119406875721235</v>
      </c>
      <c r="DS22">
        <v>3.0802331205314899E-2</v>
      </c>
      <c r="DT22">
        <v>1</v>
      </c>
      <c r="DU22">
        <v>19.736959259259301</v>
      </c>
      <c r="DV22">
        <v>1.4918229472478299E-2</v>
      </c>
      <c r="DW22">
        <v>2.0530481871380499E-3</v>
      </c>
      <c r="DX22">
        <v>1</v>
      </c>
      <c r="DY22">
        <v>2</v>
      </c>
      <c r="DZ22">
        <v>2</v>
      </c>
      <c r="EA22" t="s">
        <v>293</v>
      </c>
      <c r="EB22">
        <v>1.8666100000000001</v>
      </c>
      <c r="EC22">
        <v>1.8631200000000001</v>
      </c>
      <c r="ED22">
        <v>1.8687400000000001</v>
      </c>
      <c r="EE22">
        <v>1.86669</v>
      </c>
      <c r="EF22">
        <v>1.8713599999999999</v>
      </c>
      <c r="EG22">
        <v>1.8637999999999999</v>
      </c>
      <c r="EH22">
        <v>1.86524</v>
      </c>
      <c r="EI22">
        <v>1.8652299999999999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-0.34899999999999998</v>
      </c>
      <c r="EX22">
        <v>0.111</v>
      </c>
      <c r="EY22">
        <v>2</v>
      </c>
      <c r="EZ22">
        <v>322.20999999999998</v>
      </c>
      <c r="FA22">
        <v>435.21899999999999</v>
      </c>
      <c r="FB22">
        <v>21.625800000000002</v>
      </c>
      <c r="FC22">
        <v>38.237900000000003</v>
      </c>
      <c r="FD22">
        <v>30.000399999999999</v>
      </c>
      <c r="FE22">
        <v>38.232799999999997</v>
      </c>
      <c r="FF22">
        <v>38.240299999999998</v>
      </c>
      <c r="FG22">
        <v>22.226600000000001</v>
      </c>
      <c r="FH22">
        <v>52.209099999999999</v>
      </c>
      <c r="FI22">
        <v>0</v>
      </c>
      <c r="FJ22">
        <v>21.8276</v>
      </c>
      <c r="FK22">
        <v>400</v>
      </c>
      <c r="FL22">
        <v>16.9055</v>
      </c>
      <c r="FM22">
        <v>99.853399999999993</v>
      </c>
      <c r="FN22">
        <v>100.376</v>
      </c>
    </row>
    <row r="23" spans="1:170" x14ac:dyDescent="0.25">
      <c r="A23">
        <v>7</v>
      </c>
      <c r="B23">
        <v>1594059820.5</v>
      </c>
      <c r="C23">
        <v>778.5</v>
      </c>
      <c r="D23" t="s">
        <v>314</v>
      </c>
      <c r="E23" t="s">
        <v>315</v>
      </c>
      <c r="G23">
        <v>1594059812.53548</v>
      </c>
      <c r="H23">
        <f t="shared" si="0"/>
        <v>7.2029214394781138E-3</v>
      </c>
      <c r="I23">
        <f t="shared" si="1"/>
        <v>30.891528631561659</v>
      </c>
      <c r="J23">
        <f t="shared" si="2"/>
        <v>386.506741935484</v>
      </c>
      <c r="K23">
        <f t="shared" si="3"/>
        <v>266.26128099502097</v>
      </c>
      <c r="L23">
        <f t="shared" si="4"/>
        <v>26.459457315632406</v>
      </c>
      <c r="M23">
        <f t="shared" si="5"/>
        <v>38.408733715351303</v>
      </c>
      <c r="N23">
        <f t="shared" si="6"/>
        <v>0.47152387069383739</v>
      </c>
      <c r="O23">
        <f t="shared" si="7"/>
        <v>3.3810999051736896</v>
      </c>
      <c r="P23">
        <f t="shared" si="8"/>
        <v>0.43780220842963136</v>
      </c>
      <c r="Q23">
        <f t="shared" si="9"/>
        <v>0.27645490121000804</v>
      </c>
      <c r="R23">
        <f t="shared" si="10"/>
        <v>321.44048688927893</v>
      </c>
      <c r="S23">
        <f t="shared" si="11"/>
        <v>27.197341226568739</v>
      </c>
      <c r="T23">
        <f t="shared" si="12"/>
        <v>27.033883870967699</v>
      </c>
      <c r="U23">
        <f t="shared" si="13"/>
        <v>3.5862887097127611</v>
      </c>
      <c r="V23">
        <f t="shared" si="14"/>
        <v>55.223577389640646</v>
      </c>
      <c r="W23">
        <f t="shared" si="15"/>
        <v>1.9972734894617119</v>
      </c>
      <c r="X23">
        <f t="shared" si="16"/>
        <v>3.6167042844210582</v>
      </c>
      <c r="Y23">
        <f t="shared" si="17"/>
        <v>1.5890152202510492</v>
      </c>
      <c r="Z23">
        <f t="shared" si="18"/>
        <v>-317.64883548098481</v>
      </c>
      <c r="AA23">
        <f t="shared" si="19"/>
        <v>26.231535390810439</v>
      </c>
      <c r="AB23">
        <f t="shared" si="20"/>
        <v>1.6761013217900074</v>
      </c>
      <c r="AC23">
        <f t="shared" si="21"/>
        <v>31.69928812089454</v>
      </c>
      <c r="AD23">
        <v>-4.1155128781047497E-2</v>
      </c>
      <c r="AE23">
        <v>4.6200237444024898E-2</v>
      </c>
      <c r="AF23">
        <v>3.45331994540983</v>
      </c>
      <c r="AG23">
        <v>163</v>
      </c>
      <c r="AH23">
        <v>33</v>
      </c>
      <c r="AI23">
        <f t="shared" si="22"/>
        <v>1</v>
      </c>
      <c r="AJ23">
        <f t="shared" si="23"/>
        <v>0</v>
      </c>
      <c r="AK23">
        <f t="shared" si="24"/>
        <v>52446.645235674048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271.786807692308</v>
      </c>
      <c r="AT23">
        <v>381.233</v>
      </c>
      <c r="AU23">
        <f t="shared" si="27"/>
        <v>0.2870847809809014</v>
      </c>
      <c r="AV23">
        <v>0.5</v>
      </c>
      <c r="AW23">
        <f t="shared" si="28"/>
        <v>1681.1978416122129</v>
      </c>
      <c r="AX23">
        <f t="shared" si="29"/>
        <v>30.891528631561659</v>
      </c>
      <c r="AY23">
        <f t="shared" si="30"/>
        <v>241.32315707240315</v>
      </c>
      <c r="AZ23">
        <f t="shared" si="31"/>
        <v>0.50277127111241682</v>
      </c>
      <c r="BA23">
        <f t="shared" si="32"/>
        <v>1.8969527465594854E-2</v>
      </c>
      <c r="BB23">
        <f t="shared" si="33"/>
        <v>-1</v>
      </c>
      <c r="BC23" t="s">
        <v>317</v>
      </c>
      <c r="BD23">
        <v>189.56</v>
      </c>
      <c r="BE23">
        <f t="shared" si="34"/>
        <v>191.673</v>
      </c>
      <c r="BF23">
        <f t="shared" si="35"/>
        <v>0.57100474405728507</v>
      </c>
      <c r="BG23">
        <f t="shared" si="36"/>
        <v>2.0111468664275165</v>
      </c>
      <c r="BH23">
        <f t="shared" si="37"/>
        <v>0.28708478098090146</v>
      </c>
      <c r="BI23" t="e">
        <f t="shared" si="38"/>
        <v>#DIV/0!</v>
      </c>
      <c r="BJ23">
        <v>4691</v>
      </c>
      <c r="BK23">
        <v>300</v>
      </c>
      <c r="BL23">
        <v>300</v>
      </c>
      <c r="BM23">
        <v>300</v>
      </c>
      <c r="BN23">
        <v>9873.02</v>
      </c>
      <c r="BO23">
        <v>349.86799999999999</v>
      </c>
      <c r="BP23">
        <v>-6.5665799999999998E-3</v>
      </c>
      <c r="BQ23">
        <v>0.62731899999999996</v>
      </c>
      <c r="BR23">
        <f t="shared" si="39"/>
        <v>2000.0006451612901</v>
      </c>
      <c r="BS23">
        <f t="shared" si="40"/>
        <v>1681.1978416122129</v>
      </c>
      <c r="BT23">
        <f t="shared" si="41"/>
        <v>0.84059864964525177</v>
      </c>
      <c r="BU23">
        <f t="shared" si="42"/>
        <v>0.19119729929050361</v>
      </c>
      <c r="BV23">
        <v>0.5</v>
      </c>
      <c r="BW23" t="s">
        <v>281</v>
      </c>
      <c r="BX23">
        <v>1594059812.53548</v>
      </c>
      <c r="BY23">
        <v>386.506741935484</v>
      </c>
      <c r="BZ23">
        <v>399.97545161290299</v>
      </c>
      <c r="CA23">
        <v>20.0985451612903</v>
      </c>
      <c r="CB23">
        <v>17.275596774193598</v>
      </c>
      <c r="CC23">
        <v>500.05541935483899</v>
      </c>
      <c r="CD23">
        <v>99.174051612903199</v>
      </c>
      <c r="CE23">
        <v>0.19998135483870999</v>
      </c>
      <c r="CF23">
        <v>27.177790322580599</v>
      </c>
      <c r="CG23">
        <v>27.033883870967699</v>
      </c>
      <c r="CH23">
        <v>999.9</v>
      </c>
      <c r="CI23">
        <v>10007.415483871</v>
      </c>
      <c r="CJ23">
        <v>0</v>
      </c>
      <c r="CK23">
        <v>115.782758064516</v>
      </c>
      <c r="CL23">
        <v>2000.0006451612901</v>
      </c>
      <c r="CM23">
        <v>0.97999599999999998</v>
      </c>
      <c r="CN23">
        <v>2.0004399999999999E-2</v>
      </c>
      <c r="CO23">
        <v>0</v>
      </c>
      <c r="CP23">
        <v>271.79303225806399</v>
      </c>
      <c r="CQ23">
        <v>5.00054</v>
      </c>
      <c r="CR23">
        <v>6390.7745161290304</v>
      </c>
      <c r="CS23">
        <v>18703.606451612901</v>
      </c>
      <c r="CT23">
        <v>48.473516129032198</v>
      </c>
      <c r="CU23">
        <v>50.183</v>
      </c>
      <c r="CV23">
        <v>48.908999999999999</v>
      </c>
      <c r="CW23">
        <v>49.3020322580645</v>
      </c>
      <c r="CX23">
        <v>49.878999999999998</v>
      </c>
      <c r="CY23">
        <v>1955.09064516129</v>
      </c>
      <c r="CZ23">
        <v>39.909999999999997</v>
      </c>
      <c r="DA23">
        <v>0</v>
      </c>
      <c r="DB23">
        <v>141.200000047684</v>
      </c>
      <c r="DC23">
        <v>271.786807692308</v>
      </c>
      <c r="DD23">
        <v>1.8371623907847601</v>
      </c>
      <c r="DE23">
        <v>-526.66153873651695</v>
      </c>
      <c r="DF23">
        <v>6387.0903846153897</v>
      </c>
      <c r="DG23">
        <v>15</v>
      </c>
      <c r="DH23">
        <v>1594059848</v>
      </c>
      <c r="DI23" t="s">
        <v>318</v>
      </c>
      <c r="DJ23">
        <v>78</v>
      </c>
      <c r="DK23">
        <v>-0.435</v>
      </c>
      <c r="DL23">
        <v>0.114</v>
      </c>
      <c r="DM23">
        <v>400</v>
      </c>
      <c r="DN23">
        <v>17</v>
      </c>
      <c r="DO23">
        <v>0.3</v>
      </c>
      <c r="DP23">
        <v>0.03</v>
      </c>
      <c r="DQ23">
        <v>386.62124074074097</v>
      </c>
      <c r="DR23">
        <v>-0.27804249824013599</v>
      </c>
      <c r="DS23">
        <v>3.88844133227082E-2</v>
      </c>
      <c r="DT23">
        <v>1</v>
      </c>
      <c r="DU23">
        <v>20.080524074074098</v>
      </c>
      <c r="DV23">
        <v>0.144926354789604</v>
      </c>
      <c r="DW23">
        <v>2.02592177025777E-2</v>
      </c>
      <c r="DX23">
        <v>1</v>
      </c>
      <c r="DY23">
        <v>2</v>
      </c>
      <c r="DZ23">
        <v>2</v>
      </c>
      <c r="EA23" t="s">
        <v>293</v>
      </c>
      <c r="EB23">
        <v>1.8666100000000001</v>
      </c>
      <c r="EC23">
        <v>1.8631</v>
      </c>
      <c r="ED23">
        <v>1.8687400000000001</v>
      </c>
      <c r="EE23">
        <v>1.8667199999999999</v>
      </c>
      <c r="EF23">
        <v>1.8713500000000001</v>
      </c>
      <c r="EG23">
        <v>1.86381</v>
      </c>
      <c r="EH23">
        <v>1.8652599999999999</v>
      </c>
      <c r="EI23">
        <v>1.8652299999999999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-0.435</v>
      </c>
      <c r="EX23">
        <v>0.114</v>
      </c>
      <c r="EY23">
        <v>2</v>
      </c>
      <c r="EZ23">
        <v>322.44400000000002</v>
      </c>
      <c r="FA23">
        <v>435.35599999999999</v>
      </c>
      <c r="FB23">
        <v>21.891300000000001</v>
      </c>
      <c r="FC23">
        <v>38.228700000000003</v>
      </c>
      <c r="FD23">
        <v>30.0001</v>
      </c>
      <c r="FE23">
        <v>38.2164</v>
      </c>
      <c r="FF23">
        <v>38.2149</v>
      </c>
      <c r="FG23">
        <v>22.2301</v>
      </c>
      <c r="FH23">
        <v>51.157299999999999</v>
      </c>
      <c r="FI23">
        <v>0</v>
      </c>
      <c r="FJ23">
        <v>21.8748</v>
      </c>
      <c r="FK23">
        <v>400</v>
      </c>
      <c r="FL23">
        <v>17.238199999999999</v>
      </c>
      <c r="FM23">
        <v>99.853499999999997</v>
      </c>
      <c r="FN23">
        <v>100.375</v>
      </c>
    </row>
    <row r="24" spans="1:170" x14ac:dyDescent="0.25">
      <c r="A24">
        <v>8</v>
      </c>
      <c r="B24">
        <v>1594059939.5999999</v>
      </c>
      <c r="C24">
        <v>897.59999990463302</v>
      </c>
      <c r="D24" t="s">
        <v>319</v>
      </c>
      <c r="E24" t="s">
        <v>320</v>
      </c>
      <c r="G24">
        <v>1594059931.5580599</v>
      </c>
      <c r="H24">
        <f t="shared" si="0"/>
        <v>7.2480655972636246E-3</v>
      </c>
      <c r="I24">
        <f t="shared" si="1"/>
        <v>36.745986216311614</v>
      </c>
      <c r="J24">
        <f t="shared" si="2"/>
        <v>483.88754838709701</v>
      </c>
      <c r="K24">
        <f t="shared" si="3"/>
        <v>339.85196177235628</v>
      </c>
      <c r="L24">
        <f t="shared" si="4"/>
        <v>33.773346617456511</v>
      </c>
      <c r="M24">
        <f t="shared" si="5"/>
        <v>48.087119492620197</v>
      </c>
      <c r="N24">
        <f t="shared" si="6"/>
        <v>0.47044375688687945</v>
      </c>
      <c r="O24">
        <f t="shared" si="7"/>
        <v>3.3776523544467181</v>
      </c>
      <c r="P24">
        <f t="shared" si="8"/>
        <v>0.43683886998756927</v>
      </c>
      <c r="Q24">
        <f t="shared" si="9"/>
        <v>0.27584325618730293</v>
      </c>
      <c r="R24">
        <f t="shared" si="10"/>
        <v>321.44241278008656</v>
      </c>
      <c r="S24">
        <f t="shared" si="11"/>
        <v>27.096040280527252</v>
      </c>
      <c r="T24">
        <f t="shared" si="12"/>
        <v>27.001535483870999</v>
      </c>
      <c r="U24">
        <f t="shared" si="13"/>
        <v>3.57948248401213</v>
      </c>
      <c r="V24">
        <f t="shared" si="14"/>
        <v>54.947835519342938</v>
      </c>
      <c r="W24">
        <f t="shared" si="15"/>
        <v>1.976711678337508</v>
      </c>
      <c r="X24">
        <f t="shared" si="16"/>
        <v>3.5974332012434935</v>
      </c>
      <c r="Y24">
        <f t="shared" si="17"/>
        <v>1.6027708056746219</v>
      </c>
      <c r="Z24">
        <f t="shared" si="18"/>
        <v>-319.63969283932585</v>
      </c>
      <c r="AA24">
        <f t="shared" si="19"/>
        <v>15.514578666045832</v>
      </c>
      <c r="AB24">
        <f t="shared" si="20"/>
        <v>0.99172596227765586</v>
      </c>
      <c r="AC24">
        <f t="shared" si="21"/>
        <v>18.309024569084198</v>
      </c>
      <c r="AD24">
        <v>-4.1101831586375301E-2</v>
      </c>
      <c r="AE24">
        <v>4.61404066739146E-2</v>
      </c>
      <c r="AF24">
        <v>3.4497788674443899</v>
      </c>
      <c r="AG24">
        <v>162</v>
      </c>
      <c r="AH24">
        <v>32</v>
      </c>
      <c r="AI24">
        <f t="shared" si="22"/>
        <v>1</v>
      </c>
      <c r="AJ24">
        <f t="shared" si="23"/>
        <v>0</v>
      </c>
      <c r="AK24">
        <f t="shared" si="24"/>
        <v>52397.451109928596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284.488615384615</v>
      </c>
      <c r="AT24">
        <v>408.71499999999997</v>
      </c>
      <c r="AU24">
        <f t="shared" si="27"/>
        <v>0.30394378629456953</v>
      </c>
      <c r="AV24">
        <v>0.5</v>
      </c>
      <c r="AW24">
        <f t="shared" si="28"/>
        <v>1681.2076351605945</v>
      </c>
      <c r="AX24">
        <f t="shared" si="29"/>
        <v>36.745986216311614</v>
      </c>
      <c r="AY24">
        <f t="shared" si="30"/>
        <v>255.49630708902518</v>
      </c>
      <c r="AZ24">
        <f t="shared" si="31"/>
        <v>0.53733041361339806</v>
      </c>
      <c r="BA24">
        <f t="shared" si="32"/>
        <v>2.2451709965441595E-2</v>
      </c>
      <c r="BB24">
        <f t="shared" si="33"/>
        <v>-1</v>
      </c>
      <c r="BC24" t="s">
        <v>322</v>
      </c>
      <c r="BD24">
        <v>189.1</v>
      </c>
      <c r="BE24">
        <f t="shared" si="34"/>
        <v>219.61499999999998</v>
      </c>
      <c r="BF24">
        <f t="shared" si="35"/>
        <v>0.56565528135776233</v>
      </c>
      <c r="BG24">
        <f t="shared" si="36"/>
        <v>2.1613696456901108</v>
      </c>
      <c r="BH24">
        <f t="shared" si="37"/>
        <v>0.30394378629456953</v>
      </c>
      <c r="BI24" t="e">
        <f t="shared" si="38"/>
        <v>#DIV/0!</v>
      </c>
      <c r="BJ24">
        <v>4693</v>
      </c>
      <c r="BK24">
        <v>300</v>
      </c>
      <c r="BL24">
        <v>300</v>
      </c>
      <c r="BM24">
        <v>300</v>
      </c>
      <c r="BN24">
        <v>9873.35</v>
      </c>
      <c r="BO24">
        <v>372.54700000000003</v>
      </c>
      <c r="BP24">
        <v>-6.5668499999999999E-3</v>
      </c>
      <c r="BQ24">
        <v>0.51095599999999997</v>
      </c>
      <c r="BR24">
        <f t="shared" si="39"/>
        <v>2000.01225806452</v>
      </c>
      <c r="BS24">
        <f t="shared" si="40"/>
        <v>1681.2076351605945</v>
      </c>
      <c r="BT24">
        <f t="shared" si="41"/>
        <v>0.84059866552395857</v>
      </c>
      <c r="BU24">
        <f t="shared" si="42"/>
        <v>0.19119733104791742</v>
      </c>
      <c r="BV24">
        <v>0.5</v>
      </c>
      <c r="BW24" t="s">
        <v>281</v>
      </c>
      <c r="BX24">
        <v>1594059931.5580599</v>
      </c>
      <c r="BY24">
        <v>483.88754838709701</v>
      </c>
      <c r="BZ24">
        <v>499.98535483871001</v>
      </c>
      <c r="CA24">
        <v>19.891109677419401</v>
      </c>
      <c r="CB24">
        <v>17.0501677419355</v>
      </c>
      <c r="CC24">
        <v>500.10832258064499</v>
      </c>
      <c r="CD24">
        <v>99.176654838709695</v>
      </c>
      <c r="CE24">
        <v>0.19998680645161299</v>
      </c>
      <c r="CF24">
        <v>27.086735483870999</v>
      </c>
      <c r="CG24">
        <v>27.001535483870999</v>
      </c>
      <c r="CH24">
        <v>999.9</v>
      </c>
      <c r="CI24">
        <v>9994.1932258064498</v>
      </c>
      <c r="CJ24">
        <v>0</v>
      </c>
      <c r="CK24">
        <v>77.668058064516103</v>
      </c>
      <c r="CL24">
        <v>2000.01225806452</v>
      </c>
      <c r="CM24">
        <v>0.97999493548387095</v>
      </c>
      <c r="CN24">
        <v>2.0005322580645201E-2</v>
      </c>
      <c r="CO24">
        <v>0</v>
      </c>
      <c r="CP24">
        <v>284.46300000000002</v>
      </c>
      <c r="CQ24">
        <v>5.00054</v>
      </c>
      <c r="CR24">
        <v>6553.0603225806499</v>
      </c>
      <c r="CS24">
        <v>18703.722580645201</v>
      </c>
      <c r="CT24">
        <v>48.404935483871</v>
      </c>
      <c r="CU24">
        <v>50.024000000000001</v>
      </c>
      <c r="CV24">
        <v>48.820129032258002</v>
      </c>
      <c r="CW24">
        <v>49.174999999999997</v>
      </c>
      <c r="CX24">
        <v>49.816129032257997</v>
      </c>
      <c r="CY24">
        <v>1955.1009677419399</v>
      </c>
      <c r="CZ24">
        <v>39.911290322580697</v>
      </c>
      <c r="DA24">
        <v>0</v>
      </c>
      <c r="DB24">
        <v>118.5</v>
      </c>
      <c r="DC24">
        <v>284.488615384615</v>
      </c>
      <c r="DD24">
        <v>-0.217025644659465</v>
      </c>
      <c r="DE24">
        <v>-7.6810256374410004</v>
      </c>
      <c r="DF24">
        <v>6552.9619230769204</v>
      </c>
      <c r="DG24">
        <v>15</v>
      </c>
      <c r="DH24">
        <v>1594059966.0999999</v>
      </c>
      <c r="DI24" t="s">
        <v>323</v>
      </c>
      <c r="DJ24">
        <v>79</v>
      </c>
      <c r="DK24">
        <v>-0.373</v>
      </c>
      <c r="DL24">
        <v>0.112</v>
      </c>
      <c r="DM24">
        <v>500</v>
      </c>
      <c r="DN24">
        <v>17</v>
      </c>
      <c r="DO24">
        <v>0.44</v>
      </c>
      <c r="DP24">
        <v>0.03</v>
      </c>
      <c r="DQ24">
        <v>483.80950000000001</v>
      </c>
      <c r="DR24">
        <v>0.107980504382864</v>
      </c>
      <c r="DS24">
        <v>2.5554408186805402E-2</v>
      </c>
      <c r="DT24">
        <v>1</v>
      </c>
      <c r="DU24">
        <v>19.8925759259259</v>
      </c>
      <c r="DV24">
        <v>2.15972854560566E-2</v>
      </c>
      <c r="DW24">
        <v>1.34180080100391E-2</v>
      </c>
      <c r="DX24">
        <v>1</v>
      </c>
      <c r="DY24">
        <v>2</v>
      </c>
      <c r="DZ24">
        <v>2</v>
      </c>
      <c r="EA24" t="s">
        <v>293</v>
      </c>
      <c r="EB24">
        <v>1.86663</v>
      </c>
      <c r="EC24">
        <v>1.86313</v>
      </c>
      <c r="ED24">
        <v>1.86876</v>
      </c>
      <c r="EE24">
        <v>1.86676</v>
      </c>
      <c r="EF24">
        <v>1.8714299999999999</v>
      </c>
      <c r="EG24">
        <v>1.8638600000000001</v>
      </c>
      <c r="EH24">
        <v>1.8653500000000001</v>
      </c>
      <c r="EI24">
        <v>1.8652500000000001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-0.373</v>
      </c>
      <c r="EX24">
        <v>0.112</v>
      </c>
      <c r="EY24">
        <v>2</v>
      </c>
      <c r="EZ24">
        <v>324.07900000000001</v>
      </c>
      <c r="FA24">
        <v>433.827</v>
      </c>
      <c r="FB24">
        <v>22.283300000000001</v>
      </c>
      <c r="FC24">
        <v>38.1357</v>
      </c>
      <c r="FD24">
        <v>29.9999</v>
      </c>
      <c r="FE24">
        <v>38.149700000000003</v>
      </c>
      <c r="FF24">
        <v>38.149000000000001</v>
      </c>
      <c r="FG24">
        <v>26.5808</v>
      </c>
      <c r="FH24">
        <v>51.346400000000003</v>
      </c>
      <c r="FI24">
        <v>0</v>
      </c>
      <c r="FJ24">
        <v>22.274999999999999</v>
      </c>
      <c r="FK24">
        <v>500</v>
      </c>
      <c r="FL24">
        <v>17.049499999999998</v>
      </c>
      <c r="FM24">
        <v>99.867400000000004</v>
      </c>
      <c r="FN24">
        <v>100.393</v>
      </c>
    </row>
    <row r="25" spans="1:170" x14ac:dyDescent="0.25">
      <c r="A25">
        <v>9</v>
      </c>
      <c r="B25">
        <v>1594060063.5999999</v>
      </c>
      <c r="C25">
        <v>1021.59999990463</v>
      </c>
      <c r="D25" t="s">
        <v>324</v>
      </c>
      <c r="E25" t="s">
        <v>325</v>
      </c>
      <c r="G25">
        <v>1594060055.5999999</v>
      </c>
      <c r="H25">
        <f t="shared" si="0"/>
        <v>6.9911774107954587E-3</v>
      </c>
      <c r="I25">
        <f t="shared" si="1"/>
        <v>39.445768791370959</v>
      </c>
      <c r="J25">
        <f t="shared" si="2"/>
        <v>582.54909677419403</v>
      </c>
      <c r="K25">
        <f t="shared" si="3"/>
        <v>421.10000146323569</v>
      </c>
      <c r="L25">
        <f t="shared" si="4"/>
        <v>41.850958008158926</v>
      </c>
      <c r="M25">
        <f t="shared" si="5"/>
        <v>57.896551180411784</v>
      </c>
      <c r="N25">
        <f t="shared" si="6"/>
        <v>0.45265594926790342</v>
      </c>
      <c r="O25">
        <f t="shared" si="7"/>
        <v>3.382140093645861</v>
      </c>
      <c r="P25">
        <f t="shared" si="8"/>
        <v>0.42149227881059631</v>
      </c>
      <c r="Q25">
        <f t="shared" si="9"/>
        <v>0.2660536013572623</v>
      </c>
      <c r="R25">
        <f t="shared" si="10"/>
        <v>321.43875456546795</v>
      </c>
      <c r="S25">
        <f t="shared" si="11"/>
        <v>26.979879065465646</v>
      </c>
      <c r="T25">
        <f t="shared" si="12"/>
        <v>26.9857612903226</v>
      </c>
      <c r="U25">
        <f t="shared" si="13"/>
        <v>3.57616762449112</v>
      </c>
      <c r="V25">
        <f t="shared" si="14"/>
        <v>55.430149475530285</v>
      </c>
      <c r="W25">
        <f t="shared" si="15"/>
        <v>1.9737256176700064</v>
      </c>
      <c r="X25">
        <f t="shared" si="16"/>
        <v>3.5607438124288482</v>
      </c>
      <c r="Y25">
        <f t="shared" si="17"/>
        <v>1.6024420068211136</v>
      </c>
      <c r="Z25">
        <f t="shared" si="18"/>
        <v>-308.31092381607971</v>
      </c>
      <c r="AA25">
        <f t="shared" si="19"/>
        <v>-13.413602087420468</v>
      </c>
      <c r="AB25">
        <f t="shared" si="20"/>
        <v>-0.85547476770217745</v>
      </c>
      <c r="AC25">
        <f t="shared" si="21"/>
        <v>-1.1412461057343926</v>
      </c>
      <c r="AD25">
        <v>-4.1171214292993502E-2</v>
      </c>
      <c r="AE25">
        <v>4.6218294840352503E-2</v>
      </c>
      <c r="AF25">
        <v>3.4543883611371302</v>
      </c>
      <c r="AG25">
        <v>162</v>
      </c>
      <c r="AH25">
        <v>32</v>
      </c>
      <c r="AI25">
        <f t="shared" si="22"/>
        <v>1</v>
      </c>
      <c r="AJ25">
        <f t="shared" si="23"/>
        <v>0</v>
      </c>
      <c r="AK25">
        <f t="shared" si="24"/>
        <v>52512.999405266215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288.465653846154</v>
      </c>
      <c r="AT25">
        <v>412.322</v>
      </c>
      <c r="AU25">
        <f t="shared" si="27"/>
        <v>0.30038743058543083</v>
      </c>
      <c r="AV25">
        <v>0.5</v>
      </c>
      <c r="AW25">
        <f t="shared" si="28"/>
        <v>1681.1886383864066</v>
      </c>
      <c r="AX25">
        <f t="shared" si="29"/>
        <v>39.445768791370959</v>
      </c>
      <c r="AY25">
        <f t="shared" si="30"/>
        <v>252.50396770715585</v>
      </c>
      <c r="AZ25">
        <f t="shared" si="31"/>
        <v>0.54006819912592585</v>
      </c>
      <c r="BA25">
        <f t="shared" si="32"/>
        <v>2.4057840903677848E-2</v>
      </c>
      <c r="BB25">
        <f t="shared" si="33"/>
        <v>-1</v>
      </c>
      <c r="BC25" t="s">
        <v>327</v>
      </c>
      <c r="BD25">
        <v>189.64</v>
      </c>
      <c r="BE25">
        <f t="shared" si="34"/>
        <v>222.68200000000002</v>
      </c>
      <c r="BF25">
        <f t="shared" si="35"/>
        <v>0.55620277415258523</v>
      </c>
      <c r="BG25">
        <f t="shared" si="36"/>
        <v>2.1742353933769247</v>
      </c>
      <c r="BH25">
        <f t="shared" si="37"/>
        <v>0.30038743058543083</v>
      </c>
      <c r="BI25" t="e">
        <f t="shared" si="38"/>
        <v>#DIV/0!</v>
      </c>
      <c r="BJ25">
        <v>4695</v>
      </c>
      <c r="BK25">
        <v>300</v>
      </c>
      <c r="BL25">
        <v>300</v>
      </c>
      <c r="BM25">
        <v>300</v>
      </c>
      <c r="BN25">
        <v>9873.85</v>
      </c>
      <c r="BO25">
        <v>376.93599999999998</v>
      </c>
      <c r="BP25">
        <v>-6.5673399999999996E-3</v>
      </c>
      <c r="BQ25">
        <v>0.29153400000000002</v>
      </c>
      <c r="BR25">
        <f t="shared" si="39"/>
        <v>1999.9896774193601</v>
      </c>
      <c r="BS25">
        <f t="shared" si="40"/>
        <v>1681.1886383864066</v>
      </c>
      <c r="BT25">
        <f t="shared" si="41"/>
        <v>0.84059865776691867</v>
      </c>
      <c r="BU25">
        <f t="shared" si="42"/>
        <v>0.19119731553383723</v>
      </c>
      <c r="BV25">
        <v>0.5</v>
      </c>
      <c r="BW25" t="s">
        <v>281</v>
      </c>
      <c r="BX25">
        <v>1594060055.5999999</v>
      </c>
      <c r="BY25">
        <v>582.54909677419403</v>
      </c>
      <c r="BZ25">
        <v>599.95425806451601</v>
      </c>
      <c r="CA25">
        <v>19.859422580645202</v>
      </c>
      <c r="CB25">
        <v>17.118838709677402</v>
      </c>
      <c r="CC25">
        <v>500.06400000000002</v>
      </c>
      <c r="CD25">
        <v>99.184858064516106</v>
      </c>
      <c r="CE25">
        <v>0.19998606451612899</v>
      </c>
      <c r="CF25">
        <v>26.9121967741935</v>
      </c>
      <c r="CG25">
        <v>26.9857612903226</v>
      </c>
      <c r="CH25">
        <v>999.9</v>
      </c>
      <c r="CI25">
        <v>10010.236129032301</v>
      </c>
      <c r="CJ25">
        <v>0</v>
      </c>
      <c r="CK25">
        <v>72.682906451612894</v>
      </c>
      <c r="CL25">
        <v>1999.9896774193601</v>
      </c>
      <c r="CM25">
        <v>0.97999387096774204</v>
      </c>
      <c r="CN25">
        <v>2.0006245161290299E-2</v>
      </c>
      <c r="CO25">
        <v>0</v>
      </c>
      <c r="CP25">
        <v>288.46135483871001</v>
      </c>
      <c r="CQ25">
        <v>5.00054</v>
      </c>
      <c r="CR25">
        <v>6616.7390322580604</v>
      </c>
      <c r="CS25">
        <v>18703.512903225801</v>
      </c>
      <c r="CT25">
        <v>48.28</v>
      </c>
      <c r="CU25">
        <v>49.820193548387103</v>
      </c>
      <c r="CV25">
        <v>48.687129032257999</v>
      </c>
      <c r="CW25">
        <v>48.967483870967698</v>
      </c>
      <c r="CX25">
        <v>49.679064516129003</v>
      </c>
      <c r="CY25">
        <v>1955.0793548387101</v>
      </c>
      <c r="CZ25">
        <v>39.9103225806452</v>
      </c>
      <c r="DA25">
        <v>0</v>
      </c>
      <c r="DB25">
        <v>123.200000047684</v>
      </c>
      <c r="DC25">
        <v>288.465653846154</v>
      </c>
      <c r="DD25">
        <v>-3.6008546932413799</v>
      </c>
      <c r="DE25">
        <v>-85.932991533190005</v>
      </c>
      <c r="DF25">
        <v>6616.2153846153897</v>
      </c>
      <c r="DG25">
        <v>15</v>
      </c>
      <c r="DH25">
        <v>1594060088.5999999</v>
      </c>
      <c r="DI25" t="s">
        <v>328</v>
      </c>
      <c r="DJ25">
        <v>80</v>
      </c>
      <c r="DK25">
        <v>-0.23899999999999999</v>
      </c>
      <c r="DL25">
        <v>0.109</v>
      </c>
      <c r="DM25">
        <v>600</v>
      </c>
      <c r="DN25">
        <v>17</v>
      </c>
      <c r="DO25">
        <v>0.6</v>
      </c>
      <c r="DP25">
        <v>0.04</v>
      </c>
      <c r="DQ25">
        <v>582.38270370370401</v>
      </c>
      <c r="DR25">
        <v>0.27102115494555601</v>
      </c>
      <c r="DS25">
        <v>5.0482351015585097E-2</v>
      </c>
      <c r="DT25">
        <v>1</v>
      </c>
      <c r="DU25">
        <v>19.8535166666667</v>
      </c>
      <c r="DV25">
        <v>7.28658662092595E-2</v>
      </c>
      <c r="DW25">
        <v>1.20394682729884E-2</v>
      </c>
      <c r="DX25">
        <v>1</v>
      </c>
      <c r="DY25">
        <v>2</v>
      </c>
      <c r="DZ25">
        <v>2</v>
      </c>
      <c r="EA25" t="s">
        <v>293</v>
      </c>
      <c r="EB25">
        <v>1.8666799999999999</v>
      </c>
      <c r="EC25">
        <v>1.8631899999999999</v>
      </c>
      <c r="ED25">
        <v>1.86879</v>
      </c>
      <c r="EE25">
        <v>1.86676</v>
      </c>
      <c r="EF25">
        <v>1.8714299999999999</v>
      </c>
      <c r="EG25">
        <v>1.8638600000000001</v>
      </c>
      <c r="EH25">
        <v>1.8653500000000001</v>
      </c>
      <c r="EI25">
        <v>1.8652500000000001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-0.23899999999999999</v>
      </c>
      <c r="EX25">
        <v>0.109</v>
      </c>
      <c r="EY25">
        <v>2</v>
      </c>
      <c r="EZ25">
        <v>323.91300000000001</v>
      </c>
      <c r="FA25">
        <v>435.41399999999999</v>
      </c>
      <c r="FB25">
        <v>22.1281</v>
      </c>
      <c r="FC25">
        <v>37.9557</v>
      </c>
      <c r="FD25">
        <v>29.9999</v>
      </c>
      <c r="FE25">
        <v>38.011400000000002</v>
      </c>
      <c r="FF25">
        <v>38.014800000000001</v>
      </c>
      <c r="FG25">
        <v>30.799700000000001</v>
      </c>
      <c r="FH25">
        <v>51.162599999999998</v>
      </c>
      <c r="FI25">
        <v>0</v>
      </c>
      <c r="FJ25">
        <v>22.100899999999999</v>
      </c>
      <c r="FK25">
        <v>600</v>
      </c>
      <c r="FL25">
        <v>17.059999999999999</v>
      </c>
      <c r="FM25">
        <v>99.9054</v>
      </c>
      <c r="FN25">
        <v>100.441</v>
      </c>
    </row>
    <row r="26" spans="1:170" x14ac:dyDescent="0.25">
      <c r="A26">
        <v>10</v>
      </c>
      <c r="B26">
        <v>1594060210.0999999</v>
      </c>
      <c r="C26">
        <v>1168.0999999046301</v>
      </c>
      <c r="D26" t="s">
        <v>329</v>
      </c>
      <c r="E26" t="s">
        <v>330</v>
      </c>
      <c r="G26">
        <v>1594060202.0999999</v>
      </c>
      <c r="H26">
        <f t="shared" si="0"/>
        <v>6.2891444073477814E-3</v>
      </c>
      <c r="I26">
        <f t="shared" si="1"/>
        <v>40.722483566658504</v>
      </c>
      <c r="J26">
        <f t="shared" si="2"/>
        <v>682.01945161290303</v>
      </c>
      <c r="K26">
        <f t="shared" si="3"/>
        <v>491.94564442672174</v>
      </c>
      <c r="L26">
        <f t="shared" si="4"/>
        <v>48.890143431490749</v>
      </c>
      <c r="M26">
        <f t="shared" si="5"/>
        <v>67.779904528432681</v>
      </c>
      <c r="N26">
        <f t="shared" si="6"/>
        <v>0.39453226907235733</v>
      </c>
      <c r="O26">
        <f t="shared" si="7"/>
        <v>3.3811470102579064</v>
      </c>
      <c r="P26">
        <f t="shared" si="8"/>
        <v>0.3706247832118863</v>
      </c>
      <c r="Q26">
        <f t="shared" si="9"/>
        <v>0.23366765907016068</v>
      </c>
      <c r="R26">
        <f t="shared" si="10"/>
        <v>321.4405475769052</v>
      </c>
      <c r="S26">
        <f t="shared" si="11"/>
        <v>26.977589802604928</v>
      </c>
      <c r="T26">
        <f t="shared" si="12"/>
        <v>27.0107096774193</v>
      </c>
      <c r="U26">
        <f t="shared" si="13"/>
        <v>3.5814116233771958</v>
      </c>
      <c r="V26">
        <f t="shared" si="14"/>
        <v>55.057575355884289</v>
      </c>
      <c r="W26">
        <f t="shared" si="15"/>
        <v>1.9418712597573851</v>
      </c>
      <c r="X26">
        <f t="shared" si="16"/>
        <v>3.5269828851078295</v>
      </c>
      <c r="Y26">
        <f t="shared" si="17"/>
        <v>1.6395403636198107</v>
      </c>
      <c r="Z26">
        <f t="shared" si="18"/>
        <v>-277.35126836403714</v>
      </c>
      <c r="AA26">
        <f t="shared" si="19"/>
        <v>-47.487437635976811</v>
      </c>
      <c r="AB26">
        <f t="shared" si="20"/>
        <v>-3.0274044681337817</v>
      </c>
      <c r="AC26">
        <f t="shared" si="21"/>
        <v>-6.4255628912425422</v>
      </c>
      <c r="AD26">
        <v>-4.11558571678073E-2</v>
      </c>
      <c r="AE26">
        <v>4.6201055121972999E-2</v>
      </c>
      <c r="AF26">
        <v>3.4533683286851899</v>
      </c>
      <c r="AG26">
        <v>160</v>
      </c>
      <c r="AH26">
        <v>32</v>
      </c>
      <c r="AI26">
        <f t="shared" si="22"/>
        <v>1</v>
      </c>
      <c r="AJ26">
        <f t="shared" si="23"/>
        <v>0</v>
      </c>
      <c r="AK26">
        <f t="shared" si="24"/>
        <v>52522.507698311958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283.99373076923098</v>
      </c>
      <c r="AT26">
        <v>398.61799999999999</v>
      </c>
      <c r="AU26">
        <f t="shared" si="27"/>
        <v>0.28755417274375217</v>
      </c>
      <c r="AV26">
        <v>0.5</v>
      </c>
      <c r="AW26">
        <f t="shared" si="28"/>
        <v>1681.2034738704415</v>
      </c>
      <c r="AX26">
        <f t="shared" si="29"/>
        <v>40.722483566658504</v>
      </c>
      <c r="AY26">
        <f t="shared" si="30"/>
        <v>241.71853707136859</v>
      </c>
      <c r="AZ26">
        <f t="shared" si="31"/>
        <v>0.52541029256079752</v>
      </c>
      <c r="BA26">
        <f t="shared" si="32"/>
        <v>2.4817033877883695E-2</v>
      </c>
      <c r="BB26">
        <f t="shared" si="33"/>
        <v>-1</v>
      </c>
      <c r="BC26" t="s">
        <v>332</v>
      </c>
      <c r="BD26">
        <v>189.18</v>
      </c>
      <c r="BE26">
        <f t="shared" si="34"/>
        <v>209.43799999999999</v>
      </c>
      <c r="BF26">
        <f t="shared" si="35"/>
        <v>0.54729451785621053</v>
      </c>
      <c r="BG26">
        <f t="shared" si="36"/>
        <v>2.1070832011840572</v>
      </c>
      <c r="BH26">
        <f t="shared" si="37"/>
        <v>0.28755417274375222</v>
      </c>
      <c r="BI26" t="e">
        <f t="shared" si="38"/>
        <v>#DIV/0!</v>
      </c>
      <c r="BJ26">
        <v>4697</v>
      </c>
      <c r="BK26">
        <v>300</v>
      </c>
      <c r="BL26">
        <v>300</v>
      </c>
      <c r="BM26">
        <v>300</v>
      </c>
      <c r="BN26">
        <v>9874.69</v>
      </c>
      <c r="BO26">
        <v>368.85</v>
      </c>
      <c r="BP26">
        <v>-6.5679600000000003E-3</v>
      </c>
      <c r="BQ26">
        <v>1.4820599999999999</v>
      </c>
      <c r="BR26">
        <f t="shared" si="39"/>
        <v>2000.0080645161299</v>
      </c>
      <c r="BS26">
        <f t="shared" si="40"/>
        <v>1681.2034738704415</v>
      </c>
      <c r="BT26">
        <f t="shared" si="41"/>
        <v>0.8405983474257549</v>
      </c>
      <c r="BU26">
        <f t="shared" si="42"/>
        <v>0.19119669485150992</v>
      </c>
      <c r="BV26">
        <v>0.5</v>
      </c>
      <c r="BW26" t="s">
        <v>281</v>
      </c>
      <c r="BX26">
        <v>1594060202.0999999</v>
      </c>
      <c r="BY26">
        <v>682.01945161290303</v>
      </c>
      <c r="BZ26">
        <v>700.02177419354803</v>
      </c>
      <c r="CA26">
        <v>19.5396258064516</v>
      </c>
      <c r="CB26">
        <v>17.073451612903199</v>
      </c>
      <c r="CC26">
        <v>500.06661290322597</v>
      </c>
      <c r="CD26">
        <v>99.181225806451593</v>
      </c>
      <c r="CE26">
        <v>0.19996393548387101</v>
      </c>
      <c r="CF26">
        <v>26.750196774193501</v>
      </c>
      <c r="CG26">
        <v>27.0107096774193</v>
      </c>
      <c r="CH26">
        <v>999.9</v>
      </c>
      <c r="CI26">
        <v>10006.868709677399</v>
      </c>
      <c r="CJ26">
        <v>0</v>
      </c>
      <c r="CK26">
        <v>72.138293548387097</v>
      </c>
      <c r="CL26">
        <v>2000.0080645161299</v>
      </c>
      <c r="CM26">
        <v>0.980006516129032</v>
      </c>
      <c r="CN26">
        <v>1.9993519354838701E-2</v>
      </c>
      <c r="CO26">
        <v>0</v>
      </c>
      <c r="CP26">
        <v>284.06596774193503</v>
      </c>
      <c r="CQ26">
        <v>5.00054</v>
      </c>
      <c r="CR26">
        <v>6507.7032258064501</v>
      </c>
      <c r="CS26">
        <v>18703.7419354839</v>
      </c>
      <c r="CT26">
        <v>47.9916129032258</v>
      </c>
      <c r="CU26">
        <v>49.503935483870997</v>
      </c>
      <c r="CV26">
        <v>48.408999999999999</v>
      </c>
      <c r="CW26">
        <v>48.638870967741902</v>
      </c>
      <c r="CX26">
        <v>49.413129032258098</v>
      </c>
      <c r="CY26">
        <v>1955.1180645161301</v>
      </c>
      <c r="CZ26">
        <v>39.89</v>
      </c>
      <c r="DA26">
        <v>0</v>
      </c>
      <c r="DB26">
        <v>146</v>
      </c>
      <c r="DC26">
        <v>283.99373076923098</v>
      </c>
      <c r="DD26">
        <v>-5.02280341006262</v>
      </c>
      <c r="DE26">
        <v>-88.830085342133799</v>
      </c>
      <c r="DF26">
        <v>6506.5807692307699</v>
      </c>
      <c r="DG26">
        <v>15</v>
      </c>
      <c r="DH26">
        <v>1594060243.0999999</v>
      </c>
      <c r="DI26" t="s">
        <v>333</v>
      </c>
      <c r="DJ26">
        <v>81</v>
      </c>
      <c r="DK26">
        <v>-0.371</v>
      </c>
      <c r="DL26">
        <v>0.113</v>
      </c>
      <c r="DM26">
        <v>700</v>
      </c>
      <c r="DN26">
        <v>17</v>
      </c>
      <c r="DO26">
        <v>0.2</v>
      </c>
      <c r="DP26">
        <v>0.03</v>
      </c>
      <c r="DQ26">
        <v>682.11531481481495</v>
      </c>
      <c r="DR26">
        <v>0.326417381360882</v>
      </c>
      <c r="DS26">
        <v>4.74489292991137E-2</v>
      </c>
      <c r="DT26">
        <v>0</v>
      </c>
      <c r="DU26">
        <v>19.555079629629599</v>
      </c>
      <c r="DV26">
        <v>-0.18636157804456299</v>
      </c>
      <c r="DW26">
        <v>2.70328016088934E-2</v>
      </c>
      <c r="DX26">
        <v>1</v>
      </c>
      <c r="DY26">
        <v>1</v>
      </c>
      <c r="DZ26">
        <v>2</v>
      </c>
      <c r="EA26" t="s">
        <v>334</v>
      </c>
      <c r="EB26">
        <v>1.8666700000000001</v>
      </c>
      <c r="EC26">
        <v>1.8631800000000001</v>
      </c>
      <c r="ED26">
        <v>1.8688</v>
      </c>
      <c r="EE26">
        <v>1.86676</v>
      </c>
      <c r="EF26">
        <v>1.8714599999999999</v>
      </c>
      <c r="EG26">
        <v>1.8638600000000001</v>
      </c>
      <c r="EH26">
        <v>1.8653900000000001</v>
      </c>
      <c r="EI26">
        <v>1.86527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-0.371</v>
      </c>
      <c r="EX26">
        <v>0.113</v>
      </c>
      <c r="EY26">
        <v>2</v>
      </c>
      <c r="EZ26">
        <v>325.483</v>
      </c>
      <c r="FA26">
        <v>437.49</v>
      </c>
      <c r="FB26">
        <v>22.033000000000001</v>
      </c>
      <c r="FC26">
        <v>37.641500000000001</v>
      </c>
      <c r="FD26">
        <v>29.9998</v>
      </c>
      <c r="FE26">
        <v>37.753399999999999</v>
      </c>
      <c r="FF26">
        <v>37.763199999999998</v>
      </c>
      <c r="FG26">
        <v>34.885100000000001</v>
      </c>
      <c r="FH26">
        <v>50.837000000000003</v>
      </c>
      <c r="FI26">
        <v>0</v>
      </c>
      <c r="FJ26">
        <v>21.988700000000001</v>
      </c>
      <c r="FK26">
        <v>700</v>
      </c>
      <c r="FL26">
        <v>17.165099999999999</v>
      </c>
      <c r="FM26">
        <v>99.962000000000003</v>
      </c>
      <c r="FN26">
        <v>100.51300000000001</v>
      </c>
    </row>
    <row r="27" spans="1:170" x14ac:dyDescent="0.25">
      <c r="A27">
        <v>11</v>
      </c>
      <c r="B27">
        <v>1594060364.5999999</v>
      </c>
      <c r="C27">
        <v>1322.5999999046301</v>
      </c>
      <c r="D27" t="s">
        <v>335</v>
      </c>
      <c r="E27" t="s">
        <v>336</v>
      </c>
      <c r="G27">
        <v>1594060356.5999999</v>
      </c>
      <c r="H27">
        <f t="shared" si="0"/>
        <v>5.311888162047777E-3</v>
      </c>
      <c r="I27">
        <f t="shared" si="1"/>
        <v>41.218005393988072</v>
      </c>
      <c r="J27">
        <f t="shared" si="2"/>
        <v>781.79364516128999</v>
      </c>
      <c r="K27">
        <f t="shared" si="3"/>
        <v>552.40828679352558</v>
      </c>
      <c r="L27">
        <f t="shared" si="4"/>
        <v>54.899746891254466</v>
      </c>
      <c r="M27">
        <f t="shared" si="5"/>
        <v>77.696649863234938</v>
      </c>
      <c r="N27">
        <f t="shared" si="6"/>
        <v>0.32651681490076395</v>
      </c>
      <c r="O27">
        <f t="shared" si="7"/>
        <v>3.3797683324218228</v>
      </c>
      <c r="P27">
        <f t="shared" si="8"/>
        <v>0.30994974412987136</v>
      </c>
      <c r="Q27">
        <f t="shared" si="9"/>
        <v>0.19513700192795058</v>
      </c>
      <c r="R27">
        <f t="shared" si="10"/>
        <v>321.43900379050649</v>
      </c>
      <c r="S27">
        <f t="shared" si="11"/>
        <v>26.959030004091936</v>
      </c>
      <c r="T27">
        <f t="shared" si="12"/>
        <v>26.9848903225807</v>
      </c>
      <c r="U27">
        <f t="shared" si="13"/>
        <v>3.5759846735285925</v>
      </c>
      <c r="V27">
        <f t="shared" si="14"/>
        <v>55.212113187317222</v>
      </c>
      <c r="W27">
        <f t="shared" si="15"/>
        <v>1.9198699514983051</v>
      </c>
      <c r="X27">
        <f t="shared" si="16"/>
        <v>3.4772622177760053</v>
      </c>
      <c r="Y27">
        <f t="shared" si="17"/>
        <v>1.6561147220302874</v>
      </c>
      <c r="Z27">
        <f t="shared" si="18"/>
        <v>-234.25426794630695</v>
      </c>
      <c r="AA27">
        <f t="shared" si="19"/>
        <v>-86.687910399141614</v>
      </c>
      <c r="AB27">
        <f t="shared" si="20"/>
        <v>-5.5213803842869495</v>
      </c>
      <c r="AC27">
        <f t="shared" si="21"/>
        <v>-5.0245549392290201</v>
      </c>
      <c r="AD27">
        <v>-4.1134540529188302E-2</v>
      </c>
      <c r="AE27">
        <v>4.6177125327682998E-2</v>
      </c>
      <c r="AF27">
        <v>3.45195224388321</v>
      </c>
      <c r="AG27">
        <v>159</v>
      </c>
      <c r="AH27">
        <v>32</v>
      </c>
      <c r="AI27">
        <f t="shared" si="22"/>
        <v>1</v>
      </c>
      <c r="AJ27">
        <f t="shared" si="23"/>
        <v>0</v>
      </c>
      <c r="AK27">
        <f t="shared" si="24"/>
        <v>52538.700186364476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337</v>
      </c>
      <c r="AS27">
        <v>279.73761538461503</v>
      </c>
      <c r="AT27">
        <v>391.75299999999999</v>
      </c>
      <c r="AU27">
        <f t="shared" si="27"/>
        <v>0.28593369958975412</v>
      </c>
      <c r="AV27">
        <v>0.5</v>
      </c>
      <c r="AW27">
        <f t="shared" si="28"/>
        <v>1681.1953452242099</v>
      </c>
      <c r="AX27">
        <f t="shared" si="29"/>
        <v>41.218005393988072</v>
      </c>
      <c r="AY27">
        <f t="shared" si="30"/>
        <v>240.35520239651609</v>
      </c>
      <c r="AZ27">
        <f t="shared" si="31"/>
        <v>0.52061630670345849</v>
      </c>
      <c r="BA27">
        <f t="shared" si="32"/>
        <v>2.5111897623269791E-2</v>
      </c>
      <c r="BB27">
        <f t="shared" si="33"/>
        <v>-1</v>
      </c>
      <c r="BC27" t="s">
        <v>338</v>
      </c>
      <c r="BD27">
        <v>187.8</v>
      </c>
      <c r="BE27">
        <f t="shared" si="34"/>
        <v>203.95299999999997</v>
      </c>
      <c r="BF27">
        <f t="shared" si="35"/>
        <v>0.54922155896400138</v>
      </c>
      <c r="BG27">
        <f t="shared" si="36"/>
        <v>2.086011714589989</v>
      </c>
      <c r="BH27">
        <f t="shared" si="37"/>
        <v>0.28593369958975418</v>
      </c>
      <c r="BI27" t="e">
        <f t="shared" si="38"/>
        <v>#DIV/0!</v>
      </c>
      <c r="BJ27">
        <v>4699</v>
      </c>
      <c r="BK27">
        <v>300</v>
      </c>
      <c r="BL27">
        <v>300</v>
      </c>
      <c r="BM27">
        <v>300</v>
      </c>
      <c r="BN27">
        <v>9875.52</v>
      </c>
      <c r="BO27">
        <v>362.017</v>
      </c>
      <c r="BP27">
        <v>-6.5686900000000003E-3</v>
      </c>
      <c r="BQ27">
        <v>1.20407</v>
      </c>
      <c r="BR27">
        <f t="shared" si="39"/>
        <v>1999.9983870967701</v>
      </c>
      <c r="BS27">
        <f t="shared" si="40"/>
        <v>1681.1953452242099</v>
      </c>
      <c r="BT27">
        <f t="shared" si="41"/>
        <v>0.84059835051400222</v>
      </c>
      <c r="BU27">
        <f t="shared" si="42"/>
        <v>0.19119670102800476</v>
      </c>
      <c r="BV27">
        <v>0.5</v>
      </c>
      <c r="BW27" t="s">
        <v>281</v>
      </c>
      <c r="BX27">
        <v>1594060356.5999999</v>
      </c>
      <c r="BY27">
        <v>781.79364516128999</v>
      </c>
      <c r="BZ27">
        <v>799.940032258065</v>
      </c>
      <c r="CA27">
        <v>19.317977419354801</v>
      </c>
      <c r="CB27">
        <v>17.234490322580601</v>
      </c>
      <c r="CC27">
        <v>500.05332258064499</v>
      </c>
      <c r="CD27">
        <v>99.182587096774199</v>
      </c>
      <c r="CE27">
        <v>0.19996780645161299</v>
      </c>
      <c r="CF27">
        <v>26.509132258064501</v>
      </c>
      <c r="CG27">
        <v>26.9848903225807</v>
      </c>
      <c r="CH27">
        <v>999.9</v>
      </c>
      <c r="CI27">
        <v>10001.5483870968</v>
      </c>
      <c r="CJ27">
        <v>0</v>
      </c>
      <c r="CK27">
        <v>82.760383870967701</v>
      </c>
      <c r="CL27">
        <v>1999.9983870967701</v>
      </c>
      <c r="CM27">
        <v>0.98000458064516105</v>
      </c>
      <c r="CN27">
        <v>1.9995196774193501E-2</v>
      </c>
      <c r="CO27">
        <v>0</v>
      </c>
      <c r="CP27">
        <v>279.76596774193501</v>
      </c>
      <c r="CQ27">
        <v>5.00054</v>
      </c>
      <c r="CR27">
        <v>6430.7848387096801</v>
      </c>
      <c r="CS27">
        <v>18703.6451612903</v>
      </c>
      <c r="CT27">
        <v>47.715451612903202</v>
      </c>
      <c r="CU27">
        <v>49.235774193548401</v>
      </c>
      <c r="CV27">
        <v>48.144935483871002</v>
      </c>
      <c r="CW27">
        <v>48.324387096774203</v>
      </c>
      <c r="CX27">
        <v>49.161000000000001</v>
      </c>
      <c r="CY27">
        <v>1955.1077419354799</v>
      </c>
      <c r="CZ27">
        <v>39.89</v>
      </c>
      <c r="DA27">
        <v>0</v>
      </c>
      <c r="DB27">
        <v>153.700000047684</v>
      </c>
      <c r="DC27">
        <v>279.73761538461503</v>
      </c>
      <c r="DD27">
        <v>-3.4220854724449601</v>
      </c>
      <c r="DE27">
        <v>-63.2721368034181</v>
      </c>
      <c r="DF27">
        <v>6430.30884615385</v>
      </c>
      <c r="DG27">
        <v>15</v>
      </c>
      <c r="DH27">
        <v>1594060394.5999999</v>
      </c>
      <c r="DI27" t="s">
        <v>339</v>
      </c>
      <c r="DJ27">
        <v>82</v>
      </c>
      <c r="DK27">
        <v>-0.45200000000000001</v>
      </c>
      <c r="DL27">
        <v>0.115</v>
      </c>
      <c r="DM27">
        <v>800</v>
      </c>
      <c r="DN27">
        <v>17</v>
      </c>
      <c r="DO27">
        <v>0.17</v>
      </c>
      <c r="DP27">
        <v>0.04</v>
      </c>
      <c r="DQ27">
        <v>781.83985185185202</v>
      </c>
      <c r="DR27">
        <v>0.44117552887398198</v>
      </c>
      <c r="DS27">
        <v>6.18038736072965E-2</v>
      </c>
      <c r="DT27">
        <v>0</v>
      </c>
      <c r="DU27">
        <v>19.339929629629601</v>
      </c>
      <c r="DV27">
        <v>-0.24633687821612299</v>
      </c>
      <c r="DW27">
        <v>3.2215602555453998E-2</v>
      </c>
      <c r="DX27">
        <v>0</v>
      </c>
      <c r="DY27">
        <v>0</v>
      </c>
      <c r="DZ27">
        <v>2</v>
      </c>
      <c r="EA27" t="s">
        <v>283</v>
      </c>
      <c r="EB27">
        <v>1.86669</v>
      </c>
      <c r="EC27">
        <v>1.8631899999999999</v>
      </c>
      <c r="ED27">
        <v>1.8688100000000001</v>
      </c>
      <c r="EE27">
        <v>1.86676</v>
      </c>
      <c r="EF27">
        <v>1.8714599999999999</v>
      </c>
      <c r="EG27">
        <v>1.8638600000000001</v>
      </c>
      <c r="EH27">
        <v>1.8653900000000001</v>
      </c>
      <c r="EI27">
        <v>1.8652599999999999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-0.45200000000000001</v>
      </c>
      <c r="EX27">
        <v>0.115</v>
      </c>
      <c r="EY27">
        <v>2</v>
      </c>
      <c r="EZ27">
        <v>326.95499999999998</v>
      </c>
      <c r="FA27">
        <v>438.18900000000002</v>
      </c>
      <c r="FB27">
        <v>21.797799999999999</v>
      </c>
      <c r="FC27">
        <v>37.311700000000002</v>
      </c>
      <c r="FD27">
        <v>29.999199999999998</v>
      </c>
      <c r="FE27">
        <v>37.451099999999997</v>
      </c>
      <c r="FF27">
        <v>37.466700000000003</v>
      </c>
      <c r="FG27">
        <v>38.876100000000001</v>
      </c>
      <c r="FH27">
        <v>50.617699999999999</v>
      </c>
      <c r="FI27">
        <v>0</v>
      </c>
      <c r="FJ27">
        <v>21.812899999999999</v>
      </c>
      <c r="FK27">
        <v>800</v>
      </c>
      <c r="FL27">
        <v>17.2225</v>
      </c>
      <c r="FM27">
        <v>100.02</v>
      </c>
      <c r="FN27">
        <v>100.57599999999999</v>
      </c>
    </row>
    <row r="28" spans="1:170" x14ac:dyDescent="0.25">
      <c r="A28">
        <v>12</v>
      </c>
      <c r="B28">
        <v>1594060516.0999999</v>
      </c>
      <c r="C28">
        <v>1474.0999999046301</v>
      </c>
      <c r="D28" t="s">
        <v>340</v>
      </c>
      <c r="E28" t="s">
        <v>341</v>
      </c>
      <c r="G28">
        <v>1594060508.0999999</v>
      </c>
      <c r="H28">
        <f t="shared" si="0"/>
        <v>4.7439942513994556E-3</v>
      </c>
      <c r="I28">
        <f t="shared" si="1"/>
        <v>41.797460408850718</v>
      </c>
      <c r="J28">
        <f t="shared" si="2"/>
        <v>981.36545161290303</v>
      </c>
      <c r="K28">
        <f t="shared" si="3"/>
        <v>716.98951502533441</v>
      </c>
      <c r="L28">
        <f t="shared" si="4"/>
        <v>71.249522375680414</v>
      </c>
      <c r="M28">
        <f t="shared" si="5"/>
        <v>97.5213977863297</v>
      </c>
      <c r="N28">
        <f t="shared" si="6"/>
        <v>0.28857459516802697</v>
      </c>
      <c r="O28">
        <f t="shared" si="7"/>
        <v>3.3775043518333923</v>
      </c>
      <c r="P28">
        <f t="shared" si="8"/>
        <v>0.27554329422569596</v>
      </c>
      <c r="Q28">
        <f t="shared" si="9"/>
        <v>0.17333632591389661</v>
      </c>
      <c r="R28">
        <f t="shared" si="10"/>
        <v>321.44015382771602</v>
      </c>
      <c r="S28">
        <f t="shared" si="11"/>
        <v>26.952253933305371</v>
      </c>
      <c r="T28">
        <f t="shared" si="12"/>
        <v>26.960332258064501</v>
      </c>
      <c r="U28">
        <f t="shared" si="13"/>
        <v>3.5708294958096234</v>
      </c>
      <c r="V28">
        <f t="shared" si="14"/>
        <v>55.287675388795186</v>
      </c>
      <c r="W28">
        <f t="shared" si="15"/>
        <v>1.9070904178673282</v>
      </c>
      <c r="X28">
        <f t="shared" si="16"/>
        <v>3.4493951942385817</v>
      </c>
      <c r="Y28">
        <f t="shared" si="17"/>
        <v>1.6637390779422951</v>
      </c>
      <c r="Z28">
        <f t="shared" si="18"/>
        <v>-209.21014648671598</v>
      </c>
      <c r="AA28">
        <f t="shared" si="19"/>
        <v>-107.00020381460531</v>
      </c>
      <c r="AB28">
        <f t="shared" si="20"/>
        <v>-6.8142015745098279</v>
      </c>
      <c r="AC28">
        <f t="shared" si="21"/>
        <v>-1.5843980481150908</v>
      </c>
      <c r="AD28">
        <v>-4.1099544094195799E-2</v>
      </c>
      <c r="AE28">
        <v>4.6137838763547899E-2</v>
      </c>
      <c r="AF28">
        <v>3.4496268506830798</v>
      </c>
      <c r="AG28">
        <v>158</v>
      </c>
      <c r="AH28">
        <v>32</v>
      </c>
      <c r="AI28">
        <f t="shared" si="22"/>
        <v>1</v>
      </c>
      <c r="AJ28">
        <f t="shared" si="23"/>
        <v>0</v>
      </c>
      <c r="AK28">
        <f t="shared" si="24"/>
        <v>52519.545086815007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276.772307692308</v>
      </c>
      <c r="AT28">
        <v>383.798</v>
      </c>
      <c r="AU28">
        <f t="shared" si="27"/>
        <v>0.27885943206502373</v>
      </c>
      <c r="AV28">
        <v>0.5</v>
      </c>
      <c r="AW28">
        <f t="shared" si="28"/>
        <v>1681.2013158059233</v>
      </c>
      <c r="AX28">
        <f t="shared" si="29"/>
        <v>41.797460408850718</v>
      </c>
      <c r="AY28">
        <f t="shared" si="30"/>
        <v>234.40942205630517</v>
      </c>
      <c r="AZ28">
        <f t="shared" si="31"/>
        <v>0.51854881995216229</v>
      </c>
      <c r="BA28">
        <f t="shared" si="32"/>
        <v>2.5456475679912702E-2</v>
      </c>
      <c r="BB28">
        <f t="shared" si="33"/>
        <v>-1</v>
      </c>
      <c r="BC28" t="s">
        <v>343</v>
      </c>
      <c r="BD28">
        <v>184.78</v>
      </c>
      <c r="BE28">
        <f t="shared" si="34"/>
        <v>199.018</v>
      </c>
      <c r="BF28">
        <f t="shared" si="35"/>
        <v>0.53776890687119761</v>
      </c>
      <c r="BG28">
        <f t="shared" si="36"/>
        <v>2.077053793700617</v>
      </c>
      <c r="BH28">
        <f t="shared" si="37"/>
        <v>0.27885943206502378</v>
      </c>
      <c r="BI28" t="e">
        <f t="shared" si="38"/>
        <v>#DIV/0!</v>
      </c>
      <c r="BJ28">
        <v>4701</v>
      </c>
      <c r="BK28">
        <v>300</v>
      </c>
      <c r="BL28">
        <v>300</v>
      </c>
      <c r="BM28">
        <v>300</v>
      </c>
      <c r="BN28">
        <v>9876.17</v>
      </c>
      <c r="BO28">
        <v>353.46</v>
      </c>
      <c r="BP28">
        <v>-6.5691899999999999E-3</v>
      </c>
      <c r="BQ28">
        <v>0.464111</v>
      </c>
      <c r="BR28">
        <f t="shared" si="39"/>
        <v>2000.00548387097</v>
      </c>
      <c r="BS28">
        <f t="shared" si="40"/>
        <v>1681.2013158059233</v>
      </c>
      <c r="BT28">
        <f t="shared" si="41"/>
        <v>0.84059835303650887</v>
      </c>
      <c r="BU28">
        <f t="shared" si="42"/>
        <v>0.19119670607301786</v>
      </c>
      <c r="BV28">
        <v>0.5</v>
      </c>
      <c r="BW28" t="s">
        <v>281</v>
      </c>
      <c r="BX28">
        <v>1594060508.0999999</v>
      </c>
      <c r="BY28">
        <v>981.36545161290303</v>
      </c>
      <c r="BZ28">
        <v>999.94448387096804</v>
      </c>
      <c r="CA28">
        <v>19.191199999999998</v>
      </c>
      <c r="CB28">
        <v>17.330238709677399</v>
      </c>
      <c r="CC28">
        <v>500.05890322580598</v>
      </c>
      <c r="CD28">
        <v>99.173183870967705</v>
      </c>
      <c r="CE28">
        <v>0.19998809677419399</v>
      </c>
      <c r="CF28">
        <v>26.3727032258065</v>
      </c>
      <c r="CG28">
        <v>26.960332258064501</v>
      </c>
      <c r="CH28">
        <v>999.9</v>
      </c>
      <c r="CI28">
        <v>9993.9867741935504</v>
      </c>
      <c r="CJ28">
        <v>0</v>
      </c>
      <c r="CK28">
        <v>95.503541935483895</v>
      </c>
      <c r="CL28">
        <v>2000.00548387097</v>
      </c>
      <c r="CM28">
        <v>0.98000367741935501</v>
      </c>
      <c r="CN28">
        <v>1.99961193548387E-2</v>
      </c>
      <c r="CO28">
        <v>0</v>
      </c>
      <c r="CP28">
        <v>276.79387096774201</v>
      </c>
      <c r="CQ28">
        <v>5.00054</v>
      </c>
      <c r="CR28">
        <v>6384.2609677419396</v>
      </c>
      <c r="CS28">
        <v>18703.690322580602</v>
      </c>
      <c r="CT28">
        <v>47.491806451612902</v>
      </c>
      <c r="CU28">
        <v>48.997838709677403</v>
      </c>
      <c r="CV28">
        <v>47.899000000000001</v>
      </c>
      <c r="CW28">
        <v>48.1046774193548</v>
      </c>
      <c r="CX28">
        <v>48.895000000000003</v>
      </c>
      <c r="CY28">
        <v>1955.11516129032</v>
      </c>
      <c r="CZ28">
        <v>39.890322580645197</v>
      </c>
      <c r="DA28">
        <v>0</v>
      </c>
      <c r="DB28">
        <v>150.700000047684</v>
      </c>
      <c r="DC28">
        <v>276.772307692308</v>
      </c>
      <c r="DD28">
        <v>-4.3896752297149098</v>
      </c>
      <c r="DE28">
        <v>-60.307692329075202</v>
      </c>
      <c r="DF28">
        <v>6383.8776923076903</v>
      </c>
      <c r="DG28">
        <v>15</v>
      </c>
      <c r="DH28">
        <v>1594060549.5999999</v>
      </c>
      <c r="DI28" t="s">
        <v>344</v>
      </c>
      <c r="DJ28">
        <v>83</v>
      </c>
      <c r="DK28">
        <v>-0.113</v>
      </c>
      <c r="DL28">
        <v>0.115</v>
      </c>
      <c r="DM28">
        <v>1000</v>
      </c>
      <c r="DN28">
        <v>17</v>
      </c>
      <c r="DO28">
        <v>0.28000000000000003</v>
      </c>
      <c r="DP28">
        <v>0.05</v>
      </c>
      <c r="DQ28">
        <v>981.03398148148199</v>
      </c>
      <c r="DR28">
        <v>6.84911158670021E-2</v>
      </c>
      <c r="DS28">
        <v>7.3882662412852504E-2</v>
      </c>
      <c r="DT28">
        <v>1</v>
      </c>
      <c r="DU28">
        <v>19.210916666666702</v>
      </c>
      <c r="DV28">
        <v>-0.20451501788863</v>
      </c>
      <c r="DW28">
        <v>2.9792782807375101E-2</v>
      </c>
      <c r="DX28">
        <v>0</v>
      </c>
      <c r="DY28">
        <v>1</v>
      </c>
      <c r="DZ28">
        <v>2</v>
      </c>
      <c r="EA28" t="s">
        <v>334</v>
      </c>
      <c r="EB28">
        <v>1.8667100000000001</v>
      </c>
      <c r="EC28">
        <v>1.86324</v>
      </c>
      <c r="ED28">
        <v>1.8688400000000001</v>
      </c>
      <c r="EE28">
        <v>1.86676</v>
      </c>
      <c r="EF28">
        <v>1.8714900000000001</v>
      </c>
      <c r="EG28">
        <v>1.86388</v>
      </c>
      <c r="EH28">
        <v>1.8653900000000001</v>
      </c>
      <c r="EI28">
        <v>1.8652899999999999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-0.113</v>
      </c>
      <c r="EX28">
        <v>0.115</v>
      </c>
      <c r="EY28">
        <v>2</v>
      </c>
      <c r="EZ28">
        <v>328.16500000000002</v>
      </c>
      <c r="FA28">
        <v>441.39499999999998</v>
      </c>
      <c r="FB28">
        <v>21.796199999999999</v>
      </c>
      <c r="FC28">
        <v>37.014000000000003</v>
      </c>
      <c r="FD28">
        <v>30.0001</v>
      </c>
      <c r="FE28">
        <v>37.166600000000003</v>
      </c>
      <c r="FF28">
        <v>37.185899999999997</v>
      </c>
      <c r="FG28">
        <v>46.568899999999999</v>
      </c>
      <c r="FH28">
        <v>49.908000000000001</v>
      </c>
      <c r="FI28">
        <v>0</v>
      </c>
      <c r="FJ28">
        <v>21.776299999999999</v>
      </c>
      <c r="FK28">
        <v>1000</v>
      </c>
      <c r="FL28">
        <v>17.401800000000001</v>
      </c>
      <c r="FM28">
        <v>100.075</v>
      </c>
      <c r="FN28">
        <v>100.642</v>
      </c>
    </row>
    <row r="29" spans="1:170" x14ac:dyDescent="0.25">
      <c r="A29">
        <v>13</v>
      </c>
      <c r="B29">
        <v>1594060664.0999999</v>
      </c>
      <c r="C29">
        <v>1622.0999999046301</v>
      </c>
      <c r="D29" t="s">
        <v>345</v>
      </c>
      <c r="E29" t="s">
        <v>346</v>
      </c>
      <c r="G29">
        <v>1594060656.0999999</v>
      </c>
      <c r="H29">
        <f t="shared" si="0"/>
        <v>4.2883737023601438E-3</v>
      </c>
      <c r="I29">
        <f t="shared" si="1"/>
        <v>41.247322506310226</v>
      </c>
      <c r="J29">
        <f t="shared" si="2"/>
        <v>1181.41935483871</v>
      </c>
      <c r="K29">
        <f t="shared" si="3"/>
        <v>887.51956809853664</v>
      </c>
      <c r="L29">
        <f t="shared" si="4"/>
        <v>88.194874576456016</v>
      </c>
      <c r="M29">
        <f t="shared" si="5"/>
        <v>117.40037692400419</v>
      </c>
      <c r="N29">
        <f t="shared" si="6"/>
        <v>0.25769481591292898</v>
      </c>
      <c r="O29">
        <f t="shared" si="7"/>
        <v>3.3807902873667155</v>
      </c>
      <c r="P29">
        <f t="shared" si="8"/>
        <v>0.24725864823918212</v>
      </c>
      <c r="Q29">
        <f t="shared" si="9"/>
        <v>0.15543908570833406</v>
      </c>
      <c r="R29">
        <f t="shared" si="10"/>
        <v>321.43840338395256</v>
      </c>
      <c r="S29">
        <f t="shared" si="11"/>
        <v>27.006576378138217</v>
      </c>
      <c r="T29">
        <f t="shared" si="12"/>
        <v>26.995212903225799</v>
      </c>
      <c r="U29">
        <f t="shared" si="13"/>
        <v>3.578153506722439</v>
      </c>
      <c r="V29">
        <f t="shared" si="14"/>
        <v>55.304943773039618</v>
      </c>
      <c r="W29">
        <f t="shared" si="15"/>
        <v>1.9021970453497807</v>
      </c>
      <c r="X29">
        <f t="shared" si="16"/>
        <v>3.4394701731476585</v>
      </c>
      <c r="Y29">
        <f t="shared" si="17"/>
        <v>1.6759564613726583</v>
      </c>
      <c r="Z29">
        <f t="shared" si="18"/>
        <v>-189.11728027408233</v>
      </c>
      <c r="AA29">
        <f t="shared" si="19"/>
        <v>-122.36048543882879</v>
      </c>
      <c r="AB29">
        <f t="shared" si="20"/>
        <v>-7.7842910750950693</v>
      </c>
      <c r="AC29">
        <f t="shared" si="21"/>
        <v>2.1763465959463986</v>
      </c>
      <c r="AD29">
        <v>-4.1150341268566801E-2</v>
      </c>
      <c r="AE29">
        <v>4.6194863041856202E-2</v>
      </c>
      <c r="AF29">
        <v>3.45300192635727</v>
      </c>
      <c r="AG29">
        <v>157</v>
      </c>
      <c r="AH29">
        <v>31</v>
      </c>
      <c r="AI29">
        <f t="shared" si="22"/>
        <v>1</v>
      </c>
      <c r="AJ29">
        <f t="shared" si="23"/>
        <v>0</v>
      </c>
      <c r="AK29">
        <f t="shared" si="24"/>
        <v>52590.359425351526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272.40796153846202</v>
      </c>
      <c r="AT29">
        <v>370.084</v>
      </c>
      <c r="AU29">
        <f t="shared" si="27"/>
        <v>0.26392937403815886</v>
      </c>
      <c r="AV29">
        <v>0.5</v>
      </c>
      <c r="AW29">
        <f t="shared" si="28"/>
        <v>1681.1921029026919</v>
      </c>
      <c r="AX29">
        <f t="shared" si="29"/>
        <v>41.247322506310226</v>
      </c>
      <c r="AY29">
        <f t="shared" si="30"/>
        <v>221.85798967850172</v>
      </c>
      <c r="AZ29">
        <f t="shared" si="31"/>
        <v>0.5094627165724539</v>
      </c>
      <c r="BA29">
        <f t="shared" si="32"/>
        <v>2.5129384341841345E-2</v>
      </c>
      <c r="BB29">
        <f t="shared" si="33"/>
        <v>-1</v>
      </c>
      <c r="BC29" t="s">
        <v>348</v>
      </c>
      <c r="BD29">
        <v>181.54</v>
      </c>
      <c r="BE29">
        <f t="shared" si="34"/>
        <v>188.54400000000001</v>
      </c>
      <c r="BF29">
        <f t="shared" si="35"/>
        <v>0.51805434520079119</v>
      </c>
      <c r="BG29">
        <f t="shared" si="36"/>
        <v>2.0385810289743307</v>
      </c>
      <c r="BH29">
        <f t="shared" si="37"/>
        <v>0.26392937403815886</v>
      </c>
      <c r="BI29" t="e">
        <f t="shared" si="38"/>
        <v>#DIV/0!</v>
      </c>
      <c r="BJ29">
        <v>4703</v>
      </c>
      <c r="BK29">
        <v>300</v>
      </c>
      <c r="BL29">
        <v>300</v>
      </c>
      <c r="BM29">
        <v>300</v>
      </c>
      <c r="BN29">
        <v>9876.31</v>
      </c>
      <c r="BO29">
        <v>344.01600000000002</v>
      </c>
      <c r="BP29">
        <v>-6.5693699999999997E-3</v>
      </c>
      <c r="BQ29">
        <v>1.9623699999999999</v>
      </c>
      <c r="BR29">
        <f t="shared" si="39"/>
        <v>1999.99451612903</v>
      </c>
      <c r="BS29">
        <f t="shared" si="40"/>
        <v>1681.1921029026919</v>
      </c>
      <c r="BT29">
        <f t="shared" si="41"/>
        <v>0.84059835631780777</v>
      </c>
      <c r="BU29">
        <f t="shared" si="42"/>
        <v>0.19119671263561577</v>
      </c>
      <c r="BV29">
        <v>0.5</v>
      </c>
      <c r="BW29" t="s">
        <v>281</v>
      </c>
      <c r="BX29">
        <v>1594060656.0999999</v>
      </c>
      <c r="BY29">
        <v>1181.41935483871</v>
      </c>
      <c r="BZ29">
        <v>1199.94258064516</v>
      </c>
      <c r="CA29">
        <v>19.1421225806452</v>
      </c>
      <c r="CB29">
        <v>17.459812903225799</v>
      </c>
      <c r="CC29">
        <v>500.06074193548397</v>
      </c>
      <c r="CD29">
        <v>99.172306451612897</v>
      </c>
      <c r="CE29">
        <v>0.20000909677419401</v>
      </c>
      <c r="CF29">
        <v>26.323880645161299</v>
      </c>
      <c r="CG29">
        <v>26.995212903225799</v>
      </c>
      <c r="CH29">
        <v>999.9</v>
      </c>
      <c r="CI29">
        <v>10006.427419354801</v>
      </c>
      <c r="CJ29">
        <v>0</v>
      </c>
      <c r="CK29">
        <v>275.87558064516099</v>
      </c>
      <c r="CL29">
        <v>1999.99451612903</v>
      </c>
      <c r="CM29">
        <v>0.98000316129032305</v>
      </c>
      <c r="CN29">
        <v>1.9996790322580602E-2</v>
      </c>
      <c r="CO29">
        <v>0</v>
      </c>
      <c r="CP29">
        <v>272.441741935484</v>
      </c>
      <c r="CQ29">
        <v>5.00054</v>
      </c>
      <c r="CR29">
        <v>6883.0864516129004</v>
      </c>
      <c r="CS29">
        <v>18703.599999999999</v>
      </c>
      <c r="CT29">
        <v>47.420999999999999</v>
      </c>
      <c r="CU29">
        <v>48.977645161290297</v>
      </c>
      <c r="CV29">
        <v>47.820193548387103</v>
      </c>
      <c r="CW29">
        <v>48.100677419354803</v>
      </c>
      <c r="CX29">
        <v>48.844516129032201</v>
      </c>
      <c r="CY29">
        <v>1955.10419354839</v>
      </c>
      <c r="CZ29">
        <v>39.890322580645197</v>
      </c>
      <c r="DA29">
        <v>0</v>
      </c>
      <c r="DB29">
        <v>147.59999990463299</v>
      </c>
      <c r="DC29">
        <v>272.40796153846202</v>
      </c>
      <c r="DD29">
        <v>-3.3191452971115498</v>
      </c>
      <c r="DE29">
        <v>-1010.38803222017</v>
      </c>
      <c r="DF29">
        <v>6877.5265384615404</v>
      </c>
      <c r="DG29">
        <v>15</v>
      </c>
      <c r="DH29">
        <v>1594060704.5999999</v>
      </c>
      <c r="DI29" t="s">
        <v>349</v>
      </c>
      <c r="DJ29">
        <v>84</v>
      </c>
      <c r="DK29">
        <v>-0.113</v>
      </c>
      <c r="DL29">
        <v>0.12</v>
      </c>
      <c r="DM29">
        <v>1000</v>
      </c>
      <c r="DN29">
        <v>17</v>
      </c>
      <c r="DO29">
        <v>0.28000000000000003</v>
      </c>
      <c r="DP29">
        <v>0.06</v>
      </c>
      <c r="DQ29">
        <v>1181.3987037037</v>
      </c>
      <c r="DR29">
        <v>0.25253287592886797</v>
      </c>
      <c r="DS29">
        <v>6.6166073221439095E-2</v>
      </c>
      <c r="DT29">
        <v>1</v>
      </c>
      <c r="DU29">
        <v>19.1586685185185</v>
      </c>
      <c r="DV29">
        <v>-0.191657404230963</v>
      </c>
      <c r="DW29">
        <v>2.6287103048721599E-2</v>
      </c>
      <c r="DX29">
        <v>1</v>
      </c>
      <c r="DY29">
        <v>2</v>
      </c>
      <c r="DZ29">
        <v>2</v>
      </c>
      <c r="EA29" t="s">
        <v>293</v>
      </c>
      <c r="EB29">
        <v>1.8667</v>
      </c>
      <c r="EC29">
        <v>1.8631599999999999</v>
      </c>
      <c r="ED29">
        <v>1.8687800000000001</v>
      </c>
      <c r="EE29">
        <v>1.86676</v>
      </c>
      <c r="EF29">
        <v>1.87148</v>
      </c>
      <c r="EG29">
        <v>1.8638600000000001</v>
      </c>
      <c r="EH29">
        <v>1.86538</v>
      </c>
      <c r="EI29">
        <v>1.86528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-0.113</v>
      </c>
      <c r="EX29">
        <v>0.12</v>
      </c>
      <c r="EY29">
        <v>2</v>
      </c>
      <c r="EZ29">
        <v>329.21600000000001</v>
      </c>
      <c r="FA29">
        <v>442.25400000000002</v>
      </c>
      <c r="FB29">
        <v>21.6511</v>
      </c>
      <c r="FC29">
        <v>36.786499999999997</v>
      </c>
      <c r="FD29">
        <v>30.000399999999999</v>
      </c>
      <c r="FE29">
        <v>36.933500000000002</v>
      </c>
      <c r="FF29">
        <v>36.955100000000002</v>
      </c>
      <c r="FG29">
        <v>53.917400000000001</v>
      </c>
      <c r="FH29">
        <v>49.581699999999998</v>
      </c>
      <c r="FI29">
        <v>0</v>
      </c>
      <c r="FJ29">
        <v>21.5869</v>
      </c>
      <c r="FK29">
        <v>1200</v>
      </c>
      <c r="FL29">
        <v>17.516300000000001</v>
      </c>
      <c r="FM29">
        <v>100.114</v>
      </c>
      <c r="FN29">
        <v>100.688</v>
      </c>
    </row>
    <row r="30" spans="1:170" x14ac:dyDescent="0.25">
      <c r="A30">
        <v>14</v>
      </c>
      <c r="B30">
        <v>1594060826.0999999</v>
      </c>
      <c r="C30">
        <v>1784.0999999046301</v>
      </c>
      <c r="D30" t="s">
        <v>350</v>
      </c>
      <c r="E30" t="s">
        <v>351</v>
      </c>
      <c r="G30">
        <v>1594060818.0999999</v>
      </c>
      <c r="H30">
        <f t="shared" si="0"/>
        <v>3.9801531244827767E-3</v>
      </c>
      <c r="I30">
        <f t="shared" si="1"/>
        <v>41.717111169169456</v>
      </c>
      <c r="J30">
        <f t="shared" si="2"/>
        <v>1580.8821290322601</v>
      </c>
      <c r="K30">
        <f t="shared" si="3"/>
        <v>1249.2144425777544</v>
      </c>
      <c r="L30">
        <f t="shared" si="4"/>
        <v>124.1354672624376</v>
      </c>
      <c r="M30">
        <f t="shared" si="5"/>
        <v>157.09355822792776</v>
      </c>
      <c r="N30">
        <f t="shared" si="6"/>
        <v>0.23598140546276655</v>
      </c>
      <c r="O30">
        <f t="shared" si="7"/>
        <v>3.3812142576733271</v>
      </c>
      <c r="P30">
        <f t="shared" si="8"/>
        <v>0.22719866986574103</v>
      </c>
      <c r="Q30">
        <f t="shared" si="9"/>
        <v>0.14276102846004904</v>
      </c>
      <c r="R30">
        <f t="shared" si="10"/>
        <v>321.43756152578027</v>
      </c>
      <c r="S30">
        <f t="shared" si="11"/>
        <v>27.035359952849987</v>
      </c>
      <c r="T30">
        <f t="shared" si="12"/>
        <v>27.0761516129032</v>
      </c>
      <c r="U30">
        <f t="shared" si="13"/>
        <v>3.5951990285565416</v>
      </c>
      <c r="V30">
        <f t="shared" si="14"/>
        <v>55.44982204890254</v>
      </c>
      <c r="W30">
        <f t="shared" si="15"/>
        <v>1.9025387112590302</v>
      </c>
      <c r="X30">
        <f t="shared" si="16"/>
        <v>3.4310997600337383</v>
      </c>
      <c r="Y30">
        <f t="shared" si="17"/>
        <v>1.6926603172975114</v>
      </c>
      <c r="Z30">
        <f t="shared" si="18"/>
        <v>-175.52475278969044</v>
      </c>
      <c r="AA30">
        <f t="shared" si="19"/>
        <v>-144.6531906342972</v>
      </c>
      <c r="AB30">
        <f t="shared" si="20"/>
        <v>-9.2031792800058092</v>
      </c>
      <c r="AC30">
        <f t="shared" si="21"/>
        <v>-7.9435611782132014</v>
      </c>
      <c r="AD30">
        <v>-4.1156897023677398E-2</v>
      </c>
      <c r="AE30">
        <v>4.6202222451283498E-2</v>
      </c>
      <c r="AF30">
        <v>3.4534374008654698</v>
      </c>
      <c r="AG30">
        <v>157</v>
      </c>
      <c r="AH30">
        <v>31</v>
      </c>
      <c r="AI30">
        <f t="shared" si="22"/>
        <v>1</v>
      </c>
      <c r="AJ30">
        <f t="shared" si="23"/>
        <v>0</v>
      </c>
      <c r="AK30">
        <f t="shared" si="24"/>
        <v>52605.615326695821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269.29561538461502</v>
      </c>
      <c r="AT30">
        <v>358.20800000000003</v>
      </c>
      <c r="AU30">
        <f t="shared" si="27"/>
        <v>0.24821440228968927</v>
      </c>
      <c r="AV30">
        <v>0.5</v>
      </c>
      <c r="AW30">
        <f t="shared" si="28"/>
        <v>1681.1877577414054</v>
      </c>
      <c r="AX30">
        <f t="shared" si="29"/>
        <v>41.717111169169456</v>
      </c>
      <c r="AY30">
        <f t="shared" si="30"/>
        <v>208.64750721226295</v>
      </c>
      <c r="AZ30">
        <f t="shared" si="31"/>
        <v>0.49509782026085403</v>
      </c>
      <c r="BA30">
        <f t="shared" si="32"/>
        <v>2.5408887836869471E-2</v>
      </c>
      <c r="BB30">
        <f t="shared" si="33"/>
        <v>-1</v>
      </c>
      <c r="BC30" t="s">
        <v>353</v>
      </c>
      <c r="BD30">
        <v>180.86</v>
      </c>
      <c r="BE30">
        <f t="shared" si="34"/>
        <v>177.34800000000001</v>
      </c>
      <c r="BF30">
        <f t="shared" si="35"/>
        <v>0.50134416297553397</v>
      </c>
      <c r="BG30">
        <f t="shared" si="36"/>
        <v>1.9805816653765342</v>
      </c>
      <c r="BH30">
        <f t="shared" si="37"/>
        <v>0.24821440228968925</v>
      </c>
      <c r="BI30" t="e">
        <f t="shared" si="38"/>
        <v>#DIV/0!</v>
      </c>
      <c r="BJ30">
        <v>4705</v>
      </c>
      <c r="BK30">
        <v>300</v>
      </c>
      <c r="BL30">
        <v>300</v>
      </c>
      <c r="BM30">
        <v>300</v>
      </c>
      <c r="BN30">
        <v>9874.9</v>
      </c>
      <c r="BO30">
        <v>334.22500000000002</v>
      </c>
      <c r="BP30">
        <v>-6.5682300000000004E-3</v>
      </c>
      <c r="BQ30">
        <v>0.79898100000000005</v>
      </c>
      <c r="BR30">
        <f t="shared" si="39"/>
        <v>1999.9893548387099</v>
      </c>
      <c r="BS30">
        <f t="shared" si="40"/>
        <v>1681.1877577414054</v>
      </c>
      <c r="BT30">
        <f t="shared" si="41"/>
        <v>0.84059835302322683</v>
      </c>
      <c r="BU30">
        <f t="shared" si="42"/>
        <v>0.19119670604645381</v>
      </c>
      <c r="BV30">
        <v>0.5</v>
      </c>
      <c r="BW30" t="s">
        <v>281</v>
      </c>
      <c r="BX30">
        <v>1594060818.0999999</v>
      </c>
      <c r="BY30">
        <v>1580.8821290322601</v>
      </c>
      <c r="BZ30">
        <v>1600.0832258064499</v>
      </c>
      <c r="CA30">
        <v>19.145848387096802</v>
      </c>
      <c r="CB30">
        <v>17.5844806451613</v>
      </c>
      <c r="CC30">
        <v>500.067935483871</v>
      </c>
      <c r="CD30">
        <v>99.170848387096697</v>
      </c>
      <c r="CE30">
        <v>0.19997461290322599</v>
      </c>
      <c r="CF30">
        <v>26.282609677419401</v>
      </c>
      <c r="CG30">
        <v>27.0761516129032</v>
      </c>
      <c r="CH30">
        <v>999.9</v>
      </c>
      <c r="CI30">
        <v>10008.1687096774</v>
      </c>
      <c r="CJ30">
        <v>0</v>
      </c>
      <c r="CK30">
        <v>118.24235483871</v>
      </c>
      <c r="CL30">
        <v>1999.9893548387099</v>
      </c>
      <c r="CM30">
        <v>0.980006516129032</v>
      </c>
      <c r="CN30">
        <v>1.9993519354838701E-2</v>
      </c>
      <c r="CO30">
        <v>0</v>
      </c>
      <c r="CP30">
        <v>269.30193548387098</v>
      </c>
      <c r="CQ30">
        <v>5.00054</v>
      </c>
      <c r="CR30">
        <v>6292.8861290322602</v>
      </c>
      <c r="CS30">
        <v>18703.564516129001</v>
      </c>
      <c r="CT30">
        <v>47.755806451612898</v>
      </c>
      <c r="CU30">
        <v>49.4634838709677</v>
      </c>
      <c r="CV30">
        <v>48.183064516129001</v>
      </c>
      <c r="CW30">
        <v>48.586387096774203</v>
      </c>
      <c r="CX30">
        <v>49.136935483871</v>
      </c>
      <c r="CY30">
        <v>1955.09935483871</v>
      </c>
      <c r="CZ30">
        <v>39.89</v>
      </c>
      <c r="DA30">
        <v>0</v>
      </c>
      <c r="DB30">
        <v>161.59999990463299</v>
      </c>
      <c r="DC30">
        <v>269.29561538461502</v>
      </c>
      <c r="DD30">
        <v>-2.11418802330767</v>
      </c>
      <c r="DE30">
        <v>-27.440683686463</v>
      </c>
      <c r="DF30">
        <v>6292.55</v>
      </c>
      <c r="DG30">
        <v>15</v>
      </c>
      <c r="DH30">
        <v>1594060851.5999999</v>
      </c>
      <c r="DI30" t="s">
        <v>354</v>
      </c>
      <c r="DJ30">
        <v>85</v>
      </c>
      <c r="DK30">
        <v>-0.28699999999999998</v>
      </c>
      <c r="DL30">
        <v>0.11899999999999999</v>
      </c>
      <c r="DM30">
        <v>1600</v>
      </c>
      <c r="DN30">
        <v>18</v>
      </c>
      <c r="DO30">
        <v>0.15</v>
      </c>
      <c r="DP30">
        <v>0.05</v>
      </c>
      <c r="DQ30">
        <v>1580.9674074074101</v>
      </c>
      <c r="DR30">
        <v>0.92611091895251096</v>
      </c>
      <c r="DS30">
        <v>0.12624469457406801</v>
      </c>
      <c r="DT30">
        <v>0</v>
      </c>
      <c r="DU30">
        <v>19.171296296296301</v>
      </c>
      <c r="DV30">
        <v>-0.28496373763080701</v>
      </c>
      <c r="DW30">
        <v>4.0013927959237E-2</v>
      </c>
      <c r="DX30">
        <v>0</v>
      </c>
      <c r="DY30">
        <v>0</v>
      </c>
      <c r="DZ30">
        <v>2</v>
      </c>
      <c r="EA30" t="s">
        <v>283</v>
      </c>
      <c r="EB30">
        <v>1.8666100000000001</v>
      </c>
      <c r="EC30">
        <v>1.8631</v>
      </c>
      <c r="ED30">
        <v>1.8687400000000001</v>
      </c>
      <c r="EE30">
        <v>1.86669</v>
      </c>
      <c r="EF30">
        <v>1.8713599999999999</v>
      </c>
      <c r="EG30">
        <v>1.8637999999999999</v>
      </c>
      <c r="EH30">
        <v>1.86524</v>
      </c>
      <c r="EI30">
        <v>1.8652299999999999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-0.28699999999999998</v>
      </c>
      <c r="EX30">
        <v>0.11899999999999999</v>
      </c>
      <c r="EY30">
        <v>2</v>
      </c>
      <c r="EZ30">
        <v>328.512</v>
      </c>
      <c r="FA30">
        <v>442.44400000000002</v>
      </c>
      <c r="FB30">
        <v>20.8172</v>
      </c>
      <c r="FC30">
        <v>36.905999999999999</v>
      </c>
      <c r="FD30">
        <v>30.000699999999998</v>
      </c>
      <c r="FE30">
        <v>36.935600000000001</v>
      </c>
      <c r="FF30">
        <v>36.949300000000001</v>
      </c>
      <c r="FG30">
        <v>67.807400000000001</v>
      </c>
      <c r="FH30">
        <v>49.430799999999998</v>
      </c>
      <c r="FI30">
        <v>0</v>
      </c>
      <c r="FJ30">
        <v>17.169599999999999</v>
      </c>
      <c r="FK30">
        <v>1600</v>
      </c>
      <c r="FL30">
        <v>17.585899999999999</v>
      </c>
      <c r="FM30">
        <v>100.08799999999999</v>
      </c>
      <c r="FN30">
        <v>100.64400000000001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2020-07-06T14:01:17Z</dcterms:created>
  <dcterms:modified xsi:type="dcterms:W3CDTF">2024-11-20T09:00:39Z</dcterms:modified>
</cp:coreProperties>
</file>