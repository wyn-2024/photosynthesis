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706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0" i="1" l="1"/>
  <c r="BT30" i="1"/>
  <c r="BR30" i="1"/>
  <c r="BS30" i="1" s="1"/>
  <c r="BI30" i="1"/>
  <c r="BH30" i="1"/>
  <c r="BG30" i="1"/>
  <c r="BF30" i="1"/>
  <c r="BE30" i="1"/>
  <c r="BB30" i="1"/>
  <c r="AZ30" i="1"/>
  <c r="AU30" i="1"/>
  <c r="AO30" i="1"/>
  <c r="AP30" i="1" s="1"/>
  <c r="AK30" i="1"/>
  <c r="AI30" i="1"/>
  <c r="J30" i="1" s="1"/>
  <c r="X30" i="1"/>
  <c r="W30" i="1"/>
  <c r="V30" i="1"/>
  <c r="O30" i="1"/>
  <c r="BU29" i="1"/>
  <c r="BT29" i="1"/>
  <c r="BR29" i="1"/>
  <c r="BS29" i="1" s="1"/>
  <c r="BI29" i="1"/>
  <c r="BH29" i="1"/>
  <c r="BG29" i="1"/>
  <c r="BF29" i="1"/>
  <c r="BE29" i="1"/>
  <c r="BB29" i="1"/>
  <c r="AZ29" i="1"/>
  <c r="AU29" i="1"/>
  <c r="AO29" i="1"/>
  <c r="AP29" i="1" s="1"/>
  <c r="AK29" i="1"/>
  <c r="AI29" i="1"/>
  <c r="M29" i="1" s="1"/>
  <c r="X29" i="1"/>
  <c r="W29" i="1"/>
  <c r="V29" i="1"/>
  <c r="O29" i="1"/>
  <c r="BU28" i="1"/>
  <c r="BT28" i="1"/>
  <c r="BR28" i="1"/>
  <c r="BS28" i="1" s="1"/>
  <c r="AW28" i="1" s="1"/>
  <c r="BI28" i="1"/>
  <c r="BH28" i="1"/>
  <c r="BG28" i="1"/>
  <c r="BF28" i="1"/>
  <c r="BE28" i="1"/>
  <c r="AZ28" i="1" s="1"/>
  <c r="BB28" i="1"/>
  <c r="AU28" i="1"/>
  <c r="AY28" i="1" s="1"/>
  <c r="AO28" i="1"/>
  <c r="AP28" i="1" s="1"/>
  <c r="AK28" i="1"/>
  <c r="AI28" i="1"/>
  <c r="I28" i="1" s="1"/>
  <c r="AX28" i="1" s="1"/>
  <c r="X28" i="1"/>
  <c r="W28" i="1"/>
  <c r="V28" i="1"/>
  <c r="O28" i="1"/>
  <c r="BU27" i="1"/>
  <c r="BT27" i="1"/>
  <c r="BR27" i="1"/>
  <c r="BS27" i="1" s="1"/>
  <c r="R27" i="1" s="1"/>
  <c r="BI27" i="1"/>
  <c r="BH27" i="1"/>
  <c r="BG27" i="1"/>
  <c r="BF27" i="1"/>
  <c r="BE27" i="1"/>
  <c r="BB27" i="1"/>
  <c r="AZ27" i="1"/>
  <c r="AW27" i="1"/>
  <c r="AY27" i="1" s="1"/>
  <c r="AU27" i="1"/>
  <c r="AO27" i="1"/>
  <c r="AP27" i="1" s="1"/>
  <c r="AK27" i="1"/>
  <c r="AI27" i="1"/>
  <c r="AJ27" i="1" s="1"/>
  <c r="X27" i="1"/>
  <c r="W27" i="1"/>
  <c r="V27" i="1"/>
  <c r="O27" i="1"/>
  <c r="M27" i="1"/>
  <c r="BU26" i="1"/>
  <c r="BT26" i="1"/>
  <c r="BR26" i="1"/>
  <c r="BS26" i="1" s="1"/>
  <c r="BI26" i="1"/>
  <c r="BH26" i="1"/>
  <c r="BG26" i="1"/>
  <c r="BF26" i="1"/>
  <c r="BE26" i="1"/>
  <c r="BB26" i="1"/>
  <c r="AZ26" i="1"/>
  <c r="AU26" i="1"/>
  <c r="AO26" i="1"/>
  <c r="AP26" i="1" s="1"/>
  <c r="AK26" i="1"/>
  <c r="AI26" i="1" s="1"/>
  <c r="H26" i="1" s="1"/>
  <c r="AJ26" i="1"/>
  <c r="X26" i="1"/>
  <c r="W26" i="1"/>
  <c r="V26" i="1"/>
  <c r="O26" i="1"/>
  <c r="BU25" i="1"/>
  <c r="BT25" i="1"/>
  <c r="BR25" i="1"/>
  <c r="BS25" i="1" s="1"/>
  <c r="BI25" i="1"/>
  <c r="BH25" i="1"/>
  <c r="BG25" i="1"/>
  <c r="BF25" i="1"/>
  <c r="BE25" i="1"/>
  <c r="BB25" i="1"/>
  <c r="AZ25" i="1"/>
  <c r="AU25" i="1"/>
  <c r="AO25" i="1"/>
  <c r="AP25" i="1" s="1"/>
  <c r="AK25" i="1"/>
  <c r="AI25" i="1"/>
  <c r="M25" i="1" s="1"/>
  <c r="X25" i="1"/>
  <c r="W25" i="1"/>
  <c r="V25" i="1"/>
  <c r="O25" i="1"/>
  <c r="BU24" i="1"/>
  <c r="BT24" i="1"/>
  <c r="BR24" i="1"/>
  <c r="BS24" i="1" s="1"/>
  <c r="BI24" i="1"/>
  <c r="BH24" i="1"/>
  <c r="BG24" i="1"/>
  <c r="BF24" i="1"/>
  <c r="BE24" i="1"/>
  <c r="BB24" i="1"/>
  <c r="AZ24" i="1"/>
  <c r="AU24" i="1"/>
  <c r="AO24" i="1"/>
  <c r="AP24" i="1" s="1"/>
  <c r="AK24" i="1"/>
  <c r="AJ24" i="1"/>
  <c r="AI24" i="1"/>
  <c r="H24" i="1" s="1"/>
  <c r="X24" i="1"/>
  <c r="W24" i="1"/>
  <c r="V24" i="1"/>
  <c r="O24" i="1"/>
  <c r="BU23" i="1"/>
  <c r="BT23" i="1"/>
  <c r="BR23" i="1"/>
  <c r="BS23" i="1" s="1"/>
  <c r="AW23" i="1" s="1"/>
  <c r="BI23" i="1"/>
  <c r="BH23" i="1"/>
  <c r="BG23" i="1"/>
  <c r="BF23" i="1"/>
  <c r="BE23" i="1"/>
  <c r="AZ23" i="1" s="1"/>
  <c r="BB23" i="1"/>
  <c r="AU23" i="1"/>
  <c r="AO23" i="1"/>
  <c r="AP23" i="1" s="1"/>
  <c r="AK23" i="1"/>
  <c r="AI23" i="1"/>
  <c r="I23" i="1" s="1"/>
  <c r="AX23" i="1" s="1"/>
  <c r="BA23" i="1" s="1"/>
  <c r="X23" i="1"/>
  <c r="V23" i="1" s="1"/>
  <c r="W23" i="1"/>
  <c r="O23" i="1"/>
  <c r="BU22" i="1"/>
  <c r="BT22" i="1"/>
  <c r="BR22" i="1"/>
  <c r="BS22" i="1" s="1"/>
  <c r="R22" i="1" s="1"/>
  <c r="BI22" i="1"/>
  <c r="BH22" i="1"/>
  <c r="BG22" i="1"/>
  <c r="BF22" i="1"/>
  <c r="BE22" i="1"/>
  <c r="BB22" i="1"/>
  <c r="AZ22" i="1"/>
  <c r="AU22" i="1"/>
  <c r="AP22" i="1"/>
  <c r="AO22" i="1"/>
  <c r="AK22" i="1"/>
  <c r="AI22" i="1"/>
  <c r="J22" i="1" s="1"/>
  <c r="X22" i="1"/>
  <c r="W22" i="1"/>
  <c r="V22" i="1"/>
  <c r="O22" i="1"/>
  <c r="M22" i="1"/>
  <c r="BU21" i="1"/>
  <c r="BT21" i="1"/>
  <c r="BR21" i="1"/>
  <c r="BS21" i="1" s="1"/>
  <c r="BI21" i="1"/>
  <c r="BH21" i="1"/>
  <c r="BG21" i="1"/>
  <c r="BF21" i="1"/>
  <c r="BE21" i="1"/>
  <c r="BB21" i="1"/>
  <c r="AZ21" i="1"/>
  <c r="AU21" i="1"/>
  <c r="AO21" i="1"/>
  <c r="AP21" i="1" s="1"/>
  <c r="AK21" i="1"/>
  <c r="AI21" i="1"/>
  <c r="AJ21" i="1" s="1"/>
  <c r="X21" i="1"/>
  <c r="W21" i="1"/>
  <c r="V21" i="1"/>
  <c r="O21" i="1"/>
  <c r="H21" i="1"/>
  <c r="BU20" i="1"/>
  <c r="BT20" i="1"/>
  <c r="BS20" i="1" s="1"/>
  <c r="BR20" i="1"/>
  <c r="BI20" i="1"/>
  <c r="BH20" i="1"/>
  <c r="BG20" i="1"/>
  <c r="BF20" i="1"/>
  <c r="BE20" i="1"/>
  <c r="BB20" i="1"/>
  <c r="AZ20" i="1"/>
  <c r="AU20" i="1"/>
  <c r="AO20" i="1"/>
  <c r="AP20" i="1" s="1"/>
  <c r="AK20" i="1"/>
  <c r="AI20" i="1"/>
  <c r="M20" i="1" s="1"/>
  <c r="X20" i="1"/>
  <c r="V20" i="1" s="1"/>
  <c r="W20" i="1"/>
  <c r="O20" i="1"/>
  <c r="BU19" i="1"/>
  <c r="BT19" i="1"/>
  <c r="BR19" i="1"/>
  <c r="BS19" i="1" s="1"/>
  <c r="BI19" i="1"/>
  <c r="BH19" i="1"/>
  <c r="BG19" i="1"/>
  <c r="BF19" i="1"/>
  <c r="BE19" i="1"/>
  <c r="BB19" i="1"/>
  <c r="AZ19" i="1"/>
  <c r="AU19" i="1"/>
  <c r="AO19" i="1"/>
  <c r="AP19" i="1" s="1"/>
  <c r="AK19" i="1"/>
  <c r="AI19" i="1"/>
  <c r="H19" i="1" s="1"/>
  <c r="X19" i="1"/>
  <c r="W19" i="1"/>
  <c r="V19" i="1"/>
  <c r="O19" i="1"/>
  <c r="BU18" i="1"/>
  <c r="BT18" i="1"/>
  <c r="BR18" i="1"/>
  <c r="BS18" i="1" s="1"/>
  <c r="BI18" i="1"/>
  <c r="BH18" i="1"/>
  <c r="BG18" i="1"/>
  <c r="BF18" i="1"/>
  <c r="BE18" i="1"/>
  <c r="BB18" i="1"/>
  <c r="AZ18" i="1"/>
  <c r="AU18" i="1"/>
  <c r="AO18" i="1"/>
  <c r="AP18" i="1" s="1"/>
  <c r="AK18" i="1"/>
  <c r="AI18" i="1"/>
  <c r="H18" i="1" s="1"/>
  <c r="Z18" i="1" s="1"/>
  <c r="X18" i="1"/>
  <c r="W18" i="1"/>
  <c r="V18" i="1"/>
  <c r="O18" i="1"/>
  <c r="BU17" i="1"/>
  <c r="BT17" i="1"/>
  <c r="BR17" i="1"/>
  <c r="BS17" i="1" s="1"/>
  <c r="R17" i="1" s="1"/>
  <c r="BI17" i="1"/>
  <c r="BH17" i="1"/>
  <c r="BG17" i="1"/>
  <c r="BF17" i="1"/>
  <c r="BE17" i="1"/>
  <c r="BB17" i="1"/>
  <c r="AZ17" i="1"/>
  <c r="AW17" i="1"/>
  <c r="AU17" i="1"/>
  <c r="AY17" i="1" s="1"/>
  <c r="AP17" i="1"/>
  <c r="AO17" i="1"/>
  <c r="AK17" i="1"/>
  <c r="AI17" i="1"/>
  <c r="I17" i="1" s="1"/>
  <c r="AX17" i="1" s="1"/>
  <c r="BA17" i="1" s="1"/>
  <c r="X17" i="1"/>
  <c r="W17" i="1"/>
  <c r="V17" i="1"/>
  <c r="O17" i="1"/>
  <c r="M17" i="1"/>
  <c r="J17" i="1"/>
  <c r="Z26" i="1" l="1"/>
  <c r="Z19" i="1"/>
  <c r="Z21" i="1"/>
  <c r="AY29" i="1"/>
  <c r="AW18" i="1"/>
  <c r="AY18" i="1" s="1"/>
  <c r="R18" i="1"/>
  <c r="AY23" i="1"/>
  <c r="BA28" i="1"/>
  <c r="R30" i="1"/>
  <c r="AW30" i="1"/>
  <c r="AY30" i="1" s="1"/>
  <c r="AY20" i="1"/>
  <c r="R21" i="1"/>
  <c r="AW21" i="1"/>
  <c r="R20" i="1"/>
  <c r="AW20" i="1"/>
  <c r="AW26" i="1"/>
  <c r="R26" i="1"/>
  <c r="AY22" i="1"/>
  <c r="AW29" i="1"/>
  <c r="R29" i="1"/>
  <c r="I26" i="1"/>
  <c r="AX26" i="1" s="1"/>
  <c r="BA26" i="1" s="1"/>
  <c r="M26" i="1"/>
  <c r="J26" i="1"/>
  <c r="AY26" i="1"/>
  <c r="Z24" i="1"/>
  <c r="R23" i="1"/>
  <c r="AW19" i="1"/>
  <c r="AY19" i="1" s="1"/>
  <c r="R19" i="1"/>
  <c r="R28" i="1"/>
  <c r="M21" i="1"/>
  <c r="J21" i="1"/>
  <c r="I21" i="1"/>
  <c r="AX21" i="1" s="1"/>
  <c r="BA21" i="1" s="1"/>
  <c r="R25" i="1"/>
  <c r="AW25" i="1"/>
  <c r="AY25" i="1" s="1"/>
  <c r="AW22" i="1"/>
  <c r="AY21" i="1"/>
  <c r="AW24" i="1"/>
  <c r="AY24" i="1" s="1"/>
  <c r="R24" i="1"/>
  <c r="H20" i="1"/>
  <c r="I20" i="1"/>
  <c r="AX20" i="1" s="1"/>
  <c r="BA20" i="1" s="1"/>
  <c r="AJ29" i="1"/>
  <c r="AJ25" i="1"/>
  <c r="H25" i="1"/>
  <c r="J20" i="1"/>
  <c r="M30" i="1"/>
  <c r="I24" i="1"/>
  <c r="AX24" i="1" s="1"/>
  <c r="BA24" i="1" s="1"/>
  <c r="J29" i="1"/>
  <c r="J19" i="1"/>
  <c r="J28" i="1"/>
  <c r="H27" i="1"/>
  <c r="S27" i="1" s="1"/>
  <c r="T27" i="1" s="1"/>
  <c r="M28" i="1"/>
  <c r="J25" i="1"/>
  <c r="I19" i="1"/>
  <c r="AX19" i="1" s="1"/>
  <c r="AJ28" i="1"/>
  <c r="H28" i="1"/>
  <c r="M19" i="1"/>
  <c r="I18" i="1"/>
  <c r="AX18" i="1" s="1"/>
  <c r="AJ17" i="1"/>
  <c r="H22" i="1"/>
  <c r="M23" i="1"/>
  <c r="I27" i="1"/>
  <c r="AX27" i="1" s="1"/>
  <c r="BA27" i="1" s="1"/>
  <c r="H30" i="1"/>
  <c r="AJ20" i="1"/>
  <c r="I30" i="1"/>
  <c r="AX30" i="1" s="1"/>
  <c r="I25" i="1"/>
  <c r="AX25" i="1" s="1"/>
  <c r="BA25" i="1" s="1"/>
  <c r="H29" i="1"/>
  <c r="I29" i="1"/>
  <c r="AX29" i="1" s="1"/>
  <c r="BA29" i="1" s="1"/>
  <c r="J24" i="1"/>
  <c r="M24" i="1"/>
  <c r="J23" i="1"/>
  <c r="J18" i="1"/>
  <c r="AJ22" i="1"/>
  <c r="H17" i="1"/>
  <c r="M18" i="1"/>
  <c r="I22" i="1"/>
  <c r="AX22" i="1" s="1"/>
  <c r="BA22" i="1" s="1"/>
  <c r="J27" i="1"/>
  <c r="AJ30" i="1"/>
  <c r="AJ19" i="1"/>
  <c r="AJ23" i="1"/>
  <c r="AJ18" i="1"/>
  <c r="H23" i="1"/>
  <c r="AB27" i="1" l="1"/>
  <c r="U27" i="1"/>
  <c r="Y27" i="1" s="1"/>
  <c r="AA27" i="1"/>
  <c r="Z17" i="1"/>
  <c r="S23" i="1"/>
  <c r="T23" i="1" s="1"/>
  <c r="S18" i="1"/>
  <c r="T18" i="1" s="1"/>
  <c r="Z25" i="1"/>
  <c r="Z20" i="1"/>
  <c r="S26" i="1"/>
  <c r="T26" i="1" s="1"/>
  <c r="Z23" i="1"/>
  <c r="P23" i="1"/>
  <c r="N23" i="1" s="1"/>
  <c r="Q23" i="1" s="1"/>
  <c r="K23" i="1" s="1"/>
  <c r="L23" i="1" s="1"/>
  <c r="P28" i="1"/>
  <c r="N28" i="1" s="1"/>
  <c r="Q28" i="1" s="1"/>
  <c r="K28" i="1" s="1"/>
  <c r="L28" i="1" s="1"/>
  <c r="Z28" i="1"/>
  <c r="S21" i="1"/>
  <c r="T21" i="1" s="1"/>
  <c r="Z27" i="1"/>
  <c r="P27" i="1"/>
  <c r="N27" i="1" s="1"/>
  <c r="Q27" i="1" s="1"/>
  <c r="K27" i="1" s="1"/>
  <c r="L27" i="1" s="1"/>
  <c r="S28" i="1"/>
  <c r="T28" i="1" s="1"/>
  <c r="S19" i="1"/>
  <c r="T19" i="1" s="1"/>
  <c r="S30" i="1"/>
  <c r="T30" i="1" s="1"/>
  <c r="Z29" i="1"/>
  <c r="BA30" i="1"/>
  <c r="S29" i="1"/>
  <c r="T29" i="1" s="1"/>
  <c r="Z30" i="1"/>
  <c r="P30" i="1"/>
  <c r="N30" i="1" s="1"/>
  <c r="Q30" i="1" s="1"/>
  <c r="K30" i="1" s="1"/>
  <c r="L30" i="1" s="1"/>
  <c r="S24" i="1"/>
  <c r="T24" i="1" s="1"/>
  <c r="Z22" i="1"/>
  <c r="S22" i="1"/>
  <c r="T22" i="1" s="1"/>
  <c r="P22" i="1" s="1"/>
  <c r="N22" i="1" s="1"/>
  <c r="Q22" i="1" s="1"/>
  <c r="K22" i="1" s="1"/>
  <c r="L22" i="1" s="1"/>
  <c r="BA18" i="1"/>
  <c r="S17" i="1"/>
  <c r="T17" i="1" s="1"/>
  <c r="P17" i="1" s="1"/>
  <c r="N17" i="1" s="1"/>
  <c r="Q17" i="1" s="1"/>
  <c r="K17" i="1" s="1"/>
  <c r="L17" i="1" s="1"/>
  <c r="S20" i="1"/>
  <c r="T20" i="1" s="1"/>
  <c r="S25" i="1"/>
  <c r="T25" i="1" s="1"/>
  <c r="P25" i="1" s="1"/>
  <c r="N25" i="1" s="1"/>
  <c r="Q25" i="1" s="1"/>
  <c r="K25" i="1" s="1"/>
  <c r="L25" i="1" s="1"/>
  <c r="BA19" i="1"/>
  <c r="AB21" i="1" l="1"/>
  <c r="U21" i="1"/>
  <c r="Y21" i="1" s="1"/>
  <c r="P21" i="1"/>
  <c r="N21" i="1" s="1"/>
  <c r="Q21" i="1" s="1"/>
  <c r="K21" i="1" s="1"/>
  <c r="L21" i="1" s="1"/>
  <c r="AA21" i="1"/>
  <c r="U29" i="1"/>
  <c r="Y29" i="1" s="1"/>
  <c r="AB29" i="1"/>
  <c r="AA29" i="1"/>
  <c r="U30" i="1"/>
  <c r="Y30" i="1" s="1"/>
  <c r="AB30" i="1"/>
  <c r="AA30" i="1"/>
  <c r="U20" i="1"/>
  <c r="Y20" i="1" s="1"/>
  <c r="AB20" i="1"/>
  <c r="AA20" i="1"/>
  <c r="AB24" i="1"/>
  <c r="AA24" i="1"/>
  <c r="U24" i="1"/>
  <c r="Y24" i="1" s="1"/>
  <c r="P24" i="1"/>
  <c r="N24" i="1" s="1"/>
  <c r="Q24" i="1" s="1"/>
  <c r="K24" i="1" s="1"/>
  <c r="L24" i="1" s="1"/>
  <c r="AB23" i="1"/>
  <c r="AA23" i="1"/>
  <c r="U23" i="1"/>
  <c r="Y23" i="1" s="1"/>
  <c r="P29" i="1"/>
  <c r="N29" i="1" s="1"/>
  <c r="Q29" i="1" s="1"/>
  <c r="K29" i="1" s="1"/>
  <c r="L29" i="1" s="1"/>
  <c r="AB19" i="1"/>
  <c r="AA19" i="1"/>
  <c r="U19" i="1"/>
  <c r="Y19" i="1" s="1"/>
  <c r="P19" i="1"/>
  <c r="N19" i="1" s="1"/>
  <c r="Q19" i="1" s="1"/>
  <c r="K19" i="1" s="1"/>
  <c r="L19" i="1" s="1"/>
  <c r="U25" i="1"/>
  <c r="Y25" i="1" s="1"/>
  <c r="AB25" i="1"/>
  <c r="AA25" i="1"/>
  <c r="U17" i="1"/>
  <c r="Y17" i="1" s="1"/>
  <c r="AB17" i="1"/>
  <c r="AA17" i="1"/>
  <c r="U22" i="1"/>
  <c r="Y22" i="1" s="1"/>
  <c r="AB22" i="1"/>
  <c r="AA22" i="1"/>
  <c r="AB26" i="1"/>
  <c r="U26" i="1"/>
  <c r="Y26" i="1" s="1"/>
  <c r="AA26" i="1"/>
  <c r="P26" i="1"/>
  <c r="N26" i="1" s="1"/>
  <c r="Q26" i="1" s="1"/>
  <c r="K26" i="1" s="1"/>
  <c r="L26" i="1" s="1"/>
  <c r="P20" i="1"/>
  <c r="N20" i="1" s="1"/>
  <c r="Q20" i="1" s="1"/>
  <c r="K20" i="1" s="1"/>
  <c r="L20" i="1" s="1"/>
  <c r="AB18" i="1"/>
  <c r="U18" i="1"/>
  <c r="Y18" i="1" s="1"/>
  <c r="P18" i="1"/>
  <c r="N18" i="1" s="1"/>
  <c r="Q18" i="1" s="1"/>
  <c r="K18" i="1" s="1"/>
  <c r="L18" i="1" s="1"/>
  <c r="AA18" i="1"/>
  <c r="U28" i="1"/>
  <c r="Y28" i="1" s="1"/>
  <c r="AB28" i="1"/>
  <c r="AA28" i="1"/>
  <c r="AC27" i="1"/>
  <c r="AC19" i="1" l="1"/>
  <c r="AC28" i="1"/>
  <c r="AC18" i="1"/>
  <c r="AC24" i="1"/>
  <c r="AC26" i="1"/>
  <c r="AC23" i="1"/>
  <c r="AC20" i="1"/>
  <c r="AC30" i="1"/>
  <c r="AC29" i="1"/>
  <c r="AC25" i="1"/>
  <c r="AC22" i="1"/>
  <c r="AC17" i="1"/>
  <c r="AC21" i="1"/>
</calcChain>
</file>

<file path=xl/sharedStrings.xml><?xml version="1.0" encoding="utf-8"?>
<sst xmlns="http://schemas.openxmlformats.org/spreadsheetml/2006/main" count="771" uniqueCount="355">
  <si>
    <t>File opened</t>
  </si>
  <si>
    <t>2020-07-06 11:49:03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</si>
  <si>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</si>
  <si>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</si>
  <si>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</si>
  <si>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</si>
  <si>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</si>
  <si>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</si>
  <si>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</si>
  <si>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</si>
  <si>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</si>
  <si>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</si>
  <si>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</si>
  <si>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{"h2obspanconc2": "0", "flowbzero": "0.22736", "co2azero": "0.869071", "h2oaspan2a": "0.0661155", "co2bspan2b": "0.162103", "tbzero": "0.197721", "h2oaspan2b": "0.0662632", "ssa_ref": "36614.9", "co2aspan1": "0.992625", "co2aspanconc1": "1002", "h2obspan2b": "0.0963575", "co2bzero": "0.880288", "co2bspanconc1": "1002", "h2oaspan1": "1.00223", "flowmeterzero": "0.990908", "h2obspanconc1": "20", "tazero": "0.00774765", "co2bspan2": "0", "flowazero": "0.42932", "co2bspan1": "0.992131", "co2aspan2": "0", "h2oaspan2": "0", "h2obspan1": "0.998578", "co2aspan2b": "0.163711", "ssb_ref": "36526.8", "h2oazero": "1.00263", "co2bspanconc2": "0", "oxygen": "21", "h2obspan2a": "0.0975941", "co2aspanconc2": "0", "co2bspan2a": "0.163389", "h2oaspanconc1": "12.19", "h2obzero": "1.01783", "co2aspan2a": "0.164928", "h2obspan2": "0", "h2oaspanconc2": "0", "chamberpressurezero": "2.59209"}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</si>
  <si>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</si>
  <si>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</si>
  <si>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</si>
  <si>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</si>
  <si>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</si>
  <si>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</si>
  <si>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</si>
  <si>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</si>
  <si>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</si>
  <si>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11:49:03</t>
  </si>
  <si>
    <t>Stability Definition:	CO2_s (Meas): Slp&lt;0.3	H2O_s (Meas): Slp&lt;0.2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</si>
  <si>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</si>
  <si>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</si>
  <si>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</si>
  <si>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</si>
  <si>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</si>
  <si>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</si>
  <si>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</si>
  <si>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</si>
  <si>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</si>
  <si>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</si>
  <si>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</si>
  <si>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</si>
  <si>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</si>
  <si>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</si>
  <si>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</si>
  <si>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</si>
  <si>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</si>
  <si>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</si>
  <si>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</si>
  <si>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</si>
  <si>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</si>
  <si>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</si>
  <si>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</si>
  <si>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</si>
  <si>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</si>
  <si>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</si>
  <si>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</si>
  <si>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</si>
  <si>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</si>
  <si>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</si>
  <si>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</si>
  <si>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</si>
  <si>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</si>
  <si>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</si>
  <si>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</si>
  <si>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</si>
  <si>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</si>
  <si>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</si>
  <si>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</si>
  <si>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</si>
  <si>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</si>
  <si>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</si>
  <si>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</si>
  <si>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</si>
  <si>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</si>
  <si>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</si>
  <si>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3.70143 76.3892 390.414 623.28 848.427 1048.12 1223.65 1394.11</t>
  </si>
  <si>
    <t>Fs_true</t>
  </si>
  <si>
    <t>0.43856 100.7 401.95 601.097 798.546 1000.45 1200.3 1401.35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</si>
  <si>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</si>
  <si>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</si>
  <si>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</si>
  <si>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</si>
  <si>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</si>
  <si>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</si>
  <si>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</si>
  <si>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</si>
  <si>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</si>
  <si>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</si>
  <si>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</si>
  <si>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</si>
  <si>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</si>
  <si>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</si>
  <si>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</si>
  <si>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</si>
  <si>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</si>
  <si>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</si>
  <si>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</si>
  <si>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</si>
  <si>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</si>
  <si>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</si>
  <si>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</si>
  <si>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</si>
  <si>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</si>
  <si>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</si>
  <si>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</si>
  <si>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</si>
  <si>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</si>
  <si>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</si>
  <si>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</si>
  <si>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</si>
  <si>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</si>
  <si>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</si>
  <si>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</si>
  <si>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</si>
  <si>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</si>
  <si>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</si>
  <si>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</si>
  <si>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</si>
  <si>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</si>
  <si>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</si>
  <si>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</si>
  <si>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</si>
  <si>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</si>
  <si>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</si>
  <si>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</si>
  <si>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</si>
  <si>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</si>
  <si>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</si>
  <si>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</si>
  <si>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</si>
  <si>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</si>
  <si>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</si>
  <si>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</si>
  <si>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</si>
  <si>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</si>
  <si>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</si>
  <si>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</si>
  <si>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</si>
  <si>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</si>
  <si>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</si>
  <si>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</si>
  <si>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</si>
  <si>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</si>
  <si>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</si>
  <si>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</si>
  <si>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</si>
  <si>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</si>
  <si>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</si>
  <si>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</si>
  <si>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</si>
  <si>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</si>
  <si>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</si>
  <si>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</si>
  <si>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</si>
  <si>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</si>
  <si>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</si>
  <si>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</si>
  <si>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</si>
  <si>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</si>
  <si>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</si>
  <si>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</si>
  <si>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</si>
  <si>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</si>
  <si>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</si>
  <si>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</si>
  <si>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</si>
  <si>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</si>
  <si>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</si>
  <si>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</si>
  <si>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</si>
  <si>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</si>
  <si>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</si>
  <si>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</si>
  <si>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</si>
  <si>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</si>
  <si>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</si>
  <si>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</si>
  <si>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</si>
  <si>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</si>
  <si>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</si>
  <si>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</si>
  <si>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</si>
  <si>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</si>
  <si>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</si>
  <si>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</si>
  <si>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</si>
  <si>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</si>
  <si>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</si>
  <si>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</si>
  <si>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</si>
  <si>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</si>
  <si>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</si>
  <si>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</si>
  <si>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</si>
  <si>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</si>
  <si>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</si>
  <si>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</si>
  <si>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</si>
  <si>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</si>
  <si>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</si>
  <si>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</si>
  <si>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</si>
  <si>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</si>
  <si>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</si>
  <si>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</si>
  <si>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</si>
  <si>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</si>
  <si>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</si>
  <si>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</si>
  <si>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</si>
  <si>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</si>
  <si>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</si>
  <si>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</si>
  <si>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H2O_s:MN</t>
  </si>
  <si>
    <t>H2O_s:SLP</t>
  </si>
  <si>
    <t>H2O_s:SD</t>
  </si>
  <si>
    <t>H2O_s:OK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</si>
  <si>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</si>
  <si>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</si>
  <si>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</si>
  <si>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</si>
  <si>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</si>
  <si>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</si>
  <si>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</si>
  <si>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</si>
  <si>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</si>
  <si>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</si>
  <si>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</si>
  <si>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</si>
  <si>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</si>
  <si>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</si>
  <si>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</si>
  <si>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</si>
  <si>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</si>
  <si>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</si>
  <si>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</si>
  <si>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</si>
  <si>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</si>
  <si>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</si>
  <si>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</si>
  <si>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</si>
  <si>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</si>
  <si>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</si>
  <si>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</si>
  <si>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</si>
  <si>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</si>
  <si>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</si>
  <si>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</si>
  <si>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</si>
  <si>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</si>
  <si>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</si>
  <si>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</si>
  <si>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</si>
  <si>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</si>
  <si>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</si>
  <si>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</si>
  <si>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</si>
  <si>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</si>
  <si>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</si>
  <si>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</si>
  <si>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</si>
  <si>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</si>
  <si>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</si>
  <si>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</si>
  <si>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</si>
  <si>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</si>
  <si>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</si>
  <si>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</si>
  <si>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</si>
  <si>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</si>
  <si>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</si>
  <si>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</si>
  <si>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</si>
  <si>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</si>
  <si>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</si>
  <si>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</si>
  <si>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</si>
  <si>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</si>
  <si>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</si>
  <si>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</si>
  <si>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</si>
  <si>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20200706 11:54:32</t>
  </si>
  <si>
    <t>11:54:32</t>
  </si>
  <si>
    <t>MPF-4623-20200706-11_54_33</t>
  </si>
  <si>
    <t>DARK-4624-20200706-11_54_41</t>
  </si>
  <si>
    <t>0: Broadleaf</t>
  </si>
  <si>
    <t>11:55:01</t>
  </si>
  <si>
    <t>2/2</t>
  </si>
  <si>
    <t>5</t>
  </si>
  <si>
    <t>11111111</t>
  </si>
  <si>
    <t>oooooooo</t>
  </si>
  <si>
    <t>off</t>
  </si>
  <si>
    <t>20200706 11:57:03</t>
  </si>
  <si>
    <t>11:57:03</t>
  </si>
  <si>
    <t>MPF-4625-20200706-11_57_05</t>
  </si>
  <si>
    <t>DARK-4626-20200706-11_57_13</t>
  </si>
  <si>
    <t>11:57:36</t>
  </si>
  <si>
    <t>1/2</t>
  </si>
  <si>
    <t>20200706 11:59:07</t>
  </si>
  <si>
    <t>11:59:07</t>
  </si>
  <si>
    <t>MPF-4627-20200706-11_59_09</t>
  </si>
  <si>
    <t>DARK-4628-20200706-11_59_16</t>
  </si>
  <si>
    <t>11:59:40</t>
  </si>
  <si>
    <t>20200706 12:01:11</t>
  </si>
  <si>
    <t>12:01:11</t>
  </si>
  <si>
    <t>MPF-4629-20200706-12_01_13</t>
  </si>
  <si>
    <t>DARK-4630-20200706-12_01_20</t>
  </si>
  <si>
    <t>12:01:41</t>
  </si>
  <si>
    <t>20200706 12:03:13</t>
  </si>
  <si>
    <t>12:03:13</t>
  </si>
  <si>
    <t>MPF-4631-20200706-12_03_14</t>
  </si>
  <si>
    <t>DARK-4632-20200706-12_03_22</t>
  </si>
  <si>
    <t>12:03:37</t>
  </si>
  <si>
    <t>20200706 12:05:31</t>
  </si>
  <si>
    <t>12:05:31</t>
  </si>
  <si>
    <t>MPF-4633-20200706-12_05_32</t>
  </si>
  <si>
    <t>DARK-4634-20200706-12_05_40</t>
  </si>
  <si>
    <t>12:05:59</t>
  </si>
  <si>
    <t>20200706 12:07:31</t>
  </si>
  <si>
    <t>12:07:31</t>
  </si>
  <si>
    <t>MPF-4635-20200706-12_07_32</t>
  </si>
  <si>
    <t>DARK-4636-20200706-12_07_40</t>
  </si>
  <si>
    <t>12:07:57</t>
  </si>
  <si>
    <t>20200706 12:09:59</t>
  </si>
  <si>
    <t>12:09:59</t>
  </si>
  <si>
    <t>MPF-4637-20200706-12_10_00</t>
  </si>
  <si>
    <t>DARK-4638-20200706-12_10_08</t>
  </si>
  <si>
    <t>12:10:25</t>
  </si>
  <si>
    <t>20200706 12:12:27</t>
  </si>
  <si>
    <t>12:12:27</t>
  </si>
  <si>
    <t>MPF-4639-20200706-12_12_28</t>
  </si>
  <si>
    <t>DARK-4640-20200706-12_12_36</t>
  </si>
  <si>
    <t>12:12:52</t>
  </si>
  <si>
    <t>20200706 12:14:54</t>
  </si>
  <si>
    <t>12:14:54</t>
  </si>
  <si>
    <t>MPF-4641-20200706-12_14_55</t>
  </si>
  <si>
    <t>DARK-4642-20200706-12_15_03</t>
  </si>
  <si>
    <t>12:15:20</t>
  </si>
  <si>
    <t>20200706 12:17:22</t>
  </si>
  <si>
    <t>12:17:22</t>
  </si>
  <si>
    <t>MPF-4643-20200706-12_17_23</t>
  </si>
  <si>
    <t>DARK-4644-20200706-12_17_31</t>
  </si>
  <si>
    <t>12:18:00</t>
  </si>
  <si>
    <t>0/2</t>
  </si>
  <si>
    <t>20200706 12:20:02</t>
  </si>
  <si>
    <t>12:20:02</t>
  </si>
  <si>
    <t>MPF-4645-20200706-12_20_03</t>
  </si>
  <si>
    <t>DARK-4646-20200706-12_20_11</t>
  </si>
  <si>
    <t>12:20:28</t>
  </si>
  <si>
    <t>20200706 12:22:20</t>
  </si>
  <si>
    <t>12:22:20</t>
  </si>
  <si>
    <t>MPF-4647-20200706-12_22_22</t>
  </si>
  <si>
    <t>DARK-4648-20200706-12_22_30</t>
  </si>
  <si>
    <t>12:22:45</t>
  </si>
  <si>
    <t>20200706 12:24:47</t>
  </si>
  <si>
    <t>12:24:47</t>
  </si>
  <si>
    <t>MPF-4649-20200706-12_24_48</t>
  </si>
  <si>
    <t>DARK-4650-20200706-12_24_56</t>
  </si>
  <si>
    <t>12:25:21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</si>
</sst>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0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1594054472</v>
      </c>
      <c r="C17">
        <v>0</v>
      </c>
      <c r="D17" t="s">
        <v>277</v>
      </c>
      <c r="E17" t="s">
        <v>278</v>
      </c>
      <c r="G17">
        <v>1594054464.0032301</v>
      </c>
      <c r="H17">
        <f t="shared" ref="H17:H30" si="0">CC17*AI17*(CA17-CB17)/(100*$B$5*(1000-AI17*CA17))</f>
        <v>1.2664814382224677E-2</v>
      </c>
      <c r="I17">
        <f t="shared" ref="I17:I30" si="1">CC17*AI17*(BZ17-BY17*(1000-AI17*CB17)/(1000-AI17*CA17))/(100*$B$5)</f>
        <v>35.107682343528282</v>
      </c>
      <c r="J17">
        <f t="shared" ref="J17:J30" si="2">BY17 - IF(AI17&gt;1, I17*$B$5*100/(AK17*CI17), 0)</f>
        <v>383.99174193548401</v>
      </c>
      <c r="K17">
        <f t="shared" ref="K17:K30" si="3">((Q17-H17/2)*J17-I17)/(Q17+H17/2)</f>
        <v>308.6704567525382</v>
      </c>
      <c r="L17">
        <f t="shared" ref="L17:L30" si="4">K17*(CD17+CE17)/1000</f>
        <v>30.697500998877299</v>
      </c>
      <c r="M17">
        <f t="shared" ref="M17:M30" si="5">(BY17 - IF(AI17&gt;1, I17*$B$5*100/(AK17*CI17), 0))*(CD17+CE17)/1000</f>
        <v>38.188257488714868</v>
      </c>
      <c r="N17">
        <f t="shared" ref="N17:N30" si="6">2/((1/P17-1/O17)+SIGN(P17)*SQRT((1/P17-1/O17)*(1/P17-1/O17) + 4*BV17/((BV17+1)*(BV17+1))*(2*1/P17*1/O17-1/O17*1/O17)))</f>
        <v>0.95015102144192065</v>
      </c>
      <c r="O17">
        <f t="shared" ref="O17:O30" si="7">AF17+AE17*$B$5+AD17*$B$5*$B$5</f>
        <v>3.3767164296106653</v>
      </c>
      <c r="P17">
        <f t="shared" ref="P17:P30" si="8">H17*(1000-(1000*0.61365*EXP(17.502*T17/(240.97+T17))/(CD17+CE17)+CA17)/2)/(1000*0.61365*EXP(17.502*T17/(240.97+T17))/(CD17+CE17)-CA17)</f>
        <v>0.82293634158774154</v>
      </c>
      <c r="Q17">
        <f t="shared" ref="Q17:Q30" si="9">1/((BV17+1)/(N17/1.6)+1/(O17/1.37)) + BV17/((BV17+1)/(N17/1.6) + BV17/(O17/1.37))</f>
        <v>0.52433918693217163</v>
      </c>
      <c r="R17">
        <f t="shared" ref="R17:R30" si="10">(BS17*BU17)</f>
        <v>321.43936345318303</v>
      </c>
      <c r="S17">
        <f t="shared" ref="S17:S30" si="11">(CF17+(R17+2*0.95*0.0000000567*(((CF17+$B$7)+273)^4-(CF17+273)^4)-44100*H17)/(1.84*29.3*O17+8*0.95*0.0000000567*(CF17+273)^3))</f>
        <v>27.26468003894918</v>
      </c>
      <c r="T17">
        <f t="shared" ref="T17:T30" si="12">($C$7*CG17+$D$7*CH17+$E$7*S17)</f>
        <v>27.1795032258064</v>
      </c>
      <c r="U17">
        <f t="shared" ref="U17:U30" si="13">0.61365*EXP(17.502*T17/(240.97+T17))</f>
        <v>3.6170676694932435</v>
      </c>
      <c r="V17">
        <f t="shared" ref="V17:V30" si="14">(W17/X17*100)</f>
        <v>54.57821864475725</v>
      </c>
      <c r="W17">
        <f t="shared" ref="W17:W30" si="15">CA17*(CD17+CE17)/1000</f>
        <v>2.130771262649318</v>
      </c>
      <c r="X17">
        <f t="shared" ref="X17:X30" si="16">0.61365*EXP(17.502*CF17/(240.97+CF17))</f>
        <v>3.9040689043338697</v>
      </c>
      <c r="Y17">
        <f t="shared" ref="Y17:Y30" si="17">(U17-CA17*(CD17+CE17)/1000)</f>
        <v>1.4862964068439255</v>
      </c>
      <c r="Z17">
        <f t="shared" ref="Z17:Z30" si="18">(-H17*44100)</f>
        <v>-558.51831425610828</v>
      </c>
      <c r="AA17">
        <f t="shared" ref="AA17:AA30" si="19">2*29.3*O17*0.92*(CF17-T17)</f>
        <v>238.14316174061594</v>
      </c>
      <c r="AB17">
        <f t="shared" ref="AB17:AB30" si="20">2*0.95*0.0000000567*(((CF17+$B$7)+273)^4-(T17+273)^4)</f>
        <v>15.347431965704258</v>
      </c>
      <c r="AC17">
        <f t="shared" ref="AC17:AC30" si="21">R17+AB17+Z17+AA17</f>
        <v>16.41164290339492</v>
      </c>
      <c r="AD17">
        <v>-4.1087366915847398E-2</v>
      </c>
      <c r="AE17">
        <v>4.6124168814072303E-2</v>
      </c>
      <c r="AF17">
        <v>3.4488175596459101</v>
      </c>
      <c r="AG17">
        <v>159</v>
      </c>
      <c r="AH17">
        <v>32</v>
      </c>
      <c r="AI17">
        <f t="shared" ref="AI17:AI30" si="22">IF(AG17*$H$13&gt;=AK17,1,(AK17/(AK17-AG17*$H$13)))</f>
        <v>1</v>
      </c>
      <c r="AJ17">
        <f t="shared" ref="AJ17:AJ30" si="23">(AI17-1)*100</f>
        <v>0</v>
      </c>
      <c r="AK17">
        <f t="shared" ref="AK17:AK30" si="24">MAX(0,($B$13+$C$13*CI17)/(1+$D$13*CI17)*CD17/(CF17+273)*$E$13)</f>
        <v>52137.94715585628</v>
      </c>
      <c r="AL17">
        <v>0</v>
      </c>
      <c r="AM17">
        <v>0</v>
      </c>
      <c r="AN17">
        <v>0</v>
      </c>
      <c r="AO17">
        <f t="shared" ref="AO17:AO30" si="25">AN17-AM17</f>
        <v>0</v>
      </c>
      <c r="AP17" t="e">
        <f t="shared" ref="AP17:AP30" si="26">AO17/AN17</f>
        <v>#DIV/0!</v>
      </c>
      <c r="AQ17">
        <v>-1</v>
      </c>
      <c r="AR17" t="s">
        <v>279</v>
      </c>
      <c r="AS17">
        <v>327.42330769230801</v>
      </c>
      <c r="AT17">
        <v>469.495</v>
      </c>
      <c r="AU17">
        <f t="shared" ref="AU17:AU30" si="27">1-AS17/AT17</f>
        <v>0.30260533617544805</v>
      </c>
      <c r="AV17">
        <v>0.5</v>
      </c>
      <c r="AW17">
        <f t="shared" ref="AW17:AW30" si="28">BS17</f>
        <v>1681.1972416123747</v>
      </c>
      <c r="AX17">
        <f t="shared" ref="AX17:AX30" si="29">I17</f>
        <v>35.107682343528282</v>
      </c>
      <c r="AY17">
        <f t="shared" ref="AY17:AY30" si="30">AU17*AV17*AW17</f>
        <v>254.36962823767431</v>
      </c>
      <c r="AZ17">
        <f t="shared" ref="AZ17:AZ30" si="31">BE17/AT17</f>
        <v>0.569537481762319</v>
      </c>
      <c r="BA17">
        <f t="shared" ref="BA17:BA30" si="32">(AX17-AQ17)/AW17</f>
        <v>2.1477362352140626E-2</v>
      </c>
      <c r="BB17">
        <f t="shared" ref="BB17:BB30" si="33">(AN17-AT17)/AT17</f>
        <v>-1</v>
      </c>
      <c r="BC17" t="s">
        <v>280</v>
      </c>
      <c r="BD17">
        <v>202.1</v>
      </c>
      <c r="BE17">
        <f t="shared" ref="BE17:BE30" si="34">AT17-BD17</f>
        <v>267.39499999999998</v>
      </c>
      <c r="BF17">
        <f t="shared" ref="BF17:BF30" si="35">(AT17-AS17)/(AT17-BD17)</f>
        <v>0.53131768472743324</v>
      </c>
      <c r="BG17">
        <f t="shared" ref="BG17:BG30" si="36">(AN17-AT17)/(AN17-BD17)</f>
        <v>2.3230826323602178</v>
      </c>
      <c r="BH17">
        <f t="shared" ref="BH17:BH30" si="37">(AT17-AS17)/(AT17-AM17)</f>
        <v>0.30260533617544805</v>
      </c>
      <c r="BI17" t="e">
        <f t="shared" ref="BI17:BI30" si="38">(AN17-AT17)/(AN17-AM17)</f>
        <v>#DIV/0!</v>
      </c>
      <c r="BJ17">
        <v>4623</v>
      </c>
      <c r="BK17">
        <v>300</v>
      </c>
      <c r="BL17">
        <v>300</v>
      </c>
      <c r="BM17">
        <v>300</v>
      </c>
      <c r="BN17">
        <v>9876.5499999999993</v>
      </c>
      <c r="BO17">
        <v>431.33600000000001</v>
      </c>
      <c r="BP17">
        <v>-6.5697899999999998E-3</v>
      </c>
      <c r="BQ17">
        <v>0.51190199999999997</v>
      </c>
      <c r="BR17">
        <f t="shared" ref="BR17:BR30" si="39">$B$11*CJ17+$C$11*CK17+$F$11*CL17</f>
        <v>2000.0006451612901</v>
      </c>
      <c r="BS17">
        <f t="shared" ref="BS17:BS30" si="40">BR17*BT17</f>
        <v>1681.1972416123747</v>
      </c>
      <c r="BT17">
        <f t="shared" ref="BT17:BT30" si="41">($B$11*$D$9+$C$11*$D$9+$F$11*((CY17+CQ17)/MAX(CY17+CQ17+CZ17, 0.1)*$I$9+CZ17/MAX(CY17+CQ17+CZ17, 0.1)*$J$9))/($B$11+$C$11+$F$11)</f>
        <v>0.84059834964542945</v>
      </c>
      <c r="BU17">
        <f t="shared" ref="BU17:BU30" si="42">($B$11*$K$9+$C$11*$K$9+$F$11*((CY17+CQ17)/MAX(CY17+CQ17+CZ17, 0.1)*$P$9+CZ17/MAX(CY17+CQ17+CZ17, 0.1)*$Q$9))/($B$11+$C$11+$F$11)</f>
        <v>0.19119669929085914</v>
      </c>
      <c r="BV17">
        <v>0.5</v>
      </c>
      <c r="BW17" t="s">
        <v>281</v>
      </c>
      <c r="BX17">
        <v>1594054464.0032301</v>
      </c>
      <c r="BY17">
        <v>383.99174193548401</v>
      </c>
      <c r="BZ17">
        <v>399.97800000000001</v>
      </c>
      <c r="CA17">
        <v>21.425396774193501</v>
      </c>
      <c r="CB17">
        <v>16.468658064516099</v>
      </c>
      <c r="CC17">
        <v>500.06532258064499</v>
      </c>
      <c r="CD17">
        <v>99.250699999999995</v>
      </c>
      <c r="CE17">
        <v>0.20002593548387099</v>
      </c>
      <c r="CF17">
        <v>28.487654838709702</v>
      </c>
      <c r="CG17">
        <v>27.1795032258064</v>
      </c>
      <c r="CH17">
        <v>999.9</v>
      </c>
      <c r="CI17">
        <v>9983.2225806451606</v>
      </c>
      <c r="CJ17">
        <v>0</v>
      </c>
      <c r="CK17">
        <v>188.850032258065</v>
      </c>
      <c r="CL17">
        <v>2000.0006451612901</v>
      </c>
      <c r="CM17">
        <v>0.98000399999999999</v>
      </c>
      <c r="CN17">
        <v>1.9995700000000002E-2</v>
      </c>
      <c r="CO17">
        <v>0</v>
      </c>
      <c r="CP17">
        <v>327.51196774193602</v>
      </c>
      <c r="CQ17">
        <v>5.00054</v>
      </c>
      <c r="CR17">
        <v>7533.0083870967701</v>
      </c>
      <c r="CS17">
        <v>18703.654838709699</v>
      </c>
      <c r="CT17">
        <v>47.037999999999997</v>
      </c>
      <c r="CU17">
        <v>48.461387096774203</v>
      </c>
      <c r="CV17">
        <v>47.316064516129003</v>
      </c>
      <c r="CW17">
        <v>47.802096774193501</v>
      </c>
      <c r="CX17">
        <v>48.721483870967703</v>
      </c>
      <c r="CY17">
        <v>1955.11064516129</v>
      </c>
      <c r="CZ17">
        <v>39.89</v>
      </c>
      <c r="DA17">
        <v>0</v>
      </c>
      <c r="DB17">
        <v>527.29999995231606</v>
      </c>
      <c r="DC17">
        <v>327.42330769230801</v>
      </c>
      <c r="DD17">
        <v>-10.0168888967481</v>
      </c>
      <c r="DE17">
        <v>-207.69504193722199</v>
      </c>
      <c r="DF17">
        <v>7530.6023076923102</v>
      </c>
      <c r="DG17">
        <v>15</v>
      </c>
      <c r="DH17">
        <v>1594054501.5</v>
      </c>
      <c r="DI17" t="s">
        <v>282</v>
      </c>
      <c r="DJ17">
        <v>44</v>
      </c>
      <c r="DK17">
        <v>-0.498</v>
      </c>
      <c r="DL17">
        <v>0.1</v>
      </c>
      <c r="DM17">
        <v>400</v>
      </c>
      <c r="DN17">
        <v>16</v>
      </c>
      <c r="DO17">
        <v>0.4</v>
      </c>
      <c r="DP17">
        <v>0.02</v>
      </c>
      <c r="DQ17">
        <v>384.19435185185199</v>
      </c>
      <c r="DR17">
        <v>0.205972239781225</v>
      </c>
      <c r="DS17">
        <v>2.9155494626935698E-2</v>
      </c>
      <c r="DT17">
        <v>1</v>
      </c>
      <c r="DU17">
        <v>21.444920370370401</v>
      </c>
      <c r="DV17">
        <v>1.2033701752995301E-2</v>
      </c>
      <c r="DW17">
        <v>1.3166165667397299E-2</v>
      </c>
      <c r="DX17">
        <v>1</v>
      </c>
      <c r="DY17">
        <v>2</v>
      </c>
      <c r="DZ17">
        <v>2</v>
      </c>
      <c r="EA17" t="s">
        <v>283</v>
      </c>
      <c r="EB17">
        <v>1.8666199999999999</v>
      </c>
      <c r="EC17">
        <v>1.86314</v>
      </c>
      <c r="ED17">
        <v>1.8687400000000001</v>
      </c>
      <c r="EE17">
        <v>1.8667499999999999</v>
      </c>
      <c r="EF17">
        <v>1.8714299999999999</v>
      </c>
      <c r="EG17">
        <v>1.8638600000000001</v>
      </c>
      <c r="EH17">
        <v>1.86528</v>
      </c>
      <c r="EI17">
        <v>1.8652299999999999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-0.498</v>
      </c>
      <c r="EX17">
        <v>0.1</v>
      </c>
      <c r="EY17">
        <v>2</v>
      </c>
      <c r="EZ17">
        <v>326.39600000000002</v>
      </c>
      <c r="FA17">
        <v>440.375</v>
      </c>
      <c r="FB17">
        <v>23.387899999999998</v>
      </c>
      <c r="FC17">
        <v>37.653100000000002</v>
      </c>
      <c r="FD17">
        <v>30.001300000000001</v>
      </c>
      <c r="FE17">
        <v>37.640799999999999</v>
      </c>
      <c r="FF17">
        <v>37.636099999999999</v>
      </c>
      <c r="FG17">
        <v>22.140499999999999</v>
      </c>
      <c r="FH17">
        <v>53.4574</v>
      </c>
      <c r="FI17">
        <v>0</v>
      </c>
      <c r="FJ17">
        <v>23.331399999999999</v>
      </c>
      <c r="FK17">
        <v>400</v>
      </c>
      <c r="FL17">
        <v>16.6068</v>
      </c>
      <c r="FM17">
        <v>99.953500000000005</v>
      </c>
      <c r="FN17">
        <v>100.447</v>
      </c>
    </row>
    <row r="18" spans="1:170" x14ac:dyDescent="0.25">
      <c r="A18">
        <v>2</v>
      </c>
      <c r="B18">
        <v>1594054623.5</v>
      </c>
      <c r="C18">
        <v>151.5</v>
      </c>
      <c r="D18" t="s">
        <v>288</v>
      </c>
      <c r="E18" t="s">
        <v>289</v>
      </c>
      <c r="G18">
        <v>1594054615.5129001</v>
      </c>
      <c r="H18">
        <f t="shared" si="0"/>
        <v>1.1850374379375613E-2</v>
      </c>
      <c r="I18">
        <f t="shared" si="1"/>
        <v>27.085401122131135</v>
      </c>
      <c r="J18">
        <f t="shared" si="2"/>
        <v>287.79119354838701</v>
      </c>
      <c r="K18">
        <f t="shared" si="3"/>
        <v>225.89491469486444</v>
      </c>
      <c r="L18">
        <f t="shared" si="4"/>
        <v>22.464642855149226</v>
      </c>
      <c r="M18">
        <f t="shared" si="5"/>
        <v>28.620061627569786</v>
      </c>
      <c r="N18">
        <f t="shared" si="6"/>
        <v>0.87373172479587258</v>
      </c>
      <c r="O18">
        <f t="shared" si="7"/>
        <v>3.3803086341028621</v>
      </c>
      <c r="P18">
        <f t="shared" si="8"/>
        <v>0.76500961016566571</v>
      </c>
      <c r="Q18">
        <f t="shared" si="9"/>
        <v>0.48676734737988142</v>
      </c>
      <c r="R18">
        <f t="shared" si="10"/>
        <v>321.43996888924187</v>
      </c>
      <c r="S18">
        <f t="shared" si="11"/>
        <v>26.769278881221354</v>
      </c>
      <c r="T18">
        <f t="shared" si="12"/>
        <v>26.909077419354801</v>
      </c>
      <c r="U18">
        <f t="shared" si="13"/>
        <v>3.5600910822232255</v>
      </c>
      <c r="V18">
        <f t="shared" si="14"/>
        <v>54.985068514329285</v>
      </c>
      <c r="W18">
        <f t="shared" si="15"/>
        <v>2.0631567843408467</v>
      </c>
      <c r="X18">
        <f t="shared" si="16"/>
        <v>3.7522128099252643</v>
      </c>
      <c r="Y18">
        <f t="shared" si="17"/>
        <v>1.4969342978823788</v>
      </c>
      <c r="Z18">
        <f t="shared" si="18"/>
        <v>-522.60151013046448</v>
      </c>
      <c r="AA18">
        <f t="shared" si="19"/>
        <v>163.52088186252203</v>
      </c>
      <c r="AB18">
        <f t="shared" si="20"/>
        <v>10.477205053666996</v>
      </c>
      <c r="AC18">
        <f t="shared" si="21"/>
        <v>-27.163454325033598</v>
      </c>
      <c r="AD18">
        <v>-4.1142894022238502E-2</v>
      </c>
      <c r="AE18">
        <v>4.6186502855438002E-2</v>
      </c>
      <c r="AF18">
        <v>3.45250720448094</v>
      </c>
      <c r="AG18">
        <v>160</v>
      </c>
      <c r="AH18">
        <v>32</v>
      </c>
      <c r="AI18">
        <f t="shared" si="22"/>
        <v>1</v>
      </c>
      <c r="AJ18">
        <f t="shared" si="23"/>
        <v>0</v>
      </c>
      <c r="AK18">
        <f t="shared" si="24"/>
        <v>52323.709785229788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290.16638461538503</v>
      </c>
      <c r="AT18">
        <v>406.41</v>
      </c>
      <c r="AU18">
        <f t="shared" si="27"/>
        <v>0.28602548014225782</v>
      </c>
      <c r="AV18">
        <v>0.5</v>
      </c>
      <c r="AW18">
        <f t="shared" si="28"/>
        <v>1681.1999996768768</v>
      </c>
      <c r="AX18">
        <f t="shared" si="29"/>
        <v>27.085401122131135</v>
      </c>
      <c r="AY18">
        <f t="shared" si="30"/>
        <v>240.4330185613712</v>
      </c>
      <c r="AZ18">
        <f t="shared" si="31"/>
        <v>0.51349622302600828</v>
      </c>
      <c r="BA18">
        <f t="shared" si="32"/>
        <v>1.6705568122489349E-2</v>
      </c>
      <c r="BB18">
        <f t="shared" si="33"/>
        <v>-1</v>
      </c>
      <c r="BC18" t="s">
        <v>291</v>
      </c>
      <c r="BD18">
        <v>197.72</v>
      </c>
      <c r="BE18">
        <f t="shared" si="34"/>
        <v>208.69000000000003</v>
      </c>
      <c r="BF18">
        <f t="shared" si="35"/>
        <v>0.55701574289431688</v>
      </c>
      <c r="BG18">
        <f t="shared" si="36"/>
        <v>2.0554825005057658</v>
      </c>
      <c r="BH18">
        <f t="shared" si="37"/>
        <v>0.28602548014225782</v>
      </c>
      <c r="BI18" t="e">
        <f t="shared" si="38"/>
        <v>#DIV/0!</v>
      </c>
      <c r="BJ18">
        <v>4625</v>
      </c>
      <c r="BK18">
        <v>300</v>
      </c>
      <c r="BL18">
        <v>300</v>
      </c>
      <c r="BM18">
        <v>300</v>
      </c>
      <c r="BN18">
        <v>9876.8799999999992</v>
      </c>
      <c r="BO18">
        <v>374.37599999999998</v>
      </c>
      <c r="BP18">
        <v>-6.57005E-3</v>
      </c>
      <c r="BQ18">
        <v>4.1748E-2</v>
      </c>
      <c r="BR18">
        <f t="shared" si="39"/>
        <v>2000.0038709677401</v>
      </c>
      <c r="BS18">
        <f t="shared" si="40"/>
        <v>1681.1999996768768</v>
      </c>
      <c r="BT18">
        <f t="shared" si="41"/>
        <v>0.84059837287384653</v>
      </c>
      <c r="BU18">
        <f t="shared" si="42"/>
        <v>0.1911967457476933</v>
      </c>
      <c r="BV18">
        <v>0.5</v>
      </c>
      <c r="BW18" t="s">
        <v>281</v>
      </c>
      <c r="BX18">
        <v>1594054615.5129001</v>
      </c>
      <c r="BY18">
        <v>287.79119354838701</v>
      </c>
      <c r="BZ18">
        <v>299.98812903225797</v>
      </c>
      <c r="CA18">
        <v>20.7462290322581</v>
      </c>
      <c r="CB18">
        <v>16.1049516129032</v>
      </c>
      <c r="CC18">
        <v>500.05732258064501</v>
      </c>
      <c r="CD18">
        <v>99.247296774193501</v>
      </c>
      <c r="CE18">
        <v>0.200018741935484</v>
      </c>
      <c r="CF18">
        <v>27.806364516129001</v>
      </c>
      <c r="CG18">
        <v>26.909077419354801</v>
      </c>
      <c r="CH18">
        <v>999.9</v>
      </c>
      <c r="CI18">
        <v>9997.0570967741896</v>
      </c>
      <c r="CJ18">
        <v>0</v>
      </c>
      <c r="CK18">
        <v>101.328612903226</v>
      </c>
      <c r="CL18">
        <v>2000.0038709677401</v>
      </c>
      <c r="CM18">
        <v>0.98000296774193496</v>
      </c>
      <c r="CN18">
        <v>1.9997041935483899E-2</v>
      </c>
      <c r="CO18">
        <v>0</v>
      </c>
      <c r="CP18">
        <v>290.16383870967701</v>
      </c>
      <c r="CQ18">
        <v>5.00054</v>
      </c>
      <c r="CR18">
        <v>6620.3106451612903</v>
      </c>
      <c r="CS18">
        <v>18703.6677419355</v>
      </c>
      <c r="CT18">
        <v>46.840451612903202</v>
      </c>
      <c r="CU18">
        <v>48.058064516129001</v>
      </c>
      <c r="CV18">
        <v>47.066129032257997</v>
      </c>
      <c r="CW18">
        <v>47.402999999999999</v>
      </c>
      <c r="CX18">
        <v>48.461387096774203</v>
      </c>
      <c r="CY18">
        <v>1955.1122580645199</v>
      </c>
      <c r="CZ18">
        <v>39.891612903225798</v>
      </c>
      <c r="DA18">
        <v>0</v>
      </c>
      <c r="DB18">
        <v>150.60000014305101</v>
      </c>
      <c r="DC18">
        <v>290.16638461538503</v>
      </c>
      <c r="DD18">
        <v>-4.1910427530444698</v>
      </c>
      <c r="DE18">
        <v>-90.811965799714798</v>
      </c>
      <c r="DF18">
        <v>6619.88807692308</v>
      </c>
      <c r="DG18">
        <v>15</v>
      </c>
      <c r="DH18">
        <v>1594054656.5</v>
      </c>
      <c r="DI18" t="s">
        <v>292</v>
      </c>
      <c r="DJ18">
        <v>45</v>
      </c>
      <c r="DK18">
        <v>-0.45700000000000002</v>
      </c>
      <c r="DL18">
        <v>0.1</v>
      </c>
      <c r="DM18">
        <v>300</v>
      </c>
      <c r="DN18">
        <v>16</v>
      </c>
      <c r="DO18">
        <v>0.11</v>
      </c>
      <c r="DP18">
        <v>0.02</v>
      </c>
      <c r="DQ18">
        <v>287.72429629629602</v>
      </c>
      <c r="DR18">
        <v>0.23668603805101199</v>
      </c>
      <c r="DS18">
        <v>3.4389183069808302E-2</v>
      </c>
      <c r="DT18">
        <v>1</v>
      </c>
      <c r="DU18">
        <v>20.7691444444444</v>
      </c>
      <c r="DV18">
        <v>-0.21987058050389299</v>
      </c>
      <c r="DW18">
        <v>2.8837364308253299E-2</v>
      </c>
      <c r="DX18">
        <v>0</v>
      </c>
      <c r="DY18">
        <v>1</v>
      </c>
      <c r="DZ18">
        <v>2</v>
      </c>
      <c r="EA18" t="s">
        <v>293</v>
      </c>
      <c r="EB18">
        <v>1.8667400000000001</v>
      </c>
      <c r="EC18">
        <v>1.8632500000000001</v>
      </c>
      <c r="ED18">
        <v>1.86886</v>
      </c>
      <c r="EE18">
        <v>1.86676</v>
      </c>
      <c r="EF18">
        <v>1.8714900000000001</v>
      </c>
      <c r="EG18">
        <v>1.86392</v>
      </c>
      <c r="EH18">
        <v>1.8653900000000001</v>
      </c>
      <c r="EI18">
        <v>1.8653500000000001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-0.45700000000000002</v>
      </c>
      <c r="EX18">
        <v>0.1</v>
      </c>
      <c r="EY18">
        <v>2</v>
      </c>
      <c r="EZ18">
        <v>326.08499999999998</v>
      </c>
      <c r="FA18">
        <v>441.84800000000001</v>
      </c>
      <c r="FB18">
        <v>23.8703</v>
      </c>
      <c r="FC18">
        <v>37.3536</v>
      </c>
      <c r="FD18">
        <v>29.9986</v>
      </c>
      <c r="FE18">
        <v>37.4101</v>
      </c>
      <c r="FF18">
        <v>37.4101</v>
      </c>
      <c r="FG18">
        <v>17.6203</v>
      </c>
      <c r="FH18">
        <v>53.880600000000001</v>
      </c>
      <c r="FI18">
        <v>0</v>
      </c>
      <c r="FJ18">
        <v>23.902000000000001</v>
      </c>
      <c r="FK18">
        <v>300</v>
      </c>
      <c r="FL18">
        <v>16.259599999999999</v>
      </c>
      <c r="FM18">
        <v>100.011</v>
      </c>
      <c r="FN18">
        <v>100.524</v>
      </c>
    </row>
    <row r="19" spans="1:170" x14ac:dyDescent="0.25">
      <c r="A19">
        <v>3</v>
      </c>
      <c r="B19">
        <v>1594054747.5999999</v>
      </c>
      <c r="C19">
        <v>275.59999990463302</v>
      </c>
      <c r="D19" t="s">
        <v>294</v>
      </c>
      <c r="E19" t="s">
        <v>295</v>
      </c>
      <c r="G19">
        <v>1594054739.55161</v>
      </c>
      <c r="H19">
        <f t="shared" si="0"/>
        <v>1.043587889980401E-2</v>
      </c>
      <c r="I19">
        <f t="shared" si="1"/>
        <v>17.31155041968038</v>
      </c>
      <c r="J19">
        <f t="shared" si="2"/>
        <v>192.24941935483901</v>
      </c>
      <c r="K19">
        <f t="shared" si="3"/>
        <v>147.00294320828061</v>
      </c>
      <c r="L19">
        <f t="shared" si="4"/>
        <v>14.618313700491544</v>
      </c>
      <c r="M19">
        <f t="shared" si="5"/>
        <v>19.117728254491716</v>
      </c>
      <c r="N19">
        <f t="shared" si="6"/>
        <v>0.7450088945929878</v>
      </c>
      <c r="O19">
        <f t="shared" si="7"/>
        <v>3.3780542657384993</v>
      </c>
      <c r="P19">
        <f t="shared" si="8"/>
        <v>0.66433796248144716</v>
      </c>
      <c r="Q19">
        <f t="shared" si="9"/>
        <v>0.42172894622695067</v>
      </c>
      <c r="R19">
        <f t="shared" si="10"/>
        <v>321.44054297482035</v>
      </c>
      <c r="S19">
        <f t="shared" si="11"/>
        <v>27.060402770038444</v>
      </c>
      <c r="T19">
        <f t="shared" si="12"/>
        <v>27.047564516129</v>
      </c>
      <c r="U19">
        <f t="shared" si="13"/>
        <v>3.589170567705541</v>
      </c>
      <c r="V19">
        <f t="shared" si="14"/>
        <v>55.304867253912093</v>
      </c>
      <c r="W19">
        <f t="shared" si="15"/>
        <v>2.0715230629417491</v>
      </c>
      <c r="X19">
        <f t="shared" si="16"/>
        <v>3.7456433145949122</v>
      </c>
      <c r="Y19">
        <f t="shared" si="17"/>
        <v>1.5176475047637918</v>
      </c>
      <c r="Z19">
        <f t="shared" si="18"/>
        <v>-460.22225948135684</v>
      </c>
      <c r="AA19">
        <f t="shared" si="19"/>
        <v>132.72500185018143</v>
      </c>
      <c r="AB19">
        <f t="shared" si="20"/>
        <v>8.5143130293748772</v>
      </c>
      <c r="AC19">
        <f t="shared" si="21"/>
        <v>2.4575983730198061</v>
      </c>
      <c r="AD19">
        <v>-4.1108043655208697E-2</v>
      </c>
      <c r="AE19">
        <v>4.61473802653872E-2</v>
      </c>
      <c r="AF19">
        <v>3.4501916798285599</v>
      </c>
      <c r="AG19">
        <v>158</v>
      </c>
      <c r="AH19">
        <v>32</v>
      </c>
      <c r="AI19">
        <f t="shared" si="22"/>
        <v>1</v>
      </c>
      <c r="AJ19">
        <f t="shared" si="23"/>
        <v>0</v>
      </c>
      <c r="AK19">
        <f t="shared" si="24"/>
        <v>52286.3018774308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296</v>
      </c>
      <c r="AS19">
        <v>275.27888461538498</v>
      </c>
      <c r="AT19">
        <v>365.214</v>
      </c>
      <c r="AU19">
        <f t="shared" si="27"/>
        <v>0.24625319780899702</v>
      </c>
      <c r="AV19">
        <v>0.5</v>
      </c>
      <c r="AW19">
        <f t="shared" si="28"/>
        <v>1681.2007932251961</v>
      </c>
      <c r="AX19">
        <f t="shared" si="29"/>
        <v>17.31155041968038</v>
      </c>
      <c r="AY19">
        <f t="shared" si="30"/>
        <v>207.00053574536346</v>
      </c>
      <c r="AZ19">
        <f t="shared" si="31"/>
        <v>0.45933069378501368</v>
      </c>
      <c r="BA19">
        <f t="shared" si="32"/>
        <v>1.0891947287600141E-2</v>
      </c>
      <c r="BB19">
        <f t="shared" si="33"/>
        <v>-1</v>
      </c>
      <c r="BC19" t="s">
        <v>297</v>
      </c>
      <c r="BD19">
        <v>197.46</v>
      </c>
      <c r="BE19">
        <f t="shared" si="34"/>
        <v>167.75399999999999</v>
      </c>
      <c r="BF19">
        <f t="shared" si="35"/>
        <v>0.53611309050523404</v>
      </c>
      <c r="BG19">
        <f t="shared" si="36"/>
        <v>1.8495594044363415</v>
      </c>
      <c r="BH19">
        <f t="shared" si="37"/>
        <v>0.24625319780899696</v>
      </c>
      <c r="BI19" t="e">
        <f t="shared" si="38"/>
        <v>#DIV/0!</v>
      </c>
      <c r="BJ19">
        <v>4627</v>
      </c>
      <c r="BK19">
        <v>300</v>
      </c>
      <c r="BL19">
        <v>300</v>
      </c>
      <c r="BM19">
        <v>300</v>
      </c>
      <c r="BN19">
        <v>9877.67</v>
      </c>
      <c r="BO19">
        <v>340.50900000000001</v>
      </c>
      <c r="BP19">
        <v>-6.5707300000000003E-3</v>
      </c>
      <c r="BQ19">
        <v>1.2446299999999999</v>
      </c>
      <c r="BR19">
        <f t="shared" si="39"/>
        <v>2000.00451612903</v>
      </c>
      <c r="BS19">
        <f t="shared" si="40"/>
        <v>1681.2007932251961</v>
      </c>
      <c r="BT19">
        <f t="shared" si="41"/>
        <v>0.84059849848695722</v>
      </c>
      <c r="BU19">
        <f t="shared" si="42"/>
        <v>0.19119699697391443</v>
      </c>
      <c r="BV19">
        <v>0.5</v>
      </c>
      <c r="BW19" t="s">
        <v>281</v>
      </c>
      <c r="BX19">
        <v>1594054739.55161</v>
      </c>
      <c r="BY19">
        <v>192.24941935483901</v>
      </c>
      <c r="BZ19">
        <v>199.97545161290299</v>
      </c>
      <c r="CA19">
        <v>20.831403225806401</v>
      </c>
      <c r="CB19">
        <v>16.744593548387101</v>
      </c>
      <c r="CC19">
        <v>500.071483870968</v>
      </c>
      <c r="CD19">
        <v>99.242306451612905</v>
      </c>
      <c r="CE19">
        <v>0.20001341935483899</v>
      </c>
      <c r="CF19">
        <v>27.776351612903198</v>
      </c>
      <c r="CG19">
        <v>27.047564516129</v>
      </c>
      <c r="CH19">
        <v>999.9</v>
      </c>
      <c r="CI19">
        <v>9989.0912903225799</v>
      </c>
      <c r="CJ19">
        <v>0</v>
      </c>
      <c r="CK19">
        <v>96.302529032258093</v>
      </c>
      <c r="CL19">
        <v>2000.00451612903</v>
      </c>
      <c r="CM19">
        <v>0.98000200000000004</v>
      </c>
      <c r="CN19">
        <v>1.99983E-2</v>
      </c>
      <c r="CO19">
        <v>0</v>
      </c>
      <c r="CP19">
        <v>275.33922580645202</v>
      </c>
      <c r="CQ19">
        <v>5.00054</v>
      </c>
      <c r="CR19">
        <v>6302.1922580645196</v>
      </c>
      <c r="CS19">
        <v>18703.670967741898</v>
      </c>
      <c r="CT19">
        <v>46.622774193548402</v>
      </c>
      <c r="CU19">
        <v>47.844516129032201</v>
      </c>
      <c r="CV19">
        <v>46.844516129032201</v>
      </c>
      <c r="CW19">
        <v>47.227580645161297</v>
      </c>
      <c r="CX19">
        <v>48.286064516129002</v>
      </c>
      <c r="CY19">
        <v>1955.1045161290299</v>
      </c>
      <c r="CZ19">
        <v>39.9</v>
      </c>
      <c r="DA19">
        <v>0</v>
      </c>
      <c r="DB19">
        <v>123.39999985694899</v>
      </c>
      <c r="DC19">
        <v>275.27888461538498</v>
      </c>
      <c r="DD19">
        <v>-3.84482049938768</v>
      </c>
      <c r="DE19">
        <v>-76.310427367448</v>
      </c>
      <c r="DF19">
        <v>6301.6223076923097</v>
      </c>
      <c r="DG19">
        <v>15</v>
      </c>
      <c r="DH19">
        <v>1594054780</v>
      </c>
      <c r="DI19" t="s">
        <v>298</v>
      </c>
      <c r="DJ19">
        <v>46</v>
      </c>
      <c r="DK19">
        <v>-0.436</v>
      </c>
      <c r="DL19">
        <v>0.11</v>
      </c>
      <c r="DM19">
        <v>200</v>
      </c>
      <c r="DN19">
        <v>17</v>
      </c>
      <c r="DO19">
        <v>0.13</v>
      </c>
      <c r="DP19">
        <v>0.03</v>
      </c>
      <c r="DQ19">
        <v>192.22529629629599</v>
      </c>
      <c r="DR19">
        <v>2.88878700243561E-2</v>
      </c>
      <c r="DS19">
        <v>1.6825498319216901E-2</v>
      </c>
      <c r="DT19">
        <v>1</v>
      </c>
      <c r="DU19">
        <v>20.833620370370401</v>
      </c>
      <c r="DV19">
        <v>-0.10619566104717</v>
      </c>
      <c r="DW19">
        <v>1.59405885344861E-2</v>
      </c>
      <c r="DX19">
        <v>1</v>
      </c>
      <c r="DY19">
        <v>2</v>
      </c>
      <c r="DZ19">
        <v>2</v>
      </c>
      <c r="EA19" t="s">
        <v>283</v>
      </c>
      <c r="EB19">
        <v>1.8666400000000001</v>
      </c>
      <c r="EC19">
        <v>1.86321</v>
      </c>
      <c r="ED19">
        <v>1.86877</v>
      </c>
      <c r="EE19">
        <v>1.8667499999999999</v>
      </c>
      <c r="EF19">
        <v>1.8714599999999999</v>
      </c>
      <c r="EG19">
        <v>1.8638600000000001</v>
      </c>
      <c r="EH19">
        <v>1.8653299999999999</v>
      </c>
      <c r="EI19">
        <v>1.8652299999999999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-0.436</v>
      </c>
      <c r="EX19">
        <v>0.11</v>
      </c>
      <c r="EY19">
        <v>2</v>
      </c>
      <c r="EZ19">
        <v>328.036</v>
      </c>
      <c r="FA19">
        <v>441.82299999999998</v>
      </c>
      <c r="FB19">
        <v>22.476600000000001</v>
      </c>
      <c r="FC19">
        <v>37.014699999999998</v>
      </c>
      <c r="FD19">
        <v>29.9986</v>
      </c>
      <c r="FE19">
        <v>37.141100000000002</v>
      </c>
      <c r="FF19">
        <v>37.151200000000003</v>
      </c>
      <c r="FG19">
        <v>12.935</v>
      </c>
      <c r="FH19">
        <v>52.035800000000002</v>
      </c>
      <c r="FI19">
        <v>0</v>
      </c>
      <c r="FJ19">
        <v>22.469000000000001</v>
      </c>
      <c r="FK19">
        <v>200</v>
      </c>
      <c r="FL19">
        <v>16.659600000000001</v>
      </c>
      <c r="FM19">
        <v>100.06699999999999</v>
      </c>
      <c r="FN19">
        <v>100.593</v>
      </c>
    </row>
    <row r="20" spans="1:170" x14ac:dyDescent="0.25">
      <c r="A20">
        <v>4</v>
      </c>
      <c r="B20">
        <v>1594054871.5999999</v>
      </c>
      <c r="C20">
        <v>399.59999990463302</v>
      </c>
      <c r="D20" t="s">
        <v>299</v>
      </c>
      <c r="E20" t="s">
        <v>300</v>
      </c>
      <c r="G20">
        <v>1594054863.56774</v>
      </c>
      <c r="H20">
        <f t="shared" si="0"/>
        <v>1.0100330431227694E-2</v>
      </c>
      <c r="I20">
        <f t="shared" si="1"/>
        <v>6.1211753930773645</v>
      </c>
      <c r="J20">
        <f t="shared" si="2"/>
        <v>97.139845161290296</v>
      </c>
      <c r="K20">
        <f t="shared" si="3"/>
        <v>79.480493034818153</v>
      </c>
      <c r="L20">
        <f t="shared" si="4"/>
        <v>7.9035070686333961</v>
      </c>
      <c r="M20">
        <f t="shared" si="5"/>
        <v>9.6595456767220096</v>
      </c>
      <c r="N20">
        <f t="shared" si="6"/>
        <v>0.6972993194429048</v>
      </c>
      <c r="O20">
        <f t="shared" si="7"/>
        <v>3.3810622937326462</v>
      </c>
      <c r="P20">
        <f t="shared" si="8"/>
        <v>0.62615893354080121</v>
      </c>
      <c r="Q20">
        <f t="shared" si="9"/>
        <v>0.39713446060641755</v>
      </c>
      <c r="R20">
        <f t="shared" si="10"/>
        <v>321.43783030864608</v>
      </c>
      <c r="S20">
        <f t="shared" si="11"/>
        <v>26.903539721291558</v>
      </c>
      <c r="T20">
        <f t="shared" si="12"/>
        <v>27.011912903225799</v>
      </c>
      <c r="U20">
        <f t="shared" si="13"/>
        <v>3.5816647036899036</v>
      </c>
      <c r="V20">
        <f t="shared" si="14"/>
        <v>54.747745999630268</v>
      </c>
      <c r="W20">
        <f t="shared" si="15"/>
        <v>2.0228449016475221</v>
      </c>
      <c r="X20">
        <f t="shared" si="16"/>
        <v>3.6948459972419379</v>
      </c>
      <c r="Y20">
        <f t="shared" si="17"/>
        <v>1.5588198020423816</v>
      </c>
      <c r="Z20">
        <f t="shared" si="18"/>
        <v>-445.42457201714126</v>
      </c>
      <c r="AA20">
        <f t="shared" si="19"/>
        <v>96.75530996445751</v>
      </c>
      <c r="AB20">
        <f t="shared" si="20"/>
        <v>6.19299543299734</v>
      </c>
      <c r="AC20">
        <f t="shared" si="21"/>
        <v>-21.038436311040314</v>
      </c>
      <c r="AD20">
        <v>-4.1154547197927799E-2</v>
      </c>
      <c r="AE20">
        <v>4.6199584566023598E-2</v>
      </c>
      <c r="AF20">
        <v>3.4532813133923099</v>
      </c>
      <c r="AG20">
        <v>157</v>
      </c>
      <c r="AH20">
        <v>31</v>
      </c>
      <c r="AI20">
        <f t="shared" si="22"/>
        <v>1</v>
      </c>
      <c r="AJ20">
        <f t="shared" si="23"/>
        <v>0</v>
      </c>
      <c r="AK20">
        <f t="shared" si="24"/>
        <v>52383.670910490458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301</v>
      </c>
      <c r="AS20">
        <v>273.41557692307703</v>
      </c>
      <c r="AT20">
        <v>340.17599999999999</v>
      </c>
      <c r="AU20">
        <f t="shared" si="27"/>
        <v>0.19625259594128619</v>
      </c>
      <c r="AV20">
        <v>0.5</v>
      </c>
      <c r="AW20">
        <f t="shared" si="28"/>
        <v>1681.1866839339027</v>
      </c>
      <c r="AX20">
        <f t="shared" si="29"/>
        <v>6.1211753930773645</v>
      </c>
      <c r="AY20">
        <f t="shared" si="30"/>
        <v>164.9686254919755</v>
      </c>
      <c r="AZ20">
        <f t="shared" si="31"/>
        <v>0.3906095668124735</v>
      </c>
      <c r="BA20">
        <f t="shared" si="32"/>
        <v>4.235802877295059E-3</v>
      </c>
      <c r="BB20">
        <f t="shared" si="33"/>
        <v>-1</v>
      </c>
      <c r="BC20" t="s">
        <v>302</v>
      </c>
      <c r="BD20">
        <v>207.3</v>
      </c>
      <c r="BE20">
        <f t="shared" si="34"/>
        <v>132.87599999999998</v>
      </c>
      <c r="BF20">
        <f t="shared" si="35"/>
        <v>0.50242649595805844</v>
      </c>
      <c r="BG20">
        <f t="shared" si="36"/>
        <v>1.640984081041968</v>
      </c>
      <c r="BH20">
        <f t="shared" si="37"/>
        <v>0.19625259594128616</v>
      </c>
      <c r="BI20" t="e">
        <f t="shared" si="38"/>
        <v>#DIV/0!</v>
      </c>
      <c r="BJ20">
        <v>4629</v>
      </c>
      <c r="BK20">
        <v>300</v>
      </c>
      <c r="BL20">
        <v>300</v>
      </c>
      <c r="BM20">
        <v>300</v>
      </c>
      <c r="BN20">
        <v>9877.83</v>
      </c>
      <c r="BO20">
        <v>324.18799999999999</v>
      </c>
      <c r="BP20">
        <v>-6.5710600000000001E-3</v>
      </c>
      <c r="BQ20">
        <v>1.22217</v>
      </c>
      <c r="BR20">
        <f t="shared" si="39"/>
        <v>1999.98774193548</v>
      </c>
      <c r="BS20">
        <f t="shared" si="40"/>
        <v>1681.1866839339027</v>
      </c>
      <c r="BT20">
        <f t="shared" si="41"/>
        <v>0.84059849402223896</v>
      </c>
      <c r="BU20">
        <f t="shared" si="42"/>
        <v>0.19119698804447804</v>
      </c>
      <c r="BV20">
        <v>0.5</v>
      </c>
      <c r="BW20" t="s">
        <v>281</v>
      </c>
      <c r="BX20">
        <v>1594054863.56774</v>
      </c>
      <c r="BY20">
        <v>97.139845161290296</v>
      </c>
      <c r="BZ20">
        <v>99.9804483870968</v>
      </c>
      <c r="CA20">
        <v>20.342451612903201</v>
      </c>
      <c r="CB20">
        <v>16.384958064516098</v>
      </c>
      <c r="CC20">
        <v>500.05716129032299</v>
      </c>
      <c r="CD20">
        <v>99.239603225806405</v>
      </c>
      <c r="CE20">
        <v>0.199979580645161</v>
      </c>
      <c r="CF20">
        <v>27.542719354838699</v>
      </c>
      <c r="CG20">
        <v>27.011912903225799</v>
      </c>
      <c r="CH20">
        <v>999.9</v>
      </c>
      <c r="CI20">
        <v>10000.663870967701</v>
      </c>
      <c r="CJ20">
        <v>0</v>
      </c>
      <c r="CK20">
        <v>97.688632258064501</v>
      </c>
      <c r="CL20">
        <v>1999.98774193548</v>
      </c>
      <c r="CM20">
        <v>0.98000054838709705</v>
      </c>
      <c r="CN20">
        <v>1.99995096774194E-2</v>
      </c>
      <c r="CO20">
        <v>0</v>
      </c>
      <c r="CP20">
        <v>273.44745161290302</v>
      </c>
      <c r="CQ20">
        <v>5.00054</v>
      </c>
      <c r="CR20">
        <v>6262.3687096774202</v>
      </c>
      <c r="CS20">
        <v>18703.512903225801</v>
      </c>
      <c r="CT20">
        <v>46.320354838709697</v>
      </c>
      <c r="CU20">
        <v>47.626677419354799</v>
      </c>
      <c r="CV20">
        <v>46.576354838709698</v>
      </c>
      <c r="CW20">
        <v>47.007838709677401</v>
      </c>
      <c r="CX20">
        <v>48.036096774193602</v>
      </c>
      <c r="CY20">
        <v>1955.0877419354799</v>
      </c>
      <c r="CZ20">
        <v>39.899354838709698</v>
      </c>
      <c r="DA20">
        <v>0</v>
      </c>
      <c r="DB20">
        <v>123.59999990463299</v>
      </c>
      <c r="DC20">
        <v>273.41557692307703</v>
      </c>
      <c r="DD20">
        <v>-2.1975042898409698</v>
      </c>
      <c r="DE20">
        <v>-30.612649615855599</v>
      </c>
      <c r="DF20">
        <v>6262.0507692307701</v>
      </c>
      <c r="DG20">
        <v>15</v>
      </c>
      <c r="DH20">
        <v>1594054901.5999999</v>
      </c>
      <c r="DI20" t="s">
        <v>303</v>
      </c>
      <c r="DJ20">
        <v>47</v>
      </c>
      <c r="DK20">
        <v>-0.38600000000000001</v>
      </c>
      <c r="DL20">
        <v>0.108</v>
      </c>
      <c r="DM20">
        <v>100</v>
      </c>
      <c r="DN20">
        <v>16</v>
      </c>
      <c r="DO20">
        <v>0.37</v>
      </c>
      <c r="DP20">
        <v>0.02</v>
      </c>
      <c r="DQ20">
        <v>97.077181481481503</v>
      </c>
      <c r="DR20">
        <v>0.132229080241859</v>
      </c>
      <c r="DS20">
        <v>1.88220819298924E-2</v>
      </c>
      <c r="DT20">
        <v>1</v>
      </c>
      <c r="DU20">
        <v>20.360516666666701</v>
      </c>
      <c r="DV20">
        <v>-0.18640456297636601</v>
      </c>
      <c r="DW20">
        <v>2.8223819399249901E-2</v>
      </c>
      <c r="DX20">
        <v>1</v>
      </c>
      <c r="DY20">
        <v>2</v>
      </c>
      <c r="DZ20">
        <v>2</v>
      </c>
      <c r="EA20" t="s">
        <v>283</v>
      </c>
      <c r="EB20">
        <v>1.8667199999999999</v>
      </c>
      <c r="EC20">
        <v>1.8632500000000001</v>
      </c>
      <c r="ED20">
        <v>1.8687800000000001</v>
      </c>
      <c r="EE20">
        <v>1.86676</v>
      </c>
      <c r="EF20">
        <v>1.8714900000000001</v>
      </c>
      <c r="EG20">
        <v>1.86388</v>
      </c>
      <c r="EH20">
        <v>1.86537</v>
      </c>
      <c r="EI20">
        <v>1.8653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-0.38600000000000001</v>
      </c>
      <c r="EX20">
        <v>0.108</v>
      </c>
      <c r="EY20">
        <v>2</v>
      </c>
      <c r="EZ20">
        <v>329.13600000000002</v>
      </c>
      <c r="FA20">
        <v>444.358</v>
      </c>
      <c r="FB20">
        <v>22.942699999999999</v>
      </c>
      <c r="FC20">
        <v>36.677700000000002</v>
      </c>
      <c r="FD20">
        <v>29.9985</v>
      </c>
      <c r="FE20">
        <v>36.846400000000003</v>
      </c>
      <c r="FF20">
        <v>36.863900000000001</v>
      </c>
      <c r="FG20">
        <v>8.0518599999999996</v>
      </c>
      <c r="FH20">
        <v>52.030500000000004</v>
      </c>
      <c r="FI20">
        <v>0</v>
      </c>
      <c r="FJ20">
        <v>22.997900000000001</v>
      </c>
      <c r="FK20">
        <v>100</v>
      </c>
      <c r="FL20">
        <v>16.509499999999999</v>
      </c>
      <c r="FM20">
        <v>100.123</v>
      </c>
      <c r="FN20">
        <v>100.664</v>
      </c>
    </row>
    <row r="21" spans="1:170" x14ac:dyDescent="0.25">
      <c r="A21">
        <v>5</v>
      </c>
      <c r="B21">
        <v>1594054993</v>
      </c>
      <c r="C21">
        <v>521</v>
      </c>
      <c r="D21" t="s">
        <v>304</v>
      </c>
      <c r="E21" t="s">
        <v>305</v>
      </c>
      <c r="G21">
        <v>1594054985.06129</v>
      </c>
      <c r="H21">
        <f t="shared" si="0"/>
        <v>9.4133220560712865E-3</v>
      </c>
      <c r="I21">
        <f t="shared" si="1"/>
        <v>0.46709345417748499</v>
      </c>
      <c r="J21">
        <f t="shared" si="2"/>
        <v>49.601651612903197</v>
      </c>
      <c r="K21">
        <f t="shared" si="3"/>
        <v>47.111096941803595</v>
      </c>
      <c r="L21">
        <f t="shared" si="4"/>
        <v>4.6846337759211316</v>
      </c>
      <c r="M21">
        <f t="shared" si="5"/>
        <v>4.9322895787020355</v>
      </c>
      <c r="N21">
        <f t="shared" si="6"/>
        <v>0.6459830582430971</v>
      </c>
      <c r="O21">
        <f t="shared" si="7"/>
        <v>3.3813562467556668</v>
      </c>
      <c r="P21">
        <f t="shared" si="8"/>
        <v>0.58443919530251554</v>
      </c>
      <c r="Q21">
        <f t="shared" si="9"/>
        <v>0.37031412697595423</v>
      </c>
      <c r="R21">
        <f t="shared" si="10"/>
        <v>321.43669521987363</v>
      </c>
      <c r="S21">
        <f t="shared" si="11"/>
        <v>26.958351447078464</v>
      </c>
      <c r="T21">
        <f t="shared" si="12"/>
        <v>26.995145161290299</v>
      </c>
      <c r="U21">
        <f t="shared" si="13"/>
        <v>3.5781392700125014</v>
      </c>
      <c r="V21">
        <f t="shared" si="14"/>
        <v>55.040390694396535</v>
      </c>
      <c r="W21">
        <f t="shared" si="15"/>
        <v>2.021628652616609</v>
      </c>
      <c r="X21">
        <f t="shared" si="16"/>
        <v>3.6729911018281052</v>
      </c>
      <c r="Y21">
        <f t="shared" si="17"/>
        <v>1.5565106173958925</v>
      </c>
      <c r="Z21">
        <f t="shared" si="18"/>
        <v>-415.12750267274373</v>
      </c>
      <c r="AA21">
        <f t="shared" si="19"/>
        <v>81.339155411338254</v>
      </c>
      <c r="AB21">
        <f t="shared" si="20"/>
        <v>5.202731452888945</v>
      </c>
      <c r="AC21">
        <f t="shared" si="21"/>
        <v>-7.148920588642909</v>
      </c>
      <c r="AD21">
        <v>-4.1159092650495499E-2</v>
      </c>
      <c r="AE21">
        <v>4.6204687234734303E-2</v>
      </c>
      <c r="AF21">
        <v>3.4535832428881799</v>
      </c>
      <c r="AG21">
        <v>156</v>
      </c>
      <c r="AH21">
        <v>31</v>
      </c>
      <c r="AI21">
        <f t="shared" si="22"/>
        <v>1</v>
      </c>
      <c r="AJ21">
        <f t="shared" si="23"/>
        <v>0</v>
      </c>
      <c r="AK21">
        <f t="shared" si="24"/>
        <v>52406.863748551725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306</v>
      </c>
      <c r="AS21">
        <v>272.96800000000002</v>
      </c>
      <c r="AT21">
        <v>329.85399999999998</v>
      </c>
      <c r="AU21">
        <f t="shared" si="27"/>
        <v>0.17245811783395071</v>
      </c>
      <c r="AV21">
        <v>0.5</v>
      </c>
      <c r="AW21">
        <f t="shared" si="28"/>
        <v>1681.1777996767239</v>
      </c>
      <c r="AX21">
        <f t="shared" si="29"/>
        <v>0.46709345417748499</v>
      </c>
      <c r="AY21">
        <f t="shared" si="30"/>
        <v>144.9663795382352</v>
      </c>
      <c r="AZ21">
        <f t="shared" si="31"/>
        <v>0.35122811910724133</v>
      </c>
      <c r="BA21">
        <f t="shared" si="32"/>
        <v>8.7265811769557887E-4</v>
      </c>
      <c r="BB21">
        <f t="shared" si="33"/>
        <v>-1</v>
      </c>
      <c r="BC21" t="s">
        <v>307</v>
      </c>
      <c r="BD21">
        <v>214</v>
      </c>
      <c r="BE21">
        <f t="shared" si="34"/>
        <v>115.85399999999998</v>
      </c>
      <c r="BF21">
        <f t="shared" si="35"/>
        <v>0.49101455279921258</v>
      </c>
      <c r="BG21">
        <f t="shared" si="36"/>
        <v>1.5413738317757009</v>
      </c>
      <c r="BH21">
        <f t="shared" si="37"/>
        <v>0.17245811783395068</v>
      </c>
      <c r="BI21" t="e">
        <f t="shared" si="38"/>
        <v>#DIV/0!</v>
      </c>
      <c r="BJ21">
        <v>4631</v>
      </c>
      <c r="BK21">
        <v>300</v>
      </c>
      <c r="BL21">
        <v>300</v>
      </c>
      <c r="BM21">
        <v>300</v>
      </c>
      <c r="BN21">
        <v>9874.57</v>
      </c>
      <c r="BO21">
        <v>315.995</v>
      </c>
      <c r="BP21">
        <v>-6.5685300000000004E-3</v>
      </c>
      <c r="BQ21">
        <v>1.6214900000000001</v>
      </c>
      <c r="BR21">
        <f t="shared" si="39"/>
        <v>1999.97677419355</v>
      </c>
      <c r="BS21">
        <f t="shared" si="40"/>
        <v>1681.1777996767239</v>
      </c>
      <c r="BT21">
        <f t="shared" si="41"/>
        <v>0.84059866162927055</v>
      </c>
      <c r="BU21">
        <f t="shared" si="42"/>
        <v>0.19119732325854122</v>
      </c>
      <c r="BV21">
        <v>0.5</v>
      </c>
      <c r="BW21" t="s">
        <v>281</v>
      </c>
      <c r="BX21">
        <v>1594054985.06129</v>
      </c>
      <c r="BY21">
        <v>49.601651612903197</v>
      </c>
      <c r="BZ21">
        <v>49.975203225806503</v>
      </c>
      <c r="CA21">
        <v>20.3305419354839</v>
      </c>
      <c r="CB21">
        <v>16.6422806451613</v>
      </c>
      <c r="CC21">
        <v>500.07</v>
      </c>
      <c r="CD21">
        <v>99.238012903225794</v>
      </c>
      <c r="CE21">
        <v>0.199998096774194</v>
      </c>
      <c r="CF21">
        <v>27.4413387096774</v>
      </c>
      <c r="CG21">
        <v>26.995145161290299</v>
      </c>
      <c r="CH21">
        <v>999.9</v>
      </c>
      <c r="CI21">
        <v>10001.928709677401</v>
      </c>
      <c r="CJ21">
        <v>0</v>
      </c>
      <c r="CK21">
        <v>104.223838709677</v>
      </c>
      <c r="CL21">
        <v>1999.97677419355</v>
      </c>
      <c r="CM21">
        <v>0.97999503225806495</v>
      </c>
      <c r="CN21">
        <v>2.0005238709677398E-2</v>
      </c>
      <c r="CO21">
        <v>0</v>
      </c>
      <c r="CP21">
        <v>272.99961290322602</v>
      </c>
      <c r="CQ21">
        <v>5.00054</v>
      </c>
      <c r="CR21">
        <v>6279.4722580645202</v>
      </c>
      <c r="CS21">
        <v>18703.390322580599</v>
      </c>
      <c r="CT21">
        <v>47.189225806451603</v>
      </c>
      <c r="CU21">
        <v>48.421064516129</v>
      </c>
      <c r="CV21">
        <v>47.437129032257999</v>
      </c>
      <c r="CW21">
        <v>48.060225806451598</v>
      </c>
      <c r="CX21">
        <v>48.8546774193548</v>
      </c>
      <c r="CY21">
        <v>1955.0664516129</v>
      </c>
      <c r="CZ21">
        <v>39.9103225806452</v>
      </c>
      <c r="DA21">
        <v>0</v>
      </c>
      <c r="DB21">
        <v>120.799999952316</v>
      </c>
      <c r="DC21">
        <v>272.96800000000002</v>
      </c>
      <c r="DD21">
        <v>-0.59220513981688505</v>
      </c>
      <c r="DE21">
        <v>-12.1189743250682</v>
      </c>
      <c r="DF21">
        <v>6279.4984615384601</v>
      </c>
      <c r="DG21">
        <v>15</v>
      </c>
      <c r="DH21">
        <v>1594055017.5999999</v>
      </c>
      <c r="DI21" t="s">
        <v>308</v>
      </c>
      <c r="DJ21">
        <v>48</v>
      </c>
      <c r="DK21">
        <v>-0.40899999999999997</v>
      </c>
      <c r="DL21">
        <v>0.11</v>
      </c>
      <c r="DM21">
        <v>50</v>
      </c>
      <c r="DN21">
        <v>17</v>
      </c>
      <c r="DO21">
        <v>0.28000000000000003</v>
      </c>
      <c r="DP21">
        <v>0.02</v>
      </c>
      <c r="DQ21">
        <v>49.632094444444498</v>
      </c>
      <c r="DR21">
        <v>-5.8361483391981703E-2</v>
      </c>
      <c r="DS21">
        <v>1.33651622410054E-2</v>
      </c>
      <c r="DT21">
        <v>1</v>
      </c>
      <c r="DU21">
        <v>20.310503703703699</v>
      </c>
      <c r="DV21">
        <v>0.22840244003949201</v>
      </c>
      <c r="DW21">
        <v>3.5716584813319303E-2</v>
      </c>
      <c r="DX21">
        <v>0</v>
      </c>
      <c r="DY21">
        <v>1</v>
      </c>
      <c r="DZ21">
        <v>2</v>
      </c>
      <c r="EA21" t="s">
        <v>293</v>
      </c>
      <c r="EB21">
        <v>1.86676</v>
      </c>
      <c r="EC21">
        <v>1.8632500000000001</v>
      </c>
      <c r="ED21">
        <v>1.8688800000000001</v>
      </c>
      <c r="EE21">
        <v>1.86676</v>
      </c>
      <c r="EF21">
        <v>1.8714900000000001</v>
      </c>
      <c r="EG21">
        <v>1.8639300000000001</v>
      </c>
      <c r="EH21">
        <v>1.8653900000000001</v>
      </c>
      <c r="EI21">
        <v>1.8653900000000001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-0.40899999999999997</v>
      </c>
      <c r="EX21">
        <v>0.11</v>
      </c>
      <c r="EY21">
        <v>2</v>
      </c>
      <c r="EZ21">
        <v>330.01</v>
      </c>
      <c r="FA21">
        <v>445.43400000000003</v>
      </c>
      <c r="FB21">
        <v>23.1831</v>
      </c>
      <c r="FC21">
        <v>36.377099999999999</v>
      </c>
      <c r="FD21">
        <v>29.999400000000001</v>
      </c>
      <c r="FE21">
        <v>36.568100000000001</v>
      </c>
      <c r="FF21">
        <v>36.590899999999998</v>
      </c>
      <c r="FG21">
        <v>5.5936899999999996</v>
      </c>
      <c r="FH21">
        <v>51.474299999999999</v>
      </c>
      <c r="FI21">
        <v>0</v>
      </c>
      <c r="FJ21">
        <v>23.169499999999999</v>
      </c>
      <c r="FK21">
        <v>50</v>
      </c>
      <c r="FL21">
        <v>16.621099999999998</v>
      </c>
      <c r="FM21">
        <v>100.17700000000001</v>
      </c>
      <c r="FN21">
        <v>100.73</v>
      </c>
    </row>
    <row r="22" spans="1:170" x14ac:dyDescent="0.25">
      <c r="A22">
        <v>6</v>
      </c>
      <c r="B22">
        <v>1594055131.0999999</v>
      </c>
      <c r="C22">
        <v>659.09999990463302</v>
      </c>
      <c r="D22" t="s">
        <v>309</v>
      </c>
      <c r="E22" t="s">
        <v>310</v>
      </c>
      <c r="G22">
        <v>1594055123.0999999</v>
      </c>
      <c r="H22">
        <f t="shared" si="0"/>
        <v>9.5001247037425161E-3</v>
      </c>
      <c r="I22">
        <f t="shared" si="1"/>
        <v>32.408480894254296</v>
      </c>
      <c r="J22">
        <f t="shared" si="2"/>
        <v>385.59393548387101</v>
      </c>
      <c r="K22">
        <f t="shared" si="3"/>
        <v>290.3962650831516</v>
      </c>
      <c r="L22">
        <f t="shared" si="4"/>
        <v>28.874087269621953</v>
      </c>
      <c r="M22">
        <f t="shared" si="5"/>
        <v>38.339587255401753</v>
      </c>
      <c r="N22">
        <f t="shared" si="6"/>
        <v>0.65330007769198384</v>
      </c>
      <c r="O22">
        <f t="shared" si="7"/>
        <v>3.3817125668165975</v>
      </c>
      <c r="P22">
        <f t="shared" si="8"/>
        <v>0.59043258308125812</v>
      </c>
      <c r="Q22">
        <f t="shared" si="9"/>
        <v>0.3741633208697977</v>
      </c>
      <c r="R22">
        <f t="shared" si="10"/>
        <v>321.43570351266447</v>
      </c>
      <c r="S22">
        <f t="shared" si="11"/>
        <v>27.08746862333232</v>
      </c>
      <c r="T22">
        <f t="shared" si="12"/>
        <v>27.017316129032299</v>
      </c>
      <c r="U22">
        <f t="shared" si="13"/>
        <v>3.5828013828153864</v>
      </c>
      <c r="V22">
        <f t="shared" si="14"/>
        <v>54.738151347068673</v>
      </c>
      <c r="W22">
        <f t="shared" si="15"/>
        <v>2.028102600066223</v>
      </c>
      <c r="X22">
        <f t="shared" si="16"/>
        <v>3.7050988207602873</v>
      </c>
      <c r="Y22">
        <f t="shared" si="17"/>
        <v>1.5546987827491634</v>
      </c>
      <c r="Z22">
        <f t="shared" si="18"/>
        <v>-418.95549943504494</v>
      </c>
      <c r="AA22">
        <f t="shared" si="19"/>
        <v>104.42702722767397</v>
      </c>
      <c r="AB22">
        <f t="shared" si="20"/>
        <v>6.6845151304809987</v>
      </c>
      <c r="AC22">
        <f t="shared" si="21"/>
        <v>13.591746435774482</v>
      </c>
      <c r="AD22">
        <v>-4.1164602734187102E-2</v>
      </c>
      <c r="AE22">
        <v>4.6210872786388003E-2</v>
      </c>
      <c r="AF22">
        <v>3.45394923218057</v>
      </c>
      <c r="AG22">
        <v>154</v>
      </c>
      <c r="AH22">
        <v>31</v>
      </c>
      <c r="AI22">
        <f t="shared" si="22"/>
        <v>1</v>
      </c>
      <c r="AJ22">
        <f t="shared" si="23"/>
        <v>0</v>
      </c>
      <c r="AK22">
        <f t="shared" si="24"/>
        <v>52387.479341680475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311</v>
      </c>
      <c r="AS22">
        <v>273.973538461538</v>
      </c>
      <c r="AT22">
        <v>376.43799999999999</v>
      </c>
      <c r="AU22">
        <f t="shared" si="27"/>
        <v>0.27219478782286055</v>
      </c>
      <c r="AV22">
        <v>0.5</v>
      </c>
      <c r="AW22">
        <f t="shared" si="28"/>
        <v>1681.1753222574534</v>
      </c>
      <c r="AX22">
        <f t="shared" si="29"/>
        <v>32.408480894254296</v>
      </c>
      <c r="AY22">
        <f t="shared" si="30"/>
        <v>228.80358006744837</v>
      </c>
      <c r="AZ22">
        <f t="shared" si="31"/>
        <v>0.4967033083801316</v>
      </c>
      <c r="BA22">
        <f t="shared" si="32"/>
        <v>1.9872098080403629E-2</v>
      </c>
      <c r="BB22">
        <f t="shared" si="33"/>
        <v>-1</v>
      </c>
      <c r="BC22" t="s">
        <v>312</v>
      </c>
      <c r="BD22">
        <v>189.46</v>
      </c>
      <c r="BE22">
        <f t="shared" si="34"/>
        <v>186.97799999999998</v>
      </c>
      <c r="BF22">
        <f t="shared" si="35"/>
        <v>0.54800276791099489</v>
      </c>
      <c r="BG22">
        <f t="shared" si="36"/>
        <v>1.9868996094162354</v>
      </c>
      <c r="BH22">
        <f t="shared" si="37"/>
        <v>0.27219478782286061</v>
      </c>
      <c r="BI22" t="e">
        <f t="shared" si="38"/>
        <v>#DIV/0!</v>
      </c>
      <c r="BJ22">
        <v>4633</v>
      </c>
      <c r="BK22">
        <v>300</v>
      </c>
      <c r="BL22">
        <v>300</v>
      </c>
      <c r="BM22">
        <v>300</v>
      </c>
      <c r="BN22">
        <v>9871.3799999999992</v>
      </c>
      <c r="BO22">
        <v>347.74900000000002</v>
      </c>
      <c r="BP22">
        <v>-6.5660099999999997E-3</v>
      </c>
      <c r="BQ22">
        <v>0.73730499999999999</v>
      </c>
      <c r="BR22">
        <f t="shared" si="39"/>
        <v>1999.9741935483901</v>
      </c>
      <c r="BS22">
        <f t="shared" si="40"/>
        <v>1681.1753222574534</v>
      </c>
      <c r="BT22">
        <f t="shared" si="41"/>
        <v>0.84059850756108112</v>
      </c>
      <c r="BU22">
        <f t="shared" si="42"/>
        <v>0.19119701512216233</v>
      </c>
      <c r="BV22">
        <v>0.5</v>
      </c>
      <c r="BW22" t="s">
        <v>281</v>
      </c>
      <c r="BX22">
        <v>1594055123.0999999</v>
      </c>
      <c r="BY22">
        <v>385.59393548387101</v>
      </c>
      <c r="BZ22">
        <v>400.021064516129</v>
      </c>
      <c r="CA22">
        <v>20.397300000000001</v>
      </c>
      <c r="CB22">
        <v>16.675158064516101</v>
      </c>
      <c r="CC22">
        <v>500.05335483870999</v>
      </c>
      <c r="CD22">
        <v>99.229980645161305</v>
      </c>
      <c r="CE22">
        <v>0.19997332258064501</v>
      </c>
      <c r="CF22">
        <v>27.5901</v>
      </c>
      <c r="CG22">
        <v>27.017316129032299</v>
      </c>
      <c r="CH22">
        <v>999.9</v>
      </c>
      <c r="CI22">
        <v>10004.0774193548</v>
      </c>
      <c r="CJ22">
        <v>0</v>
      </c>
      <c r="CK22">
        <v>116.397903225806</v>
      </c>
      <c r="CL22">
        <v>1999.9741935483901</v>
      </c>
      <c r="CM22">
        <v>0.98000106451612901</v>
      </c>
      <c r="CN22">
        <v>1.99991161290323E-2</v>
      </c>
      <c r="CO22">
        <v>0</v>
      </c>
      <c r="CP22">
        <v>273.97809677419298</v>
      </c>
      <c r="CQ22">
        <v>5.00054</v>
      </c>
      <c r="CR22">
        <v>6362.6632258064501</v>
      </c>
      <c r="CS22">
        <v>18703.380645161302</v>
      </c>
      <c r="CT22">
        <v>47.985677419354801</v>
      </c>
      <c r="CU22">
        <v>49.118870967741898</v>
      </c>
      <c r="CV22">
        <v>48.225612903225802</v>
      </c>
      <c r="CW22">
        <v>48.6973548387097</v>
      </c>
      <c r="CX22">
        <v>49.568225806451601</v>
      </c>
      <c r="CY22">
        <v>1955.07419354839</v>
      </c>
      <c r="CZ22">
        <v>39.9</v>
      </c>
      <c r="DA22">
        <v>0</v>
      </c>
      <c r="DB22">
        <v>137.39999985694899</v>
      </c>
      <c r="DC22">
        <v>273.973538461538</v>
      </c>
      <c r="DD22">
        <v>-0.57914529600374498</v>
      </c>
      <c r="DE22">
        <v>12.4967521291282</v>
      </c>
      <c r="DF22">
        <v>6362.78346153846</v>
      </c>
      <c r="DG22">
        <v>15</v>
      </c>
      <c r="DH22">
        <v>1594055159.5999999</v>
      </c>
      <c r="DI22" t="s">
        <v>313</v>
      </c>
      <c r="DJ22">
        <v>49</v>
      </c>
      <c r="DK22">
        <v>-0.36299999999999999</v>
      </c>
      <c r="DL22">
        <v>0.109</v>
      </c>
      <c r="DM22">
        <v>400</v>
      </c>
      <c r="DN22">
        <v>17</v>
      </c>
      <c r="DO22">
        <v>0.1</v>
      </c>
      <c r="DP22">
        <v>0.02</v>
      </c>
      <c r="DQ22">
        <v>385.51833333333298</v>
      </c>
      <c r="DR22">
        <v>0.29104631217842902</v>
      </c>
      <c r="DS22">
        <v>4.2552364255159597E-2</v>
      </c>
      <c r="DT22">
        <v>1</v>
      </c>
      <c r="DU22">
        <v>20.4029462962963</v>
      </c>
      <c r="DV22">
        <v>-4.57253287592774E-2</v>
      </c>
      <c r="DW22">
        <v>6.1094254128492998E-3</v>
      </c>
      <c r="DX22">
        <v>1</v>
      </c>
      <c r="DY22">
        <v>2</v>
      </c>
      <c r="DZ22">
        <v>2</v>
      </c>
      <c r="EA22" t="s">
        <v>283</v>
      </c>
      <c r="EB22">
        <v>1.8667499999999999</v>
      </c>
      <c r="EC22">
        <v>1.8632500000000001</v>
      </c>
      <c r="ED22">
        <v>1.8688800000000001</v>
      </c>
      <c r="EE22">
        <v>1.86677</v>
      </c>
      <c r="EF22">
        <v>1.8714900000000001</v>
      </c>
      <c r="EG22">
        <v>1.8638999999999999</v>
      </c>
      <c r="EH22">
        <v>1.8653900000000001</v>
      </c>
      <c r="EI22">
        <v>1.8653500000000001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-0.36299999999999999</v>
      </c>
      <c r="EX22">
        <v>0.109</v>
      </c>
      <c r="EY22">
        <v>2</v>
      </c>
      <c r="EZ22">
        <v>331.72399999999999</v>
      </c>
      <c r="FA22">
        <v>447.06400000000002</v>
      </c>
      <c r="FB22">
        <v>23.238900000000001</v>
      </c>
      <c r="FC22">
        <v>36.069400000000002</v>
      </c>
      <c r="FD22">
        <v>29.999500000000001</v>
      </c>
      <c r="FE22">
        <v>36.273299999999999</v>
      </c>
      <c r="FF22">
        <v>36.298999999999999</v>
      </c>
      <c r="FG22">
        <v>22.1845</v>
      </c>
      <c r="FH22">
        <v>51.1477</v>
      </c>
      <c r="FI22">
        <v>0</v>
      </c>
      <c r="FJ22">
        <v>23.234200000000001</v>
      </c>
      <c r="FK22">
        <v>400</v>
      </c>
      <c r="FL22">
        <v>16.666</v>
      </c>
      <c r="FM22">
        <v>100.226</v>
      </c>
      <c r="FN22">
        <v>100.79</v>
      </c>
    </row>
    <row r="23" spans="1:170" x14ac:dyDescent="0.25">
      <c r="A23">
        <v>7</v>
      </c>
      <c r="B23">
        <v>1594055251.0999999</v>
      </c>
      <c r="C23">
        <v>779.09999990463302</v>
      </c>
      <c r="D23" t="s">
        <v>314</v>
      </c>
      <c r="E23" t="s">
        <v>315</v>
      </c>
      <c r="G23">
        <v>1594055243.0999999</v>
      </c>
      <c r="H23">
        <f t="shared" si="0"/>
        <v>8.8385294002596825E-3</v>
      </c>
      <c r="I23">
        <f t="shared" si="1"/>
        <v>32.809946620846411</v>
      </c>
      <c r="J23">
        <f t="shared" si="2"/>
        <v>385.48029032258103</v>
      </c>
      <c r="K23">
        <f t="shared" si="3"/>
        <v>282.46776826751346</v>
      </c>
      <c r="L23">
        <f t="shared" si="4"/>
        <v>28.083704548496986</v>
      </c>
      <c r="M23">
        <f t="shared" si="5"/>
        <v>38.325486299150505</v>
      </c>
      <c r="N23">
        <f t="shared" si="6"/>
        <v>0.60224092776759708</v>
      </c>
      <c r="O23">
        <f t="shared" si="7"/>
        <v>3.3796265306581303</v>
      </c>
      <c r="P23">
        <f t="shared" si="8"/>
        <v>0.54835312500786959</v>
      </c>
      <c r="Q23">
        <f t="shared" si="9"/>
        <v>0.34715959947642694</v>
      </c>
      <c r="R23">
        <f t="shared" si="10"/>
        <v>321.44121722562664</v>
      </c>
      <c r="S23">
        <f t="shared" si="11"/>
        <v>27.169899526560538</v>
      </c>
      <c r="T23">
        <f t="shared" si="12"/>
        <v>27.071400000000001</v>
      </c>
      <c r="U23">
        <f t="shared" si="13"/>
        <v>3.5941963940930153</v>
      </c>
      <c r="V23">
        <f t="shared" si="14"/>
        <v>55.198049456384759</v>
      </c>
      <c r="W23">
        <f t="shared" si="15"/>
        <v>2.0370531556410487</v>
      </c>
      <c r="X23">
        <f t="shared" si="16"/>
        <v>3.6904440930483329</v>
      </c>
      <c r="Y23">
        <f t="shared" si="17"/>
        <v>1.5571432384519666</v>
      </c>
      <c r="Z23">
        <f t="shared" si="18"/>
        <v>-389.77914655145202</v>
      </c>
      <c r="AA23">
        <f t="shared" si="19"/>
        <v>82.162714414229299</v>
      </c>
      <c r="AB23">
        <f t="shared" si="20"/>
        <v>5.2622313963833278</v>
      </c>
      <c r="AC23">
        <f t="shared" si="21"/>
        <v>19.087016484787284</v>
      </c>
      <c r="AD23">
        <v>-4.1132348260410997E-2</v>
      </c>
      <c r="AE23">
        <v>4.6174664313927201E-2</v>
      </c>
      <c r="AF23">
        <v>3.4518065950719201</v>
      </c>
      <c r="AG23">
        <v>154</v>
      </c>
      <c r="AH23">
        <v>31</v>
      </c>
      <c r="AI23">
        <f t="shared" si="22"/>
        <v>1</v>
      </c>
      <c r="AJ23">
        <f t="shared" si="23"/>
        <v>0</v>
      </c>
      <c r="AK23">
        <f t="shared" si="24"/>
        <v>52359.753729028685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316</v>
      </c>
      <c r="AS23">
        <v>273.32434615384602</v>
      </c>
      <c r="AT23">
        <v>381.53399999999999</v>
      </c>
      <c r="AU23">
        <f t="shared" si="27"/>
        <v>0.28361732858972977</v>
      </c>
      <c r="AV23">
        <v>0.5</v>
      </c>
      <c r="AW23">
        <f t="shared" si="28"/>
        <v>1681.2069966441047</v>
      </c>
      <c r="AX23">
        <f t="shared" si="29"/>
        <v>32.809946620846411</v>
      </c>
      <c r="AY23">
        <f t="shared" si="30"/>
        <v>238.40971859728188</v>
      </c>
      <c r="AZ23">
        <f t="shared" si="31"/>
        <v>0.50877248161369626</v>
      </c>
      <c r="BA23">
        <f t="shared" si="32"/>
        <v>2.0110519816022184E-2</v>
      </c>
      <c r="BB23">
        <f t="shared" si="33"/>
        <v>-1</v>
      </c>
      <c r="BC23" t="s">
        <v>317</v>
      </c>
      <c r="BD23">
        <v>187.42</v>
      </c>
      <c r="BE23">
        <f t="shared" si="34"/>
        <v>194.114</v>
      </c>
      <c r="BF23">
        <f t="shared" si="35"/>
        <v>0.55745414470957255</v>
      </c>
      <c r="BG23">
        <f t="shared" si="36"/>
        <v>2.0357165724042261</v>
      </c>
      <c r="BH23">
        <f t="shared" si="37"/>
        <v>0.28361732858972982</v>
      </c>
      <c r="BI23" t="e">
        <f t="shared" si="38"/>
        <v>#DIV/0!</v>
      </c>
      <c r="BJ23">
        <v>4635</v>
      </c>
      <c r="BK23">
        <v>300</v>
      </c>
      <c r="BL23">
        <v>300</v>
      </c>
      <c r="BM23">
        <v>300</v>
      </c>
      <c r="BN23">
        <v>9868.9599999999991</v>
      </c>
      <c r="BO23">
        <v>351.93900000000002</v>
      </c>
      <c r="BP23">
        <v>-6.5639799999999996E-3</v>
      </c>
      <c r="BQ23">
        <v>0.67196699999999998</v>
      </c>
      <c r="BR23">
        <f t="shared" si="39"/>
        <v>2000.01225806452</v>
      </c>
      <c r="BS23">
        <f t="shared" si="40"/>
        <v>1681.2069966441047</v>
      </c>
      <c r="BT23">
        <f t="shared" si="41"/>
        <v>0.84059834626767038</v>
      </c>
      <c r="BU23">
        <f t="shared" si="42"/>
        <v>0.1911966925353408</v>
      </c>
      <c r="BV23">
        <v>0.5</v>
      </c>
      <c r="BW23" t="s">
        <v>281</v>
      </c>
      <c r="BX23">
        <v>1594055243.0999999</v>
      </c>
      <c r="BY23">
        <v>385.48029032258103</v>
      </c>
      <c r="BZ23">
        <v>399.96535483871003</v>
      </c>
      <c r="CA23">
        <v>20.488816129032301</v>
      </c>
      <c r="CB23">
        <v>17.026258064516099</v>
      </c>
      <c r="CC23">
        <v>500.06025806451601</v>
      </c>
      <c r="CD23">
        <v>99.222661290322606</v>
      </c>
      <c r="CE23">
        <v>0.200025838709677</v>
      </c>
      <c r="CF23">
        <v>27.522341935483901</v>
      </c>
      <c r="CG23">
        <v>27.071400000000001</v>
      </c>
      <c r="CH23">
        <v>999.9</v>
      </c>
      <c r="CI23">
        <v>9996.9761290322604</v>
      </c>
      <c r="CJ23">
        <v>0</v>
      </c>
      <c r="CK23">
        <v>140.08490322580599</v>
      </c>
      <c r="CL23">
        <v>2000.01225806452</v>
      </c>
      <c r="CM23">
        <v>0.98000541935483898</v>
      </c>
      <c r="CN23">
        <v>1.9994583870967701E-2</v>
      </c>
      <c r="CO23">
        <v>0</v>
      </c>
      <c r="CP23">
        <v>273.31799999999998</v>
      </c>
      <c r="CQ23">
        <v>5.00054</v>
      </c>
      <c r="CR23">
        <v>6449.7054838709701</v>
      </c>
      <c r="CS23">
        <v>18703.767741935499</v>
      </c>
      <c r="CT23">
        <v>48.630774193548397</v>
      </c>
      <c r="CU23">
        <v>49.707387096774198</v>
      </c>
      <c r="CV23">
        <v>48.868774193548397</v>
      </c>
      <c r="CW23">
        <v>49.227645161290297</v>
      </c>
      <c r="CX23">
        <v>50.164999999999999</v>
      </c>
      <c r="CY23">
        <v>1955.1219354838699</v>
      </c>
      <c r="CZ23">
        <v>39.89</v>
      </c>
      <c r="DA23">
        <v>0</v>
      </c>
      <c r="DB23">
        <v>119.5</v>
      </c>
      <c r="DC23">
        <v>273.32434615384602</v>
      </c>
      <c r="DD23">
        <v>1.1839658141318099</v>
      </c>
      <c r="DE23">
        <v>326.75897471066497</v>
      </c>
      <c r="DF23">
        <v>6453.6992307692299</v>
      </c>
      <c r="DG23">
        <v>15</v>
      </c>
      <c r="DH23">
        <v>1594055277.5999999</v>
      </c>
      <c r="DI23" t="s">
        <v>318</v>
      </c>
      <c r="DJ23">
        <v>50</v>
      </c>
      <c r="DK23">
        <v>-0.34300000000000003</v>
      </c>
      <c r="DL23">
        <v>0.114</v>
      </c>
      <c r="DM23">
        <v>400</v>
      </c>
      <c r="DN23">
        <v>17</v>
      </c>
      <c r="DO23">
        <v>0.44</v>
      </c>
      <c r="DP23">
        <v>0.03</v>
      </c>
      <c r="DQ23">
        <v>385.48090740740702</v>
      </c>
      <c r="DR23">
        <v>-0.185070325900485</v>
      </c>
      <c r="DS23">
        <v>3.5556563450221297E-2</v>
      </c>
      <c r="DT23">
        <v>1</v>
      </c>
      <c r="DU23">
        <v>20.463131481481501</v>
      </c>
      <c r="DV23">
        <v>0.17801486563750901</v>
      </c>
      <c r="DW23">
        <v>2.5731281035563301E-2</v>
      </c>
      <c r="DX23">
        <v>1</v>
      </c>
      <c r="DY23">
        <v>2</v>
      </c>
      <c r="DZ23">
        <v>2</v>
      </c>
      <c r="EA23" t="s">
        <v>283</v>
      </c>
      <c r="EB23">
        <v>1.8666700000000001</v>
      </c>
      <c r="EC23">
        <v>1.86321</v>
      </c>
      <c r="ED23">
        <v>1.8687800000000001</v>
      </c>
      <c r="EE23">
        <v>1.86676</v>
      </c>
      <c r="EF23">
        <v>1.8714900000000001</v>
      </c>
      <c r="EG23">
        <v>1.8638600000000001</v>
      </c>
      <c r="EH23">
        <v>1.86537</v>
      </c>
      <c r="EI23">
        <v>1.8652899999999999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-0.34300000000000003</v>
      </c>
      <c r="EX23">
        <v>0.114</v>
      </c>
      <c r="EY23">
        <v>2</v>
      </c>
      <c r="EZ23">
        <v>332.43700000000001</v>
      </c>
      <c r="FA23">
        <v>447.10899999999998</v>
      </c>
      <c r="FB23">
        <v>22.293900000000001</v>
      </c>
      <c r="FC23">
        <v>35.869900000000001</v>
      </c>
      <c r="FD23">
        <v>29.9999</v>
      </c>
      <c r="FE23">
        <v>36.0563</v>
      </c>
      <c r="FF23">
        <v>36.081699999999998</v>
      </c>
      <c r="FG23">
        <v>22.191199999999998</v>
      </c>
      <c r="FH23">
        <v>50.270899999999997</v>
      </c>
      <c r="FI23">
        <v>0</v>
      </c>
      <c r="FJ23">
        <v>22.229399999999998</v>
      </c>
      <c r="FK23">
        <v>400</v>
      </c>
      <c r="FL23">
        <v>16.913900000000002</v>
      </c>
      <c r="FM23">
        <v>100.259</v>
      </c>
      <c r="FN23">
        <v>100.825</v>
      </c>
    </row>
    <row r="24" spans="1:170" x14ac:dyDescent="0.25">
      <c r="A24">
        <v>8</v>
      </c>
      <c r="B24">
        <v>1594055399.0999999</v>
      </c>
      <c r="C24">
        <v>927.09999990463302</v>
      </c>
      <c r="D24" t="s">
        <v>319</v>
      </c>
      <c r="E24" t="s">
        <v>320</v>
      </c>
      <c r="G24">
        <v>1594055391.0999999</v>
      </c>
      <c r="H24">
        <f t="shared" si="0"/>
        <v>7.9889846741110146E-3</v>
      </c>
      <c r="I24">
        <f t="shared" si="1"/>
        <v>37.485170776740617</v>
      </c>
      <c r="J24">
        <f t="shared" si="2"/>
        <v>483.43696774193501</v>
      </c>
      <c r="K24">
        <f t="shared" si="3"/>
        <v>349.3076782307466</v>
      </c>
      <c r="L24">
        <f t="shared" si="4"/>
        <v>34.727186801005935</v>
      </c>
      <c r="M24">
        <f t="shared" si="5"/>
        <v>48.061943471497138</v>
      </c>
      <c r="N24">
        <f t="shared" si="6"/>
        <v>0.52240279145028035</v>
      </c>
      <c r="O24">
        <f t="shared" si="7"/>
        <v>3.3822704034590672</v>
      </c>
      <c r="P24">
        <f t="shared" si="8"/>
        <v>0.48136356852505735</v>
      </c>
      <c r="Q24">
        <f t="shared" si="9"/>
        <v>0.30427032777503965</v>
      </c>
      <c r="R24">
        <f t="shared" si="10"/>
        <v>321.44028095471964</v>
      </c>
      <c r="S24">
        <f t="shared" si="11"/>
        <v>26.906513404227475</v>
      </c>
      <c r="T24">
        <f t="shared" si="12"/>
        <v>27.0093322580645</v>
      </c>
      <c r="U24">
        <f t="shared" si="13"/>
        <v>3.5811219232552824</v>
      </c>
      <c r="V24">
        <f t="shared" si="14"/>
        <v>55.031161714650388</v>
      </c>
      <c r="W24">
        <f t="shared" si="15"/>
        <v>1.9772625739814336</v>
      </c>
      <c r="X24">
        <f t="shared" si="16"/>
        <v>3.5929871592280902</v>
      </c>
      <c r="Y24">
        <f t="shared" si="17"/>
        <v>1.6038593492738489</v>
      </c>
      <c r="Z24">
        <f t="shared" si="18"/>
        <v>-352.31422412829573</v>
      </c>
      <c r="AA24">
        <f t="shared" si="19"/>
        <v>10.272491665217988</v>
      </c>
      <c r="AB24">
        <f t="shared" si="20"/>
        <v>0.65570017304447903</v>
      </c>
      <c r="AC24">
        <f t="shared" si="21"/>
        <v>-19.945751335313641</v>
      </c>
      <c r="AD24">
        <v>-4.1173229565021403E-2</v>
      </c>
      <c r="AE24">
        <v>4.6220557159751402E-2</v>
      </c>
      <c r="AF24">
        <v>3.4545222073996502</v>
      </c>
      <c r="AG24">
        <v>153</v>
      </c>
      <c r="AH24">
        <v>31</v>
      </c>
      <c r="AI24">
        <f t="shared" si="22"/>
        <v>1</v>
      </c>
      <c r="AJ24">
        <f t="shared" si="23"/>
        <v>0</v>
      </c>
      <c r="AK24">
        <f t="shared" si="24"/>
        <v>52489.308005570747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321</v>
      </c>
      <c r="AS24">
        <v>279.44773076923099</v>
      </c>
      <c r="AT24">
        <v>399.44</v>
      </c>
      <c r="AU24">
        <f t="shared" si="27"/>
        <v>0.3004012348056504</v>
      </c>
      <c r="AV24">
        <v>0.5</v>
      </c>
      <c r="AW24">
        <f t="shared" si="28"/>
        <v>1681.1967577412452</v>
      </c>
      <c r="AX24">
        <f t="shared" si="29"/>
        <v>37.485170776740617</v>
      </c>
      <c r="AY24">
        <f t="shared" si="30"/>
        <v>252.51679098836297</v>
      </c>
      <c r="AZ24">
        <f t="shared" si="31"/>
        <v>0.52358301622271175</v>
      </c>
      <c r="BA24">
        <f t="shared" si="32"/>
        <v>2.2891532831913725E-2</v>
      </c>
      <c r="BB24">
        <f t="shared" si="33"/>
        <v>-1</v>
      </c>
      <c r="BC24" t="s">
        <v>322</v>
      </c>
      <c r="BD24">
        <v>190.3</v>
      </c>
      <c r="BE24">
        <f t="shared" si="34"/>
        <v>209.14</v>
      </c>
      <c r="BF24">
        <f t="shared" si="35"/>
        <v>0.57374136573954782</v>
      </c>
      <c r="BG24">
        <f t="shared" si="36"/>
        <v>2.0990015764582237</v>
      </c>
      <c r="BH24">
        <f t="shared" si="37"/>
        <v>0.30040123480565045</v>
      </c>
      <c r="BI24" t="e">
        <f t="shared" si="38"/>
        <v>#DIV/0!</v>
      </c>
      <c r="BJ24">
        <v>4637</v>
      </c>
      <c r="BK24">
        <v>300</v>
      </c>
      <c r="BL24">
        <v>300</v>
      </c>
      <c r="BM24">
        <v>300</v>
      </c>
      <c r="BN24">
        <v>9866.85</v>
      </c>
      <c r="BO24">
        <v>365.96100000000001</v>
      </c>
      <c r="BP24">
        <v>-6.5622600000000003E-3</v>
      </c>
      <c r="BQ24">
        <v>0.88125600000000004</v>
      </c>
      <c r="BR24">
        <f t="shared" si="39"/>
        <v>1999.9993548387099</v>
      </c>
      <c r="BS24">
        <f t="shared" si="40"/>
        <v>1681.1967577412452</v>
      </c>
      <c r="BT24">
        <f t="shared" si="41"/>
        <v>0.84059865003147738</v>
      </c>
      <c r="BU24">
        <f t="shared" si="42"/>
        <v>0.19119730006295482</v>
      </c>
      <c r="BV24">
        <v>0.5</v>
      </c>
      <c r="BW24" t="s">
        <v>281</v>
      </c>
      <c r="BX24">
        <v>1594055391.0999999</v>
      </c>
      <c r="BY24">
        <v>483.43696774193501</v>
      </c>
      <c r="BZ24">
        <v>499.97370967741898</v>
      </c>
      <c r="CA24">
        <v>19.888538709677398</v>
      </c>
      <c r="CB24">
        <v>16.756916129032302</v>
      </c>
      <c r="CC24">
        <v>500.06635483871003</v>
      </c>
      <c r="CD24">
        <v>99.217206451612896</v>
      </c>
      <c r="CE24">
        <v>0.19998064516128999</v>
      </c>
      <c r="CF24">
        <v>27.065667741935499</v>
      </c>
      <c r="CG24">
        <v>27.0093322580645</v>
      </c>
      <c r="CH24">
        <v>999.9</v>
      </c>
      <c r="CI24">
        <v>10007.462258064499</v>
      </c>
      <c r="CJ24">
        <v>0</v>
      </c>
      <c r="CK24">
        <v>120.889225806452</v>
      </c>
      <c r="CL24">
        <v>1999.9993548387099</v>
      </c>
      <c r="CM24">
        <v>0.97999512903225805</v>
      </c>
      <c r="CN24">
        <v>2.0005138709677399E-2</v>
      </c>
      <c r="CO24">
        <v>0</v>
      </c>
      <c r="CP24">
        <v>279.46403225806398</v>
      </c>
      <c r="CQ24">
        <v>5.00054</v>
      </c>
      <c r="CR24">
        <v>6511.7306451612903</v>
      </c>
      <c r="CS24">
        <v>18703.603225806499</v>
      </c>
      <c r="CT24">
        <v>49.237741935483903</v>
      </c>
      <c r="CU24">
        <v>50.332387096774198</v>
      </c>
      <c r="CV24">
        <v>49.518000000000001</v>
      </c>
      <c r="CW24">
        <v>49.737677419354803</v>
      </c>
      <c r="CX24">
        <v>50.679064516129003</v>
      </c>
      <c r="CY24">
        <v>1955.0893548387101</v>
      </c>
      <c r="CZ24">
        <v>39.909999999999997</v>
      </c>
      <c r="DA24">
        <v>0</v>
      </c>
      <c r="DB24">
        <v>147.200000047684</v>
      </c>
      <c r="DC24">
        <v>279.44773076923099</v>
      </c>
      <c r="DD24">
        <v>-2.4418119688570199</v>
      </c>
      <c r="DE24">
        <v>-37.353846147241903</v>
      </c>
      <c r="DF24">
        <v>6511.5823076923098</v>
      </c>
      <c r="DG24">
        <v>15</v>
      </c>
      <c r="DH24">
        <v>1594055425.5999999</v>
      </c>
      <c r="DI24" t="s">
        <v>323</v>
      </c>
      <c r="DJ24">
        <v>51</v>
      </c>
      <c r="DK24">
        <v>-0.35699999999999998</v>
      </c>
      <c r="DL24">
        <v>0.111</v>
      </c>
      <c r="DM24">
        <v>500</v>
      </c>
      <c r="DN24">
        <v>17</v>
      </c>
      <c r="DO24">
        <v>0.18</v>
      </c>
      <c r="DP24">
        <v>0.03</v>
      </c>
      <c r="DQ24">
        <v>483.43157407407398</v>
      </c>
      <c r="DR24">
        <v>0.235128644939926</v>
      </c>
      <c r="DS24">
        <v>3.4685679536134398E-2</v>
      </c>
      <c r="DT24">
        <v>1</v>
      </c>
      <c r="DU24">
        <v>19.9350351851852</v>
      </c>
      <c r="DV24">
        <v>-0.44659988564890202</v>
      </c>
      <c r="DW24">
        <v>5.8398053485468497E-2</v>
      </c>
      <c r="DX24">
        <v>0</v>
      </c>
      <c r="DY24">
        <v>1</v>
      </c>
      <c r="DZ24">
        <v>2</v>
      </c>
      <c r="EA24" t="s">
        <v>293</v>
      </c>
      <c r="EB24">
        <v>1.8666700000000001</v>
      </c>
      <c r="EC24">
        <v>1.8632200000000001</v>
      </c>
      <c r="ED24">
        <v>1.8688</v>
      </c>
      <c r="EE24">
        <v>1.86676</v>
      </c>
      <c r="EF24">
        <v>1.87148</v>
      </c>
      <c r="EG24">
        <v>1.8638600000000001</v>
      </c>
      <c r="EH24">
        <v>1.8653900000000001</v>
      </c>
      <c r="EI24">
        <v>1.86534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-0.35699999999999998</v>
      </c>
      <c r="EX24">
        <v>0.111</v>
      </c>
      <c r="EY24">
        <v>2</v>
      </c>
      <c r="EZ24">
        <v>333.03500000000003</v>
      </c>
      <c r="FA24">
        <v>447.25099999999998</v>
      </c>
      <c r="FB24">
        <v>22.183299999999999</v>
      </c>
      <c r="FC24">
        <v>35.786700000000003</v>
      </c>
      <c r="FD24">
        <v>30.0002</v>
      </c>
      <c r="FE24">
        <v>35.895899999999997</v>
      </c>
      <c r="FF24">
        <v>35.913200000000003</v>
      </c>
      <c r="FG24">
        <v>26.534400000000002</v>
      </c>
      <c r="FH24">
        <v>50.605499999999999</v>
      </c>
      <c r="FI24">
        <v>0</v>
      </c>
      <c r="FJ24">
        <v>22.177600000000002</v>
      </c>
      <c r="FK24">
        <v>500</v>
      </c>
      <c r="FL24">
        <v>16.851700000000001</v>
      </c>
      <c r="FM24">
        <v>100.27800000000001</v>
      </c>
      <c r="FN24">
        <v>100.848</v>
      </c>
    </row>
    <row r="25" spans="1:170" x14ac:dyDescent="0.25">
      <c r="A25">
        <v>9</v>
      </c>
      <c r="B25">
        <v>1594055547.0999999</v>
      </c>
      <c r="C25">
        <v>1075.0999999046301</v>
      </c>
      <c r="D25" t="s">
        <v>324</v>
      </c>
      <c r="E25" t="s">
        <v>325</v>
      </c>
      <c r="G25">
        <v>1594055539.10323</v>
      </c>
      <c r="H25">
        <f t="shared" si="0"/>
        <v>6.9034709512344923E-3</v>
      </c>
      <c r="I25">
        <f t="shared" si="1"/>
        <v>40.26377526174322</v>
      </c>
      <c r="J25">
        <f t="shared" si="2"/>
        <v>582.24606451612897</v>
      </c>
      <c r="K25">
        <f t="shared" si="3"/>
        <v>414.50902385010943</v>
      </c>
      <c r="L25">
        <f t="shared" si="4"/>
        <v>41.207948550831965</v>
      </c>
      <c r="M25">
        <f t="shared" si="5"/>
        <v>57.883337852690985</v>
      </c>
      <c r="N25">
        <f t="shared" si="6"/>
        <v>0.44273425591558879</v>
      </c>
      <c r="O25">
        <f t="shared" si="7"/>
        <v>3.3803028777614164</v>
      </c>
      <c r="P25">
        <f t="shared" si="8"/>
        <v>0.41285838877852449</v>
      </c>
      <c r="Q25">
        <f t="shared" si="9"/>
        <v>0.26055252904919435</v>
      </c>
      <c r="R25">
        <f t="shared" si="10"/>
        <v>321.44110469295686</v>
      </c>
      <c r="S25">
        <f t="shared" si="11"/>
        <v>26.935006418247877</v>
      </c>
      <c r="T25">
        <f t="shared" si="12"/>
        <v>26.9904935483871</v>
      </c>
      <c r="U25">
        <f t="shared" si="13"/>
        <v>3.5771618008604045</v>
      </c>
      <c r="V25">
        <f t="shared" si="14"/>
        <v>55.28742146033909</v>
      </c>
      <c r="W25">
        <f t="shared" si="15"/>
        <v>1.9611500317590309</v>
      </c>
      <c r="X25">
        <f t="shared" si="16"/>
        <v>3.5471902649066003</v>
      </c>
      <c r="Y25">
        <f t="shared" si="17"/>
        <v>1.6160117691013736</v>
      </c>
      <c r="Z25">
        <f t="shared" si="18"/>
        <v>-304.44306894944111</v>
      </c>
      <c r="AA25">
        <f t="shared" si="19"/>
        <v>-26.091318061954908</v>
      </c>
      <c r="AB25">
        <f t="shared" si="20"/>
        <v>-1.6644209560525791</v>
      </c>
      <c r="AC25">
        <f t="shared" si="21"/>
        <v>-10.75770327449176</v>
      </c>
      <c r="AD25">
        <v>-4.1142805021475798E-2</v>
      </c>
      <c r="AE25">
        <v>4.6186402944284999E-2</v>
      </c>
      <c r="AF25">
        <v>3.4525012919587499</v>
      </c>
      <c r="AG25">
        <v>153</v>
      </c>
      <c r="AH25">
        <v>31</v>
      </c>
      <c r="AI25">
        <f t="shared" si="22"/>
        <v>1</v>
      </c>
      <c r="AJ25">
        <f t="shared" si="23"/>
        <v>0</v>
      </c>
      <c r="AK25">
        <f t="shared" si="24"/>
        <v>52490.232389844663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326</v>
      </c>
      <c r="AS25">
        <v>280.248307692308</v>
      </c>
      <c r="AT25">
        <v>401.44299999999998</v>
      </c>
      <c r="AU25">
        <f t="shared" si="27"/>
        <v>0.30189763505078426</v>
      </c>
      <c r="AV25">
        <v>0.5</v>
      </c>
      <c r="AW25">
        <f t="shared" si="28"/>
        <v>1681.2010932251148</v>
      </c>
      <c r="AX25">
        <f t="shared" si="29"/>
        <v>40.26377526174322</v>
      </c>
      <c r="AY25">
        <f t="shared" si="30"/>
        <v>253.77531704472761</v>
      </c>
      <c r="AZ25">
        <f t="shared" si="31"/>
        <v>0.52635866112997365</v>
      </c>
      <c r="BA25">
        <f t="shared" si="32"/>
        <v>2.4544223429325329E-2</v>
      </c>
      <c r="BB25">
        <f t="shared" si="33"/>
        <v>-1</v>
      </c>
      <c r="BC25" t="s">
        <v>327</v>
      </c>
      <c r="BD25">
        <v>190.14</v>
      </c>
      <c r="BE25">
        <f t="shared" si="34"/>
        <v>211.303</v>
      </c>
      <c r="BF25">
        <f t="shared" si="35"/>
        <v>0.57355878670767557</v>
      </c>
      <c r="BG25">
        <f t="shared" si="36"/>
        <v>2.111302198380141</v>
      </c>
      <c r="BH25">
        <f t="shared" si="37"/>
        <v>0.30189763505078426</v>
      </c>
      <c r="BI25" t="e">
        <f t="shared" si="38"/>
        <v>#DIV/0!</v>
      </c>
      <c r="BJ25">
        <v>4639</v>
      </c>
      <c r="BK25">
        <v>300</v>
      </c>
      <c r="BL25">
        <v>300</v>
      </c>
      <c r="BM25">
        <v>300</v>
      </c>
      <c r="BN25">
        <v>9865.83</v>
      </c>
      <c r="BO25">
        <v>367.46899999999999</v>
      </c>
      <c r="BP25">
        <v>-6.5614599999999999E-3</v>
      </c>
      <c r="BQ25">
        <v>0.78546099999999996</v>
      </c>
      <c r="BR25">
        <f t="shared" si="39"/>
        <v>2000.00451612903</v>
      </c>
      <c r="BS25">
        <f t="shared" si="40"/>
        <v>1681.2010932251148</v>
      </c>
      <c r="BT25">
        <f t="shared" si="41"/>
        <v>0.84059864848657795</v>
      </c>
      <c r="BU25">
        <f t="shared" si="42"/>
        <v>0.19119729697315602</v>
      </c>
      <c r="BV25">
        <v>0.5</v>
      </c>
      <c r="BW25" t="s">
        <v>281</v>
      </c>
      <c r="BX25">
        <v>1594055539.10323</v>
      </c>
      <c r="BY25">
        <v>582.24606451612897</v>
      </c>
      <c r="BZ25">
        <v>599.95696774193596</v>
      </c>
      <c r="CA25">
        <v>19.7271258064516</v>
      </c>
      <c r="CB25">
        <v>17.020580645161299</v>
      </c>
      <c r="CC25">
        <v>500.06816129032302</v>
      </c>
      <c r="CD25">
        <v>99.213858064516103</v>
      </c>
      <c r="CE25">
        <v>0.20001758064516101</v>
      </c>
      <c r="CF25">
        <v>26.847322580645201</v>
      </c>
      <c r="CG25">
        <v>26.9904935483871</v>
      </c>
      <c r="CH25">
        <v>999.9</v>
      </c>
      <c r="CI25">
        <v>10000.404838709699</v>
      </c>
      <c r="CJ25">
        <v>0</v>
      </c>
      <c r="CK25">
        <v>123.327096774194</v>
      </c>
      <c r="CL25">
        <v>2000.00451612903</v>
      </c>
      <c r="CM25">
        <v>0.97999641935483905</v>
      </c>
      <c r="CN25">
        <v>2.0003525806451601E-2</v>
      </c>
      <c r="CO25">
        <v>0</v>
      </c>
      <c r="CP25">
        <v>280.26451612903202</v>
      </c>
      <c r="CQ25">
        <v>5.00054</v>
      </c>
      <c r="CR25">
        <v>6544.1074193548402</v>
      </c>
      <c r="CS25">
        <v>18703.654838709699</v>
      </c>
      <c r="CT25">
        <v>49.556129032257999</v>
      </c>
      <c r="CU25">
        <v>50.687064516128999</v>
      </c>
      <c r="CV25">
        <v>49.895000000000003</v>
      </c>
      <c r="CW25">
        <v>49.979741935483901</v>
      </c>
      <c r="CX25">
        <v>50.989774193548399</v>
      </c>
      <c r="CY25">
        <v>1955.0945161290299</v>
      </c>
      <c r="CZ25">
        <v>39.909999999999997</v>
      </c>
      <c r="DA25">
        <v>0</v>
      </c>
      <c r="DB25">
        <v>147.200000047684</v>
      </c>
      <c r="DC25">
        <v>280.248307692308</v>
      </c>
      <c r="DD25">
        <v>-3.3107692326687101</v>
      </c>
      <c r="DE25">
        <v>-48.016410235017297</v>
      </c>
      <c r="DF25">
        <v>6543.8661538461502</v>
      </c>
      <c r="DG25">
        <v>15</v>
      </c>
      <c r="DH25">
        <v>1594055572.5999999</v>
      </c>
      <c r="DI25" t="s">
        <v>328</v>
      </c>
      <c r="DJ25">
        <v>52</v>
      </c>
      <c r="DK25">
        <v>-0.35599999999999998</v>
      </c>
      <c r="DL25">
        <v>0.115</v>
      </c>
      <c r="DM25">
        <v>600</v>
      </c>
      <c r="DN25">
        <v>17</v>
      </c>
      <c r="DO25">
        <v>0.1</v>
      </c>
      <c r="DP25">
        <v>0.04</v>
      </c>
      <c r="DQ25">
        <v>582.24329629629597</v>
      </c>
      <c r="DR25">
        <v>5.5635663415879097E-2</v>
      </c>
      <c r="DS25">
        <v>3.4249428018813803E-2</v>
      </c>
      <c r="DT25">
        <v>1</v>
      </c>
      <c r="DU25">
        <v>19.753972222222199</v>
      </c>
      <c r="DV25">
        <v>-0.287551520643962</v>
      </c>
      <c r="DW25">
        <v>3.7643933241314403E-2</v>
      </c>
      <c r="DX25">
        <v>0</v>
      </c>
      <c r="DY25">
        <v>1</v>
      </c>
      <c r="DZ25">
        <v>2</v>
      </c>
      <c r="EA25" t="s">
        <v>293</v>
      </c>
      <c r="EB25">
        <v>1.8667199999999999</v>
      </c>
      <c r="EC25">
        <v>1.8632500000000001</v>
      </c>
      <c r="ED25">
        <v>1.8688199999999999</v>
      </c>
      <c r="EE25">
        <v>1.86676</v>
      </c>
      <c r="EF25">
        <v>1.8714900000000001</v>
      </c>
      <c r="EG25">
        <v>1.86388</v>
      </c>
      <c r="EH25">
        <v>1.8653900000000001</v>
      </c>
      <c r="EI25">
        <v>1.8653299999999999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-0.35599999999999998</v>
      </c>
      <c r="EX25">
        <v>0.115</v>
      </c>
      <c r="EY25">
        <v>2</v>
      </c>
      <c r="EZ25">
        <v>333.65699999999998</v>
      </c>
      <c r="FA25">
        <v>447.46199999999999</v>
      </c>
      <c r="FB25">
        <v>22.121600000000001</v>
      </c>
      <c r="FC25">
        <v>35.682400000000001</v>
      </c>
      <c r="FD25">
        <v>29.9998</v>
      </c>
      <c r="FE25">
        <v>35.761800000000001</v>
      </c>
      <c r="FF25">
        <v>35.773499999999999</v>
      </c>
      <c r="FG25">
        <v>30.7364</v>
      </c>
      <c r="FH25">
        <v>49.907600000000002</v>
      </c>
      <c r="FI25">
        <v>0</v>
      </c>
      <c r="FJ25">
        <v>22.1264</v>
      </c>
      <c r="FK25">
        <v>600</v>
      </c>
      <c r="FL25">
        <v>16.991599999999998</v>
      </c>
      <c r="FM25">
        <v>100.29600000000001</v>
      </c>
      <c r="FN25">
        <v>100.87</v>
      </c>
    </row>
    <row r="26" spans="1:170" x14ac:dyDescent="0.25">
      <c r="A26">
        <v>10</v>
      </c>
      <c r="B26">
        <v>1594055694.2</v>
      </c>
      <c r="C26">
        <v>1222.2000000476801</v>
      </c>
      <c r="D26" t="s">
        <v>329</v>
      </c>
      <c r="E26" t="s">
        <v>330</v>
      </c>
      <c r="G26">
        <v>1594055686.2</v>
      </c>
      <c r="H26">
        <f t="shared" si="0"/>
        <v>5.8151230904208732E-3</v>
      </c>
      <c r="I26">
        <f t="shared" si="1"/>
        <v>41.814359077641193</v>
      </c>
      <c r="J26">
        <f t="shared" si="2"/>
        <v>681.694161290323</v>
      </c>
      <c r="K26">
        <f t="shared" si="3"/>
        <v>471.97359476525907</v>
      </c>
      <c r="L26">
        <f t="shared" si="4"/>
        <v>46.920217967150592</v>
      </c>
      <c r="M26">
        <f t="shared" si="5"/>
        <v>67.769127318624797</v>
      </c>
      <c r="N26">
        <f t="shared" si="6"/>
        <v>0.36208616940648602</v>
      </c>
      <c r="O26">
        <f t="shared" si="7"/>
        <v>3.3813259074959965</v>
      </c>
      <c r="P26">
        <f t="shared" si="8"/>
        <v>0.34184198549587042</v>
      </c>
      <c r="Q26">
        <f t="shared" si="9"/>
        <v>0.21537572508750336</v>
      </c>
      <c r="R26">
        <f t="shared" si="10"/>
        <v>321.44116365467215</v>
      </c>
      <c r="S26">
        <f t="shared" si="11"/>
        <v>27.089868179595552</v>
      </c>
      <c r="T26">
        <f t="shared" si="12"/>
        <v>27.0750903225806</v>
      </c>
      <c r="U26">
        <f t="shared" si="13"/>
        <v>3.5949750652667269</v>
      </c>
      <c r="V26">
        <f t="shared" si="14"/>
        <v>55.302438270315612</v>
      </c>
      <c r="W26">
        <f t="shared" si="15"/>
        <v>1.9510214743998846</v>
      </c>
      <c r="X26">
        <f t="shared" si="16"/>
        <v>3.5279122140390755</v>
      </c>
      <c r="Y26">
        <f t="shared" si="17"/>
        <v>1.6439535908668423</v>
      </c>
      <c r="Z26">
        <f t="shared" si="18"/>
        <v>-256.44692828756052</v>
      </c>
      <c r="AA26">
        <f t="shared" si="19"/>
        <v>-58.409951387384204</v>
      </c>
      <c r="AB26">
        <f t="shared" si="20"/>
        <v>-3.7248191765577889</v>
      </c>
      <c r="AC26">
        <f t="shared" si="21"/>
        <v>2.8594648031696366</v>
      </c>
      <c r="AD26">
        <v>-4.1158623500444497E-2</v>
      </c>
      <c r="AE26">
        <v>4.6204160572702303E-2</v>
      </c>
      <c r="AF26">
        <v>3.4535520803523698</v>
      </c>
      <c r="AG26">
        <v>152</v>
      </c>
      <c r="AH26">
        <v>30</v>
      </c>
      <c r="AI26">
        <f t="shared" si="22"/>
        <v>1</v>
      </c>
      <c r="AJ26">
        <f t="shared" si="23"/>
        <v>0</v>
      </c>
      <c r="AK26">
        <f t="shared" si="24"/>
        <v>52525.794507458784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331</v>
      </c>
      <c r="AS26">
        <v>277.56123076923097</v>
      </c>
      <c r="AT26">
        <v>394.56099999999998</v>
      </c>
      <c r="AU26">
        <f t="shared" si="27"/>
        <v>0.29653151028806446</v>
      </c>
      <c r="AV26">
        <v>0.5</v>
      </c>
      <c r="AW26">
        <f t="shared" si="28"/>
        <v>1681.2038029026107</v>
      </c>
      <c r="AX26">
        <f t="shared" si="29"/>
        <v>41.814359077641193</v>
      </c>
      <c r="AY26">
        <f t="shared" si="30"/>
        <v>249.2649513883743</v>
      </c>
      <c r="AZ26">
        <f t="shared" si="31"/>
        <v>0.52945171975942884</v>
      </c>
      <c r="BA26">
        <f t="shared" si="32"/>
        <v>2.5466489549763025E-2</v>
      </c>
      <c r="BB26">
        <f t="shared" si="33"/>
        <v>-1</v>
      </c>
      <c r="BC26" t="s">
        <v>332</v>
      </c>
      <c r="BD26">
        <v>185.66</v>
      </c>
      <c r="BE26">
        <f t="shared" si="34"/>
        <v>208.90099999999998</v>
      </c>
      <c r="BF26">
        <f t="shared" si="35"/>
        <v>0.56007280592610387</v>
      </c>
      <c r="BG26">
        <f t="shared" si="36"/>
        <v>2.1251804373586123</v>
      </c>
      <c r="BH26">
        <f t="shared" si="37"/>
        <v>0.29653151028806446</v>
      </c>
      <c r="BI26" t="e">
        <f t="shared" si="38"/>
        <v>#DIV/0!</v>
      </c>
      <c r="BJ26">
        <v>4641</v>
      </c>
      <c r="BK26">
        <v>300</v>
      </c>
      <c r="BL26">
        <v>300</v>
      </c>
      <c r="BM26">
        <v>300</v>
      </c>
      <c r="BN26">
        <v>9864.41</v>
      </c>
      <c r="BO26">
        <v>362.38600000000002</v>
      </c>
      <c r="BP26">
        <v>-6.5602799999999999E-3</v>
      </c>
      <c r="BQ26">
        <v>1.6683699999999999</v>
      </c>
      <c r="BR26">
        <f t="shared" si="39"/>
        <v>2000.0080645161299</v>
      </c>
      <c r="BS26">
        <f t="shared" si="40"/>
        <v>1681.2038029026107</v>
      </c>
      <c r="BT26">
        <f t="shared" si="41"/>
        <v>0.84059851194117619</v>
      </c>
      <c r="BU26">
        <f t="shared" si="42"/>
        <v>0.19119702388235241</v>
      </c>
      <c r="BV26">
        <v>0.5</v>
      </c>
      <c r="BW26" t="s">
        <v>281</v>
      </c>
      <c r="BX26">
        <v>1594055686.2</v>
      </c>
      <c r="BY26">
        <v>681.694161290323</v>
      </c>
      <c r="BZ26">
        <v>700.00325806451599</v>
      </c>
      <c r="CA26">
        <v>19.6254548387097</v>
      </c>
      <c r="CB26">
        <v>17.345341935483901</v>
      </c>
      <c r="CC26">
        <v>500.06283870967701</v>
      </c>
      <c r="CD26">
        <v>99.212809677419301</v>
      </c>
      <c r="CE26">
        <v>0.19999325806451601</v>
      </c>
      <c r="CF26">
        <v>26.7546741935484</v>
      </c>
      <c r="CG26">
        <v>27.0750903225806</v>
      </c>
      <c r="CH26">
        <v>999.9</v>
      </c>
      <c r="CI26">
        <v>10004.355483871001</v>
      </c>
      <c r="CJ26">
        <v>0</v>
      </c>
      <c r="CK26">
        <v>254.128935483871</v>
      </c>
      <c r="CL26">
        <v>2000.0080645161299</v>
      </c>
      <c r="CM26">
        <v>0.97999912903225805</v>
      </c>
      <c r="CN26">
        <v>2.00009548387097E-2</v>
      </c>
      <c r="CO26">
        <v>0</v>
      </c>
      <c r="CP26">
        <v>277.55419354838699</v>
      </c>
      <c r="CQ26">
        <v>5.00054</v>
      </c>
      <c r="CR26">
        <v>7131.2867741935497</v>
      </c>
      <c r="CS26">
        <v>18703.6967741935</v>
      </c>
      <c r="CT26">
        <v>49.902999999999999</v>
      </c>
      <c r="CU26">
        <v>51.118709677419297</v>
      </c>
      <c r="CV26">
        <v>50.241870967741903</v>
      </c>
      <c r="CW26">
        <v>50.376838709677401</v>
      </c>
      <c r="CX26">
        <v>51.277999999999999</v>
      </c>
      <c r="CY26">
        <v>1955.10709677419</v>
      </c>
      <c r="CZ26">
        <v>39.900967741935503</v>
      </c>
      <c r="DA26">
        <v>0</v>
      </c>
      <c r="DB26">
        <v>146.59999990463299</v>
      </c>
      <c r="DC26">
        <v>277.56123076923097</v>
      </c>
      <c r="DD26">
        <v>-1.37114531554301</v>
      </c>
      <c r="DE26">
        <v>316.76136784784899</v>
      </c>
      <c r="DF26">
        <v>7137.5696153846102</v>
      </c>
      <c r="DG26">
        <v>15</v>
      </c>
      <c r="DH26">
        <v>1594055720.7</v>
      </c>
      <c r="DI26" t="s">
        <v>333</v>
      </c>
      <c r="DJ26">
        <v>53</v>
      </c>
      <c r="DK26">
        <v>-0.28599999999999998</v>
      </c>
      <c r="DL26">
        <v>0.121</v>
      </c>
      <c r="DM26">
        <v>700</v>
      </c>
      <c r="DN26">
        <v>17</v>
      </c>
      <c r="DO26">
        <v>0.22</v>
      </c>
      <c r="DP26">
        <v>0.03</v>
      </c>
      <c r="DQ26">
        <v>681.58092592592595</v>
      </c>
      <c r="DR26">
        <v>0.463487707261247</v>
      </c>
      <c r="DS26">
        <v>6.5777923756928897E-2</v>
      </c>
      <c r="DT26">
        <v>0</v>
      </c>
      <c r="DU26">
        <v>19.622679629629602</v>
      </c>
      <c r="DV26">
        <v>-3.37852487135702E-2</v>
      </c>
      <c r="DW26">
        <v>5.0043455053482401E-3</v>
      </c>
      <c r="DX26">
        <v>1</v>
      </c>
      <c r="DY26">
        <v>1</v>
      </c>
      <c r="DZ26">
        <v>2</v>
      </c>
      <c r="EA26" t="s">
        <v>293</v>
      </c>
      <c r="EB26">
        <v>1.8666</v>
      </c>
      <c r="EC26">
        <v>1.8631</v>
      </c>
      <c r="ED26">
        <v>1.8687400000000001</v>
      </c>
      <c r="EE26">
        <v>1.8666400000000001</v>
      </c>
      <c r="EF26">
        <v>1.8713500000000001</v>
      </c>
      <c r="EG26">
        <v>1.8638300000000001</v>
      </c>
      <c r="EH26">
        <v>1.86524</v>
      </c>
      <c r="EI26">
        <v>1.8652299999999999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-0.28599999999999998</v>
      </c>
      <c r="EX26">
        <v>0.121</v>
      </c>
      <c r="EY26">
        <v>2</v>
      </c>
      <c r="EZ26">
        <v>333.96600000000001</v>
      </c>
      <c r="FA26">
        <v>448.03300000000002</v>
      </c>
      <c r="FB26">
        <v>20.483699999999999</v>
      </c>
      <c r="FC26">
        <v>35.590400000000002</v>
      </c>
      <c r="FD26">
        <v>30.000299999999999</v>
      </c>
      <c r="FE26">
        <v>35.6494</v>
      </c>
      <c r="FF26">
        <v>35.665799999999997</v>
      </c>
      <c r="FG26">
        <v>34.819499999999998</v>
      </c>
      <c r="FH26">
        <v>49.0274</v>
      </c>
      <c r="FI26">
        <v>0</v>
      </c>
      <c r="FJ26">
        <v>20.183499999999999</v>
      </c>
      <c r="FK26">
        <v>700</v>
      </c>
      <c r="FL26">
        <v>17.238600000000002</v>
      </c>
      <c r="FM26">
        <v>100.316</v>
      </c>
      <c r="FN26">
        <v>100.887</v>
      </c>
    </row>
    <row r="27" spans="1:170" x14ac:dyDescent="0.25">
      <c r="A27">
        <v>11</v>
      </c>
      <c r="B27">
        <v>1594055842.2</v>
      </c>
      <c r="C27">
        <v>1370.2000000476801</v>
      </c>
      <c r="D27" t="s">
        <v>334</v>
      </c>
      <c r="E27" t="s">
        <v>335</v>
      </c>
      <c r="G27">
        <v>1594055834.2</v>
      </c>
      <c r="H27">
        <f t="shared" si="0"/>
        <v>5.5119774796694391E-3</v>
      </c>
      <c r="I27">
        <f t="shared" si="1"/>
        <v>42.326112452460642</v>
      </c>
      <c r="J27">
        <f t="shared" si="2"/>
        <v>781.343032258064</v>
      </c>
      <c r="K27">
        <f t="shared" si="3"/>
        <v>553.24033594989567</v>
      </c>
      <c r="L27">
        <f t="shared" si="4"/>
        <v>55.002697687629166</v>
      </c>
      <c r="M27">
        <f t="shared" si="5"/>
        <v>77.680479533072045</v>
      </c>
      <c r="N27">
        <f t="shared" si="6"/>
        <v>0.33798245171205427</v>
      </c>
      <c r="O27">
        <f t="shared" si="7"/>
        <v>3.3804286371429795</v>
      </c>
      <c r="P27">
        <f t="shared" si="8"/>
        <v>0.32026861762310316</v>
      </c>
      <c r="Q27">
        <f t="shared" si="9"/>
        <v>0.20168200522040503</v>
      </c>
      <c r="R27">
        <f t="shared" si="10"/>
        <v>321.44013110570086</v>
      </c>
      <c r="S27">
        <f t="shared" si="11"/>
        <v>27.048323929285534</v>
      </c>
      <c r="T27">
        <f t="shared" si="12"/>
        <v>27.046409677419401</v>
      </c>
      <c r="U27">
        <f t="shared" si="13"/>
        <v>3.5889272202984981</v>
      </c>
      <c r="V27">
        <f t="shared" si="14"/>
        <v>54.930611661627374</v>
      </c>
      <c r="W27">
        <f t="shared" si="15"/>
        <v>1.9253267247792372</v>
      </c>
      <c r="X27">
        <f t="shared" si="16"/>
        <v>3.5050159947958561</v>
      </c>
      <c r="Y27">
        <f t="shared" si="17"/>
        <v>1.6636004955192609</v>
      </c>
      <c r="Z27">
        <f t="shared" si="18"/>
        <v>-243.07820685342227</v>
      </c>
      <c r="AA27">
        <f t="shared" si="19"/>
        <v>-73.326250851050133</v>
      </c>
      <c r="AB27">
        <f t="shared" si="20"/>
        <v>-4.6740200209798024</v>
      </c>
      <c r="AC27">
        <f t="shared" si="21"/>
        <v>0.36165338024864013</v>
      </c>
      <c r="AD27">
        <v>-4.1144749445725999E-2</v>
      </c>
      <c r="AE27">
        <v>4.6188585730846797E-2</v>
      </c>
      <c r="AF27">
        <v>3.4526304634641898</v>
      </c>
      <c r="AG27">
        <v>153</v>
      </c>
      <c r="AH27">
        <v>31</v>
      </c>
      <c r="AI27">
        <f t="shared" si="22"/>
        <v>1</v>
      </c>
      <c r="AJ27">
        <f t="shared" si="23"/>
        <v>0</v>
      </c>
      <c r="AK27">
        <f t="shared" si="24"/>
        <v>52528.3348494202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336</v>
      </c>
      <c r="AS27">
        <v>274.44099999999997</v>
      </c>
      <c r="AT27">
        <v>383.43200000000002</v>
      </c>
      <c r="AU27">
        <f t="shared" si="27"/>
        <v>0.28425118404306382</v>
      </c>
      <c r="AV27">
        <v>0.5</v>
      </c>
      <c r="AW27">
        <f t="shared" si="28"/>
        <v>1681.1986254832614</v>
      </c>
      <c r="AX27">
        <f t="shared" si="29"/>
        <v>42.326112452460642</v>
      </c>
      <c r="AY27">
        <f t="shared" si="30"/>
        <v>238.94134995259424</v>
      </c>
      <c r="AZ27">
        <f t="shared" si="31"/>
        <v>0.51793277556385486</v>
      </c>
      <c r="BA27">
        <f t="shared" si="32"/>
        <v>2.5770965902382016E-2</v>
      </c>
      <c r="BB27">
        <f t="shared" si="33"/>
        <v>-1</v>
      </c>
      <c r="BC27" t="s">
        <v>337</v>
      </c>
      <c r="BD27">
        <v>184.84</v>
      </c>
      <c r="BE27">
        <f t="shared" si="34"/>
        <v>198.59200000000001</v>
      </c>
      <c r="BF27">
        <f t="shared" si="35"/>
        <v>0.54881868353206587</v>
      </c>
      <c r="BG27">
        <f t="shared" si="36"/>
        <v>2.0743994806318979</v>
      </c>
      <c r="BH27">
        <f t="shared" si="37"/>
        <v>0.28425118404306382</v>
      </c>
      <c r="BI27" t="e">
        <f t="shared" si="38"/>
        <v>#DIV/0!</v>
      </c>
      <c r="BJ27">
        <v>4643</v>
      </c>
      <c r="BK27">
        <v>300</v>
      </c>
      <c r="BL27">
        <v>300</v>
      </c>
      <c r="BM27">
        <v>300</v>
      </c>
      <c r="BN27">
        <v>9862.7099999999991</v>
      </c>
      <c r="BO27">
        <v>354.16899999999998</v>
      </c>
      <c r="BP27">
        <v>-6.5588199999999999E-3</v>
      </c>
      <c r="BQ27">
        <v>1.0172699999999999</v>
      </c>
      <c r="BR27">
        <f t="shared" si="39"/>
        <v>2000.0019354838701</v>
      </c>
      <c r="BS27">
        <f t="shared" si="40"/>
        <v>1681.1986254832614</v>
      </c>
      <c r="BT27">
        <f t="shared" si="41"/>
        <v>0.84059849925921237</v>
      </c>
      <c r="BU27">
        <f t="shared" si="42"/>
        <v>0.19119699851842475</v>
      </c>
      <c r="BV27">
        <v>0.5</v>
      </c>
      <c r="BW27" t="s">
        <v>281</v>
      </c>
      <c r="BX27">
        <v>1594055834.2</v>
      </c>
      <c r="BY27">
        <v>781.343032258064</v>
      </c>
      <c r="BZ27">
        <v>799.99403225806498</v>
      </c>
      <c r="CA27">
        <v>19.365748387096801</v>
      </c>
      <c r="CB27">
        <v>17.2039032258064</v>
      </c>
      <c r="CC27">
        <v>500.05745161290298</v>
      </c>
      <c r="CD27">
        <v>99.219180645161302</v>
      </c>
      <c r="CE27">
        <v>0.19999419354838699</v>
      </c>
      <c r="CF27">
        <v>26.6440612903226</v>
      </c>
      <c r="CG27">
        <v>27.046409677419401</v>
      </c>
      <c r="CH27">
        <v>999.9</v>
      </c>
      <c r="CI27">
        <v>10000.3409677419</v>
      </c>
      <c r="CJ27">
        <v>0</v>
      </c>
      <c r="CK27">
        <v>157.97790322580599</v>
      </c>
      <c r="CL27">
        <v>2000.0019354838701</v>
      </c>
      <c r="CM27">
        <v>0.98000200000000004</v>
      </c>
      <c r="CN27">
        <v>1.9997600000000001E-2</v>
      </c>
      <c r="CO27">
        <v>0</v>
      </c>
      <c r="CP27">
        <v>274.46161290322601</v>
      </c>
      <c r="CQ27">
        <v>5.00054</v>
      </c>
      <c r="CR27">
        <v>6604.8683870967698</v>
      </c>
      <c r="CS27">
        <v>18703.661290322601</v>
      </c>
      <c r="CT27">
        <v>50.382935483871002</v>
      </c>
      <c r="CU27">
        <v>51.792000000000002</v>
      </c>
      <c r="CV27">
        <v>50.78</v>
      </c>
      <c r="CW27">
        <v>50.981677419354803</v>
      </c>
      <c r="CX27">
        <v>51.745870967741901</v>
      </c>
      <c r="CY27">
        <v>1955.10193548387</v>
      </c>
      <c r="CZ27">
        <v>39.9</v>
      </c>
      <c r="DA27">
        <v>0</v>
      </c>
      <c r="DB27">
        <v>147.200000047684</v>
      </c>
      <c r="DC27">
        <v>274.44099999999997</v>
      </c>
      <c r="DD27">
        <v>-3.9683418816562699</v>
      </c>
      <c r="DE27">
        <v>1018.23726392853</v>
      </c>
      <c r="DF27">
        <v>6609.8630769230804</v>
      </c>
      <c r="DG27">
        <v>15</v>
      </c>
      <c r="DH27">
        <v>1594055880.7</v>
      </c>
      <c r="DI27" t="s">
        <v>338</v>
      </c>
      <c r="DJ27">
        <v>54</v>
      </c>
      <c r="DK27">
        <v>-0.53700000000000003</v>
      </c>
      <c r="DL27">
        <v>0.11799999999999999</v>
      </c>
      <c r="DM27">
        <v>800</v>
      </c>
      <c r="DN27">
        <v>17</v>
      </c>
      <c r="DO27">
        <v>0.16</v>
      </c>
      <c r="DP27">
        <v>0.05</v>
      </c>
      <c r="DQ27">
        <v>781.53166666666698</v>
      </c>
      <c r="DR27">
        <v>0.551217838765096</v>
      </c>
      <c r="DS27">
        <v>8.2098405271655198E-2</v>
      </c>
      <c r="DT27">
        <v>0</v>
      </c>
      <c r="DU27">
        <v>19.337035185185201</v>
      </c>
      <c r="DV27">
        <v>0.328501772441401</v>
      </c>
      <c r="DW27">
        <v>4.2809912132794302E-2</v>
      </c>
      <c r="DX27">
        <v>0</v>
      </c>
      <c r="DY27">
        <v>0</v>
      </c>
      <c r="DZ27">
        <v>2</v>
      </c>
      <c r="EA27" t="s">
        <v>339</v>
      </c>
      <c r="EB27">
        <v>1.8666100000000001</v>
      </c>
      <c r="EC27">
        <v>1.86311</v>
      </c>
      <c r="ED27">
        <v>1.8687400000000001</v>
      </c>
      <c r="EE27">
        <v>1.8666799999999999</v>
      </c>
      <c r="EF27">
        <v>1.87134</v>
      </c>
      <c r="EG27">
        <v>1.86382</v>
      </c>
      <c r="EH27">
        <v>1.8652500000000001</v>
      </c>
      <c r="EI27">
        <v>1.8652299999999999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-0.53700000000000003</v>
      </c>
      <c r="EX27">
        <v>0.11799999999999999</v>
      </c>
      <c r="EY27">
        <v>2</v>
      </c>
      <c r="EZ27">
        <v>333.64800000000002</v>
      </c>
      <c r="FA27">
        <v>446.55</v>
      </c>
      <c r="FB27">
        <v>20.869499999999999</v>
      </c>
      <c r="FC27">
        <v>35.770299999999999</v>
      </c>
      <c r="FD27">
        <v>30.000499999999999</v>
      </c>
      <c r="FE27">
        <v>35.732999999999997</v>
      </c>
      <c r="FF27">
        <v>35.736400000000003</v>
      </c>
      <c r="FG27">
        <v>38.811599999999999</v>
      </c>
      <c r="FH27">
        <v>49.2502</v>
      </c>
      <c r="FI27">
        <v>0</v>
      </c>
      <c r="FJ27">
        <v>20.859400000000001</v>
      </c>
      <c r="FK27">
        <v>800</v>
      </c>
      <c r="FL27">
        <v>17.220800000000001</v>
      </c>
      <c r="FM27">
        <v>100.286</v>
      </c>
      <c r="FN27">
        <v>100.848</v>
      </c>
    </row>
    <row r="28" spans="1:170" x14ac:dyDescent="0.25">
      <c r="A28">
        <v>12</v>
      </c>
      <c r="B28">
        <v>1594056002.2</v>
      </c>
      <c r="C28">
        <v>1530.2000000476801</v>
      </c>
      <c r="D28" t="s">
        <v>340</v>
      </c>
      <c r="E28" t="s">
        <v>341</v>
      </c>
      <c r="G28">
        <v>1594055994.2</v>
      </c>
      <c r="H28">
        <f t="shared" si="0"/>
        <v>5.7286405908159197E-3</v>
      </c>
      <c r="I28">
        <f t="shared" si="1"/>
        <v>41.849311990569213</v>
      </c>
      <c r="J28">
        <f t="shared" si="2"/>
        <v>981.015290322581</v>
      </c>
      <c r="K28">
        <f t="shared" si="3"/>
        <v>755.83459121840974</v>
      </c>
      <c r="L28">
        <f t="shared" si="4"/>
        <v>75.151556316172275</v>
      </c>
      <c r="M28">
        <f t="shared" si="5"/>
        <v>97.540952338339935</v>
      </c>
      <c r="N28">
        <f t="shared" si="6"/>
        <v>0.34898150552612589</v>
      </c>
      <c r="O28">
        <f t="shared" si="7"/>
        <v>3.380508880494387</v>
      </c>
      <c r="P28">
        <f t="shared" si="8"/>
        <v>0.33013092836916413</v>
      </c>
      <c r="Q28">
        <f t="shared" si="9"/>
        <v>0.20794058523942377</v>
      </c>
      <c r="R28">
        <f t="shared" si="10"/>
        <v>321.44172249663472</v>
      </c>
      <c r="S28">
        <f t="shared" si="11"/>
        <v>26.817173446386203</v>
      </c>
      <c r="T28">
        <f t="shared" si="12"/>
        <v>27.045229032258099</v>
      </c>
      <c r="U28">
        <f t="shared" si="13"/>
        <v>3.5886784498490778</v>
      </c>
      <c r="V28">
        <f t="shared" si="14"/>
        <v>55.110817636628354</v>
      </c>
      <c r="W28">
        <f t="shared" si="15"/>
        <v>1.9110483224018455</v>
      </c>
      <c r="X28">
        <f t="shared" si="16"/>
        <v>3.4676464700674368</v>
      </c>
      <c r="Y28">
        <f t="shared" si="17"/>
        <v>1.6776301274472323</v>
      </c>
      <c r="Z28">
        <f t="shared" si="18"/>
        <v>-252.63305005498205</v>
      </c>
      <c r="AA28">
        <f t="shared" si="19"/>
        <v>-106.26350501230995</v>
      </c>
      <c r="AB28">
        <f t="shared" si="20"/>
        <v>-6.767173598481703</v>
      </c>
      <c r="AC28">
        <f t="shared" si="21"/>
        <v>-44.222006169138965</v>
      </c>
      <c r="AD28">
        <v>-4.1145990142417897E-2</v>
      </c>
      <c r="AE28">
        <v>4.6189978521574498E-2</v>
      </c>
      <c r="AF28">
        <v>3.4527128840209098</v>
      </c>
      <c r="AG28">
        <v>154</v>
      </c>
      <c r="AH28">
        <v>31</v>
      </c>
      <c r="AI28">
        <f t="shared" si="22"/>
        <v>1</v>
      </c>
      <c r="AJ28">
        <f t="shared" si="23"/>
        <v>0</v>
      </c>
      <c r="AK28">
        <f t="shared" si="24"/>
        <v>52561.964625550885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342</v>
      </c>
      <c r="AS28">
        <v>272.09411538461501</v>
      </c>
      <c r="AT28">
        <v>370.91399999999999</v>
      </c>
      <c r="AU28">
        <f t="shared" si="27"/>
        <v>0.26642263332035188</v>
      </c>
      <c r="AV28">
        <v>0.5</v>
      </c>
      <c r="AW28">
        <f t="shared" si="28"/>
        <v>1681.2043448380171</v>
      </c>
      <c r="AX28">
        <f t="shared" si="29"/>
        <v>41.849311990569213</v>
      </c>
      <c r="AY28">
        <f t="shared" si="30"/>
        <v>223.95544435068072</v>
      </c>
      <c r="AZ28">
        <f t="shared" si="31"/>
        <v>0.50710946472767271</v>
      </c>
      <c r="BA28">
        <f t="shared" si="32"/>
        <v>2.5487271741911729E-2</v>
      </c>
      <c r="BB28">
        <f t="shared" si="33"/>
        <v>-1</v>
      </c>
      <c r="BC28" t="s">
        <v>343</v>
      </c>
      <c r="BD28">
        <v>182.82</v>
      </c>
      <c r="BE28">
        <f t="shared" si="34"/>
        <v>188.09399999999999</v>
      </c>
      <c r="BF28">
        <f t="shared" si="35"/>
        <v>0.52537499662607512</v>
      </c>
      <c r="BG28">
        <f t="shared" si="36"/>
        <v>2.0288480472595998</v>
      </c>
      <c r="BH28">
        <f t="shared" si="37"/>
        <v>0.26642263332035182</v>
      </c>
      <c r="BI28" t="e">
        <f t="shared" si="38"/>
        <v>#DIV/0!</v>
      </c>
      <c r="BJ28">
        <v>4645</v>
      </c>
      <c r="BK28">
        <v>300</v>
      </c>
      <c r="BL28">
        <v>300</v>
      </c>
      <c r="BM28">
        <v>300</v>
      </c>
      <c r="BN28">
        <v>9865.19</v>
      </c>
      <c r="BO28">
        <v>344.16899999999998</v>
      </c>
      <c r="BP28">
        <v>-6.5604699999999997E-3</v>
      </c>
      <c r="BQ28">
        <v>1.07544</v>
      </c>
      <c r="BR28">
        <f t="shared" si="39"/>
        <v>2000.0083870967701</v>
      </c>
      <c r="BS28">
        <f t="shared" si="40"/>
        <v>1681.2043448380171</v>
      </c>
      <c r="BT28">
        <f t="shared" si="41"/>
        <v>0.84059864732790857</v>
      </c>
      <c r="BU28">
        <f t="shared" si="42"/>
        <v>0.19119729465581736</v>
      </c>
      <c r="BV28">
        <v>0.5</v>
      </c>
      <c r="BW28" t="s">
        <v>281</v>
      </c>
      <c r="BX28">
        <v>1594055994.2</v>
      </c>
      <c r="BY28">
        <v>981.015290322581</v>
      </c>
      <c r="BZ28">
        <v>1000.00064516129</v>
      </c>
      <c r="CA28">
        <v>19.2203129032258</v>
      </c>
      <c r="CB28">
        <v>16.973174193548399</v>
      </c>
      <c r="CC28">
        <v>500.061193548387</v>
      </c>
      <c r="CD28">
        <v>99.228570967742002</v>
      </c>
      <c r="CE28">
        <v>0.20000399999999999</v>
      </c>
      <c r="CF28">
        <v>26.462164516129</v>
      </c>
      <c r="CG28">
        <v>27.045229032258099</v>
      </c>
      <c r="CH28">
        <v>999.9</v>
      </c>
      <c r="CI28">
        <v>9999.6961290322597</v>
      </c>
      <c r="CJ28">
        <v>0</v>
      </c>
      <c r="CK28">
        <v>327.72474193548402</v>
      </c>
      <c r="CL28">
        <v>2000.0083870967701</v>
      </c>
      <c r="CM28">
        <v>0.97999545161290302</v>
      </c>
      <c r="CN28">
        <v>2.0004735483871001E-2</v>
      </c>
      <c r="CO28">
        <v>0</v>
      </c>
      <c r="CP28">
        <v>272.117032258064</v>
      </c>
      <c r="CQ28">
        <v>5.00054</v>
      </c>
      <c r="CR28">
        <v>7333.7177419354803</v>
      </c>
      <c r="CS28">
        <v>18703.677419354801</v>
      </c>
      <c r="CT28">
        <v>49.908999999999999</v>
      </c>
      <c r="CU28">
        <v>51.433064516129001</v>
      </c>
      <c r="CV28">
        <v>50.277935483870998</v>
      </c>
      <c r="CW28">
        <v>50.451419354838698</v>
      </c>
      <c r="CX28">
        <v>51.191193548387098</v>
      </c>
      <c r="CY28">
        <v>1955.09838709677</v>
      </c>
      <c r="CZ28">
        <v>39.909999999999997</v>
      </c>
      <c r="DA28">
        <v>0</v>
      </c>
      <c r="DB28">
        <v>159.200000047684</v>
      </c>
      <c r="DC28">
        <v>272.09411538461501</v>
      </c>
      <c r="DD28">
        <v>-3.3680341852411599</v>
      </c>
      <c r="DE28">
        <v>-75.070769106306599</v>
      </c>
      <c r="DF28">
        <v>7333.4138461538496</v>
      </c>
      <c r="DG28">
        <v>15</v>
      </c>
      <c r="DH28">
        <v>1594056028.2</v>
      </c>
      <c r="DI28" t="s">
        <v>344</v>
      </c>
      <c r="DJ28">
        <v>55</v>
      </c>
      <c r="DK28">
        <v>-0.111</v>
      </c>
      <c r="DL28">
        <v>0.112</v>
      </c>
      <c r="DM28">
        <v>1000</v>
      </c>
      <c r="DN28">
        <v>17</v>
      </c>
      <c r="DO28">
        <v>0.16</v>
      </c>
      <c r="DP28">
        <v>0.04</v>
      </c>
      <c r="DQ28">
        <v>980.55379629629601</v>
      </c>
      <c r="DR28">
        <v>0.37033733562010801</v>
      </c>
      <c r="DS28">
        <v>5.78940218335246E-2</v>
      </c>
      <c r="DT28">
        <v>0</v>
      </c>
      <c r="DU28">
        <v>19.2336777777778</v>
      </c>
      <c r="DV28">
        <v>-6.7521097770155705E-2</v>
      </c>
      <c r="DW28">
        <v>9.0843101751329897E-3</v>
      </c>
      <c r="DX28">
        <v>1</v>
      </c>
      <c r="DY28">
        <v>1</v>
      </c>
      <c r="DZ28">
        <v>2</v>
      </c>
      <c r="EA28" t="s">
        <v>293</v>
      </c>
      <c r="EB28">
        <v>1.8666100000000001</v>
      </c>
      <c r="EC28">
        <v>1.86311</v>
      </c>
      <c r="ED28">
        <v>1.8687400000000001</v>
      </c>
      <c r="EE28">
        <v>1.8666799999999999</v>
      </c>
      <c r="EF28">
        <v>1.87137</v>
      </c>
      <c r="EG28">
        <v>1.8638300000000001</v>
      </c>
      <c r="EH28">
        <v>1.86524</v>
      </c>
      <c r="EI28">
        <v>1.8652299999999999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-0.111</v>
      </c>
      <c r="EX28">
        <v>0.112</v>
      </c>
      <c r="EY28">
        <v>2</v>
      </c>
      <c r="EZ28">
        <v>332.58199999999999</v>
      </c>
      <c r="FA28">
        <v>445.25700000000001</v>
      </c>
      <c r="FB28">
        <v>20.8508</v>
      </c>
      <c r="FC28">
        <v>36.048299999999998</v>
      </c>
      <c r="FD28">
        <v>30.0015</v>
      </c>
      <c r="FE28">
        <v>35.923900000000003</v>
      </c>
      <c r="FF28">
        <v>35.917400000000001</v>
      </c>
      <c r="FG28">
        <v>46.463799999999999</v>
      </c>
      <c r="FH28">
        <v>50.412199999999999</v>
      </c>
      <c r="FI28">
        <v>0</v>
      </c>
      <c r="FJ28">
        <v>20.790299999999998</v>
      </c>
      <c r="FK28">
        <v>1000</v>
      </c>
      <c r="FL28">
        <v>16.959299999999999</v>
      </c>
      <c r="FM28">
        <v>100.235</v>
      </c>
      <c r="FN28">
        <v>100.788</v>
      </c>
    </row>
    <row r="29" spans="1:170" x14ac:dyDescent="0.25">
      <c r="A29">
        <v>13</v>
      </c>
      <c r="B29">
        <v>1594056140.7</v>
      </c>
      <c r="C29">
        <v>1668.7000000476801</v>
      </c>
      <c r="D29" t="s">
        <v>345</v>
      </c>
      <c r="E29" t="s">
        <v>346</v>
      </c>
      <c r="G29">
        <v>1594056132.7096801</v>
      </c>
      <c r="H29">
        <f t="shared" si="0"/>
        <v>5.8347149187550872E-3</v>
      </c>
      <c r="I29">
        <f t="shared" si="1"/>
        <v>41.878945422014858</v>
      </c>
      <c r="J29">
        <f t="shared" si="2"/>
        <v>1180.4539354838701</v>
      </c>
      <c r="K29">
        <f t="shared" si="3"/>
        <v>949.58576001770996</v>
      </c>
      <c r="L29">
        <f t="shared" si="4"/>
        <v>94.42065181167888</v>
      </c>
      <c r="M29">
        <f t="shared" si="5"/>
        <v>117.3766864616523</v>
      </c>
      <c r="N29">
        <f t="shared" si="6"/>
        <v>0.34963838838490374</v>
      </c>
      <c r="O29">
        <f t="shared" si="7"/>
        <v>3.3805286935455743</v>
      </c>
      <c r="P29">
        <f t="shared" si="8"/>
        <v>0.33071895007575408</v>
      </c>
      <c r="Q29">
        <f t="shared" si="9"/>
        <v>0.20831382462892115</v>
      </c>
      <c r="R29">
        <f t="shared" si="10"/>
        <v>321.44048308430945</v>
      </c>
      <c r="S29">
        <f t="shared" si="11"/>
        <v>26.757211640454496</v>
      </c>
      <c r="T29">
        <f t="shared" si="12"/>
        <v>27.132829032258101</v>
      </c>
      <c r="U29">
        <f t="shared" si="13"/>
        <v>3.6071773280392256</v>
      </c>
      <c r="V29">
        <f t="shared" si="14"/>
        <v>54.9518323881763</v>
      </c>
      <c r="W29">
        <f t="shared" si="15"/>
        <v>1.9015133340634098</v>
      </c>
      <c r="X29">
        <f t="shared" si="16"/>
        <v>3.4603274384578091</v>
      </c>
      <c r="Y29">
        <f t="shared" si="17"/>
        <v>1.7056639939758158</v>
      </c>
      <c r="Z29">
        <f t="shared" si="18"/>
        <v>-257.31092791709932</v>
      </c>
      <c r="AA29">
        <f t="shared" si="19"/>
        <v>-128.75861223756871</v>
      </c>
      <c r="AB29">
        <f t="shared" si="20"/>
        <v>-8.2018085719309006</v>
      </c>
      <c r="AC29">
        <f t="shared" si="21"/>
        <v>-72.830865642289467</v>
      </c>
      <c r="AD29">
        <v>-4.1146296487425203E-2</v>
      </c>
      <c r="AE29">
        <v>4.6190322420682502E-2</v>
      </c>
      <c r="AF29">
        <v>3.4527332346539099</v>
      </c>
      <c r="AG29">
        <v>155</v>
      </c>
      <c r="AH29">
        <v>31</v>
      </c>
      <c r="AI29">
        <f t="shared" si="22"/>
        <v>1</v>
      </c>
      <c r="AJ29">
        <f t="shared" si="23"/>
        <v>0</v>
      </c>
      <c r="AK29">
        <f t="shared" si="24"/>
        <v>52568.735936318946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347</v>
      </c>
      <c r="AS29">
        <v>269.65588461538499</v>
      </c>
      <c r="AT29">
        <v>361.55900000000003</v>
      </c>
      <c r="AU29">
        <f t="shared" si="27"/>
        <v>0.25418566647383978</v>
      </c>
      <c r="AV29">
        <v>0.5</v>
      </c>
      <c r="AW29">
        <f t="shared" si="28"/>
        <v>1681.1997873527923</v>
      </c>
      <c r="AX29">
        <f t="shared" si="29"/>
        <v>41.878945422014858</v>
      </c>
      <c r="AY29">
        <f t="shared" si="30"/>
        <v>213.66844421197362</v>
      </c>
      <c r="AZ29">
        <f t="shared" si="31"/>
        <v>0.5029856814517133</v>
      </c>
      <c r="BA29">
        <f t="shared" si="32"/>
        <v>2.550496719341834E-2</v>
      </c>
      <c r="BB29">
        <f t="shared" si="33"/>
        <v>-1</v>
      </c>
      <c r="BC29" t="s">
        <v>348</v>
      </c>
      <c r="BD29">
        <v>179.7</v>
      </c>
      <c r="BE29">
        <f t="shared" si="34"/>
        <v>181.85900000000004</v>
      </c>
      <c r="BF29">
        <f t="shared" si="35"/>
        <v>0.50535368271361336</v>
      </c>
      <c r="BG29">
        <f t="shared" si="36"/>
        <v>2.0120144685587094</v>
      </c>
      <c r="BH29">
        <f t="shared" si="37"/>
        <v>0.25418566647383978</v>
      </c>
      <c r="BI29" t="e">
        <f t="shared" si="38"/>
        <v>#DIV/0!</v>
      </c>
      <c r="BJ29">
        <v>4647</v>
      </c>
      <c r="BK29">
        <v>300</v>
      </c>
      <c r="BL29">
        <v>300</v>
      </c>
      <c r="BM29">
        <v>300</v>
      </c>
      <c r="BN29">
        <v>9866.64</v>
      </c>
      <c r="BO29">
        <v>336.15199999999999</v>
      </c>
      <c r="BP29">
        <v>-6.5618100000000004E-3</v>
      </c>
      <c r="BQ29">
        <v>0.969696</v>
      </c>
      <c r="BR29">
        <f t="shared" si="39"/>
        <v>2000.00322580645</v>
      </c>
      <c r="BS29">
        <f t="shared" si="40"/>
        <v>1681.1997873527923</v>
      </c>
      <c r="BT29">
        <f t="shared" si="41"/>
        <v>0.84059853787230354</v>
      </c>
      <c r="BU29">
        <f t="shared" si="42"/>
        <v>0.19119707574460726</v>
      </c>
      <c r="BV29">
        <v>0.5</v>
      </c>
      <c r="BW29" t="s">
        <v>281</v>
      </c>
      <c r="BX29">
        <v>1594056132.7096801</v>
      </c>
      <c r="BY29">
        <v>1180.4539354838701</v>
      </c>
      <c r="BZ29">
        <v>1199.95806451613</v>
      </c>
      <c r="CA29">
        <v>19.123464516129001</v>
      </c>
      <c r="CB29">
        <v>16.8345032258065</v>
      </c>
      <c r="CC29">
        <v>500.06393548387098</v>
      </c>
      <c r="CD29">
        <v>99.233512903225801</v>
      </c>
      <c r="CE29">
        <v>0.20000409677419401</v>
      </c>
      <c r="CF29">
        <v>26.426338709677399</v>
      </c>
      <c r="CG29">
        <v>27.132829032258101</v>
      </c>
      <c r="CH29">
        <v>999.9</v>
      </c>
      <c r="CI29">
        <v>9999.2725806451599</v>
      </c>
      <c r="CJ29">
        <v>0</v>
      </c>
      <c r="CK29">
        <v>313.74400000000003</v>
      </c>
      <c r="CL29">
        <v>2000.00322580645</v>
      </c>
      <c r="CM29">
        <v>0.979998483870968</v>
      </c>
      <c r="CN29">
        <v>2.0001616129032299E-2</v>
      </c>
      <c r="CO29">
        <v>0</v>
      </c>
      <c r="CP29">
        <v>269.63622580645199</v>
      </c>
      <c r="CQ29">
        <v>5.00054</v>
      </c>
      <c r="CR29">
        <v>7336.2248387096797</v>
      </c>
      <c r="CS29">
        <v>18703.6451612903</v>
      </c>
      <c r="CT29">
        <v>49.52</v>
      </c>
      <c r="CU29">
        <v>51.174999999999997</v>
      </c>
      <c r="CV29">
        <v>49.933064516129001</v>
      </c>
      <c r="CW29">
        <v>50.152999999999999</v>
      </c>
      <c r="CX29">
        <v>50.812064516128999</v>
      </c>
      <c r="CY29">
        <v>1955.09967741935</v>
      </c>
      <c r="CZ29">
        <v>39.902580645161301</v>
      </c>
      <c r="DA29">
        <v>0</v>
      </c>
      <c r="DB29">
        <v>137.700000047684</v>
      </c>
      <c r="DC29">
        <v>269.65588461538499</v>
      </c>
      <c r="DD29">
        <v>-0.94588033807639704</v>
      </c>
      <c r="DE29">
        <v>-193.68546964777599</v>
      </c>
      <c r="DF29">
        <v>7336.1753846153797</v>
      </c>
      <c r="DG29">
        <v>15</v>
      </c>
      <c r="DH29">
        <v>1594056165.7</v>
      </c>
      <c r="DI29" t="s">
        <v>349</v>
      </c>
      <c r="DJ29">
        <v>56</v>
      </c>
      <c r="DK29">
        <v>-0.19900000000000001</v>
      </c>
      <c r="DL29">
        <v>0.109</v>
      </c>
      <c r="DM29">
        <v>1200</v>
      </c>
      <c r="DN29">
        <v>17</v>
      </c>
      <c r="DO29">
        <v>0.19</v>
      </c>
      <c r="DP29">
        <v>0.04</v>
      </c>
      <c r="DQ29">
        <v>1180.5635185185199</v>
      </c>
      <c r="DR29">
        <v>-0.26214356534780597</v>
      </c>
      <c r="DS29">
        <v>4.24768960036183E-2</v>
      </c>
      <c r="DT29">
        <v>1</v>
      </c>
      <c r="DU29">
        <v>19.144205555555601</v>
      </c>
      <c r="DV29">
        <v>-0.17249099983960001</v>
      </c>
      <c r="DW29">
        <v>2.56678240479793E-2</v>
      </c>
      <c r="DX29">
        <v>1</v>
      </c>
      <c r="DY29">
        <v>2</v>
      </c>
      <c r="DZ29">
        <v>2</v>
      </c>
      <c r="EA29" t="s">
        <v>283</v>
      </c>
      <c r="EB29">
        <v>1.8666100000000001</v>
      </c>
      <c r="EC29">
        <v>1.8631</v>
      </c>
      <c r="ED29">
        <v>1.86873</v>
      </c>
      <c r="EE29">
        <v>1.8666499999999999</v>
      </c>
      <c r="EF29">
        <v>1.87134</v>
      </c>
      <c r="EG29">
        <v>1.86381</v>
      </c>
      <c r="EH29">
        <v>1.8652299999999999</v>
      </c>
      <c r="EI29">
        <v>1.8652200000000001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-0.19900000000000001</v>
      </c>
      <c r="EX29">
        <v>0.109</v>
      </c>
      <c r="EY29">
        <v>2</v>
      </c>
      <c r="EZ29">
        <v>330.62200000000001</v>
      </c>
      <c r="FA29">
        <v>443.86</v>
      </c>
      <c r="FB29">
        <v>20.701499999999999</v>
      </c>
      <c r="FC29">
        <v>36.4236</v>
      </c>
      <c r="FD29">
        <v>30.001200000000001</v>
      </c>
      <c r="FE29">
        <v>36.214100000000002</v>
      </c>
      <c r="FF29">
        <v>36.195900000000002</v>
      </c>
      <c r="FG29">
        <v>53.782400000000003</v>
      </c>
      <c r="FH29">
        <v>50.839799999999997</v>
      </c>
      <c r="FI29">
        <v>0</v>
      </c>
      <c r="FJ29">
        <v>17.8095</v>
      </c>
      <c r="FK29">
        <v>1200</v>
      </c>
      <c r="FL29">
        <v>16.883800000000001</v>
      </c>
      <c r="FM29">
        <v>100.17</v>
      </c>
      <c r="FN29">
        <v>100.709</v>
      </c>
    </row>
    <row r="30" spans="1:170" x14ac:dyDescent="0.25">
      <c r="A30">
        <v>14</v>
      </c>
      <c r="B30">
        <v>1594056287.2</v>
      </c>
      <c r="C30">
        <v>1815.2000000476801</v>
      </c>
      <c r="D30" t="s">
        <v>350</v>
      </c>
      <c r="E30" t="s">
        <v>351</v>
      </c>
      <c r="G30">
        <v>1594056279.20645</v>
      </c>
      <c r="H30">
        <f t="shared" si="0"/>
        <v>5.9514379994414978E-3</v>
      </c>
      <c r="I30">
        <f t="shared" si="1"/>
        <v>41.080393173309879</v>
      </c>
      <c r="J30">
        <f t="shared" si="2"/>
        <v>1579.9354838709701</v>
      </c>
      <c r="K30">
        <f t="shared" si="3"/>
        <v>1344.1446955617523</v>
      </c>
      <c r="L30">
        <f t="shared" si="4"/>
        <v>133.65062265077998</v>
      </c>
      <c r="M30">
        <f t="shared" si="5"/>
        <v>157.09570693143837</v>
      </c>
      <c r="N30">
        <f t="shared" si="6"/>
        <v>0.35459574627587365</v>
      </c>
      <c r="O30">
        <f t="shared" si="7"/>
        <v>3.3799273594422643</v>
      </c>
      <c r="P30">
        <f t="shared" si="8"/>
        <v>0.33514876686294204</v>
      </c>
      <c r="Q30">
        <f t="shared" si="9"/>
        <v>0.21112628901630648</v>
      </c>
      <c r="R30">
        <f t="shared" si="10"/>
        <v>321.44334798180472</v>
      </c>
      <c r="S30">
        <f t="shared" si="11"/>
        <v>26.713351346389196</v>
      </c>
      <c r="T30">
        <f t="shared" si="12"/>
        <v>27.199248387096802</v>
      </c>
      <c r="U30">
        <f t="shared" si="13"/>
        <v>3.621258822303818</v>
      </c>
      <c r="V30">
        <f t="shared" si="14"/>
        <v>55.099009273612346</v>
      </c>
      <c r="W30">
        <f t="shared" si="15"/>
        <v>1.9046534589504733</v>
      </c>
      <c r="X30">
        <f t="shared" si="16"/>
        <v>3.4567834958561363</v>
      </c>
      <c r="Y30">
        <f t="shared" si="17"/>
        <v>1.7166053633533447</v>
      </c>
      <c r="Z30">
        <f t="shared" si="18"/>
        <v>-262.45841577537004</v>
      </c>
      <c r="AA30">
        <f t="shared" si="19"/>
        <v>-144.0038673844609</v>
      </c>
      <c r="AB30">
        <f t="shared" si="20"/>
        <v>-9.1768047114778035</v>
      </c>
      <c r="AC30">
        <f t="shared" si="21"/>
        <v>-94.19573988950404</v>
      </c>
      <c r="AD30">
        <v>-4.1136999151087102E-2</v>
      </c>
      <c r="AE30">
        <v>4.61798853461515E-2</v>
      </c>
      <c r="AF30">
        <v>3.45211558535431</v>
      </c>
      <c r="AG30">
        <v>156</v>
      </c>
      <c r="AH30">
        <v>31</v>
      </c>
      <c r="AI30">
        <f t="shared" si="22"/>
        <v>1</v>
      </c>
      <c r="AJ30">
        <f t="shared" si="23"/>
        <v>0</v>
      </c>
      <c r="AK30">
        <f t="shared" si="24"/>
        <v>52560.352520519853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352</v>
      </c>
      <c r="AS30">
        <v>268.69426923076901</v>
      </c>
      <c r="AT30">
        <v>356.11500000000001</v>
      </c>
      <c r="AU30">
        <f t="shared" si="27"/>
        <v>0.24548455069073472</v>
      </c>
      <c r="AV30">
        <v>0.5</v>
      </c>
      <c r="AW30">
        <f t="shared" si="28"/>
        <v>1681.2181169640185</v>
      </c>
      <c r="AX30">
        <f t="shared" si="29"/>
        <v>41.080393173309879</v>
      </c>
      <c r="AY30">
        <f t="shared" si="30"/>
        <v>206.35653702801758</v>
      </c>
      <c r="AZ30">
        <f t="shared" si="31"/>
        <v>0.48724428906392603</v>
      </c>
      <c r="BA30">
        <f t="shared" si="32"/>
        <v>2.5029704800766484E-2</v>
      </c>
      <c r="BB30">
        <f t="shared" si="33"/>
        <v>-1</v>
      </c>
      <c r="BC30" t="s">
        <v>353</v>
      </c>
      <c r="BD30">
        <v>182.6</v>
      </c>
      <c r="BE30">
        <f t="shared" si="34"/>
        <v>173.51500000000001</v>
      </c>
      <c r="BF30">
        <f t="shared" si="35"/>
        <v>0.50382232527004001</v>
      </c>
      <c r="BG30">
        <f t="shared" si="36"/>
        <v>1.9502464403066815</v>
      </c>
      <c r="BH30">
        <f t="shared" si="37"/>
        <v>0.24548455069073472</v>
      </c>
      <c r="BI30" t="e">
        <f t="shared" si="38"/>
        <v>#DIV/0!</v>
      </c>
      <c r="BJ30">
        <v>4649</v>
      </c>
      <c r="BK30">
        <v>300</v>
      </c>
      <c r="BL30">
        <v>300</v>
      </c>
      <c r="BM30">
        <v>300</v>
      </c>
      <c r="BN30">
        <v>9868.61</v>
      </c>
      <c r="BO30">
        <v>330.08699999999999</v>
      </c>
      <c r="BP30">
        <v>-6.5631099999999996E-3</v>
      </c>
      <c r="BQ30">
        <v>0.50705</v>
      </c>
      <c r="BR30">
        <f t="shared" si="39"/>
        <v>2000.02548387097</v>
      </c>
      <c r="BS30">
        <f t="shared" si="40"/>
        <v>1681.2181169640185</v>
      </c>
      <c r="BT30">
        <f t="shared" si="41"/>
        <v>0.84059834763209496</v>
      </c>
      <c r="BU30">
        <f t="shared" si="42"/>
        <v>0.19119669526418998</v>
      </c>
      <c r="BV30">
        <v>0.5</v>
      </c>
      <c r="BW30" t="s">
        <v>281</v>
      </c>
      <c r="BX30">
        <v>1594056279.20645</v>
      </c>
      <c r="BY30">
        <v>1579.9354838709701</v>
      </c>
      <c r="BZ30">
        <v>1600.1264516128999</v>
      </c>
      <c r="CA30">
        <v>19.155390322580601</v>
      </c>
      <c r="CB30">
        <v>16.820687096774201</v>
      </c>
      <c r="CC30">
        <v>500.05806451612898</v>
      </c>
      <c r="CD30">
        <v>99.231696774193594</v>
      </c>
      <c r="CE30">
        <v>0.20002593548387099</v>
      </c>
      <c r="CF30">
        <v>26.408967741935498</v>
      </c>
      <c r="CG30">
        <v>27.199248387096802</v>
      </c>
      <c r="CH30">
        <v>999.9</v>
      </c>
      <c r="CI30">
        <v>9997.1961290322597</v>
      </c>
      <c r="CJ30">
        <v>0</v>
      </c>
      <c r="CK30">
        <v>304.440838709677</v>
      </c>
      <c r="CL30">
        <v>2000.02548387097</v>
      </c>
      <c r="CM30">
        <v>0.98000319354838705</v>
      </c>
      <c r="CN30">
        <v>1.9996438709677399E-2</v>
      </c>
      <c r="CO30">
        <v>0</v>
      </c>
      <c r="CP30">
        <v>268.70209677419399</v>
      </c>
      <c r="CQ30">
        <v>5.00054</v>
      </c>
      <c r="CR30">
        <v>7214.21451612903</v>
      </c>
      <c r="CS30">
        <v>18703.880645161302</v>
      </c>
      <c r="CT30">
        <v>49.145000000000003</v>
      </c>
      <c r="CU30">
        <v>50.755838709677398</v>
      </c>
      <c r="CV30">
        <v>49.540064516129</v>
      </c>
      <c r="CW30">
        <v>49.8283225806451</v>
      </c>
      <c r="CX30">
        <v>50.439129032258002</v>
      </c>
      <c r="CY30">
        <v>1955.1332258064499</v>
      </c>
      <c r="CZ30">
        <v>39.890322580645197</v>
      </c>
      <c r="DA30">
        <v>0</v>
      </c>
      <c r="DB30">
        <v>146</v>
      </c>
      <c r="DC30">
        <v>268.69426923076901</v>
      </c>
      <c r="DD30">
        <v>-0.81035897469204599</v>
      </c>
      <c r="DE30">
        <v>-7.3128204816181803</v>
      </c>
      <c r="DF30">
        <v>7214.0092307692303</v>
      </c>
      <c r="DG30">
        <v>15</v>
      </c>
      <c r="DH30">
        <v>1594056321.7</v>
      </c>
      <c r="DI30" t="s">
        <v>354</v>
      </c>
      <c r="DJ30">
        <v>57</v>
      </c>
      <c r="DK30">
        <v>-0.39900000000000002</v>
      </c>
      <c r="DL30">
        <v>0.106</v>
      </c>
      <c r="DM30">
        <v>1600</v>
      </c>
      <c r="DN30">
        <v>17</v>
      </c>
      <c r="DO30">
        <v>0.43</v>
      </c>
      <c r="DP30">
        <v>0.04</v>
      </c>
      <c r="DQ30">
        <v>1580.08111111111</v>
      </c>
      <c r="DR30">
        <v>0.47352536780533999</v>
      </c>
      <c r="DS30">
        <v>9.7897653788451805E-2</v>
      </c>
      <c r="DT30">
        <v>0</v>
      </c>
      <c r="DU30">
        <v>19.159809259259301</v>
      </c>
      <c r="DV30">
        <v>-2.0211923273557999E-2</v>
      </c>
      <c r="DW30">
        <v>5.6752310613266497E-3</v>
      </c>
      <c r="DX30">
        <v>1</v>
      </c>
      <c r="DY30">
        <v>1</v>
      </c>
      <c r="DZ30">
        <v>2</v>
      </c>
      <c r="EA30" t="s">
        <v>293</v>
      </c>
      <c r="EB30">
        <v>1.8666100000000001</v>
      </c>
      <c r="EC30">
        <v>1.8631</v>
      </c>
      <c r="ED30">
        <v>1.8687400000000001</v>
      </c>
      <c r="EE30">
        <v>1.86663</v>
      </c>
      <c r="EF30">
        <v>1.87134</v>
      </c>
      <c r="EG30">
        <v>1.8637600000000001</v>
      </c>
      <c r="EH30">
        <v>1.8652299999999999</v>
      </c>
      <c r="EI30">
        <v>1.8652200000000001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-0.39900000000000002</v>
      </c>
      <c r="EX30">
        <v>0.106</v>
      </c>
      <c r="EY30">
        <v>2</v>
      </c>
      <c r="EZ30">
        <v>330.45299999999997</v>
      </c>
      <c r="FA30">
        <v>442.96899999999999</v>
      </c>
      <c r="FB30">
        <v>20.7561</v>
      </c>
      <c r="FC30">
        <v>36.780200000000001</v>
      </c>
      <c r="FD30">
        <v>30.000900000000001</v>
      </c>
      <c r="FE30">
        <v>36.529899999999998</v>
      </c>
      <c r="FF30">
        <v>36.5015</v>
      </c>
      <c r="FG30">
        <v>67.614199999999997</v>
      </c>
      <c r="FH30">
        <v>51.683900000000001</v>
      </c>
      <c r="FI30">
        <v>0</v>
      </c>
      <c r="FJ30">
        <v>17.149699999999999</v>
      </c>
      <c r="FK30">
        <v>1600</v>
      </c>
      <c r="FL30">
        <v>16.7775</v>
      </c>
      <c r="FM30">
        <v>100.111</v>
      </c>
      <c r="FN30">
        <v>100.63800000000001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2020-07-06T12:27:24Z</dcterms:created>
  <dcterms:modified xsi:type="dcterms:W3CDTF">2024-11-20T09:00:15Z</dcterms:modified>
</cp:coreProperties>
</file>