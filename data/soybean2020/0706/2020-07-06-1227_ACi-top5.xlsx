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博士学习资料\past test data\2020_soybean_CO2_curves\0706\"/>
    </mc:Choice>
  </mc:AlternateContent>
  <bookViews>
    <workbookView xWindow="240" yWindow="12" windowWidth="16092" windowHeight="966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U30" i="1" l="1"/>
  <c r="BT30" i="1"/>
  <c r="BR30" i="1"/>
  <c r="BS30" i="1" s="1"/>
  <c r="BI30" i="1"/>
  <c r="BH30" i="1"/>
  <c r="BG30" i="1"/>
  <c r="BF30" i="1"/>
  <c r="BE30" i="1"/>
  <c r="BB30" i="1"/>
  <c r="AZ30" i="1"/>
  <c r="AU30" i="1"/>
  <c r="AO30" i="1"/>
  <c r="AP30" i="1" s="1"/>
  <c r="AK30" i="1"/>
  <c r="AI30" i="1" s="1"/>
  <c r="X30" i="1"/>
  <c r="W30" i="1"/>
  <c r="V30" i="1" s="1"/>
  <c r="O30" i="1"/>
  <c r="BU29" i="1"/>
  <c r="BT29" i="1"/>
  <c r="BR29" i="1"/>
  <c r="BS29" i="1" s="1"/>
  <c r="BI29" i="1"/>
  <c r="BH29" i="1"/>
  <c r="BG29" i="1"/>
  <c r="BF29" i="1"/>
  <c r="BE29" i="1"/>
  <c r="BB29" i="1"/>
  <c r="AZ29" i="1"/>
  <c r="AU29" i="1"/>
  <c r="AO29" i="1"/>
  <c r="AP29" i="1" s="1"/>
  <c r="AK29" i="1"/>
  <c r="AI29" i="1"/>
  <c r="I29" i="1" s="1"/>
  <c r="AX29" i="1" s="1"/>
  <c r="X29" i="1"/>
  <c r="W29" i="1"/>
  <c r="V29" i="1"/>
  <c r="O29" i="1"/>
  <c r="BU28" i="1"/>
  <c r="BT28" i="1"/>
  <c r="BR28" i="1"/>
  <c r="BS28" i="1" s="1"/>
  <c r="BI28" i="1"/>
  <c r="BH28" i="1"/>
  <c r="BG28" i="1"/>
  <c r="BF28" i="1"/>
  <c r="BE28" i="1"/>
  <c r="AZ28" i="1" s="1"/>
  <c r="BB28" i="1"/>
  <c r="AU28" i="1"/>
  <c r="AO28" i="1"/>
  <c r="AP28" i="1" s="1"/>
  <c r="AK28" i="1"/>
  <c r="AI28" i="1"/>
  <c r="M28" i="1" s="1"/>
  <c r="X28" i="1"/>
  <c r="W28" i="1"/>
  <c r="V28" i="1"/>
  <c r="O28" i="1"/>
  <c r="BU27" i="1"/>
  <c r="BT27" i="1"/>
  <c r="BR27" i="1"/>
  <c r="BS27" i="1" s="1"/>
  <c r="BI27" i="1"/>
  <c r="BH27" i="1"/>
  <c r="BG27" i="1"/>
  <c r="BF27" i="1"/>
  <c r="BE27" i="1"/>
  <c r="BB27" i="1"/>
  <c r="AZ27" i="1"/>
  <c r="AU27" i="1"/>
  <c r="AP27" i="1"/>
  <c r="AO27" i="1"/>
  <c r="AK27" i="1"/>
  <c r="AI27" i="1" s="1"/>
  <c r="X27" i="1"/>
  <c r="W27" i="1"/>
  <c r="V27" i="1"/>
  <c r="O27" i="1"/>
  <c r="BU26" i="1"/>
  <c r="BT26" i="1"/>
  <c r="BR26" i="1"/>
  <c r="BS26" i="1" s="1"/>
  <c r="BI26" i="1"/>
  <c r="BH26" i="1"/>
  <c r="BG26" i="1"/>
  <c r="BF26" i="1"/>
  <c r="BE26" i="1"/>
  <c r="BB26" i="1"/>
  <c r="AZ26" i="1"/>
  <c r="AU26" i="1"/>
  <c r="AO26" i="1"/>
  <c r="AP26" i="1" s="1"/>
  <c r="AK26" i="1"/>
  <c r="AI26" i="1" s="1"/>
  <c r="X26" i="1"/>
  <c r="W26" i="1"/>
  <c r="V26" i="1"/>
  <c r="O26" i="1"/>
  <c r="BU25" i="1"/>
  <c r="BT25" i="1"/>
  <c r="BS25" i="1" s="1"/>
  <c r="BR25" i="1"/>
  <c r="BI25" i="1"/>
  <c r="BH25" i="1"/>
  <c r="BG25" i="1"/>
  <c r="BF25" i="1"/>
  <c r="BE25" i="1"/>
  <c r="BB25" i="1"/>
  <c r="AZ25" i="1"/>
  <c r="AU25" i="1"/>
  <c r="AO25" i="1"/>
  <c r="AP25" i="1" s="1"/>
  <c r="AK25" i="1"/>
  <c r="AI25" i="1"/>
  <c r="H25" i="1" s="1"/>
  <c r="X25" i="1"/>
  <c r="W25" i="1"/>
  <c r="V25" i="1"/>
  <c r="O25" i="1"/>
  <c r="BU24" i="1"/>
  <c r="BT24" i="1"/>
  <c r="BR24" i="1"/>
  <c r="BS24" i="1" s="1"/>
  <c r="BI24" i="1"/>
  <c r="BH24" i="1"/>
  <c r="BG24" i="1"/>
  <c r="BF24" i="1"/>
  <c r="BE24" i="1"/>
  <c r="BB24" i="1"/>
  <c r="AZ24" i="1"/>
  <c r="AU24" i="1"/>
  <c r="AO24" i="1"/>
  <c r="AP24" i="1" s="1"/>
  <c r="AK24" i="1"/>
  <c r="AI24" i="1"/>
  <c r="H24" i="1" s="1"/>
  <c r="X24" i="1"/>
  <c r="W24" i="1"/>
  <c r="V24" i="1"/>
  <c r="O24" i="1"/>
  <c r="BU23" i="1"/>
  <c r="BT23" i="1"/>
  <c r="BR23" i="1"/>
  <c r="BS23" i="1" s="1"/>
  <c r="BI23" i="1"/>
  <c r="BH23" i="1"/>
  <c r="BG23" i="1"/>
  <c r="BF23" i="1"/>
  <c r="BE23" i="1"/>
  <c r="AZ23" i="1" s="1"/>
  <c r="BB23" i="1"/>
  <c r="AU23" i="1"/>
  <c r="AO23" i="1"/>
  <c r="AP23" i="1" s="1"/>
  <c r="AK23" i="1"/>
  <c r="AI23" i="1"/>
  <c r="M23" i="1" s="1"/>
  <c r="X23" i="1"/>
  <c r="W23" i="1"/>
  <c r="V23" i="1"/>
  <c r="O23" i="1"/>
  <c r="BU22" i="1"/>
  <c r="BT22" i="1"/>
  <c r="BR22" i="1"/>
  <c r="BS22" i="1" s="1"/>
  <c r="BI22" i="1"/>
  <c r="BH22" i="1"/>
  <c r="BG22" i="1"/>
  <c r="BF22" i="1"/>
  <c r="BE22" i="1"/>
  <c r="BB22" i="1"/>
  <c r="AZ22" i="1"/>
  <c r="AU22" i="1"/>
  <c r="AP22" i="1"/>
  <c r="AO22" i="1"/>
  <c r="AK22" i="1"/>
  <c r="AJ22" i="1"/>
  <c r="AI22" i="1"/>
  <c r="J22" i="1" s="1"/>
  <c r="X22" i="1"/>
  <c r="W22" i="1"/>
  <c r="V22" i="1"/>
  <c r="O22" i="1"/>
  <c r="M22" i="1"/>
  <c r="BU21" i="1"/>
  <c r="BT21" i="1"/>
  <c r="BR21" i="1"/>
  <c r="BS21" i="1" s="1"/>
  <c r="BI21" i="1"/>
  <c r="BH21" i="1"/>
  <c r="BG21" i="1"/>
  <c r="BF21" i="1"/>
  <c r="BE21" i="1"/>
  <c r="BB21" i="1"/>
  <c r="AZ21" i="1"/>
  <c r="AU21" i="1"/>
  <c r="AO21" i="1"/>
  <c r="AP21" i="1" s="1"/>
  <c r="AK21" i="1"/>
  <c r="AI21" i="1"/>
  <c r="AJ21" i="1" s="1"/>
  <c r="X21" i="1"/>
  <c r="W21" i="1"/>
  <c r="V21" i="1"/>
  <c r="O21" i="1"/>
  <c r="BU20" i="1"/>
  <c r="BT20" i="1"/>
  <c r="BR20" i="1"/>
  <c r="BS20" i="1" s="1"/>
  <c r="BI20" i="1"/>
  <c r="BH20" i="1"/>
  <c r="BG20" i="1"/>
  <c r="BF20" i="1"/>
  <c r="BE20" i="1"/>
  <c r="BB20" i="1"/>
  <c r="AZ20" i="1"/>
  <c r="AU20" i="1"/>
  <c r="AO20" i="1"/>
  <c r="AP20" i="1" s="1"/>
  <c r="AK20" i="1"/>
  <c r="AI20" i="1"/>
  <c r="H20" i="1" s="1"/>
  <c r="X20" i="1"/>
  <c r="W20" i="1"/>
  <c r="V20" i="1"/>
  <c r="O20" i="1"/>
  <c r="BU19" i="1"/>
  <c r="BT19" i="1"/>
  <c r="BR19" i="1"/>
  <c r="BS19" i="1" s="1"/>
  <c r="BI19" i="1"/>
  <c r="BH19" i="1"/>
  <c r="BG19" i="1"/>
  <c r="BF19" i="1"/>
  <c r="BE19" i="1"/>
  <c r="BB19" i="1"/>
  <c r="AZ19" i="1"/>
  <c r="AU19" i="1"/>
  <c r="AO19" i="1"/>
  <c r="AP19" i="1" s="1"/>
  <c r="AK19" i="1"/>
  <c r="AI19" i="1"/>
  <c r="AJ19" i="1" s="1"/>
  <c r="X19" i="1"/>
  <c r="W19" i="1"/>
  <c r="V19" i="1"/>
  <c r="O19" i="1"/>
  <c r="BU18" i="1"/>
  <c r="BT18" i="1"/>
  <c r="BR18" i="1"/>
  <c r="BS18" i="1" s="1"/>
  <c r="BI18" i="1"/>
  <c r="BH18" i="1"/>
  <c r="BG18" i="1"/>
  <c r="BF18" i="1"/>
  <c r="BE18" i="1"/>
  <c r="BB18" i="1"/>
  <c r="AZ18" i="1"/>
  <c r="AU18" i="1"/>
  <c r="AP18" i="1"/>
  <c r="AO18" i="1"/>
  <c r="AK18" i="1"/>
  <c r="AI18" i="1"/>
  <c r="M18" i="1" s="1"/>
  <c r="X18" i="1"/>
  <c r="W18" i="1"/>
  <c r="V18" i="1"/>
  <c r="O18" i="1"/>
  <c r="BU17" i="1"/>
  <c r="BT17" i="1"/>
  <c r="BR17" i="1"/>
  <c r="BS17" i="1" s="1"/>
  <c r="BI17" i="1"/>
  <c r="BH17" i="1"/>
  <c r="BG17" i="1"/>
  <c r="BF17" i="1"/>
  <c r="BE17" i="1"/>
  <c r="BB17" i="1"/>
  <c r="AZ17" i="1"/>
  <c r="AU17" i="1"/>
  <c r="AP17" i="1"/>
  <c r="AO17" i="1"/>
  <c r="AK17" i="1"/>
  <c r="AI17" i="1"/>
  <c r="I17" i="1" s="1"/>
  <c r="AX17" i="1" s="1"/>
  <c r="X17" i="1"/>
  <c r="W17" i="1"/>
  <c r="V17" i="1"/>
  <c r="O17" i="1"/>
  <c r="M17" i="1"/>
  <c r="J17" i="1"/>
  <c r="R22" i="1" l="1"/>
  <c r="AW22" i="1"/>
  <c r="Z20" i="1"/>
  <c r="AY24" i="1"/>
  <c r="R29" i="1"/>
  <c r="AW29" i="1"/>
  <c r="AY29" i="1" s="1"/>
  <c r="AW25" i="1"/>
  <c r="R25" i="1"/>
  <c r="I30" i="1"/>
  <c r="AX30" i="1" s="1"/>
  <c r="M30" i="1"/>
  <c r="J30" i="1"/>
  <c r="AJ30" i="1"/>
  <c r="H30" i="1"/>
  <c r="BA17" i="1"/>
  <c r="R19" i="1"/>
  <c r="AW19" i="1"/>
  <c r="AY19" i="1" s="1"/>
  <c r="BA29" i="1"/>
  <c r="Z25" i="1"/>
  <c r="R26" i="1"/>
  <c r="AW26" i="1"/>
  <c r="Z24" i="1"/>
  <c r="R17" i="1"/>
  <c r="AW17" i="1"/>
  <c r="R21" i="1"/>
  <c r="AW21" i="1"/>
  <c r="J27" i="1"/>
  <c r="I27" i="1"/>
  <c r="AX27" i="1" s="1"/>
  <c r="BA27" i="1" s="1"/>
  <c r="H27" i="1"/>
  <c r="AJ27" i="1"/>
  <c r="M27" i="1"/>
  <c r="R20" i="1"/>
  <c r="AW20" i="1"/>
  <c r="AY20" i="1" s="1"/>
  <c r="R28" i="1"/>
  <c r="AW28" i="1"/>
  <c r="AY28" i="1" s="1"/>
  <c r="R24" i="1"/>
  <c r="AW24" i="1"/>
  <c r="M26" i="1"/>
  <c r="AJ26" i="1"/>
  <c r="I26" i="1"/>
  <c r="AX26" i="1" s="1"/>
  <c r="BA26" i="1" s="1"/>
  <c r="H26" i="1"/>
  <c r="J26" i="1"/>
  <c r="AY26" i="1"/>
  <c r="AY22" i="1"/>
  <c r="AW27" i="1"/>
  <c r="AY27" i="1" s="1"/>
  <c r="R27" i="1"/>
  <c r="AW23" i="1"/>
  <c r="AY23" i="1" s="1"/>
  <c r="R23" i="1"/>
  <c r="AY17" i="1"/>
  <c r="AY21" i="1"/>
  <c r="R30" i="1"/>
  <c r="AW30" i="1"/>
  <c r="AY30" i="1" s="1"/>
  <c r="R18" i="1"/>
  <c r="AW18" i="1"/>
  <c r="AY18" i="1" s="1"/>
  <c r="AY25" i="1"/>
  <c r="I21" i="1"/>
  <c r="AX21" i="1" s="1"/>
  <c r="BA21" i="1" s="1"/>
  <c r="J21" i="1"/>
  <c r="AJ25" i="1"/>
  <c r="AJ20" i="1"/>
  <c r="H21" i="1"/>
  <c r="H19" i="1"/>
  <c r="I24" i="1"/>
  <c r="AX24" i="1" s="1"/>
  <c r="BA24" i="1" s="1"/>
  <c r="AJ28" i="1"/>
  <c r="AJ23" i="1"/>
  <c r="H28" i="1"/>
  <c r="AJ18" i="1"/>
  <c r="H23" i="1"/>
  <c r="I23" i="1"/>
  <c r="AX23" i="1" s="1"/>
  <c r="J28" i="1"/>
  <c r="I18" i="1"/>
  <c r="AX18" i="1" s="1"/>
  <c r="J23" i="1"/>
  <c r="I25" i="1"/>
  <c r="AX25" i="1" s="1"/>
  <c r="BA25" i="1" s="1"/>
  <c r="I20" i="1"/>
  <c r="AX20" i="1" s="1"/>
  <c r="H29" i="1"/>
  <c r="I19" i="1"/>
  <c r="AX19" i="1" s="1"/>
  <c r="M29" i="1"/>
  <c r="M24" i="1"/>
  <c r="I28" i="1"/>
  <c r="AX28" i="1" s="1"/>
  <c r="H18" i="1"/>
  <c r="J18" i="1"/>
  <c r="M21" i="1"/>
  <c r="M25" i="1"/>
  <c r="M20" i="1"/>
  <c r="J29" i="1"/>
  <c r="J19" i="1"/>
  <c r="AJ17" i="1"/>
  <c r="H22" i="1"/>
  <c r="J25" i="1"/>
  <c r="J20" i="1"/>
  <c r="J24" i="1"/>
  <c r="M19" i="1"/>
  <c r="H17" i="1"/>
  <c r="I22" i="1"/>
  <c r="AX22" i="1" s="1"/>
  <c r="BA22" i="1" s="1"/>
  <c r="AJ29" i="1"/>
  <c r="AJ24" i="1"/>
  <c r="Z18" i="1" l="1"/>
  <c r="Z30" i="1"/>
  <c r="S28" i="1"/>
  <c r="T28" i="1" s="1"/>
  <c r="BA28" i="1"/>
  <c r="S20" i="1"/>
  <c r="T20" i="1" s="1"/>
  <c r="S19" i="1"/>
  <c r="T19" i="1" s="1"/>
  <c r="S18" i="1"/>
  <c r="T18" i="1" s="1"/>
  <c r="BA19" i="1"/>
  <c r="S30" i="1"/>
  <c r="T30" i="1" s="1"/>
  <c r="Z29" i="1"/>
  <c r="BA20" i="1"/>
  <c r="P27" i="1"/>
  <c r="N27" i="1" s="1"/>
  <c r="Q27" i="1" s="1"/>
  <c r="K27" i="1" s="1"/>
  <c r="L27" i="1" s="1"/>
  <c r="Z27" i="1"/>
  <c r="S23" i="1"/>
  <c r="T23" i="1" s="1"/>
  <c r="BA18" i="1"/>
  <c r="S27" i="1"/>
  <c r="T27" i="1" s="1"/>
  <c r="BA30" i="1"/>
  <c r="S21" i="1"/>
  <c r="T21" i="1" s="1"/>
  <c r="Z17" i="1"/>
  <c r="BA23" i="1"/>
  <c r="S25" i="1"/>
  <c r="T25" i="1" s="1"/>
  <c r="Z23" i="1"/>
  <c r="S17" i="1"/>
  <c r="T17" i="1" s="1"/>
  <c r="P17" i="1" s="1"/>
  <c r="N17" i="1" s="1"/>
  <c r="Q17" i="1" s="1"/>
  <c r="K17" i="1" s="1"/>
  <c r="L17" i="1" s="1"/>
  <c r="Z28" i="1"/>
  <c r="P26" i="1"/>
  <c r="N26" i="1" s="1"/>
  <c r="Q26" i="1" s="1"/>
  <c r="K26" i="1" s="1"/>
  <c r="L26" i="1" s="1"/>
  <c r="Z26" i="1"/>
  <c r="S29" i="1"/>
  <c r="T29" i="1" s="1"/>
  <c r="Z22" i="1"/>
  <c r="P22" i="1"/>
  <c r="N22" i="1" s="1"/>
  <c r="Q22" i="1" s="1"/>
  <c r="K22" i="1" s="1"/>
  <c r="L22" i="1" s="1"/>
  <c r="P19" i="1"/>
  <c r="N19" i="1" s="1"/>
  <c r="Q19" i="1" s="1"/>
  <c r="K19" i="1" s="1"/>
  <c r="L19" i="1" s="1"/>
  <c r="Z19" i="1"/>
  <c r="Z21" i="1"/>
  <c r="S24" i="1"/>
  <c r="T24" i="1" s="1"/>
  <c r="S26" i="1"/>
  <c r="T26" i="1" s="1"/>
  <c r="S22" i="1"/>
  <c r="T22" i="1" s="1"/>
  <c r="U23" i="1" l="1"/>
  <c r="Y23" i="1" s="1"/>
  <c r="AB23" i="1"/>
  <c r="AA23" i="1"/>
  <c r="AA28" i="1"/>
  <c r="AB28" i="1"/>
  <c r="AC28" i="1" s="1"/>
  <c r="U28" i="1"/>
  <c r="Y28" i="1" s="1"/>
  <c r="U29" i="1"/>
  <c r="Y29" i="1" s="1"/>
  <c r="AA29" i="1"/>
  <c r="AB29" i="1"/>
  <c r="AC29" i="1" s="1"/>
  <c r="P29" i="1"/>
  <c r="N29" i="1" s="1"/>
  <c r="Q29" i="1" s="1"/>
  <c r="K29" i="1" s="1"/>
  <c r="L29" i="1" s="1"/>
  <c r="P28" i="1"/>
  <c r="N28" i="1" s="1"/>
  <c r="Q28" i="1" s="1"/>
  <c r="K28" i="1" s="1"/>
  <c r="L28" i="1" s="1"/>
  <c r="U18" i="1"/>
  <c r="Y18" i="1" s="1"/>
  <c r="AB18" i="1"/>
  <c r="AA18" i="1"/>
  <c r="P23" i="1"/>
  <c r="N23" i="1" s="1"/>
  <c r="Q23" i="1" s="1"/>
  <c r="K23" i="1" s="1"/>
  <c r="L23" i="1" s="1"/>
  <c r="U20" i="1"/>
  <c r="Y20" i="1" s="1"/>
  <c r="AA20" i="1"/>
  <c r="AB20" i="1"/>
  <c r="AC20" i="1" s="1"/>
  <c r="P20" i="1"/>
  <c r="N20" i="1" s="1"/>
  <c r="Q20" i="1" s="1"/>
  <c r="K20" i="1" s="1"/>
  <c r="L20" i="1" s="1"/>
  <c r="AB24" i="1"/>
  <c r="AC24" i="1" s="1"/>
  <c r="U24" i="1"/>
  <c r="Y24" i="1" s="1"/>
  <c r="AA24" i="1"/>
  <c r="P24" i="1"/>
  <c r="N24" i="1" s="1"/>
  <c r="Q24" i="1" s="1"/>
  <c r="K24" i="1" s="1"/>
  <c r="L24" i="1" s="1"/>
  <c r="U30" i="1"/>
  <c r="Y30" i="1" s="1"/>
  <c r="AB30" i="1"/>
  <c r="AC30" i="1" s="1"/>
  <c r="AA30" i="1"/>
  <c r="AB19" i="1"/>
  <c r="U19" i="1"/>
  <c r="Y19" i="1" s="1"/>
  <c r="AA19" i="1"/>
  <c r="AB26" i="1"/>
  <c r="U26" i="1"/>
  <c r="Y26" i="1" s="1"/>
  <c r="AA26" i="1"/>
  <c r="AB21" i="1"/>
  <c r="U21" i="1"/>
  <c r="Y21" i="1" s="1"/>
  <c r="AA21" i="1"/>
  <c r="P30" i="1"/>
  <c r="N30" i="1" s="1"/>
  <c r="Q30" i="1" s="1"/>
  <c r="K30" i="1" s="1"/>
  <c r="L30" i="1" s="1"/>
  <c r="P21" i="1"/>
  <c r="N21" i="1" s="1"/>
  <c r="Q21" i="1" s="1"/>
  <c r="K21" i="1" s="1"/>
  <c r="L21" i="1" s="1"/>
  <c r="P18" i="1"/>
  <c r="N18" i="1" s="1"/>
  <c r="Q18" i="1" s="1"/>
  <c r="K18" i="1" s="1"/>
  <c r="L18" i="1" s="1"/>
  <c r="U17" i="1"/>
  <c r="Y17" i="1" s="1"/>
  <c r="AB17" i="1"/>
  <c r="AA17" i="1"/>
  <c r="AB25" i="1"/>
  <c r="AA25" i="1"/>
  <c r="U25" i="1"/>
  <c r="Y25" i="1" s="1"/>
  <c r="P25" i="1"/>
  <c r="N25" i="1" s="1"/>
  <c r="Q25" i="1" s="1"/>
  <c r="K25" i="1" s="1"/>
  <c r="L25" i="1" s="1"/>
  <c r="U22" i="1"/>
  <c r="Y22" i="1" s="1"/>
  <c r="AB22" i="1"/>
  <c r="AA22" i="1"/>
  <c r="AB27" i="1"/>
  <c r="U27" i="1"/>
  <c r="Y27" i="1" s="1"/>
  <c r="AA27" i="1"/>
  <c r="AC19" i="1" l="1"/>
  <c r="AC23" i="1"/>
  <c r="AC22" i="1"/>
  <c r="AC25" i="1"/>
  <c r="AC17" i="1"/>
  <c r="AC18" i="1"/>
  <c r="AC21" i="1"/>
  <c r="AC26" i="1"/>
  <c r="AC27" i="1"/>
</calcChain>
</file>

<file path=xl/sharedStrings.xml><?xml version="1.0" encoding="utf-8"?>
<sst xmlns="http://schemas.openxmlformats.org/spreadsheetml/2006/main" count="771" uniqueCount="355">
  <si>
    <t>File opened</t>
  </si>
  <si>
    <t>2020-07-06 12:27:48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</si>
  <si>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</si>
  <si>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</si>
  <si>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</si>
  <si>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</si>
  <si>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</si>
  <si>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</si>
  <si>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</si>
  <si>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</si>
  <si>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</si>
  <si>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1.4.0</t>
  </si>
  <si>
    <t>Head cal</t>
  </si>
  <si>
    <t>{"h2obspanconc2": "0", "flowbzero": "0.22736", "co2azero": "0.869071", "h2oaspan2a": "0.0661155", "co2bspan2b": "0.162103", "tbzero": "0.197721", "h2oaspan2b": "0.0662632", "ssa_ref": "36614.9", "co2aspan1": "0.992625", "co2aspanconc1": "1002", "h2obspan2b": "0.0963575", "co2bzero": "0.880288", "co2bspanconc1": "1002", "h2oaspan1": "1.00223", "flowmeterzero": "0.990908", "h2obspanconc1": "20", "tazero": "0.00774765", "co2bspan2": "0", "flowazero": "0.42932", "co2bspan1": "0.992131", "co2aspan2": "0", "h2oaspan2": "0", "h2obspan1": "0.998578", "co2aspan2b": "0.163711", "ssb_ref": "36526.8", "h2oazero": "1.00263", "co2bspanconc2": "0", "oxygen": "21", "h2obspan2a": "0.0975941", "co2aspanconc2": "0", "co2bspan2a": "0.163389", "h2oaspanconc1": "12.19", "h2obzero": "1.01783", "co2aspan2a": "0.164928", "h2obspan2": "0", "h2oaspanconc2": "0", "chamberpressurezero": "2.59209"}</t>
  </si>
  <si>
    <t>Chamber type</t>
  </si>
  <si>
    <t>6800-01A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</si>
  <si>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</si>
  <si>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</si>
  <si>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</si>
  <si>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</si>
  <si>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</si>
  <si>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</si>
  <si>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</si>
  <si>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12:27:48</t>
  </si>
  <si>
    <t>Stability Definition:	CO2_s (Meas): Slp&lt;0.3	H2O_s (Meas): Slp&lt;0.2</t>
  </si>
  <si>
    <t>SysConst</t>
  </si>
  <si>
    <t>AvgTime</t>
  </si>
  <si>
    <t>4</t>
  </si>
  <si>
    <t>Oxygen</t>
  </si>
  <si>
    <t>21</t>
  </si>
  <si>
    <t>Chamber</t>
  </si>
  <si>
    <t>6800-01A 2 cm²</t>
  </si>
  <si>
    <t>Const</t>
  </si>
  <si>
    <t>S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</si>
  <si>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</si>
  <si>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</si>
  <si>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</si>
  <si>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</si>
  <si>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</si>
  <si>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</si>
  <si>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</si>
  <si>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</si>
  <si>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</si>
  <si>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</si>
  <si>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</si>
  <si>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</si>
  <si>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</si>
  <si>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</si>
  <si>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</si>
  <si>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</si>
  <si>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</si>
  <si>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</si>
  <si>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</si>
  <si>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</si>
  <si>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</si>
  <si>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</si>
  <si>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</si>
  <si>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</si>
  <si>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</si>
  <si>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</si>
  <si>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</si>
  <si>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</si>
  <si>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</si>
  <si>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</si>
  <si>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</si>
  <si>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</si>
  <si>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</si>
  <si>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</si>
  <si>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</si>
  <si>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</si>
  <si>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</si>
  <si>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3.70143 76.3892 390.414 623.28 848.427 1048.12 1223.65 1394.11</t>
  </si>
  <si>
    <t>Fs_true</t>
  </si>
  <si>
    <t>0.43856 100.7 401.95 601.097 798.546 1000.45 1200.3 1401.35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</si>
  <si>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</si>
  <si>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</si>
  <si>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</si>
  <si>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</si>
  <si>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</si>
  <si>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</si>
  <si>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</si>
  <si>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</si>
  <si>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</si>
  <si>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</si>
  <si>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</si>
  <si>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</si>
  <si>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</si>
  <si>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</si>
  <si>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</si>
  <si>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</si>
  <si>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</si>
  <si>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</si>
  <si>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</si>
  <si>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</si>
  <si>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</si>
  <si>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</si>
  <si>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</si>
  <si>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</si>
  <si>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</si>
  <si>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</si>
  <si>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</si>
  <si>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</si>
  <si>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</si>
  <si>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</si>
  <si>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</si>
  <si>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</si>
  <si>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</si>
  <si>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</si>
  <si>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</si>
  <si>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</si>
  <si>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</si>
  <si>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</si>
  <si>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</si>
  <si>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</si>
  <si>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</si>
  <si>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</si>
  <si>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</si>
  <si>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</si>
  <si>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</si>
  <si>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</si>
  <si>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</si>
  <si>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</si>
  <si>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</si>
  <si>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</si>
  <si>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</si>
  <si>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</si>
  <si>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</si>
  <si>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</si>
  <si>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</si>
  <si>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</si>
  <si>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</si>
  <si>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</si>
  <si>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</si>
  <si>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</si>
  <si>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</si>
  <si>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</si>
  <si>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</si>
  <si>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</si>
  <si>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</si>
  <si>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</si>
  <si>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</si>
  <si>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</si>
  <si>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</si>
  <si>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</si>
  <si>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</si>
  <si>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</si>
  <si>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</si>
  <si>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</si>
  <si>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</si>
  <si>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</si>
  <si>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</si>
  <si>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</si>
  <si>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</si>
  <si>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</si>
  <si>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</si>
  <si>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</si>
  <si>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</si>
  <si>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</si>
  <si>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</si>
  <si>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</si>
  <si>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</si>
  <si>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</si>
  <si>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</si>
  <si>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</si>
  <si>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</si>
  <si>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</si>
  <si>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</si>
  <si>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</si>
  <si>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</si>
  <si>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</si>
  <si>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</si>
  <si>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</si>
  <si>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</si>
  <si>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</si>
  <si>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</si>
  <si>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</si>
  <si>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</si>
  <si>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</si>
  <si>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</si>
  <si>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</si>
  <si>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</si>
  <si>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</si>
  <si>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</si>
  <si>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</si>
  <si>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</si>
  <si>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</si>
  <si>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</si>
  <si>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</si>
  <si>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</si>
  <si>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</si>
  <si>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</si>
  <si>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</si>
  <si>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</si>
  <si>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</si>
  <si>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</si>
  <si>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</si>
  <si>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</si>
  <si>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</si>
  <si>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</si>
  <si>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</si>
  <si>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</si>
  <si>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</si>
  <si>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</si>
  <si>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</si>
  <si>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</si>
  <si>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CO2_s:MN</t>
  </si>
  <si>
    <t>CO2_s:SLP</t>
  </si>
  <si>
    <t>CO2_s:SD</t>
  </si>
  <si>
    <t>CO2_s:OK</t>
  </si>
  <si>
    <t>H2O_s:MN</t>
  </si>
  <si>
    <t>H2O_s:SLP</t>
  </si>
  <si>
    <t>H2O_s:SD</t>
  </si>
  <si>
    <t>H2O_s:OK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</si>
  <si>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</si>
  <si>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</si>
  <si>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</si>
  <si>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</si>
  <si>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</si>
  <si>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</si>
  <si>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</si>
  <si>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</si>
  <si>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</si>
  <si>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</si>
  <si>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</si>
  <si>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</si>
  <si>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</si>
  <si>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</si>
  <si>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</si>
  <si>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</si>
  <si>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</si>
  <si>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</si>
  <si>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</si>
  <si>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</si>
  <si>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</si>
  <si>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</si>
  <si>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</si>
  <si>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</si>
  <si>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</si>
  <si>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</si>
  <si>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</si>
  <si>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</si>
  <si>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</si>
  <si>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</si>
  <si>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</si>
  <si>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</si>
  <si>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</si>
  <si>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</si>
  <si>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</si>
  <si>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</si>
  <si>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</si>
  <si>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</si>
  <si>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</si>
  <si>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</si>
  <si>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</si>
  <si>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</si>
  <si>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</si>
  <si>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</si>
  <si>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</si>
  <si>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</si>
  <si>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</si>
  <si>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</si>
  <si>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</si>
  <si>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</si>
  <si>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</si>
  <si>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</si>
  <si>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</si>
  <si>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</si>
  <si>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</si>
  <si>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</si>
  <si>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</si>
  <si>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</si>
  <si>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</si>
  <si>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</si>
  <si>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</si>
  <si>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mol⁻¹ min⁻¹</t>
  </si>
  <si>
    <t>mmol mol⁻¹ min⁻¹</t>
  </si>
  <si>
    <t>V</t>
  </si>
  <si>
    <t>20200706 12:33:22</t>
  </si>
  <si>
    <t>12:33:22</t>
  </si>
  <si>
    <t>MPF-4651-20200706-12_33_24</t>
  </si>
  <si>
    <t>DARK-4652-20200706-12_33_31</t>
  </si>
  <si>
    <t>0: Broadleaf</t>
  </si>
  <si>
    <t>12:33:58</t>
  </si>
  <si>
    <t>1/2</t>
  </si>
  <si>
    <t>5</t>
  </si>
  <si>
    <t>11111111</t>
  </si>
  <si>
    <t>oooooooo</t>
  </si>
  <si>
    <t>off</t>
  </si>
  <si>
    <t>20200706 12:35:30</t>
  </si>
  <si>
    <t>12:35:30</t>
  </si>
  <si>
    <t>MPF-4653-20200706-12_35_31</t>
  </si>
  <si>
    <t>DARK-4654-20200706-12_35_39</t>
  </si>
  <si>
    <t>12:36:00</t>
  </si>
  <si>
    <t>2/2</t>
  </si>
  <si>
    <t>20200706 12:37:32</t>
  </si>
  <si>
    <t>12:37:32</t>
  </si>
  <si>
    <t>MPF-4655-20200706-12_37_34</t>
  </si>
  <si>
    <t>DARK-4656-20200706-12_37_41</t>
  </si>
  <si>
    <t>12:38:02</t>
  </si>
  <si>
    <t>20200706 12:39:33</t>
  </si>
  <si>
    <t>12:39:33</t>
  </si>
  <si>
    <t>MPF-4657-20200706-12_39_35</t>
  </si>
  <si>
    <t>DARK-4658-20200706-12_39_43</t>
  </si>
  <si>
    <t>12:40:04</t>
  </si>
  <si>
    <t>20200706 12:42:06</t>
  </si>
  <si>
    <t>12:42:06</t>
  </si>
  <si>
    <t>MPF-4659-20200706-12_42_07</t>
  </si>
  <si>
    <t>DARK-4660-20200706-12_42_15</t>
  </si>
  <si>
    <t>12:42:37</t>
  </si>
  <si>
    <t>20200706 12:44:28</t>
  </si>
  <si>
    <t>12:44:28</t>
  </si>
  <si>
    <t>MPF-4661-20200706-12_44_30</t>
  </si>
  <si>
    <t>DARK-4662-20200706-12_44_38</t>
  </si>
  <si>
    <t>12:44:58</t>
  </si>
  <si>
    <t>20200706 12:46:29</t>
  </si>
  <si>
    <t>12:46:29</t>
  </si>
  <si>
    <t>MPF-4663-20200706-12_46_31</t>
  </si>
  <si>
    <t>DARK-4664-20200706-12_46_39</t>
  </si>
  <si>
    <t>12:46:58</t>
  </si>
  <si>
    <t>20200706 12:48:53</t>
  </si>
  <si>
    <t>12:48:53</t>
  </si>
  <si>
    <t>MPF-4665-20200706-12_48_55</t>
  </si>
  <si>
    <t>DARK-4666-20200706-12_49_02</t>
  </si>
  <si>
    <t>12:49:30</t>
  </si>
  <si>
    <t>20200706 12:51:17</t>
  </si>
  <si>
    <t>12:51:17</t>
  </si>
  <si>
    <t>MPF-4667-20200706-12_51_19</t>
  </si>
  <si>
    <t>DARK-4668-20200706-12_51_26</t>
  </si>
  <si>
    <t>12:51:45</t>
  </si>
  <si>
    <t>20200706 12:53:37</t>
  </si>
  <si>
    <t>12:53:37</t>
  </si>
  <si>
    <t>MPF-4669-20200706-12_53_39</t>
  </si>
  <si>
    <t>DARK-4670-20200706-12_53_46</t>
  </si>
  <si>
    <t>12:54:02</t>
  </si>
  <si>
    <t>20200706 12:56:04</t>
  </si>
  <si>
    <t>12:56:04</t>
  </si>
  <si>
    <t>MPF-4671-20200706-12_56_06</t>
  </si>
  <si>
    <t>DARK-4672-20200706-12_56_14</t>
  </si>
  <si>
    <t>12:56:35</t>
  </si>
  <si>
    <t>0/2</t>
  </si>
  <si>
    <t>20200706 12:58:37</t>
  </si>
  <si>
    <t>12:58:37</t>
  </si>
  <si>
    <t>MPF-4673-20200706-12_58_39</t>
  </si>
  <si>
    <t>DARK-4674-20200706-12_58_46</t>
  </si>
  <si>
    <t>12:59:08</t>
  </si>
  <si>
    <t>20200706 13:01:07</t>
  </si>
  <si>
    <t>13:01:07</t>
  </si>
  <si>
    <t>MPF-4675-20200706-13_01_09</t>
  </si>
  <si>
    <t>DARK-4676-20200706-13_01_17</t>
  </si>
  <si>
    <t>13:01:42</t>
  </si>
  <si>
    <t>20200706 13:03:43</t>
  </si>
  <si>
    <t>13:03:43</t>
  </si>
  <si>
    <t>MPF-4677-20200706-13_03_45</t>
  </si>
  <si>
    <t>DARK-4678-20200706-13_03_53</t>
  </si>
  <si>
    <t>13:04:10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</si>
</sst>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N30"/>
  <sheetViews>
    <sheetView tabSelected="1" workbookViewId="0"/>
  </sheetViews>
  <sheetFormatPr defaultRowHeight="14.4" x14ac:dyDescent="0.25"/>
  <sheetData>
    <row r="2" spans="1:170" x14ac:dyDescent="0.25">
      <c r="A2" t="s">
        <v>25</v>
      </c>
      <c r="B2" t="s">
        <v>26</v>
      </c>
      <c r="C2" t="s">
        <v>28</v>
      </c>
      <c r="D2" t="s">
        <v>30</v>
      </c>
    </row>
    <row r="3" spans="1:170" x14ac:dyDescent="0.25">
      <c r="B3" t="s">
        <v>27</v>
      </c>
      <c r="C3" t="s">
        <v>29</v>
      </c>
      <c r="D3" t="s">
        <v>31</v>
      </c>
    </row>
    <row r="4" spans="1:170" x14ac:dyDescent="0.25">
      <c r="A4" t="s">
        <v>32</v>
      </c>
      <c r="B4" t="s">
        <v>33</v>
      </c>
      <c r="C4" t="s">
        <v>34</v>
      </c>
    </row>
    <row r="5" spans="1:170" x14ac:dyDescent="0.25">
      <c r="B5">
        <v>2</v>
      </c>
      <c r="C5">
        <v>2</v>
      </c>
    </row>
    <row r="6" spans="1:170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70" x14ac:dyDescent="0.25">
      <c r="B7">
        <v>0</v>
      </c>
      <c r="C7">
        <v>1</v>
      </c>
      <c r="D7">
        <v>0</v>
      </c>
      <c r="E7">
        <v>0</v>
      </c>
    </row>
    <row r="8" spans="1:170" x14ac:dyDescent="0.2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70" x14ac:dyDescent="0.2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0" x14ac:dyDescent="0.2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70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170" x14ac:dyDescent="0.2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70" x14ac:dyDescent="0.2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0</v>
      </c>
    </row>
    <row r="14" spans="1:170" x14ac:dyDescent="0.2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32</v>
      </c>
      <c r="BW14" t="s">
        <v>32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82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83</v>
      </c>
      <c r="DC14" t="s">
        <v>84</v>
      </c>
      <c r="DD14" t="s">
        <v>84</v>
      </c>
      <c r="DE14" t="s">
        <v>84</v>
      </c>
      <c r="DF14" t="s">
        <v>84</v>
      </c>
      <c r="DG14" t="s">
        <v>84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85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86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87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  <c r="FN14" t="s">
        <v>88</v>
      </c>
    </row>
    <row r="15" spans="1:170" x14ac:dyDescent="0.2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95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197</v>
      </c>
      <c r="DH15" t="s">
        <v>90</v>
      </c>
      <c r="DI15" t="s">
        <v>93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  <c r="FN15" t="s">
        <v>254</v>
      </c>
    </row>
    <row r="16" spans="1:170" x14ac:dyDescent="0.25">
      <c r="B16" t="s">
        <v>255</v>
      </c>
      <c r="C16" t="s">
        <v>255</v>
      </c>
      <c r="G16" t="s">
        <v>255</v>
      </c>
      <c r="H16" t="s">
        <v>256</v>
      </c>
      <c r="I16" t="s">
        <v>257</v>
      </c>
      <c r="J16" t="s">
        <v>258</v>
      </c>
      <c r="K16" t="s">
        <v>258</v>
      </c>
      <c r="L16" t="s">
        <v>168</v>
      </c>
      <c r="M16" t="s">
        <v>168</v>
      </c>
      <c r="N16" t="s">
        <v>256</v>
      </c>
      <c r="O16" t="s">
        <v>256</v>
      </c>
      <c r="P16" t="s">
        <v>256</v>
      </c>
      <c r="Q16" t="s">
        <v>256</v>
      </c>
      <c r="R16" t="s">
        <v>259</v>
      </c>
      <c r="S16" t="s">
        <v>260</v>
      </c>
      <c r="T16" t="s">
        <v>260</v>
      </c>
      <c r="U16" t="s">
        <v>261</v>
      </c>
      <c r="V16" t="s">
        <v>262</v>
      </c>
      <c r="W16" t="s">
        <v>261</v>
      </c>
      <c r="X16" t="s">
        <v>261</v>
      </c>
      <c r="Y16" t="s">
        <v>261</v>
      </c>
      <c r="Z16" t="s">
        <v>259</v>
      </c>
      <c r="AA16" t="s">
        <v>259</v>
      </c>
      <c r="AB16" t="s">
        <v>259</v>
      </c>
      <c r="AC16" t="s">
        <v>259</v>
      </c>
      <c r="AG16" t="s">
        <v>263</v>
      </c>
      <c r="AH16" t="s">
        <v>262</v>
      </c>
      <c r="AJ16" t="s">
        <v>262</v>
      </c>
      <c r="AK16" t="s">
        <v>263</v>
      </c>
      <c r="AQ16" t="s">
        <v>257</v>
      </c>
      <c r="AW16" t="s">
        <v>257</v>
      </c>
      <c r="AX16" t="s">
        <v>257</v>
      </c>
      <c r="AY16" t="s">
        <v>257</v>
      </c>
      <c r="BA16" t="s">
        <v>264</v>
      </c>
      <c r="BK16" t="s">
        <v>265</v>
      </c>
      <c r="BL16" t="s">
        <v>265</v>
      </c>
      <c r="BM16" t="s">
        <v>265</v>
      </c>
      <c r="BN16" t="s">
        <v>257</v>
      </c>
      <c r="BP16" t="s">
        <v>266</v>
      </c>
      <c r="BR16" t="s">
        <v>257</v>
      </c>
      <c r="BS16" t="s">
        <v>257</v>
      </c>
      <c r="BU16" t="s">
        <v>267</v>
      </c>
      <c r="BX16" t="s">
        <v>255</v>
      </c>
      <c r="BY16" t="s">
        <v>258</v>
      </c>
      <c r="BZ16" t="s">
        <v>258</v>
      </c>
      <c r="CA16" t="s">
        <v>268</v>
      </c>
      <c r="CB16" t="s">
        <v>268</v>
      </c>
      <c r="CC16" t="s">
        <v>263</v>
      </c>
      <c r="CD16" t="s">
        <v>261</v>
      </c>
      <c r="CE16" t="s">
        <v>261</v>
      </c>
      <c r="CF16" t="s">
        <v>260</v>
      </c>
      <c r="CG16" t="s">
        <v>260</v>
      </c>
      <c r="CH16" t="s">
        <v>260</v>
      </c>
      <c r="CI16" t="s">
        <v>269</v>
      </c>
      <c r="CJ16" t="s">
        <v>257</v>
      </c>
      <c r="CK16" t="s">
        <v>257</v>
      </c>
      <c r="CL16" t="s">
        <v>257</v>
      </c>
      <c r="CQ16" t="s">
        <v>257</v>
      </c>
      <c r="CT16" t="s">
        <v>260</v>
      </c>
      <c r="CU16" t="s">
        <v>260</v>
      </c>
      <c r="CV16" t="s">
        <v>260</v>
      </c>
      <c r="CW16" t="s">
        <v>260</v>
      </c>
      <c r="CX16" t="s">
        <v>260</v>
      </c>
      <c r="CY16" t="s">
        <v>257</v>
      </c>
      <c r="CZ16" t="s">
        <v>257</v>
      </c>
      <c r="DA16" t="s">
        <v>257</v>
      </c>
      <c r="DB16" t="s">
        <v>255</v>
      </c>
      <c r="DD16" t="s">
        <v>270</v>
      </c>
      <c r="DE16" t="s">
        <v>270</v>
      </c>
      <c r="DG16" t="s">
        <v>255</v>
      </c>
      <c r="DH16" t="s">
        <v>271</v>
      </c>
      <c r="DK16" t="s">
        <v>272</v>
      </c>
      <c r="DL16" t="s">
        <v>273</v>
      </c>
      <c r="DM16" t="s">
        <v>272</v>
      </c>
      <c r="DN16" t="s">
        <v>273</v>
      </c>
      <c r="DO16" t="s">
        <v>262</v>
      </c>
      <c r="DP16" t="s">
        <v>262</v>
      </c>
      <c r="DQ16" t="s">
        <v>258</v>
      </c>
      <c r="DR16" t="s">
        <v>274</v>
      </c>
      <c r="DS16" t="s">
        <v>258</v>
      </c>
      <c r="DU16" t="s">
        <v>268</v>
      </c>
      <c r="DV16" t="s">
        <v>275</v>
      </c>
      <c r="DW16" t="s">
        <v>268</v>
      </c>
      <c r="EB16" t="s">
        <v>276</v>
      </c>
      <c r="EC16" t="s">
        <v>276</v>
      </c>
      <c r="ED16" t="s">
        <v>276</v>
      </c>
      <c r="EE16" t="s">
        <v>276</v>
      </c>
      <c r="EF16" t="s">
        <v>276</v>
      </c>
      <c r="EG16" t="s">
        <v>276</v>
      </c>
      <c r="EH16" t="s">
        <v>276</v>
      </c>
      <c r="EI16" t="s">
        <v>276</v>
      </c>
      <c r="EJ16" t="s">
        <v>276</v>
      </c>
      <c r="EK16" t="s">
        <v>276</v>
      </c>
      <c r="EL16" t="s">
        <v>276</v>
      </c>
      <c r="EM16" t="s">
        <v>276</v>
      </c>
      <c r="ET16" t="s">
        <v>276</v>
      </c>
      <c r="EU16" t="s">
        <v>262</v>
      </c>
      <c r="EV16" t="s">
        <v>262</v>
      </c>
      <c r="EW16" t="s">
        <v>272</v>
      </c>
      <c r="EX16" t="s">
        <v>273</v>
      </c>
      <c r="EZ16" t="s">
        <v>263</v>
      </c>
      <c r="FA16" t="s">
        <v>263</v>
      </c>
      <c r="FB16" t="s">
        <v>260</v>
      </c>
      <c r="FC16" t="s">
        <v>260</v>
      </c>
      <c r="FD16" t="s">
        <v>260</v>
      </c>
      <c r="FE16" t="s">
        <v>260</v>
      </c>
      <c r="FF16" t="s">
        <v>260</v>
      </c>
      <c r="FG16" t="s">
        <v>262</v>
      </c>
      <c r="FH16" t="s">
        <v>262</v>
      </c>
      <c r="FI16" t="s">
        <v>262</v>
      </c>
      <c r="FJ16" t="s">
        <v>260</v>
      </c>
      <c r="FK16" t="s">
        <v>258</v>
      </c>
      <c r="FL16" t="s">
        <v>268</v>
      </c>
      <c r="FM16" t="s">
        <v>262</v>
      </c>
      <c r="FN16" t="s">
        <v>262</v>
      </c>
    </row>
    <row r="17" spans="1:170" x14ac:dyDescent="0.25">
      <c r="A17">
        <v>1</v>
      </c>
      <c r="B17">
        <v>1594056802.3</v>
      </c>
      <c r="C17">
        <v>0</v>
      </c>
      <c r="D17" t="s">
        <v>277</v>
      </c>
      <c r="E17" t="s">
        <v>278</v>
      </c>
      <c r="G17">
        <v>1594056794.3</v>
      </c>
      <c r="H17">
        <f t="shared" ref="H17:H30" si="0">CC17*AI17*(CA17-CB17)/(100*$B$5*(1000-AI17*CA17))</f>
        <v>1.360105477695344E-2</v>
      </c>
      <c r="I17">
        <f t="shared" ref="I17:I30" si="1">CC17*AI17*(BZ17-BY17*(1000-AI17*CB17)/(1000-AI17*CA17))/(100*$B$5)</f>
        <v>36.96339649515776</v>
      </c>
      <c r="J17">
        <f t="shared" ref="J17:J30" si="2">BY17 - IF(AI17&gt;1, I17*$B$5*100/(AK17*CI17), 0)</f>
        <v>383.11170967741901</v>
      </c>
      <c r="K17">
        <f t="shared" ref="K17:K30" si="3">((Q17-H17/2)*J17-I17)/(Q17+H17/2)</f>
        <v>310.19844320910113</v>
      </c>
      <c r="L17">
        <f t="shared" ref="L17:L30" si="4">K17*(CD17+CE17)/1000</f>
        <v>30.83999684710945</v>
      </c>
      <c r="M17">
        <f t="shared" ref="M17:M30" si="5">(BY17 - IF(AI17&gt;1, I17*$B$5*100/(AK17*CI17), 0))*(CD17+CE17)/1000</f>
        <v>38.089049694481709</v>
      </c>
      <c r="N17">
        <f t="shared" ref="N17:N30" si="6">2/((1/P17-1/O17)+SIGN(P17)*SQRT((1/P17-1/O17)*(1/P17-1/O17) + 4*BV17/((BV17+1)*(BV17+1))*(2*1/P17*1/O17-1/O17*1/O17)))</f>
        <v>1.0478133140831194</v>
      </c>
      <c r="O17">
        <f t="shared" ref="O17:O30" si="7">AF17+AE17*$B$5+AD17*$B$5*$B$5</f>
        <v>3.38556883987621</v>
      </c>
      <c r="P17">
        <f t="shared" ref="P17:P30" si="8">H17*(1000-(1000*0.61365*EXP(17.502*T17/(240.97+T17))/(CD17+CE17)+CA17)/2)/(1000*0.61365*EXP(17.502*T17/(240.97+T17))/(CD17+CE17)-CA17)</f>
        <v>0.89567257030206515</v>
      </c>
      <c r="Q17">
        <f t="shared" ref="Q17:Q30" si="9">1/((BV17+1)/(N17/1.6)+1/(O17/1.37)) + BV17/((BV17+1)/(N17/1.6) + BV17/(O17/1.37))</f>
        <v>0.57161437413699512</v>
      </c>
      <c r="R17">
        <f t="shared" ref="R17:R30" si="10">(BS17*BU17)</f>
        <v>321.44064594210016</v>
      </c>
      <c r="S17">
        <f t="shared" ref="S17:S30" si="11">(CF17+(R17+2*0.95*0.0000000567*(((CF17+$B$7)+273)^4-(CF17+273)^4)-44100*H17)/(1.84*29.3*O17+8*0.95*0.0000000567*(CF17+273)^3))</f>
        <v>26.667924884497403</v>
      </c>
      <c r="T17">
        <f t="shared" ref="T17:T30" si="12">($C$7*CG17+$D$7*CH17+$E$7*S17)</f>
        <v>26.995187096774199</v>
      </c>
      <c r="U17">
        <f t="shared" ref="U17:U30" si="13">0.61365*EXP(17.502*T17/(240.97+T17))</f>
        <v>3.5781480832080663</v>
      </c>
      <c r="V17">
        <f t="shared" ref="V17:V30" si="14">(W17/X17*100)</f>
        <v>55.319048161576568</v>
      </c>
      <c r="W17">
        <f t="shared" ref="W17:W30" si="15">CA17*(CD17+CE17)/1000</f>
        <v>2.1116228917957702</v>
      </c>
      <c r="X17">
        <f t="shared" ref="X17:X30" si="16">0.61365*EXP(17.502*CF17/(240.97+CF17))</f>
        <v>3.8171714119666627</v>
      </c>
      <c r="Y17">
        <f t="shared" ref="Y17:Y30" si="17">(U17-CA17*(CD17+CE17)/1000)</f>
        <v>1.4665251914122961</v>
      </c>
      <c r="Z17">
        <f t="shared" ref="Z17:Z30" si="18">(-H17*44100)</f>
        <v>-599.80651566364668</v>
      </c>
      <c r="AA17">
        <f t="shared" ref="AA17:AA30" si="19">2*29.3*O17*0.92*(CF17-T17)</f>
        <v>201.77894135507213</v>
      </c>
      <c r="AB17">
        <f t="shared" ref="AB17:AB30" si="20">2*0.95*0.0000000567*(((CF17+$B$7)+273)^4-(T17+273)^4)</f>
        <v>12.932965565915062</v>
      </c>
      <c r="AC17">
        <f t="shared" ref="AC17:AC30" si="21">R17+AB17+Z17+AA17</f>
        <v>-63.653962800559299</v>
      </c>
      <c r="AD17">
        <v>-4.1224252265736699E-2</v>
      </c>
      <c r="AE17">
        <v>4.6277834611138401E-2</v>
      </c>
      <c r="AF17">
        <v>3.4579101797168801</v>
      </c>
      <c r="AG17">
        <v>162</v>
      </c>
      <c r="AH17">
        <v>32</v>
      </c>
      <c r="AI17">
        <f t="shared" ref="AI17:AI30" si="22">IF(AG17*$H$13&gt;=AK17,1,(AK17/(AK17-AG17*$H$13)))</f>
        <v>1</v>
      </c>
      <c r="AJ17">
        <f t="shared" ref="AJ17:AJ30" si="23">(AI17-1)*100</f>
        <v>0</v>
      </c>
      <c r="AK17">
        <f t="shared" ref="AK17:AK30" si="24">MAX(0,($B$13+$C$13*CI17)/(1+$D$13*CI17)*CD17/(CF17+273)*$E$13)</f>
        <v>52371.096162565984</v>
      </c>
      <c r="AL17">
        <v>0</v>
      </c>
      <c r="AM17">
        <v>0</v>
      </c>
      <c r="AN17">
        <v>0</v>
      </c>
      <c r="AO17">
        <f t="shared" ref="AO17:AO30" si="25">AN17-AM17</f>
        <v>0</v>
      </c>
      <c r="AP17" t="e">
        <f t="shared" ref="AP17:AP30" si="26">AO17/AN17</f>
        <v>#DIV/0!</v>
      </c>
      <c r="AQ17">
        <v>-1</v>
      </c>
      <c r="AR17" t="s">
        <v>279</v>
      </c>
      <c r="AS17">
        <v>330.05819230769202</v>
      </c>
      <c r="AT17">
        <v>484.49200000000002</v>
      </c>
      <c r="AU17">
        <f t="shared" ref="AU17:AU30" si="27">1-AS17/AT17</f>
        <v>0.31875409231175744</v>
      </c>
      <c r="AV17">
        <v>0.5</v>
      </c>
      <c r="AW17">
        <f t="shared" ref="AW17:AW30" si="28">BS17</f>
        <v>1681.2013351606797</v>
      </c>
      <c r="AX17">
        <f t="shared" ref="AX17:AX30" si="29">I17</f>
        <v>36.96339649515776</v>
      </c>
      <c r="AY17">
        <f t="shared" ref="AY17:AY30" si="30">AU17*AV17*AW17</f>
        <v>267.94490279122857</v>
      </c>
      <c r="AZ17">
        <f t="shared" ref="AZ17:AZ30" si="31">BE17/AT17</f>
        <v>0.58715520586511227</v>
      </c>
      <c r="BA17">
        <f t="shared" ref="BA17:BA30" si="32">(AX17-AQ17)/AW17</f>
        <v>2.2581112506390815E-2</v>
      </c>
      <c r="BB17">
        <f t="shared" ref="BB17:BB30" si="33">(AN17-AT17)/AT17</f>
        <v>-1</v>
      </c>
      <c r="BC17" t="s">
        <v>280</v>
      </c>
      <c r="BD17">
        <v>200.02</v>
      </c>
      <c r="BE17">
        <f t="shared" ref="BE17:BE30" si="34">AT17-BD17</f>
        <v>284.47199999999998</v>
      </c>
      <c r="BF17">
        <f t="shared" ref="BF17:BF30" si="35">(AT17-AS17)/(AT17-BD17)</f>
        <v>0.54287876378802835</v>
      </c>
      <c r="BG17">
        <f t="shared" ref="BG17:BG30" si="36">(AN17-AT17)/(AN17-BD17)</f>
        <v>2.4222177782221777</v>
      </c>
      <c r="BH17">
        <f t="shared" ref="BH17:BH30" si="37">(AT17-AS17)/(AT17-AM17)</f>
        <v>0.31875409231175744</v>
      </c>
      <c r="BI17" t="e">
        <f t="shared" ref="BI17:BI30" si="38">(AN17-AT17)/(AN17-AM17)</f>
        <v>#DIV/0!</v>
      </c>
      <c r="BJ17">
        <v>4651</v>
      </c>
      <c r="BK17">
        <v>300</v>
      </c>
      <c r="BL17">
        <v>300</v>
      </c>
      <c r="BM17">
        <v>300</v>
      </c>
      <c r="BN17">
        <v>9869.9500000000007</v>
      </c>
      <c r="BO17">
        <v>442.56900000000002</v>
      </c>
      <c r="BP17">
        <v>-6.5644099999999997E-3</v>
      </c>
      <c r="BQ17">
        <v>0.49111900000000003</v>
      </c>
      <c r="BR17">
        <f t="shared" ref="BR17:BR30" si="39">$B$11*CJ17+$C$11*CK17+$F$11*CL17</f>
        <v>2000.0051612903201</v>
      </c>
      <c r="BS17">
        <f t="shared" ref="BS17:BS30" si="40">BR17*BT17</f>
        <v>1681.2013351606797</v>
      </c>
      <c r="BT17">
        <f t="shared" ref="BT17:BT30" si="41">($B$11*$D$9+$C$11*$D$9+$F$11*((CY17+CQ17)/MAX(CY17+CQ17+CZ17, 0.1)*$I$9+CZ17/MAX(CY17+CQ17+CZ17, 0.1)*$J$9))/($B$11+$C$11+$F$11)</f>
        <v>0.84059849829389366</v>
      </c>
      <c r="BU17">
        <f t="shared" ref="BU17:BU30" si="42">($B$11*$K$9+$C$11*$K$9+$F$11*((CY17+CQ17)/MAX(CY17+CQ17+CZ17, 0.1)*$P$9+CZ17/MAX(CY17+CQ17+CZ17, 0.1)*$Q$9))/($B$11+$C$11+$F$11)</f>
        <v>0.19119699658778744</v>
      </c>
      <c r="BV17">
        <v>0.5</v>
      </c>
      <c r="BW17" t="s">
        <v>281</v>
      </c>
      <c r="BX17">
        <v>1594056794.3</v>
      </c>
      <c r="BY17">
        <v>383.11170967741901</v>
      </c>
      <c r="BZ17">
        <v>399.979774193548</v>
      </c>
      <c r="CA17">
        <v>21.239370967741898</v>
      </c>
      <c r="CB17">
        <v>15.914999999999999</v>
      </c>
      <c r="CC17">
        <v>500.04693548387098</v>
      </c>
      <c r="CD17">
        <v>99.220312903225803</v>
      </c>
      <c r="CE17">
        <v>0.19990509677419399</v>
      </c>
      <c r="CF17">
        <v>28.100687096774202</v>
      </c>
      <c r="CG17">
        <v>26.995187096774199</v>
      </c>
      <c r="CH17">
        <v>999.9</v>
      </c>
      <c r="CI17">
        <v>10019.549999999999</v>
      </c>
      <c r="CJ17">
        <v>0</v>
      </c>
      <c r="CK17">
        <v>304.38167741935501</v>
      </c>
      <c r="CL17">
        <v>2000.0051612903201</v>
      </c>
      <c r="CM17">
        <v>0.980001129032258</v>
      </c>
      <c r="CN17">
        <v>1.99990322580645E-2</v>
      </c>
      <c r="CO17">
        <v>0</v>
      </c>
      <c r="CP17">
        <v>330.17977419354798</v>
      </c>
      <c r="CQ17">
        <v>5.00054</v>
      </c>
      <c r="CR17">
        <v>8713.0370967741892</v>
      </c>
      <c r="CS17">
        <v>18703.6677419355</v>
      </c>
      <c r="CT17">
        <v>48.826290322580597</v>
      </c>
      <c r="CU17">
        <v>50.437064516128999</v>
      </c>
      <c r="CV17">
        <v>49.213419354838699</v>
      </c>
      <c r="CW17">
        <v>49.570516129032299</v>
      </c>
      <c r="CX17">
        <v>50.3546774193548</v>
      </c>
      <c r="CY17">
        <v>1955.10516129032</v>
      </c>
      <c r="CZ17">
        <v>39.9</v>
      </c>
      <c r="DA17">
        <v>0</v>
      </c>
      <c r="DB17">
        <v>514.40000009536698</v>
      </c>
      <c r="DC17">
        <v>330.05819230769202</v>
      </c>
      <c r="DD17">
        <v>-12.766119660171199</v>
      </c>
      <c r="DE17">
        <v>-146.28341921596399</v>
      </c>
      <c r="DF17">
        <v>8711.8103846153808</v>
      </c>
      <c r="DG17">
        <v>15</v>
      </c>
      <c r="DH17">
        <v>1594056838.3</v>
      </c>
      <c r="DI17" t="s">
        <v>282</v>
      </c>
      <c r="DJ17">
        <v>58</v>
      </c>
      <c r="DK17">
        <v>-0.48799999999999999</v>
      </c>
      <c r="DL17">
        <v>9.1999999999999998E-2</v>
      </c>
      <c r="DM17">
        <v>400</v>
      </c>
      <c r="DN17">
        <v>16</v>
      </c>
      <c r="DO17">
        <v>0.09</v>
      </c>
      <c r="DP17">
        <v>0.02</v>
      </c>
      <c r="DQ17">
        <v>383.20948148148102</v>
      </c>
      <c r="DR17">
        <v>-3.0033161806669501E-2</v>
      </c>
      <c r="DS17">
        <v>2.6724063743942799E-2</v>
      </c>
      <c r="DT17">
        <v>1</v>
      </c>
      <c r="DU17">
        <v>21.298992592592601</v>
      </c>
      <c r="DV17">
        <v>-0.46659805603198301</v>
      </c>
      <c r="DW17">
        <v>6.1992558848120799E-2</v>
      </c>
      <c r="DX17">
        <v>0</v>
      </c>
      <c r="DY17">
        <v>1</v>
      </c>
      <c r="DZ17">
        <v>2</v>
      </c>
      <c r="EA17" t="s">
        <v>283</v>
      </c>
      <c r="EB17">
        <v>1.86677</v>
      </c>
      <c r="EC17">
        <v>1.8632599999999999</v>
      </c>
      <c r="ED17">
        <v>1.8689</v>
      </c>
      <c r="EE17">
        <v>1.8668400000000001</v>
      </c>
      <c r="EF17">
        <v>1.8715200000000001</v>
      </c>
      <c r="EG17">
        <v>1.86398</v>
      </c>
      <c r="EH17">
        <v>1.8653999999999999</v>
      </c>
      <c r="EI17">
        <v>1.8653900000000001</v>
      </c>
      <c r="EJ17" t="s">
        <v>284</v>
      </c>
      <c r="EK17" t="s">
        <v>19</v>
      </c>
      <c r="EL17" t="s">
        <v>19</v>
      </c>
      <c r="EM17" t="s">
        <v>19</v>
      </c>
      <c r="EN17" t="s">
        <v>285</v>
      </c>
      <c r="EO17" t="s">
        <v>286</v>
      </c>
      <c r="EP17" t="s">
        <v>287</v>
      </c>
      <c r="EQ17" t="s">
        <v>287</v>
      </c>
      <c r="ER17" t="s">
        <v>287</v>
      </c>
      <c r="ES17" t="s">
        <v>287</v>
      </c>
      <c r="ET17">
        <v>0</v>
      </c>
      <c r="EU17">
        <v>100</v>
      </c>
      <c r="EV17">
        <v>100</v>
      </c>
      <c r="EW17">
        <v>-0.48799999999999999</v>
      </c>
      <c r="EX17">
        <v>9.1999999999999998E-2</v>
      </c>
      <c r="EY17">
        <v>2</v>
      </c>
      <c r="EZ17">
        <v>323.34699999999998</v>
      </c>
      <c r="FA17">
        <v>435.16399999999999</v>
      </c>
      <c r="FB17">
        <v>22.8339</v>
      </c>
      <c r="FC17">
        <v>37.840699999999998</v>
      </c>
      <c r="FD17">
        <v>29.992799999999999</v>
      </c>
      <c r="FE17">
        <v>37.534300000000002</v>
      </c>
      <c r="FF17">
        <v>37.4998</v>
      </c>
      <c r="FG17">
        <v>22.154800000000002</v>
      </c>
      <c r="FH17">
        <v>55.602800000000002</v>
      </c>
      <c r="FI17">
        <v>0</v>
      </c>
      <c r="FJ17">
        <v>24.4087</v>
      </c>
      <c r="FK17">
        <v>400</v>
      </c>
      <c r="FL17">
        <v>15.866300000000001</v>
      </c>
      <c r="FM17">
        <v>99.931100000000001</v>
      </c>
      <c r="FN17">
        <v>100.434</v>
      </c>
    </row>
    <row r="18" spans="1:170" x14ac:dyDescent="0.25">
      <c r="A18">
        <v>2</v>
      </c>
      <c r="B18">
        <v>1594056930.3</v>
      </c>
      <c r="C18">
        <v>128</v>
      </c>
      <c r="D18" t="s">
        <v>288</v>
      </c>
      <c r="E18" t="s">
        <v>289</v>
      </c>
      <c r="G18">
        <v>1594056922.3</v>
      </c>
      <c r="H18">
        <f t="shared" si="0"/>
        <v>1.2882774839156542E-2</v>
      </c>
      <c r="I18">
        <f t="shared" si="1"/>
        <v>29.153814647087806</v>
      </c>
      <c r="J18">
        <f t="shared" si="2"/>
        <v>286.86577419354802</v>
      </c>
      <c r="K18">
        <f t="shared" si="3"/>
        <v>225.64203077219261</v>
      </c>
      <c r="L18">
        <f t="shared" si="4"/>
        <v>22.432389582854906</v>
      </c>
      <c r="M18">
        <f t="shared" si="5"/>
        <v>28.518998799447047</v>
      </c>
      <c r="N18">
        <f t="shared" si="6"/>
        <v>0.96182631672452013</v>
      </c>
      <c r="O18">
        <f t="shared" si="7"/>
        <v>3.3810326267182225</v>
      </c>
      <c r="P18">
        <f t="shared" si="8"/>
        <v>0.83183618448510699</v>
      </c>
      <c r="Q18">
        <f t="shared" si="9"/>
        <v>0.53010603665748979</v>
      </c>
      <c r="R18">
        <f t="shared" si="10"/>
        <v>321.44019610738292</v>
      </c>
      <c r="S18">
        <f t="shared" si="11"/>
        <v>26.957801427883666</v>
      </c>
      <c r="T18">
        <f t="shared" si="12"/>
        <v>27.106522580645201</v>
      </c>
      <c r="U18">
        <f t="shared" si="13"/>
        <v>3.6016133541389292</v>
      </c>
      <c r="V18">
        <f t="shared" si="14"/>
        <v>54.764729456932436</v>
      </c>
      <c r="W18">
        <f t="shared" si="15"/>
        <v>2.1061435825553212</v>
      </c>
      <c r="X18">
        <f t="shared" si="16"/>
        <v>3.8458029528140276</v>
      </c>
      <c r="Y18">
        <f t="shared" si="17"/>
        <v>1.4954697715836081</v>
      </c>
      <c r="Z18">
        <f t="shared" si="18"/>
        <v>-568.13037040680354</v>
      </c>
      <c r="AA18">
        <f t="shared" si="19"/>
        <v>204.60849025424406</v>
      </c>
      <c r="AB18">
        <f t="shared" si="20"/>
        <v>13.147635791303166</v>
      </c>
      <c r="AC18">
        <f t="shared" si="21"/>
        <v>-28.934048253873385</v>
      </c>
      <c r="AD18">
        <v>-4.1154088460975201E-2</v>
      </c>
      <c r="AE18">
        <v>4.6199069593606701E-2</v>
      </c>
      <c r="AF18">
        <v>3.4532508413749099</v>
      </c>
      <c r="AG18">
        <v>164</v>
      </c>
      <c r="AH18">
        <v>33</v>
      </c>
      <c r="AI18">
        <f t="shared" si="22"/>
        <v>1</v>
      </c>
      <c r="AJ18">
        <f t="shared" si="23"/>
        <v>0</v>
      </c>
      <c r="AK18">
        <f t="shared" si="24"/>
        <v>52263.251465802445</v>
      </c>
      <c r="AL18">
        <v>0</v>
      </c>
      <c r="AM18">
        <v>0</v>
      </c>
      <c r="AN18">
        <v>0</v>
      </c>
      <c r="AO18">
        <f t="shared" si="25"/>
        <v>0</v>
      </c>
      <c r="AP18" t="e">
        <f t="shared" si="26"/>
        <v>#DIV/0!</v>
      </c>
      <c r="AQ18">
        <v>-1</v>
      </c>
      <c r="AR18" t="s">
        <v>290</v>
      </c>
      <c r="AS18">
        <v>283.377269230769</v>
      </c>
      <c r="AT18">
        <v>404.22199999999998</v>
      </c>
      <c r="AU18">
        <f t="shared" si="27"/>
        <v>0.29895634272560867</v>
      </c>
      <c r="AV18">
        <v>0.5</v>
      </c>
      <c r="AW18">
        <f t="shared" si="28"/>
        <v>1681.1962254831783</v>
      </c>
      <c r="AX18">
        <f t="shared" si="29"/>
        <v>29.153814647087806</v>
      </c>
      <c r="AY18">
        <f t="shared" si="30"/>
        <v>251.30213748727436</v>
      </c>
      <c r="AZ18">
        <f t="shared" si="31"/>
        <v>0.52763580408785271</v>
      </c>
      <c r="BA18">
        <f t="shared" si="32"/>
        <v>1.7935928114769323E-2</v>
      </c>
      <c r="BB18">
        <f t="shared" si="33"/>
        <v>-1</v>
      </c>
      <c r="BC18" t="s">
        <v>291</v>
      </c>
      <c r="BD18">
        <v>190.94</v>
      </c>
      <c r="BE18">
        <f t="shared" si="34"/>
        <v>213.28199999999998</v>
      </c>
      <c r="BF18">
        <f t="shared" si="35"/>
        <v>0.56659601264631332</v>
      </c>
      <c r="BG18">
        <f t="shared" si="36"/>
        <v>2.1170105792395515</v>
      </c>
      <c r="BH18">
        <f t="shared" si="37"/>
        <v>0.29895634272560867</v>
      </c>
      <c r="BI18" t="e">
        <f t="shared" si="38"/>
        <v>#DIV/0!</v>
      </c>
      <c r="BJ18">
        <v>4653</v>
      </c>
      <c r="BK18">
        <v>300</v>
      </c>
      <c r="BL18">
        <v>300</v>
      </c>
      <c r="BM18">
        <v>300</v>
      </c>
      <c r="BN18">
        <v>9866.85</v>
      </c>
      <c r="BO18">
        <v>371.61900000000003</v>
      </c>
      <c r="BP18">
        <v>-6.5622299999999996E-3</v>
      </c>
      <c r="BQ18">
        <v>0.65335100000000002</v>
      </c>
      <c r="BR18">
        <f t="shared" si="39"/>
        <v>1999.99870967742</v>
      </c>
      <c r="BS18">
        <f t="shared" si="40"/>
        <v>1681.1962254831783</v>
      </c>
      <c r="BT18">
        <f t="shared" si="41"/>
        <v>0.84059865506330178</v>
      </c>
      <c r="BU18">
        <f t="shared" si="42"/>
        <v>0.19119731012660376</v>
      </c>
      <c r="BV18">
        <v>0.5</v>
      </c>
      <c r="BW18" t="s">
        <v>281</v>
      </c>
      <c r="BX18">
        <v>1594056922.3</v>
      </c>
      <c r="BY18">
        <v>286.86577419354802</v>
      </c>
      <c r="BZ18">
        <v>300.004387096774</v>
      </c>
      <c r="CA18">
        <v>21.185193548387101</v>
      </c>
      <c r="CB18">
        <v>16.1417</v>
      </c>
      <c r="CC18">
        <v>500.04429032258099</v>
      </c>
      <c r="CD18">
        <v>99.215864516129002</v>
      </c>
      <c r="CE18">
        <v>0.19996464516129001</v>
      </c>
      <c r="CF18">
        <v>28.229029032258101</v>
      </c>
      <c r="CG18">
        <v>27.106522580645201</v>
      </c>
      <c r="CH18">
        <v>999.9</v>
      </c>
      <c r="CI18">
        <v>10002.945161290299</v>
      </c>
      <c r="CJ18">
        <v>0</v>
      </c>
      <c r="CK18">
        <v>335.67535483871001</v>
      </c>
      <c r="CL18">
        <v>1999.99870967742</v>
      </c>
      <c r="CM18">
        <v>0.97999425806451601</v>
      </c>
      <c r="CN18">
        <v>2.0005841935483899E-2</v>
      </c>
      <c r="CO18">
        <v>0</v>
      </c>
      <c r="CP18">
        <v>283.45796774193502</v>
      </c>
      <c r="CQ18">
        <v>5.00054</v>
      </c>
      <c r="CR18">
        <v>8030.28</v>
      </c>
      <c r="CS18">
        <v>18703.587096774201</v>
      </c>
      <c r="CT18">
        <v>49.233612903225797</v>
      </c>
      <c r="CU18">
        <v>51.0078064516129</v>
      </c>
      <c r="CV18">
        <v>49.648935483871</v>
      </c>
      <c r="CW18">
        <v>50.205322580645102</v>
      </c>
      <c r="CX18">
        <v>50.640935483870997</v>
      </c>
      <c r="CY18">
        <v>1955.08838709677</v>
      </c>
      <c r="CZ18">
        <v>39.9103225806452</v>
      </c>
      <c r="DA18">
        <v>0</v>
      </c>
      <c r="DB18">
        <v>127.19999980926499</v>
      </c>
      <c r="DC18">
        <v>283.377269230769</v>
      </c>
      <c r="DD18">
        <v>-10.0801709411944</v>
      </c>
      <c r="DE18">
        <v>-341.41264953513797</v>
      </c>
      <c r="DF18">
        <v>8028.0053846153796</v>
      </c>
      <c r="DG18">
        <v>15</v>
      </c>
      <c r="DH18">
        <v>1594056960.8</v>
      </c>
      <c r="DI18" t="s">
        <v>292</v>
      </c>
      <c r="DJ18">
        <v>59</v>
      </c>
      <c r="DK18">
        <v>-0.52800000000000002</v>
      </c>
      <c r="DL18">
        <v>9.5000000000000001E-2</v>
      </c>
      <c r="DM18">
        <v>300</v>
      </c>
      <c r="DN18">
        <v>16</v>
      </c>
      <c r="DO18">
        <v>0.23</v>
      </c>
      <c r="DP18">
        <v>0.02</v>
      </c>
      <c r="DQ18">
        <v>286.90557407407402</v>
      </c>
      <c r="DR18">
        <v>5.1288736420775402E-2</v>
      </c>
      <c r="DS18">
        <v>2.8507699968181199E-2</v>
      </c>
      <c r="DT18">
        <v>1</v>
      </c>
      <c r="DU18">
        <v>21.177998148148099</v>
      </c>
      <c r="DV18">
        <v>3.1090222984553599E-2</v>
      </c>
      <c r="DW18">
        <v>8.8271779547442596E-3</v>
      </c>
      <c r="DX18">
        <v>1</v>
      </c>
      <c r="DY18">
        <v>2</v>
      </c>
      <c r="DZ18">
        <v>2</v>
      </c>
      <c r="EA18" t="s">
        <v>293</v>
      </c>
      <c r="EB18">
        <v>1.86663</v>
      </c>
      <c r="EC18">
        <v>1.8631500000000001</v>
      </c>
      <c r="ED18">
        <v>1.8687400000000001</v>
      </c>
      <c r="EE18">
        <v>1.8667400000000001</v>
      </c>
      <c r="EF18">
        <v>1.87138</v>
      </c>
      <c r="EG18">
        <v>1.8638600000000001</v>
      </c>
      <c r="EH18">
        <v>1.86527</v>
      </c>
      <c r="EI18">
        <v>1.8652299999999999</v>
      </c>
      <c r="EJ18" t="s">
        <v>284</v>
      </c>
      <c r="EK18" t="s">
        <v>19</v>
      </c>
      <c r="EL18" t="s">
        <v>19</v>
      </c>
      <c r="EM18" t="s">
        <v>19</v>
      </c>
      <c r="EN18" t="s">
        <v>285</v>
      </c>
      <c r="EO18" t="s">
        <v>286</v>
      </c>
      <c r="EP18" t="s">
        <v>287</v>
      </c>
      <c r="EQ18" t="s">
        <v>287</v>
      </c>
      <c r="ER18" t="s">
        <v>287</v>
      </c>
      <c r="ES18" t="s">
        <v>287</v>
      </c>
      <c r="ET18">
        <v>0</v>
      </c>
      <c r="EU18">
        <v>100</v>
      </c>
      <c r="EV18">
        <v>100</v>
      </c>
      <c r="EW18">
        <v>-0.52800000000000002</v>
      </c>
      <c r="EX18">
        <v>9.5000000000000001E-2</v>
      </c>
      <c r="EY18">
        <v>2</v>
      </c>
      <c r="EZ18">
        <v>321.36900000000003</v>
      </c>
      <c r="FA18">
        <v>435.06</v>
      </c>
      <c r="FB18">
        <v>22.7516</v>
      </c>
      <c r="FC18">
        <v>38.191299999999998</v>
      </c>
      <c r="FD18">
        <v>30.0017</v>
      </c>
      <c r="FE18">
        <v>37.886600000000001</v>
      </c>
      <c r="FF18">
        <v>37.856699999999996</v>
      </c>
      <c r="FG18">
        <v>17.634</v>
      </c>
      <c r="FH18">
        <v>55.406700000000001</v>
      </c>
      <c r="FI18">
        <v>0</v>
      </c>
      <c r="FJ18">
        <v>22.444400000000002</v>
      </c>
      <c r="FK18">
        <v>300</v>
      </c>
      <c r="FL18">
        <v>16.066700000000001</v>
      </c>
      <c r="FM18">
        <v>99.859700000000004</v>
      </c>
      <c r="FN18">
        <v>100.34099999999999</v>
      </c>
    </row>
    <row r="19" spans="1:170" x14ac:dyDescent="0.25">
      <c r="A19">
        <v>3</v>
      </c>
      <c r="B19">
        <v>1594057052.3</v>
      </c>
      <c r="C19">
        <v>250</v>
      </c>
      <c r="D19" t="s">
        <v>294</v>
      </c>
      <c r="E19" t="s">
        <v>295</v>
      </c>
      <c r="G19">
        <v>1594057044.3</v>
      </c>
      <c r="H19">
        <f t="shared" si="0"/>
        <v>1.2279539498412652E-2</v>
      </c>
      <c r="I19">
        <f t="shared" si="1"/>
        <v>18.87263017074423</v>
      </c>
      <c r="J19">
        <f t="shared" si="2"/>
        <v>191.51838709677401</v>
      </c>
      <c r="K19">
        <f t="shared" si="3"/>
        <v>149.80924133310225</v>
      </c>
      <c r="L19">
        <f t="shared" si="4"/>
        <v>14.893233260068001</v>
      </c>
      <c r="M19">
        <f t="shared" si="5"/>
        <v>19.03973337854422</v>
      </c>
      <c r="N19">
        <f t="shared" si="6"/>
        <v>0.9059951797217024</v>
      </c>
      <c r="O19">
        <f t="shared" si="7"/>
        <v>3.3793595617851726</v>
      </c>
      <c r="P19">
        <f t="shared" si="8"/>
        <v>0.78963678673720739</v>
      </c>
      <c r="Q19">
        <f t="shared" si="9"/>
        <v>0.50272674816105967</v>
      </c>
      <c r="R19">
        <f t="shared" si="10"/>
        <v>321.43960970153972</v>
      </c>
      <c r="S19">
        <f t="shared" si="11"/>
        <v>26.95496908612197</v>
      </c>
      <c r="T19">
        <f t="shared" si="12"/>
        <v>27.114861290322601</v>
      </c>
      <c r="U19">
        <f t="shared" si="13"/>
        <v>3.6033762302486938</v>
      </c>
      <c r="V19">
        <f t="shared" si="14"/>
        <v>55.095588462811939</v>
      </c>
      <c r="W19">
        <f t="shared" si="15"/>
        <v>2.101751728346974</v>
      </c>
      <c r="X19">
        <f t="shared" si="16"/>
        <v>3.8147368727454483</v>
      </c>
      <c r="Y19">
        <f t="shared" si="17"/>
        <v>1.5016245019017198</v>
      </c>
      <c r="Z19">
        <f t="shared" si="18"/>
        <v>-541.52769187999797</v>
      </c>
      <c r="AA19">
        <f t="shared" si="19"/>
        <v>177.61041144767057</v>
      </c>
      <c r="AB19">
        <f t="shared" si="20"/>
        <v>11.410988238630711</v>
      </c>
      <c r="AC19">
        <f t="shared" si="21"/>
        <v>-31.066682492156986</v>
      </c>
      <c r="AD19">
        <v>-4.1128221007991302E-2</v>
      </c>
      <c r="AE19">
        <v>4.6170031111518899E-2</v>
      </c>
      <c r="AF19">
        <v>3.4515323835940999</v>
      </c>
      <c r="AG19">
        <v>166</v>
      </c>
      <c r="AH19">
        <v>33</v>
      </c>
      <c r="AI19">
        <f t="shared" si="22"/>
        <v>1</v>
      </c>
      <c r="AJ19">
        <f t="shared" si="23"/>
        <v>0</v>
      </c>
      <c r="AK19">
        <f t="shared" si="24"/>
        <v>52255.881636085222</v>
      </c>
      <c r="AL19">
        <v>0</v>
      </c>
      <c r="AM19">
        <v>0</v>
      </c>
      <c r="AN19">
        <v>0</v>
      </c>
      <c r="AO19">
        <f t="shared" si="25"/>
        <v>0</v>
      </c>
      <c r="AP19" t="e">
        <f t="shared" si="26"/>
        <v>#DIV/0!</v>
      </c>
      <c r="AQ19">
        <v>-1</v>
      </c>
      <c r="AR19" t="s">
        <v>296</v>
      </c>
      <c r="AS19">
        <v>262.043038461538</v>
      </c>
      <c r="AT19">
        <v>353.98599999999999</v>
      </c>
      <c r="AU19">
        <f t="shared" si="27"/>
        <v>0.25973615210336565</v>
      </c>
      <c r="AV19">
        <v>0.5</v>
      </c>
      <c r="AW19">
        <f t="shared" si="28"/>
        <v>1681.1956688265727</v>
      </c>
      <c r="AX19">
        <f t="shared" si="29"/>
        <v>18.87263017074423</v>
      </c>
      <c r="AY19">
        <f t="shared" si="30"/>
        <v>218.33364697692912</v>
      </c>
      <c r="AZ19">
        <f t="shared" si="31"/>
        <v>0.46884905052742193</v>
      </c>
      <c r="BA19">
        <f t="shared" si="32"/>
        <v>1.1820533766075407E-2</v>
      </c>
      <c r="BB19">
        <f t="shared" si="33"/>
        <v>-1</v>
      </c>
      <c r="BC19" t="s">
        <v>297</v>
      </c>
      <c r="BD19">
        <v>188.02</v>
      </c>
      <c r="BE19">
        <f t="shared" si="34"/>
        <v>165.96599999999998</v>
      </c>
      <c r="BF19">
        <f t="shared" si="35"/>
        <v>0.55398672944134342</v>
      </c>
      <c r="BG19">
        <f t="shared" si="36"/>
        <v>1.8827039676630144</v>
      </c>
      <c r="BH19">
        <f t="shared" si="37"/>
        <v>0.25973615210336565</v>
      </c>
      <c r="BI19" t="e">
        <f t="shared" si="38"/>
        <v>#DIV/0!</v>
      </c>
      <c r="BJ19">
        <v>4655</v>
      </c>
      <c r="BK19">
        <v>300</v>
      </c>
      <c r="BL19">
        <v>300</v>
      </c>
      <c r="BM19">
        <v>300</v>
      </c>
      <c r="BN19">
        <v>9864.4500000000007</v>
      </c>
      <c r="BO19">
        <v>330.55399999999997</v>
      </c>
      <c r="BP19">
        <v>-6.5601000000000001E-3</v>
      </c>
      <c r="BQ19">
        <v>1.9988699999999999</v>
      </c>
      <c r="BR19">
        <f t="shared" si="39"/>
        <v>1999.9983870967701</v>
      </c>
      <c r="BS19">
        <f t="shared" si="40"/>
        <v>1681.1956688265727</v>
      </c>
      <c r="BT19">
        <f t="shared" si="41"/>
        <v>0.84059851231531413</v>
      </c>
      <c r="BU19">
        <f t="shared" si="42"/>
        <v>0.19119702463062824</v>
      </c>
      <c r="BV19">
        <v>0.5</v>
      </c>
      <c r="BW19" t="s">
        <v>281</v>
      </c>
      <c r="BX19">
        <v>1594057044.3</v>
      </c>
      <c r="BY19">
        <v>191.51838709677401</v>
      </c>
      <c r="BZ19">
        <v>200.00712903225801</v>
      </c>
      <c r="CA19">
        <v>21.141267741935501</v>
      </c>
      <c r="CB19">
        <v>16.333867741935499</v>
      </c>
      <c r="CC19">
        <v>500.05967741935501</v>
      </c>
      <c r="CD19">
        <v>99.214661290322596</v>
      </c>
      <c r="CE19">
        <v>0.19998848387096799</v>
      </c>
      <c r="CF19">
        <v>28.089735483870999</v>
      </c>
      <c r="CG19">
        <v>27.114861290322601</v>
      </c>
      <c r="CH19">
        <v>999.9</v>
      </c>
      <c r="CI19">
        <v>9996.7790322580604</v>
      </c>
      <c r="CJ19">
        <v>0</v>
      </c>
      <c r="CK19">
        <v>190.41732258064499</v>
      </c>
      <c r="CL19">
        <v>1999.9983870967701</v>
      </c>
      <c r="CM19">
        <v>0.97999748387096797</v>
      </c>
      <c r="CN19">
        <v>2.00023806451613E-2</v>
      </c>
      <c r="CO19">
        <v>0</v>
      </c>
      <c r="CP19">
        <v>262.04003225806503</v>
      </c>
      <c r="CQ19">
        <v>5.00054</v>
      </c>
      <c r="CR19">
        <v>6762.7683870967703</v>
      </c>
      <c r="CS19">
        <v>18703.596774193498</v>
      </c>
      <c r="CT19">
        <v>49.795935483870899</v>
      </c>
      <c r="CU19">
        <v>51.899000000000001</v>
      </c>
      <c r="CV19">
        <v>50.292000000000002</v>
      </c>
      <c r="CW19">
        <v>50.945258064516104</v>
      </c>
      <c r="CX19">
        <v>51.209483870967702</v>
      </c>
      <c r="CY19">
        <v>1955.09</v>
      </c>
      <c r="CZ19">
        <v>39.900645161290299</v>
      </c>
      <c r="DA19">
        <v>0</v>
      </c>
      <c r="DB19">
        <v>121.200000047684</v>
      </c>
      <c r="DC19">
        <v>262.043038461538</v>
      </c>
      <c r="DD19">
        <v>-6.6237606633727397</v>
      </c>
      <c r="DE19">
        <v>1144.74563946536</v>
      </c>
      <c r="DF19">
        <v>6768.3380769230798</v>
      </c>
      <c r="DG19">
        <v>15</v>
      </c>
      <c r="DH19">
        <v>1594057082.3</v>
      </c>
      <c r="DI19" t="s">
        <v>298</v>
      </c>
      <c r="DJ19">
        <v>60</v>
      </c>
      <c r="DK19">
        <v>-0.46300000000000002</v>
      </c>
      <c r="DL19">
        <v>9.8000000000000004E-2</v>
      </c>
      <c r="DM19">
        <v>200</v>
      </c>
      <c r="DN19">
        <v>16</v>
      </c>
      <c r="DO19">
        <v>0.37</v>
      </c>
      <c r="DP19">
        <v>0.02</v>
      </c>
      <c r="DQ19">
        <v>191.42727777777799</v>
      </c>
      <c r="DR19">
        <v>0.23264036592328199</v>
      </c>
      <c r="DS19">
        <v>3.3523577477852902E-2</v>
      </c>
      <c r="DT19">
        <v>1</v>
      </c>
      <c r="DU19">
        <v>21.144662962963</v>
      </c>
      <c r="DV19">
        <v>-6.4139965694687703E-2</v>
      </c>
      <c r="DW19">
        <v>8.7778824810132803E-3</v>
      </c>
      <c r="DX19">
        <v>1</v>
      </c>
      <c r="DY19">
        <v>2</v>
      </c>
      <c r="DZ19">
        <v>2</v>
      </c>
      <c r="EA19" t="s">
        <v>293</v>
      </c>
      <c r="EB19">
        <v>1.8666100000000001</v>
      </c>
      <c r="EC19">
        <v>1.86314</v>
      </c>
      <c r="ED19">
        <v>1.8687400000000001</v>
      </c>
      <c r="EE19">
        <v>1.8667199999999999</v>
      </c>
      <c r="EF19">
        <v>1.8714200000000001</v>
      </c>
      <c r="EG19">
        <v>1.8638600000000001</v>
      </c>
      <c r="EH19">
        <v>1.86531</v>
      </c>
      <c r="EI19">
        <v>1.8652299999999999</v>
      </c>
      <c r="EJ19" t="s">
        <v>284</v>
      </c>
      <c r="EK19" t="s">
        <v>19</v>
      </c>
      <c r="EL19" t="s">
        <v>19</v>
      </c>
      <c r="EM19" t="s">
        <v>19</v>
      </c>
      <c r="EN19" t="s">
        <v>285</v>
      </c>
      <c r="EO19" t="s">
        <v>286</v>
      </c>
      <c r="EP19" t="s">
        <v>287</v>
      </c>
      <c r="EQ19" t="s">
        <v>287</v>
      </c>
      <c r="ER19" t="s">
        <v>287</v>
      </c>
      <c r="ES19" t="s">
        <v>287</v>
      </c>
      <c r="ET19">
        <v>0</v>
      </c>
      <c r="EU19">
        <v>100</v>
      </c>
      <c r="EV19">
        <v>100</v>
      </c>
      <c r="EW19">
        <v>-0.46300000000000002</v>
      </c>
      <c r="EX19">
        <v>9.8000000000000004E-2</v>
      </c>
      <c r="EY19">
        <v>2</v>
      </c>
      <c r="EZ19">
        <v>319.61399999999998</v>
      </c>
      <c r="FA19">
        <v>433.10399999999998</v>
      </c>
      <c r="FB19">
        <v>22.788</v>
      </c>
      <c r="FC19">
        <v>38.679099999999998</v>
      </c>
      <c r="FD19">
        <v>30.0016</v>
      </c>
      <c r="FE19">
        <v>38.323799999999999</v>
      </c>
      <c r="FF19">
        <v>38.286999999999999</v>
      </c>
      <c r="FG19">
        <v>12.930199999999999</v>
      </c>
      <c r="FH19">
        <v>54.554400000000001</v>
      </c>
      <c r="FI19">
        <v>0</v>
      </c>
      <c r="FJ19">
        <v>20.237300000000001</v>
      </c>
      <c r="FK19">
        <v>200</v>
      </c>
      <c r="FL19">
        <v>16.375900000000001</v>
      </c>
      <c r="FM19">
        <v>99.770300000000006</v>
      </c>
      <c r="FN19">
        <v>100.238</v>
      </c>
    </row>
    <row r="20" spans="1:170" x14ac:dyDescent="0.25">
      <c r="A20">
        <v>4</v>
      </c>
      <c r="B20">
        <v>1594057173.8</v>
      </c>
      <c r="C20">
        <v>371.5</v>
      </c>
      <c r="D20" t="s">
        <v>299</v>
      </c>
      <c r="E20" t="s">
        <v>300</v>
      </c>
      <c r="G20">
        <v>1594057165.8</v>
      </c>
      <c r="H20">
        <f t="shared" si="0"/>
        <v>1.1909897454145007E-2</v>
      </c>
      <c r="I20">
        <f t="shared" si="1"/>
        <v>6.6736993156681068</v>
      </c>
      <c r="J20">
        <f t="shared" si="2"/>
        <v>96.854167741935498</v>
      </c>
      <c r="K20">
        <f t="shared" si="3"/>
        <v>80.608154660977291</v>
      </c>
      <c r="L20">
        <f t="shared" si="4"/>
        <v>8.0130952747218611</v>
      </c>
      <c r="M20">
        <f t="shared" si="5"/>
        <v>9.6280789100576634</v>
      </c>
      <c r="N20">
        <f t="shared" si="6"/>
        <v>0.85182675828984755</v>
      </c>
      <c r="O20">
        <f t="shared" si="7"/>
        <v>3.3795870543441779</v>
      </c>
      <c r="P20">
        <f t="shared" si="8"/>
        <v>0.74812373756871087</v>
      </c>
      <c r="Q20">
        <f t="shared" si="9"/>
        <v>0.47583849083720631</v>
      </c>
      <c r="R20">
        <f t="shared" si="10"/>
        <v>321.44018258934148</v>
      </c>
      <c r="S20">
        <f t="shared" si="11"/>
        <v>27.117084844975405</v>
      </c>
      <c r="T20">
        <f t="shared" si="12"/>
        <v>27.258438709677399</v>
      </c>
      <c r="U20">
        <f t="shared" si="13"/>
        <v>3.6338481040606294</v>
      </c>
      <c r="V20">
        <f t="shared" si="14"/>
        <v>54.719939566806474</v>
      </c>
      <c r="W20">
        <f t="shared" si="15"/>
        <v>2.096919684563658</v>
      </c>
      <c r="X20">
        <f t="shared" si="16"/>
        <v>3.8320942990142943</v>
      </c>
      <c r="Y20">
        <f t="shared" si="17"/>
        <v>1.5369284194969715</v>
      </c>
      <c r="Z20">
        <f t="shared" si="18"/>
        <v>-525.22647772779487</v>
      </c>
      <c r="AA20">
        <f t="shared" si="19"/>
        <v>165.66473868186</v>
      </c>
      <c r="AB20">
        <f t="shared" si="20"/>
        <v>10.654559961164409</v>
      </c>
      <c r="AC20">
        <f t="shared" si="21"/>
        <v>-27.466996495428987</v>
      </c>
      <c r="AD20">
        <v>-4.1131737960167197E-2</v>
      </c>
      <c r="AE20">
        <v>4.6173979198438297E-2</v>
      </c>
      <c r="AF20">
        <v>3.4517660477879701</v>
      </c>
      <c r="AG20">
        <v>167</v>
      </c>
      <c r="AH20">
        <v>33</v>
      </c>
      <c r="AI20">
        <f t="shared" si="22"/>
        <v>1</v>
      </c>
      <c r="AJ20">
        <f t="shared" si="23"/>
        <v>0</v>
      </c>
      <c r="AK20">
        <f t="shared" si="24"/>
        <v>52246.498644354506</v>
      </c>
      <c r="AL20">
        <v>0</v>
      </c>
      <c r="AM20">
        <v>0</v>
      </c>
      <c r="AN20">
        <v>0</v>
      </c>
      <c r="AO20">
        <f t="shared" si="25"/>
        <v>0</v>
      </c>
      <c r="AP20" t="e">
        <f t="shared" si="26"/>
        <v>#DIV/0!</v>
      </c>
      <c r="AQ20">
        <v>-1</v>
      </c>
      <c r="AR20" t="s">
        <v>301</v>
      </c>
      <c r="AS20">
        <v>257.51311538461499</v>
      </c>
      <c r="AT20">
        <v>329.00900000000001</v>
      </c>
      <c r="AU20">
        <f t="shared" si="27"/>
        <v>0.21730677463347514</v>
      </c>
      <c r="AV20">
        <v>0.5</v>
      </c>
      <c r="AW20">
        <f t="shared" si="28"/>
        <v>1681.1988964510072</v>
      </c>
      <c r="AX20">
        <f t="shared" si="29"/>
        <v>6.6736993156681068</v>
      </c>
      <c r="AY20">
        <f t="shared" si="30"/>
        <v>182.66795485256307</v>
      </c>
      <c r="AZ20">
        <f t="shared" si="31"/>
        <v>0.40804050953013449</v>
      </c>
      <c r="BA20">
        <f t="shared" si="32"/>
        <v>4.5644208617238585E-3</v>
      </c>
      <c r="BB20">
        <f t="shared" si="33"/>
        <v>-1</v>
      </c>
      <c r="BC20" t="s">
        <v>302</v>
      </c>
      <c r="BD20">
        <v>194.76</v>
      </c>
      <c r="BE20">
        <f t="shared" si="34"/>
        <v>134.24900000000002</v>
      </c>
      <c r="BF20">
        <f t="shared" si="35"/>
        <v>0.53256176668269417</v>
      </c>
      <c r="BG20">
        <f t="shared" si="36"/>
        <v>1.6893047853768743</v>
      </c>
      <c r="BH20">
        <f t="shared" si="37"/>
        <v>0.21730677463347514</v>
      </c>
      <c r="BI20" t="e">
        <f t="shared" si="38"/>
        <v>#DIV/0!</v>
      </c>
      <c r="BJ20">
        <v>4657</v>
      </c>
      <c r="BK20">
        <v>300</v>
      </c>
      <c r="BL20">
        <v>300</v>
      </c>
      <c r="BM20">
        <v>300</v>
      </c>
      <c r="BN20">
        <v>9862.32</v>
      </c>
      <c r="BO20">
        <v>310.35300000000001</v>
      </c>
      <c r="BP20">
        <v>-6.5583300000000002E-3</v>
      </c>
      <c r="BQ20">
        <v>1.2958099999999999</v>
      </c>
      <c r="BR20">
        <f t="shared" si="39"/>
        <v>2000.00225806452</v>
      </c>
      <c r="BS20">
        <f t="shared" si="40"/>
        <v>1681.1988964510072</v>
      </c>
      <c r="BT20">
        <f t="shared" si="41"/>
        <v>0.84059849916268037</v>
      </c>
      <c r="BU20">
        <f t="shared" si="42"/>
        <v>0.19119699832536072</v>
      </c>
      <c r="BV20">
        <v>0.5</v>
      </c>
      <c r="BW20" t="s">
        <v>281</v>
      </c>
      <c r="BX20">
        <v>1594057165.8</v>
      </c>
      <c r="BY20">
        <v>96.854167741935498</v>
      </c>
      <c r="BZ20">
        <v>99.984777419354799</v>
      </c>
      <c r="CA20">
        <v>21.094074193548401</v>
      </c>
      <c r="CB20">
        <v>16.431022580645202</v>
      </c>
      <c r="CC20">
        <v>500.04461290322598</v>
      </c>
      <c r="CD20">
        <v>99.208003225806493</v>
      </c>
      <c r="CE20">
        <v>0.199994741935484</v>
      </c>
      <c r="CF20">
        <v>28.1676838709677</v>
      </c>
      <c r="CG20">
        <v>27.258438709677399</v>
      </c>
      <c r="CH20">
        <v>999.9</v>
      </c>
      <c r="CI20">
        <v>9998.3048387096806</v>
      </c>
      <c r="CJ20">
        <v>0</v>
      </c>
      <c r="CK20">
        <v>346.34783870967698</v>
      </c>
      <c r="CL20">
        <v>2000.00225806452</v>
      </c>
      <c r="CM20">
        <v>0.98000090322580602</v>
      </c>
      <c r="CN20">
        <v>1.99990258064516E-2</v>
      </c>
      <c r="CO20">
        <v>0</v>
      </c>
      <c r="CP20">
        <v>257.53638709677398</v>
      </c>
      <c r="CQ20">
        <v>5.00054</v>
      </c>
      <c r="CR20">
        <v>7531.3522580645204</v>
      </c>
      <c r="CS20">
        <v>18703.654838709699</v>
      </c>
      <c r="CT20">
        <v>50.253741935483902</v>
      </c>
      <c r="CU20">
        <v>52.6106451612903</v>
      </c>
      <c r="CV20">
        <v>50.862741935483903</v>
      </c>
      <c r="CW20">
        <v>51.574387096774203</v>
      </c>
      <c r="CX20">
        <v>51.657064516128997</v>
      </c>
      <c r="CY20">
        <v>1955.1022580645199</v>
      </c>
      <c r="CZ20">
        <v>39.9</v>
      </c>
      <c r="DA20">
        <v>0</v>
      </c>
      <c r="DB20">
        <v>120.90000009536701</v>
      </c>
      <c r="DC20">
        <v>257.51311538461499</v>
      </c>
      <c r="DD20">
        <v>-2.9188718060377199</v>
      </c>
      <c r="DE20">
        <v>-49.808547030207897</v>
      </c>
      <c r="DF20">
        <v>7530.8246153846203</v>
      </c>
      <c r="DG20">
        <v>15</v>
      </c>
      <c r="DH20">
        <v>1594057204.8</v>
      </c>
      <c r="DI20" t="s">
        <v>303</v>
      </c>
      <c r="DJ20">
        <v>61</v>
      </c>
      <c r="DK20">
        <v>-0.38300000000000001</v>
      </c>
      <c r="DL20">
        <v>0.10100000000000001</v>
      </c>
      <c r="DM20">
        <v>100</v>
      </c>
      <c r="DN20">
        <v>17</v>
      </c>
      <c r="DO20">
        <v>0.54</v>
      </c>
      <c r="DP20">
        <v>0.02</v>
      </c>
      <c r="DQ20">
        <v>96.765285185185206</v>
      </c>
      <c r="DR20">
        <v>8.6490566037758801E-2</v>
      </c>
      <c r="DS20">
        <v>1.4685220680915601E-2</v>
      </c>
      <c r="DT20">
        <v>1</v>
      </c>
      <c r="DU20">
        <v>21.0876925925926</v>
      </c>
      <c r="DV20">
        <v>3.5946483704974198E-2</v>
      </c>
      <c r="DW20">
        <v>5.2088547064148899E-3</v>
      </c>
      <c r="DX20">
        <v>1</v>
      </c>
      <c r="DY20">
        <v>2</v>
      </c>
      <c r="DZ20">
        <v>2</v>
      </c>
      <c r="EA20" t="s">
        <v>293</v>
      </c>
      <c r="EB20">
        <v>1.8666199999999999</v>
      </c>
      <c r="EC20">
        <v>1.8632</v>
      </c>
      <c r="ED20">
        <v>1.8687400000000001</v>
      </c>
      <c r="EE20">
        <v>1.86676</v>
      </c>
      <c r="EF20">
        <v>1.8714299999999999</v>
      </c>
      <c r="EG20">
        <v>1.8638600000000001</v>
      </c>
      <c r="EH20">
        <v>1.8652899999999999</v>
      </c>
      <c r="EI20">
        <v>1.8652299999999999</v>
      </c>
      <c r="EJ20" t="s">
        <v>284</v>
      </c>
      <c r="EK20" t="s">
        <v>19</v>
      </c>
      <c r="EL20" t="s">
        <v>19</v>
      </c>
      <c r="EM20" t="s">
        <v>19</v>
      </c>
      <c r="EN20" t="s">
        <v>285</v>
      </c>
      <c r="EO20" t="s">
        <v>286</v>
      </c>
      <c r="EP20" t="s">
        <v>287</v>
      </c>
      <c r="EQ20" t="s">
        <v>287</v>
      </c>
      <c r="ER20" t="s">
        <v>287</v>
      </c>
      <c r="ES20" t="s">
        <v>287</v>
      </c>
      <c r="ET20">
        <v>0</v>
      </c>
      <c r="EU20">
        <v>100</v>
      </c>
      <c r="EV20">
        <v>100</v>
      </c>
      <c r="EW20">
        <v>-0.38300000000000001</v>
      </c>
      <c r="EX20">
        <v>0.10100000000000001</v>
      </c>
      <c r="EY20">
        <v>2</v>
      </c>
      <c r="EZ20">
        <v>318.81099999999998</v>
      </c>
      <c r="FA20">
        <v>432.10399999999998</v>
      </c>
      <c r="FB20">
        <v>22.8673</v>
      </c>
      <c r="FC20">
        <v>39.079900000000002</v>
      </c>
      <c r="FD20">
        <v>30.0015</v>
      </c>
      <c r="FE20">
        <v>38.716900000000003</v>
      </c>
      <c r="FF20">
        <v>38.6785</v>
      </c>
      <c r="FG20">
        <v>8.0326299999999993</v>
      </c>
      <c r="FH20">
        <v>54.345300000000002</v>
      </c>
      <c r="FI20">
        <v>0</v>
      </c>
      <c r="FJ20">
        <v>19.0275</v>
      </c>
      <c r="FK20">
        <v>100</v>
      </c>
      <c r="FL20">
        <v>16.529800000000002</v>
      </c>
      <c r="FM20">
        <v>99.702600000000004</v>
      </c>
      <c r="FN20">
        <v>100.158</v>
      </c>
    </row>
    <row r="21" spans="1:170" x14ac:dyDescent="0.25">
      <c r="A21">
        <v>5</v>
      </c>
      <c r="B21">
        <v>1594057326.3</v>
      </c>
      <c r="C21">
        <v>524</v>
      </c>
      <c r="D21" t="s">
        <v>304</v>
      </c>
      <c r="E21" t="s">
        <v>305</v>
      </c>
      <c r="G21">
        <v>1594057318.3</v>
      </c>
      <c r="H21">
        <f t="shared" si="0"/>
        <v>1.1745463321985681E-2</v>
      </c>
      <c r="I21">
        <f t="shared" si="1"/>
        <v>0.6668442620627627</v>
      </c>
      <c r="J21">
        <f t="shared" si="2"/>
        <v>49.523367741935502</v>
      </c>
      <c r="K21">
        <f t="shared" si="3"/>
        <v>46.827847196336556</v>
      </c>
      <c r="L21">
        <f t="shared" si="4"/>
        <v>4.6554335423653095</v>
      </c>
      <c r="M21">
        <f t="shared" si="5"/>
        <v>4.9234111991109284</v>
      </c>
      <c r="N21">
        <f t="shared" si="6"/>
        <v>0.81493696664284743</v>
      </c>
      <c r="O21">
        <f t="shared" si="7"/>
        <v>3.3789463582474379</v>
      </c>
      <c r="P21">
        <f t="shared" si="8"/>
        <v>0.71946908303095669</v>
      </c>
      <c r="Q21">
        <f t="shared" si="9"/>
        <v>0.45731021958579754</v>
      </c>
      <c r="R21">
        <f t="shared" si="10"/>
        <v>321.43926825141784</v>
      </c>
      <c r="S21">
        <f t="shared" si="11"/>
        <v>27.572104909948951</v>
      </c>
      <c r="T21">
        <f t="shared" si="12"/>
        <v>27.673209677419401</v>
      </c>
      <c r="U21">
        <f t="shared" si="13"/>
        <v>3.7231431227527412</v>
      </c>
      <c r="V21">
        <f t="shared" si="14"/>
        <v>54.710775960381163</v>
      </c>
      <c r="W21">
        <f t="shared" si="15"/>
        <v>2.1480846085247771</v>
      </c>
      <c r="X21">
        <f t="shared" si="16"/>
        <v>3.9262550581997111</v>
      </c>
      <c r="Y21">
        <f t="shared" si="17"/>
        <v>1.5750585142279641</v>
      </c>
      <c r="Z21">
        <f t="shared" si="18"/>
        <v>-517.97493249956847</v>
      </c>
      <c r="AA21">
        <f t="shared" si="19"/>
        <v>166.14222110969303</v>
      </c>
      <c r="AB21">
        <f t="shared" si="20"/>
        <v>10.731727965079822</v>
      </c>
      <c r="AC21">
        <f t="shared" si="21"/>
        <v>-19.661715173377786</v>
      </c>
      <c r="AD21">
        <v>-4.1121833302833199E-2</v>
      </c>
      <c r="AE21">
        <v>4.61628603528852E-2</v>
      </c>
      <c r="AF21">
        <v>3.4511079707530001</v>
      </c>
      <c r="AG21">
        <v>169</v>
      </c>
      <c r="AH21">
        <v>34</v>
      </c>
      <c r="AI21">
        <f t="shared" si="22"/>
        <v>1</v>
      </c>
      <c r="AJ21">
        <f t="shared" si="23"/>
        <v>0</v>
      </c>
      <c r="AK21">
        <f t="shared" si="24"/>
        <v>52162.278338914693</v>
      </c>
      <c r="AL21">
        <v>0</v>
      </c>
      <c r="AM21">
        <v>0</v>
      </c>
      <c r="AN21">
        <v>0</v>
      </c>
      <c r="AO21">
        <f t="shared" si="25"/>
        <v>0</v>
      </c>
      <c r="AP21" t="e">
        <f t="shared" si="26"/>
        <v>#DIV/0!</v>
      </c>
      <c r="AQ21">
        <v>-1</v>
      </c>
      <c r="AR21" t="s">
        <v>306</v>
      </c>
      <c r="AS21">
        <v>255.443076923077</v>
      </c>
      <c r="AT21">
        <v>315.11</v>
      </c>
      <c r="AU21">
        <f t="shared" si="27"/>
        <v>0.18935268026061691</v>
      </c>
      <c r="AV21">
        <v>0.5</v>
      </c>
      <c r="AW21">
        <f t="shared" si="28"/>
        <v>1681.1945125800453</v>
      </c>
      <c r="AX21">
        <f t="shared" si="29"/>
        <v>0.6668442620627627</v>
      </c>
      <c r="AY21">
        <f t="shared" si="30"/>
        <v>159.16934349823651</v>
      </c>
      <c r="AZ21">
        <f t="shared" si="31"/>
        <v>0.35996953444828789</v>
      </c>
      <c r="BA21">
        <f t="shared" si="32"/>
        <v>9.9146425329734171E-4</v>
      </c>
      <c r="BB21">
        <f t="shared" si="33"/>
        <v>-1</v>
      </c>
      <c r="BC21" t="s">
        <v>307</v>
      </c>
      <c r="BD21">
        <v>201.68</v>
      </c>
      <c r="BE21">
        <f t="shared" si="34"/>
        <v>113.43</v>
      </c>
      <c r="BF21">
        <f t="shared" si="35"/>
        <v>0.52602418299323817</v>
      </c>
      <c r="BG21">
        <f t="shared" si="36"/>
        <v>1.5624256247520825</v>
      </c>
      <c r="BH21">
        <f t="shared" si="37"/>
        <v>0.18935268026061697</v>
      </c>
      <c r="BI21" t="e">
        <f t="shared" si="38"/>
        <v>#DIV/0!</v>
      </c>
      <c r="BJ21">
        <v>4659</v>
      </c>
      <c r="BK21">
        <v>300</v>
      </c>
      <c r="BL21">
        <v>300</v>
      </c>
      <c r="BM21">
        <v>300</v>
      </c>
      <c r="BN21">
        <v>9858.89</v>
      </c>
      <c r="BO21">
        <v>299.28100000000001</v>
      </c>
      <c r="BP21">
        <v>-6.5556399999999997E-3</v>
      </c>
      <c r="BQ21">
        <v>0.852051</v>
      </c>
      <c r="BR21">
        <f t="shared" si="39"/>
        <v>1999.9970967741899</v>
      </c>
      <c r="BS21">
        <f t="shared" si="40"/>
        <v>1681.1945125800453</v>
      </c>
      <c r="BT21">
        <f t="shared" si="41"/>
        <v>0.84059847651361908</v>
      </c>
      <c r="BU21">
        <f t="shared" si="42"/>
        <v>0.19119695302723838</v>
      </c>
      <c r="BV21">
        <v>0.5</v>
      </c>
      <c r="BW21" t="s">
        <v>281</v>
      </c>
      <c r="BX21">
        <v>1594057318.3</v>
      </c>
      <c r="BY21">
        <v>49.523367741935502</v>
      </c>
      <c r="BZ21">
        <v>50.022716129032297</v>
      </c>
      <c r="CA21">
        <v>21.6070483870968</v>
      </c>
      <c r="CB21">
        <v>17.0109225806452</v>
      </c>
      <c r="CC21">
        <v>500.05935483871002</v>
      </c>
      <c r="CD21">
        <v>99.215912903225799</v>
      </c>
      <c r="CE21">
        <v>0.20000777419354801</v>
      </c>
      <c r="CF21">
        <v>28.585248387096801</v>
      </c>
      <c r="CG21">
        <v>27.673209677419401</v>
      </c>
      <c r="CH21">
        <v>999.9</v>
      </c>
      <c r="CI21">
        <v>9995.1003225806508</v>
      </c>
      <c r="CJ21">
        <v>0</v>
      </c>
      <c r="CK21">
        <v>348.10058064516102</v>
      </c>
      <c r="CL21">
        <v>1999.9970967741899</v>
      </c>
      <c r="CM21">
        <v>0.979999774193549</v>
      </c>
      <c r="CN21">
        <v>2.0000525806451602E-2</v>
      </c>
      <c r="CO21">
        <v>0</v>
      </c>
      <c r="CP21">
        <v>255.45632258064501</v>
      </c>
      <c r="CQ21">
        <v>5.00054</v>
      </c>
      <c r="CR21">
        <v>7501.5674193548402</v>
      </c>
      <c r="CS21">
        <v>18703.606451612901</v>
      </c>
      <c r="CT21">
        <v>51.033967741935498</v>
      </c>
      <c r="CU21">
        <v>53.606645161290302</v>
      </c>
      <c r="CV21">
        <v>51.705322580645102</v>
      </c>
      <c r="CW21">
        <v>52.509838709677403</v>
      </c>
      <c r="CX21">
        <v>52.378999999999998</v>
      </c>
      <c r="CY21">
        <v>1955.0987096774199</v>
      </c>
      <c r="CZ21">
        <v>39.898387096774201</v>
      </c>
      <c r="DA21">
        <v>0</v>
      </c>
      <c r="DB21">
        <v>151.90000009536701</v>
      </c>
      <c r="DC21">
        <v>255.443076923077</v>
      </c>
      <c r="DD21">
        <v>-1.85449572200088</v>
      </c>
      <c r="DE21">
        <v>-5.7835897374048404</v>
      </c>
      <c r="DF21">
        <v>7501.4765384615403</v>
      </c>
      <c r="DG21">
        <v>15</v>
      </c>
      <c r="DH21">
        <v>1594057357.8</v>
      </c>
      <c r="DI21" t="s">
        <v>308</v>
      </c>
      <c r="DJ21">
        <v>62</v>
      </c>
      <c r="DK21">
        <v>-0.45900000000000002</v>
      </c>
      <c r="DL21">
        <v>0.106</v>
      </c>
      <c r="DM21">
        <v>50</v>
      </c>
      <c r="DN21">
        <v>17</v>
      </c>
      <c r="DO21">
        <v>0.74</v>
      </c>
      <c r="DP21">
        <v>0.02</v>
      </c>
      <c r="DQ21">
        <v>49.594429629629602</v>
      </c>
      <c r="DR21">
        <v>3.7089079473986097E-2</v>
      </c>
      <c r="DS21">
        <v>1.37534053645668E-2</v>
      </c>
      <c r="DT21">
        <v>1</v>
      </c>
      <c r="DU21">
        <v>21.536146296296302</v>
      </c>
      <c r="DV21">
        <v>0.59872887364208105</v>
      </c>
      <c r="DW21">
        <v>7.9106163343162894E-2</v>
      </c>
      <c r="DX21">
        <v>0</v>
      </c>
      <c r="DY21">
        <v>1</v>
      </c>
      <c r="DZ21">
        <v>2</v>
      </c>
      <c r="EA21" t="s">
        <v>283</v>
      </c>
      <c r="EB21">
        <v>1.8666199999999999</v>
      </c>
      <c r="EC21">
        <v>1.8631500000000001</v>
      </c>
      <c r="ED21">
        <v>1.8687400000000001</v>
      </c>
      <c r="EE21">
        <v>1.8667499999999999</v>
      </c>
      <c r="EF21">
        <v>1.87137</v>
      </c>
      <c r="EG21">
        <v>1.8638600000000001</v>
      </c>
      <c r="EH21">
        <v>1.86527</v>
      </c>
      <c r="EI21">
        <v>1.8652299999999999</v>
      </c>
      <c r="EJ21" t="s">
        <v>284</v>
      </c>
      <c r="EK21" t="s">
        <v>19</v>
      </c>
      <c r="EL21" t="s">
        <v>19</v>
      </c>
      <c r="EM21" t="s">
        <v>19</v>
      </c>
      <c r="EN21" t="s">
        <v>285</v>
      </c>
      <c r="EO21" t="s">
        <v>286</v>
      </c>
      <c r="EP21" t="s">
        <v>287</v>
      </c>
      <c r="EQ21" t="s">
        <v>287</v>
      </c>
      <c r="ER21" t="s">
        <v>287</v>
      </c>
      <c r="ES21" t="s">
        <v>287</v>
      </c>
      <c r="ET21">
        <v>0</v>
      </c>
      <c r="EU21">
        <v>100</v>
      </c>
      <c r="EV21">
        <v>100</v>
      </c>
      <c r="EW21">
        <v>-0.45900000000000002</v>
      </c>
      <c r="EX21">
        <v>0.106</v>
      </c>
      <c r="EY21">
        <v>2</v>
      </c>
      <c r="EZ21">
        <v>316.57</v>
      </c>
      <c r="FA21">
        <v>430.70100000000002</v>
      </c>
      <c r="FB21">
        <v>23.2517</v>
      </c>
      <c r="FC21">
        <v>39.599899999999998</v>
      </c>
      <c r="FD21">
        <v>30.0015</v>
      </c>
      <c r="FE21">
        <v>39.230499999999999</v>
      </c>
      <c r="FF21">
        <v>39.192500000000003</v>
      </c>
      <c r="FG21">
        <v>5.5637600000000003</v>
      </c>
      <c r="FH21">
        <v>53.806800000000003</v>
      </c>
      <c r="FI21">
        <v>0</v>
      </c>
      <c r="FJ21">
        <v>19.070900000000002</v>
      </c>
      <c r="FK21">
        <v>50</v>
      </c>
      <c r="FL21">
        <v>16.988</v>
      </c>
      <c r="FM21">
        <v>99.609499999999997</v>
      </c>
      <c r="FN21">
        <v>100.04600000000001</v>
      </c>
    </row>
    <row r="22" spans="1:170" x14ac:dyDescent="0.25">
      <c r="A22">
        <v>6</v>
      </c>
      <c r="B22">
        <v>1594057468.8</v>
      </c>
      <c r="C22">
        <v>666.5</v>
      </c>
      <c r="D22" t="s">
        <v>309</v>
      </c>
      <c r="E22" t="s">
        <v>310</v>
      </c>
      <c r="G22">
        <v>1594057460.8</v>
      </c>
      <c r="H22">
        <f t="shared" si="0"/>
        <v>1.1895464739267465E-2</v>
      </c>
      <c r="I22">
        <f t="shared" si="1"/>
        <v>35.839597953296035</v>
      </c>
      <c r="J22">
        <f t="shared" si="2"/>
        <v>383.85029032258097</v>
      </c>
      <c r="K22">
        <f t="shared" si="3"/>
        <v>297.34817967731544</v>
      </c>
      <c r="L22">
        <f t="shared" si="4"/>
        <v>29.560986715967534</v>
      </c>
      <c r="M22">
        <f t="shared" si="5"/>
        <v>38.160628208519533</v>
      </c>
      <c r="N22">
        <f t="shared" si="6"/>
        <v>0.822580121800501</v>
      </c>
      <c r="O22">
        <f t="shared" si="7"/>
        <v>3.3787727448209779</v>
      </c>
      <c r="P22">
        <f t="shared" si="8"/>
        <v>0.72542256316308595</v>
      </c>
      <c r="Q22">
        <f t="shared" si="9"/>
        <v>0.4611585063750433</v>
      </c>
      <c r="R22">
        <f t="shared" si="10"/>
        <v>321.44121513831129</v>
      </c>
      <c r="S22">
        <f t="shared" si="11"/>
        <v>27.859445247293596</v>
      </c>
      <c r="T22">
        <f t="shared" si="12"/>
        <v>27.883706451612898</v>
      </c>
      <c r="U22">
        <f t="shared" si="13"/>
        <v>3.7691884678916203</v>
      </c>
      <c r="V22">
        <f t="shared" si="14"/>
        <v>54.694491824482107</v>
      </c>
      <c r="W22">
        <f t="shared" si="15"/>
        <v>2.1878182409092561</v>
      </c>
      <c r="X22">
        <f t="shared" si="16"/>
        <v>4.0000705151994023</v>
      </c>
      <c r="Y22">
        <f t="shared" si="17"/>
        <v>1.5813702269823642</v>
      </c>
      <c r="Z22">
        <f t="shared" si="18"/>
        <v>-524.58999500169523</v>
      </c>
      <c r="AA22">
        <f t="shared" si="19"/>
        <v>186.31308766024441</v>
      </c>
      <c r="AB22">
        <f t="shared" si="20"/>
        <v>12.06717111262547</v>
      </c>
      <c r="AC22">
        <f t="shared" si="21"/>
        <v>-4.7685210905140423</v>
      </c>
      <c r="AD22">
        <v>-4.1119149520716602E-2</v>
      </c>
      <c r="AE22">
        <v>4.6159847572347201E-2</v>
      </c>
      <c r="AF22">
        <v>3.4509296477591498</v>
      </c>
      <c r="AG22">
        <v>171</v>
      </c>
      <c r="AH22">
        <v>34</v>
      </c>
      <c r="AI22">
        <f t="shared" si="22"/>
        <v>1</v>
      </c>
      <c r="AJ22">
        <f t="shared" si="23"/>
        <v>0</v>
      </c>
      <c r="AK22">
        <f t="shared" si="24"/>
        <v>52103.495839644653</v>
      </c>
      <c r="AL22">
        <v>0</v>
      </c>
      <c r="AM22">
        <v>0</v>
      </c>
      <c r="AN22">
        <v>0</v>
      </c>
      <c r="AO22">
        <f t="shared" si="25"/>
        <v>0</v>
      </c>
      <c r="AP22" t="e">
        <f t="shared" si="26"/>
        <v>#DIV/0!</v>
      </c>
      <c r="AQ22">
        <v>-1</v>
      </c>
      <c r="AR22" t="s">
        <v>311</v>
      </c>
      <c r="AS22">
        <v>253.69773076923099</v>
      </c>
      <c r="AT22">
        <v>360.40100000000001</v>
      </c>
      <c r="AU22">
        <f t="shared" si="27"/>
        <v>0.29606818302604332</v>
      </c>
      <c r="AV22">
        <v>0.5</v>
      </c>
      <c r="AW22">
        <f t="shared" si="28"/>
        <v>1681.2040738703483</v>
      </c>
      <c r="AX22">
        <f t="shared" si="29"/>
        <v>35.839597953296035</v>
      </c>
      <c r="AY22">
        <f t="shared" si="30"/>
        <v>248.87551772338796</v>
      </c>
      <c r="AZ22">
        <f t="shared" si="31"/>
        <v>0.50305354313667283</v>
      </c>
      <c r="BA22">
        <f t="shared" si="32"/>
        <v>2.1912627102125999E-2</v>
      </c>
      <c r="BB22">
        <f t="shared" si="33"/>
        <v>-1</v>
      </c>
      <c r="BC22" t="s">
        <v>312</v>
      </c>
      <c r="BD22">
        <v>179.1</v>
      </c>
      <c r="BE22">
        <f t="shared" si="34"/>
        <v>181.30100000000002</v>
      </c>
      <c r="BF22">
        <f t="shared" si="35"/>
        <v>0.58854208874065239</v>
      </c>
      <c r="BG22">
        <f t="shared" si="36"/>
        <v>2.0122892238972643</v>
      </c>
      <c r="BH22">
        <f t="shared" si="37"/>
        <v>0.29606818302604326</v>
      </c>
      <c r="BI22" t="e">
        <f t="shared" si="38"/>
        <v>#DIV/0!</v>
      </c>
      <c r="BJ22">
        <v>4661</v>
      </c>
      <c r="BK22">
        <v>300</v>
      </c>
      <c r="BL22">
        <v>300</v>
      </c>
      <c r="BM22">
        <v>300</v>
      </c>
      <c r="BN22">
        <v>9856.35</v>
      </c>
      <c r="BO22">
        <v>330.86200000000002</v>
      </c>
      <c r="BP22">
        <v>-6.5536800000000001E-3</v>
      </c>
      <c r="BQ22">
        <v>1.3629800000000001</v>
      </c>
      <c r="BR22">
        <f t="shared" si="39"/>
        <v>2000.0083870967701</v>
      </c>
      <c r="BS22">
        <f t="shared" si="40"/>
        <v>1681.2040738703483</v>
      </c>
      <c r="BT22">
        <f t="shared" si="41"/>
        <v>0.8405985118446424</v>
      </c>
      <c r="BU22">
        <f t="shared" si="42"/>
        <v>0.1911970236892849</v>
      </c>
      <c r="BV22">
        <v>0.5</v>
      </c>
      <c r="BW22" t="s">
        <v>281</v>
      </c>
      <c r="BX22">
        <v>1594057460.8</v>
      </c>
      <c r="BY22">
        <v>383.85029032258097</v>
      </c>
      <c r="BZ22">
        <v>400.01058064516099</v>
      </c>
      <c r="CA22">
        <v>22.006835483871001</v>
      </c>
      <c r="CB22">
        <v>17.3539322580645</v>
      </c>
      <c r="CC22">
        <v>500.06125806451598</v>
      </c>
      <c r="CD22">
        <v>99.215387096774194</v>
      </c>
      <c r="CE22">
        <v>0.200007838709677</v>
      </c>
      <c r="CF22">
        <v>28.906525806451601</v>
      </c>
      <c r="CG22">
        <v>27.883706451612898</v>
      </c>
      <c r="CH22">
        <v>999.9</v>
      </c>
      <c r="CI22">
        <v>9994.5009677419403</v>
      </c>
      <c r="CJ22">
        <v>0</v>
      </c>
      <c r="CK22">
        <v>338.22941935483902</v>
      </c>
      <c r="CL22">
        <v>2000.0083870967701</v>
      </c>
      <c r="CM22">
        <v>0.97999822580645202</v>
      </c>
      <c r="CN22">
        <v>2.0001770967741899E-2</v>
      </c>
      <c r="CO22">
        <v>0</v>
      </c>
      <c r="CP22">
        <v>253.708129032258</v>
      </c>
      <c r="CQ22">
        <v>5.00054</v>
      </c>
      <c r="CR22">
        <v>7498.2019354838703</v>
      </c>
      <c r="CS22">
        <v>18703.7096774194</v>
      </c>
      <c r="CT22">
        <v>51.6268064516129</v>
      </c>
      <c r="CU22">
        <v>54.384806451612903</v>
      </c>
      <c r="CV22">
        <v>52.3504838709677</v>
      </c>
      <c r="CW22">
        <v>53.231612903225802</v>
      </c>
      <c r="CX22">
        <v>52.995870967741901</v>
      </c>
      <c r="CY22">
        <v>1955.10741935484</v>
      </c>
      <c r="CZ22">
        <v>39.900967741935503</v>
      </c>
      <c r="DA22">
        <v>0</v>
      </c>
      <c r="DB22">
        <v>141.700000047684</v>
      </c>
      <c r="DC22">
        <v>253.69773076923099</v>
      </c>
      <c r="DD22">
        <v>0.32680341792050799</v>
      </c>
      <c r="DE22">
        <v>31.453333048117099</v>
      </c>
      <c r="DF22">
        <v>7498.7534615384602</v>
      </c>
      <c r="DG22">
        <v>15</v>
      </c>
      <c r="DH22">
        <v>1594057498.3</v>
      </c>
      <c r="DI22" t="s">
        <v>313</v>
      </c>
      <c r="DJ22">
        <v>63</v>
      </c>
      <c r="DK22">
        <v>-0.496</v>
      </c>
      <c r="DL22">
        <v>0.108</v>
      </c>
      <c r="DM22">
        <v>400</v>
      </c>
      <c r="DN22">
        <v>17</v>
      </c>
      <c r="DO22">
        <v>0.24</v>
      </c>
      <c r="DP22">
        <v>0.02</v>
      </c>
      <c r="DQ22">
        <v>383.85827777777803</v>
      </c>
      <c r="DR22">
        <v>0.28490337335617399</v>
      </c>
      <c r="DS22">
        <v>3.8520517220223802E-2</v>
      </c>
      <c r="DT22">
        <v>1</v>
      </c>
      <c r="DU22">
        <v>21.992761111111101</v>
      </c>
      <c r="DV22">
        <v>0.11024128073185099</v>
      </c>
      <c r="DW22">
        <v>1.4770270649575999E-2</v>
      </c>
      <c r="DX22">
        <v>1</v>
      </c>
      <c r="DY22">
        <v>2</v>
      </c>
      <c r="DZ22">
        <v>2</v>
      </c>
      <c r="EA22" t="s">
        <v>293</v>
      </c>
      <c r="EB22">
        <v>1.86663</v>
      </c>
      <c r="EC22">
        <v>1.8631500000000001</v>
      </c>
      <c r="ED22">
        <v>1.86876</v>
      </c>
      <c r="EE22">
        <v>1.8667499999999999</v>
      </c>
      <c r="EF22">
        <v>1.87138</v>
      </c>
      <c r="EG22">
        <v>1.8638600000000001</v>
      </c>
      <c r="EH22">
        <v>1.8652500000000001</v>
      </c>
      <c r="EI22">
        <v>1.8652299999999999</v>
      </c>
      <c r="EJ22" t="s">
        <v>284</v>
      </c>
      <c r="EK22" t="s">
        <v>19</v>
      </c>
      <c r="EL22" t="s">
        <v>19</v>
      </c>
      <c r="EM22" t="s">
        <v>19</v>
      </c>
      <c r="EN22" t="s">
        <v>285</v>
      </c>
      <c r="EO22" t="s">
        <v>286</v>
      </c>
      <c r="EP22" t="s">
        <v>287</v>
      </c>
      <c r="EQ22" t="s">
        <v>287</v>
      </c>
      <c r="ER22" t="s">
        <v>287</v>
      </c>
      <c r="ES22" t="s">
        <v>287</v>
      </c>
      <c r="ET22">
        <v>0</v>
      </c>
      <c r="EU22">
        <v>100</v>
      </c>
      <c r="EV22">
        <v>100</v>
      </c>
      <c r="EW22">
        <v>-0.496</v>
      </c>
      <c r="EX22">
        <v>0.108</v>
      </c>
      <c r="EY22">
        <v>2</v>
      </c>
      <c r="EZ22">
        <v>314.75</v>
      </c>
      <c r="FA22">
        <v>430.262</v>
      </c>
      <c r="FB22">
        <v>23.607900000000001</v>
      </c>
      <c r="FC22">
        <v>40.075200000000002</v>
      </c>
      <c r="FD22">
        <v>30.0014</v>
      </c>
      <c r="FE22">
        <v>39.706000000000003</v>
      </c>
      <c r="FF22">
        <v>39.666699999999999</v>
      </c>
      <c r="FG22">
        <v>22.188800000000001</v>
      </c>
      <c r="FH22">
        <v>53.088999999999999</v>
      </c>
      <c r="FI22">
        <v>0</v>
      </c>
      <c r="FJ22">
        <v>19.343900000000001</v>
      </c>
      <c r="FK22">
        <v>400</v>
      </c>
      <c r="FL22">
        <v>17.388200000000001</v>
      </c>
      <c r="FM22">
        <v>99.523700000000005</v>
      </c>
      <c r="FN22">
        <v>99.947900000000004</v>
      </c>
    </row>
    <row r="23" spans="1:170" x14ac:dyDescent="0.25">
      <c r="A23">
        <v>7</v>
      </c>
      <c r="B23">
        <v>1594057589.8</v>
      </c>
      <c r="C23">
        <v>787.5</v>
      </c>
      <c r="D23" t="s">
        <v>314</v>
      </c>
      <c r="E23" t="s">
        <v>315</v>
      </c>
      <c r="G23">
        <v>1594057581.80323</v>
      </c>
      <c r="H23">
        <f t="shared" si="0"/>
        <v>1.1508316242934186E-2</v>
      </c>
      <c r="I23">
        <f t="shared" si="1"/>
        <v>36.620116414187116</v>
      </c>
      <c r="J23">
        <f t="shared" si="2"/>
        <v>383.61554838709702</v>
      </c>
      <c r="K23">
        <f t="shared" si="3"/>
        <v>290.170275527277</v>
      </c>
      <c r="L23">
        <f t="shared" si="4"/>
        <v>28.846488406945188</v>
      </c>
      <c r="M23">
        <f t="shared" si="5"/>
        <v>38.136095949745467</v>
      </c>
      <c r="N23">
        <f t="shared" si="6"/>
        <v>0.76769586733471185</v>
      </c>
      <c r="O23">
        <f t="shared" si="7"/>
        <v>3.3814790650483326</v>
      </c>
      <c r="P23">
        <f t="shared" si="8"/>
        <v>0.68241358345219816</v>
      </c>
      <c r="Q23">
        <f t="shared" si="9"/>
        <v>0.43337865411067278</v>
      </c>
      <c r="R23">
        <f t="shared" si="10"/>
        <v>321.44054369780423</v>
      </c>
      <c r="S23">
        <f t="shared" si="11"/>
        <v>28.172141028223553</v>
      </c>
      <c r="T23">
        <f t="shared" si="12"/>
        <v>28.194416129032302</v>
      </c>
      <c r="U23">
        <f t="shared" si="13"/>
        <v>3.8380628419816096</v>
      </c>
      <c r="V23">
        <f t="shared" si="14"/>
        <v>54.601759635946543</v>
      </c>
      <c r="W23">
        <f t="shared" si="15"/>
        <v>2.2125799715968508</v>
      </c>
      <c r="X23">
        <f t="shared" si="16"/>
        <v>4.0522136765354722</v>
      </c>
      <c r="Y23">
        <f t="shared" si="17"/>
        <v>1.6254828703847588</v>
      </c>
      <c r="Z23">
        <f t="shared" si="18"/>
        <v>-507.51674631339762</v>
      </c>
      <c r="AA23">
        <f t="shared" si="19"/>
        <v>170.62730726103291</v>
      </c>
      <c r="AB23">
        <f t="shared" si="20"/>
        <v>11.071784188867436</v>
      </c>
      <c r="AC23">
        <f t="shared" si="21"/>
        <v>-4.3771111656930657</v>
      </c>
      <c r="AD23">
        <v>-4.1160991866031199E-2</v>
      </c>
      <c r="AE23">
        <v>4.6206819270553499E-2</v>
      </c>
      <c r="AF23">
        <v>3.4537093939713501</v>
      </c>
      <c r="AG23">
        <v>171</v>
      </c>
      <c r="AH23">
        <v>34</v>
      </c>
      <c r="AI23">
        <f t="shared" si="22"/>
        <v>1</v>
      </c>
      <c r="AJ23">
        <f t="shared" si="23"/>
        <v>0</v>
      </c>
      <c r="AK23">
        <f t="shared" si="24"/>
        <v>52115.639879946051</v>
      </c>
      <c r="AL23">
        <v>0</v>
      </c>
      <c r="AM23">
        <v>0</v>
      </c>
      <c r="AN23">
        <v>0</v>
      </c>
      <c r="AO23">
        <f t="shared" si="25"/>
        <v>0</v>
      </c>
      <c r="AP23" t="e">
        <f t="shared" si="26"/>
        <v>#DIV/0!</v>
      </c>
      <c r="AQ23">
        <v>-1</v>
      </c>
      <c r="AR23" t="s">
        <v>316</v>
      </c>
      <c r="AS23">
        <v>255.314576923077</v>
      </c>
      <c r="AT23">
        <v>376.27300000000002</v>
      </c>
      <c r="AU23">
        <f t="shared" si="27"/>
        <v>0.32146452994746644</v>
      </c>
      <c r="AV23">
        <v>0.5</v>
      </c>
      <c r="AW23">
        <f t="shared" si="28"/>
        <v>1681.2007936113241</v>
      </c>
      <c r="AX23">
        <f t="shared" si="29"/>
        <v>36.620116414187116</v>
      </c>
      <c r="AY23">
        <f t="shared" si="30"/>
        <v>270.22321143278594</v>
      </c>
      <c r="AZ23">
        <f t="shared" si="31"/>
        <v>0.52146446861720086</v>
      </c>
      <c r="BA23">
        <f t="shared" si="32"/>
        <v>2.2376932343326321E-2</v>
      </c>
      <c r="BB23">
        <f t="shared" si="33"/>
        <v>-1</v>
      </c>
      <c r="BC23" t="s">
        <v>317</v>
      </c>
      <c r="BD23">
        <v>180.06</v>
      </c>
      <c r="BE23">
        <f t="shared" si="34"/>
        <v>196.21300000000002</v>
      </c>
      <c r="BF23">
        <f t="shared" si="35"/>
        <v>0.61646487784664117</v>
      </c>
      <c r="BG23">
        <f t="shared" si="36"/>
        <v>2.0897089858935911</v>
      </c>
      <c r="BH23">
        <f t="shared" si="37"/>
        <v>0.32146452994746638</v>
      </c>
      <c r="BI23" t="e">
        <f t="shared" si="38"/>
        <v>#DIV/0!</v>
      </c>
      <c r="BJ23">
        <v>4663</v>
      </c>
      <c r="BK23">
        <v>300</v>
      </c>
      <c r="BL23">
        <v>300</v>
      </c>
      <c r="BM23">
        <v>300</v>
      </c>
      <c r="BN23">
        <v>9855.18</v>
      </c>
      <c r="BO23">
        <v>340.7</v>
      </c>
      <c r="BP23">
        <v>-6.5525899999999996E-3</v>
      </c>
      <c r="BQ23">
        <v>0.45980799999999999</v>
      </c>
      <c r="BR23">
        <f t="shared" si="39"/>
        <v>2000.00451612903</v>
      </c>
      <c r="BS23">
        <f t="shared" si="40"/>
        <v>1681.2007936113241</v>
      </c>
      <c r="BT23">
        <f t="shared" si="41"/>
        <v>0.84059849868002079</v>
      </c>
      <c r="BU23">
        <f t="shared" si="42"/>
        <v>0.19119699736004164</v>
      </c>
      <c r="BV23">
        <v>0.5</v>
      </c>
      <c r="BW23" t="s">
        <v>281</v>
      </c>
      <c r="BX23">
        <v>1594057581.80323</v>
      </c>
      <c r="BY23">
        <v>383.61554838709702</v>
      </c>
      <c r="BZ23">
        <v>400.02745161290301</v>
      </c>
      <c r="CA23">
        <v>22.2566064516129</v>
      </c>
      <c r="CB23">
        <v>17.756296774193501</v>
      </c>
      <c r="CC23">
        <v>500.06248387096798</v>
      </c>
      <c r="CD23">
        <v>99.212270967741901</v>
      </c>
      <c r="CE23">
        <v>0.20000809677419401</v>
      </c>
      <c r="CF23">
        <v>29.130374193548398</v>
      </c>
      <c r="CG23">
        <v>28.194416129032302</v>
      </c>
      <c r="CH23">
        <v>999.9</v>
      </c>
      <c r="CI23">
        <v>10004.985483871</v>
      </c>
      <c r="CJ23">
        <v>0</v>
      </c>
      <c r="CK23">
        <v>425.64861290322602</v>
      </c>
      <c r="CL23">
        <v>2000.00451612903</v>
      </c>
      <c r="CM23">
        <v>0.97999970967741901</v>
      </c>
      <c r="CN23">
        <v>2.00002129032258E-2</v>
      </c>
      <c r="CO23">
        <v>0</v>
      </c>
      <c r="CP23">
        <v>255.294322580645</v>
      </c>
      <c r="CQ23">
        <v>5.00054</v>
      </c>
      <c r="CR23">
        <v>7609.9845161290305</v>
      </c>
      <c r="CS23">
        <v>18703.654838709699</v>
      </c>
      <c r="CT23">
        <v>51.995741935483899</v>
      </c>
      <c r="CU23">
        <v>54.781999999999996</v>
      </c>
      <c r="CV23">
        <v>52.715451612903202</v>
      </c>
      <c r="CW23">
        <v>53.616741935483901</v>
      </c>
      <c r="CX23">
        <v>53.400903225806402</v>
      </c>
      <c r="CY23">
        <v>1955.10387096774</v>
      </c>
      <c r="CZ23">
        <v>39.9</v>
      </c>
      <c r="DA23">
        <v>0</v>
      </c>
      <c r="DB23">
        <v>120.200000047684</v>
      </c>
      <c r="DC23">
        <v>255.314576923077</v>
      </c>
      <c r="DD23">
        <v>1.3561367365125501</v>
      </c>
      <c r="DE23">
        <v>1158.1999940098499</v>
      </c>
      <c r="DF23">
        <v>7608.5296153846202</v>
      </c>
      <c r="DG23">
        <v>15</v>
      </c>
      <c r="DH23">
        <v>1594057618.3</v>
      </c>
      <c r="DI23" t="s">
        <v>318</v>
      </c>
      <c r="DJ23">
        <v>64</v>
      </c>
      <c r="DK23">
        <v>-0.39100000000000001</v>
      </c>
      <c r="DL23">
        <v>0.113</v>
      </c>
      <c r="DM23">
        <v>400</v>
      </c>
      <c r="DN23">
        <v>18</v>
      </c>
      <c r="DO23">
        <v>0.14000000000000001</v>
      </c>
      <c r="DP23">
        <v>0.02</v>
      </c>
      <c r="DQ23">
        <v>383.51777777777801</v>
      </c>
      <c r="DR23">
        <v>-0.156346884250812</v>
      </c>
      <c r="DS23">
        <v>3.3916928290918497E-2</v>
      </c>
      <c r="DT23">
        <v>1</v>
      </c>
      <c r="DU23">
        <v>22.251987037037001</v>
      </c>
      <c r="DV23">
        <v>-3.9798468815759299E-3</v>
      </c>
      <c r="DW23">
        <v>1.95808355818919E-3</v>
      </c>
      <c r="DX23">
        <v>1</v>
      </c>
      <c r="DY23">
        <v>2</v>
      </c>
      <c r="DZ23">
        <v>2</v>
      </c>
      <c r="EA23" t="s">
        <v>293</v>
      </c>
      <c r="EB23">
        <v>1.8666499999999999</v>
      </c>
      <c r="EC23">
        <v>1.8631599999999999</v>
      </c>
      <c r="ED23">
        <v>1.8687499999999999</v>
      </c>
      <c r="EE23">
        <v>1.86676</v>
      </c>
      <c r="EF23">
        <v>1.8714299999999999</v>
      </c>
      <c r="EG23">
        <v>1.8638600000000001</v>
      </c>
      <c r="EH23">
        <v>1.86531</v>
      </c>
      <c r="EI23">
        <v>1.8652299999999999</v>
      </c>
      <c r="EJ23" t="s">
        <v>284</v>
      </c>
      <c r="EK23" t="s">
        <v>19</v>
      </c>
      <c r="EL23" t="s">
        <v>19</v>
      </c>
      <c r="EM23" t="s">
        <v>19</v>
      </c>
      <c r="EN23" t="s">
        <v>285</v>
      </c>
      <c r="EO23" t="s">
        <v>286</v>
      </c>
      <c r="EP23" t="s">
        <v>287</v>
      </c>
      <c r="EQ23" t="s">
        <v>287</v>
      </c>
      <c r="ER23" t="s">
        <v>287</v>
      </c>
      <c r="ES23" t="s">
        <v>287</v>
      </c>
      <c r="ET23">
        <v>0</v>
      </c>
      <c r="EU23">
        <v>100</v>
      </c>
      <c r="EV23">
        <v>100</v>
      </c>
      <c r="EW23">
        <v>-0.39100000000000001</v>
      </c>
      <c r="EX23">
        <v>0.113</v>
      </c>
      <c r="EY23">
        <v>2</v>
      </c>
      <c r="EZ23">
        <v>314.41300000000001</v>
      </c>
      <c r="FA23">
        <v>429.72699999999998</v>
      </c>
      <c r="FB23">
        <v>23.770499999999998</v>
      </c>
      <c r="FC23">
        <v>40.421199999999999</v>
      </c>
      <c r="FD23">
        <v>30.001300000000001</v>
      </c>
      <c r="FE23">
        <v>40.069099999999999</v>
      </c>
      <c r="FF23">
        <v>40.029600000000002</v>
      </c>
      <c r="FG23">
        <v>22.187000000000001</v>
      </c>
      <c r="FH23">
        <v>52.194899999999997</v>
      </c>
      <c r="FI23">
        <v>0</v>
      </c>
      <c r="FJ23">
        <v>19.520600000000002</v>
      </c>
      <c r="FK23">
        <v>400</v>
      </c>
      <c r="FL23">
        <v>17.9177</v>
      </c>
      <c r="FM23">
        <v>99.461299999999994</v>
      </c>
      <c r="FN23">
        <v>99.875900000000001</v>
      </c>
    </row>
    <row r="24" spans="1:170" x14ac:dyDescent="0.25">
      <c r="A24">
        <v>8</v>
      </c>
      <c r="B24">
        <v>1594057733.3</v>
      </c>
      <c r="C24">
        <v>931</v>
      </c>
      <c r="D24" t="s">
        <v>319</v>
      </c>
      <c r="E24" t="s">
        <v>320</v>
      </c>
      <c r="G24">
        <v>1594057725.3</v>
      </c>
      <c r="H24">
        <f t="shared" si="0"/>
        <v>1.0643048154846938E-2</v>
      </c>
      <c r="I24">
        <f t="shared" si="1"/>
        <v>43.33014051947459</v>
      </c>
      <c r="J24">
        <f t="shared" si="2"/>
        <v>480.59419354838701</v>
      </c>
      <c r="K24">
        <f t="shared" si="3"/>
        <v>360.21647176983726</v>
      </c>
      <c r="L24">
        <f t="shared" si="4"/>
        <v>35.807338920239431</v>
      </c>
      <c r="M24">
        <f t="shared" si="5"/>
        <v>47.773493219049456</v>
      </c>
      <c r="N24">
        <f t="shared" si="6"/>
        <v>0.69729494516812962</v>
      </c>
      <c r="O24">
        <f t="shared" si="7"/>
        <v>3.3799926955403161</v>
      </c>
      <c r="P24">
        <f t="shared" si="8"/>
        <v>0.62613534530069159</v>
      </c>
      <c r="Q24">
        <f t="shared" si="9"/>
        <v>0.39712111189030919</v>
      </c>
      <c r="R24">
        <f t="shared" si="10"/>
        <v>321.43935424920278</v>
      </c>
      <c r="S24">
        <f t="shared" si="11"/>
        <v>28.062827451849621</v>
      </c>
      <c r="T24">
        <f t="shared" si="12"/>
        <v>28.188409677419401</v>
      </c>
      <c r="U24">
        <f t="shared" si="13"/>
        <v>3.8367210685208311</v>
      </c>
      <c r="V24">
        <f t="shared" si="14"/>
        <v>55.21724920316732</v>
      </c>
      <c r="W24">
        <f t="shared" si="15"/>
        <v>2.1983258412102518</v>
      </c>
      <c r="X24">
        <f t="shared" si="16"/>
        <v>3.9812302730288014</v>
      </c>
      <c r="Y24">
        <f t="shared" si="17"/>
        <v>1.6383952273105793</v>
      </c>
      <c r="Z24">
        <f t="shared" si="18"/>
        <v>-469.35842362874996</v>
      </c>
      <c r="AA24">
        <f t="shared" si="19"/>
        <v>116.0043944444821</v>
      </c>
      <c r="AB24">
        <f t="shared" si="20"/>
        <v>7.5190216664482667</v>
      </c>
      <c r="AC24">
        <f t="shared" si="21"/>
        <v>-24.395653268616798</v>
      </c>
      <c r="AD24">
        <v>-4.11380092885427E-2</v>
      </c>
      <c r="AE24">
        <v>4.61810193139384E-2</v>
      </c>
      <c r="AF24">
        <v>3.45218269406661</v>
      </c>
      <c r="AG24">
        <v>170</v>
      </c>
      <c r="AH24">
        <v>34</v>
      </c>
      <c r="AI24">
        <f t="shared" si="22"/>
        <v>1</v>
      </c>
      <c r="AJ24">
        <f t="shared" si="23"/>
        <v>0</v>
      </c>
      <c r="AK24">
        <f t="shared" si="24"/>
        <v>52140.273653677505</v>
      </c>
      <c r="AL24">
        <v>0</v>
      </c>
      <c r="AM24">
        <v>0</v>
      </c>
      <c r="AN24">
        <v>0</v>
      </c>
      <c r="AO24">
        <f t="shared" si="25"/>
        <v>0</v>
      </c>
      <c r="AP24" t="e">
        <f t="shared" si="26"/>
        <v>#DIV/0!</v>
      </c>
      <c r="AQ24">
        <v>-1</v>
      </c>
      <c r="AR24" t="s">
        <v>321</v>
      </c>
      <c r="AS24">
        <v>265.32869230769199</v>
      </c>
      <c r="AT24">
        <v>402.84399999999999</v>
      </c>
      <c r="AU24">
        <f t="shared" si="27"/>
        <v>0.3413611911616109</v>
      </c>
      <c r="AV24">
        <v>0.5</v>
      </c>
      <c r="AW24">
        <f t="shared" si="28"/>
        <v>1681.1918803218919</v>
      </c>
      <c r="AX24">
        <f t="shared" si="29"/>
        <v>43.33014051947459</v>
      </c>
      <c r="AY24">
        <f t="shared" si="30"/>
        <v>286.94683141895467</v>
      </c>
      <c r="AZ24">
        <f t="shared" si="31"/>
        <v>0.54205598196820604</v>
      </c>
      <c r="BA24">
        <f t="shared" si="32"/>
        <v>2.6368281359404885E-2</v>
      </c>
      <c r="BB24">
        <f t="shared" si="33"/>
        <v>-1</v>
      </c>
      <c r="BC24" t="s">
        <v>322</v>
      </c>
      <c r="BD24">
        <v>184.48</v>
      </c>
      <c r="BE24">
        <f t="shared" si="34"/>
        <v>218.364</v>
      </c>
      <c r="BF24">
        <f t="shared" si="35"/>
        <v>0.62975265012688908</v>
      </c>
      <c r="BG24">
        <f t="shared" si="36"/>
        <v>2.1836730268863835</v>
      </c>
      <c r="BH24">
        <f t="shared" si="37"/>
        <v>0.34136119116161096</v>
      </c>
      <c r="BI24" t="e">
        <f t="shared" si="38"/>
        <v>#DIV/0!</v>
      </c>
      <c r="BJ24">
        <v>4665</v>
      </c>
      <c r="BK24">
        <v>300</v>
      </c>
      <c r="BL24">
        <v>300</v>
      </c>
      <c r="BM24">
        <v>300</v>
      </c>
      <c r="BN24">
        <v>9856.66</v>
      </c>
      <c r="BO24">
        <v>363.87700000000001</v>
      </c>
      <c r="BP24">
        <v>-6.55385E-3</v>
      </c>
      <c r="BQ24">
        <v>1.13565</v>
      </c>
      <c r="BR24">
        <f t="shared" si="39"/>
        <v>1999.9935483871</v>
      </c>
      <c r="BS24">
        <f t="shared" si="40"/>
        <v>1681.1918803218919</v>
      </c>
      <c r="BT24">
        <f t="shared" si="41"/>
        <v>0.84059865176949866</v>
      </c>
      <c r="BU24">
        <f t="shared" si="42"/>
        <v>0.19119730353899753</v>
      </c>
      <c r="BV24">
        <v>0.5</v>
      </c>
      <c r="BW24" t="s">
        <v>281</v>
      </c>
      <c r="BX24">
        <v>1594057725.3</v>
      </c>
      <c r="BY24">
        <v>480.59419354838701</v>
      </c>
      <c r="BZ24">
        <v>499.97006451612901</v>
      </c>
      <c r="CA24">
        <v>22.1148290322581</v>
      </c>
      <c r="CB24">
        <v>17.952225806451601</v>
      </c>
      <c r="CC24">
        <v>500.05625806451599</v>
      </c>
      <c r="CD24">
        <v>99.205077419354794</v>
      </c>
      <c r="CE24">
        <v>0.199979612903226</v>
      </c>
      <c r="CF24">
        <v>28.825019354838702</v>
      </c>
      <c r="CG24">
        <v>28.188409677419401</v>
      </c>
      <c r="CH24">
        <v>999.9</v>
      </c>
      <c r="CI24">
        <v>10000.124193548399</v>
      </c>
      <c r="CJ24">
        <v>0</v>
      </c>
      <c r="CK24">
        <v>346.06887096774199</v>
      </c>
      <c r="CL24">
        <v>1999.9935483871</v>
      </c>
      <c r="CM24">
        <v>0.97999658064516104</v>
      </c>
      <c r="CN24">
        <v>2.0003196774193498E-2</v>
      </c>
      <c r="CO24">
        <v>0</v>
      </c>
      <c r="CP24">
        <v>265.340709677419</v>
      </c>
      <c r="CQ24">
        <v>5.00054</v>
      </c>
      <c r="CR24">
        <v>7461.7419354838703</v>
      </c>
      <c r="CS24">
        <v>18703.567741935502</v>
      </c>
      <c r="CT24">
        <v>51.6650322580645</v>
      </c>
      <c r="CU24">
        <v>53.880741935483897</v>
      </c>
      <c r="CV24">
        <v>52.269967741935503</v>
      </c>
      <c r="CW24">
        <v>52.755806451612898</v>
      </c>
      <c r="CX24">
        <v>53.094419354838699</v>
      </c>
      <c r="CY24">
        <v>1955.0835483871001</v>
      </c>
      <c r="CZ24">
        <v>39.909999999999997</v>
      </c>
      <c r="DA24">
        <v>0</v>
      </c>
      <c r="DB24">
        <v>143</v>
      </c>
      <c r="DC24">
        <v>265.32869230769199</v>
      </c>
      <c r="DD24">
        <v>-0.30912821617786301</v>
      </c>
      <c r="DE24">
        <v>-288.02666565589197</v>
      </c>
      <c r="DF24">
        <v>7457.4146153846104</v>
      </c>
      <c r="DG24">
        <v>15</v>
      </c>
      <c r="DH24">
        <v>1594057770.8</v>
      </c>
      <c r="DI24" t="s">
        <v>323</v>
      </c>
      <c r="DJ24">
        <v>65</v>
      </c>
      <c r="DK24">
        <v>-0.46</v>
      </c>
      <c r="DL24">
        <v>0.11600000000000001</v>
      </c>
      <c r="DM24">
        <v>500</v>
      </c>
      <c r="DN24">
        <v>18</v>
      </c>
      <c r="DO24">
        <v>0.09</v>
      </c>
      <c r="DP24">
        <v>0.02</v>
      </c>
      <c r="DQ24">
        <v>480.65372222222197</v>
      </c>
      <c r="DR24">
        <v>0.11447502235425699</v>
      </c>
      <c r="DS24">
        <v>1.9190484396132301E-2</v>
      </c>
      <c r="DT24">
        <v>1</v>
      </c>
      <c r="DU24">
        <v>22.131920370370398</v>
      </c>
      <c r="DV24">
        <v>-0.197115697798942</v>
      </c>
      <c r="DW24">
        <v>2.5950661017982501E-2</v>
      </c>
      <c r="DX24">
        <v>1</v>
      </c>
      <c r="DY24">
        <v>2</v>
      </c>
      <c r="DZ24">
        <v>2</v>
      </c>
      <c r="EA24" t="s">
        <v>293</v>
      </c>
      <c r="EB24">
        <v>1.8666400000000001</v>
      </c>
      <c r="EC24">
        <v>1.86313</v>
      </c>
      <c r="ED24">
        <v>1.8687400000000001</v>
      </c>
      <c r="EE24">
        <v>1.8667499999999999</v>
      </c>
      <c r="EF24">
        <v>1.8714</v>
      </c>
      <c r="EG24">
        <v>1.86385</v>
      </c>
      <c r="EH24">
        <v>1.8652599999999999</v>
      </c>
      <c r="EI24">
        <v>1.8652299999999999</v>
      </c>
      <c r="EJ24" t="s">
        <v>284</v>
      </c>
      <c r="EK24" t="s">
        <v>19</v>
      </c>
      <c r="EL24" t="s">
        <v>19</v>
      </c>
      <c r="EM24" t="s">
        <v>19</v>
      </c>
      <c r="EN24" t="s">
        <v>285</v>
      </c>
      <c r="EO24" t="s">
        <v>286</v>
      </c>
      <c r="EP24" t="s">
        <v>287</v>
      </c>
      <c r="EQ24" t="s">
        <v>287</v>
      </c>
      <c r="ER24" t="s">
        <v>287</v>
      </c>
      <c r="ES24" t="s">
        <v>287</v>
      </c>
      <c r="ET24">
        <v>0</v>
      </c>
      <c r="EU24">
        <v>100</v>
      </c>
      <c r="EV24">
        <v>100</v>
      </c>
      <c r="EW24">
        <v>-0.46</v>
      </c>
      <c r="EX24">
        <v>0.11600000000000001</v>
      </c>
      <c r="EY24">
        <v>2</v>
      </c>
      <c r="EZ24">
        <v>315.76</v>
      </c>
      <c r="FA24">
        <v>429.83199999999999</v>
      </c>
      <c r="FB24">
        <v>23.1706</v>
      </c>
      <c r="FC24">
        <v>40.468499999999999</v>
      </c>
      <c r="FD24">
        <v>29.9999</v>
      </c>
      <c r="FE24">
        <v>40.233400000000003</v>
      </c>
      <c r="FF24">
        <v>40.1907</v>
      </c>
      <c r="FG24">
        <v>26.535799999999998</v>
      </c>
      <c r="FH24">
        <v>52.320900000000002</v>
      </c>
      <c r="FI24">
        <v>0</v>
      </c>
      <c r="FJ24">
        <v>19.435700000000001</v>
      </c>
      <c r="FK24">
        <v>500</v>
      </c>
      <c r="FL24">
        <v>17.994700000000002</v>
      </c>
      <c r="FM24">
        <v>99.450900000000004</v>
      </c>
      <c r="FN24">
        <v>99.872299999999996</v>
      </c>
    </row>
    <row r="25" spans="1:170" x14ac:dyDescent="0.25">
      <c r="A25">
        <v>9</v>
      </c>
      <c r="B25">
        <v>1594057877.3</v>
      </c>
      <c r="C25">
        <v>1075</v>
      </c>
      <c r="D25" t="s">
        <v>324</v>
      </c>
      <c r="E25" t="s">
        <v>325</v>
      </c>
      <c r="G25">
        <v>1594057869.3</v>
      </c>
      <c r="H25">
        <f t="shared" si="0"/>
        <v>9.9743141429802801E-3</v>
      </c>
      <c r="I25">
        <f t="shared" si="1"/>
        <v>46.755433727022748</v>
      </c>
      <c r="J25">
        <f t="shared" si="2"/>
        <v>578.97525806451597</v>
      </c>
      <c r="K25">
        <f t="shared" si="3"/>
        <v>437.55679275742767</v>
      </c>
      <c r="L25">
        <f t="shared" si="4"/>
        <v>43.492418940500755</v>
      </c>
      <c r="M25">
        <f t="shared" si="5"/>
        <v>57.549179664744237</v>
      </c>
      <c r="N25">
        <f t="shared" si="6"/>
        <v>0.63869285890583172</v>
      </c>
      <c r="O25">
        <f t="shared" si="7"/>
        <v>3.3802954125213782</v>
      </c>
      <c r="P25">
        <f t="shared" si="8"/>
        <v>0.57844402494128944</v>
      </c>
      <c r="Q25">
        <f t="shared" si="9"/>
        <v>0.36646585451297614</v>
      </c>
      <c r="R25">
        <f t="shared" si="10"/>
        <v>321.44197532067</v>
      </c>
      <c r="S25">
        <f t="shared" si="11"/>
        <v>27.86976438827903</v>
      </c>
      <c r="T25">
        <f t="shared" si="12"/>
        <v>28.084545161290301</v>
      </c>
      <c r="U25">
        <f t="shared" si="13"/>
        <v>3.8135835392876207</v>
      </c>
      <c r="V25">
        <f t="shared" si="14"/>
        <v>55.121913244006002</v>
      </c>
      <c r="W25">
        <f t="shared" si="15"/>
        <v>2.1510480574274835</v>
      </c>
      <c r="X25">
        <f t="shared" si="16"/>
        <v>3.902346509464437</v>
      </c>
      <c r="Y25">
        <f t="shared" si="17"/>
        <v>1.6625354818601372</v>
      </c>
      <c r="Z25">
        <f t="shared" si="18"/>
        <v>-439.86725370543036</v>
      </c>
      <c r="AA25">
        <f t="shared" si="19"/>
        <v>72.077672788019598</v>
      </c>
      <c r="AB25">
        <f t="shared" si="20"/>
        <v>4.6609919844868424</v>
      </c>
      <c r="AC25">
        <f t="shared" si="21"/>
        <v>-41.686613612253936</v>
      </c>
      <c r="AD25">
        <v>-4.1142689598948901E-2</v>
      </c>
      <c r="AE25">
        <v>4.61862733723871E-2</v>
      </c>
      <c r="AF25">
        <v>3.4524936241724</v>
      </c>
      <c r="AG25">
        <v>169</v>
      </c>
      <c r="AH25">
        <v>34</v>
      </c>
      <c r="AI25">
        <f t="shared" si="22"/>
        <v>1</v>
      </c>
      <c r="AJ25">
        <f t="shared" si="23"/>
        <v>0</v>
      </c>
      <c r="AK25">
        <f t="shared" si="24"/>
        <v>52205.485573360646</v>
      </c>
      <c r="AL25">
        <v>0</v>
      </c>
      <c r="AM25">
        <v>0</v>
      </c>
      <c r="AN25">
        <v>0</v>
      </c>
      <c r="AO25">
        <f t="shared" si="25"/>
        <v>0</v>
      </c>
      <c r="AP25" t="e">
        <f t="shared" si="26"/>
        <v>#DIV/0!</v>
      </c>
      <c r="AQ25">
        <v>-1</v>
      </c>
      <c r="AR25" t="s">
        <v>326</v>
      </c>
      <c r="AS25">
        <v>268.938346153846</v>
      </c>
      <c r="AT25">
        <v>406.92200000000003</v>
      </c>
      <c r="AU25">
        <f t="shared" si="27"/>
        <v>0.33909116205600587</v>
      </c>
      <c r="AV25">
        <v>0.5</v>
      </c>
      <c r="AW25">
        <f t="shared" si="28"/>
        <v>1681.2108101263798</v>
      </c>
      <c r="AX25">
        <f t="shared" si="29"/>
        <v>46.755433727022748</v>
      </c>
      <c r="AY25">
        <f t="shared" si="30"/>
        <v>285.04186363343661</v>
      </c>
      <c r="AZ25">
        <f t="shared" si="31"/>
        <v>0.55475496532504998</v>
      </c>
      <c r="BA25">
        <f t="shared" si="32"/>
        <v>2.8405381073794596E-2</v>
      </c>
      <c r="BB25">
        <f t="shared" si="33"/>
        <v>-1</v>
      </c>
      <c r="BC25" t="s">
        <v>327</v>
      </c>
      <c r="BD25">
        <v>181.18</v>
      </c>
      <c r="BE25">
        <f t="shared" si="34"/>
        <v>225.74200000000002</v>
      </c>
      <c r="BF25">
        <f t="shared" si="35"/>
        <v>0.61124493380121558</v>
      </c>
      <c r="BG25">
        <f t="shared" si="36"/>
        <v>2.2459542995915664</v>
      </c>
      <c r="BH25">
        <f t="shared" si="37"/>
        <v>0.33909116205600587</v>
      </c>
      <c r="BI25" t="e">
        <f t="shared" si="38"/>
        <v>#DIV/0!</v>
      </c>
      <c r="BJ25">
        <v>4667</v>
      </c>
      <c r="BK25">
        <v>300</v>
      </c>
      <c r="BL25">
        <v>300</v>
      </c>
      <c r="BM25">
        <v>300</v>
      </c>
      <c r="BN25">
        <v>9860.2000000000007</v>
      </c>
      <c r="BO25">
        <v>369.96</v>
      </c>
      <c r="BP25">
        <v>-6.5565099999999998E-3</v>
      </c>
      <c r="BQ25">
        <v>1.67441</v>
      </c>
      <c r="BR25">
        <f t="shared" si="39"/>
        <v>2000.01677419355</v>
      </c>
      <c r="BS25">
        <f t="shared" si="40"/>
        <v>1681.2108101263798</v>
      </c>
      <c r="BT25">
        <f t="shared" si="41"/>
        <v>0.84059835488343859</v>
      </c>
      <c r="BU25">
        <f t="shared" si="42"/>
        <v>0.19119670976687725</v>
      </c>
      <c r="BV25">
        <v>0.5</v>
      </c>
      <c r="BW25" t="s">
        <v>281</v>
      </c>
      <c r="BX25">
        <v>1594057869.3</v>
      </c>
      <c r="BY25">
        <v>578.97525806451597</v>
      </c>
      <c r="BZ25">
        <v>599.98503225806405</v>
      </c>
      <c r="CA25">
        <v>21.640683870967699</v>
      </c>
      <c r="CB25">
        <v>17.737735483870999</v>
      </c>
      <c r="CC25">
        <v>500.05596774193498</v>
      </c>
      <c r="CD25">
        <v>99.198374193548403</v>
      </c>
      <c r="CE25">
        <v>0.199966</v>
      </c>
      <c r="CF25">
        <v>28.480058064516101</v>
      </c>
      <c r="CG25">
        <v>28.084545161290301</v>
      </c>
      <c r="CH25">
        <v>999.9</v>
      </c>
      <c r="CI25">
        <v>10001.937741935501</v>
      </c>
      <c r="CJ25">
        <v>0</v>
      </c>
      <c r="CK25">
        <v>394.42538709677399</v>
      </c>
      <c r="CL25">
        <v>2000.01677419355</v>
      </c>
      <c r="CM25">
        <v>0.98000364516129002</v>
      </c>
      <c r="CN25">
        <v>1.9996174193548402E-2</v>
      </c>
      <c r="CO25">
        <v>0</v>
      </c>
      <c r="CP25">
        <v>268.95516129032302</v>
      </c>
      <c r="CQ25">
        <v>5.00054</v>
      </c>
      <c r="CR25">
        <v>7493.1632258064501</v>
      </c>
      <c r="CS25">
        <v>18703.8129032258</v>
      </c>
      <c r="CT25">
        <v>50.977516129032203</v>
      </c>
      <c r="CU25">
        <v>52.7135161290323</v>
      </c>
      <c r="CV25">
        <v>51.526032258064497</v>
      </c>
      <c r="CW25">
        <v>51.596516129032302</v>
      </c>
      <c r="CX25">
        <v>52.497774193548402</v>
      </c>
      <c r="CY25">
        <v>1955.12483870968</v>
      </c>
      <c r="CZ25">
        <v>39.890645161290301</v>
      </c>
      <c r="DA25">
        <v>0</v>
      </c>
      <c r="DB25">
        <v>143</v>
      </c>
      <c r="DC25">
        <v>268.938346153846</v>
      </c>
      <c r="DD25">
        <v>-3.07121369186626</v>
      </c>
      <c r="DE25">
        <v>20.1767521114948</v>
      </c>
      <c r="DF25">
        <v>7493.6003846153799</v>
      </c>
      <c r="DG25">
        <v>15</v>
      </c>
      <c r="DH25">
        <v>1594057905.3</v>
      </c>
      <c r="DI25" t="s">
        <v>328</v>
      </c>
      <c r="DJ25">
        <v>66</v>
      </c>
      <c r="DK25">
        <v>-0.40699999999999997</v>
      </c>
      <c r="DL25">
        <v>0.112</v>
      </c>
      <c r="DM25">
        <v>600</v>
      </c>
      <c r="DN25">
        <v>18</v>
      </c>
      <c r="DO25">
        <v>0.15</v>
      </c>
      <c r="DP25">
        <v>0.03</v>
      </c>
      <c r="DQ25">
        <v>578.903111111111</v>
      </c>
      <c r="DR25">
        <v>0.191542595769084</v>
      </c>
      <c r="DS25">
        <v>3.1389233036455501E-2</v>
      </c>
      <c r="DT25">
        <v>1</v>
      </c>
      <c r="DU25">
        <v>21.665322222222201</v>
      </c>
      <c r="DV25">
        <v>-0.19741383647795999</v>
      </c>
      <c r="DW25">
        <v>2.6628769367447201E-2</v>
      </c>
      <c r="DX25">
        <v>1</v>
      </c>
      <c r="DY25">
        <v>2</v>
      </c>
      <c r="DZ25">
        <v>2</v>
      </c>
      <c r="EA25" t="s">
        <v>293</v>
      </c>
      <c r="EB25">
        <v>1.86663</v>
      </c>
      <c r="EC25">
        <v>1.86311</v>
      </c>
      <c r="ED25">
        <v>1.8687400000000001</v>
      </c>
      <c r="EE25">
        <v>1.8667499999999999</v>
      </c>
      <c r="EF25">
        <v>1.8714</v>
      </c>
      <c r="EG25">
        <v>1.86385</v>
      </c>
      <c r="EH25">
        <v>1.8652899999999999</v>
      </c>
      <c r="EI25">
        <v>1.8652299999999999</v>
      </c>
      <c r="EJ25" t="s">
        <v>284</v>
      </c>
      <c r="EK25" t="s">
        <v>19</v>
      </c>
      <c r="EL25" t="s">
        <v>19</v>
      </c>
      <c r="EM25" t="s">
        <v>19</v>
      </c>
      <c r="EN25" t="s">
        <v>285</v>
      </c>
      <c r="EO25" t="s">
        <v>286</v>
      </c>
      <c r="EP25" t="s">
        <v>287</v>
      </c>
      <c r="EQ25" t="s">
        <v>287</v>
      </c>
      <c r="ER25" t="s">
        <v>287</v>
      </c>
      <c r="ES25" t="s">
        <v>287</v>
      </c>
      <c r="ET25">
        <v>0</v>
      </c>
      <c r="EU25">
        <v>100</v>
      </c>
      <c r="EV25">
        <v>100</v>
      </c>
      <c r="EW25">
        <v>-0.40699999999999997</v>
      </c>
      <c r="EX25">
        <v>0.112</v>
      </c>
      <c r="EY25">
        <v>2</v>
      </c>
      <c r="EZ25">
        <v>316.44900000000001</v>
      </c>
      <c r="FA25">
        <v>430.33800000000002</v>
      </c>
      <c r="FB25">
        <v>22.688199999999998</v>
      </c>
      <c r="FC25">
        <v>40.288899999999998</v>
      </c>
      <c r="FD25">
        <v>29.999400000000001</v>
      </c>
      <c r="FE25">
        <v>40.177500000000002</v>
      </c>
      <c r="FF25">
        <v>40.149099999999997</v>
      </c>
      <c r="FG25">
        <v>30.7303</v>
      </c>
      <c r="FH25">
        <v>53.076099999999997</v>
      </c>
      <c r="FI25">
        <v>0</v>
      </c>
      <c r="FJ25">
        <v>19.091799999999999</v>
      </c>
      <c r="FK25">
        <v>600</v>
      </c>
      <c r="FL25">
        <v>17.787800000000001</v>
      </c>
      <c r="FM25">
        <v>99.485900000000001</v>
      </c>
      <c r="FN25">
        <v>99.914000000000001</v>
      </c>
    </row>
    <row r="26" spans="1:170" x14ac:dyDescent="0.25">
      <c r="A26">
        <v>10</v>
      </c>
      <c r="B26">
        <v>1594058017.3</v>
      </c>
      <c r="C26">
        <v>1215</v>
      </c>
      <c r="D26" t="s">
        <v>329</v>
      </c>
      <c r="E26" t="s">
        <v>330</v>
      </c>
      <c r="G26">
        <v>1594058009.3580599</v>
      </c>
      <c r="H26">
        <f t="shared" si="0"/>
        <v>9.3934733652285222E-3</v>
      </c>
      <c r="I26">
        <f t="shared" si="1"/>
        <v>48.438969598916756</v>
      </c>
      <c r="J26">
        <f t="shared" si="2"/>
        <v>678.11709677419401</v>
      </c>
      <c r="K26">
        <f t="shared" si="3"/>
        <v>520.89696434936172</v>
      </c>
      <c r="L26">
        <f t="shared" si="4"/>
        <v>51.776050090042723</v>
      </c>
      <c r="M26">
        <f t="shared" si="5"/>
        <v>67.403396779918353</v>
      </c>
      <c r="N26">
        <f t="shared" si="6"/>
        <v>0.59614761879039369</v>
      </c>
      <c r="O26">
        <f t="shared" si="7"/>
        <v>3.3795672428968313</v>
      </c>
      <c r="P26">
        <f t="shared" si="8"/>
        <v>0.54329271670542756</v>
      </c>
      <c r="Q26">
        <f t="shared" si="9"/>
        <v>0.34391538849909964</v>
      </c>
      <c r="R26">
        <f t="shared" si="10"/>
        <v>321.44276796199927</v>
      </c>
      <c r="S26">
        <f t="shared" si="11"/>
        <v>27.640665706144901</v>
      </c>
      <c r="T26">
        <f t="shared" si="12"/>
        <v>27.937803225806501</v>
      </c>
      <c r="U26">
        <f t="shared" si="13"/>
        <v>3.7811018724329117</v>
      </c>
      <c r="V26">
        <f t="shared" si="14"/>
        <v>55.308222689257335</v>
      </c>
      <c r="W26">
        <f t="shared" si="15"/>
        <v>2.1134815740439206</v>
      </c>
      <c r="X26">
        <f t="shared" si="16"/>
        <v>3.8212791358678531</v>
      </c>
      <c r="Y26">
        <f t="shared" si="17"/>
        <v>1.6676202983889912</v>
      </c>
      <c r="Z26">
        <f t="shared" si="18"/>
        <v>-414.25217540657781</v>
      </c>
      <c r="AA26">
        <f t="shared" si="19"/>
        <v>33.041536345509975</v>
      </c>
      <c r="AB26">
        <f t="shared" si="20"/>
        <v>2.1317345980091313</v>
      </c>
      <c r="AC26">
        <f t="shared" si="21"/>
        <v>-57.636136501059433</v>
      </c>
      <c r="AD26">
        <v>-4.1131431678186003E-2</v>
      </c>
      <c r="AE26">
        <v>4.6173635370082601E-2</v>
      </c>
      <c r="AF26">
        <v>3.4517456988694102</v>
      </c>
      <c r="AG26">
        <v>168</v>
      </c>
      <c r="AH26">
        <v>34</v>
      </c>
      <c r="AI26">
        <f t="shared" si="22"/>
        <v>1</v>
      </c>
      <c r="AJ26">
        <f t="shared" si="23"/>
        <v>0</v>
      </c>
      <c r="AK26">
        <f t="shared" si="24"/>
        <v>52254.328511748783</v>
      </c>
      <c r="AL26">
        <v>0</v>
      </c>
      <c r="AM26">
        <v>0</v>
      </c>
      <c r="AN26">
        <v>0</v>
      </c>
      <c r="AO26">
        <f t="shared" si="25"/>
        <v>0</v>
      </c>
      <c r="AP26" t="e">
        <f t="shared" si="26"/>
        <v>#DIV/0!</v>
      </c>
      <c r="AQ26">
        <v>-1</v>
      </c>
      <c r="AR26" t="s">
        <v>331</v>
      </c>
      <c r="AS26">
        <v>267.03219230769201</v>
      </c>
      <c r="AT26">
        <v>400.01100000000002</v>
      </c>
      <c r="AU26">
        <f t="shared" si="27"/>
        <v>0.3324378771891473</v>
      </c>
      <c r="AV26">
        <v>0.5</v>
      </c>
      <c r="AW26">
        <f t="shared" si="28"/>
        <v>1681.2122073431776</v>
      </c>
      <c r="AX26">
        <f t="shared" si="29"/>
        <v>48.438969598916756</v>
      </c>
      <c r="AY26">
        <f t="shared" si="30"/>
        <v>279.44930865682329</v>
      </c>
      <c r="AZ26">
        <f t="shared" si="31"/>
        <v>0.54271257540417639</v>
      </c>
      <c r="BA26">
        <f t="shared" si="32"/>
        <v>2.9406739603113661E-2</v>
      </c>
      <c r="BB26">
        <f t="shared" si="33"/>
        <v>-1</v>
      </c>
      <c r="BC26" t="s">
        <v>332</v>
      </c>
      <c r="BD26">
        <v>182.92</v>
      </c>
      <c r="BE26">
        <f t="shared" si="34"/>
        <v>217.09100000000004</v>
      </c>
      <c r="BF26">
        <f t="shared" si="35"/>
        <v>0.61254869014518332</v>
      </c>
      <c r="BG26">
        <f t="shared" si="36"/>
        <v>2.1868084408484587</v>
      </c>
      <c r="BH26">
        <f t="shared" si="37"/>
        <v>0.3324378771891473</v>
      </c>
      <c r="BI26" t="e">
        <f t="shared" si="38"/>
        <v>#DIV/0!</v>
      </c>
      <c r="BJ26">
        <v>4669</v>
      </c>
      <c r="BK26">
        <v>300</v>
      </c>
      <c r="BL26">
        <v>300</v>
      </c>
      <c r="BM26">
        <v>300</v>
      </c>
      <c r="BN26">
        <v>9863.5</v>
      </c>
      <c r="BO26">
        <v>363.62400000000002</v>
      </c>
      <c r="BP26">
        <v>-6.5592799999999998E-3</v>
      </c>
      <c r="BQ26">
        <v>1.73993</v>
      </c>
      <c r="BR26">
        <f t="shared" si="39"/>
        <v>2000.0180645161299</v>
      </c>
      <c r="BS26">
        <f t="shared" si="40"/>
        <v>1681.2122073431776</v>
      </c>
      <c r="BT26">
        <f t="shared" si="41"/>
        <v>0.84059851116890694</v>
      </c>
      <c r="BU26">
        <f t="shared" si="42"/>
        <v>0.1911970223378141</v>
      </c>
      <c r="BV26">
        <v>0.5</v>
      </c>
      <c r="BW26" t="s">
        <v>281</v>
      </c>
      <c r="BX26">
        <v>1594058009.3580599</v>
      </c>
      <c r="BY26">
        <v>678.11709677419401</v>
      </c>
      <c r="BZ26">
        <v>700.03819354838697</v>
      </c>
      <c r="CA26">
        <v>21.262845161290301</v>
      </c>
      <c r="CB26">
        <v>17.585758064516099</v>
      </c>
      <c r="CC26">
        <v>500.05567741935499</v>
      </c>
      <c r="CD26">
        <v>99.197887096774195</v>
      </c>
      <c r="CE26">
        <v>0.19998548387096801</v>
      </c>
      <c r="CF26">
        <v>28.119151612903199</v>
      </c>
      <c r="CG26">
        <v>27.937803225806501</v>
      </c>
      <c r="CH26">
        <v>999.9</v>
      </c>
      <c r="CI26">
        <v>9999.25</v>
      </c>
      <c r="CJ26">
        <v>0</v>
      </c>
      <c r="CK26">
        <v>356.12383870967801</v>
      </c>
      <c r="CL26">
        <v>2000.0180645161299</v>
      </c>
      <c r="CM26">
        <v>0.97999748387096797</v>
      </c>
      <c r="CN26">
        <v>2.00023806451613E-2</v>
      </c>
      <c r="CO26">
        <v>0</v>
      </c>
      <c r="CP26">
        <v>267.07990322580702</v>
      </c>
      <c r="CQ26">
        <v>5.00054</v>
      </c>
      <c r="CR26">
        <v>7429.3238709677398</v>
      </c>
      <c r="CS26">
        <v>18703.796774193499</v>
      </c>
      <c r="CT26">
        <v>50.090516129032302</v>
      </c>
      <c r="CU26">
        <v>51.479741935483901</v>
      </c>
      <c r="CV26">
        <v>50.576290322580597</v>
      </c>
      <c r="CW26">
        <v>50.360548387096799</v>
      </c>
      <c r="CX26">
        <v>51.53</v>
      </c>
      <c r="CY26">
        <v>1955.10967741936</v>
      </c>
      <c r="CZ26">
        <v>39.900967741935503</v>
      </c>
      <c r="DA26">
        <v>0</v>
      </c>
      <c r="DB26">
        <v>139.39999985694899</v>
      </c>
      <c r="DC26">
        <v>267.03219230769201</v>
      </c>
      <c r="DD26">
        <v>-3.45200000077145</v>
      </c>
      <c r="DE26">
        <v>-148.486837813232</v>
      </c>
      <c r="DF26">
        <v>7426.0953846153798</v>
      </c>
      <c r="DG26">
        <v>15</v>
      </c>
      <c r="DH26">
        <v>1594058042.8</v>
      </c>
      <c r="DI26" t="s">
        <v>333</v>
      </c>
      <c r="DJ26">
        <v>67</v>
      </c>
      <c r="DK26">
        <v>-0.4</v>
      </c>
      <c r="DL26">
        <v>0.111</v>
      </c>
      <c r="DM26">
        <v>700</v>
      </c>
      <c r="DN26">
        <v>18</v>
      </c>
      <c r="DO26">
        <v>0.17</v>
      </c>
      <c r="DP26">
        <v>0.02</v>
      </c>
      <c r="DQ26">
        <v>678.07446296296303</v>
      </c>
      <c r="DR26">
        <v>0.29252351128925802</v>
      </c>
      <c r="DS26">
        <v>4.60059227116952E-2</v>
      </c>
      <c r="DT26">
        <v>1</v>
      </c>
      <c r="DU26">
        <v>21.2838981481482</v>
      </c>
      <c r="DV26">
        <v>-0.18999053427590401</v>
      </c>
      <c r="DW26">
        <v>2.4976666820445401E-2</v>
      </c>
      <c r="DX26">
        <v>1</v>
      </c>
      <c r="DY26">
        <v>2</v>
      </c>
      <c r="DZ26">
        <v>2</v>
      </c>
      <c r="EA26" t="s">
        <v>293</v>
      </c>
      <c r="EB26">
        <v>1.86663</v>
      </c>
      <c r="EC26">
        <v>1.86311</v>
      </c>
      <c r="ED26">
        <v>1.8687400000000001</v>
      </c>
      <c r="EE26">
        <v>1.86673</v>
      </c>
      <c r="EF26">
        <v>1.87138</v>
      </c>
      <c r="EG26">
        <v>1.86385</v>
      </c>
      <c r="EH26">
        <v>1.86527</v>
      </c>
      <c r="EI26">
        <v>1.8652299999999999</v>
      </c>
      <c r="EJ26" t="s">
        <v>284</v>
      </c>
      <c r="EK26" t="s">
        <v>19</v>
      </c>
      <c r="EL26" t="s">
        <v>19</v>
      </c>
      <c r="EM26" t="s">
        <v>19</v>
      </c>
      <c r="EN26" t="s">
        <v>285</v>
      </c>
      <c r="EO26" t="s">
        <v>286</v>
      </c>
      <c r="EP26" t="s">
        <v>287</v>
      </c>
      <c r="EQ26" t="s">
        <v>287</v>
      </c>
      <c r="ER26" t="s">
        <v>287</v>
      </c>
      <c r="ES26" t="s">
        <v>287</v>
      </c>
      <c r="ET26">
        <v>0</v>
      </c>
      <c r="EU26">
        <v>100</v>
      </c>
      <c r="EV26">
        <v>100</v>
      </c>
      <c r="EW26">
        <v>-0.4</v>
      </c>
      <c r="EX26">
        <v>0.111</v>
      </c>
      <c r="EY26">
        <v>2</v>
      </c>
      <c r="EZ26">
        <v>317.55500000000001</v>
      </c>
      <c r="FA26">
        <v>431.92200000000003</v>
      </c>
      <c r="FB26">
        <v>22.326599999999999</v>
      </c>
      <c r="FC26">
        <v>39.995399999999997</v>
      </c>
      <c r="FD26">
        <v>29.999199999999998</v>
      </c>
      <c r="FE26">
        <v>39.982599999999998</v>
      </c>
      <c r="FF26">
        <v>39.966799999999999</v>
      </c>
      <c r="FG26">
        <v>34.7971</v>
      </c>
      <c r="FH26">
        <v>54.005299999999998</v>
      </c>
      <c r="FI26">
        <v>0</v>
      </c>
      <c r="FJ26">
        <v>18.8139</v>
      </c>
      <c r="FK26">
        <v>700</v>
      </c>
      <c r="FL26">
        <v>17.466100000000001</v>
      </c>
      <c r="FM26">
        <v>99.536900000000003</v>
      </c>
      <c r="FN26">
        <v>99.978300000000004</v>
      </c>
    </row>
    <row r="27" spans="1:170" x14ac:dyDescent="0.25">
      <c r="A27">
        <v>11</v>
      </c>
      <c r="B27">
        <v>1594058164.9000001</v>
      </c>
      <c r="C27">
        <v>1362.60000014305</v>
      </c>
      <c r="D27" t="s">
        <v>334</v>
      </c>
      <c r="E27" t="s">
        <v>335</v>
      </c>
      <c r="G27">
        <v>1594058156.84516</v>
      </c>
      <c r="H27">
        <f t="shared" si="0"/>
        <v>8.7012847965473299E-3</v>
      </c>
      <c r="I27">
        <f t="shared" si="1"/>
        <v>48.015708788050667</v>
      </c>
      <c r="J27">
        <f t="shared" si="2"/>
        <v>778.04729032258001</v>
      </c>
      <c r="K27">
        <f t="shared" si="3"/>
        <v>608.79061074227423</v>
      </c>
      <c r="L27">
        <f t="shared" si="4"/>
        <v>60.510363674561951</v>
      </c>
      <c r="M27">
        <f t="shared" si="5"/>
        <v>77.333525949134014</v>
      </c>
      <c r="N27">
        <f t="shared" si="6"/>
        <v>0.55027929016119048</v>
      </c>
      <c r="O27">
        <f t="shared" si="7"/>
        <v>3.3793939770065262</v>
      </c>
      <c r="P27">
        <f t="shared" si="8"/>
        <v>0.50491163053418209</v>
      </c>
      <c r="Q27">
        <f t="shared" si="9"/>
        <v>0.31933359849654802</v>
      </c>
      <c r="R27">
        <f t="shared" si="10"/>
        <v>321.44261583845548</v>
      </c>
      <c r="S27">
        <f t="shared" si="11"/>
        <v>27.322230630307043</v>
      </c>
      <c r="T27">
        <f t="shared" si="12"/>
        <v>27.6347387096774</v>
      </c>
      <c r="U27">
        <f t="shared" si="13"/>
        <v>3.7147810142912361</v>
      </c>
      <c r="V27">
        <f t="shared" si="14"/>
        <v>55.199271179109424</v>
      </c>
      <c r="W27">
        <f t="shared" si="15"/>
        <v>2.0515762571696885</v>
      </c>
      <c r="X27">
        <f t="shared" si="16"/>
        <v>3.7166727265524528</v>
      </c>
      <c r="Y27">
        <f t="shared" si="17"/>
        <v>1.6632047571215476</v>
      </c>
      <c r="Z27">
        <f t="shared" si="18"/>
        <v>-383.72665952773724</v>
      </c>
      <c r="AA27">
        <f t="shared" si="19"/>
        <v>1.586815154326378</v>
      </c>
      <c r="AB27">
        <f t="shared" si="20"/>
        <v>0.10198471382267271</v>
      </c>
      <c r="AC27">
        <f t="shared" si="21"/>
        <v>-60.595243821132705</v>
      </c>
      <c r="AD27">
        <v>-4.1128753047982698E-2</v>
      </c>
      <c r="AE27">
        <v>4.61706283730186E-2</v>
      </c>
      <c r="AF27">
        <v>3.4515677324524199</v>
      </c>
      <c r="AG27">
        <v>167</v>
      </c>
      <c r="AH27">
        <v>33</v>
      </c>
      <c r="AI27">
        <f t="shared" si="22"/>
        <v>1</v>
      </c>
      <c r="AJ27">
        <f t="shared" si="23"/>
        <v>0</v>
      </c>
      <c r="AK27">
        <f t="shared" si="24"/>
        <v>52333.664895525522</v>
      </c>
      <c r="AL27">
        <v>0</v>
      </c>
      <c r="AM27">
        <v>0</v>
      </c>
      <c r="AN27">
        <v>0</v>
      </c>
      <c r="AO27">
        <f t="shared" si="25"/>
        <v>0</v>
      </c>
      <c r="AP27" t="e">
        <f t="shared" si="26"/>
        <v>#DIV/0!</v>
      </c>
      <c r="AQ27">
        <v>-1</v>
      </c>
      <c r="AR27" t="s">
        <v>336</v>
      </c>
      <c r="AS27">
        <v>263.44873076923102</v>
      </c>
      <c r="AT27">
        <v>385.678</v>
      </c>
      <c r="AU27">
        <f t="shared" si="27"/>
        <v>0.31692051200941973</v>
      </c>
      <c r="AV27">
        <v>0.5</v>
      </c>
      <c r="AW27">
        <f t="shared" si="28"/>
        <v>1681.2089609670497</v>
      </c>
      <c r="AX27">
        <f t="shared" si="29"/>
        <v>48.015708788050667</v>
      </c>
      <c r="AY27">
        <f t="shared" si="30"/>
        <v>266.40480235225095</v>
      </c>
      <c r="AZ27">
        <f t="shared" si="31"/>
        <v>0.53370428181021468</v>
      </c>
      <c r="BA27">
        <f t="shared" si="32"/>
        <v>2.9155036599291202E-2</v>
      </c>
      <c r="BB27">
        <f t="shared" si="33"/>
        <v>-1</v>
      </c>
      <c r="BC27" t="s">
        <v>337</v>
      </c>
      <c r="BD27">
        <v>179.84</v>
      </c>
      <c r="BE27">
        <f t="shared" si="34"/>
        <v>205.83799999999999</v>
      </c>
      <c r="BF27">
        <f t="shared" si="35"/>
        <v>0.59381294625272774</v>
      </c>
      <c r="BG27">
        <f t="shared" si="36"/>
        <v>2.1445618327402136</v>
      </c>
      <c r="BH27">
        <f t="shared" si="37"/>
        <v>0.31692051200941973</v>
      </c>
      <c r="BI27" t="e">
        <f t="shared" si="38"/>
        <v>#DIV/0!</v>
      </c>
      <c r="BJ27">
        <v>4671</v>
      </c>
      <c r="BK27">
        <v>300</v>
      </c>
      <c r="BL27">
        <v>300</v>
      </c>
      <c r="BM27">
        <v>300</v>
      </c>
      <c r="BN27">
        <v>9865.76</v>
      </c>
      <c r="BO27">
        <v>353.87799999999999</v>
      </c>
      <c r="BP27">
        <v>-6.5610900000000003E-3</v>
      </c>
      <c r="BQ27">
        <v>2.1073599999999999</v>
      </c>
      <c r="BR27">
        <f t="shared" si="39"/>
        <v>2000.0138709677401</v>
      </c>
      <c r="BS27">
        <f t="shared" si="40"/>
        <v>1681.2089609670497</v>
      </c>
      <c r="BT27">
        <f t="shared" si="41"/>
        <v>0.84059865052514293</v>
      </c>
      <c r="BU27">
        <f t="shared" si="42"/>
        <v>0.19119730105028596</v>
      </c>
      <c r="BV27">
        <v>0.5</v>
      </c>
      <c r="BW27" t="s">
        <v>281</v>
      </c>
      <c r="BX27">
        <v>1594058156.84516</v>
      </c>
      <c r="BY27">
        <v>778.04729032258001</v>
      </c>
      <c r="BZ27">
        <v>799.95903225806501</v>
      </c>
      <c r="CA27">
        <v>20.640767741935498</v>
      </c>
      <c r="CB27">
        <v>17.232490322580599</v>
      </c>
      <c r="CC27">
        <v>500.05809677419398</v>
      </c>
      <c r="CD27">
        <v>99.194377419354893</v>
      </c>
      <c r="CE27">
        <v>0.19999990322580599</v>
      </c>
      <c r="CF27">
        <v>27.6434483870968</v>
      </c>
      <c r="CG27">
        <v>27.6347387096774</v>
      </c>
      <c r="CH27">
        <v>999.9</v>
      </c>
      <c r="CI27">
        <v>9998.9525806451602</v>
      </c>
      <c r="CJ27">
        <v>0</v>
      </c>
      <c r="CK27">
        <v>332.31432258064501</v>
      </c>
      <c r="CL27">
        <v>2000.0138709677401</v>
      </c>
      <c r="CM27">
        <v>0.97999470967741897</v>
      </c>
      <c r="CN27">
        <v>2.00055516129032E-2</v>
      </c>
      <c r="CO27">
        <v>0</v>
      </c>
      <c r="CP27">
        <v>263.48029032258103</v>
      </c>
      <c r="CQ27">
        <v>5.00054</v>
      </c>
      <c r="CR27">
        <v>7326.22806451613</v>
      </c>
      <c r="CS27">
        <v>18703.725806451599</v>
      </c>
      <c r="CT27">
        <v>49.521935483870998</v>
      </c>
      <c r="CU27">
        <v>50.743806451612897</v>
      </c>
      <c r="CV27">
        <v>49.884870967741897</v>
      </c>
      <c r="CW27">
        <v>49.788064516128998</v>
      </c>
      <c r="CX27">
        <v>50.876870967741901</v>
      </c>
      <c r="CY27">
        <v>1955.1035483871001</v>
      </c>
      <c r="CZ27">
        <v>39.9103225806452</v>
      </c>
      <c r="DA27">
        <v>0</v>
      </c>
      <c r="DB27">
        <v>147</v>
      </c>
      <c r="DC27">
        <v>263.44873076923102</v>
      </c>
      <c r="DD27">
        <v>-3.85521368129166</v>
      </c>
      <c r="DE27">
        <v>152.24546989866599</v>
      </c>
      <c r="DF27">
        <v>7329.55307692308</v>
      </c>
      <c r="DG27">
        <v>15</v>
      </c>
      <c r="DH27">
        <v>1594058195.9000001</v>
      </c>
      <c r="DI27" t="s">
        <v>338</v>
      </c>
      <c r="DJ27">
        <v>68</v>
      </c>
      <c r="DK27">
        <v>-0.41499999999999998</v>
      </c>
      <c r="DL27">
        <v>0.11</v>
      </c>
      <c r="DM27">
        <v>800</v>
      </c>
      <c r="DN27">
        <v>17</v>
      </c>
      <c r="DO27">
        <v>0.1</v>
      </c>
      <c r="DP27">
        <v>0.03</v>
      </c>
      <c r="DQ27">
        <v>778.02659259259201</v>
      </c>
      <c r="DR27">
        <v>0.374450922753857</v>
      </c>
      <c r="DS27">
        <v>6.1239214777882703E-2</v>
      </c>
      <c r="DT27">
        <v>0</v>
      </c>
      <c r="DU27">
        <v>20.693061111111099</v>
      </c>
      <c r="DV27">
        <v>-0.52143218633455501</v>
      </c>
      <c r="DW27">
        <v>6.8262335519796394E-2</v>
      </c>
      <c r="DX27">
        <v>0</v>
      </c>
      <c r="DY27">
        <v>0</v>
      </c>
      <c r="DZ27">
        <v>2</v>
      </c>
      <c r="EA27" t="s">
        <v>339</v>
      </c>
      <c r="EB27">
        <v>1.8666100000000001</v>
      </c>
      <c r="EC27">
        <v>1.86311</v>
      </c>
      <c r="ED27">
        <v>1.8687400000000001</v>
      </c>
      <c r="EE27">
        <v>1.8667100000000001</v>
      </c>
      <c r="EF27">
        <v>1.8713900000000001</v>
      </c>
      <c r="EG27">
        <v>1.86385</v>
      </c>
      <c r="EH27">
        <v>1.86527</v>
      </c>
      <c r="EI27">
        <v>1.8652299999999999</v>
      </c>
      <c r="EJ27" t="s">
        <v>284</v>
      </c>
      <c r="EK27" t="s">
        <v>19</v>
      </c>
      <c r="EL27" t="s">
        <v>19</v>
      </c>
      <c r="EM27" t="s">
        <v>19</v>
      </c>
      <c r="EN27" t="s">
        <v>285</v>
      </c>
      <c r="EO27" t="s">
        <v>286</v>
      </c>
      <c r="EP27" t="s">
        <v>287</v>
      </c>
      <c r="EQ27" t="s">
        <v>287</v>
      </c>
      <c r="ER27" t="s">
        <v>287</v>
      </c>
      <c r="ES27" t="s">
        <v>287</v>
      </c>
      <c r="ET27">
        <v>0</v>
      </c>
      <c r="EU27">
        <v>100</v>
      </c>
      <c r="EV27">
        <v>100</v>
      </c>
      <c r="EW27">
        <v>-0.41499999999999998</v>
      </c>
      <c r="EX27">
        <v>0.11</v>
      </c>
      <c r="EY27">
        <v>2</v>
      </c>
      <c r="EZ27">
        <v>318.90199999999999</v>
      </c>
      <c r="FA27">
        <v>432.58199999999999</v>
      </c>
      <c r="FB27">
        <v>21.990200000000002</v>
      </c>
      <c r="FC27">
        <v>39.695399999999999</v>
      </c>
      <c r="FD27">
        <v>29.999300000000002</v>
      </c>
      <c r="FE27">
        <v>39.735300000000002</v>
      </c>
      <c r="FF27">
        <v>39.730200000000004</v>
      </c>
      <c r="FG27">
        <v>38.777500000000003</v>
      </c>
      <c r="FH27">
        <v>54.451799999999999</v>
      </c>
      <c r="FI27">
        <v>0</v>
      </c>
      <c r="FJ27">
        <v>18.3675</v>
      </c>
      <c r="FK27">
        <v>800</v>
      </c>
      <c r="FL27">
        <v>17.2942</v>
      </c>
      <c r="FM27">
        <v>99.591999999999999</v>
      </c>
      <c r="FN27">
        <v>100.04900000000001</v>
      </c>
    </row>
    <row r="28" spans="1:170" x14ac:dyDescent="0.25">
      <c r="A28">
        <v>12</v>
      </c>
      <c r="B28">
        <v>1594058317.4000001</v>
      </c>
      <c r="C28">
        <v>1515.10000014305</v>
      </c>
      <c r="D28" t="s">
        <v>340</v>
      </c>
      <c r="E28" t="s">
        <v>341</v>
      </c>
      <c r="G28">
        <v>1594058309.3838699</v>
      </c>
      <c r="H28">
        <f t="shared" si="0"/>
        <v>8.0149907229149983E-3</v>
      </c>
      <c r="I28">
        <f t="shared" si="1"/>
        <v>48.564983606469838</v>
      </c>
      <c r="J28">
        <f t="shared" si="2"/>
        <v>977.45990322580599</v>
      </c>
      <c r="K28">
        <f t="shared" si="3"/>
        <v>784.00256590545337</v>
      </c>
      <c r="L28">
        <f t="shared" si="4"/>
        <v>77.919878972416612</v>
      </c>
      <c r="M28">
        <f t="shared" si="5"/>
        <v>97.147076644810085</v>
      </c>
      <c r="N28">
        <f t="shared" si="6"/>
        <v>0.49172161009159027</v>
      </c>
      <c r="O28">
        <f t="shared" si="7"/>
        <v>3.3789119075277889</v>
      </c>
      <c r="P28">
        <f t="shared" si="8"/>
        <v>0.45514734733111778</v>
      </c>
      <c r="Q28">
        <f t="shared" si="9"/>
        <v>0.28752611325764865</v>
      </c>
      <c r="R28">
        <f t="shared" si="10"/>
        <v>321.44151052228892</v>
      </c>
      <c r="S28">
        <f t="shared" si="11"/>
        <v>27.384595115725787</v>
      </c>
      <c r="T28">
        <f t="shared" si="12"/>
        <v>27.698916129032298</v>
      </c>
      <c r="U28">
        <f t="shared" si="13"/>
        <v>3.7287398668361083</v>
      </c>
      <c r="V28">
        <f t="shared" si="14"/>
        <v>54.898800114289848</v>
      </c>
      <c r="W28">
        <f t="shared" si="15"/>
        <v>2.0292618182172015</v>
      </c>
      <c r="X28">
        <f t="shared" si="16"/>
        <v>3.6963682521159438</v>
      </c>
      <c r="Y28">
        <f t="shared" si="17"/>
        <v>1.6994780486189067</v>
      </c>
      <c r="Z28">
        <f t="shared" si="18"/>
        <v>-353.46109088055141</v>
      </c>
      <c r="AA28">
        <f t="shared" si="19"/>
        <v>-27.170626938074498</v>
      </c>
      <c r="AB28">
        <f t="shared" si="20"/>
        <v>-1.7462500834780397</v>
      </c>
      <c r="AC28">
        <f t="shared" si="21"/>
        <v>-60.936457379815046</v>
      </c>
      <c r="AD28">
        <v>-4.1121300745647897E-2</v>
      </c>
      <c r="AE28">
        <v>4.6162262510790197E-2</v>
      </c>
      <c r="AF28">
        <v>3.4510725854888</v>
      </c>
      <c r="AG28">
        <v>166</v>
      </c>
      <c r="AH28">
        <v>33</v>
      </c>
      <c r="AI28">
        <f t="shared" si="22"/>
        <v>1</v>
      </c>
      <c r="AJ28">
        <f t="shared" si="23"/>
        <v>0</v>
      </c>
      <c r="AK28">
        <f t="shared" si="24"/>
        <v>52340.726738960577</v>
      </c>
      <c r="AL28">
        <v>0</v>
      </c>
      <c r="AM28">
        <v>0</v>
      </c>
      <c r="AN28">
        <v>0</v>
      </c>
      <c r="AO28">
        <f t="shared" si="25"/>
        <v>0</v>
      </c>
      <c r="AP28" t="e">
        <f t="shared" si="26"/>
        <v>#DIV/0!</v>
      </c>
      <c r="AQ28">
        <v>-1</v>
      </c>
      <c r="AR28" t="s">
        <v>342</v>
      </c>
      <c r="AS28">
        <v>259.41380769230801</v>
      </c>
      <c r="AT28">
        <v>373.46</v>
      </c>
      <c r="AU28">
        <f t="shared" si="27"/>
        <v>0.30537726211024463</v>
      </c>
      <c r="AV28">
        <v>0.5</v>
      </c>
      <c r="AW28">
        <f t="shared" si="28"/>
        <v>1681.2083706446285</v>
      </c>
      <c r="AX28">
        <f t="shared" si="29"/>
        <v>48.564983606469838</v>
      </c>
      <c r="AY28">
        <f t="shared" si="30"/>
        <v>256.70140463214102</v>
      </c>
      <c r="AZ28">
        <f t="shared" si="31"/>
        <v>0.53076634713222293</v>
      </c>
      <c r="BA28">
        <f t="shared" si="32"/>
        <v>2.9481761137951659E-2</v>
      </c>
      <c r="BB28">
        <f t="shared" si="33"/>
        <v>-1</v>
      </c>
      <c r="BC28" t="s">
        <v>343</v>
      </c>
      <c r="BD28">
        <v>175.24</v>
      </c>
      <c r="BE28">
        <f t="shared" si="34"/>
        <v>198.21999999999997</v>
      </c>
      <c r="BF28">
        <f t="shared" si="35"/>
        <v>0.57535159069565123</v>
      </c>
      <c r="BG28">
        <f t="shared" si="36"/>
        <v>2.131134444190824</v>
      </c>
      <c r="BH28">
        <f t="shared" si="37"/>
        <v>0.30537726211024468</v>
      </c>
      <c r="BI28" t="e">
        <f t="shared" si="38"/>
        <v>#DIV/0!</v>
      </c>
      <c r="BJ28">
        <v>4673</v>
      </c>
      <c r="BK28">
        <v>300</v>
      </c>
      <c r="BL28">
        <v>300</v>
      </c>
      <c r="BM28">
        <v>300</v>
      </c>
      <c r="BN28">
        <v>9868.19</v>
      </c>
      <c r="BO28">
        <v>343.99</v>
      </c>
      <c r="BP28">
        <v>-6.5629299999999998E-3</v>
      </c>
      <c r="BQ28">
        <v>1.5602400000000001</v>
      </c>
      <c r="BR28">
        <f t="shared" si="39"/>
        <v>2000.0138709677401</v>
      </c>
      <c r="BS28">
        <f t="shared" si="40"/>
        <v>1681.2083706446285</v>
      </c>
      <c r="BT28">
        <f t="shared" si="41"/>
        <v>0.84059835536597949</v>
      </c>
      <c r="BU28">
        <f t="shared" si="42"/>
        <v>0.19119671073195885</v>
      </c>
      <c r="BV28">
        <v>0.5</v>
      </c>
      <c r="BW28" t="s">
        <v>281</v>
      </c>
      <c r="BX28">
        <v>1594058309.3838699</v>
      </c>
      <c r="BY28">
        <v>977.45990322580599</v>
      </c>
      <c r="BZ28">
        <v>1000.01716129032</v>
      </c>
      <c r="CA28">
        <v>20.417722580645201</v>
      </c>
      <c r="CB28">
        <v>17.277529032258101</v>
      </c>
      <c r="CC28">
        <v>500.054709677419</v>
      </c>
      <c r="CD28">
        <v>99.187261290322596</v>
      </c>
      <c r="CE28">
        <v>0.20001416129032301</v>
      </c>
      <c r="CF28">
        <v>27.5497612903226</v>
      </c>
      <c r="CG28">
        <v>27.698916129032298</v>
      </c>
      <c r="CH28">
        <v>999.9</v>
      </c>
      <c r="CI28">
        <v>9997.8580645161292</v>
      </c>
      <c r="CJ28">
        <v>0</v>
      </c>
      <c r="CK28">
        <v>296.88403225806502</v>
      </c>
      <c r="CL28">
        <v>2000.0138709677401</v>
      </c>
      <c r="CM28">
        <v>0.98000329032258104</v>
      </c>
      <c r="CN28">
        <v>1.99963580645161E-2</v>
      </c>
      <c r="CO28">
        <v>0</v>
      </c>
      <c r="CP28">
        <v>259.44774193548398</v>
      </c>
      <c r="CQ28">
        <v>5.00054</v>
      </c>
      <c r="CR28">
        <v>7177.4725806451597</v>
      </c>
      <c r="CS28">
        <v>18703.7806451613</v>
      </c>
      <c r="CT28">
        <v>49.066354838709699</v>
      </c>
      <c r="CU28">
        <v>50.521967741935498</v>
      </c>
      <c r="CV28">
        <v>49.473451612903197</v>
      </c>
      <c r="CW28">
        <v>49.461387096774203</v>
      </c>
      <c r="CX28">
        <v>50.517838709677399</v>
      </c>
      <c r="CY28">
        <v>1955.1232258064499</v>
      </c>
      <c r="CZ28">
        <v>39.890645161290301</v>
      </c>
      <c r="DA28">
        <v>0</v>
      </c>
      <c r="DB28">
        <v>152</v>
      </c>
      <c r="DC28">
        <v>259.41380769230801</v>
      </c>
      <c r="DD28">
        <v>-2.7168205160397401</v>
      </c>
      <c r="DE28">
        <v>20.454700444048001</v>
      </c>
      <c r="DF28">
        <v>7178.6776923076904</v>
      </c>
      <c r="DG28">
        <v>15</v>
      </c>
      <c r="DH28">
        <v>1594058348.4000001</v>
      </c>
      <c r="DI28" t="s">
        <v>344</v>
      </c>
      <c r="DJ28">
        <v>69</v>
      </c>
      <c r="DK28">
        <v>-4.1000000000000002E-2</v>
      </c>
      <c r="DL28">
        <v>0.113</v>
      </c>
      <c r="DM28">
        <v>1000</v>
      </c>
      <c r="DN28">
        <v>17</v>
      </c>
      <c r="DO28">
        <v>0.27</v>
      </c>
      <c r="DP28">
        <v>0.03</v>
      </c>
      <c r="DQ28">
        <v>977.03200000000004</v>
      </c>
      <c r="DR28">
        <v>0.61489915709086496</v>
      </c>
      <c r="DS28">
        <v>8.3629030933135701E-2</v>
      </c>
      <c r="DT28">
        <v>0</v>
      </c>
      <c r="DU28">
        <v>20.420383333333302</v>
      </c>
      <c r="DV28">
        <v>-6.5026486679899007E-2</v>
      </c>
      <c r="DW28">
        <v>8.7503809440883807E-3</v>
      </c>
      <c r="DX28">
        <v>1</v>
      </c>
      <c r="DY28">
        <v>1</v>
      </c>
      <c r="DZ28">
        <v>2</v>
      </c>
      <c r="EA28" t="s">
        <v>283</v>
      </c>
      <c r="EB28">
        <v>1.86663</v>
      </c>
      <c r="EC28">
        <v>1.8631</v>
      </c>
      <c r="ED28">
        <v>1.8687400000000001</v>
      </c>
      <c r="EE28">
        <v>1.8667499999999999</v>
      </c>
      <c r="EF28">
        <v>1.8713599999999999</v>
      </c>
      <c r="EG28">
        <v>1.86385</v>
      </c>
      <c r="EH28">
        <v>1.8652299999999999</v>
      </c>
      <c r="EI28">
        <v>1.8652200000000001</v>
      </c>
      <c r="EJ28" t="s">
        <v>284</v>
      </c>
      <c r="EK28" t="s">
        <v>19</v>
      </c>
      <c r="EL28" t="s">
        <v>19</v>
      </c>
      <c r="EM28" t="s">
        <v>19</v>
      </c>
      <c r="EN28" t="s">
        <v>285</v>
      </c>
      <c r="EO28" t="s">
        <v>286</v>
      </c>
      <c r="EP28" t="s">
        <v>287</v>
      </c>
      <c r="EQ28" t="s">
        <v>287</v>
      </c>
      <c r="ER28" t="s">
        <v>287</v>
      </c>
      <c r="ES28" t="s">
        <v>287</v>
      </c>
      <c r="ET28">
        <v>0</v>
      </c>
      <c r="EU28">
        <v>100</v>
      </c>
      <c r="EV28">
        <v>100</v>
      </c>
      <c r="EW28">
        <v>-4.1000000000000002E-2</v>
      </c>
      <c r="EX28">
        <v>0.113</v>
      </c>
      <c r="EY28">
        <v>2</v>
      </c>
      <c r="EZ28">
        <v>319.29199999999997</v>
      </c>
      <c r="FA28">
        <v>433.82799999999997</v>
      </c>
      <c r="FB28">
        <v>21.910900000000002</v>
      </c>
      <c r="FC28">
        <v>39.489199999999997</v>
      </c>
      <c r="FD28">
        <v>29.999500000000001</v>
      </c>
      <c r="FE28">
        <v>39.529899999999998</v>
      </c>
      <c r="FF28">
        <v>39.526600000000002</v>
      </c>
      <c r="FG28">
        <v>46.462299999999999</v>
      </c>
      <c r="FH28">
        <v>53.743699999999997</v>
      </c>
      <c r="FI28">
        <v>0</v>
      </c>
      <c r="FJ28">
        <v>18.148800000000001</v>
      </c>
      <c r="FK28">
        <v>1000</v>
      </c>
      <c r="FL28">
        <v>17.3812</v>
      </c>
      <c r="FM28">
        <v>99.631</v>
      </c>
      <c r="FN28">
        <v>100.09399999999999</v>
      </c>
    </row>
    <row r="29" spans="1:170" x14ac:dyDescent="0.25">
      <c r="A29">
        <v>13</v>
      </c>
      <c r="B29">
        <v>1594058467.9000001</v>
      </c>
      <c r="C29">
        <v>1665.60000014305</v>
      </c>
      <c r="D29" t="s">
        <v>345</v>
      </c>
      <c r="E29" t="s">
        <v>346</v>
      </c>
      <c r="G29">
        <v>1594058459.9000001</v>
      </c>
      <c r="H29">
        <f t="shared" si="0"/>
        <v>7.3500987287425214E-3</v>
      </c>
      <c r="I29">
        <f t="shared" si="1"/>
        <v>48.722739834923814</v>
      </c>
      <c r="J29">
        <f t="shared" si="2"/>
        <v>1177.0008064516101</v>
      </c>
      <c r="K29">
        <f t="shared" si="3"/>
        <v>961.76733658193518</v>
      </c>
      <c r="L29">
        <f t="shared" si="4"/>
        <v>95.579840683021416</v>
      </c>
      <c r="M29">
        <f t="shared" si="5"/>
        <v>116.96960926562792</v>
      </c>
      <c r="N29">
        <f t="shared" si="6"/>
        <v>0.44695150702812914</v>
      </c>
      <c r="O29">
        <f t="shared" si="7"/>
        <v>3.3806430990091552</v>
      </c>
      <c r="P29">
        <f t="shared" si="8"/>
        <v>0.41652757431327386</v>
      </c>
      <c r="Q29">
        <f t="shared" si="9"/>
        <v>0.26289042486643877</v>
      </c>
      <c r="R29">
        <f t="shared" si="10"/>
        <v>321.43930736746165</v>
      </c>
      <c r="S29">
        <f t="shared" si="11"/>
        <v>27.336174189396225</v>
      </c>
      <c r="T29">
        <f t="shared" si="12"/>
        <v>27.642445161290301</v>
      </c>
      <c r="U29">
        <f t="shared" si="13"/>
        <v>3.7164547864969433</v>
      </c>
      <c r="V29">
        <f t="shared" si="14"/>
        <v>55.108607587055189</v>
      </c>
      <c r="W29">
        <f t="shared" si="15"/>
        <v>2.0133479980048898</v>
      </c>
      <c r="X29">
        <f t="shared" si="16"/>
        <v>3.6534183790152914</v>
      </c>
      <c r="Y29">
        <f t="shared" si="17"/>
        <v>1.7031067884920534</v>
      </c>
      <c r="Z29">
        <f t="shared" si="18"/>
        <v>-324.1393539375452</v>
      </c>
      <c r="AA29">
        <f t="shared" si="19"/>
        <v>-53.282607447597584</v>
      </c>
      <c r="AB29">
        <f t="shared" si="20"/>
        <v>-3.4183357496350064</v>
      </c>
      <c r="AC29">
        <f t="shared" si="21"/>
        <v>-59.400989767316119</v>
      </c>
      <c r="AD29">
        <v>-4.1148065415090099E-2</v>
      </c>
      <c r="AE29">
        <v>4.61923081969529E-2</v>
      </c>
      <c r="AF29">
        <v>3.4528507442756098</v>
      </c>
      <c r="AG29">
        <v>166</v>
      </c>
      <c r="AH29">
        <v>33</v>
      </c>
      <c r="AI29">
        <f t="shared" si="22"/>
        <v>1</v>
      </c>
      <c r="AJ29">
        <f t="shared" si="23"/>
        <v>0</v>
      </c>
      <c r="AK29">
        <f t="shared" si="24"/>
        <v>52408.045565632914</v>
      </c>
      <c r="AL29">
        <v>0</v>
      </c>
      <c r="AM29">
        <v>0</v>
      </c>
      <c r="AN29">
        <v>0</v>
      </c>
      <c r="AO29">
        <f t="shared" si="25"/>
        <v>0</v>
      </c>
      <c r="AP29" t="e">
        <f t="shared" si="26"/>
        <v>#DIV/0!</v>
      </c>
      <c r="AQ29">
        <v>-1</v>
      </c>
      <c r="AR29" t="s">
        <v>347</v>
      </c>
      <c r="AS29">
        <v>256.15138461538498</v>
      </c>
      <c r="AT29">
        <v>361.70699999999999</v>
      </c>
      <c r="AU29">
        <f t="shared" si="27"/>
        <v>0.29182629969731033</v>
      </c>
      <c r="AV29">
        <v>0.5</v>
      </c>
      <c r="AW29">
        <f t="shared" si="28"/>
        <v>1681.1942899993912</v>
      </c>
      <c r="AX29">
        <f t="shared" si="29"/>
        <v>48.722739834923814</v>
      </c>
      <c r="AY29">
        <f t="shared" si="30"/>
        <v>245.3083543613846</v>
      </c>
      <c r="AZ29">
        <f t="shared" si="31"/>
        <v>0.51375007948422347</v>
      </c>
      <c r="BA29">
        <f t="shared" si="32"/>
        <v>2.9575843869266188E-2</v>
      </c>
      <c r="BB29">
        <f t="shared" si="33"/>
        <v>-1</v>
      </c>
      <c r="BC29" t="s">
        <v>348</v>
      </c>
      <c r="BD29">
        <v>175.88</v>
      </c>
      <c r="BE29">
        <f t="shared" si="34"/>
        <v>185.827</v>
      </c>
      <c r="BF29">
        <f t="shared" si="35"/>
        <v>0.56803163902239728</v>
      </c>
      <c r="BG29">
        <f t="shared" si="36"/>
        <v>2.0565556060950647</v>
      </c>
      <c r="BH29">
        <f t="shared" si="37"/>
        <v>0.29182629969731028</v>
      </c>
      <c r="BI29" t="e">
        <f t="shared" si="38"/>
        <v>#DIV/0!</v>
      </c>
      <c r="BJ29">
        <v>4675</v>
      </c>
      <c r="BK29">
        <v>300</v>
      </c>
      <c r="BL29">
        <v>300</v>
      </c>
      <c r="BM29">
        <v>300</v>
      </c>
      <c r="BN29">
        <v>9870.1299999999992</v>
      </c>
      <c r="BO29">
        <v>334.512</v>
      </c>
      <c r="BP29">
        <v>-6.5645299999999998E-3</v>
      </c>
      <c r="BQ29">
        <v>1.51447</v>
      </c>
      <c r="BR29">
        <f t="shared" si="39"/>
        <v>1999.99677419355</v>
      </c>
      <c r="BS29">
        <f t="shared" si="40"/>
        <v>1681.1942899993912</v>
      </c>
      <c r="BT29">
        <f t="shared" si="41"/>
        <v>0.84059850080372855</v>
      </c>
      <c r="BU29">
        <f t="shared" si="42"/>
        <v>0.19119700160745731</v>
      </c>
      <c r="BV29">
        <v>0.5</v>
      </c>
      <c r="BW29" t="s">
        <v>281</v>
      </c>
      <c r="BX29">
        <v>1594058459.9000001</v>
      </c>
      <c r="BY29">
        <v>1177.0008064516101</v>
      </c>
      <c r="BZ29">
        <v>1199.9477419354801</v>
      </c>
      <c r="CA29">
        <v>20.259212903225801</v>
      </c>
      <c r="CB29">
        <v>17.3790612903226</v>
      </c>
      <c r="CC29">
        <v>500.05641935483902</v>
      </c>
      <c r="CD29">
        <v>99.179370967741903</v>
      </c>
      <c r="CE29">
        <v>0.20000806451612901</v>
      </c>
      <c r="CF29">
        <v>27.350096774193499</v>
      </c>
      <c r="CG29">
        <v>27.642445161290301</v>
      </c>
      <c r="CH29">
        <v>999.9</v>
      </c>
      <c r="CI29">
        <v>10005.1612903226</v>
      </c>
      <c r="CJ29">
        <v>0</v>
      </c>
      <c r="CK29">
        <v>314.39841935483901</v>
      </c>
      <c r="CL29">
        <v>1999.99677419355</v>
      </c>
      <c r="CM29">
        <v>0.98000032258064496</v>
      </c>
      <c r="CN29">
        <v>1.9999787096774201E-2</v>
      </c>
      <c r="CO29">
        <v>0</v>
      </c>
      <c r="CP29">
        <v>256.19480645161298</v>
      </c>
      <c r="CQ29">
        <v>5.00054</v>
      </c>
      <c r="CR29">
        <v>7089.6603225806402</v>
      </c>
      <c r="CS29">
        <v>18703.603225806499</v>
      </c>
      <c r="CT29">
        <v>48.525935483871002</v>
      </c>
      <c r="CU29">
        <v>49.999935483870999</v>
      </c>
      <c r="CV29">
        <v>48.957322580645098</v>
      </c>
      <c r="CW29">
        <v>49.003806451612903</v>
      </c>
      <c r="CX29">
        <v>50.001838709677401</v>
      </c>
      <c r="CY29">
        <v>1955.0967741935499</v>
      </c>
      <c r="CZ29">
        <v>39.9</v>
      </c>
      <c r="DA29">
        <v>0</v>
      </c>
      <c r="DB29">
        <v>149.90000009536701</v>
      </c>
      <c r="DC29">
        <v>256.15138461538498</v>
      </c>
      <c r="DD29">
        <v>-2.3868034222908601</v>
      </c>
      <c r="DE29">
        <v>-22.2362396289125</v>
      </c>
      <c r="DF29">
        <v>7089.4949999999999</v>
      </c>
      <c r="DG29">
        <v>15</v>
      </c>
      <c r="DH29">
        <v>1594058502.4000001</v>
      </c>
      <c r="DI29" t="s">
        <v>349</v>
      </c>
      <c r="DJ29">
        <v>70</v>
      </c>
      <c r="DK29">
        <v>-0.186</v>
      </c>
      <c r="DL29">
        <v>0.113</v>
      </c>
      <c r="DM29">
        <v>1200</v>
      </c>
      <c r="DN29">
        <v>17</v>
      </c>
      <c r="DO29">
        <v>0.15</v>
      </c>
      <c r="DP29">
        <v>0.04</v>
      </c>
      <c r="DQ29">
        <v>1177.13037037037</v>
      </c>
      <c r="DR29">
        <v>5.0771869640005497E-2</v>
      </c>
      <c r="DS29">
        <v>3.5222202749595803E-2</v>
      </c>
      <c r="DT29">
        <v>1</v>
      </c>
      <c r="DU29">
        <v>20.277427777777799</v>
      </c>
      <c r="DV29">
        <v>-0.15056786735278699</v>
      </c>
      <c r="DW29">
        <v>3.2856159108423197E-2</v>
      </c>
      <c r="DX29">
        <v>1</v>
      </c>
      <c r="DY29">
        <v>2</v>
      </c>
      <c r="DZ29">
        <v>2</v>
      </c>
      <c r="EA29" t="s">
        <v>293</v>
      </c>
      <c r="EB29">
        <v>1.8666100000000001</v>
      </c>
      <c r="EC29">
        <v>1.8631200000000001</v>
      </c>
      <c r="ED29">
        <v>1.8687400000000001</v>
      </c>
      <c r="EE29">
        <v>1.8667199999999999</v>
      </c>
      <c r="EF29">
        <v>1.87138</v>
      </c>
      <c r="EG29">
        <v>1.8638600000000001</v>
      </c>
      <c r="EH29">
        <v>1.8652500000000001</v>
      </c>
      <c r="EI29">
        <v>1.8652299999999999</v>
      </c>
      <c r="EJ29" t="s">
        <v>284</v>
      </c>
      <c r="EK29" t="s">
        <v>19</v>
      </c>
      <c r="EL29" t="s">
        <v>19</v>
      </c>
      <c r="EM29" t="s">
        <v>19</v>
      </c>
      <c r="EN29" t="s">
        <v>285</v>
      </c>
      <c r="EO29" t="s">
        <v>286</v>
      </c>
      <c r="EP29" t="s">
        <v>287</v>
      </c>
      <c r="EQ29" t="s">
        <v>287</v>
      </c>
      <c r="ER29" t="s">
        <v>287</v>
      </c>
      <c r="ES29" t="s">
        <v>287</v>
      </c>
      <c r="ET29">
        <v>0</v>
      </c>
      <c r="EU29">
        <v>100</v>
      </c>
      <c r="EV29">
        <v>100</v>
      </c>
      <c r="EW29">
        <v>-0.186</v>
      </c>
      <c r="EX29">
        <v>0.113</v>
      </c>
      <c r="EY29">
        <v>2</v>
      </c>
      <c r="EZ29">
        <v>319.77600000000001</v>
      </c>
      <c r="FA29">
        <v>435.33600000000001</v>
      </c>
      <c r="FB29">
        <v>21.720500000000001</v>
      </c>
      <c r="FC29">
        <v>39.222099999999998</v>
      </c>
      <c r="FD29">
        <v>29.999400000000001</v>
      </c>
      <c r="FE29">
        <v>39.276200000000003</v>
      </c>
      <c r="FF29">
        <v>39.275300000000001</v>
      </c>
      <c r="FG29">
        <v>53.820099999999996</v>
      </c>
      <c r="FH29">
        <v>53.432099999999998</v>
      </c>
      <c r="FI29">
        <v>0</v>
      </c>
      <c r="FJ29">
        <v>18.054400000000001</v>
      </c>
      <c r="FK29">
        <v>1200</v>
      </c>
      <c r="FL29">
        <v>17.326899999999998</v>
      </c>
      <c r="FM29">
        <v>99.682000000000002</v>
      </c>
      <c r="FN29">
        <v>100.157</v>
      </c>
    </row>
    <row r="30" spans="1:170" x14ac:dyDescent="0.25">
      <c r="A30">
        <v>14</v>
      </c>
      <c r="B30">
        <v>1594058623.9000001</v>
      </c>
      <c r="C30">
        <v>1821.60000014305</v>
      </c>
      <c r="D30" t="s">
        <v>350</v>
      </c>
      <c r="E30" t="s">
        <v>351</v>
      </c>
      <c r="G30">
        <v>1594058615.9000001</v>
      </c>
      <c r="H30">
        <f t="shared" si="0"/>
        <v>6.8835862572764559E-3</v>
      </c>
      <c r="I30">
        <f t="shared" si="1"/>
        <v>47.818721599565357</v>
      </c>
      <c r="J30">
        <f t="shared" si="2"/>
        <v>1576.5284516129</v>
      </c>
      <c r="K30">
        <f t="shared" si="3"/>
        <v>1343.0986118513254</v>
      </c>
      <c r="L30">
        <f t="shared" si="4"/>
        <v>133.47131368400653</v>
      </c>
      <c r="M30">
        <f t="shared" si="5"/>
        <v>156.66855854086694</v>
      </c>
      <c r="N30">
        <f t="shared" si="6"/>
        <v>0.42001315466228462</v>
      </c>
      <c r="O30">
        <f t="shared" si="7"/>
        <v>3.3754476451828861</v>
      </c>
      <c r="P30">
        <f t="shared" si="8"/>
        <v>0.39298868629822686</v>
      </c>
      <c r="Q30">
        <f t="shared" si="9"/>
        <v>0.24790092827844376</v>
      </c>
      <c r="R30">
        <f t="shared" si="10"/>
        <v>321.441058172711</v>
      </c>
      <c r="S30">
        <f t="shared" si="11"/>
        <v>27.152029705060826</v>
      </c>
      <c r="T30">
        <f t="shared" si="12"/>
        <v>27.458796774193502</v>
      </c>
      <c r="U30">
        <f t="shared" si="13"/>
        <v>3.6767465224834708</v>
      </c>
      <c r="V30">
        <f t="shared" si="14"/>
        <v>55.284623896907007</v>
      </c>
      <c r="W30">
        <f t="shared" si="15"/>
        <v>1.9856747902530005</v>
      </c>
      <c r="X30">
        <f t="shared" si="16"/>
        <v>3.5917306662985053</v>
      </c>
      <c r="Y30">
        <f t="shared" si="17"/>
        <v>1.6910717322304702</v>
      </c>
      <c r="Z30">
        <f t="shared" si="18"/>
        <v>-303.5661539458917</v>
      </c>
      <c r="AA30">
        <f t="shared" si="19"/>
        <v>-72.624725866676584</v>
      </c>
      <c r="AB30">
        <f t="shared" si="20"/>
        <v>-4.6553649216773971</v>
      </c>
      <c r="AC30">
        <f t="shared" si="21"/>
        <v>-59.405186561534691</v>
      </c>
      <c r="AD30">
        <v>-4.1067760779508203E-2</v>
      </c>
      <c r="AE30">
        <v>4.61021592084397E-2</v>
      </c>
      <c r="AF30">
        <v>3.4475143698840398</v>
      </c>
      <c r="AG30">
        <v>165</v>
      </c>
      <c r="AH30">
        <v>33</v>
      </c>
      <c r="AI30">
        <f t="shared" si="22"/>
        <v>1</v>
      </c>
      <c r="AJ30">
        <f t="shared" si="23"/>
        <v>0</v>
      </c>
      <c r="AK30">
        <f t="shared" si="24"/>
        <v>52360.475571634342</v>
      </c>
      <c r="AL30">
        <v>0</v>
      </c>
      <c r="AM30">
        <v>0</v>
      </c>
      <c r="AN30">
        <v>0</v>
      </c>
      <c r="AO30">
        <f t="shared" si="25"/>
        <v>0</v>
      </c>
      <c r="AP30" t="e">
        <f t="shared" si="26"/>
        <v>#DIV/0!</v>
      </c>
      <c r="AQ30">
        <v>-1</v>
      </c>
      <c r="AR30" t="s">
        <v>352</v>
      </c>
      <c r="AS30">
        <v>254.974115384615</v>
      </c>
      <c r="AT30">
        <v>353.87</v>
      </c>
      <c r="AU30">
        <f t="shared" si="27"/>
        <v>0.27946953574867894</v>
      </c>
      <c r="AV30">
        <v>0.5</v>
      </c>
      <c r="AW30">
        <f t="shared" si="28"/>
        <v>1681.2035030956781</v>
      </c>
      <c r="AX30">
        <f t="shared" si="29"/>
        <v>47.818721599565357</v>
      </c>
      <c r="AY30">
        <f t="shared" si="30"/>
        <v>234.92258125460094</v>
      </c>
      <c r="AZ30">
        <f t="shared" si="31"/>
        <v>0.50795489869160992</v>
      </c>
      <c r="BA30">
        <f t="shared" si="32"/>
        <v>2.9037960906977162E-2</v>
      </c>
      <c r="BB30">
        <f t="shared" si="33"/>
        <v>-1</v>
      </c>
      <c r="BC30" t="s">
        <v>353</v>
      </c>
      <c r="BD30">
        <v>174.12</v>
      </c>
      <c r="BE30">
        <f t="shared" si="34"/>
        <v>179.75</v>
      </c>
      <c r="BF30">
        <f t="shared" si="35"/>
        <v>0.55018572804108479</v>
      </c>
      <c r="BG30">
        <f t="shared" si="36"/>
        <v>2.0323340225132092</v>
      </c>
      <c r="BH30">
        <f t="shared" si="37"/>
        <v>0.27946953574867889</v>
      </c>
      <c r="BI30" t="e">
        <f t="shared" si="38"/>
        <v>#DIV/0!</v>
      </c>
      <c r="BJ30">
        <v>4677</v>
      </c>
      <c r="BK30">
        <v>300</v>
      </c>
      <c r="BL30">
        <v>300</v>
      </c>
      <c r="BM30">
        <v>300</v>
      </c>
      <c r="BN30">
        <v>9871.34</v>
      </c>
      <c r="BO30">
        <v>327.69900000000001</v>
      </c>
      <c r="BP30">
        <v>-6.5655399999999999E-3</v>
      </c>
      <c r="BQ30">
        <v>1.5351900000000001</v>
      </c>
      <c r="BR30">
        <f t="shared" si="39"/>
        <v>2000.00774193548</v>
      </c>
      <c r="BS30">
        <f t="shared" si="40"/>
        <v>1681.2035030956781</v>
      </c>
      <c r="BT30">
        <f t="shared" si="41"/>
        <v>0.84059849761817251</v>
      </c>
      <c r="BU30">
        <f t="shared" si="42"/>
        <v>0.19119699523634506</v>
      </c>
      <c r="BV30">
        <v>0.5</v>
      </c>
      <c r="BW30" t="s">
        <v>281</v>
      </c>
      <c r="BX30">
        <v>1594058615.9000001</v>
      </c>
      <c r="BY30">
        <v>1576.5284516129</v>
      </c>
      <c r="BZ30">
        <v>1599.9941935483901</v>
      </c>
      <c r="CA30">
        <v>19.9815</v>
      </c>
      <c r="CB30">
        <v>17.2833838709677</v>
      </c>
      <c r="CC30">
        <v>500.05570967741897</v>
      </c>
      <c r="CD30">
        <v>99.175667741935499</v>
      </c>
      <c r="CE30">
        <v>0.19999425806451601</v>
      </c>
      <c r="CF30">
        <v>27.059709677419399</v>
      </c>
      <c r="CG30">
        <v>27.458796774193502</v>
      </c>
      <c r="CH30">
        <v>999.9</v>
      </c>
      <c r="CI30">
        <v>9986.0080645161306</v>
      </c>
      <c r="CJ30">
        <v>0</v>
      </c>
      <c r="CK30">
        <v>353.12887096774199</v>
      </c>
      <c r="CL30">
        <v>2000.00774193548</v>
      </c>
      <c r="CM30">
        <v>0.97999800000000004</v>
      </c>
      <c r="CN30">
        <v>2.00018E-2</v>
      </c>
      <c r="CO30">
        <v>0</v>
      </c>
      <c r="CP30">
        <v>254.97432258064501</v>
      </c>
      <c r="CQ30">
        <v>5.00054</v>
      </c>
      <c r="CR30">
        <v>7031.4661290322601</v>
      </c>
      <c r="CS30">
        <v>18703.703225806399</v>
      </c>
      <c r="CT30">
        <v>48.173032258064502</v>
      </c>
      <c r="CU30">
        <v>49.633000000000003</v>
      </c>
      <c r="CV30">
        <v>48.612806451612897</v>
      </c>
      <c r="CW30">
        <v>48.707258064516097</v>
      </c>
      <c r="CX30">
        <v>49.646999999999998</v>
      </c>
      <c r="CY30">
        <v>1955.10741935484</v>
      </c>
      <c r="CZ30">
        <v>39.9</v>
      </c>
      <c r="DA30">
        <v>0</v>
      </c>
      <c r="DB30">
        <v>155.60000014305101</v>
      </c>
      <c r="DC30">
        <v>254.974115384615</v>
      </c>
      <c r="DD30">
        <v>-1.33070084574171</v>
      </c>
      <c r="DE30">
        <v>38.139829037956297</v>
      </c>
      <c r="DF30">
        <v>7031.92730769231</v>
      </c>
      <c r="DG30">
        <v>15</v>
      </c>
      <c r="DH30">
        <v>1594058650.9000001</v>
      </c>
      <c r="DI30" t="s">
        <v>354</v>
      </c>
      <c r="DJ30">
        <v>71</v>
      </c>
      <c r="DK30">
        <v>-0.32400000000000001</v>
      </c>
      <c r="DL30">
        <v>0.113</v>
      </c>
      <c r="DM30">
        <v>1600</v>
      </c>
      <c r="DN30">
        <v>17</v>
      </c>
      <c r="DO30">
        <v>0.09</v>
      </c>
      <c r="DP30">
        <v>0.03</v>
      </c>
      <c r="DQ30">
        <v>1576.5853703703699</v>
      </c>
      <c r="DR30">
        <v>0.58012578616325705</v>
      </c>
      <c r="DS30">
        <v>0.117295337328976</v>
      </c>
      <c r="DT30">
        <v>0</v>
      </c>
      <c r="DU30">
        <v>19.991175925925901</v>
      </c>
      <c r="DV30">
        <v>-9.9291023441968607E-2</v>
      </c>
      <c r="DW30">
        <v>1.31181657365202E-2</v>
      </c>
      <c r="DX30">
        <v>1</v>
      </c>
      <c r="DY30">
        <v>1</v>
      </c>
      <c r="DZ30">
        <v>2</v>
      </c>
      <c r="EA30" t="s">
        <v>283</v>
      </c>
      <c r="EB30">
        <v>1.8666100000000001</v>
      </c>
      <c r="EC30">
        <v>1.8631</v>
      </c>
      <c r="ED30">
        <v>1.8687400000000001</v>
      </c>
      <c r="EE30">
        <v>1.8667400000000001</v>
      </c>
      <c r="EF30">
        <v>1.8713500000000001</v>
      </c>
      <c r="EG30">
        <v>1.86385</v>
      </c>
      <c r="EH30">
        <v>1.86527</v>
      </c>
      <c r="EI30">
        <v>1.8652299999999999</v>
      </c>
      <c r="EJ30" t="s">
        <v>284</v>
      </c>
      <c r="EK30" t="s">
        <v>19</v>
      </c>
      <c r="EL30" t="s">
        <v>19</v>
      </c>
      <c r="EM30" t="s">
        <v>19</v>
      </c>
      <c r="EN30" t="s">
        <v>285</v>
      </c>
      <c r="EO30" t="s">
        <v>286</v>
      </c>
      <c r="EP30" t="s">
        <v>287</v>
      </c>
      <c r="EQ30" t="s">
        <v>287</v>
      </c>
      <c r="ER30" t="s">
        <v>287</v>
      </c>
      <c r="ES30" t="s">
        <v>287</v>
      </c>
      <c r="ET30">
        <v>0</v>
      </c>
      <c r="EU30">
        <v>100</v>
      </c>
      <c r="EV30">
        <v>100</v>
      </c>
      <c r="EW30">
        <v>-0.32400000000000001</v>
      </c>
      <c r="EX30">
        <v>0.113</v>
      </c>
      <c r="EY30">
        <v>2</v>
      </c>
      <c r="EZ30">
        <v>320.89499999999998</v>
      </c>
      <c r="FA30">
        <v>436.76</v>
      </c>
      <c r="FB30">
        <v>21.474599999999999</v>
      </c>
      <c r="FC30">
        <v>38.985500000000002</v>
      </c>
      <c r="FD30">
        <v>29.999400000000001</v>
      </c>
      <c r="FE30">
        <v>39.038200000000003</v>
      </c>
      <c r="FF30">
        <v>39.037300000000002</v>
      </c>
      <c r="FG30">
        <v>67.698599999999999</v>
      </c>
      <c r="FH30">
        <v>53.402700000000003</v>
      </c>
      <c r="FI30">
        <v>0</v>
      </c>
      <c r="FJ30">
        <v>17.809999999999999</v>
      </c>
      <c r="FK30">
        <v>1600</v>
      </c>
      <c r="FL30">
        <v>17.207999999999998</v>
      </c>
      <c r="FM30">
        <v>99.724999999999994</v>
      </c>
      <c r="FN30">
        <v>100.208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19</v>
      </c>
    </row>
    <row r="12" spans="1:2" x14ac:dyDescent="0.25">
      <c r="A12" t="s">
        <v>21</v>
      </c>
      <c r="B12" t="s">
        <v>17</v>
      </c>
    </row>
    <row r="13" spans="1:2" x14ac:dyDescent="0.25">
      <c r="A13" t="s">
        <v>22</v>
      </c>
      <c r="B13" t="s">
        <v>11</v>
      </c>
    </row>
    <row r="14" spans="1:2" x14ac:dyDescent="0.25">
      <c r="A14" t="s">
        <v>23</v>
      </c>
      <c r="B1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DELL</cp:lastModifiedBy>
  <dcterms:created xsi:type="dcterms:W3CDTF">2020-07-06T13:05:32Z</dcterms:created>
  <dcterms:modified xsi:type="dcterms:W3CDTF">2024-11-20T09:00:26Z</dcterms:modified>
</cp:coreProperties>
</file>