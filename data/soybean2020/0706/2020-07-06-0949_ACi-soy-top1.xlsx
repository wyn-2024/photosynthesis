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06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BB31" i="1"/>
  <c r="AZ31" i="1"/>
  <c r="AU31" i="1"/>
  <c r="AO31" i="1"/>
  <c r="AP31" i="1" s="1"/>
  <c r="AK31" i="1"/>
  <c r="AI31" i="1"/>
  <c r="AJ31" i="1" s="1"/>
  <c r="X31" i="1"/>
  <c r="W31" i="1"/>
  <c r="V31" i="1" s="1"/>
  <c r="O31" i="1"/>
  <c r="I31" i="1"/>
  <c r="AX31" i="1" s="1"/>
  <c r="H31" i="1"/>
  <c r="BU30" i="1"/>
  <c r="BT30" i="1"/>
  <c r="BS30" i="1"/>
  <c r="BR30" i="1"/>
  <c r="BI30" i="1"/>
  <c r="BH30" i="1"/>
  <c r="BG30" i="1"/>
  <c r="BF30" i="1"/>
  <c r="BE30" i="1"/>
  <c r="BB30" i="1"/>
  <c r="AZ30" i="1"/>
  <c r="AU30" i="1"/>
  <c r="AP30" i="1"/>
  <c r="AO30" i="1"/>
  <c r="AK30" i="1"/>
  <c r="AI30" i="1"/>
  <c r="M30" i="1" s="1"/>
  <c r="X30" i="1"/>
  <c r="W30" i="1"/>
  <c r="V30" i="1"/>
  <c r="O30" i="1"/>
  <c r="BU29" i="1"/>
  <c r="BT29" i="1"/>
  <c r="BS29" i="1"/>
  <c r="AW29" i="1" s="1"/>
  <c r="BR29" i="1"/>
  <c r="BI29" i="1"/>
  <c r="BH29" i="1"/>
  <c r="BG29" i="1"/>
  <c r="BF29" i="1"/>
  <c r="BE29" i="1"/>
  <c r="AZ29" i="1" s="1"/>
  <c r="BB29" i="1"/>
  <c r="AU29" i="1"/>
  <c r="AY29" i="1" s="1"/>
  <c r="AO29" i="1"/>
  <c r="AP29" i="1" s="1"/>
  <c r="AK29" i="1"/>
  <c r="AJ29" i="1"/>
  <c r="AI29" i="1"/>
  <c r="H29" i="1" s="1"/>
  <c r="X29" i="1"/>
  <c r="W29" i="1"/>
  <c r="V29" i="1"/>
  <c r="R29" i="1"/>
  <c r="O29" i="1"/>
  <c r="BU28" i="1"/>
  <c r="BT28" i="1"/>
  <c r="BS28" i="1"/>
  <c r="BR28" i="1"/>
  <c r="BI28" i="1"/>
  <c r="BH28" i="1"/>
  <c r="BG28" i="1"/>
  <c r="BF28" i="1"/>
  <c r="BE28" i="1"/>
  <c r="BB28" i="1"/>
  <c r="AZ28" i="1"/>
  <c r="AW28" i="1"/>
  <c r="AY28" i="1" s="1"/>
  <c r="AU28" i="1"/>
  <c r="AP28" i="1"/>
  <c r="AO28" i="1"/>
  <c r="AK28" i="1"/>
  <c r="AI28" i="1"/>
  <c r="J28" i="1" s="1"/>
  <c r="X28" i="1"/>
  <c r="W28" i="1"/>
  <c r="V28" i="1"/>
  <c r="R28" i="1"/>
  <c r="O28" i="1"/>
  <c r="M28" i="1"/>
  <c r="BU27" i="1"/>
  <c r="BT27" i="1"/>
  <c r="BR27" i="1"/>
  <c r="BS27" i="1" s="1"/>
  <c r="R27" i="1" s="1"/>
  <c r="BI27" i="1"/>
  <c r="BH27" i="1"/>
  <c r="BG27" i="1"/>
  <c r="BF27" i="1"/>
  <c r="BE27" i="1"/>
  <c r="BB27" i="1"/>
  <c r="AZ27" i="1"/>
  <c r="AW27" i="1"/>
  <c r="AU27" i="1"/>
  <c r="AY27" i="1" s="1"/>
  <c r="AO27" i="1"/>
  <c r="AP27" i="1" s="1"/>
  <c r="AK27" i="1"/>
  <c r="AI27" i="1" s="1"/>
  <c r="I27" i="1" s="1"/>
  <c r="AX27" i="1" s="1"/>
  <c r="BA27" i="1" s="1"/>
  <c r="AJ27" i="1"/>
  <c r="X27" i="1"/>
  <c r="W27" i="1"/>
  <c r="V27" i="1"/>
  <c r="O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J25" i="1" s="1"/>
  <c r="X25" i="1"/>
  <c r="W25" i="1"/>
  <c r="V25" i="1"/>
  <c r="O25" i="1"/>
  <c r="BU24" i="1"/>
  <c r="BT24" i="1"/>
  <c r="BR24" i="1"/>
  <c r="BS24" i="1" s="1"/>
  <c r="AW24" i="1" s="1"/>
  <c r="BI24" i="1"/>
  <c r="BH24" i="1"/>
  <c r="BG24" i="1"/>
  <c r="BF24" i="1"/>
  <c r="BE24" i="1"/>
  <c r="AZ24" i="1" s="1"/>
  <c r="BB24" i="1"/>
  <c r="AU24" i="1"/>
  <c r="AY24" i="1" s="1"/>
  <c r="AO24" i="1"/>
  <c r="AP24" i="1" s="1"/>
  <c r="AK24" i="1"/>
  <c r="AI24" i="1"/>
  <c r="H24" i="1" s="1"/>
  <c r="Z24" i="1" s="1"/>
  <c r="X24" i="1"/>
  <c r="W24" i="1"/>
  <c r="V24" i="1"/>
  <c r="O24" i="1"/>
  <c r="BU23" i="1"/>
  <c r="BT23" i="1"/>
  <c r="BR23" i="1"/>
  <c r="BS23" i="1" s="1"/>
  <c r="AW23" i="1" s="1"/>
  <c r="AY23" i="1" s="1"/>
  <c r="BI23" i="1"/>
  <c r="BH23" i="1"/>
  <c r="BG23" i="1"/>
  <c r="BF23" i="1"/>
  <c r="BE23" i="1"/>
  <c r="BB23" i="1"/>
  <c r="AZ23" i="1"/>
  <c r="AU23" i="1"/>
  <c r="AP23" i="1"/>
  <c r="AO23" i="1"/>
  <c r="AK23" i="1"/>
  <c r="AI23" i="1"/>
  <c r="J23" i="1" s="1"/>
  <c r="X23" i="1"/>
  <c r="W23" i="1"/>
  <c r="V23" i="1"/>
  <c r="O23" i="1"/>
  <c r="M23" i="1"/>
  <c r="BU22" i="1"/>
  <c r="BT22" i="1"/>
  <c r="BR22" i="1"/>
  <c r="BS22" i="1" s="1"/>
  <c r="R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AJ22" i="1" s="1"/>
  <c r="X22" i="1"/>
  <c r="W22" i="1"/>
  <c r="V22" i="1"/>
  <c r="O22" i="1"/>
  <c r="M22" i="1"/>
  <c r="J22" i="1"/>
  <c r="I22" i="1"/>
  <c r="AX22" i="1" s="1"/>
  <c r="H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/>
  <c r="O21" i="1"/>
  <c r="H21" i="1"/>
  <c r="Z21" i="1" s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AW19" i="1" s="1"/>
  <c r="BI19" i="1"/>
  <c r="BH19" i="1"/>
  <c r="BG19" i="1"/>
  <c r="BF19" i="1"/>
  <c r="BE19" i="1"/>
  <c r="BB19" i="1"/>
  <c r="AZ19" i="1"/>
  <c r="AU19" i="1"/>
  <c r="AY19" i="1" s="1"/>
  <c r="AO19" i="1"/>
  <c r="AP19" i="1" s="1"/>
  <c r="AK19" i="1"/>
  <c r="AI19" i="1"/>
  <c r="I19" i="1" s="1"/>
  <c r="AX19" i="1" s="1"/>
  <c r="BA19" i="1" s="1"/>
  <c r="X19" i="1"/>
  <c r="W19" i="1"/>
  <c r="V19" i="1"/>
  <c r="R19" i="1"/>
  <c r="O19" i="1"/>
  <c r="BU18" i="1"/>
  <c r="BT18" i="1"/>
  <c r="BR18" i="1"/>
  <c r="BS18" i="1" s="1"/>
  <c r="R18" i="1" s="1"/>
  <c r="BI18" i="1"/>
  <c r="BH18" i="1"/>
  <c r="BG18" i="1"/>
  <c r="BF18" i="1"/>
  <c r="BE18" i="1"/>
  <c r="BB18" i="1"/>
  <c r="AZ18" i="1"/>
  <c r="AW18" i="1"/>
  <c r="AU18" i="1"/>
  <c r="AY18" i="1" s="1"/>
  <c r="AP18" i="1"/>
  <c r="AO18" i="1"/>
  <c r="AK18" i="1"/>
  <c r="AI18" i="1"/>
  <c r="I18" i="1" s="1"/>
  <c r="AX18" i="1" s="1"/>
  <c r="BA18" i="1" s="1"/>
  <c r="X18" i="1"/>
  <c r="W18" i="1"/>
  <c r="V18" i="1"/>
  <c r="O18" i="1"/>
  <c r="M18" i="1"/>
  <c r="J18" i="1"/>
  <c r="BU17" i="1"/>
  <c r="BT17" i="1"/>
  <c r="BR17" i="1"/>
  <c r="BS17" i="1" s="1"/>
  <c r="R17" i="1" s="1"/>
  <c r="BI17" i="1"/>
  <c r="BH17" i="1"/>
  <c r="BG17" i="1"/>
  <c r="BF17" i="1"/>
  <c r="BE17" i="1"/>
  <c r="BB17" i="1"/>
  <c r="AZ17" i="1"/>
  <c r="AW17" i="1"/>
  <c r="AU17" i="1"/>
  <c r="AY17" i="1" s="1"/>
  <c r="AO17" i="1"/>
  <c r="AP17" i="1" s="1"/>
  <c r="AK17" i="1"/>
  <c r="AI17" i="1"/>
  <c r="M17" i="1" s="1"/>
  <c r="X17" i="1"/>
  <c r="W17" i="1"/>
  <c r="V17" i="1"/>
  <c r="O17" i="1"/>
  <c r="J26" i="1" l="1"/>
  <c r="M26" i="1"/>
  <c r="I26" i="1"/>
  <c r="AX26" i="1" s="1"/>
  <c r="H26" i="1"/>
  <c r="AJ26" i="1"/>
  <c r="AW20" i="1"/>
  <c r="R20" i="1"/>
  <c r="R25" i="1"/>
  <c r="AW25" i="1"/>
  <c r="AW26" i="1"/>
  <c r="AY26" i="1" s="1"/>
  <c r="R26" i="1"/>
  <c r="AY25" i="1"/>
  <c r="Z29" i="1"/>
  <c r="AY31" i="1"/>
  <c r="AY20" i="1"/>
  <c r="H27" i="1"/>
  <c r="H17" i="1"/>
  <c r="R24" i="1"/>
  <c r="J27" i="1"/>
  <c r="I17" i="1"/>
  <c r="AX17" i="1" s="1"/>
  <c r="BA17" i="1" s="1"/>
  <c r="AW22" i="1"/>
  <c r="BA22" i="1" s="1"/>
  <c r="M27" i="1"/>
  <c r="AW31" i="1"/>
  <c r="BA31" i="1" s="1"/>
  <c r="R31" i="1"/>
  <c r="R21" i="1"/>
  <c r="AW21" i="1"/>
  <c r="S28" i="1"/>
  <c r="T28" i="1" s="1"/>
  <c r="Z22" i="1"/>
  <c r="P22" i="1"/>
  <c r="N22" i="1" s="1"/>
  <c r="Q22" i="1" s="1"/>
  <c r="K22" i="1" s="1"/>
  <c r="L22" i="1" s="1"/>
  <c r="S29" i="1"/>
  <c r="T29" i="1" s="1"/>
  <c r="S19" i="1"/>
  <c r="T19" i="1" s="1"/>
  <c r="AA19" i="1" s="1"/>
  <c r="M31" i="1"/>
  <c r="J31" i="1"/>
  <c r="R23" i="1"/>
  <c r="Z31" i="1"/>
  <c r="AJ17" i="1"/>
  <c r="S22" i="1"/>
  <c r="T22" i="1" s="1"/>
  <c r="AA22" i="1" s="1"/>
  <c r="J21" i="1"/>
  <c r="M21" i="1"/>
  <c r="I21" i="1"/>
  <c r="AX21" i="1" s="1"/>
  <c r="AY21" i="1"/>
  <c r="J17" i="1"/>
  <c r="AA28" i="1"/>
  <c r="R30" i="1"/>
  <c r="AW30" i="1"/>
  <c r="AY30" i="1" s="1"/>
  <c r="H25" i="1"/>
  <c r="I30" i="1"/>
  <c r="AX30" i="1" s="1"/>
  <c r="BA30" i="1" s="1"/>
  <c r="I25" i="1"/>
  <c r="AX25" i="1" s="1"/>
  <c r="BA25" i="1" s="1"/>
  <c r="J30" i="1"/>
  <c r="AJ28" i="1"/>
  <c r="H30" i="1"/>
  <c r="AJ20" i="1"/>
  <c r="AJ19" i="1"/>
  <c r="M25" i="1"/>
  <c r="I24" i="1"/>
  <c r="AX24" i="1" s="1"/>
  <c r="BA24" i="1" s="1"/>
  <c r="J24" i="1"/>
  <c r="J19" i="1"/>
  <c r="AJ23" i="1"/>
  <c r="H28" i="1"/>
  <c r="AJ18" i="1"/>
  <c r="H23" i="1"/>
  <c r="M24" i="1"/>
  <c r="I28" i="1"/>
  <c r="AX28" i="1" s="1"/>
  <c r="BA28" i="1" s="1"/>
  <c r="AJ30" i="1"/>
  <c r="J20" i="1"/>
  <c r="AJ24" i="1"/>
  <c r="I29" i="1"/>
  <c r="AX29" i="1" s="1"/>
  <c r="BA29" i="1" s="1"/>
  <c r="J29" i="1"/>
  <c r="M29" i="1"/>
  <c r="H18" i="1"/>
  <c r="M19" i="1"/>
  <c r="I23" i="1"/>
  <c r="AX23" i="1" s="1"/>
  <c r="BA23" i="1" s="1"/>
  <c r="AJ25" i="1"/>
  <c r="H20" i="1"/>
  <c r="I20" i="1"/>
  <c r="AX20" i="1" s="1"/>
  <c r="H19" i="1"/>
  <c r="Z17" i="1" l="1"/>
  <c r="S24" i="1"/>
  <c r="T24" i="1" s="1"/>
  <c r="Z18" i="1"/>
  <c r="AB28" i="1"/>
  <c r="AC28" i="1" s="1"/>
  <c r="U28" i="1"/>
  <c r="Y28" i="1" s="1"/>
  <c r="Z25" i="1"/>
  <c r="AB29" i="1"/>
  <c r="AA29" i="1"/>
  <c r="U29" i="1"/>
  <c r="Y29" i="1" s="1"/>
  <c r="S26" i="1"/>
  <c r="T26" i="1" s="1"/>
  <c r="S20" i="1"/>
  <c r="T20" i="1" s="1"/>
  <c r="P20" i="1" s="1"/>
  <c r="N20" i="1" s="1"/>
  <c r="Q20" i="1" s="1"/>
  <c r="K20" i="1" s="1"/>
  <c r="L20" i="1" s="1"/>
  <c r="AB19" i="1"/>
  <c r="AC19" i="1" s="1"/>
  <c r="U19" i="1"/>
  <c r="Y19" i="1" s="1"/>
  <c r="S18" i="1"/>
  <c r="T18" i="1" s="1"/>
  <c r="P18" i="1" s="1"/>
  <c r="N18" i="1" s="1"/>
  <c r="Q18" i="1" s="1"/>
  <c r="K18" i="1" s="1"/>
  <c r="L18" i="1" s="1"/>
  <c r="S23" i="1"/>
  <c r="T23" i="1" s="1"/>
  <c r="P23" i="1" s="1"/>
  <c r="N23" i="1" s="1"/>
  <c r="Q23" i="1" s="1"/>
  <c r="K23" i="1" s="1"/>
  <c r="L23" i="1" s="1"/>
  <c r="Z27" i="1"/>
  <c r="S30" i="1"/>
  <c r="T30" i="1" s="1"/>
  <c r="P29" i="1"/>
  <c r="N29" i="1" s="1"/>
  <c r="Q29" i="1" s="1"/>
  <c r="K29" i="1" s="1"/>
  <c r="L29" i="1" s="1"/>
  <c r="Z23" i="1"/>
  <c r="S17" i="1"/>
  <c r="T17" i="1" s="1"/>
  <c r="Z28" i="1"/>
  <c r="P28" i="1"/>
  <c r="N28" i="1" s="1"/>
  <c r="Q28" i="1" s="1"/>
  <c r="K28" i="1" s="1"/>
  <c r="L28" i="1" s="1"/>
  <c r="S21" i="1"/>
  <c r="T21" i="1" s="1"/>
  <c r="BA21" i="1"/>
  <c r="S25" i="1"/>
  <c r="T25" i="1" s="1"/>
  <c r="S31" i="1"/>
  <c r="T31" i="1" s="1"/>
  <c r="BA26" i="1"/>
  <c r="Z19" i="1"/>
  <c r="P19" i="1"/>
  <c r="N19" i="1" s="1"/>
  <c r="Q19" i="1" s="1"/>
  <c r="K19" i="1" s="1"/>
  <c r="L19" i="1" s="1"/>
  <c r="P30" i="1"/>
  <c r="N30" i="1" s="1"/>
  <c r="Q30" i="1" s="1"/>
  <c r="K30" i="1" s="1"/>
  <c r="L30" i="1" s="1"/>
  <c r="Z30" i="1"/>
  <c r="AY22" i="1"/>
  <c r="S27" i="1"/>
  <c r="T27" i="1" s="1"/>
  <c r="P27" i="1" s="1"/>
  <c r="N27" i="1" s="1"/>
  <c r="Q27" i="1" s="1"/>
  <c r="K27" i="1" s="1"/>
  <c r="L27" i="1" s="1"/>
  <c r="U22" i="1"/>
  <c r="Y22" i="1" s="1"/>
  <c r="AB22" i="1"/>
  <c r="AC22" i="1" s="1"/>
  <c r="Z26" i="1"/>
  <c r="BA20" i="1"/>
  <c r="Z20" i="1"/>
  <c r="U31" i="1" l="1"/>
  <c r="Y31" i="1" s="1"/>
  <c r="AA31" i="1"/>
  <c r="AB31" i="1"/>
  <c r="AC31" i="1" s="1"/>
  <c r="P31" i="1"/>
  <c r="N31" i="1" s="1"/>
  <c r="Q31" i="1" s="1"/>
  <c r="K31" i="1" s="1"/>
  <c r="L31" i="1" s="1"/>
  <c r="AB27" i="1"/>
  <c r="U27" i="1"/>
  <c r="Y27" i="1" s="1"/>
  <c r="AA27" i="1"/>
  <c r="U26" i="1"/>
  <c r="Y26" i="1" s="1"/>
  <c r="AB26" i="1"/>
  <c r="AC26" i="1" s="1"/>
  <c r="AA26" i="1"/>
  <c r="AC29" i="1"/>
  <c r="AB17" i="1"/>
  <c r="U17" i="1"/>
  <c r="Y17" i="1" s="1"/>
  <c r="AA17" i="1"/>
  <c r="AB24" i="1"/>
  <c r="AA24" i="1"/>
  <c r="P24" i="1"/>
  <c r="N24" i="1" s="1"/>
  <c r="Q24" i="1" s="1"/>
  <c r="K24" i="1" s="1"/>
  <c r="L24" i="1" s="1"/>
  <c r="U24" i="1"/>
  <c r="Y24" i="1" s="1"/>
  <c r="U30" i="1"/>
  <c r="Y30" i="1" s="1"/>
  <c r="AB30" i="1"/>
  <c r="AA30" i="1"/>
  <c r="P17" i="1"/>
  <c r="N17" i="1" s="1"/>
  <c r="Q17" i="1" s="1"/>
  <c r="K17" i="1" s="1"/>
  <c r="L17" i="1" s="1"/>
  <c r="AB23" i="1"/>
  <c r="AC23" i="1" s="1"/>
  <c r="U23" i="1"/>
  <c r="Y23" i="1" s="1"/>
  <c r="AA23" i="1"/>
  <c r="AB18" i="1"/>
  <c r="U18" i="1"/>
  <c r="Y18" i="1" s="1"/>
  <c r="AA18" i="1"/>
  <c r="AB20" i="1"/>
  <c r="AA20" i="1"/>
  <c r="U20" i="1"/>
  <c r="Y20" i="1" s="1"/>
  <c r="AB25" i="1"/>
  <c r="AA25" i="1"/>
  <c r="U25" i="1"/>
  <c r="Y25" i="1" s="1"/>
  <c r="U21" i="1"/>
  <c r="Y21" i="1" s="1"/>
  <c r="AA21" i="1"/>
  <c r="AB21" i="1"/>
  <c r="AC21" i="1" s="1"/>
  <c r="P21" i="1"/>
  <c r="N21" i="1" s="1"/>
  <c r="Q21" i="1" s="1"/>
  <c r="K21" i="1" s="1"/>
  <c r="L21" i="1" s="1"/>
  <c r="P25" i="1"/>
  <c r="N25" i="1" s="1"/>
  <c r="Q25" i="1" s="1"/>
  <c r="K25" i="1" s="1"/>
  <c r="L25" i="1" s="1"/>
  <c r="P26" i="1"/>
  <c r="N26" i="1" s="1"/>
  <c r="Q26" i="1" s="1"/>
  <c r="K26" i="1" s="1"/>
  <c r="L26" i="1" s="1"/>
  <c r="AC30" i="1" l="1"/>
  <c r="AC17" i="1"/>
  <c r="AC25" i="1"/>
  <c r="AC20" i="1"/>
  <c r="AC27" i="1"/>
  <c r="AC18" i="1"/>
  <c r="AC24" i="1"/>
</calcChain>
</file>

<file path=xl/sharedStrings.xml><?xml version="1.0" encoding="utf-8"?>
<sst xmlns="http://schemas.openxmlformats.org/spreadsheetml/2006/main" count="788" uniqueCount="359">
  <si>
    <t>File opened</t>
  </si>
  <si>
    <t>2020-07-06 09:49:22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</si>
  <si>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</si>
  <si>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</si>
  <si>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</si>
  <si>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</si>
  <si>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</si>
  <si>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</si>
  <si>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</si>
  <si>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</si>
  <si>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</si>
  <si>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</si>
  <si>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</si>
  <si>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{"h2obspanconc2": "0", "flowbzero": "0.22736", "co2azero": "0.869071", "h2oaspan2a": "0.0661155", "co2bspan2b": "0.162103", "tbzero": "0.197721", "h2oaspan2b": "0.0662632", "ssa_ref": "36614.9", "co2aspan1": "0.992625", "co2aspanconc1": "1002", "h2obspan2b": "0.0963575", "co2bzero": "0.880288", "co2bspanconc1": "1002", "h2oaspan1": "1.00223", "flowmeterzero": "0.990908", "h2obspanconc1": "20", "tazero": "0.00774765", "co2bspan2": "0", "flowazero": "0.42932", "co2bspan1": "0.992131", "co2aspan2": "0", "h2oaspan2": "0", "h2obspan1": "0.998578", "co2aspan2b": "0.163711", "ssb_ref": "36526.8", "h2oazero": "1.00263", "co2bspanconc2": "0", "oxygen": "21", "h2obspan2a": "0.0975941", "co2aspanconc2": "0", "co2bspan2a": "0.163389", "h2oaspanconc1": "12.19", "h2obzero": "1.01783", "co2aspan2a": "0.164928", "h2obspan2": "0", "h2oaspanconc2": "0", "chamberpressurezero": "2.59209"}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</si>
  <si>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</si>
  <si>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</si>
  <si>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</si>
  <si>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</si>
  <si>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</si>
  <si>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</si>
  <si>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</si>
  <si>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</si>
  <si>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</si>
  <si>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09:49:22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</si>
  <si>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</si>
  <si>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</si>
  <si>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</si>
  <si>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</si>
  <si>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</si>
  <si>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</si>
  <si>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</si>
  <si>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</si>
  <si>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</si>
  <si>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</si>
  <si>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</si>
  <si>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</si>
  <si>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</si>
  <si>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</si>
  <si>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</si>
  <si>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</si>
  <si>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</si>
  <si>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</si>
  <si>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</si>
  <si>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</si>
  <si>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</si>
  <si>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</si>
  <si>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</si>
  <si>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</si>
  <si>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</si>
  <si>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</si>
  <si>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</si>
  <si>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</si>
  <si>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</si>
  <si>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</si>
  <si>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</si>
  <si>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</si>
  <si>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</si>
  <si>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</si>
  <si>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</si>
  <si>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</si>
  <si>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</si>
  <si>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</si>
  <si>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</si>
  <si>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</si>
  <si>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</si>
  <si>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</si>
  <si>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</si>
  <si>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</si>
  <si>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</si>
  <si>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</si>
  <si>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</si>
  <si>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3.70143 76.3892 390.414 623.28 848.427 1048.12 1223.65 1394.11</t>
  </si>
  <si>
    <t>Fs_true</t>
  </si>
  <si>
    <t>0.43856 100.7 401.95 601.097 798.546 1000.45 1200.3 1401.35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</si>
  <si>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</si>
  <si>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</si>
  <si>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</si>
  <si>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</si>
  <si>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</si>
  <si>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</si>
  <si>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</si>
  <si>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</si>
  <si>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</si>
  <si>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</si>
  <si>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</si>
  <si>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</si>
  <si>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</si>
  <si>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</si>
  <si>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</si>
  <si>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</si>
  <si>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</si>
  <si>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</si>
  <si>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</si>
  <si>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</si>
  <si>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</si>
  <si>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</si>
  <si>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</si>
  <si>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</si>
  <si>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</si>
  <si>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</si>
  <si>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</si>
  <si>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</si>
  <si>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</si>
  <si>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</si>
  <si>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</si>
  <si>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</si>
  <si>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</si>
  <si>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</si>
  <si>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</si>
  <si>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</si>
  <si>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</si>
  <si>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</si>
  <si>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</si>
  <si>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</si>
  <si>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</si>
  <si>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</si>
  <si>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</si>
  <si>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</si>
  <si>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</si>
  <si>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</si>
  <si>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</si>
  <si>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</si>
  <si>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</si>
  <si>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</si>
  <si>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</si>
  <si>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</si>
  <si>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</si>
  <si>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</si>
  <si>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</si>
  <si>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</si>
  <si>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</si>
  <si>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</si>
  <si>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</si>
  <si>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</si>
  <si>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</si>
  <si>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</si>
  <si>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</si>
  <si>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</si>
  <si>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</si>
  <si>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</si>
  <si>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</si>
  <si>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</si>
  <si>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</si>
  <si>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</si>
  <si>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</si>
  <si>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</si>
  <si>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</si>
  <si>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</si>
  <si>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</si>
  <si>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</si>
  <si>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</si>
  <si>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</si>
  <si>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</si>
  <si>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</si>
  <si>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</si>
  <si>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</si>
  <si>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</si>
  <si>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</si>
  <si>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</si>
  <si>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</si>
  <si>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</si>
  <si>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</si>
  <si>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</si>
  <si>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</si>
  <si>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</si>
  <si>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</si>
  <si>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</si>
  <si>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</si>
  <si>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</si>
  <si>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</si>
  <si>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</si>
  <si>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</si>
  <si>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</si>
  <si>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</si>
  <si>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</si>
  <si>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</si>
  <si>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</si>
  <si>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</si>
  <si>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</si>
  <si>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</si>
  <si>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</si>
  <si>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</si>
  <si>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</si>
  <si>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</si>
  <si>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</si>
  <si>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</si>
  <si>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</si>
  <si>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</si>
  <si>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</si>
  <si>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</si>
  <si>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</si>
  <si>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</si>
  <si>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</si>
  <si>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</si>
  <si>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</si>
  <si>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</si>
  <si>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</si>
  <si>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</si>
  <si>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</si>
  <si>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</si>
  <si>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</si>
  <si>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</si>
  <si>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</si>
  <si>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</si>
  <si>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</si>
  <si>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</si>
  <si>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</si>
  <si>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</si>
  <si>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</si>
  <si>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</si>
  <si>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</si>
  <si>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</si>
  <si>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</si>
  <si>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</si>
  <si>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</si>
  <si>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</si>
  <si>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</si>
  <si>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</si>
  <si>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</si>
  <si>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</si>
  <si>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</si>
  <si>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</si>
  <si>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</si>
  <si>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</si>
  <si>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</si>
  <si>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</si>
  <si>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</si>
  <si>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</si>
  <si>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</si>
  <si>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</si>
  <si>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</si>
  <si>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</si>
  <si>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</si>
  <si>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</si>
  <si>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</si>
  <si>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</si>
  <si>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</si>
  <si>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</si>
  <si>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</si>
  <si>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</si>
  <si>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</si>
  <si>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</si>
  <si>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</si>
  <si>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</si>
  <si>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</si>
  <si>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</si>
  <si>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</si>
  <si>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</si>
  <si>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</si>
  <si>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</si>
  <si>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</si>
  <si>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</si>
  <si>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</si>
  <si>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</si>
  <si>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</si>
  <si>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</si>
  <si>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</si>
  <si>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</si>
  <si>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</si>
  <si>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</si>
  <si>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</si>
  <si>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</si>
  <si>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</si>
  <si>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</si>
  <si>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</si>
  <si>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</si>
  <si>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</si>
  <si>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</si>
  <si>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</si>
  <si>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</si>
  <si>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</si>
  <si>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</si>
  <si>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</si>
  <si>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</si>
  <si>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</si>
  <si>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</si>
  <si>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</si>
  <si>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20200706 10:02:25</t>
  </si>
  <si>
    <t>10:02:25</t>
  </si>
  <si>
    <t>MPF-4537-20200706-10_02_27</t>
  </si>
  <si>
    <t>DARK-4538-20200706-10_02_35</t>
  </si>
  <si>
    <t>0: Broadleaf</t>
  </si>
  <si>
    <t>10:02:51</t>
  </si>
  <si>
    <t>2/2</t>
  </si>
  <si>
    <t>5</t>
  </si>
  <si>
    <t>11111111</t>
  </si>
  <si>
    <t>oooooooo</t>
  </si>
  <si>
    <t>off</t>
  </si>
  <si>
    <t>20200706 10:04:23</t>
  </si>
  <si>
    <t>10:04:23</t>
  </si>
  <si>
    <t>MPF-4539-20200706-10_04_25</t>
  </si>
  <si>
    <t>DARK-4540-20200706-10_04_33</t>
  </si>
  <si>
    <t>10:04:50</t>
  </si>
  <si>
    <t>20200706 10:06:21</t>
  </si>
  <si>
    <t>10:06:21</t>
  </si>
  <si>
    <t>MPF-4541-20200706-10_06_23</t>
  </si>
  <si>
    <t>DARK-4542-20200706-10_06_31</t>
  </si>
  <si>
    <t>10:06:47</t>
  </si>
  <si>
    <t>20200706 10:08:19</t>
  </si>
  <si>
    <t>10:08:19</t>
  </si>
  <si>
    <t>MPF-4543-20200706-10_08_21</t>
  </si>
  <si>
    <t>DARK-4544-20200706-10_08_28</t>
  </si>
  <si>
    <t>10:08:44</t>
  </si>
  <si>
    <t>20200706 10:10:16</t>
  </si>
  <si>
    <t>10:10:16</t>
  </si>
  <si>
    <t>MPF-4545-20200706-10_10_18</t>
  </si>
  <si>
    <t>DARK-4546-20200706-10_10_25</t>
  </si>
  <si>
    <t>10:10:41</t>
  </si>
  <si>
    <t>20200706 10:12:17</t>
  </si>
  <si>
    <t>10:12:17</t>
  </si>
  <si>
    <t>MPF-4547-20200706-10_12_19</t>
  </si>
  <si>
    <t>DARK-4548-20200706-10_12_26</t>
  </si>
  <si>
    <t>10:12:44</t>
  </si>
  <si>
    <t>20200706 10:14:15</t>
  </si>
  <si>
    <t>10:14:15</t>
  </si>
  <si>
    <t>MPF-4549-20200706-10_14_17</t>
  </si>
  <si>
    <t>DARK-4550-20200706-10_14_24</t>
  </si>
  <si>
    <t>10:14:41</t>
  </si>
  <si>
    <t>20200706 10:16:12</t>
  </si>
  <si>
    <t>10:16:12</t>
  </si>
  <si>
    <t>MPF-4551-20200706-10_16_14</t>
  </si>
  <si>
    <t>DARK-4552-20200706-10_16_22</t>
  </si>
  <si>
    <t>10:16:35</t>
  </si>
  <si>
    <t>20200706 10:18:26</t>
  </si>
  <si>
    <t>10:18:26</t>
  </si>
  <si>
    <t>MPF-4553-20200706-10_18_27</t>
  </si>
  <si>
    <t>DARK-4554-20200706-10_18_35</t>
  </si>
  <si>
    <t>10:18:51</t>
  </si>
  <si>
    <t>20200706 10:20:36</t>
  </si>
  <si>
    <t>10:20:36</t>
  </si>
  <si>
    <t>MPF-4555-20200706-10_20_37</t>
  </si>
  <si>
    <t>DARK-4556-20200706-10_20_45</t>
  </si>
  <si>
    <t>10:21:03</t>
  </si>
  <si>
    <t>20200706 10:23:05</t>
  </si>
  <si>
    <t>10:23:05</t>
  </si>
  <si>
    <t>MPF-4557-20200706-10_23_06</t>
  </si>
  <si>
    <t>DARK-4558-20200706-10_23_14</t>
  </si>
  <si>
    <t>10:23:34</t>
  </si>
  <si>
    <t>1/2</t>
  </si>
  <si>
    <t>20200706 10:25:09</t>
  </si>
  <si>
    <t>10:25:09</t>
  </si>
  <si>
    <t>MPF-4559-20200706-10_25_11</t>
  </si>
  <si>
    <t>DARK-4560-20200706-10_25_18</t>
  </si>
  <si>
    <t>10:25:36</t>
  </si>
  <si>
    <t>20200706 10:27:08</t>
  </si>
  <si>
    <t>10:27:08</t>
  </si>
  <si>
    <t>MPF-4561-20200706-10_27_10</t>
  </si>
  <si>
    <t>DARK-4562-20200706-10_27_17</t>
  </si>
  <si>
    <t>10:27:40</t>
  </si>
  <si>
    <t>20200706 10:29:42</t>
  </si>
  <si>
    <t>10:29:42</t>
  </si>
  <si>
    <t>MPF-4563-20200706-10_29_43</t>
  </si>
  <si>
    <t>DARK-4564-20200706-10_29_51</t>
  </si>
  <si>
    <t>10:30:17</t>
  </si>
  <si>
    <t>20200706 10:32:19</t>
  </si>
  <si>
    <t>10:32:19</t>
  </si>
  <si>
    <t>MPF-4565-20200706-10_32_20</t>
  </si>
  <si>
    <t>DARK-4566-20200706-10_32_28</t>
  </si>
  <si>
    <t>10:32:51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</si>
</sst>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1594047745.9000001</v>
      </c>
      <c r="C17">
        <v>0</v>
      </c>
      <c r="D17" t="s">
        <v>277</v>
      </c>
      <c r="E17" t="s">
        <v>278</v>
      </c>
      <c r="G17">
        <v>1594047737.9000001</v>
      </c>
      <c r="H17">
        <f t="shared" ref="H17:H31" si="0">CC17*AI17*(CA17-CB17)/(100*$B$5*(1000-AI17*CA17))</f>
        <v>7.3289454136758582E-3</v>
      </c>
      <c r="I17">
        <f t="shared" ref="I17:I31" si="1">CC17*AI17*(BZ17-BY17*(1000-AI17*CB17)/(1000-AI17*CA17))/(100*$B$5)</f>
        <v>24.631614858689041</v>
      </c>
      <c r="J17">
        <f t="shared" ref="J17:J31" si="2">BY17 - IF(AI17&gt;1, I17*$B$5*100/(AK17*CI17), 0)</f>
        <v>388.93683870967698</v>
      </c>
      <c r="K17">
        <f t="shared" ref="K17:K31" si="3">((Q17-H17/2)*J17-I17)/(Q17+H17/2)</f>
        <v>286.2501566369441</v>
      </c>
      <c r="L17">
        <f t="shared" ref="L17:L31" si="4">K17*(CD17+CE17)/1000</f>
        <v>28.472058982092832</v>
      </c>
      <c r="M17">
        <f t="shared" ref="M17:M31" si="5">(BY17 - IF(AI17&gt;1, I17*$B$5*100/(AK17*CI17), 0))*(CD17+CE17)/1000</f>
        <v>38.685856951672449</v>
      </c>
      <c r="N17">
        <f t="shared" ref="N17:N31" si="6">2/((1/P17-1/O17)+SIGN(P17)*SQRT((1/P17-1/O17)*(1/P17-1/O17) + 4*BV17/((BV17+1)*(BV17+1))*(2*1/P17*1/O17-1/O17*1/O17)))</f>
        <v>0.44888193459246589</v>
      </c>
      <c r="O17">
        <f t="shared" ref="O17:O31" si="7">AF17+AE17*$B$5+AD17*$B$5*$B$5</f>
        <v>3.3822161777478037</v>
      </c>
      <c r="P17">
        <f t="shared" ref="P17:P31" si="8">H17*(1000-(1000*0.61365*EXP(17.502*T17/(240.97+T17))/(CD17+CE17)+CA17)/2)/(1000*0.61365*EXP(17.502*T17/(240.97+T17))/(CD17+CE17)-CA17)</f>
        <v>0.4182175196292558</v>
      </c>
      <c r="Q17">
        <f t="shared" ref="Q17:Q31" si="9">1/((BV17+1)/(N17/1.6)+1/(O17/1.37)) + BV17/((BV17+1)/(N17/1.6) + BV17/(O17/1.37))</f>
        <v>0.26396625762968584</v>
      </c>
      <c r="R17">
        <f t="shared" ref="R17:R31" si="10">(BS17*BU17)</f>
        <v>321.44394204552913</v>
      </c>
      <c r="S17">
        <f t="shared" ref="S17:S31" si="11">(CF17+(R17+2*0.95*0.0000000567*(((CF17+$B$7)+273)^4-(CF17+273)^4)-44100*H17)/(1.84*29.3*O17+8*0.95*0.0000000567*(CF17+273)^3))</f>
        <v>27.534019794337169</v>
      </c>
      <c r="T17">
        <f t="shared" ref="T17:T31" si="12">($C$7*CG17+$D$7*CH17+$E$7*S17)</f>
        <v>27.630132258064499</v>
      </c>
      <c r="U17">
        <f t="shared" ref="U17:U31" si="13">0.61365*EXP(17.502*T17/(240.97+T17))</f>
        <v>3.7137808484349986</v>
      </c>
      <c r="V17">
        <f t="shared" ref="V17:V31" si="14">(W17/X17*100)</f>
        <v>54.695750929535677</v>
      </c>
      <c r="W17">
        <f t="shared" ref="W17:W31" si="15">CA17*(CD17+CE17)/1000</f>
        <v>2.020969143452255</v>
      </c>
      <c r="X17">
        <f t="shared" ref="X17:X31" si="16">0.61365*EXP(17.502*CF17/(240.97+CF17))</f>
        <v>3.6949289645110852</v>
      </c>
      <c r="Y17">
        <f t="shared" ref="Y17:Y31" si="17">(U17-CA17*(CD17+CE17)/1000)</f>
        <v>1.6928117049827436</v>
      </c>
      <c r="Z17">
        <f t="shared" ref="Z17:Z31" si="18">(-H17*44100)</f>
        <v>-323.20649274310534</v>
      </c>
      <c r="AA17">
        <f t="shared" ref="AA17:AA31" si="19">2*29.3*O17*0.92*(CF17-T17)</f>
        <v>-15.869051157110183</v>
      </c>
      <c r="AB17">
        <f t="shared" ref="AB17:AB31" si="20">2*0.95*0.0000000567*(((CF17+$B$7)+273)^4-(T17+273)^4)</f>
        <v>-1.0185204180610012</v>
      </c>
      <c r="AC17">
        <f t="shared" ref="AC17:AC31" si="21">R17+AB17+Z17+AA17</f>
        <v>-18.650122272747375</v>
      </c>
      <c r="AD17">
        <v>-4.1172390947362997E-2</v>
      </c>
      <c r="AE17">
        <v>4.6219615737962801E-2</v>
      </c>
      <c r="AF17">
        <v>3.4544665100613301</v>
      </c>
      <c r="AG17">
        <v>166</v>
      </c>
      <c r="AH17">
        <v>33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52405.950092989493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263.65326923076901</v>
      </c>
      <c r="AT17">
        <v>334.108</v>
      </c>
      <c r="AU17">
        <f t="shared" ref="AU17:AU31" si="27">1-AS17/AT17</f>
        <v>0.21087412085083568</v>
      </c>
      <c r="AV17">
        <v>0.5</v>
      </c>
      <c r="AW17">
        <f t="shared" ref="AW17:AW31" si="28">BS17</f>
        <v>1681.2155125799463</v>
      </c>
      <c r="AX17">
        <f t="shared" ref="AX17:AX31" si="29">I17</f>
        <v>24.631614858689041</v>
      </c>
      <c r="AY17">
        <f t="shared" ref="AY17:AY31" si="30">AU17*AV17*AW17</f>
        <v>177.26242158804163</v>
      </c>
      <c r="AZ17">
        <f t="shared" ref="AZ17:AZ31" si="31">BE17/AT17</f>
        <v>0.46023441521903097</v>
      </c>
      <c r="BA17">
        <f t="shared" ref="BA17:BA31" si="32">(AX17-AQ17)/AW17</f>
        <v>1.5245882914413204E-2</v>
      </c>
      <c r="BB17">
        <f t="shared" ref="BB17:BB31" si="33">(AN17-AT17)/AT17</f>
        <v>-1</v>
      </c>
      <c r="BC17" t="s">
        <v>280</v>
      </c>
      <c r="BD17">
        <v>180.34</v>
      </c>
      <c r="BE17">
        <f t="shared" ref="BE17:BE31" si="34">AT17-BD17</f>
        <v>153.768</v>
      </c>
      <c r="BF17">
        <f t="shared" ref="BF17:BF31" si="35">(AT17-AS17)/(AT17-BD17)</f>
        <v>0.45818850976296105</v>
      </c>
      <c r="BG17">
        <f t="shared" ref="BG17:BG31" si="36">(AN17-AT17)/(AN17-BD17)</f>
        <v>1.8526560940445824</v>
      </c>
      <c r="BH17">
        <f t="shared" ref="BH17:BH31" si="37">(AT17-AS17)/(AT17-AM17)</f>
        <v>0.21087412085083562</v>
      </c>
      <c r="BI17" t="e">
        <f t="shared" ref="BI17:BI31" si="38">(AN17-AT17)/(AN17-AM17)</f>
        <v>#DIV/0!</v>
      </c>
      <c r="BJ17">
        <v>4537</v>
      </c>
      <c r="BK17">
        <v>300</v>
      </c>
      <c r="BL17">
        <v>300</v>
      </c>
      <c r="BM17">
        <v>300</v>
      </c>
      <c r="BN17">
        <v>9872.99</v>
      </c>
      <c r="BO17">
        <v>317.142</v>
      </c>
      <c r="BP17">
        <v>-6.5665899999999998E-3</v>
      </c>
      <c r="BQ17">
        <v>1.5586899999999999</v>
      </c>
      <c r="BR17">
        <f t="shared" ref="BR17:BR31" si="39">$B$11*CJ17+$C$11*CK17+$F$11*CL17</f>
        <v>2000.0216129032301</v>
      </c>
      <c r="BS17">
        <f t="shared" ref="BS17:BS31" si="40">BR17*BT17</f>
        <v>1681.2155125799463</v>
      </c>
      <c r="BT17">
        <f t="shared" ref="BT17:BT31" si="41">($B$11*$D$9+$C$11*$D$9+$F$11*((CY17+CQ17)/MAX(CY17+CQ17+CZ17, 0.1)*$I$9+CZ17/MAX(CY17+CQ17+CZ17, 0.1)*$J$9))/($B$11+$C$11+$F$11)</f>
        <v>0.84059867240109221</v>
      </c>
      <c r="BU17">
        <f t="shared" ref="BU17:BU31" si="42">($B$11*$K$9+$C$11*$K$9+$F$11*((CY17+CQ17)/MAX(CY17+CQ17+CZ17, 0.1)*$P$9+CZ17/MAX(CY17+CQ17+CZ17, 0.1)*$Q$9))/($B$11+$C$11+$F$11)</f>
        <v>0.19119734480218437</v>
      </c>
      <c r="BV17">
        <v>0.5</v>
      </c>
      <c r="BW17" t="s">
        <v>281</v>
      </c>
      <c r="BX17">
        <v>1594047737.9000001</v>
      </c>
      <c r="BY17">
        <v>388.93683870967698</v>
      </c>
      <c r="BZ17">
        <v>399.92832258064499</v>
      </c>
      <c r="CA17">
        <v>20.318261290322599</v>
      </c>
      <c r="CB17">
        <v>17.446603225806498</v>
      </c>
      <c r="CC17">
        <v>500.06190322580602</v>
      </c>
      <c r="CD17">
        <v>99.265667741935502</v>
      </c>
      <c r="CE17">
        <v>0.19998606451612899</v>
      </c>
      <c r="CF17">
        <v>27.543103225806501</v>
      </c>
      <c r="CG17">
        <v>27.630132258064499</v>
      </c>
      <c r="CH17">
        <v>999.9</v>
      </c>
      <c r="CI17">
        <v>10002.3729032258</v>
      </c>
      <c r="CJ17">
        <v>0</v>
      </c>
      <c r="CK17">
        <v>228.86319354838699</v>
      </c>
      <c r="CL17">
        <v>2000.0216129032301</v>
      </c>
      <c r="CM17">
        <v>0.97999474193548397</v>
      </c>
      <c r="CN17">
        <v>2.0005490322580699E-2</v>
      </c>
      <c r="CO17">
        <v>0</v>
      </c>
      <c r="CP17">
        <v>263.63622580645199</v>
      </c>
      <c r="CQ17">
        <v>5.00054</v>
      </c>
      <c r="CR17">
        <v>6847.9087096774201</v>
      </c>
      <c r="CS17">
        <v>18703.8</v>
      </c>
      <c r="CT17">
        <v>48.316064516129003</v>
      </c>
      <c r="CU17">
        <v>49.630806451612898</v>
      </c>
      <c r="CV17">
        <v>48.616870967741903</v>
      </c>
      <c r="CW17">
        <v>49.233612903225797</v>
      </c>
      <c r="CX17">
        <v>49.882935483871002</v>
      </c>
      <c r="CY17">
        <v>1955.10967741935</v>
      </c>
      <c r="CZ17">
        <v>39.911935483870998</v>
      </c>
      <c r="DA17">
        <v>0</v>
      </c>
      <c r="DB17">
        <v>1587484696.3</v>
      </c>
      <c r="DC17">
        <v>263.65326923076901</v>
      </c>
      <c r="DD17">
        <v>-1.62444444049304</v>
      </c>
      <c r="DE17">
        <v>-65.504615045087803</v>
      </c>
      <c r="DF17">
        <v>6846.38807692308</v>
      </c>
      <c r="DG17">
        <v>15</v>
      </c>
      <c r="DH17">
        <v>1594047771.9000001</v>
      </c>
      <c r="DI17" t="s">
        <v>282</v>
      </c>
      <c r="DJ17">
        <v>1</v>
      </c>
      <c r="DK17">
        <v>-0.53700000000000003</v>
      </c>
      <c r="DL17">
        <v>0.114</v>
      </c>
      <c r="DM17">
        <v>400</v>
      </c>
      <c r="DN17">
        <v>18</v>
      </c>
      <c r="DO17">
        <v>0.39</v>
      </c>
      <c r="DP17">
        <v>0.03</v>
      </c>
      <c r="DQ17">
        <v>389.17544444444502</v>
      </c>
      <c r="DR17">
        <v>-3.34891276205493E-2</v>
      </c>
      <c r="DS17">
        <v>3.4118348852119798E-2</v>
      </c>
      <c r="DT17">
        <v>1</v>
      </c>
      <c r="DU17">
        <v>20.381803703703699</v>
      </c>
      <c r="DV17">
        <v>-0.18231396956630599</v>
      </c>
      <c r="DW17">
        <v>3.4600577831628399E-2</v>
      </c>
      <c r="DX17">
        <v>1</v>
      </c>
      <c r="DY17">
        <v>2</v>
      </c>
      <c r="DZ17">
        <v>2</v>
      </c>
      <c r="EA17" t="s">
        <v>283</v>
      </c>
      <c r="EB17">
        <v>1.8667400000000001</v>
      </c>
      <c r="EC17">
        <v>1.8632500000000001</v>
      </c>
      <c r="ED17">
        <v>1.8688899999999999</v>
      </c>
      <c r="EE17">
        <v>1.86677</v>
      </c>
      <c r="EF17">
        <v>1.8714900000000001</v>
      </c>
      <c r="EG17">
        <v>1.8638999999999999</v>
      </c>
      <c r="EH17">
        <v>1.8654200000000001</v>
      </c>
      <c r="EI17">
        <v>1.8653999999999999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-0.53700000000000003</v>
      </c>
      <c r="EX17">
        <v>0.114</v>
      </c>
      <c r="EY17">
        <v>2</v>
      </c>
      <c r="EZ17">
        <v>319.34199999999998</v>
      </c>
      <c r="FA17">
        <v>473.48200000000003</v>
      </c>
      <c r="FB17">
        <v>21.1892</v>
      </c>
      <c r="FC17">
        <v>38.261699999999998</v>
      </c>
      <c r="FD17">
        <v>30.000299999999999</v>
      </c>
      <c r="FE17">
        <v>37.877200000000002</v>
      </c>
      <c r="FF17">
        <v>37.816800000000001</v>
      </c>
      <c r="FG17">
        <v>21.9725</v>
      </c>
      <c r="FH17">
        <v>47.068300000000001</v>
      </c>
      <c r="FI17">
        <v>0</v>
      </c>
      <c r="FJ17">
        <v>18.1252</v>
      </c>
      <c r="FK17">
        <v>400</v>
      </c>
      <c r="FL17">
        <v>17.535499999999999</v>
      </c>
      <c r="FM17">
        <v>99.888300000000001</v>
      </c>
      <c r="FN17">
        <v>100.208</v>
      </c>
    </row>
    <row r="18" spans="1:170" x14ac:dyDescent="0.25">
      <c r="A18">
        <v>2</v>
      </c>
      <c r="B18">
        <v>1594047863.9000001</v>
      </c>
      <c r="C18">
        <v>118</v>
      </c>
      <c r="D18" t="s">
        <v>288</v>
      </c>
      <c r="E18" t="s">
        <v>289</v>
      </c>
      <c r="G18">
        <v>1594047855.90323</v>
      </c>
      <c r="H18">
        <f t="shared" si="0"/>
        <v>6.3849693966774755E-3</v>
      </c>
      <c r="I18">
        <f t="shared" si="1"/>
        <v>18.038051158979972</v>
      </c>
      <c r="J18">
        <f t="shared" si="2"/>
        <v>292.03877419354802</v>
      </c>
      <c r="K18">
        <f t="shared" si="3"/>
        <v>207.41642008092046</v>
      </c>
      <c r="L18">
        <f t="shared" si="4"/>
        <v>20.631674565979392</v>
      </c>
      <c r="M18">
        <f t="shared" si="5"/>
        <v>29.049045140486765</v>
      </c>
      <c r="N18">
        <f t="shared" si="6"/>
        <v>0.39156813223850379</v>
      </c>
      <c r="O18">
        <f t="shared" si="7"/>
        <v>3.3808539151772745</v>
      </c>
      <c r="P18">
        <f t="shared" si="8"/>
        <v>0.36800511184816548</v>
      </c>
      <c r="Q18">
        <f t="shared" si="9"/>
        <v>0.23200198611914291</v>
      </c>
      <c r="R18">
        <f t="shared" si="10"/>
        <v>321.43971499626491</v>
      </c>
      <c r="S18">
        <f t="shared" si="11"/>
        <v>27.380296609138696</v>
      </c>
      <c r="T18">
        <f t="shared" si="12"/>
        <v>27.4383451612903</v>
      </c>
      <c r="U18">
        <f t="shared" si="13"/>
        <v>3.6723474931515421</v>
      </c>
      <c r="V18">
        <f t="shared" si="14"/>
        <v>55.189814654812487</v>
      </c>
      <c r="W18">
        <f t="shared" si="15"/>
        <v>1.9956951432998651</v>
      </c>
      <c r="X18">
        <f t="shared" si="16"/>
        <v>3.6160569767846518</v>
      </c>
      <c r="Y18">
        <f t="shared" si="17"/>
        <v>1.676652349851677</v>
      </c>
      <c r="Z18">
        <f t="shared" si="18"/>
        <v>-281.57715039347664</v>
      </c>
      <c r="AA18">
        <f t="shared" si="19"/>
        <v>-48.047177904527004</v>
      </c>
      <c r="AB18">
        <f t="shared" si="20"/>
        <v>-3.0764307891424614</v>
      </c>
      <c r="AC18">
        <f t="shared" si="21"/>
        <v>-11.261044090881214</v>
      </c>
      <c r="AD18">
        <v>-4.1151325107232802E-2</v>
      </c>
      <c r="AE18">
        <v>4.6195967486947799E-2</v>
      </c>
      <c r="AF18">
        <v>3.4530672806323102</v>
      </c>
      <c r="AG18">
        <v>166</v>
      </c>
      <c r="AH18">
        <v>33</v>
      </c>
      <c r="AI18">
        <f t="shared" si="22"/>
        <v>1</v>
      </c>
      <c r="AJ18">
        <f t="shared" si="23"/>
        <v>0</v>
      </c>
      <c r="AK18">
        <f t="shared" si="24"/>
        <v>52444.6007996099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254.187730769231</v>
      </c>
      <c r="AT18">
        <v>317.08600000000001</v>
      </c>
      <c r="AU18">
        <f t="shared" si="27"/>
        <v>0.19836343840714832</v>
      </c>
      <c r="AV18">
        <v>0.5</v>
      </c>
      <c r="AW18">
        <f t="shared" si="28"/>
        <v>1681.1937772891938</v>
      </c>
      <c r="AX18">
        <f t="shared" si="29"/>
        <v>18.038051158979972</v>
      </c>
      <c r="AY18">
        <f t="shared" si="30"/>
        <v>166.743689145893</v>
      </c>
      <c r="AZ18">
        <f t="shared" si="31"/>
        <v>0.43529515651905165</v>
      </c>
      <c r="BA18">
        <f t="shared" si="32"/>
        <v>1.1324126591568453E-2</v>
      </c>
      <c r="BB18">
        <f t="shared" si="33"/>
        <v>-1</v>
      </c>
      <c r="BC18" t="s">
        <v>291</v>
      </c>
      <c r="BD18">
        <v>179.06</v>
      </c>
      <c r="BE18">
        <f t="shared" si="34"/>
        <v>138.02600000000001</v>
      </c>
      <c r="BF18">
        <f t="shared" si="35"/>
        <v>0.45569870336580798</v>
      </c>
      <c r="BG18">
        <f t="shared" si="36"/>
        <v>1.7708365910867867</v>
      </c>
      <c r="BH18">
        <f t="shared" si="37"/>
        <v>0.19836343840714826</v>
      </c>
      <c r="BI18" t="e">
        <f t="shared" si="38"/>
        <v>#DIV/0!</v>
      </c>
      <c r="BJ18">
        <v>4539</v>
      </c>
      <c r="BK18">
        <v>300</v>
      </c>
      <c r="BL18">
        <v>300</v>
      </c>
      <c r="BM18">
        <v>300</v>
      </c>
      <c r="BN18">
        <v>9872.99</v>
      </c>
      <c r="BO18">
        <v>300.76299999999998</v>
      </c>
      <c r="BP18">
        <v>-6.5667099999999999E-3</v>
      </c>
      <c r="BQ18">
        <v>0.30844100000000002</v>
      </c>
      <c r="BR18">
        <f t="shared" si="39"/>
        <v>1999.99580645161</v>
      </c>
      <c r="BS18">
        <f t="shared" si="40"/>
        <v>1681.1937772891938</v>
      </c>
      <c r="BT18">
        <f t="shared" si="41"/>
        <v>0.84059865119015709</v>
      </c>
      <c r="BU18">
        <f t="shared" si="42"/>
        <v>0.19119730238031438</v>
      </c>
      <c r="BV18">
        <v>0.5</v>
      </c>
      <c r="BW18" t="s">
        <v>281</v>
      </c>
      <c r="BX18">
        <v>1594047855.90323</v>
      </c>
      <c r="BY18">
        <v>292.03877419354802</v>
      </c>
      <c r="BZ18">
        <v>299.99883870967699</v>
      </c>
      <c r="CA18">
        <v>20.063322580645199</v>
      </c>
      <c r="CB18">
        <v>17.560896774193498</v>
      </c>
      <c r="CC18">
        <v>500.06403225806503</v>
      </c>
      <c r="CD18">
        <v>99.269812903225798</v>
      </c>
      <c r="CE18">
        <v>0.200009967741935</v>
      </c>
      <c r="CF18">
        <v>27.174738709677399</v>
      </c>
      <c r="CG18">
        <v>27.4383451612903</v>
      </c>
      <c r="CH18">
        <v>999.9</v>
      </c>
      <c r="CI18">
        <v>9996.8377419354892</v>
      </c>
      <c r="CJ18">
        <v>0</v>
      </c>
      <c r="CK18">
        <v>270.59758064516097</v>
      </c>
      <c r="CL18">
        <v>1999.99580645161</v>
      </c>
      <c r="CM18">
        <v>0.97999551612903202</v>
      </c>
      <c r="CN18">
        <v>2.00048193548387E-2</v>
      </c>
      <c r="CO18">
        <v>0</v>
      </c>
      <c r="CP18">
        <v>254.188290322581</v>
      </c>
      <c r="CQ18">
        <v>5.00054</v>
      </c>
      <c r="CR18">
        <v>6777.5212903225802</v>
      </c>
      <c r="CS18">
        <v>18703.567741935502</v>
      </c>
      <c r="CT18">
        <v>48.161000000000001</v>
      </c>
      <c r="CU18">
        <v>49.447483870967702</v>
      </c>
      <c r="CV18">
        <v>48.453258064516099</v>
      </c>
      <c r="CW18">
        <v>48.983741935483899</v>
      </c>
      <c r="CX18">
        <v>49.608741935483899</v>
      </c>
      <c r="CY18">
        <v>1955.0854838709699</v>
      </c>
      <c r="CZ18">
        <v>39.909999999999997</v>
      </c>
      <c r="DA18">
        <v>0</v>
      </c>
      <c r="DB18">
        <v>117.299999952316</v>
      </c>
      <c r="DC18">
        <v>254.187730769231</v>
      </c>
      <c r="DD18">
        <v>-1.2649230763177199</v>
      </c>
      <c r="DE18">
        <v>9.1723076495137903</v>
      </c>
      <c r="DF18">
        <v>6777.6088461538502</v>
      </c>
      <c r="DG18">
        <v>15</v>
      </c>
      <c r="DH18">
        <v>1594047890.4000001</v>
      </c>
      <c r="DI18" t="s">
        <v>292</v>
      </c>
      <c r="DJ18">
        <v>2</v>
      </c>
      <c r="DK18">
        <v>-0.55300000000000005</v>
      </c>
      <c r="DL18">
        <v>0.11600000000000001</v>
      </c>
      <c r="DM18">
        <v>300</v>
      </c>
      <c r="DN18">
        <v>18</v>
      </c>
      <c r="DO18">
        <v>0.14000000000000001</v>
      </c>
      <c r="DP18">
        <v>0.03</v>
      </c>
      <c r="DQ18">
        <v>292.03983333333298</v>
      </c>
      <c r="DR18">
        <v>0.13616565314009199</v>
      </c>
      <c r="DS18">
        <v>2.0976839079750498E-2</v>
      </c>
      <c r="DT18">
        <v>1</v>
      </c>
      <c r="DU18">
        <v>20.078218518518501</v>
      </c>
      <c r="DV18">
        <v>-0.16725253492424699</v>
      </c>
      <c r="DW18">
        <v>2.23545759179609E-2</v>
      </c>
      <c r="DX18">
        <v>1</v>
      </c>
      <c r="DY18">
        <v>2</v>
      </c>
      <c r="DZ18">
        <v>2</v>
      </c>
      <c r="EA18" t="s">
        <v>283</v>
      </c>
      <c r="EB18">
        <v>1.86673</v>
      </c>
      <c r="EC18">
        <v>1.8632500000000001</v>
      </c>
      <c r="ED18">
        <v>1.8688800000000001</v>
      </c>
      <c r="EE18">
        <v>1.86676</v>
      </c>
      <c r="EF18">
        <v>1.8714900000000001</v>
      </c>
      <c r="EG18">
        <v>1.86391</v>
      </c>
      <c r="EH18">
        <v>1.86544</v>
      </c>
      <c r="EI18">
        <v>1.8653900000000001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-0.55300000000000005</v>
      </c>
      <c r="EX18">
        <v>0.11600000000000001</v>
      </c>
      <c r="EY18">
        <v>2</v>
      </c>
      <c r="EZ18">
        <v>319.35599999999999</v>
      </c>
      <c r="FA18">
        <v>471.51499999999999</v>
      </c>
      <c r="FB18">
        <v>21.237400000000001</v>
      </c>
      <c r="FC18">
        <v>38.352499999999999</v>
      </c>
      <c r="FD18">
        <v>30.000599999999999</v>
      </c>
      <c r="FE18">
        <v>38.021999999999998</v>
      </c>
      <c r="FF18">
        <v>37.975299999999997</v>
      </c>
      <c r="FG18">
        <v>17.5336</v>
      </c>
      <c r="FH18">
        <v>47.5107</v>
      </c>
      <c r="FI18">
        <v>0</v>
      </c>
      <c r="FJ18">
        <v>17.9008</v>
      </c>
      <c r="FK18">
        <v>300</v>
      </c>
      <c r="FL18">
        <v>17.5273</v>
      </c>
      <c r="FM18">
        <v>99.872799999999998</v>
      </c>
      <c r="FN18">
        <v>100.193</v>
      </c>
    </row>
    <row r="19" spans="1:170" x14ac:dyDescent="0.25">
      <c r="A19">
        <v>3</v>
      </c>
      <c r="B19">
        <v>1594047981.9000001</v>
      </c>
      <c r="C19">
        <v>236</v>
      </c>
      <c r="D19" t="s">
        <v>293</v>
      </c>
      <c r="E19" t="s">
        <v>294</v>
      </c>
      <c r="G19">
        <v>1594047973.90645</v>
      </c>
      <c r="H19">
        <f t="shared" si="0"/>
        <v>5.8550547287323654E-3</v>
      </c>
      <c r="I19">
        <f t="shared" si="1"/>
        <v>10.666478870518826</v>
      </c>
      <c r="J19">
        <f t="shared" si="2"/>
        <v>195.26745161290299</v>
      </c>
      <c r="K19">
        <f t="shared" si="3"/>
        <v>139.19600340294693</v>
      </c>
      <c r="L19">
        <f t="shared" si="4"/>
        <v>13.845859102199023</v>
      </c>
      <c r="M19">
        <f t="shared" si="5"/>
        <v>19.423299205302335</v>
      </c>
      <c r="N19">
        <f t="shared" si="6"/>
        <v>0.34853524422446092</v>
      </c>
      <c r="O19">
        <f t="shared" si="7"/>
        <v>3.3824969236237301</v>
      </c>
      <c r="P19">
        <f t="shared" si="8"/>
        <v>0.3297418639748354</v>
      </c>
      <c r="Q19">
        <f t="shared" si="9"/>
        <v>0.20769268779810804</v>
      </c>
      <c r="R19">
        <f t="shared" si="10"/>
        <v>321.43837606004536</v>
      </c>
      <c r="S19">
        <f t="shared" si="11"/>
        <v>27.62028926372642</v>
      </c>
      <c r="T19">
        <f t="shared" si="12"/>
        <v>27.564751612903201</v>
      </c>
      <c r="U19">
        <f t="shared" si="13"/>
        <v>3.6996105321356452</v>
      </c>
      <c r="V19">
        <f t="shared" si="14"/>
        <v>54.478085744435987</v>
      </c>
      <c r="W19">
        <f t="shared" si="15"/>
        <v>1.9838282606269144</v>
      </c>
      <c r="X19">
        <f t="shared" si="16"/>
        <v>3.6415160949915149</v>
      </c>
      <c r="Y19">
        <f t="shared" si="17"/>
        <v>1.7157822715087307</v>
      </c>
      <c r="Z19">
        <f t="shared" si="18"/>
        <v>-258.20791353709734</v>
      </c>
      <c r="AA19">
        <f t="shared" si="19"/>
        <v>-49.299967905991942</v>
      </c>
      <c r="AB19">
        <f t="shared" si="20"/>
        <v>-3.1589924121877035</v>
      </c>
      <c r="AC19">
        <f t="shared" si="21"/>
        <v>10.771502204768346</v>
      </c>
      <c r="AD19">
        <v>-4.11767328357414E-2</v>
      </c>
      <c r="AE19">
        <v>4.6224489888037998E-2</v>
      </c>
      <c r="AF19">
        <v>3.4547548751906199</v>
      </c>
      <c r="AG19">
        <v>168</v>
      </c>
      <c r="AH19">
        <v>34</v>
      </c>
      <c r="AI19">
        <f t="shared" si="22"/>
        <v>1</v>
      </c>
      <c r="AJ19">
        <f t="shared" si="23"/>
        <v>0</v>
      </c>
      <c r="AK19">
        <f t="shared" si="24"/>
        <v>52454.755727309399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251.918846153846</v>
      </c>
      <c r="AT19">
        <v>302.51600000000002</v>
      </c>
      <c r="AU19">
        <f t="shared" si="27"/>
        <v>0.16725447198215637</v>
      </c>
      <c r="AV19">
        <v>0.5</v>
      </c>
      <c r="AW19">
        <f t="shared" si="28"/>
        <v>1681.1867319347928</v>
      </c>
      <c r="AX19">
        <f t="shared" si="29"/>
        <v>10.666478870518826</v>
      </c>
      <c r="AY19">
        <f t="shared" si="30"/>
        <v>140.59299957658041</v>
      </c>
      <c r="AZ19">
        <f t="shared" si="31"/>
        <v>0.3978500310727367</v>
      </c>
      <c r="BA19">
        <f t="shared" si="32"/>
        <v>6.939430730037029E-3</v>
      </c>
      <c r="BB19">
        <f t="shared" si="33"/>
        <v>-1</v>
      </c>
      <c r="BC19" t="s">
        <v>296</v>
      </c>
      <c r="BD19">
        <v>182.16</v>
      </c>
      <c r="BE19">
        <f t="shared" si="34"/>
        <v>120.35600000000002</v>
      </c>
      <c r="BF19">
        <f t="shared" si="35"/>
        <v>0.42039577458667626</v>
      </c>
      <c r="BG19">
        <f t="shared" si="36"/>
        <v>1.6607158541941152</v>
      </c>
      <c r="BH19">
        <f t="shared" si="37"/>
        <v>0.16725447198215634</v>
      </c>
      <c r="BI19" t="e">
        <f t="shared" si="38"/>
        <v>#DIV/0!</v>
      </c>
      <c r="BJ19">
        <v>4541</v>
      </c>
      <c r="BK19">
        <v>300</v>
      </c>
      <c r="BL19">
        <v>300</v>
      </c>
      <c r="BM19">
        <v>300</v>
      </c>
      <c r="BN19">
        <v>9872.6299999999992</v>
      </c>
      <c r="BO19">
        <v>291.34800000000001</v>
      </c>
      <c r="BP19">
        <v>-6.5661799999999996E-3</v>
      </c>
      <c r="BQ19">
        <v>0.54904200000000003</v>
      </c>
      <c r="BR19">
        <f t="shared" si="39"/>
        <v>1999.9874193548401</v>
      </c>
      <c r="BS19">
        <f t="shared" si="40"/>
        <v>1681.1867319347928</v>
      </c>
      <c r="BT19">
        <f t="shared" si="41"/>
        <v>0.84059865360408781</v>
      </c>
      <c r="BU19">
        <f t="shared" si="42"/>
        <v>0.19119730720817563</v>
      </c>
      <c r="BV19">
        <v>0.5</v>
      </c>
      <c r="BW19" t="s">
        <v>281</v>
      </c>
      <c r="BX19">
        <v>1594047973.90645</v>
      </c>
      <c r="BY19">
        <v>195.26745161290299</v>
      </c>
      <c r="BZ19">
        <v>199.990806451613</v>
      </c>
      <c r="CA19">
        <v>19.943938709677401</v>
      </c>
      <c r="CB19">
        <v>17.648896774193499</v>
      </c>
      <c r="CC19">
        <v>500.05900000000003</v>
      </c>
      <c r="CD19">
        <v>99.270245161290305</v>
      </c>
      <c r="CE19">
        <v>0.19998935483871</v>
      </c>
      <c r="CF19">
        <v>27.294403225806501</v>
      </c>
      <c r="CG19">
        <v>27.564751612903201</v>
      </c>
      <c r="CH19">
        <v>999.9</v>
      </c>
      <c r="CI19">
        <v>10002.9664516129</v>
      </c>
      <c r="CJ19">
        <v>0</v>
      </c>
      <c r="CK19">
        <v>298.731516129032</v>
      </c>
      <c r="CL19">
        <v>1999.9874193548401</v>
      </c>
      <c r="CM19">
        <v>0.97999625806451596</v>
      </c>
      <c r="CN19">
        <v>2.0004064516128999E-2</v>
      </c>
      <c r="CO19">
        <v>0</v>
      </c>
      <c r="CP19">
        <v>251.90458064516099</v>
      </c>
      <c r="CQ19">
        <v>5.00054</v>
      </c>
      <c r="CR19">
        <v>6911.7961290322601</v>
      </c>
      <c r="CS19">
        <v>18703.4774193548</v>
      </c>
      <c r="CT19">
        <v>48.311999999999998</v>
      </c>
      <c r="CU19">
        <v>49.913032258064497</v>
      </c>
      <c r="CV19">
        <v>48.645000000000003</v>
      </c>
      <c r="CW19">
        <v>49.293999999999997</v>
      </c>
      <c r="CX19">
        <v>49.7900322580645</v>
      </c>
      <c r="CY19">
        <v>1955.07741935484</v>
      </c>
      <c r="CZ19">
        <v>39.909999999999997</v>
      </c>
      <c r="DA19">
        <v>0</v>
      </c>
      <c r="DB19">
        <v>117.5</v>
      </c>
      <c r="DC19">
        <v>251.918846153846</v>
      </c>
      <c r="DD19">
        <v>-1.4043760551948401</v>
      </c>
      <c r="DE19">
        <v>-999.13710160951098</v>
      </c>
      <c r="DF19">
        <v>6880.1130769230804</v>
      </c>
      <c r="DG19">
        <v>15</v>
      </c>
      <c r="DH19">
        <v>1594048007.9000001</v>
      </c>
      <c r="DI19" t="s">
        <v>297</v>
      </c>
      <c r="DJ19">
        <v>3</v>
      </c>
      <c r="DK19">
        <v>-0.42899999999999999</v>
      </c>
      <c r="DL19">
        <v>0.11899999999999999</v>
      </c>
      <c r="DM19">
        <v>200</v>
      </c>
      <c r="DN19">
        <v>18</v>
      </c>
      <c r="DO19">
        <v>0.75</v>
      </c>
      <c r="DP19">
        <v>0.05</v>
      </c>
      <c r="DQ19">
        <v>195.138555555556</v>
      </c>
      <c r="DR19">
        <v>1.1449542670892101E-2</v>
      </c>
      <c r="DS19">
        <v>1.5896268682449699E-2</v>
      </c>
      <c r="DT19">
        <v>1</v>
      </c>
      <c r="DU19">
        <v>19.939137037037</v>
      </c>
      <c r="DV19">
        <v>2.01233001551549E-2</v>
      </c>
      <c r="DW19">
        <v>2.85730359140275E-3</v>
      </c>
      <c r="DX19">
        <v>1</v>
      </c>
      <c r="DY19">
        <v>2</v>
      </c>
      <c r="DZ19">
        <v>2</v>
      </c>
      <c r="EA19" t="s">
        <v>283</v>
      </c>
      <c r="EB19">
        <v>1.86673</v>
      </c>
      <c r="EC19">
        <v>1.8632500000000001</v>
      </c>
      <c r="ED19">
        <v>1.86886</v>
      </c>
      <c r="EE19">
        <v>1.86676</v>
      </c>
      <c r="EF19">
        <v>1.8714900000000001</v>
      </c>
      <c r="EG19">
        <v>1.86392</v>
      </c>
      <c r="EH19">
        <v>1.8654299999999999</v>
      </c>
      <c r="EI19">
        <v>1.8653900000000001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-0.42899999999999999</v>
      </c>
      <c r="EX19">
        <v>0.11899999999999999</v>
      </c>
      <c r="EY19">
        <v>2</v>
      </c>
      <c r="EZ19">
        <v>318.03399999999999</v>
      </c>
      <c r="FA19">
        <v>469.12099999999998</v>
      </c>
      <c r="FB19">
        <v>21.420100000000001</v>
      </c>
      <c r="FC19">
        <v>38.537399999999998</v>
      </c>
      <c r="FD19">
        <v>30.000699999999998</v>
      </c>
      <c r="FE19">
        <v>38.221600000000002</v>
      </c>
      <c r="FF19">
        <v>38.179900000000004</v>
      </c>
      <c r="FG19">
        <v>12.9133</v>
      </c>
      <c r="FH19">
        <v>46.999000000000002</v>
      </c>
      <c r="FI19">
        <v>0</v>
      </c>
      <c r="FJ19">
        <v>17.783200000000001</v>
      </c>
      <c r="FK19">
        <v>200</v>
      </c>
      <c r="FL19">
        <v>17.822700000000001</v>
      </c>
      <c r="FM19">
        <v>99.832099999999997</v>
      </c>
      <c r="FN19">
        <v>100.158</v>
      </c>
    </row>
    <row r="20" spans="1:170" x14ac:dyDescent="0.25">
      <c r="A20">
        <v>4</v>
      </c>
      <c r="B20">
        <v>1594048099.4000001</v>
      </c>
      <c r="C20">
        <v>353.5</v>
      </c>
      <c r="D20" t="s">
        <v>298</v>
      </c>
      <c r="E20" t="s">
        <v>299</v>
      </c>
      <c r="G20">
        <v>1594048091.40323</v>
      </c>
      <c r="H20">
        <f t="shared" si="0"/>
        <v>5.6661200104584745E-3</v>
      </c>
      <c r="I20">
        <f t="shared" si="1"/>
        <v>3.6104957160895288</v>
      </c>
      <c r="J20">
        <f t="shared" si="2"/>
        <v>98.319500000000005</v>
      </c>
      <c r="K20">
        <f t="shared" si="3"/>
        <v>78.154458330054382</v>
      </c>
      <c r="L20">
        <f t="shared" si="4"/>
        <v>7.7740899248900082</v>
      </c>
      <c r="M20">
        <f t="shared" si="5"/>
        <v>9.7799236371432148</v>
      </c>
      <c r="N20">
        <f t="shared" si="6"/>
        <v>0.3417732137739396</v>
      </c>
      <c r="O20">
        <f t="shared" si="7"/>
        <v>3.3803431111908315</v>
      </c>
      <c r="P20">
        <f t="shared" si="8"/>
        <v>0.32367079542695809</v>
      </c>
      <c r="Q20">
        <f t="shared" si="9"/>
        <v>0.20384074065788821</v>
      </c>
      <c r="R20">
        <f t="shared" si="10"/>
        <v>321.44197991483463</v>
      </c>
      <c r="S20">
        <f t="shared" si="11"/>
        <v>27.510902069220982</v>
      </c>
      <c r="T20">
        <f t="shared" si="12"/>
        <v>27.500825806451601</v>
      </c>
      <c r="U20">
        <f t="shared" si="13"/>
        <v>3.6858011742149248</v>
      </c>
      <c r="V20">
        <f t="shared" si="14"/>
        <v>55.25512815083259</v>
      </c>
      <c r="W20">
        <f t="shared" si="15"/>
        <v>1.994199821287808</v>
      </c>
      <c r="X20">
        <f t="shared" si="16"/>
        <v>3.6090764568388014</v>
      </c>
      <c r="Y20">
        <f t="shared" si="17"/>
        <v>1.6916013529271168</v>
      </c>
      <c r="Z20">
        <f t="shared" si="18"/>
        <v>-249.87589246121874</v>
      </c>
      <c r="AA20">
        <f t="shared" si="19"/>
        <v>-65.429242749014904</v>
      </c>
      <c r="AB20">
        <f t="shared" si="20"/>
        <v>-4.1906455994776532</v>
      </c>
      <c r="AC20">
        <f t="shared" si="21"/>
        <v>1.9461991051233412</v>
      </c>
      <c r="AD20">
        <v>-4.1143427085702101E-2</v>
      </c>
      <c r="AE20">
        <v>4.61871012658749E-2</v>
      </c>
      <c r="AF20">
        <v>3.4525426170018898</v>
      </c>
      <c r="AG20">
        <v>167</v>
      </c>
      <c r="AH20">
        <v>33</v>
      </c>
      <c r="AI20">
        <f t="shared" si="22"/>
        <v>1</v>
      </c>
      <c r="AJ20">
        <f t="shared" si="23"/>
        <v>0</v>
      </c>
      <c r="AK20">
        <f t="shared" si="24"/>
        <v>52440.722092665237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254.28088461538499</v>
      </c>
      <c r="AT20">
        <v>296.03399999999999</v>
      </c>
      <c r="AU20">
        <f t="shared" si="27"/>
        <v>0.14104162151852495</v>
      </c>
      <c r="AV20">
        <v>0.5</v>
      </c>
      <c r="AW20">
        <f t="shared" si="28"/>
        <v>1681.2056996767305</v>
      </c>
      <c r="AX20">
        <f t="shared" si="29"/>
        <v>3.6104957160895288</v>
      </c>
      <c r="AY20">
        <f t="shared" si="30"/>
        <v>118.55998899429618</v>
      </c>
      <c r="AZ20">
        <f t="shared" si="31"/>
        <v>0.36047886391428013</v>
      </c>
      <c r="BA20">
        <f t="shared" si="32"/>
        <v>2.7423745452302803E-3</v>
      </c>
      <c r="BB20">
        <f t="shared" si="33"/>
        <v>-1</v>
      </c>
      <c r="BC20" t="s">
        <v>301</v>
      </c>
      <c r="BD20">
        <v>189.32</v>
      </c>
      <c r="BE20">
        <f t="shared" si="34"/>
        <v>106.714</v>
      </c>
      <c r="BF20">
        <f t="shared" si="35"/>
        <v>0.39126183429179867</v>
      </c>
      <c r="BG20">
        <f t="shared" si="36"/>
        <v>1.5636699767589266</v>
      </c>
      <c r="BH20">
        <f t="shared" si="37"/>
        <v>0.1410416215185249</v>
      </c>
      <c r="BI20" t="e">
        <f t="shared" si="38"/>
        <v>#DIV/0!</v>
      </c>
      <c r="BJ20">
        <v>4543</v>
      </c>
      <c r="BK20">
        <v>300</v>
      </c>
      <c r="BL20">
        <v>300</v>
      </c>
      <c r="BM20">
        <v>300</v>
      </c>
      <c r="BN20">
        <v>9872.43</v>
      </c>
      <c r="BO20">
        <v>286.11200000000002</v>
      </c>
      <c r="BP20">
        <v>-6.5661900000000004E-3</v>
      </c>
      <c r="BQ20">
        <v>0.63195800000000002</v>
      </c>
      <c r="BR20">
        <f t="shared" si="39"/>
        <v>2000.01</v>
      </c>
      <c r="BS20">
        <f t="shared" si="40"/>
        <v>1681.2056996767305</v>
      </c>
      <c r="BT20">
        <f t="shared" si="41"/>
        <v>0.84059864684513108</v>
      </c>
      <c r="BU20">
        <f t="shared" si="42"/>
        <v>0.19119729369026223</v>
      </c>
      <c r="BV20">
        <v>0.5</v>
      </c>
      <c r="BW20" t="s">
        <v>281</v>
      </c>
      <c r="BX20">
        <v>1594048091.40323</v>
      </c>
      <c r="BY20">
        <v>98.319500000000005</v>
      </c>
      <c r="BZ20">
        <v>99.986325806451603</v>
      </c>
      <c r="CA20">
        <v>20.048083870967702</v>
      </c>
      <c r="CB20">
        <v>17.8273516129032</v>
      </c>
      <c r="CC20">
        <v>500.06254838709702</v>
      </c>
      <c r="CD20">
        <v>99.270835483870997</v>
      </c>
      <c r="CE20">
        <v>0.20000841935483901</v>
      </c>
      <c r="CF20">
        <v>27.1418</v>
      </c>
      <c r="CG20">
        <v>27.500825806451601</v>
      </c>
      <c r="CH20">
        <v>999.9</v>
      </c>
      <c r="CI20">
        <v>9994.8161290322605</v>
      </c>
      <c r="CJ20">
        <v>0</v>
      </c>
      <c r="CK20">
        <v>288.93074193548398</v>
      </c>
      <c r="CL20">
        <v>2000.01</v>
      </c>
      <c r="CM20">
        <v>0.97999645161290305</v>
      </c>
      <c r="CN20">
        <v>2.0003812903225799E-2</v>
      </c>
      <c r="CO20">
        <v>0</v>
      </c>
      <c r="CP20">
        <v>254.25741935483899</v>
      </c>
      <c r="CQ20">
        <v>5.00054</v>
      </c>
      <c r="CR20">
        <v>6827.7712903225802</v>
      </c>
      <c r="CS20">
        <v>18703.7</v>
      </c>
      <c r="CT20">
        <v>48.2296774193548</v>
      </c>
      <c r="CU20">
        <v>49.8223870967742</v>
      </c>
      <c r="CV20">
        <v>48.5741935483871</v>
      </c>
      <c r="CW20">
        <v>49.233677419354798</v>
      </c>
      <c r="CX20">
        <v>49.687161290322599</v>
      </c>
      <c r="CY20">
        <v>1955.1</v>
      </c>
      <c r="CZ20">
        <v>39.909999999999997</v>
      </c>
      <c r="DA20">
        <v>0</v>
      </c>
      <c r="DB20">
        <v>116.60000014305101</v>
      </c>
      <c r="DC20">
        <v>254.28088461538499</v>
      </c>
      <c r="DD20">
        <v>-0.43558973242701499</v>
      </c>
      <c r="DE20">
        <v>-230.838290763364</v>
      </c>
      <c r="DF20">
        <v>6826.90846153846</v>
      </c>
      <c r="DG20">
        <v>15</v>
      </c>
      <c r="DH20">
        <v>1594048124.9000001</v>
      </c>
      <c r="DI20" t="s">
        <v>302</v>
      </c>
      <c r="DJ20">
        <v>4</v>
      </c>
      <c r="DK20">
        <v>-0.46100000000000002</v>
      </c>
      <c r="DL20">
        <v>0.121</v>
      </c>
      <c r="DM20">
        <v>100</v>
      </c>
      <c r="DN20">
        <v>18</v>
      </c>
      <c r="DO20">
        <v>0.71</v>
      </c>
      <c r="DP20">
        <v>0.04</v>
      </c>
      <c r="DQ20">
        <v>98.348872222222198</v>
      </c>
      <c r="DR20">
        <v>4.4117331889410798E-2</v>
      </c>
      <c r="DS20">
        <v>1.4525984592965901E-2</v>
      </c>
      <c r="DT20">
        <v>1</v>
      </c>
      <c r="DU20">
        <v>20.0437222222222</v>
      </c>
      <c r="DV20">
        <v>2.6700380138820499E-2</v>
      </c>
      <c r="DW20">
        <v>3.5967406370037E-3</v>
      </c>
      <c r="DX20">
        <v>1</v>
      </c>
      <c r="DY20">
        <v>2</v>
      </c>
      <c r="DZ20">
        <v>2</v>
      </c>
      <c r="EA20" t="s">
        <v>283</v>
      </c>
      <c r="EB20">
        <v>1.8667</v>
      </c>
      <c r="EC20">
        <v>1.8632500000000001</v>
      </c>
      <c r="ED20">
        <v>1.8688800000000001</v>
      </c>
      <c r="EE20">
        <v>1.86676</v>
      </c>
      <c r="EF20">
        <v>1.8714900000000001</v>
      </c>
      <c r="EG20">
        <v>1.8639300000000001</v>
      </c>
      <c r="EH20">
        <v>1.8653999999999999</v>
      </c>
      <c r="EI20">
        <v>1.8653900000000001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-0.46100000000000002</v>
      </c>
      <c r="EX20">
        <v>0.121</v>
      </c>
      <c r="EY20">
        <v>2</v>
      </c>
      <c r="EZ20">
        <v>318.255</v>
      </c>
      <c r="FA20">
        <v>467.20600000000002</v>
      </c>
      <c r="FB20">
        <v>21.284600000000001</v>
      </c>
      <c r="FC20">
        <v>38.623199999999997</v>
      </c>
      <c r="FD20">
        <v>30.000399999999999</v>
      </c>
      <c r="FE20">
        <v>38.347799999999999</v>
      </c>
      <c r="FF20">
        <v>38.308799999999998</v>
      </c>
      <c r="FG20">
        <v>8.0978700000000003</v>
      </c>
      <c r="FH20">
        <v>47.241300000000003</v>
      </c>
      <c r="FI20">
        <v>0</v>
      </c>
      <c r="FJ20">
        <v>17.866399999999999</v>
      </c>
      <c r="FK20">
        <v>100</v>
      </c>
      <c r="FL20">
        <v>17.8203</v>
      </c>
      <c r="FM20">
        <v>99.817300000000003</v>
      </c>
      <c r="FN20">
        <v>100.15</v>
      </c>
    </row>
    <row r="21" spans="1:170" x14ac:dyDescent="0.25">
      <c r="A21">
        <v>5</v>
      </c>
      <c r="B21">
        <v>1594048216.4000001</v>
      </c>
      <c r="C21">
        <v>470.5</v>
      </c>
      <c r="D21" t="s">
        <v>303</v>
      </c>
      <c r="E21" t="s">
        <v>304</v>
      </c>
      <c r="G21">
        <v>1594048208.40323</v>
      </c>
      <c r="H21">
        <f t="shared" si="0"/>
        <v>5.7695912873776661E-3</v>
      </c>
      <c r="I21">
        <f t="shared" si="1"/>
        <v>-0.14751840581938924</v>
      </c>
      <c r="J21">
        <f t="shared" si="2"/>
        <v>49.919193548387099</v>
      </c>
      <c r="K21">
        <f t="shared" si="3"/>
        <v>49.242806746359165</v>
      </c>
      <c r="L21">
        <f t="shared" si="4"/>
        <v>4.8983465946439528</v>
      </c>
      <c r="M21">
        <f t="shared" si="5"/>
        <v>4.9656290508500183</v>
      </c>
      <c r="N21">
        <f t="shared" si="6"/>
        <v>0.34351298264798064</v>
      </c>
      <c r="O21">
        <f t="shared" si="7"/>
        <v>3.3797058273881002</v>
      </c>
      <c r="P21">
        <f t="shared" si="8"/>
        <v>0.32522784058365856</v>
      </c>
      <c r="Q21">
        <f t="shared" si="9"/>
        <v>0.20482910109272645</v>
      </c>
      <c r="R21">
        <f t="shared" si="10"/>
        <v>321.44077551813132</v>
      </c>
      <c r="S21">
        <f t="shared" si="11"/>
        <v>27.567225778945925</v>
      </c>
      <c r="T21">
        <f t="shared" si="12"/>
        <v>27.566493548387101</v>
      </c>
      <c r="U21">
        <f t="shared" si="13"/>
        <v>3.6999874589574513</v>
      </c>
      <c r="V21">
        <f t="shared" si="14"/>
        <v>54.763964023235282</v>
      </c>
      <c r="W21">
        <f t="shared" si="15"/>
        <v>1.9857481568728734</v>
      </c>
      <c r="X21">
        <f t="shared" si="16"/>
        <v>3.6260124559835725</v>
      </c>
      <c r="Y21">
        <f t="shared" si="17"/>
        <v>1.7142393020845779</v>
      </c>
      <c r="Z21">
        <f t="shared" si="18"/>
        <v>-254.43897577335508</v>
      </c>
      <c r="AA21">
        <f t="shared" si="19"/>
        <v>-62.838388916864737</v>
      </c>
      <c r="AB21">
        <f t="shared" si="20"/>
        <v>-4.0283899036757909</v>
      </c>
      <c r="AC21">
        <f t="shared" si="21"/>
        <v>0.13502092423568257</v>
      </c>
      <c r="AD21">
        <v>-4.1133574190333901E-2</v>
      </c>
      <c r="AE21">
        <v>4.6176040527662998E-2</v>
      </c>
      <c r="AF21">
        <v>3.4518880430941099</v>
      </c>
      <c r="AG21">
        <v>168</v>
      </c>
      <c r="AH21">
        <v>34</v>
      </c>
      <c r="AI21">
        <f t="shared" si="22"/>
        <v>1</v>
      </c>
      <c r="AJ21">
        <f t="shared" si="23"/>
        <v>0</v>
      </c>
      <c r="AK21">
        <f t="shared" si="24"/>
        <v>52414.789516640485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255.88323076923101</v>
      </c>
      <c r="AT21">
        <v>292.488</v>
      </c>
      <c r="AU21">
        <f t="shared" si="27"/>
        <v>0.12514964453505439</v>
      </c>
      <c r="AV21">
        <v>0.5</v>
      </c>
      <c r="AW21">
        <f t="shared" si="28"/>
        <v>1681.1997000629558</v>
      </c>
      <c r="AX21">
        <f t="shared" si="29"/>
        <v>-0.14751840581938924</v>
      </c>
      <c r="AY21">
        <f t="shared" si="30"/>
        <v>105.20077242765949</v>
      </c>
      <c r="AZ21">
        <f t="shared" si="31"/>
        <v>0.349238259347392</v>
      </c>
      <c r="BA21">
        <f t="shared" si="32"/>
        <v>5.0706741986016762E-4</v>
      </c>
      <c r="BB21">
        <f t="shared" si="33"/>
        <v>-1</v>
      </c>
      <c r="BC21" t="s">
        <v>306</v>
      </c>
      <c r="BD21">
        <v>190.34</v>
      </c>
      <c r="BE21">
        <f t="shared" si="34"/>
        <v>102.148</v>
      </c>
      <c r="BF21">
        <f t="shared" si="35"/>
        <v>0.35835032727776361</v>
      </c>
      <c r="BG21">
        <f t="shared" si="36"/>
        <v>1.5366607124093727</v>
      </c>
      <c r="BH21">
        <f t="shared" si="37"/>
        <v>0.12514964453505442</v>
      </c>
      <c r="BI21" t="e">
        <f t="shared" si="38"/>
        <v>#DIV/0!</v>
      </c>
      <c r="BJ21">
        <v>4545</v>
      </c>
      <c r="BK21">
        <v>300</v>
      </c>
      <c r="BL21">
        <v>300</v>
      </c>
      <c r="BM21">
        <v>300</v>
      </c>
      <c r="BN21">
        <v>9872.1200000000008</v>
      </c>
      <c r="BO21">
        <v>283.32100000000003</v>
      </c>
      <c r="BP21">
        <v>-6.5659200000000003E-3</v>
      </c>
      <c r="BQ21">
        <v>0.427979</v>
      </c>
      <c r="BR21">
        <f t="shared" si="39"/>
        <v>2000.0029032258101</v>
      </c>
      <c r="BS21">
        <f t="shared" si="40"/>
        <v>1681.1997000629558</v>
      </c>
      <c r="BT21">
        <f t="shared" si="41"/>
        <v>0.84059862980765887</v>
      </c>
      <c r="BU21">
        <f t="shared" si="42"/>
        <v>0.19119725961531775</v>
      </c>
      <c r="BV21">
        <v>0.5</v>
      </c>
      <c r="BW21" t="s">
        <v>281</v>
      </c>
      <c r="BX21">
        <v>1594048208.40323</v>
      </c>
      <c r="BY21">
        <v>49.919193548387099</v>
      </c>
      <c r="BZ21">
        <v>49.975383870967804</v>
      </c>
      <c r="CA21">
        <v>19.962616129032298</v>
      </c>
      <c r="CB21">
        <v>17.7011580645161</v>
      </c>
      <c r="CC21">
        <v>500.06809677419398</v>
      </c>
      <c r="CD21">
        <v>99.273329032258005</v>
      </c>
      <c r="CE21">
        <v>0.20001374193548399</v>
      </c>
      <c r="CF21">
        <v>27.221619354838701</v>
      </c>
      <c r="CG21">
        <v>27.566493548387101</v>
      </c>
      <c r="CH21">
        <v>999.9</v>
      </c>
      <c r="CI21">
        <v>9992.1716129032302</v>
      </c>
      <c r="CJ21">
        <v>0</v>
      </c>
      <c r="CK21">
        <v>287.044548387097</v>
      </c>
      <c r="CL21">
        <v>2000.0029032258101</v>
      </c>
      <c r="CM21">
        <v>0.979997096774193</v>
      </c>
      <c r="CN21">
        <v>2.0002974193548399E-2</v>
      </c>
      <c r="CO21">
        <v>0</v>
      </c>
      <c r="CP21">
        <v>255.89203225806401</v>
      </c>
      <c r="CQ21">
        <v>5.00054</v>
      </c>
      <c r="CR21">
        <v>6773.52193548387</v>
      </c>
      <c r="CS21">
        <v>18703.635483870999</v>
      </c>
      <c r="CT21">
        <v>48.332322580645098</v>
      </c>
      <c r="CU21">
        <v>50.126838709677401</v>
      </c>
      <c r="CV21">
        <v>48.689193548387102</v>
      </c>
      <c r="CW21">
        <v>49.501838709677401</v>
      </c>
      <c r="CX21">
        <v>49.802193548387102</v>
      </c>
      <c r="CY21">
        <v>1955.0935483871001</v>
      </c>
      <c r="CZ21">
        <v>39.908709677419402</v>
      </c>
      <c r="DA21">
        <v>0</v>
      </c>
      <c r="DB21">
        <v>116</v>
      </c>
      <c r="DC21">
        <v>255.88323076923101</v>
      </c>
      <c r="DD21">
        <v>-1.18167520555492</v>
      </c>
      <c r="DE21">
        <v>-6.9405128259651496</v>
      </c>
      <c r="DF21">
        <v>6773.4988461538496</v>
      </c>
      <c r="DG21">
        <v>15</v>
      </c>
      <c r="DH21">
        <v>1594048241.9000001</v>
      </c>
      <c r="DI21" t="s">
        <v>307</v>
      </c>
      <c r="DJ21">
        <v>5</v>
      </c>
      <c r="DK21">
        <v>-0.44</v>
      </c>
      <c r="DL21">
        <v>0.11899999999999999</v>
      </c>
      <c r="DM21">
        <v>50</v>
      </c>
      <c r="DN21">
        <v>18</v>
      </c>
      <c r="DO21">
        <v>0.6</v>
      </c>
      <c r="DP21">
        <v>0.04</v>
      </c>
      <c r="DQ21">
        <v>49.900835185185201</v>
      </c>
      <c r="DR21">
        <v>2.2685760643825002E-3</v>
      </c>
      <c r="DS21">
        <v>1.29243261506038E-2</v>
      </c>
      <c r="DT21">
        <v>1</v>
      </c>
      <c r="DU21">
        <v>19.957779629629599</v>
      </c>
      <c r="DV21">
        <v>7.0487212443927194E-2</v>
      </c>
      <c r="DW21">
        <v>9.1880635051101098E-3</v>
      </c>
      <c r="DX21">
        <v>1</v>
      </c>
      <c r="DY21">
        <v>2</v>
      </c>
      <c r="DZ21">
        <v>2</v>
      </c>
      <c r="EA21" t="s">
        <v>283</v>
      </c>
      <c r="EB21">
        <v>1.8667199999999999</v>
      </c>
      <c r="EC21">
        <v>1.8632500000000001</v>
      </c>
      <c r="ED21">
        <v>1.8688800000000001</v>
      </c>
      <c r="EE21">
        <v>1.86676</v>
      </c>
      <c r="EF21">
        <v>1.8714900000000001</v>
      </c>
      <c r="EG21">
        <v>1.86391</v>
      </c>
      <c r="EH21">
        <v>1.8653999999999999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-0.44</v>
      </c>
      <c r="EX21">
        <v>0.11899999999999999</v>
      </c>
      <c r="EY21">
        <v>2</v>
      </c>
      <c r="EZ21">
        <v>317.68299999999999</v>
      </c>
      <c r="FA21">
        <v>465.52699999999999</v>
      </c>
      <c r="FB21">
        <v>21.488499999999998</v>
      </c>
      <c r="FC21">
        <v>38.748199999999997</v>
      </c>
      <c r="FD21">
        <v>30.000599999999999</v>
      </c>
      <c r="FE21">
        <v>38.4863</v>
      </c>
      <c r="FF21">
        <v>38.453000000000003</v>
      </c>
      <c r="FG21">
        <v>5.6654400000000003</v>
      </c>
      <c r="FH21">
        <v>47.867699999999999</v>
      </c>
      <c r="FI21">
        <v>0</v>
      </c>
      <c r="FJ21">
        <v>17.805199999999999</v>
      </c>
      <c r="FK21">
        <v>50</v>
      </c>
      <c r="FL21">
        <v>17.781099999999999</v>
      </c>
      <c r="FM21">
        <v>99.793499999999995</v>
      </c>
      <c r="FN21">
        <v>100.126</v>
      </c>
    </row>
    <row r="22" spans="1:170" x14ac:dyDescent="0.25">
      <c r="A22">
        <v>6</v>
      </c>
      <c r="B22">
        <v>1594048337.4000001</v>
      </c>
      <c r="C22">
        <v>591.5</v>
      </c>
      <c r="D22" t="s">
        <v>308</v>
      </c>
      <c r="E22" t="s">
        <v>309</v>
      </c>
      <c r="G22">
        <v>1594048329.4451599</v>
      </c>
      <c r="H22">
        <f t="shared" si="0"/>
        <v>5.8811807260756828E-3</v>
      </c>
      <c r="I22">
        <f t="shared" si="1"/>
        <v>23.297477602599752</v>
      </c>
      <c r="J22">
        <f t="shared" si="2"/>
        <v>389.75945161290298</v>
      </c>
      <c r="K22">
        <f t="shared" si="3"/>
        <v>271.36598960846948</v>
      </c>
      <c r="L22">
        <f t="shared" si="4"/>
        <v>26.994678995182433</v>
      </c>
      <c r="M22">
        <f t="shared" si="5"/>
        <v>38.772107355122579</v>
      </c>
      <c r="N22">
        <f t="shared" si="6"/>
        <v>0.35823963703195094</v>
      </c>
      <c r="O22">
        <f t="shared" si="7"/>
        <v>3.3826822150927391</v>
      </c>
      <c r="P22">
        <f t="shared" si="8"/>
        <v>0.33841812078973565</v>
      </c>
      <c r="Q22">
        <f t="shared" si="9"/>
        <v>0.21320076528270823</v>
      </c>
      <c r="R22">
        <f t="shared" si="10"/>
        <v>321.43779036151335</v>
      </c>
      <c r="S22">
        <f t="shared" si="11"/>
        <v>27.512544739131709</v>
      </c>
      <c r="T22">
        <f t="shared" si="12"/>
        <v>27.4400193548387</v>
      </c>
      <c r="U22">
        <f t="shared" si="13"/>
        <v>3.6727074302695142</v>
      </c>
      <c r="V22">
        <f t="shared" si="14"/>
        <v>55.06266009527382</v>
      </c>
      <c r="W22">
        <f t="shared" si="15"/>
        <v>1.9931837536905106</v>
      </c>
      <c r="X22">
        <f t="shared" si="16"/>
        <v>3.6198464626331979</v>
      </c>
      <c r="Y22">
        <f t="shared" si="17"/>
        <v>1.6795236765790036</v>
      </c>
      <c r="Z22">
        <f t="shared" si="18"/>
        <v>-259.36007001993761</v>
      </c>
      <c r="AA22">
        <f t="shared" si="19"/>
        <v>-45.121754237928613</v>
      </c>
      <c r="AB22">
        <f t="shared" si="20"/>
        <v>-2.88783786250321</v>
      </c>
      <c r="AC22">
        <f t="shared" si="21"/>
        <v>14.068128241143924</v>
      </c>
      <c r="AD22">
        <v>-4.1179598558119403E-2</v>
      </c>
      <c r="AE22">
        <v>4.6227706912458297E-2</v>
      </c>
      <c r="AF22">
        <v>3.4549451955002999</v>
      </c>
      <c r="AG22">
        <v>168</v>
      </c>
      <c r="AH22">
        <v>34</v>
      </c>
      <c r="AI22">
        <f t="shared" si="22"/>
        <v>1</v>
      </c>
      <c r="AJ22">
        <f t="shared" si="23"/>
        <v>0</v>
      </c>
      <c r="AK22">
        <f t="shared" si="24"/>
        <v>52476.194380226822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248.099115384615</v>
      </c>
      <c r="AT22">
        <v>310.714</v>
      </c>
      <c r="AU22">
        <f t="shared" si="27"/>
        <v>0.20151935418225442</v>
      </c>
      <c r="AV22">
        <v>0.5</v>
      </c>
      <c r="AW22">
        <f t="shared" si="28"/>
        <v>1681.1859321843617</v>
      </c>
      <c r="AX22">
        <f t="shared" si="29"/>
        <v>23.297477602599752</v>
      </c>
      <c r="AY22">
        <f t="shared" si="30"/>
        <v>169.39575165704198</v>
      </c>
      <c r="AZ22">
        <f t="shared" si="31"/>
        <v>0.4383259202996968</v>
      </c>
      <c r="BA22">
        <f t="shared" si="32"/>
        <v>1.445258203596201E-2</v>
      </c>
      <c r="BB22">
        <f t="shared" si="33"/>
        <v>-1</v>
      </c>
      <c r="BC22" t="s">
        <v>311</v>
      </c>
      <c r="BD22">
        <v>174.52</v>
      </c>
      <c r="BE22">
        <f t="shared" si="34"/>
        <v>136.19399999999999</v>
      </c>
      <c r="BF22">
        <f t="shared" si="35"/>
        <v>0.45974774670973023</v>
      </c>
      <c r="BG22">
        <f t="shared" si="36"/>
        <v>1.7803919321567727</v>
      </c>
      <c r="BH22">
        <f t="shared" si="37"/>
        <v>0.20151935418225439</v>
      </c>
      <c r="BI22" t="e">
        <f t="shared" si="38"/>
        <v>#DIV/0!</v>
      </c>
      <c r="BJ22">
        <v>4547</v>
      </c>
      <c r="BK22">
        <v>300</v>
      </c>
      <c r="BL22">
        <v>300</v>
      </c>
      <c r="BM22">
        <v>300</v>
      </c>
      <c r="BN22">
        <v>9871.94</v>
      </c>
      <c r="BO22">
        <v>294.23099999999999</v>
      </c>
      <c r="BP22">
        <v>-6.56582E-3</v>
      </c>
      <c r="BQ22">
        <v>0.45599400000000001</v>
      </c>
      <c r="BR22">
        <f t="shared" si="39"/>
        <v>1999.98677419355</v>
      </c>
      <c r="BS22">
        <f t="shared" si="40"/>
        <v>1681.1859321843617</v>
      </c>
      <c r="BT22">
        <f t="shared" si="41"/>
        <v>0.84059852488887699</v>
      </c>
      <c r="BU22">
        <f t="shared" si="42"/>
        <v>0.19119704977775412</v>
      </c>
      <c r="BV22">
        <v>0.5</v>
      </c>
      <c r="BW22" t="s">
        <v>281</v>
      </c>
      <c r="BX22">
        <v>1594048329.4451599</v>
      </c>
      <c r="BY22">
        <v>389.75945161290298</v>
      </c>
      <c r="BZ22">
        <v>399.99403225806401</v>
      </c>
      <c r="CA22">
        <v>20.0366258064516</v>
      </c>
      <c r="CB22">
        <v>17.7315838709677</v>
      </c>
      <c r="CC22">
        <v>500.06393548387098</v>
      </c>
      <c r="CD22">
        <v>99.277035483870904</v>
      </c>
      <c r="CE22">
        <v>0.199980903225806</v>
      </c>
      <c r="CF22">
        <v>27.1925967741935</v>
      </c>
      <c r="CG22">
        <v>27.4400193548387</v>
      </c>
      <c r="CH22">
        <v>999.9</v>
      </c>
      <c r="CI22">
        <v>10002.9783870968</v>
      </c>
      <c r="CJ22">
        <v>0</v>
      </c>
      <c r="CK22">
        <v>287.59290322580603</v>
      </c>
      <c r="CL22">
        <v>1999.98677419355</v>
      </c>
      <c r="CM22">
        <v>0.97999729032258098</v>
      </c>
      <c r="CN22">
        <v>2.0002722580645199E-2</v>
      </c>
      <c r="CO22">
        <v>0</v>
      </c>
      <c r="CP22">
        <v>248.11864516129</v>
      </c>
      <c r="CQ22">
        <v>5.00054</v>
      </c>
      <c r="CR22">
        <v>6629.7196774193599</v>
      </c>
      <c r="CS22">
        <v>18703.496774193602</v>
      </c>
      <c r="CT22">
        <v>48.401000000000003</v>
      </c>
      <c r="CU22">
        <v>50.303935483870902</v>
      </c>
      <c r="CV22">
        <v>48.783999999999999</v>
      </c>
      <c r="CW22">
        <v>49.687064516128999</v>
      </c>
      <c r="CX22">
        <v>49.886870967741899</v>
      </c>
      <c r="CY22">
        <v>1955.07967741936</v>
      </c>
      <c r="CZ22">
        <v>39.901290322580699</v>
      </c>
      <c r="DA22">
        <v>0</v>
      </c>
      <c r="DB22">
        <v>120.200000047684</v>
      </c>
      <c r="DC22">
        <v>248.099115384615</v>
      </c>
      <c r="DD22">
        <v>0.87743591656783804</v>
      </c>
      <c r="DE22">
        <v>-8.6912822109100407</v>
      </c>
      <c r="DF22">
        <v>6629.55307692308</v>
      </c>
      <c r="DG22">
        <v>15</v>
      </c>
      <c r="DH22">
        <v>1594048364</v>
      </c>
      <c r="DI22" t="s">
        <v>312</v>
      </c>
      <c r="DJ22">
        <v>6</v>
      </c>
      <c r="DK22">
        <v>-0.38900000000000001</v>
      </c>
      <c r="DL22">
        <v>0.11899999999999999</v>
      </c>
      <c r="DM22">
        <v>400</v>
      </c>
      <c r="DN22">
        <v>18</v>
      </c>
      <c r="DO22">
        <v>0.41</v>
      </c>
      <c r="DP22">
        <v>0.04</v>
      </c>
      <c r="DQ22">
        <v>389.68035185185198</v>
      </c>
      <c r="DR22">
        <v>0.28506793776196498</v>
      </c>
      <c r="DS22">
        <v>4.2851663785246803E-2</v>
      </c>
      <c r="DT22">
        <v>1</v>
      </c>
      <c r="DU22">
        <v>20.0311703703704</v>
      </c>
      <c r="DV22">
        <v>5.3267847780194902E-2</v>
      </c>
      <c r="DW22">
        <v>7.0351137722678E-3</v>
      </c>
      <c r="DX22">
        <v>1</v>
      </c>
      <c r="DY22">
        <v>2</v>
      </c>
      <c r="DZ22">
        <v>2</v>
      </c>
      <c r="EA22" t="s">
        <v>283</v>
      </c>
      <c r="EB22">
        <v>1.86673</v>
      </c>
      <c r="EC22">
        <v>1.8632500000000001</v>
      </c>
      <c r="ED22">
        <v>1.8688499999999999</v>
      </c>
      <c r="EE22">
        <v>1.86676</v>
      </c>
      <c r="EF22">
        <v>1.8714900000000001</v>
      </c>
      <c r="EG22">
        <v>1.8638999999999999</v>
      </c>
      <c r="EH22">
        <v>1.8654200000000001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-0.38900000000000001</v>
      </c>
      <c r="EX22">
        <v>0.11899999999999999</v>
      </c>
      <c r="EY22">
        <v>2</v>
      </c>
      <c r="EZ22">
        <v>318.02100000000002</v>
      </c>
      <c r="FA22">
        <v>464.37400000000002</v>
      </c>
      <c r="FB22">
        <v>21.452999999999999</v>
      </c>
      <c r="FC22">
        <v>38.8825</v>
      </c>
      <c r="FD22">
        <v>30.000499999999999</v>
      </c>
      <c r="FE22">
        <v>38.636499999999998</v>
      </c>
      <c r="FF22">
        <v>38.6038</v>
      </c>
      <c r="FG22">
        <v>22.062000000000001</v>
      </c>
      <c r="FH22">
        <v>48.319400000000002</v>
      </c>
      <c r="FI22">
        <v>0</v>
      </c>
      <c r="FJ22">
        <v>17.863499999999998</v>
      </c>
      <c r="FK22">
        <v>400</v>
      </c>
      <c r="FL22">
        <v>17.748799999999999</v>
      </c>
      <c r="FM22">
        <v>99.765500000000003</v>
      </c>
      <c r="FN22">
        <v>100.1</v>
      </c>
    </row>
    <row r="23" spans="1:170" x14ac:dyDescent="0.25">
      <c r="A23">
        <v>7</v>
      </c>
      <c r="B23">
        <v>1594048455.5</v>
      </c>
      <c r="C23">
        <v>709.59999990463302</v>
      </c>
      <c r="D23" t="s">
        <v>313</v>
      </c>
      <c r="E23" t="s">
        <v>314</v>
      </c>
      <c r="G23">
        <v>1594048447.44839</v>
      </c>
      <c r="H23">
        <f t="shared" si="0"/>
        <v>5.9188157870041181E-3</v>
      </c>
      <c r="I23">
        <f t="shared" si="1"/>
        <v>23.834874463719352</v>
      </c>
      <c r="J23">
        <f t="shared" si="2"/>
        <v>389.52677419354802</v>
      </c>
      <c r="K23">
        <f t="shared" si="3"/>
        <v>268.26059763362497</v>
      </c>
      <c r="L23">
        <f t="shared" si="4"/>
        <v>26.685246054630525</v>
      </c>
      <c r="M23">
        <f t="shared" si="5"/>
        <v>38.748209412467318</v>
      </c>
      <c r="N23">
        <f t="shared" si="6"/>
        <v>0.35719760861422223</v>
      </c>
      <c r="O23">
        <f t="shared" si="7"/>
        <v>3.3802700998312742</v>
      </c>
      <c r="P23">
        <f t="shared" si="8"/>
        <v>0.33747459964383825</v>
      </c>
      <c r="Q23">
        <f t="shared" si="9"/>
        <v>0.21260285708283083</v>
      </c>
      <c r="R23">
        <f t="shared" si="10"/>
        <v>321.44097584005004</v>
      </c>
      <c r="S23">
        <f t="shared" si="11"/>
        <v>27.541289607434962</v>
      </c>
      <c r="T23">
        <f t="shared" si="12"/>
        <v>27.496467741935501</v>
      </c>
      <c r="U23">
        <f t="shared" si="13"/>
        <v>3.6848613779915791</v>
      </c>
      <c r="V23">
        <f t="shared" si="14"/>
        <v>54.854655626090363</v>
      </c>
      <c r="W23">
        <f t="shared" si="15"/>
        <v>1.9899766358950701</v>
      </c>
      <c r="X23">
        <f t="shared" si="16"/>
        <v>3.6277260574917971</v>
      </c>
      <c r="Y23">
        <f t="shared" si="17"/>
        <v>1.694884742096509</v>
      </c>
      <c r="Z23">
        <f t="shared" si="18"/>
        <v>-261.0197762068816</v>
      </c>
      <c r="AA23">
        <f t="shared" si="19"/>
        <v>-48.619100463739343</v>
      </c>
      <c r="AB23">
        <f t="shared" si="20"/>
        <v>-3.115346976774414</v>
      </c>
      <c r="AC23">
        <f t="shared" si="21"/>
        <v>8.6867521926547084</v>
      </c>
      <c r="AD23">
        <v>-4.1142298231987798E-2</v>
      </c>
      <c r="AE23">
        <v>4.6185834028687603E-2</v>
      </c>
      <c r="AF23">
        <v>3.4524676247018502</v>
      </c>
      <c r="AG23">
        <v>168</v>
      </c>
      <c r="AH23">
        <v>34</v>
      </c>
      <c r="AI23">
        <f t="shared" si="22"/>
        <v>1</v>
      </c>
      <c r="AJ23">
        <f t="shared" si="23"/>
        <v>0</v>
      </c>
      <c r="AK23">
        <f t="shared" si="24"/>
        <v>52424.084259767034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247.00234615384599</v>
      </c>
      <c r="AT23">
        <v>313.00400000000002</v>
      </c>
      <c r="AU23">
        <f t="shared" si="27"/>
        <v>0.21086520889878091</v>
      </c>
      <c r="AV23">
        <v>0.5</v>
      </c>
      <c r="AW23">
        <f t="shared" si="28"/>
        <v>1681.20272870906</v>
      </c>
      <c r="AX23">
        <f t="shared" si="29"/>
        <v>23.834874463719352</v>
      </c>
      <c r="AY23">
        <f t="shared" si="30"/>
        <v>177.25358229521822</v>
      </c>
      <c r="AZ23">
        <f t="shared" si="31"/>
        <v>0.44026274424607997</v>
      </c>
      <c r="BA23">
        <f t="shared" si="32"/>
        <v>1.4772087886622234E-2</v>
      </c>
      <c r="BB23">
        <f t="shared" si="33"/>
        <v>-1</v>
      </c>
      <c r="BC23" t="s">
        <v>316</v>
      </c>
      <c r="BD23">
        <v>175.2</v>
      </c>
      <c r="BE23">
        <f t="shared" si="34"/>
        <v>137.80400000000003</v>
      </c>
      <c r="BF23">
        <f t="shared" si="35"/>
        <v>0.47895310619542258</v>
      </c>
      <c r="BG23">
        <f t="shared" si="36"/>
        <v>1.7865525114155254</v>
      </c>
      <c r="BH23">
        <f t="shared" si="37"/>
        <v>0.21086520889878091</v>
      </c>
      <c r="BI23" t="e">
        <f t="shared" si="38"/>
        <v>#DIV/0!</v>
      </c>
      <c r="BJ23">
        <v>4549</v>
      </c>
      <c r="BK23">
        <v>300</v>
      </c>
      <c r="BL23">
        <v>300</v>
      </c>
      <c r="BM23">
        <v>300</v>
      </c>
      <c r="BN23">
        <v>9871.24</v>
      </c>
      <c r="BO23">
        <v>295.29700000000003</v>
      </c>
      <c r="BP23">
        <v>-6.5652799999999997E-3</v>
      </c>
      <c r="BQ23">
        <v>1.0935999999999999</v>
      </c>
      <c r="BR23">
        <f t="shared" si="39"/>
        <v>2000.00677419355</v>
      </c>
      <c r="BS23">
        <f t="shared" si="40"/>
        <v>1681.20272870906</v>
      </c>
      <c r="BT23">
        <f t="shared" si="41"/>
        <v>0.84059851716600342</v>
      </c>
      <c r="BU23">
        <f t="shared" si="42"/>
        <v>0.19119703433200702</v>
      </c>
      <c r="BV23">
        <v>0.5</v>
      </c>
      <c r="BW23" t="s">
        <v>281</v>
      </c>
      <c r="BX23">
        <v>1594048447.44839</v>
      </c>
      <c r="BY23">
        <v>389.52677419354802</v>
      </c>
      <c r="BZ23">
        <v>399.98164516128998</v>
      </c>
      <c r="CA23">
        <v>20.0047741935484</v>
      </c>
      <c r="CB23">
        <v>17.6848967741936</v>
      </c>
      <c r="CC23">
        <v>500.06187096774198</v>
      </c>
      <c r="CD23">
        <v>99.275083870967805</v>
      </c>
      <c r="CE23">
        <v>0.20000225806451599</v>
      </c>
      <c r="CF23">
        <v>27.2296774193548</v>
      </c>
      <c r="CG23">
        <v>27.496467741935501</v>
      </c>
      <c r="CH23">
        <v>999.9</v>
      </c>
      <c r="CI23">
        <v>9994.1141935483902</v>
      </c>
      <c r="CJ23">
        <v>0</v>
      </c>
      <c r="CK23">
        <v>287.93270967741898</v>
      </c>
      <c r="CL23">
        <v>2000.00677419355</v>
      </c>
      <c r="CM23">
        <v>0.97999858064516099</v>
      </c>
      <c r="CN23">
        <v>2.0001296774193499E-2</v>
      </c>
      <c r="CO23">
        <v>0</v>
      </c>
      <c r="CP23">
        <v>247.00203225806499</v>
      </c>
      <c r="CQ23">
        <v>5.00054</v>
      </c>
      <c r="CR23">
        <v>6612.7483870967699</v>
      </c>
      <c r="CS23">
        <v>18703.674193548399</v>
      </c>
      <c r="CT23">
        <v>48.509870967741897</v>
      </c>
      <c r="CU23">
        <v>50.4354193548387</v>
      </c>
      <c r="CV23">
        <v>48.908999999999999</v>
      </c>
      <c r="CW23">
        <v>49.858741935483899</v>
      </c>
      <c r="CX23">
        <v>49.999741935483897</v>
      </c>
      <c r="CY23">
        <v>1955.1054838709699</v>
      </c>
      <c r="CZ23">
        <v>39.901290322580699</v>
      </c>
      <c r="DA23">
        <v>0</v>
      </c>
      <c r="DB23">
        <v>117.09999990463299</v>
      </c>
      <c r="DC23">
        <v>247.00234615384599</v>
      </c>
      <c r="DD23">
        <v>-1.0489914503717199</v>
      </c>
      <c r="DE23">
        <v>-18.728205077985798</v>
      </c>
      <c r="DF23">
        <v>6612.47307692308</v>
      </c>
      <c r="DG23">
        <v>15</v>
      </c>
      <c r="DH23">
        <v>1594048481.4000001</v>
      </c>
      <c r="DI23" t="s">
        <v>317</v>
      </c>
      <c r="DJ23">
        <v>7</v>
      </c>
      <c r="DK23">
        <v>-0.45300000000000001</v>
      </c>
      <c r="DL23">
        <v>0.11799999999999999</v>
      </c>
      <c r="DM23">
        <v>400</v>
      </c>
      <c r="DN23">
        <v>18</v>
      </c>
      <c r="DO23">
        <v>0.39</v>
      </c>
      <c r="DP23">
        <v>0.03</v>
      </c>
      <c r="DQ23">
        <v>389.60305555555601</v>
      </c>
      <c r="DR23">
        <v>-0.113062340259594</v>
      </c>
      <c r="DS23">
        <v>2.23369952774507E-2</v>
      </c>
      <c r="DT23">
        <v>1</v>
      </c>
      <c r="DU23">
        <v>20.0052611111111</v>
      </c>
      <c r="DV23">
        <v>5.5087089141125402E-3</v>
      </c>
      <c r="DW23">
        <v>1.1799900606403199E-3</v>
      </c>
      <c r="DX23">
        <v>1</v>
      </c>
      <c r="DY23">
        <v>2</v>
      </c>
      <c r="DZ23">
        <v>2</v>
      </c>
      <c r="EA23" t="s">
        <v>283</v>
      </c>
      <c r="EB23">
        <v>1.86673</v>
      </c>
      <c r="EC23">
        <v>1.8632500000000001</v>
      </c>
      <c r="ED23">
        <v>1.8688800000000001</v>
      </c>
      <c r="EE23">
        <v>1.86676</v>
      </c>
      <c r="EF23">
        <v>1.8714900000000001</v>
      </c>
      <c r="EG23">
        <v>1.86391</v>
      </c>
      <c r="EH23">
        <v>1.8653999999999999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-0.45300000000000001</v>
      </c>
      <c r="EX23">
        <v>0.11799999999999999</v>
      </c>
      <c r="EY23">
        <v>2</v>
      </c>
      <c r="EZ23">
        <v>317.82400000000001</v>
      </c>
      <c r="FA23">
        <v>462.87099999999998</v>
      </c>
      <c r="FB23">
        <v>21.477399999999999</v>
      </c>
      <c r="FC23">
        <v>38.967100000000002</v>
      </c>
      <c r="FD23">
        <v>30.0002</v>
      </c>
      <c r="FE23">
        <v>38.743600000000001</v>
      </c>
      <c r="FF23">
        <v>38.714599999999997</v>
      </c>
      <c r="FG23">
        <v>22.0656</v>
      </c>
      <c r="FH23">
        <v>48.764400000000002</v>
      </c>
      <c r="FI23">
        <v>0</v>
      </c>
      <c r="FJ23">
        <v>17.834499999999998</v>
      </c>
      <c r="FK23">
        <v>400</v>
      </c>
      <c r="FL23">
        <v>17.6599</v>
      </c>
      <c r="FM23">
        <v>99.750100000000003</v>
      </c>
      <c r="FN23">
        <v>100.08799999999999</v>
      </c>
    </row>
    <row r="24" spans="1:170" x14ac:dyDescent="0.25">
      <c r="A24">
        <v>8</v>
      </c>
      <c r="B24">
        <v>1594048572.9000001</v>
      </c>
      <c r="C24">
        <v>827</v>
      </c>
      <c r="D24" t="s">
        <v>318</v>
      </c>
      <c r="E24" t="s">
        <v>319</v>
      </c>
      <c r="G24">
        <v>1594048564.96452</v>
      </c>
      <c r="H24">
        <f t="shared" si="0"/>
        <v>5.7289631193053686E-3</v>
      </c>
      <c r="I24">
        <f t="shared" si="1"/>
        <v>28.922570712770035</v>
      </c>
      <c r="J24">
        <f t="shared" si="2"/>
        <v>487.33335483871002</v>
      </c>
      <c r="K24">
        <f t="shared" si="3"/>
        <v>334.26187307296613</v>
      </c>
      <c r="L24">
        <f t="shared" si="4"/>
        <v>33.250047689801569</v>
      </c>
      <c r="M24">
        <f t="shared" si="5"/>
        <v>48.476534700925804</v>
      </c>
      <c r="N24">
        <f t="shared" si="6"/>
        <v>0.34260186839686779</v>
      </c>
      <c r="O24">
        <f t="shared" si="7"/>
        <v>3.384166468315061</v>
      </c>
      <c r="P24">
        <f t="shared" si="8"/>
        <v>0.32443344856216161</v>
      </c>
      <c r="Q24">
        <f t="shared" si="9"/>
        <v>0.20432293939955176</v>
      </c>
      <c r="R24">
        <f t="shared" si="10"/>
        <v>321.4461423239822</v>
      </c>
      <c r="S24">
        <f t="shared" si="11"/>
        <v>27.625283932493922</v>
      </c>
      <c r="T24">
        <f t="shared" si="12"/>
        <v>27.564135483870999</v>
      </c>
      <c r="U24">
        <f t="shared" si="13"/>
        <v>3.6994772197451291</v>
      </c>
      <c r="V24">
        <f t="shared" si="14"/>
        <v>54.811245809864396</v>
      </c>
      <c r="W24">
        <f t="shared" si="15"/>
        <v>1.9932079057856451</v>
      </c>
      <c r="X24">
        <f t="shared" si="16"/>
        <v>3.6364944389330538</v>
      </c>
      <c r="Y24">
        <f t="shared" si="17"/>
        <v>1.706269313959484</v>
      </c>
      <c r="Z24">
        <f t="shared" si="18"/>
        <v>-252.64727356136675</v>
      </c>
      <c r="AA24">
        <f t="shared" si="19"/>
        <v>-53.507638893172619</v>
      </c>
      <c r="AB24">
        <f t="shared" si="20"/>
        <v>-3.4265024754890749</v>
      </c>
      <c r="AC24">
        <f t="shared" si="21"/>
        <v>11.86472739395375</v>
      </c>
      <c r="AD24">
        <v>-4.12025565967164E-2</v>
      </c>
      <c r="AE24">
        <v>4.62534793220181E-2</v>
      </c>
      <c r="AF24">
        <v>3.45646973605789</v>
      </c>
      <c r="AG24">
        <v>168</v>
      </c>
      <c r="AH24">
        <v>34</v>
      </c>
      <c r="AI24">
        <f t="shared" si="22"/>
        <v>1</v>
      </c>
      <c r="AJ24">
        <f t="shared" si="23"/>
        <v>0</v>
      </c>
      <c r="AK24">
        <f t="shared" si="24"/>
        <v>52490.479772584236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250.537653846154</v>
      </c>
      <c r="AT24">
        <v>322.76100000000002</v>
      </c>
      <c r="AU24">
        <f t="shared" si="27"/>
        <v>0.22376726479917342</v>
      </c>
      <c r="AV24">
        <v>0.5</v>
      </c>
      <c r="AW24">
        <f t="shared" si="28"/>
        <v>1681.2298351606703</v>
      </c>
      <c r="AX24">
        <f t="shared" si="29"/>
        <v>28.922570712770035</v>
      </c>
      <c r="AY24">
        <f t="shared" si="30"/>
        <v>188.1021008563342</v>
      </c>
      <c r="AZ24">
        <f t="shared" si="31"/>
        <v>0.46238857854573506</v>
      </c>
      <c r="BA24">
        <f t="shared" si="32"/>
        <v>1.7798025045106591E-2</v>
      </c>
      <c r="BB24">
        <f t="shared" si="33"/>
        <v>-1</v>
      </c>
      <c r="BC24" t="s">
        <v>321</v>
      </c>
      <c r="BD24">
        <v>173.52</v>
      </c>
      <c r="BE24">
        <f t="shared" si="34"/>
        <v>149.24100000000001</v>
      </c>
      <c r="BF24">
        <f t="shared" si="35"/>
        <v>0.48393769911650297</v>
      </c>
      <c r="BG24">
        <f t="shared" si="36"/>
        <v>1.8600795297372061</v>
      </c>
      <c r="BH24">
        <f t="shared" si="37"/>
        <v>0.22376726479917344</v>
      </c>
      <c r="BI24" t="e">
        <f t="shared" si="38"/>
        <v>#DIV/0!</v>
      </c>
      <c r="BJ24">
        <v>4551</v>
      </c>
      <c r="BK24">
        <v>300</v>
      </c>
      <c r="BL24">
        <v>300</v>
      </c>
      <c r="BM24">
        <v>300</v>
      </c>
      <c r="BN24">
        <v>9871.23</v>
      </c>
      <c r="BO24">
        <v>305.36</v>
      </c>
      <c r="BP24">
        <v>-6.5653300000000003E-3</v>
      </c>
      <c r="BQ24">
        <v>0.92535400000000001</v>
      </c>
      <c r="BR24">
        <f t="shared" si="39"/>
        <v>2000.0390322580599</v>
      </c>
      <c r="BS24">
        <f t="shared" si="40"/>
        <v>1681.2298351606703</v>
      </c>
      <c r="BT24">
        <f t="shared" si="41"/>
        <v>0.84059851235130567</v>
      </c>
      <c r="BU24">
        <f t="shared" si="42"/>
        <v>0.19119702470261155</v>
      </c>
      <c r="BV24">
        <v>0.5</v>
      </c>
      <c r="BW24" t="s">
        <v>281</v>
      </c>
      <c r="BX24">
        <v>1594048564.96452</v>
      </c>
      <c r="BY24">
        <v>487.33335483871002</v>
      </c>
      <c r="BZ24">
        <v>500.01754838709701</v>
      </c>
      <c r="CA24">
        <v>20.0376677419355</v>
      </c>
      <c r="CB24">
        <v>17.792283870967701</v>
      </c>
      <c r="CC24">
        <v>500.06309677419398</v>
      </c>
      <c r="CD24">
        <v>99.273077419354806</v>
      </c>
      <c r="CE24">
        <v>0.19997161290322599</v>
      </c>
      <c r="CF24">
        <v>27.270858064516101</v>
      </c>
      <c r="CG24">
        <v>27.564135483870999</v>
      </c>
      <c r="CH24">
        <v>999.9</v>
      </c>
      <c r="CI24">
        <v>10008.954193548399</v>
      </c>
      <c r="CJ24">
        <v>0</v>
      </c>
      <c r="CK24">
        <v>287.75741935483899</v>
      </c>
      <c r="CL24">
        <v>2000.0390322580599</v>
      </c>
      <c r="CM24">
        <v>0.97999877419354797</v>
      </c>
      <c r="CN24">
        <v>2.0001129032258098E-2</v>
      </c>
      <c r="CO24">
        <v>0</v>
      </c>
      <c r="CP24">
        <v>250.547</v>
      </c>
      <c r="CQ24">
        <v>5.00054</v>
      </c>
      <c r="CR24">
        <v>6688.2383870967697</v>
      </c>
      <c r="CS24">
        <v>18703.983870967699</v>
      </c>
      <c r="CT24">
        <v>48.6046774193548</v>
      </c>
      <c r="CU24">
        <v>50.570193548387103</v>
      </c>
      <c r="CV24">
        <v>49.018000000000001</v>
      </c>
      <c r="CW24">
        <v>49.971548387096803</v>
      </c>
      <c r="CX24">
        <v>50.100548387096801</v>
      </c>
      <c r="CY24">
        <v>1955.1374193548399</v>
      </c>
      <c r="CZ24">
        <v>39.901612903225796</v>
      </c>
      <c r="DA24">
        <v>0</v>
      </c>
      <c r="DB24">
        <v>116.5</v>
      </c>
      <c r="DC24">
        <v>250.537653846154</v>
      </c>
      <c r="DD24">
        <v>-0.14656409209451299</v>
      </c>
      <c r="DE24">
        <v>18.898461590143899</v>
      </c>
      <c r="DF24">
        <v>6688.3646153846203</v>
      </c>
      <c r="DG24">
        <v>15</v>
      </c>
      <c r="DH24">
        <v>1594048595.5</v>
      </c>
      <c r="DI24" t="s">
        <v>322</v>
      </c>
      <c r="DJ24">
        <v>8</v>
      </c>
      <c r="DK24">
        <v>-0.48</v>
      </c>
      <c r="DL24">
        <v>0.11700000000000001</v>
      </c>
      <c r="DM24">
        <v>500</v>
      </c>
      <c r="DN24">
        <v>18</v>
      </c>
      <c r="DO24">
        <v>0.16</v>
      </c>
      <c r="DP24">
        <v>0.04</v>
      </c>
      <c r="DQ24">
        <v>487.33598148148099</v>
      </c>
      <c r="DR24">
        <v>0.23930998986920099</v>
      </c>
      <c r="DS24">
        <v>3.6741081427630801E-2</v>
      </c>
      <c r="DT24">
        <v>1</v>
      </c>
      <c r="DU24">
        <v>20.039937037036999</v>
      </c>
      <c r="DV24">
        <v>-1.3321853644396101E-2</v>
      </c>
      <c r="DW24">
        <v>1.8153967321017099E-3</v>
      </c>
      <c r="DX24">
        <v>1</v>
      </c>
      <c r="DY24">
        <v>2</v>
      </c>
      <c r="DZ24">
        <v>2</v>
      </c>
      <c r="EA24" t="s">
        <v>283</v>
      </c>
      <c r="EB24">
        <v>1.8666799999999999</v>
      </c>
      <c r="EC24">
        <v>1.8632500000000001</v>
      </c>
      <c r="ED24">
        <v>1.8688800000000001</v>
      </c>
      <c r="EE24">
        <v>1.86676</v>
      </c>
      <c r="EF24">
        <v>1.8714900000000001</v>
      </c>
      <c r="EG24">
        <v>1.86388</v>
      </c>
      <c r="EH24">
        <v>1.8653900000000001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-0.48</v>
      </c>
      <c r="EX24">
        <v>0.11700000000000001</v>
      </c>
      <c r="EY24">
        <v>2</v>
      </c>
      <c r="EZ24">
        <v>317.43099999999998</v>
      </c>
      <c r="FA24">
        <v>461.74299999999999</v>
      </c>
      <c r="FB24">
        <v>21.521599999999999</v>
      </c>
      <c r="FC24">
        <v>39.040900000000001</v>
      </c>
      <c r="FD24">
        <v>30.000499999999999</v>
      </c>
      <c r="FE24">
        <v>38.838799999999999</v>
      </c>
      <c r="FF24">
        <v>38.812600000000003</v>
      </c>
      <c r="FG24">
        <v>26.369299999999999</v>
      </c>
      <c r="FH24">
        <v>48.689599999999999</v>
      </c>
      <c r="FI24">
        <v>0</v>
      </c>
      <c r="FJ24">
        <v>17.862100000000002</v>
      </c>
      <c r="FK24">
        <v>500</v>
      </c>
      <c r="FL24">
        <v>17.734200000000001</v>
      </c>
      <c r="FM24">
        <v>99.734700000000004</v>
      </c>
      <c r="FN24">
        <v>100.07299999999999</v>
      </c>
    </row>
    <row r="25" spans="1:170" x14ac:dyDescent="0.25">
      <c r="A25">
        <v>9</v>
      </c>
      <c r="B25">
        <v>1594048706</v>
      </c>
      <c r="C25">
        <v>960.09999990463302</v>
      </c>
      <c r="D25" t="s">
        <v>323</v>
      </c>
      <c r="E25" t="s">
        <v>324</v>
      </c>
      <c r="G25">
        <v>1594048698</v>
      </c>
      <c r="H25">
        <f t="shared" si="0"/>
        <v>5.1835146380728482E-3</v>
      </c>
      <c r="I25">
        <f t="shared" si="1"/>
        <v>31.216955892364489</v>
      </c>
      <c r="J25">
        <f t="shared" si="2"/>
        <v>586.280741935484</v>
      </c>
      <c r="K25">
        <f t="shared" si="3"/>
        <v>403.31155802796331</v>
      </c>
      <c r="L25">
        <f t="shared" si="4"/>
        <v>40.118082143474062</v>
      </c>
      <c r="M25">
        <f t="shared" si="5"/>
        <v>58.318336025653622</v>
      </c>
      <c r="N25">
        <f t="shared" si="6"/>
        <v>0.30816987408976654</v>
      </c>
      <c r="O25">
        <f t="shared" si="7"/>
        <v>3.3822931224251849</v>
      </c>
      <c r="P25">
        <f t="shared" si="8"/>
        <v>0.29337744011519024</v>
      </c>
      <c r="Q25">
        <f t="shared" si="9"/>
        <v>0.18463075725216871</v>
      </c>
      <c r="R25">
        <f t="shared" si="10"/>
        <v>321.43956766183345</v>
      </c>
      <c r="S25">
        <f t="shared" si="11"/>
        <v>27.660507716405373</v>
      </c>
      <c r="T25">
        <f t="shared" si="12"/>
        <v>27.564622580645199</v>
      </c>
      <c r="U25">
        <f t="shared" si="13"/>
        <v>3.6995826129633791</v>
      </c>
      <c r="V25">
        <f t="shared" si="14"/>
        <v>55.074350377321664</v>
      </c>
      <c r="W25">
        <f t="shared" si="15"/>
        <v>1.9923592238541621</v>
      </c>
      <c r="X25">
        <f t="shared" si="16"/>
        <v>3.6175809795381069</v>
      </c>
      <c r="Y25">
        <f t="shared" si="17"/>
        <v>1.707223389109217</v>
      </c>
      <c r="Z25">
        <f t="shared" si="18"/>
        <v>-228.59299553901261</v>
      </c>
      <c r="AA25">
        <f t="shared" si="19"/>
        <v>-69.78388569455457</v>
      </c>
      <c r="AB25">
        <f t="shared" si="20"/>
        <v>-4.4692963040354146</v>
      </c>
      <c r="AC25">
        <f t="shared" si="21"/>
        <v>18.593390124230851</v>
      </c>
      <c r="AD25">
        <v>-4.1173580922761598E-2</v>
      </c>
      <c r="AE25">
        <v>4.6220951589595403E-2</v>
      </c>
      <c r="AF25">
        <v>3.4545455429370402</v>
      </c>
      <c r="AG25">
        <v>168</v>
      </c>
      <c r="AH25">
        <v>34</v>
      </c>
      <c r="AI25">
        <f t="shared" si="22"/>
        <v>1</v>
      </c>
      <c r="AJ25">
        <f t="shared" si="23"/>
        <v>0</v>
      </c>
      <c r="AK25">
        <f t="shared" si="24"/>
        <v>52470.589790489743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325</v>
      </c>
      <c r="AS25">
        <v>251.81411538461501</v>
      </c>
      <c r="AT25">
        <v>325.38299999999998</v>
      </c>
      <c r="AU25">
        <f t="shared" si="27"/>
        <v>0.22609934942939547</v>
      </c>
      <c r="AV25">
        <v>0.5</v>
      </c>
      <c r="AW25">
        <f t="shared" si="28"/>
        <v>1681.195402902609</v>
      </c>
      <c r="AX25">
        <f t="shared" si="29"/>
        <v>31.216955892364489</v>
      </c>
      <c r="AY25">
        <f t="shared" si="30"/>
        <v>190.05859342998514</v>
      </c>
      <c r="AZ25">
        <f t="shared" si="31"/>
        <v>0.4681344753720999</v>
      </c>
      <c r="BA25">
        <f t="shared" si="32"/>
        <v>1.9163123951410666E-2</v>
      </c>
      <c r="BB25">
        <f t="shared" si="33"/>
        <v>-1</v>
      </c>
      <c r="BC25" t="s">
        <v>326</v>
      </c>
      <c r="BD25">
        <v>173.06</v>
      </c>
      <c r="BE25">
        <f t="shared" si="34"/>
        <v>152.32299999999998</v>
      </c>
      <c r="BF25">
        <f t="shared" si="35"/>
        <v>0.48297948842515565</v>
      </c>
      <c r="BG25">
        <f t="shared" si="36"/>
        <v>1.880174505951693</v>
      </c>
      <c r="BH25">
        <f t="shared" si="37"/>
        <v>0.22609934942939544</v>
      </c>
      <c r="BI25" t="e">
        <f t="shared" si="38"/>
        <v>#DIV/0!</v>
      </c>
      <c r="BJ25">
        <v>4553</v>
      </c>
      <c r="BK25">
        <v>300</v>
      </c>
      <c r="BL25">
        <v>300</v>
      </c>
      <c r="BM25">
        <v>300</v>
      </c>
      <c r="BN25">
        <v>9871.36</v>
      </c>
      <c r="BO25">
        <v>308.14600000000002</v>
      </c>
      <c r="BP25">
        <v>-6.5653500000000002E-3</v>
      </c>
      <c r="BQ25">
        <v>1.3340099999999999</v>
      </c>
      <c r="BR25">
        <f t="shared" si="39"/>
        <v>1999.9980645161299</v>
      </c>
      <c r="BS25">
        <f t="shared" si="40"/>
        <v>1681.195402902609</v>
      </c>
      <c r="BT25">
        <f t="shared" si="41"/>
        <v>0.84059851493373794</v>
      </c>
      <c r="BU25">
        <f t="shared" si="42"/>
        <v>0.19119702986747597</v>
      </c>
      <c r="BV25">
        <v>0.5</v>
      </c>
      <c r="BW25" t="s">
        <v>281</v>
      </c>
      <c r="BX25">
        <v>1594048698</v>
      </c>
      <c r="BY25">
        <v>586.280741935484</v>
      </c>
      <c r="BZ25">
        <v>599.98145161290302</v>
      </c>
      <c r="CA25">
        <v>20.029409677419402</v>
      </c>
      <c r="CB25">
        <v>17.997780645161299</v>
      </c>
      <c r="CC25">
        <v>500.06096774193497</v>
      </c>
      <c r="CD25">
        <v>99.271683870967706</v>
      </c>
      <c r="CE25">
        <v>0.20000580645161301</v>
      </c>
      <c r="CF25">
        <v>27.1819225806452</v>
      </c>
      <c r="CG25">
        <v>27.564622580645199</v>
      </c>
      <c r="CH25">
        <v>999.9</v>
      </c>
      <c r="CI25">
        <v>10002.055806451601</v>
      </c>
      <c r="CJ25">
        <v>0</v>
      </c>
      <c r="CK25">
        <v>289.07361290322598</v>
      </c>
      <c r="CL25">
        <v>1999.9980645161299</v>
      </c>
      <c r="CM25">
        <v>0.97999829032258001</v>
      </c>
      <c r="CN25">
        <v>2.00015483870968E-2</v>
      </c>
      <c r="CO25">
        <v>0</v>
      </c>
      <c r="CP25">
        <v>251.81509677419399</v>
      </c>
      <c r="CQ25">
        <v>5.00054</v>
      </c>
      <c r="CR25">
        <v>6731.0912903225799</v>
      </c>
      <c r="CS25">
        <v>18703.606451612901</v>
      </c>
      <c r="CT25">
        <v>48.578258064516099</v>
      </c>
      <c r="CU25">
        <v>50.560064516129003</v>
      </c>
      <c r="CV25">
        <v>49.018000000000001</v>
      </c>
      <c r="CW25">
        <v>49.945193548387103</v>
      </c>
      <c r="CX25">
        <v>50.060258064516098</v>
      </c>
      <c r="CY25">
        <v>1955.09709677419</v>
      </c>
      <c r="CZ25">
        <v>39.900967741935503</v>
      </c>
      <c r="DA25">
        <v>0</v>
      </c>
      <c r="DB25">
        <v>132.200000047684</v>
      </c>
      <c r="DC25">
        <v>251.81411538461501</v>
      </c>
      <c r="DD25">
        <v>-1.2660854644689901</v>
      </c>
      <c r="DE25">
        <v>-6.2998292217801897</v>
      </c>
      <c r="DF25">
        <v>6731.0119230769196</v>
      </c>
      <c r="DG25">
        <v>15</v>
      </c>
      <c r="DH25">
        <v>1594048731.5</v>
      </c>
      <c r="DI25" t="s">
        <v>327</v>
      </c>
      <c r="DJ25">
        <v>9</v>
      </c>
      <c r="DK25">
        <v>-0.38500000000000001</v>
      </c>
      <c r="DL25">
        <v>0.121</v>
      </c>
      <c r="DM25">
        <v>600</v>
      </c>
      <c r="DN25">
        <v>18</v>
      </c>
      <c r="DO25">
        <v>0.39</v>
      </c>
      <c r="DP25">
        <v>0.04</v>
      </c>
      <c r="DQ25">
        <v>586.15872222222197</v>
      </c>
      <c r="DR25">
        <v>0.28932628169952401</v>
      </c>
      <c r="DS25">
        <v>4.4274989456328601E-2</v>
      </c>
      <c r="DT25">
        <v>1</v>
      </c>
      <c r="DU25">
        <v>20.022822222222199</v>
      </c>
      <c r="DV25">
        <v>2.64279920954286E-2</v>
      </c>
      <c r="DW25">
        <v>5.1596966127673101E-3</v>
      </c>
      <c r="DX25">
        <v>1</v>
      </c>
      <c r="DY25">
        <v>2</v>
      </c>
      <c r="DZ25">
        <v>2</v>
      </c>
      <c r="EA25" t="s">
        <v>283</v>
      </c>
      <c r="EB25">
        <v>1.86673</v>
      </c>
      <c r="EC25">
        <v>1.8632500000000001</v>
      </c>
      <c r="ED25">
        <v>1.86886</v>
      </c>
      <c r="EE25">
        <v>1.86677</v>
      </c>
      <c r="EF25">
        <v>1.8714900000000001</v>
      </c>
      <c r="EG25">
        <v>1.86389</v>
      </c>
      <c r="EH25">
        <v>1.86541</v>
      </c>
      <c r="EI25">
        <v>1.8653900000000001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-0.38500000000000001</v>
      </c>
      <c r="EX25">
        <v>0.121</v>
      </c>
      <c r="EY25">
        <v>2</v>
      </c>
      <c r="EZ25">
        <v>317.09300000000002</v>
      </c>
      <c r="FA25">
        <v>460.51100000000002</v>
      </c>
      <c r="FB25">
        <v>21.429600000000001</v>
      </c>
      <c r="FC25">
        <v>39.120100000000001</v>
      </c>
      <c r="FD25">
        <v>30.000499999999999</v>
      </c>
      <c r="FE25">
        <v>38.939</v>
      </c>
      <c r="FF25">
        <v>38.914200000000001</v>
      </c>
      <c r="FG25">
        <v>30.555399999999999</v>
      </c>
      <c r="FH25">
        <v>48.123600000000003</v>
      </c>
      <c r="FI25">
        <v>0</v>
      </c>
      <c r="FJ25">
        <v>17.850200000000001</v>
      </c>
      <c r="FK25">
        <v>600</v>
      </c>
      <c r="FL25">
        <v>17.974499999999999</v>
      </c>
      <c r="FM25">
        <v>99.717100000000002</v>
      </c>
      <c r="FN25">
        <v>100.053</v>
      </c>
    </row>
    <row r="26" spans="1:170" x14ac:dyDescent="0.25">
      <c r="A26">
        <v>10</v>
      </c>
      <c r="B26">
        <v>1594048836.0999999</v>
      </c>
      <c r="C26">
        <v>1090.1999998092699</v>
      </c>
      <c r="D26" t="s">
        <v>328</v>
      </c>
      <c r="E26" t="s">
        <v>329</v>
      </c>
      <c r="G26">
        <v>1594048828.0999999</v>
      </c>
      <c r="H26">
        <f t="shared" si="0"/>
        <v>4.6630128578349049E-3</v>
      </c>
      <c r="I26">
        <f t="shared" si="1"/>
        <v>33.40831115968377</v>
      </c>
      <c r="J26">
        <f t="shared" si="2"/>
        <v>685.37654838709705</v>
      </c>
      <c r="K26">
        <f t="shared" si="3"/>
        <v>463.849884099029</v>
      </c>
      <c r="L26">
        <f t="shared" si="4"/>
        <v>46.140344808771687</v>
      </c>
      <c r="M26">
        <f t="shared" si="5"/>
        <v>68.176173694321832</v>
      </c>
      <c r="N26">
        <f t="shared" si="6"/>
        <v>0.27053924227221038</v>
      </c>
      <c r="O26">
        <f t="shared" si="7"/>
        <v>3.3810880220418209</v>
      </c>
      <c r="P26">
        <f t="shared" si="8"/>
        <v>0.25906267142104378</v>
      </c>
      <c r="Q26">
        <f t="shared" si="9"/>
        <v>0.16290472341685869</v>
      </c>
      <c r="R26">
        <f t="shared" si="10"/>
        <v>321.44252034924784</v>
      </c>
      <c r="S26">
        <f t="shared" si="11"/>
        <v>27.775149658106848</v>
      </c>
      <c r="T26">
        <f t="shared" si="12"/>
        <v>27.650880645161301</v>
      </c>
      <c r="U26">
        <f t="shared" si="13"/>
        <v>3.7182876523540003</v>
      </c>
      <c r="V26">
        <f t="shared" si="14"/>
        <v>54.720342463695118</v>
      </c>
      <c r="W26">
        <f t="shared" si="15"/>
        <v>1.9791006803454092</v>
      </c>
      <c r="X26">
        <f t="shared" si="16"/>
        <v>3.6167549237442511</v>
      </c>
      <c r="Y26">
        <f t="shared" si="17"/>
        <v>1.7391869720085911</v>
      </c>
      <c r="Z26">
        <f t="shared" si="18"/>
        <v>-205.63886703051929</v>
      </c>
      <c r="AA26">
        <f t="shared" si="19"/>
        <v>-86.19196767050542</v>
      </c>
      <c r="AB26">
        <f t="shared" si="20"/>
        <v>-5.5243892486049928</v>
      </c>
      <c r="AC26">
        <f t="shared" si="21"/>
        <v>24.087296399618111</v>
      </c>
      <c r="AD26">
        <v>-4.1154945032685297E-2</v>
      </c>
      <c r="AE26">
        <v>4.62000311703911E-2</v>
      </c>
      <c r="AF26">
        <v>3.45330773983178</v>
      </c>
      <c r="AG26">
        <v>168</v>
      </c>
      <c r="AH26">
        <v>34</v>
      </c>
      <c r="AI26">
        <f t="shared" si="22"/>
        <v>1</v>
      </c>
      <c r="AJ26">
        <f t="shared" si="23"/>
        <v>0</v>
      </c>
      <c r="AK26">
        <f t="shared" si="24"/>
        <v>52448.51066233575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330</v>
      </c>
      <c r="AS26">
        <v>251.68884615384599</v>
      </c>
      <c r="AT26">
        <v>329.548</v>
      </c>
      <c r="AU26">
        <f t="shared" si="27"/>
        <v>0.23626043503876226</v>
      </c>
      <c r="AV26">
        <v>0.5</v>
      </c>
      <c r="AW26">
        <f t="shared" si="28"/>
        <v>1681.2108577413155</v>
      </c>
      <c r="AX26">
        <f t="shared" si="29"/>
        <v>33.40831115968377</v>
      </c>
      <c r="AY26">
        <f t="shared" si="30"/>
        <v>198.60180432092693</v>
      </c>
      <c r="AZ26">
        <f t="shared" si="31"/>
        <v>0.47752679427579592</v>
      </c>
      <c r="BA26">
        <f t="shared" si="32"/>
        <v>2.0466386474514493E-2</v>
      </c>
      <c r="BB26">
        <f t="shared" si="33"/>
        <v>-1</v>
      </c>
      <c r="BC26" t="s">
        <v>331</v>
      </c>
      <c r="BD26">
        <v>172.18</v>
      </c>
      <c r="BE26">
        <f t="shared" si="34"/>
        <v>157.36799999999999</v>
      </c>
      <c r="BF26">
        <f t="shared" si="35"/>
        <v>0.49475848867720257</v>
      </c>
      <c r="BG26">
        <f t="shared" si="36"/>
        <v>1.9139737484028341</v>
      </c>
      <c r="BH26">
        <f t="shared" si="37"/>
        <v>0.23626043503876223</v>
      </c>
      <c r="BI26" t="e">
        <f t="shared" si="38"/>
        <v>#DIV/0!</v>
      </c>
      <c r="BJ26">
        <v>4555</v>
      </c>
      <c r="BK26">
        <v>300</v>
      </c>
      <c r="BL26">
        <v>300</v>
      </c>
      <c r="BM26">
        <v>300</v>
      </c>
      <c r="BN26">
        <v>9871.02</v>
      </c>
      <c r="BO26">
        <v>309.25299999999999</v>
      </c>
      <c r="BP26">
        <v>-6.5650600000000002E-3</v>
      </c>
      <c r="BQ26">
        <v>0.58599900000000005</v>
      </c>
      <c r="BR26">
        <f t="shared" si="39"/>
        <v>2000.0164516129</v>
      </c>
      <c r="BS26">
        <f t="shared" si="40"/>
        <v>1681.2108577413155</v>
      </c>
      <c r="BT26">
        <f t="shared" si="41"/>
        <v>0.84059851426997723</v>
      </c>
      <c r="BU26">
        <f t="shared" si="42"/>
        <v>0.1911970285399546</v>
      </c>
      <c r="BV26">
        <v>0.5</v>
      </c>
      <c r="BW26" t="s">
        <v>281</v>
      </c>
      <c r="BX26">
        <v>1594048828.0999999</v>
      </c>
      <c r="BY26">
        <v>685.37654838709705</v>
      </c>
      <c r="BZ26">
        <v>700.01629032257995</v>
      </c>
      <c r="CA26">
        <v>19.895941935483901</v>
      </c>
      <c r="CB26">
        <v>18.068090322580701</v>
      </c>
      <c r="CC26">
        <v>500.06661290322597</v>
      </c>
      <c r="CD26">
        <v>99.272580645161298</v>
      </c>
      <c r="CE26">
        <v>0.19999958064516099</v>
      </c>
      <c r="CF26">
        <v>27.178029032258099</v>
      </c>
      <c r="CG26">
        <v>27.650880645161301</v>
      </c>
      <c r="CH26">
        <v>999.9</v>
      </c>
      <c r="CI26">
        <v>9997.4383870967795</v>
      </c>
      <c r="CJ26">
        <v>0</v>
      </c>
      <c r="CK26">
        <v>350.550064516129</v>
      </c>
      <c r="CL26">
        <v>2000.0164516129</v>
      </c>
      <c r="CM26">
        <v>0.97999925806451604</v>
      </c>
      <c r="CN26">
        <v>2.00007096774194E-2</v>
      </c>
      <c r="CO26">
        <v>0</v>
      </c>
      <c r="CP26">
        <v>251.676516129032</v>
      </c>
      <c r="CQ26">
        <v>5.00054</v>
      </c>
      <c r="CR26">
        <v>6838.3203225806401</v>
      </c>
      <c r="CS26">
        <v>18703.7806451613</v>
      </c>
      <c r="CT26">
        <v>48.646999999999998</v>
      </c>
      <c r="CU26">
        <v>50.646870967741897</v>
      </c>
      <c r="CV26">
        <v>49.092483870967698</v>
      </c>
      <c r="CW26">
        <v>50.036032258064502</v>
      </c>
      <c r="CX26">
        <v>50.108548387096803</v>
      </c>
      <c r="CY26">
        <v>1955.11516129032</v>
      </c>
      <c r="CZ26">
        <v>39.901290322580699</v>
      </c>
      <c r="DA26">
        <v>0</v>
      </c>
      <c r="DB26">
        <v>129.299999952316</v>
      </c>
      <c r="DC26">
        <v>251.68884615384599</v>
      </c>
      <c r="DD26">
        <v>-0.764034173063177</v>
      </c>
      <c r="DE26">
        <v>1963.1388044121099</v>
      </c>
      <c r="DF26">
        <v>6864.1826923076896</v>
      </c>
      <c r="DG26">
        <v>15</v>
      </c>
      <c r="DH26">
        <v>1594048863.5999999</v>
      </c>
      <c r="DI26" t="s">
        <v>332</v>
      </c>
      <c r="DJ26">
        <v>10</v>
      </c>
      <c r="DK26">
        <v>-0.502</v>
      </c>
      <c r="DL26">
        <v>0.123</v>
      </c>
      <c r="DM26">
        <v>700</v>
      </c>
      <c r="DN26">
        <v>18</v>
      </c>
      <c r="DO26">
        <v>0.53</v>
      </c>
      <c r="DP26">
        <v>0.04</v>
      </c>
      <c r="DQ26">
        <v>685.46296296296305</v>
      </c>
      <c r="DR26">
        <v>0.29710234419681197</v>
      </c>
      <c r="DS26">
        <v>4.5146249162502899E-2</v>
      </c>
      <c r="DT26">
        <v>1</v>
      </c>
      <c r="DU26">
        <v>19.900283333333299</v>
      </c>
      <c r="DV26">
        <v>-6.3251229273864396E-2</v>
      </c>
      <c r="DW26">
        <v>8.2722371464682802E-3</v>
      </c>
      <c r="DX26">
        <v>1</v>
      </c>
      <c r="DY26">
        <v>2</v>
      </c>
      <c r="DZ26">
        <v>2</v>
      </c>
      <c r="EA26" t="s">
        <v>283</v>
      </c>
      <c r="EB26">
        <v>1.8667100000000001</v>
      </c>
      <c r="EC26">
        <v>1.86324</v>
      </c>
      <c r="ED26">
        <v>1.86883</v>
      </c>
      <c r="EE26">
        <v>1.86676</v>
      </c>
      <c r="EF26">
        <v>1.8714900000000001</v>
      </c>
      <c r="EG26">
        <v>1.86391</v>
      </c>
      <c r="EH26">
        <v>1.8653900000000001</v>
      </c>
      <c r="EI26">
        <v>1.86538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-0.502</v>
      </c>
      <c r="EX26">
        <v>0.123</v>
      </c>
      <c r="EY26">
        <v>2</v>
      </c>
      <c r="EZ26">
        <v>317.47800000000001</v>
      </c>
      <c r="FA26">
        <v>459.56</v>
      </c>
      <c r="FB26">
        <v>21.452000000000002</v>
      </c>
      <c r="FC26">
        <v>39.185299999999998</v>
      </c>
      <c r="FD26">
        <v>30.000299999999999</v>
      </c>
      <c r="FE26">
        <v>39.0199</v>
      </c>
      <c r="FF26">
        <v>38.997700000000002</v>
      </c>
      <c r="FG26">
        <v>34.605499999999999</v>
      </c>
      <c r="FH26">
        <v>48.565399999999997</v>
      </c>
      <c r="FI26">
        <v>0</v>
      </c>
      <c r="FJ26">
        <v>17.750800000000002</v>
      </c>
      <c r="FK26">
        <v>700</v>
      </c>
      <c r="FL26">
        <v>18.073699999999999</v>
      </c>
      <c r="FM26">
        <v>99.699600000000004</v>
      </c>
      <c r="FN26">
        <v>100.038</v>
      </c>
    </row>
    <row r="27" spans="1:170" x14ac:dyDescent="0.25">
      <c r="A27">
        <v>11</v>
      </c>
      <c r="B27">
        <v>1594048985.0999999</v>
      </c>
      <c r="C27">
        <v>1239.1999998092699</v>
      </c>
      <c r="D27" t="s">
        <v>333</v>
      </c>
      <c r="E27" t="s">
        <v>334</v>
      </c>
      <c r="G27">
        <v>1594048977.0999999</v>
      </c>
      <c r="H27">
        <f t="shared" si="0"/>
        <v>4.1943824597265528E-3</v>
      </c>
      <c r="I27">
        <f t="shared" si="1"/>
        <v>35.104205448478652</v>
      </c>
      <c r="J27">
        <f t="shared" si="2"/>
        <v>784.59993548387104</v>
      </c>
      <c r="K27">
        <f t="shared" si="3"/>
        <v>517.25684746110403</v>
      </c>
      <c r="L27">
        <f t="shared" si="4"/>
        <v>51.451203117490458</v>
      </c>
      <c r="M27">
        <f t="shared" si="5"/>
        <v>78.043646680938608</v>
      </c>
      <c r="N27">
        <f t="shared" si="6"/>
        <v>0.23386221531294027</v>
      </c>
      <c r="O27">
        <f t="shared" si="7"/>
        <v>3.3816531329081148</v>
      </c>
      <c r="P27">
        <f t="shared" si="8"/>
        <v>0.22523448809928626</v>
      </c>
      <c r="Q27">
        <f t="shared" si="9"/>
        <v>0.14152020295728335</v>
      </c>
      <c r="R27">
        <f t="shared" si="10"/>
        <v>321.44038852390122</v>
      </c>
      <c r="S27">
        <f t="shared" si="11"/>
        <v>28.197006679938138</v>
      </c>
      <c r="T27">
        <f t="shared" si="12"/>
        <v>28.0702741935484</v>
      </c>
      <c r="U27">
        <f t="shared" si="13"/>
        <v>3.8104139778295649</v>
      </c>
      <c r="V27">
        <f t="shared" si="14"/>
        <v>54.618689463323292</v>
      </c>
      <c r="W27">
        <f t="shared" si="15"/>
        <v>2.0122826263491125</v>
      </c>
      <c r="X27">
        <f t="shared" si="16"/>
        <v>3.6842382087918271</v>
      </c>
      <c r="Y27">
        <f t="shared" si="17"/>
        <v>1.7981313514804524</v>
      </c>
      <c r="Z27">
        <f t="shared" si="18"/>
        <v>-184.97226647394098</v>
      </c>
      <c r="AA27">
        <f t="shared" si="19"/>
        <v>-105.13855988836802</v>
      </c>
      <c r="AB27">
        <f t="shared" si="20"/>
        <v>-6.7623832368152783</v>
      </c>
      <c r="AC27">
        <f t="shared" si="21"/>
        <v>24.567178924776968</v>
      </c>
      <c r="AD27">
        <v>-4.1163683638431203E-2</v>
      </c>
      <c r="AE27">
        <v>4.6209841020884802E-2</v>
      </c>
      <c r="AF27">
        <v>3.45388818542007</v>
      </c>
      <c r="AG27">
        <v>167</v>
      </c>
      <c r="AH27">
        <v>33</v>
      </c>
      <c r="AI27">
        <f t="shared" si="22"/>
        <v>1</v>
      </c>
      <c r="AJ27">
        <f t="shared" si="23"/>
        <v>0</v>
      </c>
      <c r="AK27">
        <f t="shared" si="24"/>
        <v>52404.035380117879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335</v>
      </c>
      <c r="AS27">
        <v>250.00399999999999</v>
      </c>
      <c r="AT27">
        <v>330.173</v>
      </c>
      <c r="AU27">
        <f t="shared" si="27"/>
        <v>0.24280907281940078</v>
      </c>
      <c r="AV27">
        <v>0.5</v>
      </c>
      <c r="AW27">
        <f t="shared" si="28"/>
        <v>1681.1999803219744</v>
      </c>
      <c r="AX27">
        <f t="shared" si="29"/>
        <v>35.104205448478652</v>
      </c>
      <c r="AY27">
        <f t="shared" si="30"/>
        <v>204.10530422298672</v>
      </c>
      <c r="AZ27">
        <f t="shared" si="31"/>
        <v>0.46888449388653825</v>
      </c>
      <c r="BA27">
        <f t="shared" si="32"/>
        <v>2.1475259261878037E-2</v>
      </c>
      <c r="BB27">
        <f t="shared" si="33"/>
        <v>-1</v>
      </c>
      <c r="BC27" t="s">
        <v>336</v>
      </c>
      <c r="BD27">
        <v>175.36</v>
      </c>
      <c r="BE27">
        <f t="shared" si="34"/>
        <v>154.81299999999999</v>
      </c>
      <c r="BF27">
        <f t="shared" si="35"/>
        <v>0.51784410869888198</v>
      </c>
      <c r="BG27">
        <f t="shared" si="36"/>
        <v>1.8828296076642335</v>
      </c>
      <c r="BH27">
        <f t="shared" si="37"/>
        <v>0.24280907281940078</v>
      </c>
      <c r="BI27" t="e">
        <f t="shared" si="38"/>
        <v>#DIV/0!</v>
      </c>
      <c r="BJ27">
        <v>4557</v>
      </c>
      <c r="BK27">
        <v>300</v>
      </c>
      <c r="BL27">
        <v>300</v>
      </c>
      <c r="BM27">
        <v>300</v>
      </c>
      <c r="BN27">
        <v>9869.67</v>
      </c>
      <c r="BO27">
        <v>309.33199999999999</v>
      </c>
      <c r="BP27">
        <v>-6.5641400000000004E-3</v>
      </c>
      <c r="BQ27">
        <v>1.36029</v>
      </c>
      <c r="BR27">
        <f t="shared" si="39"/>
        <v>2000.0035483871</v>
      </c>
      <c r="BS27">
        <f t="shared" si="40"/>
        <v>1681.1999803219744</v>
      </c>
      <c r="BT27">
        <f t="shared" si="41"/>
        <v>0.84059849877655257</v>
      </c>
      <c r="BU27">
        <f t="shared" si="42"/>
        <v>0.19119699755310529</v>
      </c>
      <c r="BV27">
        <v>0.5</v>
      </c>
      <c r="BW27" t="s">
        <v>281</v>
      </c>
      <c r="BX27">
        <v>1594048977.0999999</v>
      </c>
      <c r="BY27">
        <v>784.59993548387104</v>
      </c>
      <c r="BZ27">
        <v>799.956064516129</v>
      </c>
      <c r="CA27">
        <v>20.230177419354799</v>
      </c>
      <c r="CB27">
        <v>18.586570967741899</v>
      </c>
      <c r="CC27">
        <v>500.06245161290298</v>
      </c>
      <c r="CD27">
        <v>99.269351612903193</v>
      </c>
      <c r="CE27">
        <v>0.199999774193548</v>
      </c>
      <c r="CF27">
        <v>27.4935774193548</v>
      </c>
      <c r="CG27">
        <v>28.0702741935484</v>
      </c>
      <c r="CH27">
        <v>999.9</v>
      </c>
      <c r="CI27">
        <v>9999.8864516128997</v>
      </c>
      <c r="CJ27">
        <v>0</v>
      </c>
      <c r="CK27">
        <v>253.09677419354799</v>
      </c>
      <c r="CL27">
        <v>2000.0035483871</v>
      </c>
      <c r="CM27">
        <v>0.98000158064516196</v>
      </c>
      <c r="CN27">
        <v>1.9998445161290301E-2</v>
      </c>
      <c r="CO27">
        <v>0</v>
      </c>
      <c r="CP27">
        <v>250.015935483871</v>
      </c>
      <c r="CQ27">
        <v>5.00054</v>
      </c>
      <c r="CR27">
        <v>7004.2683870967803</v>
      </c>
      <c r="CS27">
        <v>18703.677419354801</v>
      </c>
      <c r="CT27">
        <v>48.941129032257997</v>
      </c>
      <c r="CU27">
        <v>50.981741935483903</v>
      </c>
      <c r="CV27">
        <v>49.406999999999996</v>
      </c>
      <c r="CW27">
        <v>50.274032258064501</v>
      </c>
      <c r="CX27">
        <v>50.358741935483899</v>
      </c>
      <c r="CY27">
        <v>1955.1035483871001</v>
      </c>
      <c r="CZ27">
        <v>39.9</v>
      </c>
      <c r="DA27">
        <v>0</v>
      </c>
      <c r="DB27">
        <v>148.39999985694899</v>
      </c>
      <c r="DC27">
        <v>250.00399999999999</v>
      </c>
      <c r="DD27">
        <v>-1.0886837678738901</v>
      </c>
      <c r="DE27">
        <v>-39.407521348142403</v>
      </c>
      <c r="DF27">
        <v>7003.63807692308</v>
      </c>
      <c r="DG27">
        <v>15</v>
      </c>
      <c r="DH27">
        <v>1594049014.0999999</v>
      </c>
      <c r="DI27" t="s">
        <v>337</v>
      </c>
      <c r="DJ27">
        <v>11</v>
      </c>
      <c r="DK27">
        <v>-0.57099999999999995</v>
      </c>
      <c r="DL27">
        <v>0.13200000000000001</v>
      </c>
      <c r="DM27">
        <v>800</v>
      </c>
      <c r="DN27">
        <v>19</v>
      </c>
      <c r="DO27">
        <v>0.19</v>
      </c>
      <c r="DP27">
        <v>0.06</v>
      </c>
      <c r="DQ27">
        <v>784.656833333333</v>
      </c>
      <c r="DR27">
        <v>0.115526586620807</v>
      </c>
      <c r="DS27">
        <v>3.2364675530922399E-2</v>
      </c>
      <c r="DT27">
        <v>1</v>
      </c>
      <c r="DU27">
        <v>20.191492592592599</v>
      </c>
      <c r="DV27">
        <v>0.30265248713550902</v>
      </c>
      <c r="DW27">
        <v>4.0233410898626497E-2</v>
      </c>
      <c r="DX27">
        <v>0</v>
      </c>
      <c r="DY27">
        <v>1</v>
      </c>
      <c r="DZ27">
        <v>2</v>
      </c>
      <c r="EA27" t="s">
        <v>338</v>
      </c>
      <c r="EB27">
        <v>1.8667</v>
      </c>
      <c r="EC27">
        <v>1.8632200000000001</v>
      </c>
      <c r="ED27">
        <v>1.86883</v>
      </c>
      <c r="EE27">
        <v>1.86676</v>
      </c>
      <c r="EF27">
        <v>1.8714900000000001</v>
      </c>
      <c r="EG27">
        <v>1.86388</v>
      </c>
      <c r="EH27">
        <v>1.8653900000000001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-0.57099999999999995</v>
      </c>
      <c r="EX27">
        <v>0.13200000000000001</v>
      </c>
      <c r="EY27">
        <v>2</v>
      </c>
      <c r="EZ27">
        <v>318.995</v>
      </c>
      <c r="FA27">
        <v>458.51299999999998</v>
      </c>
      <c r="FB27">
        <v>21.675899999999999</v>
      </c>
      <c r="FC27">
        <v>39.262300000000003</v>
      </c>
      <c r="FD27">
        <v>30.000399999999999</v>
      </c>
      <c r="FE27">
        <v>39.105200000000004</v>
      </c>
      <c r="FF27">
        <v>39.085999999999999</v>
      </c>
      <c r="FG27">
        <v>38.583599999999997</v>
      </c>
      <c r="FH27">
        <v>47.043500000000002</v>
      </c>
      <c r="FI27">
        <v>0</v>
      </c>
      <c r="FJ27">
        <v>18.047699999999999</v>
      </c>
      <c r="FK27">
        <v>800</v>
      </c>
      <c r="FL27">
        <v>18.634899999999998</v>
      </c>
      <c r="FM27">
        <v>99.685100000000006</v>
      </c>
      <c r="FN27">
        <v>100.02500000000001</v>
      </c>
    </row>
    <row r="28" spans="1:170" x14ac:dyDescent="0.25">
      <c r="A28">
        <v>12</v>
      </c>
      <c r="B28">
        <v>1594049109.5999999</v>
      </c>
      <c r="C28">
        <v>1363.6999998092699</v>
      </c>
      <c r="D28" t="s">
        <v>339</v>
      </c>
      <c r="E28" t="s">
        <v>340</v>
      </c>
      <c r="G28">
        <v>1594049101.5999999</v>
      </c>
      <c r="H28">
        <f t="shared" si="0"/>
        <v>4.1451837393786384E-3</v>
      </c>
      <c r="I28">
        <f t="shared" si="1"/>
        <v>37.16890921189318</v>
      </c>
      <c r="J28">
        <f t="shared" si="2"/>
        <v>983.46158064516101</v>
      </c>
      <c r="K28">
        <f t="shared" si="3"/>
        <v>685.16367533110156</v>
      </c>
      <c r="L28">
        <f t="shared" si="4"/>
        <v>68.150766339852751</v>
      </c>
      <c r="M28">
        <f t="shared" si="5"/>
        <v>97.821386042366896</v>
      </c>
      <c r="N28">
        <f t="shared" si="6"/>
        <v>0.22479583021969507</v>
      </c>
      <c r="O28">
        <f t="shared" si="7"/>
        <v>3.378350636548443</v>
      </c>
      <c r="P28">
        <f t="shared" si="8"/>
        <v>0.21680430514940927</v>
      </c>
      <c r="Q28">
        <f t="shared" si="9"/>
        <v>0.13619702863221203</v>
      </c>
      <c r="R28">
        <f t="shared" si="10"/>
        <v>321.44080571790533</v>
      </c>
      <c r="S28">
        <f t="shared" si="11"/>
        <v>28.572872469934921</v>
      </c>
      <c r="T28">
        <f t="shared" si="12"/>
        <v>28.460222580645201</v>
      </c>
      <c r="U28">
        <f t="shared" si="13"/>
        <v>3.8978523911846721</v>
      </c>
      <c r="V28">
        <f t="shared" si="14"/>
        <v>54.550383870059228</v>
      </c>
      <c r="W28">
        <f t="shared" si="15"/>
        <v>2.0529958655048097</v>
      </c>
      <c r="X28">
        <f t="shared" si="16"/>
        <v>3.7634856436484698</v>
      </c>
      <c r="Y28">
        <f t="shared" si="17"/>
        <v>1.8448565256798624</v>
      </c>
      <c r="Z28">
        <f t="shared" si="18"/>
        <v>-182.80260290659794</v>
      </c>
      <c r="AA28">
        <f t="shared" si="19"/>
        <v>-109.72905500280258</v>
      </c>
      <c r="AB28">
        <f t="shared" si="20"/>
        <v>-7.091139939045906</v>
      </c>
      <c r="AC28">
        <f t="shared" si="21"/>
        <v>21.818007869458924</v>
      </c>
      <c r="AD28">
        <v>-4.1112624668635502E-2</v>
      </c>
      <c r="AE28">
        <v>4.6152522854277601E-2</v>
      </c>
      <c r="AF28">
        <v>3.4504960895144299</v>
      </c>
      <c r="AG28">
        <v>170</v>
      </c>
      <c r="AH28">
        <v>34</v>
      </c>
      <c r="AI28">
        <f t="shared" si="22"/>
        <v>1</v>
      </c>
      <c r="AJ28">
        <f t="shared" si="23"/>
        <v>0</v>
      </c>
      <c r="AK28">
        <f t="shared" si="24"/>
        <v>52278.25791297383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248.95273076923101</v>
      </c>
      <c r="AT28">
        <v>327.58699999999999</v>
      </c>
      <c r="AU28">
        <f t="shared" si="27"/>
        <v>0.24004087228970927</v>
      </c>
      <c r="AV28">
        <v>0.5</v>
      </c>
      <c r="AW28">
        <f t="shared" si="28"/>
        <v>1681.204829095177</v>
      </c>
      <c r="AX28">
        <f t="shared" si="29"/>
        <v>37.16890921189318</v>
      </c>
      <c r="AY28">
        <f t="shared" si="30"/>
        <v>201.77893683683894</v>
      </c>
      <c r="AZ28">
        <f t="shared" si="31"/>
        <v>0.4685991812861926</v>
      </c>
      <c r="BA28">
        <f t="shared" si="32"/>
        <v>2.2703306909031218E-2</v>
      </c>
      <c r="BB28">
        <f t="shared" si="33"/>
        <v>-1</v>
      </c>
      <c r="BC28" t="s">
        <v>342</v>
      </c>
      <c r="BD28">
        <v>174.08</v>
      </c>
      <c r="BE28">
        <f t="shared" si="34"/>
        <v>153.50699999999998</v>
      </c>
      <c r="BF28">
        <f t="shared" si="35"/>
        <v>0.51225200955506256</v>
      </c>
      <c r="BG28">
        <f t="shared" si="36"/>
        <v>1.8818187040441174</v>
      </c>
      <c r="BH28">
        <f t="shared" si="37"/>
        <v>0.24004087228970925</v>
      </c>
      <c r="BI28" t="e">
        <f t="shared" si="38"/>
        <v>#DIV/0!</v>
      </c>
      <c r="BJ28">
        <v>4559</v>
      </c>
      <c r="BK28">
        <v>300</v>
      </c>
      <c r="BL28">
        <v>300</v>
      </c>
      <c r="BM28">
        <v>300</v>
      </c>
      <c r="BN28">
        <v>9867.83</v>
      </c>
      <c r="BO28">
        <v>307.17099999999999</v>
      </c>
      <c r="BP28">
        <v>-6.5626800000000004E-3</v>
      </c>
      <c r="BQ28">
        <v>1.79044</v>
      </c>
      <c r="BR28">
        <f t="shared" si="39"/>
        <v>2000.0096774193501</v>
      </c>
      <c r="BS28">
        <f t="shared" si="40"/>
        <v>1681.204829095177</v>
      </c>
      <c r="BT28">
        <f t="shared" si="41"/>
        <v>0.84059834713623338</v>
      </c>
      <c r="BU28">
        <f t="shared" si="42"/>
        <v>0.1911966942724668</v>
      </c>
      <c r="BV28">
        <v>0.5</v>
      </c>
      <c r="BW28" t="s">
        <v>281</v>
      </c>
      <c r="BX28">
        <v>1594049101.5999999</v>
      </c>
      <c r="BY28">
        <v>983.46158064516101</v>
      </c>
      <c r="BZ28">
        <v>999.95783870967705</v>
      </c>
      <c r="CA28">
        <v>20.6400935483871</v>
      </c>
      <c r="CB28">
        <v>19.016435483871</v>
      </c>
      <c r="CC28">
        <v>500.05932258064502</v>
      </c>
      <c r="CD28">
        <v>99.266396774193595</v>
      </c>
      <c r="CE28">
        <v>0.20000635483870999</v>
      </c>
      <c r="CF28">
        <v>27.857758064516101</v>
      </c>
      <c r="CG28">
        <v>28.460222580645201</v>
      </c>
      <c r="CH28">
        <v>999.9</v>
      </c>
      <c r="CI28">
        <v>9987.7800000000007</v>
      </c>
      <c r="CJ28">
        <v>0</v>
      </c>
      <c r="CK28">
        <v>256.08664516128999</v>
      </c>
      <c r="CL28">
        <v>2000.0096774193501</v>
      </c>
      <c r="CM28">
        <v>0.980005129032258</v>
      </c>
      <c r="CN28">
        <v>1.9994825806451601E-2</v>
      </c>
      <c r="CO28">
        <v>0</v>
      </c>
      <c r="CP28">
        <v>248.95790322580601</v>
      </c>
      <c r="CQ28">
        <v>5.00054</v>
      </c>
      <c r="CR28">
        <v>6993.7938709677401</v>
      </c>
      <c r="CS28">
        <v>18703.748387096799</v>
      </c>
      <c r="CT28">
        <v>49.364741935483899</v>
      </c>
      <c r="CU28">
        <v>51.564225806451603</v>
      </c>
      <c r="CV28">
        <v>49.866870967741903</v>
      </c>
      <c r="CW28">
        <v>50.768000000000001</v>
      </c>
      <c r="CX28">
        <v>50.783999999999999</v>
      </c>
      <c r="CY28">
        <v>1955.1190322580601</v>
      </c>
      <c r="CZ28">
        <v>39.89</v>
      </c>
      <c r="DA28">
        <v>0</v>
      </c>
      <c r="DB28">
        <v>123.799999952316</v>
      </c>
      <c r="DC28">
        <v>248.95273076923101</v>
      </c>
      <c r="DD28">
        <v>-2.4782564033381802</v>
      </c>
      <c r="DE28">
        <v>-70.673504058929296</v>
      </c>
      <c r="DF28">
        <v>6993.6015384615403</v>
      </c>
      <c r="DG28">
        <v>15</v>
      </c>
      <c r="DH28">
        <v>1594049136.5999999</v>
      </c>
      <c r="DI28" t="s">
        <v>343</v>
      </c>
      <c r="DJ28">
        <v>12</v>
      </c>
      <c r="DK28">
        <v>-0.25700000000000001</v>
      </c>
      <c r="DL28">
        <v>0.13200000000000001</v>
      </c>
      <c r="DM28">
        <v>1000</v>
      </c>
      <c r="DN28">
        <v>19</v>
      </c>
      <c r="DO28">
        <v>0.22</v>
      </c>
      <c r="DP28">
        <v>0.05</v>
      </c>
      <c r="DQ28">
        <v>983.10744444444401</v>
      </c>
      <c r="DR28">
        <v>0.27877873070217402</v>
      </c>
      <c r="DS28">
        <v>5.5850550137109198E-2</v>
      </c>
      <c r="DT28">
        <v>1</v>
      </c>
      <c r="DU28">
        <v>20.631253703703699</v>
      </c>
      <c r="DV28">
        <v>8.5372212692964203E-2</v>
      </c>
      <c r="DW28">
        <v>1.11873723946862E-2</v>
      </c>
      <c r="DX28">
        <v>1</v>
      </c>
      <c r="DY28">
        <v>2</v>
      </c>
      <c r="DZ28">
        <v>2</v>
      </c>
      <c r="EA28" t="s">
        <v>283</v>
      </c>
      <c r="EB28">
        <v>1.86666</v>
      </c>
      <c r="EC28">
        <v>1.8632500000000001</v>
      </c>
      <c r="ED28">
        <v>1.8688499999999999</v>
      </c>
      <c r="EE28">
        <v>1.86676</v>
      </c>
      <c r="EF28">
        <v>1.8714900000000001</v>
      </c>
      <c r="EG28">
        <v>1.86389</v>
      </c>
      <c r="EH28">
        <v>1.8653900000000001</v>
      </c>
      <c r="EI28">
        <v>1.86538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-0.25700000000000001</v>
      </c>
      <c r="EX28">
        <v>0.13200000000000001</v>
      </c>
      <c r="EY28">
        <v>2</v>
      </c>
      <c r="EZ28">
        <v>315.29000000000002</v>
      </c>
      <c r="FA28">
        <v>457.55700000000002</v>
      </c>
      <c r="FB28">
        <v>22.0413</v>
      </c>
      <c r="FC28">
        <v>39.410600000000002</v>
      </c>
      <c r="FD28">
        <v>30.000699999999998</v>
      </c>
      <c r="FE28">
        <v>39.230400000000003</v>
      </c>
      <c r="FF28">
        <v>39.210099999999997</v>
      </c>
      <c r="FG28">
        <v>46.214300000000001</v>
      </c>
      <c r="FH28">
        <v>46.553699999999999</v>
      </c>
      <c r="FI28">
        <v>0</v>
      </c>
      <c r="FJ28">
        <v>18.333500000000001</v>
      </c>
      <c r="FK28">
        <v>1000</v>
      </c>
      <c r="FL28">
        <v>19.167200000000001</v>
      </c>
      <c r="FM28">
        <v>99.660799999999995</v>
      </c>
      <c r="FN28">
        <v>99.993099999999998</v>
      </c>
    </row>
    <row r="29" spans="1:170" x14ac:dyDescent="0.25">
      <c r="A29">
        <v>13</v>
      </c>
      <c r="B29">
        <v>1594049228.0999999</v>
      </c>
      <c r="C29">
        <v>1482.1999998092699</v>
      </c>
      <c r="D29" t="s">
        <v>344</v>
      </c>
      <c r="E29" t="s">
        <v>345</v>
      </c>
      <c r="G29">
        <v>1594049220.0999999</v>
      </c>
      <c r="H29">
        <f t="shared" si="0"/>
        <v>3.9395471585629577E-3</v>
      </c>
      <c r="I29">
        <f t="shared" si="1"/>
        <v>37.762788326654608</v>
      </c>
      <c r="J29">
        <f t="shared" si="2"/>
        <v>1182.9823548387101</v>
      </c>
      <c r="K29">
        <f t="shared" si="3"/>
        <v>852.15121745685792</v>
      </c>
      <c r="L29">
        <f t="shared" si="4"/>
        <v>84.762134486802623</v>
      </c>
      <c r="M29">
        <f t="shared" si="5"/>
        <v>117.66938473150712</v>
      </c>
      <c r="N29">
        <f t="shared" si="6"/>
        <v>0.20791391534267176</v>
      </c>
      <c r="O29">
        <f t="shared" si="7"/>
        <v>3.3821957907370708</v>
      </c>
      <c r="P29">
        <f t="shared" si="8"/>
        <v>0.20106545059564251</v>
      </c>
      <c r="Q29">
        <f t="shared" si="9"/>
        <v>0.12626242196621767</v>
      </c>
      <c r="R29">
        <f t="shared" si="10"/>
        <v>321.44038392199928</v>
      </c>
      <c r="S29">
        <f t="shared" si="11"/>
        <v>28.941665711772316</v>
      </c>
      <c r="T29">
        <f t="shared" si="12"/>
        <v>28.820167741935499</v>
      </c>
      <c r="U29">
        <f t="shared" si="13"/>
        <v>3.9801112654953483</v>
      </c>
      <c r="V29">
        <f t="shared" si="14"/>
        <v>54.515255870459335</v>
      </c>
      <c r="W29">
        <f t="shared" si="15"/>
        <v>2.0906644543727202</v>
      </c>
      <c r="X29">
        <f t="shared" si="16"/>
        <v>3.8350080559845763</v>
      </c>
      <c r="Y29">
        <f t="shared" si="17"/>
        <v>1.8894468111226281</v>
      </c>
      <c r="Z29">
        <f t="shared" si="18"/>
        <v>-173.73402969262645</v>
      </c>
      <c r="AA29">
        <f t="shared" si="19"/>
        <v>-116.59409046647362</v>
      </c>
      <c r="AB29">
        <f t="shared" si="20"/>
        <v>-7.5518507512965494</v>
      </c>
      <c r="AC29">
        <f t="shared" si="21"/>
        <v>23.560413011602648</v>
      </c>
      <c r="AD29">
        <v>-4.1172075657397701E-2</v>
      </c>
      <c r="AE29">
        <v>4.6219261797355901E-2</v>
      </c>
      <c r="AF29">
        <v>3.4544455697719498</v>
      </c>
      <c r="AG29">
        <v>169</v>
      </c>
      <c r="AH29">
        <v>34</v>
      </c>
      <c r="AI29">
        <f t="shared" si="22"/>
        <v>1</v>
      </c>
      <c r="AJ29">
        <f t="shared" si="23"/>
        <v>0</v>
      </c>
      <c r="AK29">
        <f t="shared" si="24"/>
        <v>52294.676331838389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246.83023076923101</v>
      </c>
      <c r="AT29">
        <v>326.13</v>
      </c>
      <c r="AU29">
        <f t="shared" si="27"/>
        <v>0.24315386266448646</v>
      </c>
      <c r="AV29">
        <v>0.5</v>
      </c>
      <c r="AW29">
        <f t="shared" si="28"/>
        <v>1681.197299676729</v>
      </c>
      <c r="AX29">
        <f t="shared" si="29"/>
        <v>37.762788326654608</v>
      </c>
      <c r="AY29">
        <f t="shared" si="30"/>
        <v>204.39480865875043</v>
      </c>
      <c r="AZ29">
        <f t="shared" si="31"/>
        <v>0.46634777542697697</v>
      </c>
      <c r="BA29">
        <f t="shared" si="32"/>
        <v>2.3056656309231614E-2</v>
      </c>
      <c r="BB29">
        <f t="shared" si="33"/>
        <v>-1</v>
      </c>
      <c r="BC29" t="s">
        <v>347</v>
      </c>
      <c r="BD29">
        <v>174.04</v>
      </c>
      <c r="BE29">
        <f t="shared" si="34"/>
        <v>152.09</v>
      </c>
      <c r="BF29">
        <f t="shared" si="35"/>
        <v>0.52140028424465112</v>
      </c>
      <c r="BG29">
        <f t="shared" si="36"/>
        <v>1.8738795679154219</v>
      </c>
      <c r="BH29">
        <f t="shared" si="37"/>
        <v>0.24315386266448652</v>
      </c>
      <c r="BI29" t="e">
        <f t="shared" si="38"/>
        <v>#DIV/0!</v>
      </c>
      <c r="BJ29">
        <v>4561</v>
      </c>
      <c r="BK29">
        <v>300</v>
      </c>
      <c r="BL29">
        <v>300</v>
      </c>
      <c r="BM29">
        <v>300</v>
      </c>
      <c r="BN29">
        <v>9866.0300000000007</v>
      </c>
      <c r="BO29">
        <v>303.95</v>
      </c>
      <c r="BP29">
        <v>-6.5611599999999999E-3</v>
      </c>
      <c r="BQ29">
        <v>0.82260100000000003</v>
      </c>
      <c r="BR29">
        <f t="shared" si="39"/>
        <v>2000</v>
      </c>
      <c r="BS29">
        <f t="shared" si="40"/>
        <v>1681.197299676729</v>
      </c>
      <c r="BT29">
        <f t="shared" si="41"/>
        <v>0.84059864983836452</v>
      </c>
      <c r="BU29">
        <f t="shared" si="42"/>
        <v>0.19119729967672908</v>
      </c>
      <c r="BV29">
        <v>0.5</v>
      </c>
      <c r="BW29" t="s">
        <v>281</v>
      </c>
      <c r="BX29">
        <v>1594049220.0999999</v>
      </c>
      <c r="BY29">
        <v>1182.9823548387101</v>
      </c>
      <c r="BZ29">
        <v>1199.94935483871</v>
      </c>
      <c r="CA29">
        <v>21.0183741935484</v>
      </c>
      <c r="CB29">
        <v>19.475883870967699</v>
      </c>
      <c r="CC29">
        <v>500.06722580645197</v>
      </c>
      <c r="CD29">
        <v>99.268448387096797</v>
      </c>
      <c r="CE29">
        <v>0.199970774193548</v>
      </c>
      <c r="CF29">
        <v>28.180738709677399</v>
      </c>
      <c r="CG29">
        <v>28.820167741935499</v>
      </c>
      <c r="CH29">
        <v>999.9</v>
      </c>
      <c r="CI29">
        <v>10002.016129032299</v>
      </c>
      <c r="CJ29">
        <v>0</v>
      </c>
      <c r="CK29">
        <v>260.05587096774201</v>
      </c>
      <c r="CL29">
        <v>2000</v>
      </c>
      <c r="CM29">
        <v>0.97999480645161297</v>
      </c>
      <c r="CN29">
        <v>2.0005467741935502E-2</v>
      </c>
      <c r="CO29">
        <v>0</v>
      </c>
      <c r="CP29">
        <v>246.877806451613</v>
      </c>
      <c r="CQ29">
        <v>5.00054</v>
      </c>
      <c r="CR29">
        <v>6973.33161290322</v>
      </c>
      <c r="CS29">
        <v>18703.599999999999</v>
      </c>
      <c r="CT29">
        <v>49.747903225806397</v>
      </c>
      <c r="CU29">
        <v>52.0843548387097</v>
      </c>
      <c r="CV29">
        <v>50.320129032258002</v>
      </c>
      <c r="CW29">
        <v>51.209419354838701</v>
      </c>
      <c r="CX29">
        <v>51.197161290322597</v>
      </c>
      <c r="CY29">
        <v>1955.09</v>
      </c>
      <c r="CZ29">
        <v>39.909999999999997</v>
      </c>
      <c r="DA29">
        <v>0</v>
      </c>
      <c r="DB29">
        <v>118.09999990463299</v>
      </c>
      <c r="DC29">
        <v>246.83023076923101</v>
      </c>
      <c r="DD29">
        <v>-1.8064273450988</v>
      </c>
      <c r="DE29">
        <v>-42.387692383013402</v>
      </c>
      <c r="DF29">
        <v>6972.81615384615</v>
      </c>
      <c r="DG29">
        <v>15</v>
      </c>
      <c r="DH29">
        <v>1594049260.5999999</v>
      </c>
      <c r="DI29" t="s">
        <v>348</v>
      </c>
      <c r="DJ29">
        <v>13</v>
      </c>
      <c r="DK29">
        <v>-0.23400000000000001</v>
      </c>
      <c r="DL29">
        <v>0.13900000000000001</v>
      </c>
      <c r="DM29">
        <v>1200</v>
      </c>
      <c r="DN29">
        <v>20</v>
      </c>
      <c r="DO29">
        <v>0.26</v>
      </c>
      <c r="DP29">
        <v>7.0000000000000007E-2</v>
      </c>
      <c r="DQ29">
        <v>1182.93351851852</v>
      </c>
      <c r="DR29">
        <v>0.21959977129830099</v>
      </c>
      <c r="DS29">
        <v>4.6870878876933003E-2</v>
      </c>
      <c r="DT29">
        <v>1</v>
      </c>
      <c r="DU29">
        <v>21.010735185185201</v>
      </c>
      <c r="DV29">
        <v>1.7589479702686098E-2</v>
      </c>
      <c r="DW29">
        <v>6.3680090908008599E-3</v>
      </c>
      <c r="DX29">
        <v>1</v>
      </c>
      <c r="DY29">
        <v>2</v>
      </c>
      <c r="DZ29">
        <v>2</v>
      </c>
      <c r="EA29" t="s">
        <v>283</v>
      </c>
      <c r="EB29">
        <v>1.86669</v>
      </c>
      <c r="EC29">
        <v>1.86324</v>
      </c>
      <c r="ED29">
        <v>1.8688100000000001</v>
      </c>
      <c r="EE29">
        <v>1.86676</v>
      </c>
      <c r="EF29">
        <v>1.8714900000000001</v>
      </c>
      <c r="EG29">
        <v>1.86389</v>
      </c>
      <c r="EH29">
        <v>1.8653900000000001</v>
      </c>
      <c r="EI29">
        <v>1.86538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-0.23400000000000001</v>
      </c>
      <c r="EX29">
        <v>0.13900000000000001</v>
      </c>
      <c r="EY29">
        <v>2</v>
      </c>
      <c r="EZ29">
        <v>316.75099999999998</v>
      </c>
      <c r="FA29">
        <v>456.69600000000003</v>
      </c>
      <c r="FB29">
        <v>22.325399999999998</v>
      </c>
      <c r="FC29">
        <v>39.583799999999997</v>
      </c>
      <c r="FD29">
        <v>30.000699999999998</v>
      </c>
      <c r="FE29">
        <v>39.383200000000002</v>
      </c>
      <c r="FF29">
        <v>39.36</v>
      </c>
      <c r="FG29">
        <v>53.530299999999997</v>
      </c>
      <c r="FH29">
        <v>45.242400000000004</v>
      </c>
      <c r="FI29">
        <v>0</v>
      </c>
      <c r="FJ29">
        <v>18.6189</v>
      </c>
      <c r="FK29">
        <v>1200</v>
      </c>
      <c r="FL29">
        <v>19.6877</v>
      </c>
      <c r="FM29">
        <v>99.625699999999995</v>
      </c>
      <c r="FN29">
        <v>99.9572</v>
      </c>
    </row>
    <row r="30" spans="1:170" x14ac:dyDescent="0.25">
      <c r="A30">
        <v>14</v>
      </c>
      <c r="B30">
        <v>1594049382.0999999</v>
      </c>
      <c r="C30">
        <v>1636.1999998092699</v>
      </c>
      <c r="D30" t="s">
        <v>349</v>
      </c>
      <c r="E30" t="s">
        <v>350</v>
      </c>
      <c r="G30">
        <v>1594049374.0999999</v>
      </c>
      <c r="H30">
        <f t="shared" si="0"/>
        <v>3.4990903679434685E-3</v>
      </c>
      <c r="I30">
        <f t="shared" si="1"/>
        <v>38.539587697214444</v>
      </c>
      <c r="J30">
        <f t="shared" si="2"/>
        <v>1582.34122580645</v>
      </c>
      <c r="K30">
        <f t="shared" si="3"/>
        <v>1189.35087977441</v>
      </c>
      <c r="L30">
        <f t="shared" si="4"/>
        <v>118.3128531675308</v>
      </c>
      <c r="M30">
        <f t="shared" si="5"/>
        <v>157.4062863141603</v>
      </c>
      <c r="N30">
        <f t="shared" si="6"/>
        <v>0.18114310440666878</v>
      </c>
      <c r="O30">
        <f t="shared" si="7"/>
        <v>3.3816478811774036</v>
      </c>
      <c r="P30">
        <f t="shared" si="8"/>
        <v>0.17592004259008925</v>
      </c>
      <c r="Q30">
        <f t="shared" si="9"/>
        <v>0.11040675352480155</v>
      </c>
      <c r="R30">
        <f t="shared" si="10"/>
        <v>321.43881352717148</v>
      </c>
      <c r="S30">
        <f t="shared" si="11"/>
        <v>29.322543727797786</v>
      </c>
      <c r="T30">
        <f t="shared" si="12"/>
        <v>29.110854838709699</v>
      </c>
      <c r="U30">
        <f t="shared" si="13"/>
        <v>4.0476433793229063</v>
      </c>
      <c r="V30">
        <f t="shared" si="14"/>
        <v>54.653198037254356</v>
      </c>
      <c r="W30">
        <f t="shared" si="15"/>
        <v>2.1304682751005815</v>
      </c>
      <c r="X30">
        <f t="shared" si="16"/>
        <v>3.898158482232545</v>
      </c>
      <c r="Y30">
        <f t="shared" si="17"/>
        <v>1.9171751042223248</v>
      </c>
      <c r="Z30">
        <f t="shared" si="18"/>
        <v>-154.30988522630696</v>
      </c>
      <c r="AA30">
        <f t="shared" si="19"/>
        <v>-118.37126378237289</v>
      </c>
      <c r="AB30">
        <f t="shared" si="20"/>
        <v>-7.6900259099240298</v>
      </c>
      <c r="AC30">
        <f t="shared" si="21"/>
        <v>41.067638608567592</v>
      </c>
      <c r="AD30">
        <v>-4.1163602425150297E-2</v>
      </c>
      <c r="AE30">
        <v>4.6209749851862297E-2</v>
      </c>
      <c r="AF30">
        <v>3.45388279117428</v>
      </c>
      <c r="AG30">
        <v>170</v>
      </c>
      <c r="AH30">
        <v>34</v>
      </c>
      <c r="AI30">
        <f t="shared" si="22"/>
        <v>1</v>
      </c>
      <c r="AJ30">
        <f t="shared" si="23"/>
        <v>0</v>
      </c>
      <c r="AK30">
        <f t="shared" si="24"/>
        <v>52235.827166698909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244.90992307692301</v>
      </c>
      <c r="AT30">
        <v>318.40899999999999</v>
      </c>
      <c r="AU30">
        <f t="shared" si="27"/>
        <v>0.23083228464985905</v>
      </c>
      <c r="AV30">
        <v>0.5</v>
      </c>
      <c r="AW30">
        <f t="shared" si="28"/>
        <v>1681.1913480638939</v>
      </c>
      <c r="AX30">
        <f t="shared" si="29"/>
        <v>38.539587697214444</v>
      </c>
      <c r="AY30">
        <f t="shared" si="30"/>
        <v>194.0366199035825</v>
      </c>
      <c r="AZ30">
        <f t="shared" si="31"/>
        <v>0.46389706321115298</v>
      </c>
      <c r="BA30">
        <f t="shared" si="32"/>
        <v>2.3518790851945151E-2</v>
      </c>
      <c r="BB30">
        <f t="shared" si="33"/>
        <v>-1</v>
      </c>
      <c r="BC30" t="s">
        <v>352</v>
      </c>
      <c r="BD30">
        <v>170.7</v>
      </c>
      <c r="BE30">
        <f t="shared" si="34"/>
        <v>147.709</v>
      </c>
      <c r="BF30">
        <f t="shared" si="35"/>
        <v>0.49759376153840984</v>
      </c>
      <c r="BG30">
        <f t="shared" si="36"/>
        <v>1.8653134153485649</v>
      </c>
      <c r="BH30">
        <f t="shared" si="37"/>
        <v>0.23083228464985911</v>
      </c>
      <c r="BI30" t="e">
        <f t="shared" si="38"/>
        <v>#DIV/0!</v>
      </c>
      <c r="BJ30">
        <v>4563</v>
      </c>
      <c r="BK30">
        <v>300</v>
      </c>
      <c r="BL30">
        <v>300</v>
      </c>
      <c r="BM30">
        <v>300</v>
      </c>
      <c r="BN30">
        <v>9863.76</v>
      </c>
      <c r="BO30">
        <v>298.512</v>
      </c>
      <c r="BP30">
        <v>-6.5593400000000003E-3</v>
      </c>
      <c r="BQ30">
        <v>0.72354099999999999</v>
      </c>
      <c r="BR30">
        <f t="shared" si="39"/>
        <v>1999.99322580645</v>
      </c>
      <c r="BS30">
        <f t="shared" si="40"/>
        <v>1681.1913480638939</v>
      </c>
      <c r="BT30">
        <f t="shared" si="41"/>
        <v>0.84059852122048717</v>
      </c>
      <c r="BU30">
        <f t="shared" si="42"/>
        <v>0.19119704244097452</v>
      </c>
      <c r="BV30">
        <v>0.5</v>
      </c>
      <c r="BW30" t="s">
        <v>281</v>
      </c>
      <c r="BX30">
        <v>1594049374.0999999</v>
      </c>
      <c r="BY30">
        <v>1582.34122580645</v>
      </c>
      <c r="BZ30">
        <v>1599.96903225806</v>
      </c>
      <c r="CA30">
        <v>21.4167290322581</v>
      </c>
      <c r="CB30">
        <v>20.047280645161301</v>
      </c>
      <c r="CC30">
        <v>500.07745161290302</v>
      </c>
      <c r="CD30">
        <v>99.276822580645202</v>
      </c>
      <c r="CE30">
        <v>0.20000564516128999</v>
      </c>
      <c r="CF30">
        <v>28.461574193548401</v>
      </c>
      <c r="CG30">
        <v>29.110854838709699</v>
      </c>
      <c r="CH30">
        <v>999.9</v>
      </c>
      <c r="CI30">
        <v>9999.1141935483902</v>
      </c>
      <c r="CJ30">
        <v>0</v>
      </c>
      <c r="CK30">
        <v>264.65445161290302</v>
      </c>
      <c r="CL30">
        <v>1999.99322580645</v>
      </c>
      <c r="CM30">
        <v>0.97999806451612903</v>
      </c>
      <c r="CN30">
        <v>2.0001877419354799E-2</v>
      </c>
      <c r="CO30">
        <v>0</v>
      </c>
      <c r="CP30">
        <v>244.964258064516</v>
      </c>
      <c r="CQ30">
        <v>5.00054</v>
      </c>
      <c r="CR30">
        <v>6965.8706451612898</v>
      </c>
      <c r="CS30">
        <v>18703.554838709701</v>
      </c>
      <c r="CT30">
        <v>50.205354838709702</v>
      </c>
      <c r="CU30">
        <v>52.616580645161299</v>
      </c>
      <c r="CV30">
        <v>50.818290322580602</v>
      </c>
      <c r="CW30">
        <v>51.709419354838701</v>
      </c>
      <c r="CX30">
        <v>51.638806451612901</v>
      </c>
      <c r="CY30">
        <v>1955.09193548387</v>
      </c>
      <c r="CZ30">
        <v>39.901290322580699</v>
      </c>
      <c r="DA30">
        <v>0</v>
      </c>
      <c r="DB30">
        <v>153.5</v>
      </c>
      <c r="DC30">
        <v>244.90992307692301</v>
      </c>
      <c r="DD30">
        <v>-1.6056068400755701</v>
      </c>
      <c r="DE30">
        <v>-26.592820524234401</v>
      </c>
      <c r="DF30">
        <v>6965.7423076923096</v>
      </c>
      <c r="DG30">
        <v>15</v>
      </c>
      <c r="DH30">
        <v>1594049417.5999999</v>
      </c>
      <c r="DI30" t="s">
        <v>353</v>
      </c>
      <c r="DJ30">
        <v>14</v>
      </c>
      <c r="DK30">
        <v>-0.376</v>
      </c>
      <c r="DL30">
        <v>0.14399999999999999</v>
      </c>
      <c r="DM30">
        <v>1600</v>
      </c>
      <c r="DN30">
        <v>20</v>
      </c>
      <c r="DO30">
        <v>0.46</v>
      </c>
      <c r="DP30">
        <v>0.06</v>
      </c>
      <c r="DQ30">
        <v>1582.44888888889</v>
      </c>
      <c r="DR30">
        <v>0.245596228706492</v>
      </c>
      <c r="DS30">
        <v>7.5121301083923203E-2</v>
      </c>
      <c r="DT30">
        <v>1</v>
      </c>
      <c r="DU30">
        <v>21.377070370370401</v>
      </c>
      <c r="DV30">
        <v>0.359699556177772</v>
      </c>
      <c r="DW30">
        <v>4.9238556217473702E-2</v>
      </c>
      <c r="DX30">
        <v>0</v>
      </c>
      <c r="DY30">
        <v>1</v>
      </c>
      <c r="DZ30">
        <v>2</v>
      </c>
      <c r="EA30" t="s">
        <v>338</v>
      </c>
      <c r="EB30">
        <v>1.86666</v>
      </c>
      <c r="EC30">
        <v>1.8632200000000001</v>
      </c>
      <c r="ED30">
        <v>1.8688100000000001</v>
      </c>
      <c r="EE30">
        <v>1.86676</v>
      </c>
      <c r="EF30">
        <v>1.8714900000000001</v>
      </c>
      <c r="EG30">
        <v>1.8638699999999999</v>
      </c>
      <c r="EH30">
        <v>1.8653900000000001</v>
      </c>
      <c r="EI30">
        <v>1.8653599999999999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-0.376</v>
      </c>
      <c r="EX30">
        <v>0.14399999999999999</v>
      </c>
      <c r="EY30">
        <v>2</v>
      </c>
      <c r="EZ30">
        <v>315.90300000000002</v>
      </c>
      <c r="FA30">
        <v>455.92700000000002</v>
      </c>
      <c r="FB30">
        <v>22.5898</v>
      </c>
      <c r="FC30">
        <v>39.795699999999997</v>
      </c>
      <c r="FD30">
        <v>30.000599999999999</v>
      </c>
      <c r="FE30">
        <v>39.582900000000002</v>
      </c>
      <c r="FF30">
        <v>39.557499999999997</v>
      </c>
      <c r="FG30">
        <v>67.320099999999996</v>
      </c>
      <c r="FH30">
        <v>44.740400000000001</v>
      </c>
      <c r="FI30">
        <v>0</v>
      </c>
      <c r="FJ30">
        <v>18.949100000000001</v>
      </c>
      <c r="FK30">
        <v>1600</v>
      </c>
      <c r="FL30">
        <v>20.0745</v>
      </c>
      <c r="FM30">
        <v>99.590800000000002</v>
      </c>
      <c r="FN30">
        <v>99.918499999999995</v>
      </c>
    </row>
    <row r="31" spans="1:170" x14ac:dyDescent="0.25">
      <c r="A31">
        <v>15</v>
      </c>
      <c r="B31">
        <v>1594049539.0999999</v>
      </c>
      <c r="C31">
        <v>1793.1999998092699</v>
      </c>
      <c r="D31" t="s">
        <v>354</v>
      </c>
      <c r="E31" t="s">
        <v>355</v>
      </c>
      <c r="G31">
        <v>1594049531.0999999</v>
      </c>
      <c r="H31">
        <f t="shared" si="0"/>
        <v>3.5089880061235732E-3</v>
      </c>
      <c r="I31">
        <f t="shared" si="1"/>
        <v>37.482029176302611</v>
      </c>
      <c r="J31">
        <f t="shared" si="2"/>
        <v>1782.50435483871</v>
      </c>
      <c r="K31">
        <f t="shared" si="3"/>
        <v>1402.9069005337221</v>
      </c>
      <c r="L31">
        <f t="shared" si="4"/>
        <v>139.553783788077</v>
      </c>
      <c r="M31">
        <f t="shared" si="5"/>
        <v>177.31413769640062</v>
      </c>
      <c r="N31">
        <f t="shared" si="6"/>
        <v>0.18629154313514756</v>
      </c>
      <c r="O31">
        <f t="shared" si="7"/>
        <v>3.381098900599802</v>
      </c>
      <c r="P31">
        <f t="shared" si="8"/>
        <v>0.18077136519414383</v>
      </c>
      <c r="Q31">
        <f t="shared" si="9"/>
        <v>0.11346444406482709</v>
      </c>
      <c r="R31">
        <f t="shared" si="10"/>
        <v>321.4362745164056</v>
      </c>
      <c r="S31">
        <f t="shared" si="11"/>
        <v>28.963118042513415</v>
      </c>
      <c r="T31">
        <f t="shared" si="12"/>
        <v>28.859638709677402</v>
      </c>
      <c r="U31">
        <f t="shared" si="13"/>
        <v>3.9892230727402302</v>
      </c>
      <c r="V31">
        <f t="shared" si="14"/>
        <v>55.463837367156707</v>
      </c>
      <c r="W31">
        <f t="shared" si="15"/>
        <v>2.1175698987053111</v>
      </c>
      <c r="X31">
        <f t="shared" si="16"/>
        <v>3.8179289411360573</v>
      </c>
      <c r="Y31">
        <f t="shared" si="17"/>
        <v>1.8716531740349192</v>
      </c>
      <c r="Z31">
        <f t="shared" si="18"/>
        <v>-154.74637107004958</v>
      </c>
      <c r="AA31">
        <f t="shared" si="19"/>
        <v>-137.7221349499263</v>
      </c>
      <c r="AB31">
        <f t="shared" si="20"/>
        <v>-8.9215712073531162</v>
      </c>
      <c r="AC31">
        <f t="shared" si="21"/>
        <v>20.046197289076616</v>
      </c>
      <c r="AD31">
        <v>-4.1155113247352999E-2</v>
      </c>
      <c r="AE31">
        <v>4.6200220006092002E-2</v>
      </c>
      <c r="AF31">
        <v>3.4533189135770299</v>
      </c>
      <c r="AG31">
        <v>168</v>
      </c>
      <c r="AH31">
        <v>34</v>
      </c>
      <c r="AI31">
        <f t="shared" si="22"/>
        <v>1</v>
      </c>
      <c r="AJ31">
        <f t="shared" si="23"/>
        <v>0</v>
      </c>
      <c r="AK31">
        <f t="shared" si="24"/>
        <v>52287.452943876648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356</v>
      </c>
      <c r="AS31">
        <v>244.60288461538499</v>
      </c>
      <c r="AT31">
        <v>314.02800000000002</v>
      </c>
      <c r="AU31">
        <f t="shared" si="27"/>
        <v>0.22107937949678058</v>
      </c>
      <c r="AV31">
        <v>0.5</v>
      </c>
      <c r="AW31">
        <f t="shared" si="28"/>
        <v>1681.1780619324795</v>
      </c>
      <c r="AX31">
        <f t="shared" si="29"/>
        <v>37.482029176302611</v>
      </c>
      <c r="AY31">
        <f t="shared" si="30"/>
        <v>185.83690137781636</v>
      </c>
      <c r="AZ31">
        <f t="shared" si="31"/>
        <v>0.4534245353917486</v>
      </c>
      <c r="BA31">
        <f t="shared" si="32"/>
        <v>2.2889918710971228E-2</v>
      </c>
      <c r="BB31">
        <f t="shared" si="33"/>
        <v>-1</v>
      </c>
      <c r="BC31" t="s">
        <v>357</v>
      </c>
      <c r="BD31">
        <v>171.64</v>
      </c>
      <c r="BE31">
        <f t="shared" si="34"/>
        <v>142.38800000000003</v>
      </c>
      <c r="BF31">
        <f t="shared" si="35"/>
        <v>0.48757701059509939</v>
      </c>
      <c r="BG31">
        <f t="shared" si="36"/>
        <v>1.8295735259846193</v>
      </c>
      <c r="BH31">
        <f t="shared" si="37"/>
        <v>0.22107937949678061</v>
      </c>
      <c r="BI31" t="e">
        <f t="shared" si="38"/>
        <v>#DIV/0!</v>
      </c>
      <c r="BJ31">
        <v>4565</v>
      </c>
      <c r="BK31">
        <v>300</v>
      </c>
      <c r="BL31">
        <v>300</v>
      </c>
      <c r="BM31">
        <v>300</v>
      </c>
      <c r="BN31">
        <v>9865.76</v>
      </c>
      <c r="BO31">
        <v>296.44099999999997</v>
      </c>
      <c r="BP31">
        <v>-6.5606600000000003E-3</v>
      </c>
      <c r="BQ31">
        <v>0.99395800000000001</v>
      </c>
      <c r="BR31">
        <f t="shared" si="39"/>
        <v>1999.9774193548401</v>
      </c>
      <c r="BS31">
        <f t="shared" si="40"/>
        <v>1681.1780619324795</v>
      </c>
      <c r="BT31">
        <f t="shared" si="41"/>
        <v>0.84059852159470883</v>
      </c>
      <c r="BU31">
        <f t="shared" si="42"/>
        <v>0.19119704318941758</v>
      </c>
      <c r="BV31">
        <v>0.5</v>
      </c>
      <c r="BW31" t="s">
        <v>281</v>
      </c>
      <c r="BX31">
        <v>1594049531.0999999</v>
      </c>
      <c r="BY31">
        <v>1782.50435483871</v>
      </c>
      <c r="BZ31">
        <v>1799.9964516129</v>
      </c>
      <c r="CA31">
        <v>21.287516129032301</v>
      </c>
      <c r="CB31">
        <v>19.914006451612899</v>
      </c>
      <c r="CC31">
        <v>500.07516129032302</v>
      </c>
      <c r="CD31">
        <v>99.274719354838695</v>
      </c>
      <c r="CE31">
        <v>0.20000967741935499</v>
      </c>
      <c r="CF31">
        <v>28.104093548387102</v>
      </c>
      <c r="CG31">
        <v>28.859638709677402</v>
      </c>
      <c r="CH31">
        <v>999.9</v>
      </c>
      <c r="CI31">
        <v>9997.2638709677394</v>
      </c>
      <c r="CJ31">
        <v>0</v>
      </c>
      <c r="CK31">
        <v>328.44290322580599</v>
      </c>
      <c r="CL31">
        <v>1999.9774193548401</v>
      </c>
      <c r="CM31">
        <v>0.97999945161290303</v>
      </c>
      <c r="CN31">
        <v>2.0000696774193499E-2</v>
      </c>
      <c r="CO31">
        <v>0</v>
      </c>
      <c r="CP31">
        <v>244.60348387096801</v>
      </c>
      <c r="CQ31">
        <v>5.00054</v>
      </c>
      <c r="CR31">
        <v>6909.2396774193503</v>
      </c>
      <c r="CS31">
        <v>18703.412903225799</v>
      </c>
      <c r="CT31">
        <v>49.854612903225799</v>
      </c>
      <c r="CU31">
        <v>52.134806451612903</v>
      </c>
      <c r="CV31">
        <v>50.533935483870899</v>
      </c>
      <c r="CW31">
        <v>50.925161290322599</v>
      </c>
      <c r="CX31">
        <v>51.439290322580597</v>
      </c>
      <c r="CY31">
        <v>1955.0748387096801</v>
      </c>
      <c r="CZ31">
        <v>39.900967741935503</v>
      </c>
      <c r="DA31">
        <v>0</v>
      </c>
      <c r="DB31">
        <v>156.200000047684</v>
      </c>
      <c r="DC31">
        <v>244.60288461538499</v>
      </c>
      <c r="DD31">
        <v>-0.115247859008957</v>
      </c>
      <c r="DE31">
        <v>-2679.1487189261002</v>
      </c>
      <c r="DF31">
        <v>6898.5076923076904</v>
      </c>
      <c r="DG31">
        <v>15</v>
      </c>
      <c r="DH31">
        <v>1594049571.5999999</v>
      </c>
      <c r="DI31" t="s">
        <v>358</v>
      </c>
      <c r="DJ31">
        <v>15</v>
      </c>
      <c r="DK31">
        <v>-0.221</v>
      </c>
      <c r="DL31">
        <v>0.14099999999999999</v>
      </c>
      <c r="DM31">
        <v>1800</v>
      </c>
      <c r="DN31">
        <v>20</v>
      </c>
      <c r="DO31">
        <v>0.35</v>
      </c>
      <c r="DP31">
        <v>7.0000000000000007E-2</v>
      </c>
      <c r="DQ31">
        <v>1782.30111111111</v>
      </c>
      <c r="DR31">
        <v>0.31899371069146998</v>
      </c>
      <c r="DS31">
        <v>7.5465632763482393E-2</v>
      </c>
      <c r="DT31">
        <v>0</v>
      </c>
      <c r="DU31">
        <v>21.309901851851802</v>
      </c>
      <c r="DV31">
        <v>-0.19501841052031799</v>
      </c>
      <c r="DW31">
        <v>2.5541995127420201E-2</v>
      </c>
      <c r="DX31">
        <v>1</v>
      </c>
      <c r="DY31">
        <v>1</v>
      </c>
      <c r="DZ31">
        <v>2</v>
      </c>
      <c r="EA31" t="s">
        <v>338</v>
      </c>
      <c r="EB31">
        <v>1.8666400000000001</v>
      </c>
      <c r="EC31">
        <v>1.8632</v>
      </c>
      <c r="ED31">
        <v>1.86879</v>
      </c>
      <c r="EE31">
        <v>1.86676</v>
      </c>
      <c r="EF31">
        <v>1.8714900000000001</v>
      </c>
      <c r="EG31">
        <v>1.8638600000000001</v>
      </c>
      <c r="EH31">
        <v>1.8653900000000001</v>
      </c>
      <c r="EI31">
        <v>1.8653299999999999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-0.221</v>
      </c>
      <c r="EX31">
        <v>0.14099999999999999</v>
      </c>
      <c r="EY31">
        <v>2</v>
      </c>
      <c r="EZ31">
        <v>317.46100000000001</v>
      </c>
      <c r="FA31">
        <v>455.31</v>
      </c>
      <c r="FB31">
        <v>21.988099999999999</v>
      </c>
      <c r="FC31">
        <v>39.761699999999998</v>
      </c>
      <c r="FD31">
        <v>29.999500000000001</v>
      </c>
      <c r="FE31">
        <v>39.608800000000002</v>
      </c>
      <c r="FF31">
        <v>39.5779</v>
      </c>
      <c r="FG31">
        <v>73.813999999999993</v>
      </c>
      <c r="FH31">
        <v>46.028199999999998</v>
      </c>
      <c r="FI31">
        <v>0</v>
      </c>
      <c r="FJ31">
        <v>18.846599999999999</v>
      </c>
      <c r="FK31">
        <v>1800</v>
      </c>
      <c r="FL31">
        <v>19.8154</v>
      </c>
      <c r="FM31">
        <v>99.602000000000004</v>
      </c>
      <c r="FN31">
        <v>99.9392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2020-07-06T10:35:02Z</dcterms:created>
  <dcterms:modified xsi:type="dcterms:W3CDTF">2024-11-20T08:59:21Z</dcterms:modified>
</cp:coreProperties>
</file>