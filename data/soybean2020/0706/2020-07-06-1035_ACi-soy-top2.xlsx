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706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J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P29" i="1"/>
  <c r="AO29" i="1"/>
  <c r="AK29" i="1"/>
  <c r="AI29" i="1"/>
  <c r="H29" i="1" s="1"/>
  <c r="X29" i="1"/>
  <c r="W29" i="1"/>
  <c r="V29" i="1" s="1"/>
  <c r="O29" i="1"/>
  <c r="BU28" i="1"/>
  <c r="BT28" i="1"/>
  <c r="BR28" i="1"/>
  <c r="BS28" i="1" s="1"/>
  <c r="BI28" i="1"/>
  <c r="BH28" i="1"/>
  <c r="BG28" i="1"/>
  <c r="BF28" i="1"/>
  <c r="BE28" i="1"/>
  <c r="AZ28" i="1" s="1"/>
  <c r="BB28" i="1"/>
  <c r="AU28" i="1"/>
  <c r="AP28" i="1"/>
  <c r="AO28" i="1"/>
  <c r="AK28" i="1"/>
  <c r="AI28" i="1"/>
  <c r="J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/>
  <c r="J27" i="1" s="1"/>
  <c r="X27" i="1"/>
  <c r="W27" i="1"/>
  <c r="V27" i="1"/>
  <c r="O27" i="1"/>
  <c r="M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P26" i="1"/>
  <c r="AO26" i="1"/>
  <c r="AK26" i="1"/>
  <c r="AI26" i="1" s="1"/>
  <c r="X26" i="1"/>
  <c r="W26" i="1"/>
  <c r="V26" i="1"/>
  <c r="O26" i="1"/>
  <c r="BU25" i="1"/>
  <c r="BT25" i="1"/>
  <c r="BS25" i="1" s="1"/>
  <c r="BR25" i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AJ25" i="1" s="1"/>
  <c r="X25" i="1"/>
  <c r="V25" i="1" s="1"/>
  <c r="W25" i="1"/>
  <c r="O25" i="1"/>
  <c r="BU24" i="1"/>
  <c r="BT24" i="1"/>
  <c r="BS24" i="1"/>
  <c r="AW24" i="1" s="1"/>
  <c r="BR24" i="1"/>
  <c r="BI24" i="1"/>
  <c r="BH24" i="1"/>
  <c r="BG24" i="1"/>
  <c r="BF24" i="1"/>
  <c r="BE24" i="1"/>
  <c r="BB24" i="1"/>
  <c r="AZ24" i="1"/>
  <c r="AU24" i="1"/>
  <c r="AO24" i="1"/>
  <c r="AP24" i="1" s="1"/>
  <c r="AK24" i="1"/>
  <c r="AI24" i="1"/>
  <c r="AJ24" i="1" s="1"/>
  <c r="X24" i="1"/>
  <c r="V24" i="1" s="1"/>
  <c r="W24" i="1"/>
  <c r="O24" i="1"/>
  <c r="BU23" i="1"/>
  <c r="BT23" i="1"/>
  <c r="BR23" i="1"/>
  <c r="BS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J23" i="1" s="1"/>
  <c r="X23" i="1"/>
  <c r="W23" i="1"/>
  <c r="V23" i="1"/>
  <c r="O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P22" i="1"/>
  <c r="AO22" i="1"/>
  <c r="AK22" i="1"/>
  <c r="AI22" i="1"/>
  <c r="J22" i="1" s="1"/>
  <c r="X22" i="1"/>
  <c r="W22" i="1"/>
  <c r="V22" i="1"/>
  <c r="O22" i="1"/>
  <c r="M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 s="1"/>
  <c r="X21" i="1"/>
  <c r="W21" i="1"/>
  <c r="V21" i="1"/>
  <c r="O21" i="1"/>
  <c r="BU20" i="1"/>
  <c r="BT20" i="1"/>
  <c r="BS20" i="1" s="1"/>
  <c r="BR20" i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J20" i="1" s="1"/>
  <c r="X20" i="1"/>
  <c r="W20" i="1"/>
  <c r="V20" i="1" s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J19" i="1" s="1"/>
  <c r="X19" i="1"/>
  <c r="W19" i="1"/>
  <c r="V19" i="1" s="1"/>
  <c r="O19" i="1"/>
  <c r="BU18" i="1"/>
  <c r="BT18" i="1"/>
  <c r="BR18" i="1"/>
  <c r="BS18" i="1" s="1"/>
  <c r="BI18" i="1"/>
  <c r="BH18" i="1"/>
  <c r="BG18" i="1"/>
  <c r="BF18" i="1"/>
  <c r="BE18" i="1"/>
  <c r="AZ18" i="1" s="1"/>
  <c r="BB18" i="1"/>
  <c r="AU18" i="1"/>
  <c r="AO18" i="1"/>
  <c r="AP18" i="1" s="1"/>
  <c r="AK18" i="1"/>
  <c r="AI18" i="1"/>
  <c r="M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P17" i="1"/>
  <c r="AO17" i="1"/>
  <c r="AK17" i="1"/>
  <c r="AI17" i="1"/>
  <c r="I17" i="1" s="1"/>
  <c r="AX17" i="1" s="1"/>
  <c r="X17" i="1"/>
  <c r="W17" i="1"/>
  <c r="V17" i="1"/>
  <c r="O17" i="1"/>
  <c r="M17" i="1"/>
  <c r="J17" i="1"/>
  <c r="R29" i="1" l="1"/>
  <c r="AW29" i="1"/>
  <c r="R25" i="1"/>
  <c r="AW25" i="1"/>
  <c r="AY25" i="1" s="1"/>
  <c r="AY20" i="1"/>
  <c r="AY28" i="1"/>
  <c r="AY19" i="1"/>
  <c r="R20" i="1"/>
  <c r="AW20" i="1"/>
  <c r="AW28" i="1"/>
  <c r="R28" i="1"/>
  <c r="I21" i="1"/>
  <c r="AX21" i="1" s="1"/>
  <c r="J21" i="1"/>
  <c r="H21" i="1"/>
  <c r="AJ21" i="1"/>
  <c r="M21" i="1"/>
  <c r="R27" i="1"/>
  <c r="AW27" i="1"/>
  <c r="AY27" i="1" s="1"/>
  <c r="R26" i="1"/>
  <c r="AW26" i="1"/>
  <c r="R21" i="1"/>
  <c r="AW21" i="1"/>
  <c r="R17" i="1"/>
  <c r="AW17" i="1"/>
  <c r="AY17" i="1" s="1"/>
  <c r="J26" i="1"/>
  <c r="M26" i="1"/>
  <c r="I26" i="1"/>
  <c r="AX26" i="1" s="1"/>
  <c r="H26" i="1"/>
  <c r="AJ26" i="1"/>
  <c r="AY26" i="1"/>
  <c r="AY30" i="1"/>
  <c r="AW23" i="1"/>
  <c r="AY23" i="1" s="1"/>
  <c r="R23" i="1"/>
  <c r="R19" i="1"/>
  <c r="AW19" i="1"/>
  <c r="Z29" i="1"/>
  <c r="AY21" i="1"/>
  <c r="AY29" i="1"/>
  <c r="R22" i="1"/>
  <c r="AW22" i="1"/>
  <c r="AY22" i="1" s="1"/>
  <c r="AW30" i="1"/>
  <c r="R30" i="1"/>
  <c r="AW18" i="1"/>
  <c r="AY18" i="1" s="1"/>
  <c r="R18" i="1"/>
  <c r="AY24" i="1"/>
  <c r="J25" i="1"/>
  <c r="M30" i="1"/>
  <c r="H25" i="1"/>
  <c r="AJ29" i="1"/>
  <c r="M25" i="1"/>
  <c r="I29" i="1"/>
  <c r="AX29" i="1" s="1"/>
  <c r="BA29" i="1" s="1"/>
  <c r="J29" i="1"/>
  <c r="AJ28" i="1"/>
  <c r="I28" i="1"/>
  <c r="AX28" i="1" s="1"/>
  <c r="BA28" i="1" s="1"/>
  <c r="H24" i="1"/>
  <c r="H20" i="1"/>
  <c r="M20" i="1"/>
  <c r="I24" i="1"/>
  <c r="AX24" i="1" s="1"/>
  <c r="BA24" i="1" s="1"/>
  <c r="M29" i="1"/>
  <c r="AJ22" i="1"/>
  <c r="H27" i="1"/>
  <c r="M28" i="1"/>
  <c r="I25" i="1"/>
  <c r="AX25" i="1" s="1"/>
  <c r="J24" i="1"/>
  <c r="H28" i="1"/>
  <c r="AJ18" i="1"/>
  <c r="H23" i="1"/>
  <c r="M24" i="1"/>
  <c r="M19" i="1"/>
  <c r="I23" i="1"/>
  <c r="AX23" i="1" s="1"/>
  <c r="BA23" i="1" s="1"/>
  <c r="I18" i="1"/>
  <c r="AX18" i="1" s="1"/>
  <c r="AJ27" i="1"/>
  <c r="AJ17" i="1"/>
  <c r="H22" i="1"/>
  <c r="M23" i="1"/>
  <c r="R24" i="1"/>
  <c r="I27" i="1"/>
  <c r="AX27" i="1" s="1"/>
  <c r="AJ30" i="1"/>
  <c r="H30" i="1"/>
  <c r="AJ20" i="1"/>
  <c r="I30" i="1"/>
  <c r="AX30" i="1" s="1"/>
  <c r="BA30" i="1" s="1"/>
  <c r="I20" i="1"/>
  <c r="AX20" i="1" s="1"/>
  <c r="BA20" i="1" s="1"/>
  <c r="AJ19" i="1"/>
  <c r="I19" i="1"/>
  <c r="AX19" i="1" s="1"/>
  <c r="BA19" i="1" s="1"/>
  <c r="AJ23" i="1"/>
  <c r="H18" i="1"/>
  <c r="J18" i="1"/>
  <c r="H17" i="1"/>
  <c r="I22" i="1"/>
  <c r="AX22" i="1" s="1"/>
  <c r="BA22" i="1" s="1"/>
  <c r="H19" i="1"/>
  <c r="Z27" i="1" l="1"/>
  <c r="S27" i="1"/>
  <c r="T27" i="1" s="1"/>
  <c r="Z21" i="1"/>
  <c r="P20" i="1"/>
  <c r="N20" i="1" s="1"/>
  <c r="Q20" i="1" s="1"/>
  <c r="K20" i="1" s="1"/>
  <c r="L20" i="1" s="1"/>
  <c r="Z20" i="1"/>
  <c r="S19" i="1"/>
  <c r="T19" i="1" s="1"/>
  <c r="Z30" i="1"/>
  <c r="Z24" i="1"/>
  <c r="S23" i="1"/>
  <c r="T23" i="1" s="1"/>
  <c r="BA21" i="1"/>
  <c r="BA27" i="1"/>
  <c r="S24" i="1"/>
  <c r="T24" i="1" s="1"/>
  <c r="S28" i="1"/>
  <c r="T28" i="1" s="1"/>
  <c r="P22" i="1"/>
  <c r="N22" i="1" s="1"/>
  <c r="Q22" i="1" s="1"/>
  <c r="K22" i="1" s="1"/>
  <c r="L22" i="1" s="1"/>
  <c r="Z22" i="1"/>
  <c r="Z26" i="1"/>
  <c r="S20" i="1"/>
  <c r="T20" i="1" s="1"/>
  <c r="P25" i="1"/>
  <c r="N25" i="1" s="1"/>
  <c r="Q25" i="1" s="1"/>
  <c r="K25" i="1" s="1"/>
  <c r="L25" i="1" s="1"/>
  <c r="Z25" i="1"/>
  <c r="BA26" i="1"/>
  <c r="BA18" i="1"/>
  <c r="S17" i="1"/>
  <c r="T17" i="1" s="1"/>
  <c r="Z23" i="1"/>
  <c r="S18" i="1"/>
  <c r="T18" i="1" s="1"/>
  <c r="P18" i="1" s="1"/>
  <c r="N18" i="1" s="1"/>
  <c r="Q18" i="1" s="1"/>
  <c r="K18" i="1" s="1"/>
  <c r="L18" i="1" s="1"/>
  <c r="P19" i="1"/>
  <c r="N19" i="1" s="1"/>
  <c r="Q19" i="1" s="1"/>
  <c r="K19" i="1" s="1"/>
  <c r="L19" i="1" s="1"/>
  <c r="Z19" i="1"/>
  <c r="S21" i="1"/>
  <c r="T21" i="1" s="1"/>
  <c r="Z28" i="1"/>
  <c r="S30" i="1"/>
  <c r="T30" i="1" s="1"/>
  <c r="Z17" i="1"/>
  <c r="P17" i="1"/>
  <c r="N17" i="1" s="1"/>
  <c r="Q17" i="1" s="1"/>
  <c r="K17" i="1" s="1"/>
  <c r="L17" i="1" s="1"/>
  <c r="S26" i="1"/>
  <c r="T26" i="1" s="1"/>
  <c r="S25" i="1"/>
  <c r="T25" i="1" s="1"/>
  <c r="BA25" i="1"/>
  <c r="Z18" i="1"/>
  <c r="S22" i="1"/>
  <c r="T22" i="1" s="1"/>
  <c r="BA17" i="1"/>
  <c r="S29" i="1"/>
  <c r="T29" i="1" s="1"/>
  <c r="AA28" i="1" l="1"/>
  <c r="AB28" i="1"/>
  <c r="AC28" i="1" s="1"/>
  <c r="U28" i="1"/>
  <c r="Y28" i="1" s="1"/>
  <c r="AB24" i="1"/>
  <c r="AA24" i="1"/>
  <c r="U24" i="1"/>
  <c r="Y24" i="1" s="1"/>
  <c r="AB23" i="1"/>
  <c r="AC23" i="1" s="1"/>
  <c r="AA23" i="1"/>
  <c r="U23" i="1"/>
  <c r="Y23" i="1" s="1"/>
  <c r="AB22" i="1"/>
  <c r="U22" i="1"/>
  <c r="Y22" i="1" s="1"/>
  <c r="AA22" i="1"/>
  <c r="U17" i="1"/>
  <c r="Y17" i="1" s="1"/>
  <c r="AB17" i="1"/>
  <c r="AC17" i="1" s="1"/>
  <c r="AA17" i="1"/>
  <c r="U30" i="1"/>
  <c r="Y30" i="1" s="1"/>
  <c r="AB30" i="1"/>
  <c r="AA30" i="1"/>
  <c r="P28" i="1"/>
  <c r="N28" i="1" s="1"/>
  <c r="Q28" i="1" s="1"/>
  <c r="K28" i="1" s="1"/>
  <c r="L28" i="1" s="1"/>
  <c r="AB21" i="1"/>
  <c r="U21" i="1"/>
  <c r="Y21" i="1" s="1"/>
  <c r="AA21" i="1"/>
  <c r="AB18" i="1"/>
  <c r="AC18" i="1" s="1"/>
  <c r="U18" i="1"/>
  <c r="Y18" i="1" s="1"/>
  <c r="AA18" i="1"/>
  <c r="P24" i="1"/>
  <c r="N24" i="1" s="1"/>
  <c r="Q24" i="1" s="1"/>
  <c r="K24" i="1" s="1"/>
  <c r="L24" i="1" s="1"/>
  <c r="P23" i="1"/>
  <c r="N23" i="1" s="1"/>
  <c r="Q23" i="1" s="1"/>
  <c r="K23" i="1" s="1"/>
  <c r="L23" i="1" s="1"/>
  <c r="P30" i="1"/>
  <c r="N30" i="1" s="1"/>
  <c r="Q30" i="1" s="1"/>
  <c r="K30" i="1" s="1"/>
  <c r="L30" i="1" s="1"/>
  <c r="U29" i="1"/>
  <c r="Y29" i="1" s="1"/>
  <c r="AB29" i="1"/>
  <c r="AA29" i="1"/>
  <c r="P29" i="1"/>
  <c r="N29" i="1" s="1"/>
  <c r="Q29" i="1" s="1"/>
  <c r="K29" i="1" s="1"/>
  <c r="L29" i="1" s="1"/>
  <c r="AA19" i="1"/>
  <c r="AB19" i="1"/>
  <c r="AC19" i="1" s="1"/>
  <c r="U19" i="1"/>
  <c r="Y19" i="1" s="1"/>
  <c r="P21" i="1"/>
  <c r="N21" i="1" s="1"/>
  <c r="Q21" i="1" s="1"/>
  <c r="K21" i="1" s="1"/>
  <c r="L21" i="1" s="1"/>
  <c r="U27" i="1"/>
  <c r="Y27" i="1" s="1"/>
  <c r="AB27" i="1"/>
  <c r="AA27" i="1"/>
  <c r="U25" i="1"/>
  <c r="Y25" i="1" s="1"/>
  <c r="AB25" i="1"/>
  <c r="AC25" i="1" s="1"/>
  <c r="AA25" i="1"/>
  <c r="U20" i="1"/>
  <c r="Y20" i="1" s="1"/>
  <c r="AA20" i="1"/>
  <c r="AB20" i="1"/>
  <c r="AC20" i="1" s="1"/>
  <c r="AB26" i="1"/>
  <c r="U26" i="1"/>
  <c r="Y26" i="1" s="1"/>
  <c r="AA26" i="1"/>
  <c r="P27" i="1"/>
  <c r="N27" i="1" s="1"/>
  <c r="Q27" i="1" s="1"/>
  <c r="K27" i="1" s="1"/>
  <c r="L27" i="1" s="1"/>
  <c r="P26" i="1"/>
  <c r="N26" i="1" s="1"/>
  <c r="Q26" i="1" s="1"/>
  <c r="K26" i="1" s="1"/>
  <c r="L26" i="1" s="1"/>
  <c r="AC27" i="1" l="1"/>
  <c r="AC29" i="1"/>
  <c r="AC24" i="1"/>
  <c r="AC26" i="1"/>
  <c r="AC21" i="1"/>
  <c r="AC30" i="1"/>
  <c r="AC22" i="1"/>
</calcChain>
</file>

<file path=xl/sharedStrings.xml><?xml version="1.0" encoding="utf-8"?>
<sst xmlns="http://schemas.openxmlformats.org/spreadsheetml/2006/main" count="771" uniqueCount="354">
  <si>
    <t>File opened</t>
  </si>
  <si>
    <t>2020-07-06 10:35:34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</si>
  <si>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</si>
  <si>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</si>
  <si>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</si>
  <si>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</si>
  <si>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</si>
  <si>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</si>
  <si>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</si>
  <si>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</si>
  <si>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</si>
  <si>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</si>
  <si>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</si>
  <si>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{"h2obspanconc2": "0", "flowbzero": "0.22736", "co2azero": "0.869071", "h2oaspan2a": "0.0661155", "co2bspan2b": "0.162103", "tbzero": "0.197721", "h2oaspan2b": "0.0662632", "ssa_ref": "36614.9", "co2aspan1": "0.992625", "co2aspanconc1": "1002", "h2obspan2b": "0.0963575", "co2bzero": "0.880288", "co2bspanconc1": "1002", "h2oaspan1": "1.00223", "flowmeterzero": "0.990908", "h2obspanconc1": "20", "tazero": "0.00774765", "co2bspan2": "0", "flowazero": "0.42932", "co2bspan1": "0.992131", "co2aspan2": "0", "h2oaspan2": "0", "h2obspan1": "0.998578", "co2aspan2b": "0.163711", "ssb_ref": "36526.8", "h2oazero": "1.00263", "co2bspanconc2": "0", "oxygen": "21", "h2obspan2a": "0.0975941", "co2aspanconc2": "0", "co2bspan2a": "0.163389", "h2oaspanconc1": "12.19", "h2obzero": "1.01783", "co2aspan2a": "0.164928", "h2obspan2": "0", "h2oaspanconc2": "0", "chamberpressurezero": "2.59209"}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</si>
  <si>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</si>
  <si>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</si>
  <si>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</si>
  <si>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</si>
  <si>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</si>
  <si>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</si>
  <si>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</si>
  <si>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</si>
  <si>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</si>
  <si>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10:35:34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</si>
  <si>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</si>
  <si>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</si>
  <si>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</si>
  <si>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</si>
  <si>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</si>
  <si>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</si>
  <si>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</si>
  <si>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</si>
  <si>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</si>
  <si>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</si>
  <si>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</si>
  <si>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</si>
  <si>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</si>
  <si>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</si>
  <si>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</si>
  <si>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</si>
  <si>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</si>
  <si>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</si>
  <si>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</si>
  <si>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</si>
  <si>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</si>
  <si>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</si>
  <si>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</si>
  <si>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</si>
  <si>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</si>
  <si>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</si>
  <si>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</si>
  <si>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</si>
  <si>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</si>
  <si>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</si>
  <si>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</si>
  <si>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</si>
  <si>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</si>
  <si>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</si>
  <si>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</si>
  <si>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</si>
  <si>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</si>
  <si>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</si>
  <si>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</si>
  <si>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</si>
  <si>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</si>
  <si>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</si>
  <si>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</si>
  <si>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</si>
  <si>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</si>
  <si>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</si>
  <si>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</si>
  <si>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3.70143 76.3892 390.414 623.28 848.427 1048.12 1223.65 1394.11</t>
  </si>
  <si>
    <t>Fs_true</t>
  </si>
  <si>
    <t>0.43856 100.7 401.95 601.097 798.546 1000.45 1200.3 1401.35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</si>
  <si>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</si>
  <si>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</si>
  <si>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</si>
  <si>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</si>
  <si>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</si>
  <si>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</si>
  <si>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</si>
  <si>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</si>
  <si>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</si>
  <si>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</si>
  <si>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</si>
  <si>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</si>
  <si>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</si>
  <si>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</si>
  <si>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</si>
  <si>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</si>
  <si>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</si>
  <si>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</si>
  <si>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</si>
  <si>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</si>
  <si>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</si>
  <si>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</si>
  <si>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</si>
  <si>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</si>
  <si>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</si>
  <si>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</si>
  <si>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</si>
  <si>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</si>
  <si>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</si>
  <si>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</si>
  <si>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</si>
  <si>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</si>
  <si>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</si>
  <si>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</si>
  <si>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</si>
  <si>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</si>
  <si>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</si>
  <si>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</si>
  <si>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</si>
  <si>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</si>
  <si>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</si>
  <si>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</si>
  <si>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</si>
  <si>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</si>
  <si>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</si>
  <si>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</si>
  <si>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</si>
  <si>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</si>
  <si>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</si>
  <si>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</si>
  <si>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</si>
  <si>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</si>
  <si>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</si>
  <si>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</si>
  <si>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</si>
  <si>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</si>
  <si>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</si>
  <si>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</si>
  <si>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</si>
  <si>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</si>
  <si>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</si>
  <si>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</si>
  <si>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</si>
  <si>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</si>
  <si>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</si>
  <si>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</si>
  <si>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</si>
  <si>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</si>
  <si>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</si>
  <si>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</si>
  <si>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</si>
  <si>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</si>
  <si>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</si>
  <si>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</si>
  <si>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</si>
  <si>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</si>
  <si>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</si>
  <si>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</si>
  <si>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</si>
  <si>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</si>
  <si>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</si>
  <si>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</si>
  <si>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</si>
  <si>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</si>
  <si>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</si>
  <si>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</si>
  <si>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</si>
  <si>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</si>
  <si>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</si>
  <si>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</si>
  <si>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</si>
  <si>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</si>
  <si>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</si>
  <si>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</si>
  <si>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</si>
  <si>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</si>
  <si>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</si>
  <si>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</si>
  <si>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</si>
  <si>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</si>
  <si>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</si>
  <si>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</si>
  <si>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</si>
  <si>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</si>
  <si>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</si>
  <si>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</si>
  <si>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</si>
  <si>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</si>
  <si>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</si>
  <si>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</si>
  <si>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</si>
  <si>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</si>
  <si>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</si>
  <si>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</si>
  <si>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</si>
  <si>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</si>
  <si>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</si>
  <si>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</si>
  <si>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</si>
  <si>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</si>
  <si>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</si>
  <si>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</si>
  <si>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</si>
  <si>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</si>
  <si>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</si>
  <si>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</si>
  <si>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</si>
  <si>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</si>
  <si>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</si>
  <si>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</si>
  <si>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</si>
  <si>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</si>
  <si>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</si>
  <si>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</si>
  <si>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</si>
  <si>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</si>
  <si>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</si>
  <si>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</si>
  <si>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</si>
  <si>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</si>
  <si>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</si>
  <si>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</si>
  <si>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</si>
  <si>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</si>
  <si>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</si>
  <si>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</si>
  <si>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</si>
  <si>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</si>
  <si>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</si>
  <si>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</si>
  <si>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</si>
  <si>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</si>
  <si>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</si>
  <si>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</si>
  <si>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</si>
  <si>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</si>
  <si>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</si>
  <si>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</si>
  <si>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</si>
  <si>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</si>
  <si>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</si>
  <si>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</si>
  <si>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</si>
  <si>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</si>
  <si>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</si>
  <si>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</si>
  <si>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</si>
  <si>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</si>
  <si>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</si>
  <si>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</si>
  <si>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</si>
  <si>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</si>
  <si>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</si>
  <si>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</si>
  <si>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</si>
  <si>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</si>
  <si>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</si>
  <si>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</si>
  <si>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</si>
  <si>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</si>
  <si>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</si>
  <si>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</si>
  <si>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</si>
  <si>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</si>
  <si>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</si>
  <si>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</si>
  <si>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</si>
  <si>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</si>
  <si>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</si>
  <si>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</si>
  <si>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</si>
  <si>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</si>
  <si>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</si>
  <si>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</si>
  <si>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</si>
  <si>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</si>
  <si>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</si>
  <si>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</si>
  <si>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</si>
  <si>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</si>
  <si>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</si>
  <si>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</si>
  <si>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</si>
  <si>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20200706 10:41:09</t>
  </si>
  <si>
    <t>10:41:09</t>
  </si>
  <si>
    <t>MPF-4567-20200706-10_41_11</t>
  </si>
  <si>
    <t>DARK-4568-20200706-10_41_19</t>
  </si>
  <si>
    <t>0: Broadleaf</t>
  </si>
  <si>
    <t>10:41:40</t>
  </si>
  <si>
    <t>2/2</t>
  </si>
  <si>
    <t>5</t>
  </si>
  <si>
    <t>11111111</t>
  </si>
  <si>
    <t>oooooooo</t>
  </si>
  <si>
    <t>off</t>
  </si>
  <si>
    <t>20200706 10:43:26</t>
  </si>
  <si>
    <t>10:43:26</t>
  </si>
  <si>
    <t>MPF-4569-20200706-10_43_28</t>
  </si>
  <si>
    <t>DARK-4570-20200706-10_43_36</t>
  </si>
  <si>
    <t>10:43:56</t>
  </si>
  <si>
    <t>20200706 10:45:28</t>
  </si>
  <si>
    <t>10:45:28</t>
  </si>
  <si>
    <t>MPF-4571-20200706-10_45_29</t>
  </si>
  <si>
    <t>DARK-4572-20200706-10_45_37</t>
  </si>
  <si>
    <t>10:45:57</t>
  </si>
  <si>
    <t>20200706 10:47:28</t>
  </si>
  <si>
    <t>10:47:28</t>
  </si>
  <si>
    <t>MPF-4573-20200706-10_47_30</t>
  </si>
  <si>
    <t>DARK-4574-20200706-10_47_38</t>
  </si>
  <si>
    <t>10:48:01</t>
  </si>
  <si>
    <t>20200706 10:49:32</t>
  </si>
  <si>
    <t>10:49:32</t>
  </si>
  <si>
    <t>MPF-4575-20200706-10_49_34</t>
  </si>
  <si>
    <t>DARK-4576-20200706-10_49_41</t>
  </si>
  <si>
    <t>10:49:58</t>
  </si>
  <si>
    <t>20200706 10:51:53</t>
  </si>
  <si>
    <t>10:51:53</t>
  </si>
  <si>
    <t>MPF-4577-20200706-10_51_54</t>
  </si>
  <si>
    <t>DARK-4578-20200706-10_52_02</t>
  </si>
  <si>
    <t>10:52:17</t>
  </si>
  <si>
    <t>20200706 10:53:49</t>
  </si>
  <si>
    <t>10:53:49</t>
  </si>
  <si>
    <t>MPF-4579-20200706-10_53_50</t>
  </si>
  <si>
    <t>DARK-4580-20200706-10_53_58</t>
  </si>
  <si>
    <t>10:54:19</t>
  </si>
  <si>
    <t>20200706 10:55:58</t>
  </si>
  <si>
    <t>10:55:58</t>
  </si>
  <si>
    <t>MPF-4581-20200706-10_56_00</t>
  </si>
  <si>
    <t>DARK-4582-20200706-10_56_08</t>
  </si>
  <si>
    <t>10:56:25</t>
  </si>
  <si>
    <t>20200706 10:58:26</t>
  </si>
  <si>
    <t>10:58:26</t>
  </si>
  <si>
    <t>MPF-4583-20200706-10_58_28</t>
  </si>
  <si>
    <t>DARK-4584-20200706-10_58_36</t>
  </si>
  <si>
    <t>10:58:49</t>
  </si>
  <si>
    <t>1/2</t>
  </si>
  <si>
    <t>20200706 11:00:51</t>
  </si>
  <si>
    <t>11:00:51</t>
  </si>
  <si>
    <t>MPF-4585-20200706-11_00_52</t>
  </si>
  <si>
    <t>DARK-4586-20200706-11_01_00</t>
  </si>
  <si>
    <t>11:01:15</t>
  </si>
  <si>
    <t>20200706 11:03:14</t>
  </si>
  <si>
    <t>11:03:14</t>
  </si>
  <si>
    <t>MPF-4587-20200706-11_03_15</t>
  </si>
  <si>
    <t>DARK-4588-20200706-11_03_23</t>
  </si>
  <si>
    <t>11:03:45</t>
  </si>
  <si>
    <t>20200706 11:05:17</t>
  </si>
  <si>
    <t>11:05:17</t>
  </si>
  <si>
    <t>MPF-4589-20200706-11_05_18</t>
  </si>
  <si>
    <t>DARK-4590-20200706-11_05_26</t>
  </si>
  <si>
    <t>11:05:45</t>
  </si>
  <si>
    <t>20200706 11:07:37</t>
  </si>
  <si>
    <t>11:07:37</t>
  </si>
  <si>
    <t>MPF-4591-20200706-11_07_39</t>
  </si>
  <si>
    <t>DARK-4592-20200706-11_07_47</t>
  </si>
  <si>
    <t>11:08:04</t>
  </si>
  <si>
    <t>20200706 11:09:38</t>
  </si>
  <si>
    <t>11:09:38</t>
  </si>
  <si>
    <t>MPF-4593-20200706-11_09_40</t>
  </si>
  <si>
    <t>DARK-4594-20200706-11_09_48</t>
  </si>
  <si>
    <t>11:10:01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</si>
</sst>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1594050069.5999999</v>
      </c>
      <c r="C17">
        <v>0</v>
      </c>
      <c r="D17" t="s">
        <v>277</v>
      </c>
      <c r="E17" t="s">
        <v>278</v>
      </c>
      <c r="G17">
        <v>1594050061.6612899</v>
      </c>
      <c r="H17">
        <f t="shared" ref="H17:H30" si="0">CC17*AI17*(CA17-CB17)/(100*$B$5*(1000-AI17*CA17))</f>
        <v>1.2820916171826064E-2</v>
      </c>
      <c r="I17">
        <f t="shared" ref="I17:I30" si="1">CC17*AI17*(BZ17-BY17*(1000-AI17*CB17)/(1000-AI17*CA17))/(100*$B$5)</f>
        <v>33.088871522982082</v>
      </c>
      <c r="J17">
        <f t="shared" ref="J17:J30" si="2">BY17 - IF(AI17&gt;1, I17*$B$5*100/(AK17*CI17), 0)</f>
        <v>384.80709677419401</v>
      </c>
      <c r="K17">
        <f t="shared" ref="K17:K30" si="3">((Q17-H17/2)*J17-I17)/(Q17+H17/2)</f>
        <v>314.90788778148226</v>
      </c>
      <c r="L17">
        <f t="shared" ref="L17:L30" si="4">K17*(CD17+CE17)/1000</f>
        <v>31.32386487346454</v>
      </c>
      <c r="M17">
        <f t="shared" ref="M17:M30" si="5">(BY17 - IF(AI17&gt;1, I17*$B$5*100/(AK17*CI17), 0))*(CD17+CE17)/1000</f>
        <v>38.276734147952467</v>
      </c>
      <c r="N17">
        <f t="shared" ref="N17:N30" si="6">2/((1/P17-1/O17)+SIGN(P17)*SQRT((1/P17-1/O17)*(1/P17-1/O17) + 4*BV17/((BV17+1)*(BV17+1))*(2*1/P17*1/O17-1/O17*1/O17)))</f>
        <v>0.97724256190678893</v>
      </c>
      <c r="O17">
        <f t="shared" ref="O17:O30" si="7">AF17+AE17*$B$5+AD17*$B$5*$B$5</f>
        <v>3.3787579671272447</v>
      </c>
      <c r="P17">
        <f t="shared" ref="P17:P30" si="8">H17*(1000-(1000*0.61365*EXP(17.502*T17/(240.97+T17))/(CD17+CE17)+CA17)/2)/(1000*0.61365*EXP(17.502*T17/(240.97+T17))/(CD17+CE17)-CA17)</f>
        <v>0.84328374815950735</v>
      </c>
      <c r="Q17">
        <f t="shared" ref="Q17:Q30" si="9">1/((BV17+1)/(N17/1.6)+1/(O17/1.37)) + BV17/((BV17+1)/(N17/1.6) + BV17/(O17/1.37))</f>
        <v>0.53755064821233278</v>
      </c>
      <c r="R17">
        <f t="shared" ref="R17:R30" si="10">(BS17*BU17)</f>
        <v>321.43829186965917</v>
      </c>
      <c r="S17">
        <f t="shared" ref="S17:S30" si="11">(CF17+(R17+2*0.95*0.0000000567*(((CF17+$B$7)+273)^4-(CF17+273)^4)-44100*H17)/(1.84*29.3*O17+8*0.95*0.0000000567*(CF17+273)^3))</f>
        <v>27.289015553769271</v>
      </c>
      <c r="T17">
        <f t="shared" ref="T17:T30" si="12">($C$7*CG17+$D$7*CH17+$E$7*S17)</f>
        <v>27.1097258064516</v>
      </c>
      <c r="U17">
        <f t="shared" ref="U17:U30" si="13">0.61365*EXP(17.502*T17/(240.97+T17))</f>
        <v>3.6022904550032266</v>
      </c>
      <c r="V17">
        <f t="shared" ref="V17:V30" si="14">(W17/X17*100)</f>
        <v>54.46335383013119</v>
      </c>
      <c r="W17">
        <f t="shared" ref="W17:W30" si="15">CA17*(CD17+CE17)/1000</f>
        <v>2.133596260713154</v>
      </c>
      <c r="X17">
        <f t="shared" ref="X17:X30" si="16">0.61365*EXP(17.502*CF17/(240.97+CF17))</f>
        <v>3.9174896708853941</v>
      </c>
      <c r="Y17">
        <f t="shared" ref="Y17:Y30" si="17">(U17-CA17*(CD17+CE17)/1000)</f>
        <v>1.4686941942900726</v>
      </c>
      <c r="Z17">
        <f t="shared" ref="Z17:Z30" si="18">(-H17*44100)</f>
        <v>-565.40240317752944</v>
      </c>
      <c r="AA17">
        <f t="shared" ref="AA17:AA30" si="19">2*29.3*O17*0.92*(CF17-T17)</f>
        <v>261.76170970661332</v>
      </c>
      <c r="AB17">
        <f t="shared" ref="AB17:AB30" si="20">2*0.95*0.0000000567*(((CF17+$B$7)+273)^4-(T17+273)^4)</f>
        <v>16.858483963979083</v>
      </c>
      <c r="AC17">
        <f t="shared" ref="AC17:AC30" si="21">R17+AB17+Z17+AA17</f>
        <v>34.656082362722145</v>
      </c>
      <c r="AD17">
        <v>-4.1118921084379603E-2</v>
      </c>
      <c r="AE17">
        <v>4.61595911325468E-2</v>
      </c>
      <c r="AF17">
        <v>3.4509144691996698</v>
      </c>
      <c r="AG17">
        <v>168</v>
      </c>
      <c r="AH17">
        <v>34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52166.54879467791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331.61099999999999</v>
      </c>
      <c r="AT17">
        <v>465.40199999999999</v>
      </c>
      <c r="AU17">
        <f t="shared" ref="AU17:AU30" si="27">1-AS17/AT17</f>
        <v>0.28747405468820508</v>
      </c>
      <c r="AV17">
        <v>0.5</v>
      </c>
      <c r="AW17">
        <f t="shared" ref="AW17:AW30" si="28">BS17</f>
        <v>1681.1893651582427</v>
      </c>
      <c r="AX17">
        <f t="shared" ref="AX17:AX30" si="29">I17</f>
        <v>33.088871522982082</v>
      </c>
      <c r="AY17">
        <f t="shared" ref="AY17:AY30" si="30">AU17*AV17*AW17</f>
        <v>241.64916175036473</v>
      </c>
      <c r="AZ17">
        <f t="shared" ref="AZ17:AZ30" si="31">BE17/AT17</f>
        <v>0.57129535326448955</v>
      </c>
      <c r="BA17">
        <f t="shared" ref="BA17:BA30" si="32">(AX17-AQ17)/AW17</f>
        <v>2.0276639996335839E-2</v>
      </c>
      <c r="BB17">
        <f t="shared" ref="BB17:BB30" si="33">(AN17-AT17)/AT17</f>
        <v>-1</v>
      </c>
      <c r="BC17" t="s">
        <v>280</v>
      </c>
      <c r="BD17">
        <v>199.52</v>
      </c>
      <c r="BE17">
        <f t="shared" ref="BE17:BE30" si="34">AT17-BD17</f>
        <v>265.88199999999995</v>
      </c>
      <c r="BF17">
        <f t="shared" ref="BF17:BF30" si="35">(AT17-AS17)/(AT17-BD17)</f>
        <v>0.50319690689854901</v>
      </c>
      <c r="BG17">
        <f t="shared" ref="BG17:BG30" si="36">(AN17-AT17)/(AN17-BD17)</f>
        <v>2.3326082598235764</v>
      </c>
      <c r="BH17">
        <f t="shared" ref="BH17:BH30" si="37">(AT17-AS17)/(AT17-AM17)</f>
        <v>0.28747405468820503</v>
      </c>
      <c r="BI17" t="e">
        <f t="shared" ref="BI17:BI30" si="38">(AN17-AT17)/(AN17-AM17)</f>
        <v>#DIV/0!</v>
      </c>
      <c r="BJ17">
        <v>4567</v>
      </c>
      <c r="BK17">
        <v>300</v>
      </c>
      <c r="BL17">
        <v>300</v>
      </c>
      <c r="BM17">
        <v>300</v>
      </c>
      <c r="BN17">
        <v>9869.67</v>
      </c>
      <c r="BO17">
        <v>429.29700000000003</v>
      </c>
      <c r="BP17">
        <v>-6.5643999999999997E-3</v>
      </c>
      <c r="BQ17">
        <v>0.52886999999999995</v>
      </c>
      <c r="BR17">
        <f t="shared" ref="BR17:BR30" si="39">$B$11*CJ17+$C$11*CK17+$F$11*CL17</f>
        <v>1999.99096774194</v>
      </c>
      <c r="BS17">
        <f t="shared" ref="BS17:BS30" si="40">BR17*BT17</f>
        <v>1681.1893651582427</v>
      </c>
      <c r="BT17">
        <f t="shared" ref="BT17:BT30" si="41">($B$11*$D$9+$C$11*$D$9+$F$11*((CY17+CQ17)/MAX(CY17+CQ17+CZ17, 0.1)*$I$9+CZ17/MAX(CY17+CQ17+CZ17, 0.1)*$J$9))/($B$11+$C$11+$F$11)</f>
        <v>0.84059847883031413</v>
      </c>
      <c r="BU17">
        <f t="shared" ref="BU17:BU30" si="42">($B$11*$K$9+$C$11*$K$9+$F$11*((CY17+CQ17)/MAX(CY17+CQ17+CZ17, 0.1)*$P$9+CZ17/MAX(CY17+CQ17+CZ17, 0.1)*$Q$9))/($B$11+$C$11+$F$11)</f>
        <v>0.19119695766062833</v>
      </c>
      <c r="BV17">
        <v>0.5</v>
      </c>
      <c r="BW17" t="s">
        <v>281</v>
      </c>
      <c r="BX17">
        <v>1594050061.6612899</v>
      </c>
      <c r="BY17">
        <v>384.80709677419401</v>
      </c>
      <c r="BZ17">
        <v>400.01393548387102</v>
      </c>
      <c r="CA17">
        <v>21.449661290322599</v>
      </c>
      <c r="CB17">
        <v>16.432003225806501</v>
      </c>
      <c r="CC17">
        <v>500.07041935483898</v>
      </c>
      <c r="CD17">
        <v>99.269922580645201</v>
      </c>
      <c r="CE17">
        <v>0.20000525806451599</v>
      </c>
      <c r="CF17">
        <v>28.546748387096802</v>
      </c>
      <c r="CG17">
        <v>27.1097258064516</v>
      </c>
      <c r="CH17">
        <v>999.9</v>
      </c>
      <c r="CI17">
        <v>9988.9548387096802</v>
      </c>
      <c r="CJ17">
        <v>0</v>
      </c>
      <c r="CK17">
        <v>293.80358064516099</v>
      </c>
      <c r="CL17">
        <v>1999.99096774194</v>
      </c>
      <c r="CM17">
        <v>0.98000196774193604</v>
      </c>
      <c r="CN17">
        <v>1.99979419354839E-2</v>
      </c>
      <c r="CO17">
        <v>0</v>
      </c>
      <c r="CP17">
        <v>331.81829032258099</v>
      </c>
      <c r="CQ17">
        <v>5.00054</v>
      </c>
      <c r="CR17">
        <v>8297.9106451612897</v>
      </c>
      <c r="CS17">
        <v>18703.5516129032</v>
      </c>
      <c r="CT17">
        <v>48.612806451612897</v>
      </c>
      <c r="CU17">
        <v>50.175064516128998</v>
      </c>
      <c r="CV17">
        <v>48.965451612903202</v>
      </c>
      <c r="CW17">
        <v>49.3828064516129</v>
      </c>
      <c r="CX17">
        <v>50.128677419354801</v>
      </c>
      <c r="CY17">
        <v>1955.0909677419399</v>
      </c>
      <c r="CZ17">
        <v>39.898387096774201</v>
      </c>
      <c r="DA17">
        <v>0</v>
      </c>
      <c r="DB17">
        <v>529.70000004768394</v>
      </c>
      <c r="DC17">
        <v>331.61099999999999</v>
      </c>
      <c r="DD17">
        <v>-22.641162372515499</v>
      </c>
      <c r="DE17">
        <v>-426.09880284095101</v>
      </c>
      <c r="DF17">
        <v>8294.6373076923101</v>
      </c>
      <c r="DG17">
        <v>15</v>
      </c>
      <c r="DH17">
        <v>1594050100.0999999</v>
      </c>
      <c r="DI17" t="s">
        <v>282</v>
      </c>
      <c r="DJ17">
        <v>16</v>
      </c>
      <c r="DK17">
        <v>-0.46500000000000002</v>
      </c>
      <c r="DL17">
        <v>0.10199999999999999</v>
      </c>
      <c r="DM17">
        <v>400</v>
      </c>
      <c r="DN17">
        <v>16</v>
      </c>
      <c r="DO17">
        <v>0.27</v>
      </c>
      <c r="DP17">
        <v>0.02</v>
      </c>
      <c r="DQ17">
        <v>385.05659259259301</v>
      </c>
      <c r="DR17">
        <v>-3.1928351902556697E-2</v>
      </c>
      <c r="DS17">
        <v>1.7697581461167199E-2</v>
      </c>
      <c r="DT17">
        <v>1</v>
      </c>
      <c r="DU17">
        <v>21.4798740740741</v>
      </c>
      <c r="DV17">
        <v>7.5519723632740995E-2</v>
      </c>
      <c r="DW17">
        <v>1.12288184989964E-2</v>
      </c>
      <c r="DX17">
        <v>1</v>
      </c>
      <c r="DY17">
        <v>2</v>
      </c>
      <c r="DZ17">
        <v>2</v>
      </c>
      <c r="EA17" t="s">
        <v>283</v>
      </c>
      <c r="EB17">
        <v>1.8667100000000001</v>
      </c>
      <c r="EC17">
        <v>1.8632</v>
      </c>
      <c r="ED17">
        <v>1.8688100000000001</v>
      </c>
      <c r="EE17">
        <v>1.86676</v>
      </c>
      <c r="EF17">
        <v>1.87147</v>
      </c>
      <c r="EG17">
        <v>1.8638600000000001</v>
      </c>
      <c r="EH17">
        <v>1.8653900000000001</v>
      </c>
      <c r="EI17">
        <v>1.8653299999999999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-0.46500000000000002</v>
      </c>
      <c r="EX17">
        <v>0.10199999999999999</v>
      </c>
      <c r="EY17">
        <v>2</v>
      </c>
      <c r="EZ17">
        <v>317.30500000000001</v>
      </c>
      <c r="FA17">
        <v>451.44600000000003</v>
      </c>
      <c r="FB17">
        <v>22.8066</v>
      </c>
      <c r="FC17">
        <v>38.758299999999998</v>
      </c>
      <c r="FD17">
        <v>30.000800000000002</v>
      </c>
      <c r="FE17">
        <v>38.786700000000003</v>
      </c>
      <c r="FF17">
        <v>38.787300000000002</v>
      </c>
      <c r="FG17">
        <v>22.088200000000001</v>
      </c>
      <c r="FH17">
        <v>55.782400000000003</v>
      </c>
      <c r="FI17">
        <v>0</v>
      </c>
      <c r="FJ17">
        <v>22.738299999999999</v>
      </c>
      <c r="FK17">
        <v>400</v>
      </c>
      <c r="FL17">
        <v>16.544499999999999</v>
      </c>
      <c r="FM17">
        <v>99.769099999999995</v>
      </c>
      <c r="FN17">
        <v>100.16500000000001</v>
      </c>
    </row>
    <row r="18" spans="1:170" x14ac:dyDescent="0.25">
      <c r="A18">
        <v>2</v>
      </c>
      <c r="B18">
        <v>1594050206.7</v>
      </c>
      <c r="C18">
        <v>137.10000014305101</v>
      </c>
      <c r="D18" t="s">
        <v>288</v>
      </c>
      <c r="E18" t="s">
        <v>289</v>
      </c>
      <c r="G18">
        <v>1594050198.7</v>
      </c>
      <c r="H18">
        <f t="shared" si="0"/>
        <v>1.2192337430951734E-2</v>
      </c>
      <c r="I18">
        <f t="shared" si="1"/>
        <v>26.442084589803386</v>
      </c>
      <c r="J18">
        <f t="shared" si="2"/>
        <v>288.04458064516098</v>
      </c>
      <c r="K18">
        <f t="shared" si="3"/>
        <v>229.50452383226076</v>
      </c>
      <c r="L18">
        <f t="shared" si="4"/>
        <v>22.829632873087576</v>
      </c>
      <c r="M18">
        <f t="shared" si="5"/>
        <v>28.652820944033742</v>
      </c>
      <c r="N18">
        <f t="shared" si="6"/>
        <v>0.91168989848013082</v>
      </c>
      <c r="O18">
        <f t="shared" si="7"/>
        <v>3.3826346348035563</v>
      </c>
      <c r="P18">
        <f t="shared" si="8"/>
        <v>0.79406369459513637</v>
      </c>
      <c r="Q18">
        <f t="shared" si="9"/>
        <v>0.50558801717320845</v>
      </c>
      <c r="R18">
        <f t="shared" si="10"/>
        <v>321.4385408652081</v>
      </c>
      <c r="S18">
        <f t="shared" si="11"/>
        <v>27.094666044879727</v>
      </c>
      <c r="T18">
        <f t="shared" si="12"/>
        <v>27.1196870967742</v>
      </c>
      <c r="U18">
        <f t="shared" si="13"/>
        <v>3.6043967919400948</v>
      </c>
      <c r="V18">
        <f t="shared" si="14"/>
        <v>55.216890885227933</v>
      </c>
      <c r="W18">
        <f t="shared" si="15"/>
        <v>2.1209990707200452</v>
      </c>
      <c r="X18">
        <f t="shared" si="16"/>
        <v>3.8412142312190052</v>
      </c>
      <c r="Y18">
        <f t="shared" si="17"/>
        <v>1.4833977212200495</v>
      </c>
      <c r="Z18">
        <f t="shared" si="18"/>
        <v>-537.68208070497144</v>
      </c>
      <c r="AA18">
        <f t="shared" si="19"/>
        <v>198.56386922833923</v>
      </c>
      <c r="AB18">
        <f t="shared" si="20"/>
        <v>12.752710491746223</v>
      </c>
      <c r="AC18">
        <f t="shared" si="21"/>
        <v>-4.9269601196779149</v>
      </c>
      <c r="AD18">
        <v>-4.1178862673486298E-2</v>
      </c>
      <c r="AE18">
        <v>4.6226880817490601E-2</v>
      </c>
      <c r="AF18">
        <v>3.4548963238625201</v>
      </c>
      <c r="AG18">
        <v>169</v>
      </c>
      <c r="AH18">
        <v>34</v>
      </c>
      <c r="AI18">
        <f t="shared" si="22"/>
        <v>1</v>
      </c>
      <c r="AJ18">
        <f t="shared" si="23"/>
        <v>0</v>
      </c>
      <c r="AK18">
        <f t="shared" si="24"/>
        <v>52298.231253471196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279.61149999999998</v>
      </c>
      <c r="AT18">
        <v>385.29599999999999</v>
      </c>
      <c r="AU18">
        <f t="shared" si="27"/>
        <v>0.27429430879116323</v>
      </c>
      <c r="AV18">
        <v>0.5</v>
      </c>
      <c r="AW18">
        <f t="shared" si="28"/>
        <v>1681.1897416122763</v>
      </c>
      <c r="AX18">
        <f t="shared" si="29"/>
        <v>26.442084589803386</v>
      </c>
      <c r="AY18">
        <f t="shared" si="30"/>
        <v>230.57038906116682</v>
      </c>
      <c r="AZ18">
        <f t="shared" si="31"/>
        <v>0.50879323948341015</v>
      </c>
      <c r="BA18">
        <f t="shared" si="32"/>
        <v>1.6323014535816867E-2</v>
      </c>
      <c r="BB18">
        <f t="shared" si="33"/>
        <v>-1</v>
      </c>
      <c r="BC18" t="s">
        <v>291</v>
      </c>
      <c r="BD18">
        <v>189.26</v>
      </c>
      <c r="BE18">
        <f t="shared" si="34"/>
        <v>196.036</v>
      </c>
      <c r="BF18">
        <f t="shared" si="35"/>
        <v>0.53910761288742892</v>
      </c>
      <c r="BG18">
        <f t="shared" si="36"/>
        <v>2.0358025995984361</v>
      </c>
      <c r="BH18">
        <f t="shared" si="37"/>
        <v>0.27429430879116318</v>
      </c>
      <c r="BI18" t="e">
        <f t="shared" si="38"/>
        <v>#DIV/0!</v>
      </c>
      <c r="BJ18">
        <v>4569</v>
      </c>
      <c r="BK18">
        <v>300</v>
      </c>
      <c r="BL18">
        <v>300</v>
      </c>
      <c r="BM18">
        <v>300</v>
      </c>
      <c r="BN18">
        <v>9867.27</v>
      </c>
      <c r="BO18">
        <v>358.22</v>
      </c>
      <c r="BP18">
        <v>-6.5624100000000003E-3</v>
      </c>
      <c r="BQ18">
        <v>0.70220899999999997</v>
      </c>
      <c r="BR18">
        <f t="shared" si="39"/>
        <v>1999.99129032258</v>
      </c>
      <c r="BS18">
        <f t="shared" si="40"/>
        <v>1681.1897416122763</v>
      </c>
      <c r="BT18">
        <f t="shared" si="41"/>
        <v>0.84059853147716257</v>
      </c>
      <c r="BU18">
        <f t="shared" si="42"/>
        <v>0.1911970629543252</v>
      </c>
      <c r="BV18">
        <v>0.5</v>
      </c>
      <c r="BW18" t="s">
        <v>281</v>
      </c>
      <c r="BX18">
        <v>1594050198.7</v>
      </c>
      <c r="BY18">
        <v>288.04458064516098</v>
      </c>
      <c r="BZ18">
        <v>300.02493548387099</v>
      </c>
      <c r="CA18">
        <v>21.3222387096774</v>
      </c>
      <c r="CB18">
        <v>16.549790322580598</v>
      </c>
      <c r="CC18">
        <v>500.05232258064501</v>
      </c>
      <c r="CD18">
        <v>99.273580645161303</v>
      </c>
      <c r="CE18">
        <v>0.19998306451612899</v>
      </c>
      <c r="CF18">
        <v>28.208516129032301</v>
      </c>
      <c r="CG18">
        <v>27.1196870967742</v>
      </c>
      <c r="CH18">
        <v>999.9</v>
      </c>
      <c r="CI18">
        <v>10003.1477419355</v>
      </c>
      <c r="CJ18">
        <v>0</v>
      </c>
      <c r="CK18">
        <v>289.22035483871002</v>
      </c>
      <c r="CL18">
        <v>1999.99129032258</v>
      </c>
      <c r="CM18">
        <v>0.97999941935483903</v>
      </c>
      <c r="CN18">
        <v>2.0000793548387099E-2</v>
      </c>
      <c r="CO18">
        <v>0</v>
      </c>
      <c r="CP18">
        <v>279.667225806452</v>
      </c>
      <c r="CQ18">
        <v>5.00054</v>
      </c>
      <c r="CR18">
        <v>7185.8703225806503</v>
      </c>
      <c r="CS18">
        <v>18703.554838709701</v>
      </c>
      <c r="CT18">
        <v>49.098516129032198</v>
      </c>
      <c r="CU18">
        <v>50.793999999999997</v>
      </c>
      <c r="CV18">
        <v>49.398935483871</v>
      </c>
      <c r="CW18">
        <v>50.090419354838701</v>
      </c>
      <c r="CX18">
        <v>50.582322580645098</v>
      </c>
      <c r="CY18">
        <v>1955.0893548387101</v>
      </c>
      <c r="CZ18">
        <v>39.901935483871</v>
      </c>
      <c r="DA18">
        <v>0</v>
      </c>
      <c r="DB18">
        <v>136.39999985694899</v>
      </c>
      <c r="DC18">
        <v>279.61149999999998</v>
      </c>
      <c r="DD18">
        <v>-7.1304957245830698</v>
      </c>
      <c r="DE18">
        <v>-885.84136782979499</v>
      </c>
      <c r="DF18">
        <v>7180.0753846153902</v>
      </c>
      <c r="DG18">
        <v>15</v>
      </c>
      <c r="DH18">
        <v>1594050236.7</v>
      </c>
      <c r="DI18" t="s">
        <v>292</v>
      </c>
      <c r="DJ18">
        <v>17</v>
      </c>
      <c r="DK18">
        <v>-0.45300000000000001</v>
      </c>
      <c r="DL18">
        <v>0.10199999999999999</v>
      </c>
      <c r="DM18">
        <v>300</v>
      </c>
      <c r="DN18">
        <v>17</v>
      </c>
      <c r="DO18">
        <v>0.33</v>
      </c>
      <c r="DP18">
        <v>0.04</v>
      </c>
      <c r="DQ18">
        <v>288.05185185185201</v>
      </c>
      <c r="DR18">
        <v>-0.18441623785021799</v>
      </c>
      <c r="DS18">
        <v>2.7430320752238401E-2</v>
      </c>
      <c r="DT18">
        <v>1</v>
      </c>
      <c r="DU18">
        <v>21.342892592592602</v>
      </c>
      <c r="DV18">
        <v>-0.19485054316752501</v>
      </c>
      <c r="DW18">
        <v>2.5726142143250801E-2</v>
      </c>
      <c r="DX18">
        <v>1</v>
      </c>
      <c r="DY18">
        <v>2</v>
      </c>
      <c r="DZ18">
        <v>2</v>
      </c>
      <c r="EA18" t="s">
        <v>283</v>
      </c>
      <c r="EB18">
        <v>1.8666700000000001</v>
      </c>
      <c r="EC18">
        <v>1.8632299999999999</v>
      </c>
      <c r="ED18">
        <v>1.86876</v>
      </c>
      <c r="EE18">
        <v>1.86676</v>
      </c>
      <c r="EF18">
        <v>1.8714500000000001</v>
      </c>
      <c r="EG18">
        <v>1.8638600000000001</v>
      </c>
      <c r="EH18">
        <v>1.86538</v>
      </c>
      <c r="EI18">
        <v>1.8653200000000001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-0.45300000000000001</v>
      </c>
      <c r="EX18">
        <v>0.10199999999999999</v>
      </c>
      <c r="EY18">
        <v>2</v>
      </c>
      <c r="EZ18">
        <v>316.89699999999999</v>
      </c>
      <c r="FA18">
        <v>449.34500000000003</v>
      </c>
      <c r="FB18">
        <v>22.456399999999999</v>
      </c>
      <c r="FC18">
        <v>38.880400000000002</v>
      </c>
      <c r="FD18">
        <v>30.000900000000001</v>
      </c>
      <c r="FE18">
        <v>38.793300000000002</v>
      </c>
      <c r="FF18">
        <v>38.790700000000001</v>
      </c>
      <c r="FG18">
        <v>17.600100000000001</v>
      </c>
      <c r="FH18">
        <v>56.015300000000003</v>
      </c>
      <c r="FI18">
        <v>0</v>
      </c>
      <c r="FJ18">
        <v>19.552299999999999</v>
      </c>
      <c r="FK18">
        <v>300</v>
      </c>
      <c r="FL18">
        <v>16.5867</v>
      </c>
      <c r="FM18">
        <v>99.753100000000003</v>
      </c>
      <c r="FN18">
        <v>100.14100000000001</v>
      </c>
    </row>
    <row r="19" spans="1:170" x14ac:dyDescent="0.25">
      <c r="A19">
        <v>3</v>
      </c>
      <c r="B19">
        <v>1594050328.2</v>
      </c>
      <c r="C19">
        <v>258.60000014305098</v>
      </c>
      <c r="D19" t="s">
        <v>293</v>
      </c>
      <c r="E19" t="s">
        <v>294</v>
      </c>
      <c r="G19">
        <v>1594050320.2</v>
      </c>
      <c r="H19">
        <f t="shared" si="0"/>
        <v>1.1485185556575307E-2</v>
      </c>
      <c r="I19">
        <f t="shared" si="1"/>
        <v>16.996486443473216</v>
      </c>
      <c r="J19">
        <f t="shared" si="2"/>
        <v>192.326258064516</v>
      </c>
      <c r="K19">
        <f t="shared" si="3"/>
        <v>152.11704550499931</v>
      </c>
      <c r="L19">
        <f t="shared" si="4"/>
        <v>15.131869668115757</v>
      </c>
      <c r="M19">
        <f t="shared" si="5"/>
        <v>19.131688109818093</v>
      </c>
      <c r="N19">
        <f t="shared" si="6"/>
        <v>0.84390604267168057</v>
      </c>
      <c r="O19">
        <f t="shared" si="7"/>
        <v>3.3807990880927363</v>
      </c>
      <c r="P19">
        <f t="shared" si="8"/>
        <v>0.74203147163856364</v>
      </c>
      <c r="Q19">
        <f t="shared" si="9"/>
        <v>0.47189394825863562</v>
      </c>
      <c r="R19">
        <f t="shared" si="10"/>
        <v>321.44399525486932</v>
      </c>
      <c r="S19">
        <f t="shared" si="11"/>
        <v>26.912986243548637</v>
      </c>
      <c r="T19">
        <f t="shared" si="12"/>
        <v>26.988054838709701</v>
      </c>
      <c r="U19">
        <f t="shared" si="13"/>
        <v>3.5766494344468538</v>
      </c>
      <c r="V19">
        <f t="shared" si="14"/>
        <v>55.258553218513207</v>
      </c>
      <c r="W19">
        <f t="shared" si="15"/>
        <v>2.0807523914928976</v>
      </c>
      <c r="X19">
        <f t="shared" si="16"/>
        <v>3.765484744533242</v>
      </c>
      <c r="Y19">
        <f t="shared" si="17"/>
        <v>1.4958970429539562</v>
      </c>
      <c r="Z19">
        <f t="shared" si="18"/>
        <v>-506.49668304497101</v>
      </c>
      <c r="AA19">
        <f t="shared" si="19"/>
        <v>160.17563276992979</v>
      </c>
      <c r="AB19">
        <f t="shared" si="20"/>
        <v>10.268525483540445</v>
      </c>
      <c r="AC19">
        <f t="shared" si="21"/>
        <v>-14.608529536631465</v>
      </c>
      <c r="AD19">
        <v>-4.1150477348419402E-2</v>
      </c>
      <c r="AE19">
        <v>4.6195015803412003E-2</v>
      </c>
      <c r="AF19">
        <v>3.45301096587959</v>
      </c>
      <c r="AG19">
        <v>168</v>
      </c>
      <c r="AH19">
        <v>34</v>
      </c>
      <c r="AI19">
        <f t="shared" si="22"/>
        <v>1</v>
      </c>
      <c r="AJ19">
        <f t="shared" si="23"/>
        <v>0</v>
      </c>
      <c r="AK19">
        <f t="shared" si="24"/>
        <v>52323.037622046548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262.87861538461499</v>
      </c>
      <c r="AT19">
        <v>348.86599999999999</v>
      </c>
      <c r="AU19">
        <f t="shared" si="27"/>
        <v>0.24647682667667525</v>
      </c>
      <c r="AV19">
        <v>0.5</v>
      </c>
      <c r="AW19">
        <f t="shared" si="28"/>
        <v>1681.2187061284167</v>
      </c>
      <c r="AX19">
        <f t="shared" si="29"/>
        <v>16.996486443473216</v>
      </c>
      <c r="AY19">
        <f t="shared" si="30"/>
        <v>207.19072581799898</v>
      </c>
      <c r="AZ19">
        <f t="shared" si="31"/>
        <v>0.46650003153073094</v>
      </c>
      <c r="BA19">
        <f t="shared" si="32"/>
        <v>1.0704429101265655E-2</v>
      </c>
      <c r="BB19">
        <f t="shared" si="33"/>
        <v>-1</v>
      </c>
      <c r="BC19" t="s">
        <v>296</v>
      </c>
      <c r="BD19">
        <v>186.12</v>
      </c>
      <c r="BE19">
        <f t="shared" si="34"/>
        <v>162.74599999999998</v>
      </c>
      <c r="BF19">
        <f t="shared" si="35"/>
        <v>0.52835329049798463</v>
      </c>
      <c r="BG19">
        <f t="shared" si="36"/>
        <v>1.8744143563292499</v>
      </c>
      <c r="BH19">
        <f t="shared" si="37"/>
        <v>0.24647682667667528</v>
      </c>
      <c r="BI19" t="e">
        <f t="shared" si="38"/>
        <v>#DIV/0!</v>
      </c>
      <c r="BJ19">
        <v>4571</v>
      </c>
      <c r="BK19">
        <v>300</v>
      </c>
      <c r="BL19">
        <v>300</v>
      </c>
      <c r="BM19">
        <v>300</v>
      </c>
      <c r="BN19">
        <v>9867.4699999999993</v>
      </c>
      <c r="BO19">
        <v>325.22399999999999</v>
      </c>
      <c r="BP19">
        <v>-6.5624000000000004E-3</v>
      </c>
      <c r="BQ19">
        <v>0.91430699999999998</v>
      </c>
      <c r="BR19">
        <f t="shared" si="39"/>
        <v>2000.0258064516099</v>
      </c>
      <c r="BS19">
        <f t="shared" si="40"/>
        <v>1681.2187061284167</v>
      </c>
      <c r="BT19">
        <f t="shared" si="41"/>
        <v>0.84059850663186597</v>
      </c>
      <c r="BU19">
        <f t="shared" si="42"/>
        <v>0.19119701326373206</v>
      </c>
      <c r="BV19">
        <v>0.5</v>
      </c>
      <c r="BW19" t="s">
        <v>281</v>
      </c>
      <c r="BX19">
        <v>1594050320.2</v>
      </c>
      <c r="BY19">
        <v>192.326258064516</v>
      </c>
      <c r="BZ19">
        <v>200.007612903226</v>
      </c>
      <c r="CA19">
        <v>20.917303225806499</v>
      </c>
      <c r="CB19">
        <v>16.419793548387101</v>
      </c>
      <c r="CC19">
        <v>500.05212903225799</v>
      </c>
      <c r="CD19">
        <v>99.275174193548395</v>
      </c>
      <c r="CE19">
        <v>0.200000451612903</v>
      </c>
      <c r="CF19">
        <v>27.866858064516101</v>
      </c>
      <c r="CG19">
        <v>26.988054838709701</v>
      </c>
      <c r="CH19">
        <v>999.9</v>
      </c>
      <c r="CI19">
        <v>9996.0919354838697</v>
      </c>
      <c r="CJ19">
        <v>0</v>
      </c>
      <c r="CK19">
        <v>314.60732258064502</v>
      </c>
      <c r="CL19">
        <v>2000.0258064516099</v>
      </c>
      <c r="CM19">
        <v>0.98000064516129004</v>
      </c>
      <c r="CN19">
        <v>1.9999416129032301E-2</v>
      </c>
      <c r="CO19">
        <v>0</v>
      </c>
      <c r="CP19">
        <v>262.90096774193597</v>
      </c>
      <c r="CQ19">
        <v>5.00054</v>
      </c>
      <c r="CR19">
        <v>6971.8116129032296</v>
      </c>
      <c r="CS19">
        <v>18703.874193548399</v>
      </c>
      <c r="CT19">
        <v>49.128999999999998</v>
      </c>
      <c r="CU19">
        <v>50.8</v>
      </c>
      <c r="CV19">
        <v>49.457322580645098</v>
      </c>
      <c r="CW19">
        <v>50.0741935483871</v>
      </c>
      <c r="CX19">
        <v>50.643000000000001</v>
      </c>
      <c r="CY19">
        <v>1955.12483870968</v>
      </c>
      <c r="CZ19">
        <v>39.900967741935503</v>
      </c>
      <c r="DA19">
        <v>0</v>
      </c>
      <c r="DB19">
        <v>120.799999952316</v>
      </c>
      <c r="DC19">
        <v>262.87861538461499</v>
      </c>
      <c r="DD19">
        <v>-4.6181880281234502</v>
      </c>
      <c r="DE19">
        <v>-524.08649480608199</v>
      </c>
      <c r="DF19">
        <v>6981.875</v>
      </c>
      <c r="DG19">
        <v>15</v>
      </c>
      <c r="DH19">
        <v>1594050357.2</v>
      </c>
      <c r="DI19" t="s">
        <v>297</v>
      </c>
      <c r="DJ19">
        <v>18</v>
      </c>
      <c r="DK19">
        <v>-0.4</v>
      </c>
      <c r="DL19">
        <v>0.1</v>
      </c>
      <c r="DM19">
        <v>200</v>
      </c>
      <c r="DN19">
        <v>16</v>
      </c>
      <c r="DO19">
        <v>0.41</v>
      </c>
      <c r="DP19">
        <v>0.03</v>
      </c>
      <c r="DQ19">
        <v>192.267</v>
      </c>
      <c r="DR19">
        <v>4.8585477415679201E-2</v>
      </c>
      <c r="DS19">
        <v>1.09915792684599E-2</v>
      </c>
      <c r="DT19">
        <v>1</v>
      </c>
      <c r="DU19">
        <v>20.9361462962963</v>
      </c>
      <c r="DV19">
        <v>-0.159767181246429</v>
      </c>
      <c r="DW19">
        <v>2.0786175186290799E-2</v>
      </c>
      <c r="DX19">
        <v>1</v>
      </c>
      <c r="DY19">
        <v>2</v>
      </c>
      <c r="DZ19">
        <v>2</v>
      </c>
      <c r="EA19" t="s">
        <v>283</v>
      </c>
      <c r="EB19">
        <v>1.8666499999999999</v>
      </c>
      <c r="EC19">
        <v>1.8631599999999999</v>
      </c>
      <c r="ED19">
        <v>1.86876</v>
      </c>
      <c r="EE19">
        <v>1.86676</v>
      </c>
      <c r="EF19">
        <v>1.8714</v>
      </c>
      <c r="EG19">
        <v>1.8638600000000001</v>
      </c>
      <c r="EH19">
        <v>1.8653900000000001</v>
      </c>
      <c r="EI19">
        <v>1.86527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</v>
      </c>
      <c r="EX19">
        <v>0.1</v>
      </c>
      <c r="EY19">
        <v>2</v>
      </c>
      <c r="EZ19">
        <v>317.66399999999999</v>
      </c>
      <c r="FA19">
        <v>447.21800000000002</v>
      </c>
      <c r="FB19">
        <v>21.970199999999998</v>
      </c>
      <c r="FC19">
        <v>38.984099999999998</v>
      </c>
      <c r="FD19">
        <v>30.000299999999999</v>
      </c>
      <c r="FE19">
        <v>38.852400000000003</v>
      </c>
      <c r="FF19">
        <v>38.832799999999999</v>
      </c>
      <c r="FG19">
        <v>12.9254</v>
      </c>
      <c r="FH19">
        <v>56.418999999999997</v>
      </c>
      <c r="FI19">
        <v>0</v>
      </c>
      <c r="FJ19">
        <v>22.253699999999998</v>
      </c>
      <c r="FK19">
        <v>200</v>
      </c>
      <c r="FL19">
        <v>16.4086</v>
      </c>
      <c r="FM19">
        <v>99.731399999999994</v>
      </c>
      <c r="FN19">
        <v>100.119</v>
      </c>
    </row>
    <row r="20" spans="1:170" x14ac:dyDescent="0.25">
      <c r="A20">
        <v>4</v>
      </c>
      <c r="B20">
        <v>1594050448.7</v>
      </c>
      <c r="C20">
        <v>379.10000014305098</v>
      </c>
      <c r="D20" t="s">
        <v>298</v>
      </c>
      <c r="E20" t="s">
        <v>299</v>
      </c>
      <c r="G20">
        <v>1594050440.7</v>
      </c>
      <c r="H20">
        <f t="shared" si="0"/>
        <v>1.0971837281311072E-2</v>
      </c>
      <c r="I20">
        <f t="shared" si="1"/>
        <v>5.8577190193505064</v>
      </c>
      <c r="J20">
        <f t="shared" si="2"/>
        <v>97.235793548387093</v>
      </c>
      <c r="K20">
        <f t="shared" si="3"/>
        <v>81.673212367392708</v>
      </c>
      <c r="L20">
        <f t="shared" si="4"/>
        <v>8.1242207228780998</v>
      </c>
      <c r="M20">
        <f t="shared" si="5"/>
        <v>9.6722661696932288</v>
      </c>
      <c r="N20">
        <f t="shared" si="6"/>
        <v>0.77968983728135488</v>
      </c>
      <c r="O20">
        <f t="shared" si="7"/>
        <v>3.3794523382510384</v>
      </c>
      <c r="P20">
        <f t="shared" si="8"/>
        <v>0.69183824739637134</v>
      </c>
      <c r="Q20">
        <f t="shared" si="9"/>
        <v>0.43946432730820584</v>
      </c>
      <c r="R20">
        <f t="shared" si="10"/>
        <v>321.44025967115022</v>
      </c>
      <c r="S20">
        <f t="shared" si="11"/>
        <v>26.921488992726914</v>
      </c>
      <c r="T20">
        <f t="shared" si="12"/>
        <v>27.008258064516099</v>
      </c>
      <c r="U20">
        <f t="shared" si="13"/>
        <v>3.5808960120644224</v>
      </c>
      <c r="V20">
        <f t="shared" si="14"/>
        <v>54.732193049912915</v>
      </c>
      <c r="W20">
        <f t="shared" si="15"/>
        <v>2.0480030245622927</v>
      </c>
      <c r="X20">
        <f t="shared" si="16"/>
        <v>3.7418618009598488</v>
      </c>
      <c r="Y20">
        <f t="shared" si="17"/>
        <v>1.5328929875021298</v>
      </c>
      <c r="Z20">
        <f t="shared" si="18"/>
        <v>-483.85802410581823</v>
      </c>
      <c r="AA20">
        <f t="shared" si="19"/>
        <v>136.78994255295424</v>
      </c>
      <c r="AB20">
        <f t="shared" si="20"/>
        <v>8.7689708405274143</v>
      </c>
      <c r="AC20">
        <f t="shared" si="21"/>
        <v>-16.858851041186369</v>
      </c>
      <c r="AD20">
        <v>-4.1129655285588498E-2</v>
      </c>
      <c r="AE20">
        <v>4.6171641213771403E-2</v>
      </c>
      <c r="AF20">
        <v>3.4516276769658498</v>
      </c>
      <c r="AG20">
        <v>167</v>
      </c>
      <c r="AH20">
        <v>33</v>
      </c>
      <c r="AI20">
        <f t="shared" si="22"/>
        <v>1</v>
      </c>
      <c r="AJ20">
        <f t="shared" si="23"/>
        <v>0</v>
      </c>
      <c r="AK20">
        <f t="shared" si="24"/>
        <v>52316.322950664588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260.25934615384602</v>
      </c>
      <c r="AT20">
        <v>327.47000000000003</v>
      </c>
      <c r="AU20">
        <f t="shared" si="27"/>
        <v>0.20524217133219536</v>
      </c>
      <c r="AV20">
        <v>0.5</v>
      </c>
      <c r="AW20">
        <f t="shared" si="28"/>
        <v>1681.2016158059114</v>
      </c>
      <c r="AX20">
        <f t="shared" si="29"/>
        <v>5.8577190193505064</v>
      </c>
      <c r="AY20">
        <f t="shared" si="30"/>
        <v>172.52673503760028</v>
      </c>
      <c r="AZ20">
        <f t="shared" si="31"/>
        <v>0.41161022383729812</v>
      </c>
      <c r="BA20">
        <f t="shared" si="32"/>
        <v>4.0790580706545109E-3</v>
      </c>
      <c r="BB20">
        <f t="shared" si="33"/>
        <v>-1</v>
      </c>
      <c r="BC20" t="s">
        <v>301</v>
      </c>
      <c r="BD20">
        <v>192.68</v>
      </c>
      <c r="BE20">
        <f t="shared" si="34"/>
        <v>134.79000000000002</v>
      </c>
      <c r="BF20">
        <f t="shared" si="35"/>
        <v>0.49863234547187474</v>
      </c>
      <c r="BG20">
        <f t="shared" si="36"/>
        <v>1.6995536641062903</v>
      </c>
      <c r="BH20">
        <f t="shared" si="37"/>
        <v>0.2052421713321953</v>
      </c>
      <c r="BI20" t="e">
        <f t="shared" si="38"/>
        <v>#DIV/0!</v>
      </c>
      <c r="BJ20">
        <v>4573</v>
      </c>
      <c r="BK20">
        <v>300</v>
      </c>
      <c r="BL20">
        <v>300</v>
      </c>
      <c r="BM20">
        <v>300</v>
      </c>
      <c r="BN20">
        <v>9867.89</v>
      </c>
      <c r="BO20">
        <v>309.952</v>
      </c>
      <c r="BP20">
        <v>-6.5627699999999999E-3</v>
      </c>
      <c r="BQ20">
        <v>1.0454399999999999</v>
      </c>
      <c r="BR20">
        <f t="shared" si="39"/>
        <v>2000.0058064516099</v>
      </c>
      <c r="BS20">
        <f t="shared" si="40"/>
        <v>1681.2016158059114</v>
      </c>
      <c r="BT20">
        <f t="shared" si="41"/>
        <v>0.84059836745608363</v>
      </c>
      <c r="BU20">
        <f t="shared" si="42"/>
        <v>0.19119673491216732</v>
      </c>
      <c r="BV20">
        <v>0.5</v>
      </c>
      <c r="BW20" t="s">
        <v>281</v>
      </c>
      <c r="BX20">
        <v>1594050440.7</v>
      </c>
      <c r="BY20">
        <v>97.235793548387093</v>
      </c>
      <c r="BZ20">
        <v>100.005316129032</v>
      </c>
      <c r="CA20">
        <v>20.5886806451613</v>
      </c>
      <c r="CB20">
        <v>16.290780645161298</v>
      </c>
      <c r="CC20">
        <v>500.05545161290303</v>
      </c>
      <c r="CD20">
        <v>99.272258064516095</v>
      </c>
      <c r="CE20">
        <v>0.20002283870967699</v>
      </c>
      <c r="CF20">
        <v>27.759054838709702</v>
      </c>
      <c r="CG20">
        <v>27.008258064516099</v>
      </c>
      <c r="CH20">
        <v>999.9</v>
      </c>
      <c r="CI20">
        <v>9991.3274193548405</v>
      </c>
      <c r="CJ20">
        <v>0</v>
      </c>
      <c r="CK20">
        <v>286.59564516129001</v>
      </c>
      <c r="CL20">
        <v>2000.0058064516099</v>
      </c>
      <c r="CM20">
        <v>0.98000445161290295</v>
      </c>
      <c r="CN20">
        <v>1.99953903225807E-2</v>
      </c>
      <c r="CO20">
        <v>0</v>
      </c>
      <c r="CP20">
        <v>260.279870967742</v>
      </c>
      <c r="CQ20">
        <v>5.00054</v>
      </c>
      <c r="CR20">
        <v>6797.3435483870899</v>
      </c>
      <c r="CS20">
        <v>18703.7096774194</v>
      </c>
      <c r="CT20">
        <v>48.957387096774198</v>
      </c>
      <c r="CU20">
        <v>50.401000000000003</v>
      </c>
      <c r="CV20">
        <v>49.249935483870999</v>
      </c>
      <c r="CW20">
        <v>49.701451612903199</v>
      </c>
      <c r="CX20">
        <v>50.4593548387097</v>
      </c>
      <c r="CY20">
        <v>1955.1145161290301</v>
      </c>
      <c r="CZ20">
        <v>39.891290322580701</v>
      </c>
      <c r="DA20">
        <v>0</v>
      </c>
      <c r="DB20">
        <v>120</v>
      </c>
      <c r="DC20">
        <v>260.25934615384602</v>
      </c>
      <c r="DD20">
        <v>-2.4680000096146002</v>
      </c>
      <c r="DE20">
        <v>459.88307720822201</v>
      </c>
      <c r="DF20">
        <v>6797.6353846153797</v>
      </c>
      <c r="DG20">
        <v>15</v>
      </c>
      <c r="DH20">
        <v>1594050481.2</v>
      </c>
      <c r="DI20" t="s">
        <v>302</v>
      </c>
      <c r="DJ20">
        <v>19</v>
      </c>
      <c r="DK20">
        <v>-0.42</v>
      </c>
      <c r="DL20">
        <v>0.105</v>
      </c>
      <c r="DM20">
        <v>100</v>
      </c>
      <c r="DN20">
        <v>16</v>
      </c>
      <c r="DO20">
        <v>2.61</v>
      </c>
      <c r="DP20">
        <v>0.02</v>
      </c>
      <c r="DQ20">
        <v>97.231650000000002</v>
      </c>
      <c r="DR20">
        <v>0.20753939393943699</v>
      </c>
      <c r="DS20">
        <v>3.0703919100795E-2</v>
      </c>
      <c r="DT20">
        <v>1</v>
      </c>
      <c r="DU20">
        <v>20.591344444444399</v>
      </c>
      <c r="DV20">
        <v>-7.7910577472828299E-2</v>
      </c>
      <c r="DW20">
        <v>1.0224909067179801E-2</v>
      </c>
      <c r="DX20">
        <v>1</v>
      </c>
      <c r="DY20">
        <v>2</v>
      </c>
      <c r="DZ20">
        <v>2</v>
      </c>
      <c r="EA20" t="s">
        <v>283</v>
      </c>
      <c r="EB20">
        <v>1.86676</v>
      </c>
      <c r="EC20">
        <v>1.8632500000000001</v>
      </c>
      <c r="ED20">
        <v>1.8688100000000001</v>
      </c>
      <c r="EE20">
        <v>1.86676</v>
      </c>
      <c r="EF20">
        <v>1.8714900000000001</v>
      </c>
      <c r="EG20">
        <v>1.8638999999999999</v>
      </c>
      <c r="EH20">
        <v>1.8653900000000001</v>
      </c>
      <c r="EI20">
        <v>1.86537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-0.42</v>
      </c>
      <c r="EX20">
        <v>0.105</v>
      </c>
      <c r="EY20">
        <v>2</v>
      </c>
      <c r="EZ20">
        <v>318.44299999999998</v>
      </c>
      <c r="FA20">
        <v>446.14699999999999</v>
      </c>
      <c r="FB20">
        <v>22.259699999999999</v>
      </c>
      <c r="FC20">
        <v>38.902999999999999</v>
      </c>
      <c r="FD20">
        <v>29.9998</v>
      </c>
      <c r="FE20">
        <v>38.807299999999998</v>
      </c>
      <c r="FF20">
        <v>38.784599999999998</v>
      </c>
      <c r="FG20">
        <v>8.0620700000000003</v>
      </c>
      <c r="FH20">
        <v>56.260800000000003</v>
      </c>
      <c r="FI20">
        <v>0</v>
      </c>
      <c r="FJ20">
        <v>22.2545</v>
      </c>
      <c r="FK20">
        <v>100</v>
      </c>
      <c r="FL20">
        <v>16.417200000000001</v>
      </c>
      <c r="FM20">
        <v>99.741600000000005</v>
      </c>
      <c r="FN20">
        <v>100.13500000000001</v>
      </c>
    </row>
    <row r="21" spans="1:170" x14ac:dyDescent="0.25">
      <c r="A21">
        <v>5</v>
      </c>
      <c r="B21">
        <v>1594050572.7</v>
      </c>
      <c r="C21">
        <v>503.10000014305098</v>
      </c>
      <c r="D21" t="s">
        <v>303</v>
      </c>
      <c r="E21" t="s">
        <v>304</v>
      </c>
      <c r="G21">
        <v>1594050564.7</v>
      </c>
      <c r="H21">
        <f t="shared" si="0"/>
        <v>1.0380337349260112E-2</v>
      </c>
      <c r="I21">
        <f t="shared" si="1"/>
        <v>8.845355553807964E-2</v>
      </c>
      <c r="J21">
        <f t="shared" si="2"/>
        <v>49.758635483870997</v>
      </c>
      <c r="K21">
        <f t="shared" si="3"/>
        <v>48.319993046457661</v>
      </c>
      <c r="L21">
        <f t="shared" si="4"/>
        <v>4.8065901677190697</v>
      </c>
      <c r="M21">
        <f t="shared" si="5"/>
        <v>4.9496978992927447</v>
      </c>
      <c r="N21">
        <f t="shared" si="6"/>
        <v>0.73245866627883871</v>
      </c>
      <c r="O21">
        <f t="shared" si="7"/>
        <v>3.3817034434269053</v>
      </c>
      <c r="P21">
        <f t="shared" si="8"/>
        <v>0.65440532676422625</v>
      </c>
      <c r="Q21">
        <f t="shared" si="9"/>
        <v>0.41532083681694154</v>
      </c>
      <c r="R21">
        <f t="shared" si="10"/>
        <v>321.44064594210016</v>
      </c>
      <c r="S21">
        <f t="shared" si="11"/>
        <v>26.885843753447979</v>
      </c>
      <c r="T21">
        <f t="shared" si="12"/>
        <v>27.025035483871001</v>
      </c>
      <c r="U21">
        <f t="shared" si="13"/>
        <v>3.5844258533732414</v>
      </c>
      <c r="V21">
        <f t="shared" si="14"/>
        <v>55.367725542214771</v>
      </c>
      <c r="W21">
        <f t="shared" si="15"/>
        <v>2.0512397318952682</v>
      </c>
      <c r="X21">
        <f t="shared" si="16"/>
        <v>3.7047570797021696</v>
      </c>
      <c r="Y21">
        <f t="shared" si="17"/>
        <v>1.5331861214779732</v>
      </c>
      <c r="Z21">
        <f t="shared" si="18"/>
        <v>-457.77287710237096</v>
      </c>
      <c r="AA21">
        <f t="shared" si="19"/>
        <v>102.73180972586586</v>
      </c>
      <c r="AB21">
        <f t="shared" si="20"/>
        <v>6.5762212611129574</v>
      </c>
      <c r="AC21">
        <f t="shared" si="21"/>
        <v>-27.024200173291987</v>
      </c>
      <c r="AD21">
        <v>-4.1164461648114603E-2</v>
      </c>
      <c r="AE21">
        <v>4.6210714404911798E-2</v>
      </c>
      <c r="AF21">
        <v>3.4539398612095402</v>
      </c>
      <c r="AG21">
        <v>167</v>
      </c>
      <c r="AH21">
        <v>33</v>
      </c>
      <c r="AI21">
        <f t="shared" si="22"/>
        <v>1</v>
      </c>
      <c r="AJ21">
        <f t="shared" si="23"/>
        <v>0</v>
      </c>
      <c r="AK21">
        <f t="shared" si="24"/>
        <v>52388.536157517323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260.29538461538499</v>
      </c>
      <c r="AT21">
        <v>318.54899999999998</v>
      </c>
      <c r="AU21">
        <f t="shared" si="27"/>
        <v>0.18287175720098003</v>
      </c>
      <c r="AV21">
        <v>0.5</v>
      </c>
      <c r="AW21">
        <f t="shared" si="28"/>
        <v>1681.2013351606797</v>
      </c>
      <c r="AX21">
        <f t="shared" si="29"/>
        <v>8.845355553807964E-2</v>
      </c>
      <c r="AY21">
        <f t="shared" si="30"/>
        <v>153.72212118473365</v>
      </c>
      <c r="AZ21">
        <f t="shared" si="31"/>
        <v>0.38471004460852171</v>
      </c>
      <c r="BA21">
        <f t="shared" si="32"/>
        <v>6.4742605943389367E-4</v>
      </c>
      <c r="BB21">
        <f t="shared" si="33"/>
        <v>-1</v>
      </c>
      <c r="BC21" t="s">
        <v>306</v>
      </c>
      <c r="BD21">
        <v>196</v>
      </c>
      <c r="BE21">
        <f t="shared" si="34"/>
        <v>122.54899999999998</v>
      </c>
      <c r="BF21">
        <f t="shared" si="35"/>
        <v>0.47534957759439078</v>
      </c>
      <c r="BG21">
        <f t="shared" si="36"/>
        <v>1.6252499999999999</v>
      </c>
      <c r="BH21">
        <f t="shared" si="37"/>
        <v>0.18287175720098003</v>
      </c>
      <c r="BI21" t="e">
        <f t="shared" si="38"/>
        <v>#DIV/0!</v>
      </c>
      <c r="BJ21">
        <v>4575</v>
      </c>
      <c r="BK21">
        <v>300</v>
      </c>
      <c r="BL21">
        <v>300</v>
      </c>
      <c r="BM21">
        <v>300</v>
      </c>
      <c r="BN21">
        <v>9869.4599999999991</v>
      </c>
      <c r="BO21">
        <v>303.24599999999998</v>
      </c>
      <c r="BP21">
        <v>-6.5639399999999999E-3</v>
      </c>
      <c r="BQ21">
        <v>1.68259</v>
      </c>
      <c r="BR21">
        <f t="shared" si="39"/>
        <v>2000.0051612903201</v>
      </c>
      <c r="BS21">
        <f t="shared" si="40"/>
        <v>1681.2013351606797</v>
      </c>
      <c r="BT21">
        <f t="shared" si="41"/>
        <v>0.84059849829389366</v>
      </c>
      <c r="BU21">
        <f t="shared" si="42"/>
        <v>0.19119699658778744</v>
      </c>
      <c r="BV21">
        <v>0.5</v>
      </c>
      <c r="BW21" t="s">
        <v>281</v>
      </c>
      <c r="BX21">
        <v>1594050564.7</v>
      </c>
      <c r="BY21">
        <v>49.758635483870997</v>
      </c>
      <c r="BZ21">
        <v>50.000593548387101</v>
      </c>
      <c r="CA21">
        <v>20.6208322580645</v>
      </c>
      <c r="CB21">
        <v>16.554787096774199</v>
      </c>
      <c r="CC21">
        <v>500.05770967741898</v>
      </c>
      <c r="CD21">
        <v>99.274158064516101</v>
      </c>
      <c r="CE21">
        <v>0.19999051612903199</v>
      </c>
      <c r="CF21">
        <v>27.588522580645201</v>
      </c>
      <c r="CG21">
        <v>27.025035483871001</v>
      </c>
      <c r="CH21">
        <v>999.9</v>
      </c>
      <c r="CI21">
        <v>9999.5912903225799</v>
      </c>
      <c r="CJ21">
        <v>0</v>
      </c>
      <c r="CK21">
        <v>279.28735483870997</v>
      </c>
      <c r="CL21">
        <v>2000.0051612903201</v>
      </c>
      <c r="CM21">
        <v>0.98000145161290397</v>
      </c>
      <c r="CN21">
        <v>1.9998612903225799E-2</v>
      </c>
      <c r="CO21">
        <v>0</v>
      </c>
      <c r="CP21">
        <v>260.29058064516101</v>
      </c>
      <c r="CQ21">
        <v>5.00054</v>
      </c>
      <c r="CR21">
        <v>6656.9225806451605</v>
      </c>
      <c r="CS21">
        <v>18703.690322580602</v>
      </c>
      <c r="CT21">
        <v>48.667064516129003</v>
      </c>
      <c r="CU21">
        <v>49.997870967741903</v>
      </c>
      <c r="CV21">
        <v>48.971548387096803</v>
      </c>
      <c r="CW21">
        <v>49.177193548387102</v>
      </c>
      <c r="CX21">
        <v>50.195193548387103</v>
      </c>
      <c r="CY21">
        <v>1955.10516129032</v>
      </c>
      <c r="CZ21">
        <v>39.9</v>
      </c>
      <c r="DA21">
        <v>0</v>
      </c>
      <c r="DB21">
        <v>123.09999990463299</v>
      </c>
      <c r="DC21">
        <v>260.29538461538499</v>
      </c>
      <c r="DD21">
        <v>7.4324779586161294E-2</v>
      </c>
      <c r="DE21">
        <v>-38.9360683047151</v>
      </c>
      <c r="DF21">
        <v>6657.0946153846198</v>
      </c>
      <c r="DG21">
        <v>15</v>
      </c>
      <c r="DH21">
        <v>1594050598.2</v>
      </c>
      <c r="DI21" t="s">
        <v>307</v>
      </c>
      <c r="DJ21">
        <v>20</v>
      </c>
      <c r="DK21">
        <v>-0.45500000000000002</v>
      </c>
      <c r="DL21">
        <v>0.104</v>
      </c>
      <c r="DM21">
        <v>50</v>
      </c>
      <c r="DN21">
        <v>17</v>
      </c>
      <c r="DO21">
        <v>1.01</v>
      </c>
      <c r="DP21">
        <v>0.03</v>
      </c>
      <c r="DQ21">
        <v>49.791755555555497</v>
      </c>
      <c r="DR21">
        <v>1.21989708404715E-2</v>
      </c>
      <c r="DS21">
        <v>7.8423982222626705E-3</v>
      </c>
      <c r="DT21">
        <v>1</v>
      </c>
      <c r="DU21">
        <v>20.629368518518501</v>
      </c>
      <c r="DV21">
        <v>-7.4747627215557194E-2</v>
      </c>
      <c r="DW21">
        <v>9.8266987801763298E-3</v>
      </c>
      <c r="DX21">
        <v>1</v>
      </c>
      <c r="DY21">
        <v>2</v>
      </c>
      <c r="DZ21">
        <v>2</v>
      </c>
      <c r="EA21" t="s">
        <v>283</v>
      </c>
      <c r="EB21">
        <v>1.8666400000000001</v>
      </c>
      <c r="EC21">
        <v>1.8631599999999999</v>
      </c>
      <c r="ED21">
        <v>1.86876</v>
      </c>
      <c r="EE21">
        <v>1.86676</v>
      </c>
      <c r="EF21">
        <v>1.8714599999999999</v>
      </c>
      <c r="EG21">
        <v>1.8638600000000001</v>
      </c>
      <c r="EH21">
        <v>1.86537</v>
      </c>
      <c r="EI21">
        <v>1.8652599999999999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-0.45500000000000002</v>
      </c>
      <c r="EX21">
        <v>0.104</v>
      </c>
      <c r="EY21">
        <v>2</v>
      </c>
      <c r="EZ21">
        <v>319.01299999999998</v>
      </c>
      <c r="FA21">
        <v>446.53800000000001</v>
      </c>
      <c r="FB21">
        <v>21.396799999999999</v>
      </c>
      <c r="FC21">
        <v>38.757599999999996</v>
      </c>
      <c r="FD21">
        <v>29.999400000000001</v>
      </c>
      <c r="FE21">
        <v>38.707299999999996</v>
      </c>
      <c r="FF21">
        <v>38.69</v>
      </c>
      <c r="FG21">
        <v>5.6085700000000003</v>
      </c>
      <c r="FH21">
        <v>56.0291</v>
      </c>
      <c r="FI21">
        <v>0</v>
      </c>
      <c r="FJ21">
        <v>20.715</v>
      </c>
      <c r="FK21">
        <v>50</v>
      </c>
      <c r="FL21">
        <v>16.468900000000001</v>
      </c>
      <c r="FM21">
        <v>99.761499999999998</v>
      </c>
      <c r="FN21">
        <v>100.164</v>
      </c>
    </row>
    <row r="22" spans="1:170" x14ac:dyDescent="0.25">
      <c r="A22">
        <v>6</v>
      </c>
      <c r="B22">
        <v>1594050713.2</v>
      </c>
      <c r="C22">
        <v>643.60000014305103</v>
      </c>
      <c r="D22" t="s">
        <v>308</v>
      </c>
      <c r="E22" t="s">
        <v>309</v>
      </c>
      <c r="G22">
        <v>1594050705.2</v>
      </c>
      <c r="H22">
        <f t="shared" si="0"/>
        <v>9.8246668272603775E-3</v>
      </c>
      <c r="I22">
        <f t="shared" si="1"/>
        <v>32.465547393877536</v>
      </c>
      <c r="J22">
        <f t="shared" si="2"/>
        <v>385.46954838709701</v>
      </c>
      <c r="K22">
        <f t="shared" si="3"/>
        <v>292.91584890624551</v>
      </c>
      <c r="L22">
        <f t="shared" si="4"/>
        <v>29.139358640501197</v>
      </c>
      <c r="M22">
        <f t="shared" si="5"/>
        <v>38.346629099741257</v>
      </c>
      <c r="N22">
        <f t="shared" si="6"/>
        <v>0.67739027238644711</v>
      </c>
      <c r="O22">
        <f t="shared" si="7"/>
        <v>3.3822561055557894</v>
      </c>
      <c r="P22">
        <f t="shared" si="8"/>
        <v>0.61006589568270542</v>
      </c>
      <c r="Q22">
        <f t="shared" si="9"/>
        <v>0.38678089421727202</v>
      </c>
      <c r="R22">
        <f t="shared" si="10"/>
        <v>321.44091059015238</v>
      </c>
      <c r="S22">
        <f t="shared" si="11"/>
        <v>27.015650880796674</v>
      </c>
      <c r="T22">
        <f t="shared" si="12"/>
        <v>27.019235483871</v>
      </c>
      <c r="U22">
        <f t="shared" si="13"/>
        <v>3.5832052341744345</v>
      </c>
      <c r="V22">
        <f t="shared" si="14"/>
        <v>54.684061357703563</v>
      </c>
      <c r="W22">
        <f t="shared" si="15"/>
        <v>2.0263159824035393</v>
      </c>
      <c r="X22">
        <f t="shared" si="16"/>
        <v>3.7054965050032522</v>
      </c>
      <c r="Y22">
        <f t="shared" si="17"/>
        <v>1.5568892517708952</v>
      </c>
      <c r="Z22">
        <f t="shared" si="18"/>
        <v>-433.26780708218263</v>
      </c>
      <c r="AA22">
        <f t="shared" si="19"/>
        <v>104.42851827889207</v>
      </c>
      <c r="AB22">
        <f t="shared" si="20"/>
        <v>6.6836616876708836</v>
      </c>
      <c r="AC22">
        <f t="shared" si="21"/>
        <v>-0.71471652546726716</v>
      </c>
      <c r="AD22">
        <v>-4.11730084428703E-2</v>
      </c>
      <c r="AE22">
        <v>4.6220308930765397E-2</v>
      </c>
      <c r="AF22">
        <v>3.4545075214657399</v>
      </c>
      <c r="AG22">
        <v>164</v>
      </c>
      <c r="AH22">
        <v>33</v>
      </c>
      <c r="AI22">
        <f t="shared" si="22"/>
        <v>1</v>
      </c>
      <c r="AJ22">
        <f t="shared" si="23"/>
        <v>0</v>
      </c>
      <c r="AK22">
        <f t="shared" si="24"/>
        <v>52398.506305559473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258.45015384615402</v>
      </c>
      <c r="AT22">
        <v>352.78500000000003</v>
      </c>
      <c r="AU22">
        <f t="shared" si="27"/>
        <v>0.26740038877459638</v>
      </c>
      <c r="AV22">
        <v>0.5</v>
      </c>
      <c r="AW22">
        <f t="shared" si="28"/>
        <v>1681.2026938606805</v>
      </c>
      <c r="AX22">
        <f t="shared" si="29"/>
        <v>32.465547393877536</v>
      </c>
      <c r="AY22">
        <f t="shared" si="30"/>
        <v>224.77712697362236</v>
      </c>
      <c r="AZ22">
        <f t="shared" si="31"/>
        <v>0.48864039003925908</v>
      </c>
      <c r="BA22">
        <f t="shared" si="32"/>
        <v>1.9905718397957069E-2</v>
      </c>
      <c r="BB22">
        <f t="shared" si="33"/>
        <v>-1</v>
      </c>
      <c r="BC22" t="s">
        <v>311</v>
      </c>
      <c r="BD22">
        <v>180.4</v>
      </c>
      <c r="BE22">
        <f t="shared" si="34"/>
        <v>172.38500000000002</v>
      </c>
      <c r="BF22">
        <f t="shared" si="35"/>
        <v>0.54723349568608637</v>
      </c>
      <c r="BG22">
        <f t="shared" si="36"/>
        <v>1.9555709534368071</v>
      </c>
      <c r="BH22">
        <f t="shared" si="37"/>
        <v>0.26740038877459643</v>
      </c>
      <c r="BI22" t="e">
        <f t="shared" si="38"/>
        <v>#DIV/0!</v>
      </c>
      <c r="BJ22">
        <v>4577</v>
      </c>
      <c r="BK22">
        <v>300</v>
      </c>
      <c r="BL22">
        <v>300</v>
      </c>
      <c r="BM22">
        <v>300</v>
      </c>
      <c r="BN22">
        <v>9871.4599999999991</v>
      </c>
      <c r="BO22">
        <v>327.42500000000001</v>
      </c>
      <c r="BP22">
        <v>-6.5655899999999996E-3</v>
      </c>
      <c r="BQ22">
        <v>2.5571899999999999</v>
      </c>
      <c r="BR22">
        <f t="shared" si="39"/>
        <v>2000.00677419355</v>
      </c>
      <c r="BS22">
        <f t="shared" si="40"/>
        <v>1681.2026938606805</v>
      </c>
      <c r="BT22">
        <f t="shared" si="41"/>
        <v>0.84059849974187273</v>
      </c>
      <c r="BU22">
        <f t="shared" si="42"/>
        <v>0.19119699948374569</v>
      </c>
      <c r="BV22">
        <v>0.5</v>
      </c>
      <c r="BW22" t="s">
        <v>281</v>
      </c>
      <c r="BX22">
        <v>1594050705.2</v>
      </c>
      <c r="BY22">
        <v>385.46954838709701</v>
      </c>
      <c r="BZ22">
        <v>399.969032258065</v>
      </c>
      <c r="CA22">
        <v>20.3690161290323</v>
      </c>
      <c r="CB22">
        <v>16.5196161290323</v>
      </c>
      <c r="CC22">
        <v>500.05445161290299</v>
      </c>
      <c r="CD22">
        <v>99.280303225806406</v>
      </c>
      <c r="CE22">
        <v>0.20000399999999999</v>
      </c>
      <c r="CF22">
        <v>27.591935483871001</v>
      </c>
      <c r="CG22">
        <v>27.019235483871</v>
      </c>
      <c r="CH22">
        <v>999.9</v>
      </c>
      <c r="CI22">
        <v>10001.0483870968</v>
      </c>
      <c r="CJ22">
        <v>0</v>
      </c>
      <c r="CK22">
        <v>286.82096774193599</v>
      </c>
      <c r="CL22">
        <v>2000.00677419355</v>
      </c>
      <c r="CM22">
        <v>0.97999780645161305</v>
      </c>
      <c r="CN22">
        <v>2.00020516129032E-2</v>
      </c>
      <c r="CO22">
        <v>0</v>
      </c>
      <c r="CP22">
        <v>258.46880645161298</v>
      </c>
      <c r="CQ22">
        <v>5.00054</v>
      </c>
      <c r="CR22">
        <v>6662.3432258064504</v>
      </c>
      <c r="CS22">
        <v>18703.6870967742</v>
      </c>
      <c r="CT22">
        <v>48.237806451612897</v>
      </c>
      <c r="CU22">
        <v>49.602741935483898</v>
      </c>
      <c r="CV22">
        <v>48.612806451612897</v>
      </c>
      <c r="CW22">
        <v>48.612806451612897</v>
      </c>
      <c r="CX22">
        <v>49.751870967741901</v>
      </c>
      <c r="CY22">
        <v>1955.1003225806501</v>
      </c>
      <c r="CZ22">
        <v>39.9</v>
      </c>
      <c r="DA22">
        <v>0</v>
      </c>
      <c r="DB22">
        <v>139.700000047684</v>
      </c>
      <c r="DC22">
        <v>258.45015384615402</v>
      </c>
      <c r="DD22">
        <v>-0.36362394283834598</v>
      </c>
      <c r="DE22">
        <v>38.057777643055502</v>
      </c>
      <c r="DF22">
        <v>6662.7726923076898</v>
      </c>
      <c r="DG22">
        <v>15</v>
      </c>
      <c r="DH22">
        <v>1594050737.7</v>
      </c>
      <c r="DI22" t="s">
        <v>312</v>
      </c>
      <c r="DJ22">
        <v>21</v>
      </c>
      <c r="DK22">
        <v>-0.38700000000000001</v>
      </c>
      <c r="DL22">
        <v>0.104</v>
      </c>
      <c r="DM22">
        <v>400</v>
      </c>
      <c r="DN22">
        <v>17</v>
      </c>
      <c r="DO22">
        <v>0.32</v>
      </c>
      <c r="DP22">
        <v>0.03</v>
      </c>
      <c r="DQ22">
        <v>385.37881481481497</v>
      </c>
      <c r="DR22">
        <v>0.25566152086906502</v>
      </c>
      <c r="DS22">
        <v>4.7988839008776603E-2</v>
      </c>
      <c r="DT22">
        <v>1</v>
      </c>
      <c r="DU22">
        <v>20.355240740740701</v>
      </c>
      <c r="DV22">
        <v>0.13462870211549699</v>
      </c>
      <c r="DW22">
        <v>2.99316166206469E-2</v>
      </c>
      <c r="DX22">
        <v>1</v>
      </c>
      <c r="DY22">
        <v>2</v>
      </c>
      <c r="DZ22">
        <v>2</v>
      </c>
      <c r="EA22" t="s">
        <v>283</v>
      </c>
      <c r="EB22">
        <v>1.8667100000000001</v>
      </c>
      <c r="EC22">
        <v>1.86321</v>
      </c>
      <c r="ED22">
        <v>1.8688199999999999</v>
      </c>
      <c r="EE22">
        <v>1.86676</v>
      </c>
      <c r="EF22">
        <v>1.8714599999999999</v>
      </c>
      <c r="EG22">
        <v>1.8638699999999999</v>
      </c>
      <c r="EH22">
        <v>1.8653900000000001</v>
      </c>
      <c r="EI22">
        <v>1.86537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-0.38700000000000001</v>
      </c>
      <c r="EX22">
        <v>0.104</v>
      </c>
      <c r="EY22">
        <v>2</v>
      </c>
      <c r="EZ22">
        <v>321.33100000000002</v>
      </c>
      <c r="FA22">
        <v>447.28899999999999</v>
      </c>
      <c r="FB22">
        <v>21.853999999999999</v>
      </c>
      <c r="FC22">
        <v>38.456299999999999</v>
      </c>
      <c r="FD22">
        <v>29.997699999999998</v>
      </c>
      <c r="FE22">
        <v>38.483499999999999</v>
      </c>
      <c r="FF22">
        <v>38.474800000000002</v>
      </c>
      <c r="FG22">
        <v>22.106000000000002</v>
      </c>
      <c r="FH22">
        <v>55.637099999999997</v>
      </c>
      <c r="FI22">
        <v>0</v>
      </c>
      <c r="FJ22">
        <v>21.890899999999998</v>
      </c>
      <c r="FK22">
        <v>400</v>
      </c>
      <c r="FL22">
        <v>16.6265</v>
      </c>
      <c r="FM22">
        <v>99.809600000000003</v>
      </c>
      <c r="FN22">
        <v>100.229</v>
      </c>
    </row>
    <row r="23" spans="1:170" x14ac:dyDescent="0.25">
      <c r="A23">
        <v>7</v>
      </c>
      <c r="B23">
        <v>1594050829.2</v>
      </c>
      <c r="C23">
        <v>759.60000014305103</v>
      </c>
      <c r="D23" t="s">
        <v>313</v>
      </c>
      <c r="E23" t="s">
        <v>314</v>
      </c>
      <c r="G23">
        <v>1594050821.2032299</v>
      </c>
      <c r="H23">
        <f t="shared" si="0"/>
        <v>8.9424872924773642E-3</v>
      </c>
      <c r="I23">
        <f t="shared" si="1"/>
        <v>32.548557699127905</v>
      </c>
      <c r="J23">
        <f t="shared" si="2"/>
        <v>385.57416129032299</v>
      </c>
      <c r="K23">
        <f t="shared" si="3"/>
        <v>283.58756705036274</v>
      </c>
      <c r="L23">
        <f t="shared" si="4"/>
        <v>28.211732240316699</v>
      </c>
      <c r="M23">
        <f t="shared" si="5"/>
        <v>38.35751725736089</v>
      </c>
      <c r="N23">
        <f t="shared" si="6"/>
        <v>0.60470585906034546</v>
      </c>
      <c r="O23">
        <f t="shared" si="7"/>
        <v>3.3811449175780193</v>
      </c>
      <c r="P23">
        <f t="shared" si="8"/>
        <v>0.55041935746941506</v>
      </c>
      <c r="Q23">
        <f t="shared" si="9"/>
        <v>0.34848249507827811</v>
      </c>
      <c r="R23">
        <f t="shared" si="10"/>
        <v>321.43878792916388</v>
      </c>
      <c r="S23">
        <f t="shared" si="11"/>
        <v>26.953906495404155</v>
      </c>
      <c r="T23">
        <f t="shared" si="12"/>
        <v>27.038048387096801</v>
      </c>
      <c r="U23">
        <f t="shared" si="13"/>
        <v>3.5871657602721507</v>
      </c>
      <c r="V23">
        <f t="shared" si="14"/>
        <v>55.258635832923716</v>
      </c>
      <c r="W23">
        <f t="shared" si="15"/>
        <v>2.0164407437945622</v>
      </c>
      <c r="X23">
        <f t="shared" si="16"/>
        <v>3.6490961338447372</v>
      </c>
      <c r="Y23">
        <f t="shared" si="17"/>
        <v>1.5707250164775886</v>
      </c>
      <c r="Z23">
        <f t="shared" si="18"/>
        <v>-394.36368959825177</v>
      </c>
      <c r="AA23">
        <f t="shared" si="19"/>
        <v>53.198198483280663</v>
      </c>
      <c r="AB23">
        <f t="shared" si="20"/>
        <v>3.4017856023663775</v>
      </c>
      <c r="AC23">
        <f t="shared" si="21"/>
        <v>-16.32491758344085</v>
      </c>
      <c r="AD23">
        <v>-4.1155824808564202E-2</v>
      </c>
      <c r="AE23">
        <v>4.6201018795887797E-2</v>
      </c>
      <c r="AF23">
        <v>3.4533661792205002</v>
      </c>
      <c r="AG23">
        <v>165</v>
      </c>
      <c r="AH23">
        <v>33</v>
      </c>
      <c r="AI23">
        <f t="shared" si="22"/>
        <v>1</v>
      </c>
      <c r="AJ23">
        <f t="shared" si="23"/>
        <v>0</v>
      </c>
      <c r="AK23">
        <f t="shared" si="24"/>
        <v>52423.258914385558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257.71765384615401</v>
      </c>
      <c r="AT23">
        <v>358.19299999999998</v>
      </c>
      <c r="AU23">
        <f t="shared" si="27"/>
        <v>0.28050616889175939</v>
      </c>
      <c r="AV23">
        <v>0.5</v>
      </c>
      <c r="AW23">
        <f t="shared" si="28"/>
        <v>1681.1888996767273</v>
      </c>
      <c r="AX23">
        <f t="shared" si="29"/>
        <v>32.548557699127905</v>
      </c>
      <c r="AY23">
        <f t="shared" si="30"/>
        <v>235.79192871583558</v>
      </c>
      <c r="AZ23">
        <f t="shared" si="31"/>
        <v>0.49999022873143806</v>
      </c>
      <c r="BA23">
        <f t="shared" si="32"/>
        <v>1.9955257678407761E-2</v>
      </c>
      <c r="BB23">
        <f t="shared" si="33"/>
        <v>-1</v>
      </c>
      <c r="BC23" t="s">
        <v>316</v>
      </c>
      <c r="BD23">
        <v>179.1</v>
      </c>
      <c r="BE23">
        <f t="shared" si="34"/>
        <v>179.09299999999999</v>
      </c>
      <c r="BF23">
        <f t="shared" si="35"/>
        <v>0.56102330160221769</v>
      </c>
      <c r="BG23">
        <f t="shared" si="36"/>
        <v>1.9999609156895588</v>
      </c>
      <c r="BH23">
        <f t="shared" si="37"/>
        <v>0.28050616889175939</v>
      </c>
      <c r="BI23" t="e">
        <f t="shared" si="38"/>
        <v>#DIV/0!</v>
      </c>
      <c r="BJ23">
        <v>4579</v>
      </c>
      <c r="BK23">
        <v>300</v>
      </c>
      <c r="BL23">
        <v>300</v>
      </c>
      <c r="BM23">
        <v>300</v>
      </c>
      <c r="BN23">
        <v>9874.02</v>
      </c>
      <c r="BO23">
        <v>330.33600000000001</v>
      </c>
      <c r="BP23">
        <v>-6.5675200000000003E-3</v>
      </c>
      <c r="BQ23">
        <v>2.0725699999999998</v>
      </c>
      <c r="BR23">
        <f t="shared" si="39"/>
        <v>1999.99</v>
      </c>
      <c r="BS23">
        <f t="shared" si="40"/>
        <v>1681.1888996767273</v>
      </c>
      <c r="BT23">
        <f t="shared" si="41"/>
        <v>0.84059865283162782</v>
      </c>
      <c r="BU23">
        <f t="shared" si="42"/>
        <v>0.1911973056632558</v>
      </c>
      <c r="BV23">
        <v>0.5</v>
      </c>
      <c r="BW23" t="s">
        <v>281</v>
      </c>
      <c r="BX23">
        <v>1594050821.2032299</v>
      </c>
      <c r="BY23">
        <v>385.57416129032299</v>
      </c>
      <c r="BZ23">
        <v>399.97116129032298</v>
      </c>
      <c r="CA23">
        <v>20.2694935483871</v>
      </c>
      <c r="CB23">
        <v>16.765396774193501</v>
      </c>
      <c r="CC23">
        <v>500.05625806451599</v>
      </c>
      <c r="CD23">
        <v>99.281577419354804</v>
      </c>
      <c r="CE23">
        <v>0.199977903225806</v>
      </c>
      <c r="CF23">
        <v>27.329890322580599</v>
      </c>
      <c r="CG23">
        <v>27.038048387096801</v>
      </c>
      <c r="CH23">
        <v>999.9</v>
      </c>
      <c r="CI23">
        <v>9996.7461290322608</v>
      </c>
      <c r="CJ23">
        <v>0</v>
      </c>
      <c r="CK23">
        <v>306.475032258064</v>
      </c>
      <c r="CL23">
        <v>1999.99</v>
      </c>
      <c r="CM23">
        <v>0.97999309677419399</v>
      </c>
      <c r="CN23">
        <v>2.0006916129032298E-2</v>
      </c>
      <c r="CO23">
        <v>0</v>
      </c>
      <c r="CP23">
        <v>257.70993548387099</v>
      </c>
      <c r="CQ23">
        <v>5.00054</v>
      </c>
      <c r="CR23">
        <v>6669.8129032258103</v>
      </c>
      <c r="CS23">
        <v>18703.5</v>
      </c>
      <c r="CT23">
        <v>47.921064516129</v>
      </c>
      <c r="CU23">
        <v>49.308129032258002</v>
      </c>
      <c r="CV23">
        <v>48.287999999999997</v>
      </c>
      <c r="CW23">
        <v>48.366677419354801</v>
      </c>
      <c r="CX23">
        <v>49.405064516129002</v>
      </c>
      <c r="CY23">
        <v>1955.08</v>
      </c>
      <c r="CZ23">
        <v>39.909999999999997</v>
      </c>
      <c r="DA23">
        <v>0</v>
      </c>
      <c r="DB23">
        <v>115.39999985694899</v>
      </c>
      <c r="DC23">
        <v>257.71765384615401</v>
      </c>
      <c r="DD23">
        <v>0.59305983066441503</v>
      </c>
      <c r="DE23">
        <v>449.92615436610703</v>
      </c>
      <c r="DF23">
        <v>6671.3984615384597</v>
      </c>
      <c r="DG23">
        <v>15</v>
      </c>
      <c r="DH23">
        <v>1594050859.7</v>
      </c>
      <c r="DI23" t="s">
        <v>317</v>
      </c>
      <c r="DJ23">
        <v>22</v>
      </c>
      <c r="DK23">
        <v>-0.43099999999999999</v>
      </c>
      <c r="DL23">
        <v>0.108</v>
      </c>
      <c r="DM23">
        <v>400</v>
      </c>
      <c r="DN23">
        <v>17</v>
      </c>
      <c r="DO23">
        <v>0.17</v>
      </c>
      <c r="DP23">
        <v>0.03</v>
      </c>
      <c r="DQ23">
        <v>385.63762962963</v>
      </c>
      <c r="DR23">
        <v>-0.17068271746584901</v>
      </c>
      <c r="DS23">
        <v>3.2269292992457101E-2</v>
      </c>
      <c r="DT23">
        <v>1</v>
      </c>
      <c r="DU23">
        <v>20.2745574074074</v>
      </c>
      <c r="DV23">
        <v>-0.100524241387211</v>
      </c>
      <c r="DW23">
        <v>1.7111384577740901E-2</v>
      </c>
      <c r="DX23">
        <v>1</v>
      </c>
      <c r="DY23">
        <v>2</v>
      </c>
      <c r="DZ23">
        <v>2</v>
      </c>
      <c r="EA23" t="s">
        <v>283</v>
      </c>
      <c r="EB23">
        <v>1.86663</v>
      </c>
      <c r="EC23">
        <v>1.8632200000000001</v>
      </c>
      <c r="ED23">
        <v>1.86876</v>
      </c>
      <c r="EE23">
        <v>1.86676</v>
      </c>
      <c r="EF23">
        <v>1.87144</v>
      </c>
      <c r="EG23">
        <v>1.8638600000000001</v>
      </c>
      <c r="EH23">
        <v>1.8653500000000001</v>
      </c>
      <c r="EI23">
        <v>1.8653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-0.43099999999999999</v>
      </c>
      <c r="EX23">
        <v>0.108</v>
      </c>
      <c r="EY23">
        <v>2</v>
      </c>
      <c r="EZ23">
        <v>320.96100000000001</v>
      </c>
      <c r="FA23">
        <v>448.35599999999999</v>
      </c>
      <c r="FB23">
        <v>21.248999999999999</v>
      </c>
      <c r="FC23">
        <v>38.205300000000001</v>
      </c>
      <c r="FD23">
        <v>29.999500000000001</v>
      </c>
      <c r="FE23">
        <v>38.268000000000001</v>
      </c>
      <c r="FF23">
        <v>38.268000000000001</v>
      </c>
      <c r="FG23">
        <v>22.105799999999999</v>
      </c>
      <c r="FH23">
        <v>55.2866</v>
      </c>
      <c r="FI23">
        <v>0</v>
      </c>
      <c r="FJ23">
        <v>21.232399999999998</v>
      </c>
      <c r="FK23">
        <v>400</v>
      </c>
      <c r="FL23">
        <v>16.705400000000001</v>
      </c>
      <c r="FM23">
        <v>99.856999999999999</v>
      </c>
      <c r="FN23">
        <v>100.28400000000001</v>
      </c>
    </row>
    <row r="24" spans="1:170" x14ac:dyDescent="0.25">
      <c r="A24">
        <v>8</v>
      </c>
      <c r="B24">
        <v>1594050958.7</v>
      </c>
      <c r="C24">
        <v>889.10000014305103</v>
      </c>
      <c r="D24" t="s">
        <v>318</v>
      </c>
      <c r="E24" t="s">
        <v>319</v>
      </c>
      <c r="G24">
        <v>1594050950.7</v>
      </c>
      <c r="H24">
        <f t="shared" si="0"/>
        <v>7.5148894708119791E-3</v>
      </c>
      <c r="I24">
        <f t="shared" si="1"/>
        <v>37.702932374694271</v>
      </c>
      <c r="J24">
        <f t="shared" si="2"/>
        <v>483.46406451612899</v>
      </c>
      <c r="K24">
        <f t="shared" si="3"/>
        <v>339.00370595362847</v>
      </c>
      <c r="L24">
        <f t="shared" si="4"/>
        <v>33.725216139914941</v>
      </c>
      <c r="M24">
        <f t="shared" si="5"/>
        <v>48.096613061565009</v>
      </c>
      <c r="N24">
        <f t="shared" si="6"/>
        <v>0.48228960331899501</v>
      </c>
      <c r="O24">
        <f t="shared" si="7"/>
        <v>3.383856353594247</v>
      </c>
      <c r="P24">
        <f t="shared" si="8"/>
        <v>0.44709858205450981</v>
      </c>
      <c r="Q24">
        <f t="shared" si="9"/>
        <v>0.28238410851817058</v>
      </c>
      <c r="R24">
        <f t="shared" si="10"/>
        <v>321.43885753274759</v>
      </c>
      <c r="S24">
        <f t="shared" si="11"/>
        <v>26.912168176759678</v>
      </c>
      <c r="T24">
        <f t="shared" si="12"/>
        <v>27.0481129032258</v>
      </c>
      <c r="U24">
        <f t="shared" si="13"/>
        <v>3.5892861287803437</v>
      </c>
      <c r="V24">
        <f t="shared" si="14"/>
        <v>54.986029661545274</v>
      </c>
      <c r="W24">
        <f t="shared" si="15"/>
        <v>1.9638265251724716</v>
      </c>
      <c r="X24">
        <f t="shared" si="16"/>
        <v>3.5715008653295843</v>
      </c>
      <c r="Y24">
        <f t="shared" si="17"/>
        <v>1.6254596036078721</v>
      </c>
      <c r="Z24">
        <f t="shared" si="18"/>
        <v>-331.40662566280827</v>
      </c>
      <c r="AA24">
        <f t="shared" si="19"/>
        <v>-15.430086319779051</v>
      </c>
      <c r="AB24">
        <f t="shared" si="20"/>
        <v>-0.98413959320013888</v>
      </c>
      <c r="AC24">
        <f t="shared" si="21"/>
        <v>-26.381994043039882</v>
      </c>
      <c r="AD24">
        <v>-4.1197759450156503E-2</v>
      </c>
      <c r="AE24">
        <v>4.6248094104751503E-2</v>
      </c>
      <c r="AF24">
        <v>3.4561512031853701</v>
      </c>
      <c r="AG24">
        <v>165</v>
      </c>
      <c r="AH24">
        <v>33</v>
      </c>
      <c r="AI24">
        <f t="shared" si="22"/>
        <v>1</v>
      </c>
      <c r="AJ24">
        <f t="shared" si="23"/>
        <v>0</v>
      </c>
      <c r="AK24">
        <f t="shared" si="24"/>
        <v>52538.615376665854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261.86807692307701</v>
      </c>
      <c r="AT24">
        <v>370.69400000000002</v>
      </c>
      <c r="AU24">
        <f t="shared" si="27"/>
        <v>0.29357346781151838</v>
      </c>
      <c r="AV24">
        <v>0.5</v>
      </c>
      <c r="AW24">
        <f t="shared" si="28"/>
        <v>1681.18918032189</v>
      </c>
      <c r="AX24">
        <f t="shared" si="29"/>
        <v>37.702932374694271</v>
      </c>
      <c r="AY24">
        <f t="shared" si="30"/>
        <v>246.77626885715068</v>
      </c>
      <c r="AZ24">
        <f t="shared" si="31"/>
        <v>0.50973039757859584</v>
      </c>
      <c r="BA24">
        <f t="shared" si="32"/>
        <v>2.3021164320890995E-2</v>
      </c>
      <c r="BB24">
        <f t="shared" si="33"/>
        <v>-1</v>
      </c>
      <c r="BC24" t="s">
        <v>321</v>
      </c>
      <c r="BD24">
        <v>181.74</v>
      </c>
      <c r="BE24">
        <f t="shared" si="34"/>
        <v>188.95400000000001</v>
      </c>
      <c r="BF24">
        <f t="shared" si="35"/>
        <v>0.57593871035766908</v>
      </c>
      <c r="BG24">
        <f t="shared" si="36"/>
        <v>2.0396940684494331</v>
      </c>
      <c r="BH24">
        <f t="shared" si="37"/>
        <v>0.29357346781151838</v>
      </c>
      <c r="BI24" t="e">
        <f t="shared" si="38"/>
        <v>#DIV/0!</v>
      </c>
      <c r="BJ24">
        <v>4581</v>
      </c>
      <c r="BK24">
        <v>300</v>
      </c>
      <c r="BL24">
        <v>300</v>
      </c>
      <c r="BM24">
        <v>300</v>
      </c>
      <c r="BN24">
        <v>9874.1200000000008</v>
      </c>
      <c r="BO24">
        <v>342.27800000000002</v>
      </c>
      <c r="BP24">
        <v>-6.5676800000000002E-3</v>
      </c>
      <c r="BQ24">
        <v>1.6683699999999999</v>
      </c>
      <c r="BR24">
        <f t="shared" si="39"/>
        <v>1999.9903225806499</v>
      </c>
      <c r="BS24">
        <f t="shared" si="40"/>
        <v>1681.18918032189</v>
      </c>
      <c r="BT24">
        <f t="shared" si="41"/>
        <v>0.84059865757380225</v>
      </c>
      <c r="BU24">
        <f t="shared" si="42"/>
        <v>0.19119731514760466</v>
      </c>
      <c r="BV24">
        <v>0.5</v>
      </c>
      <c r="BW24" t="s">
        <v>281</v>
      </c>
      <c r="BX24">
        <v>1594050950.7</v>
      </c>
      <c r="BY24">
        <v>483.46406451612899</v>
      </c>
      <c r="BZ24">
        <v>499.99670967741901</v>
      </c>
      <c r="CA24">
        <v>19.740258064516102</v>
      </c>
      <c r="CB24">
        <v>16.793961290322599</v>
      </c>
      <c r="CC24">
        <v>500.05441935483901</v>
      </c>
      <c r="CD24">
        <v>99.283351612903203</v>
      </c>
      <c r="CE24">
        <v>0.19997422580645199</v>
      </c>
      <c r="CF24">
        <v>26.9635322580645</v>
      </c>
      <c r="CG24">
        <v>27.0481129032258</v>
      </c>
      <c r="CH24">
        <v>999.9</v>
      </c>
      <c r="CI24">
        <v>10006.7532258065</v>
      </c>
      <c r="CJ24">
        <v>0</v>
      </c>
      <c r="CK24">
        <v>273.78470967741902</v>
      </c>
      <c r="CL24">
        <v>1999.9903225806499</v>
      </c>
      <c r="CM24">
        <v>0.97999367741935495</v>
      </c>
      <c r="CN24">
        <v>2.0006412903225801E-2</v>
      </c>
      <c r="CO24">
        <v>0</v>
      </c>
      <c r="CP24">
        <v>261.87651612903198</v>
      </c>
      <c r="CQ24">
        <v>5.00054</v>
      </c>
      <c r="CR24">
        <v>6807.6658064516096</v>
      </c>
      <c r="CS24">
        <v>18703.516129032301</v>
      </c>
      <c r="CT24">
        <v>47.920999999999999</v>
      </c>
      <c r="CU24">
        <v>49.292000000000002</v>
      </c>
      <c r="CV24">
        <v>48.203258064516099</v>
      </c>
      <c r="CW24">
        <v>48.499806451612898</v>
      </c>
      <c r="CX24">
        <v>49.375</v>
      </c>
      <c r="CY24">
        <v>1955.08</v>
      </c>
      <c r="CZ24">
        <v>39.9103225806452</v>
      </c>
      <c r="DA24">
        <v>0</v>
      </c>
      <c r="DB24">
        <v>128.700000047684</v>
      </c>
      <c r="DC24">
        <v>261.86807692307701</v>
      </c>
      <c r="DD24">
        <v>-1.02550426810969</v>
      </c>
      <c r="DE24">
        <v>-265.68717986313197</v>
      </c>
      <c r="DF24">
        <v>6805.7126923076903</v>
      </c>
      <c r="DG24">
        <v>15</v>
      </c>
      <c r="DH24">
        <v>1594050985.2</v>
      </c>
      <c r="DI24" t="s">
        <v>322</v>
      </c>
      <c r="DJ24">
        <v>23</v>
      </c>
      <c r="DK24">
        <v>-0.439</v>
      </c>
      <c r="DL24">
        <v>0.111</v>
      </c>
      <c r="DM24">
        <v>500</v>
      </c>
      <c r="DN24">
        <v>17</v>
      </c>
      <c r="DO24">
        <v>0.22</v>
      </c>
      <c r="DP24">
        <v>0.03</v>
      </c>
      <c r="DQ24">
        <v>483.43587037037003</v>
      </c>
      <c r="DR24">
        <v>0.278813213768971</v>
      </c>
      <c r="DS24">
        <v>4.68176313322895E-2</v>
      </c>
      <c r="DT24">
        <v>1</v>
      </c>
      <c r="DU24">
        <v>19.7541388888889</v>
      </c>
      <c r="DV24">
        <v>-0.158776887884677</v>
      </c>
      <c r="DW24">
        <v>2.0684673308431802E-2</v>
      </c>
      <c r="DX24">
        <v>1</v>
      </c>
      <c r="DY24">
        <v>2</v>
      </c>
      <c r="DZ24">
        <v>2</v>
      </c>
      <c r="EA24" t="s">
        <v>283</v>
      </c>
      <c r="EB24">
        <v>1.8666100000000001</v>
      </c>
      <c r="EC24">
        <v>1.86311</v>
      </c>
      <c r="ED24">
        <v>1.8687499999999999</v>
      </c>
      <c r="EE24">
        <v>1.86676</v>
      </c>
      <c r="EF24">
        <v>1.8714200000000001</v>
      </c>
      <c r="EG24">
        <v>1.8638600000000001</v>
      </c>
      <c r="EH24">
        <v>1.8653500000000001</v>
      </c>
      <c r="EI24">
        <v>1.8652299999999999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-0.439</v>
      </c>
      <c r="EX24">
        <v>0.111</v>
      </c>
      <c r="EY24">
        <v>2</v>
      </c>
      <c r="EZ24">
        <v>321.04500000000002</v>
      </c>
      <c r="FA24">
        <v>447.79500000000002</v>
      </c>
      <c r="FB24">
        <v>21.035399999999999</v>
      </c>
      <c r="FC24">
        <v>38.122700000000002</v>
      </c>
      <c r="FD24">
        <v>30.000299999999999</v>
      </c>
      <c r="FE24">
        <v>38.127400000000002</v>
      </c>
      <c r="FF24">
        <v>38.125999999999998</v>
      </c>
      <c r="FG24">
        <v>26.427800000000001</v>
      </c>
      <c r="FH24">
        <v>55.123800000000003</v>
      </c>
      <c r="FI24">
        <v>0</v>
      </c>
      <c r="FJ24">
        <v>20.226199999999999</v>
      </c>
      <c r="FK24">
        <v>500</v>
      </c>
      <c r="FL24">
        <v>16.916499999999999</v>
      </c>
      <c r="FM24">
        <v>99.878600000000006</v>
      </c>
      <c r="FN24">
        <v>100.307</v>
      </c>
    </row>
    <row r="25" spans="1:170" x14ac:dyDescent="0.25">
      <c r="A25">
        <v>9</v>
      </c>
      <c r="B25">
        <v>1594051106.7</v>
      </c>
      <c r="C25">
        <v>1037.10000014305</v>
      </c>
      <c r="D25" t="s">
        <v>323</v>
      </c>
      <c r="E25" t="s">
        <v>324</v>
      </c>
      <c r="G25">
        <v>1594051098.7</v>
      </c>
      <c r="H25">
        <f t="shared" si="0"/>
        <v>5.9005761881808609E-3</v>
      </c>
      <c r="I25">
        <f t="shared" si="1"/>
        <v>39.49031936420473</v>
      </c>
      <c r="J25">
        <f t="shared" si="2"/>
        <v>582.76825806451598</v>
      </c>
      <c r="K25">
        <f t="shared" si="3"/>
        <v>388.04534355054659</v>
      </c>
      <c r="L25">
        <f t="shared" si="4"/>
        <v>38.605763673114012</v>
      </c>
      <c r="M25">
        <f t="shared" si="5"/>
        <v>57.978311094204436</v>
      </c>
      <c r="N25">
        <f t="shared" si="6"/>
        <v>0.36585997583761964</v>
      </c>
      <c r="O25">
        <f t="shared" si="7"/>
        <v>3.3813998423720375</v>
      </c>
      <c r="P25">
        <f t="shared" si="8"/>
        <v>0.34520495250216199</v>
      </c>
      <c r="Q25">
        <f t="shared" si="9"/>
        <v>0.21751163328850132</v>
      </c>
      <c r="R25">
        <f t="shared" si="10"/>
        <v>321.44017194764757</v>
      </c>
      <c r="S25">
        <f t="shared" si="11"/>
        <v>26.906665298905157</v>
      </c>
      <c r="T25">
        <f t="shared" si="12"/>
        <v>26.977541935483899</v>
      </c>
      <c r="U25">
        <f t="shared" si="13"/>
        <v>3.574441434710613</v>
      </c>
      <c r="V25">
        <f t="shared" si="14"/>
        <v>54.975260287967423</v>
      </c>
      <c r="W25">
        <f t="shared" si="15"/>
        <v>1.9208661066725707</v>
      </c>
      <c r="X25">
        <f t="shared" si="16"/>
        <v>3.4940555017126416</v>
      </c>
      <c r="Y25">
        <f t="shared" si="17"/>
        <v>1.6535753280380423</v>
      </c>
      <c r="Z25">
        <f t="shared" si="18"/>
        <v>-260.21540989877599</v>
      </c>
      <c r="AA25">
        <f t="shared" si="19"/>
        <v>-70.486414730191001</v>
      </c>
      <c r="AB25">
        <f t="shared" si="20"/>
        <v>-4.4889685605036167</v>
      </c>
      <c r="AC25">
        <f t="shared" si="21"/>
        <v>-13.75062124182304</v>
      </c>
      <c r="AD25">
        <v>-4.1159766793045699E-2</v>
      </c>
      <c r="AE25">
        <v>4.6205444018805102E-2</v>
      </c>
      <c r="AF25">
        <v>3.45362802150661</v>
      </c>
      <c r="AG25">
        <v>162</v>
      </c>
      <c r="AH25">
        <v>32</v>
      </c>
      <c r="AI25">
        <f t="shared" si="22"/>
        <v>1</v>
      </c>
      <c r="AJ25">
        <f t="shared" si="23"/>
        <v>0</v>
      </c>
      <c r="AK25">
        <f t="shared" si="24"/>
        <v>52557.533204942425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325</v>
      </c>
      <c r="AS25">
        <v>262.22649999999999</v>
      </c>
      <c r="AT25">
        <v>375.33100000000002</v>
      </c>
      <c r="AU25">
        <f t="shared" si="27"/>
        <v>0.30134601192014521</v>
      </c>
      <c r="AV25">
        <v>0.5</v>
      </c>
      <c r="AW25">
        <f t="shared" si="28"/>
        <v>1681.2013254833403</v>
      </c>
      <c r="AX25">
        <f t="shared" si="29"/>
        <v>39.49031936420473</v>
      </c>
      <c r="AY25">
        <f t="shared" si="30"/>
        <v>253.31165733463328</v>
      </c>
      <c r="AZ25">
        <f t="shared" si="31"/>
        <v>0.51584068462237331</v>
      </c>
      <c r="BA25">
        <f t="shared" si="32"/>
        <v>2.4084158601626063E-2</v>
      </c>
      <c r="BB25">
        <f t="shared" si="33"/>
        <v>-1</v>
      </c>
      <c r="BC25" t="s">
        <v>326</v>
      </c>
      <c r="BD25">
        <v>181.72</v>
      </c>
      <c r="BE25">
        <f t="shared" si="34"/>
        <v>193.61100000000002</v>
      </c>
      <c r="BF25">
        <f t="shared" si="35"/>
        <v>0.58418426638982301</v>
      </c>
      <c r="BG25">
        <f t="shared" si="36"/>
        <v>2.0654358353510895</v>
      </c>
      <c r="BH25">
        <f t="shared" si="37"/>
        <v>0.30134601192014521</v>
      </c>
      <c r="BI25" t="e">
        <f t="shared" si="38"/>
        <v>#DIV/0!</v>
      </c>
      <c r="BJ25">
        <v>4583</v>
      </c>
      <c r="BK25">
        <v>300</v>
      </c>
      <c r="BL25">
        <v>300</v>
      </c>
      <c r="BM25">
        <v>300</v>
      </c>
      <c r="BN25">
        <v>9875.36</v>
      </c>
      <c r="BO25">
        <v>344.40600000000001</v>
      </c>
      <c r="BP25">
        <v>-6.56859E-3</v>
      </c>
      <c r="BQ25">
        <v>2.8368199999999999</v>
      </c>
      <c r="BR25">
        <f t="shared" si="39"/>
        <v>2000.00548387097</v>
      </c>
      <c r="BS25">
        <f t="shared" si="40"/>
        <v>1681.2013254833403</v>
      </c>
      <c r="BT25">
        <f t="shared" si="41"/>
        <v>0.84059835787520409</v>
      </c>
      <c r="BU25">
        <f t="shared" si="42"/>
        <v>0.19119671575040811</v>
      </c>
      <c r="BV25">
        <v>0.5</v>
      </c>
      <c r="BW25" t="s">
        <v>281</v>
      </c>
      <c r="BX25">
        <v>1594051098.7</v>
      </c>
      <c r="BY25">
        <v>582.76825806451598</v>
      </c>
      <c r="BZ25">
        <v>599.93825806451605</v>
      </c>
      <c r="CA25">
        <v>19.307561290322599</v>
      </c>
      <c r="CB25">
        <v>16.993116129032298</v>
      </c>
      <c r="CC25">
        <v>500.04645161290301</v>
      </c>
      <c r="CD25">
        <v>99.287745161290303</v>
      </c>
      <c r="CE25">
        <v>0.20001912903225799</v>
      </c>
      <c r="CF25">
        <v>26.5908870967742</v>
      </c>
      <c r="CG25">
        <v>26.977541935483899</v>
      </c>
      <c r="CH25">
        <v>999.9</v>
      </c>
      <c r="CI25">
        <v>9997.0825806451594</v>
      </c>
      <c r="CJ25">
        <v>0</v>
      </c>
      <c r="CK25">
        <v>275.79441935483902</v>
      </c>
      <c r="CL25">
        <v>2000.00548387097</v>
      </c>
      <c r="CM25">
        <v>0.98000438709677395</v>
      </c>
      <c r="CN25">
        <v>1.9995364516128999E-2</v>
      </c>
      <c r="CO25">
        <v>0</v>
      </c>
      <c r="CP25">
        <v>262.25625806451598</v>
      </c>
      <c r="CQ25">
        <v>5.00054</v>
      </c>
      <c r="CR25">
        <v>6775.4245161290301</v>
      </c>
      <c r="CS25">
        <v>18703.712903225802</v>
      </c>
      <c r="CT25">
        <v>47.626838709677401</v>
      </c>
      <c r="CU25">
        <v>48.9695161290323</v>
      </c>
      <c r="CV25">
        <v>47.965451612903202</v>
      </c>
      <c r="CW25">
        <v>48.195387096774198</v>
      </c>
      <c r="CX25">
        <v>49.132935483871002</v>
      </c>
      <c r="CY25">
        <v>1955.11483870968</v>
      </c>
      <c r="CZ25">
        <v>39.890645161290301</v>
      </c>
      <c r="DA25">
        <v>0</v>
      </c>
      <c r="DB25">
        <v>147.299999952316</v>
      </c>
      <c r="DC25">
        <v>262.22649999999999</v>
      </c>
      <c r="DD25">
        <v>-3.5831452841012101</v>
      </c>
      <c r="DE25">
        <v>5.0266665403560502</v>
      </c>
      <c r="DF25">
        <v>6775.7273076923102</v>
      </c>
      <c r="DG25">
        <v>15</v>
      </c>
      <c r="DH25">
        <v>1594051129.7</v>
      </c>
      <c r="DI25" t="s">
        <v>327</v>
      </c>
      <c r="DJ25">
        <v>24</v>
      </c>
      <c r="DK25">
        <v>-0.32400000000000001</v>
      </c>
      <c r="DL25">
        <v>0.109</v>
      </c>
      <c r="DM25">
        <v>600</v>
      </c>
      <c r="DN25">
        <v>17</v>
      </c>
      <c r="DO25">
        <v>0.24</v>
      </c>
      <c r="DP25">
        <v>0.04</v>
      </c>
      <c r="DQ25">
        <v>582.58831481481502</v>
      </c>
      <c r="DR25">
        <v>0.67816123499167902</v>
      </c>
      <c r="DS25">
        <v>9.5416207970565298E-2</v>
      </c>
      <c r="DT25">
        <v>0</v>
      </c>
      <c r="DU25">
        <v>19.301337037037001</v>
      </c>
      <c r="DV25">
        <v>9.5935963407671798E-2</v>
      </c>
      <c r="DW25">
        <v>2.9867945758177701E-2</v>
      </c>
      <c r="DX25">
        <v>1</v>
      </c>
      <c r="DY25">
        <v>1</v>
      </c>
      <c r="DZ25">
        <v>2</v>
      </c>
      <c r="EA25" t="s">
        <v>328</v>
      </c>
      <c r="EB25">
        <v>1.8667400000000001</v>
      </c>
      <c r="EC25">
        <v>1.86324</v>
      </c>
      <c r="ED25">
        <v>1.8688199999999999</v>
      </c>
      <c r="EE25">
        <v>1.86676</v>
      </c>
      <c r="EF25">
        <v>1.8714900000000001</v>
      </c>
      <c r="EG25">
        <v>1.8638699999999999</v>
      </c>
      <c r="EH25">
        <v>1.8653900000000001</v>
      </c>
      <c r="EI25">
        <v>1.8652899999999999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-0.32400000000000001</v>
      </c>
      <c r="EX25">
        <v>0.109</v>
      </c>
      <c r="EY25">
        <v>2</v>
      </c>
      <c r="EZ25">
        <v>323.37299999999999</v>
      </c>
      <c r="FA25">
        <v>445.73899999999998</v>
      </c>
      <c r="FB25">
        <v>21.126799999999999</v>
      </c>
      <c r="FC25">
        <v>38.068399999999997</v>
      </c>
      <c r="FD25">
        <v>29.9984</v>
      </c>
      <c r="FE25">
        <v>38.025599999999997</v>
      </c>
      <c r="FF25">
        <v>38.013100000000001</v>
      </c>
      <c r="FG25">
        <v>30.632100000000001</v>
      </c>
      <c r="FH25">
        <v>54.452800000000003</v>
      </c>
      <c r="FI25">
        <v>0</v>
      </c>
      <c r="FJ25">
        <v>21.1402</v>
      </c>
      <c r="FK25">
        <v>600</v>
      </c>
      <c r="FL25">
        <v>17.025099999999998</v>
      </c>
      <c r="FM25">
        <v>99.892899999999997</v>
      </c>
      <c r="FN25">
        <v>100.33</v>
      </c>
    </row>
    <row r="26" spans="1:170" x14ac:dyDescent="0.25">
      <c r="A26">
        <v>10</v>
      </c>
      <c r="B26">
        <v>1594051251.2</v>
      </c>
      <c r="C26">
        <v>1181.60000014305</v>
      </c>
      <c r="D26" t="s">
        <v>329</v>
      </c>
      <c r="E26" t="s">
        <v>330</v>
      </c>
      <c r="G26">
        <v>1594051243.2032299</v>
      </c>
      <c r="H26">
        <f t="shared" si="0"/>
        <v>5.0074833702197074E-3</v>
      </c>
      <c r="I26">
        <f t="shared" si="1"/>
        <v>41.982421566990261</v>
      </c>
      <c r="J26">
        <f t="shared" si="2"/>
        <v>681.87990322580697</v>
      </c>
      <c r="K26">
        <f t="shared" si="3"/>
        <v>433.69266857298931</v>
      </c>
      <c r="L26">
        <f t="shared" si="4"/>
        <v>43.148217943123363</v>
      </c>
      <c r="M26">
        <f t="shared" si="5"/>
        <v>67.840442800732646</v>
      </c>
      <c r="N26">
        <f t="shared" si="6"/>
        <v>0.30082811280825966</v>
      </c>
      <c r="O26">
        <f t="shared" si="7"/>
        <v>3.3826214692467964</v>
      </c>
      <c r="P26">
        <f t="shared" si="8"/>
        <v>0.2867160639648329</v>
      </c>
      <c r="Q26">
        <f t="shared" si="9"/>
        <v>0.18041027444623964</v>
      </c>
      <c r="R26">
        <f t="shared" si="10"/>
        <v>321.4405475769052</v>
      </c>
      <c r="S26">
        <f t="shared" si="11"/>
        <v>27.157323454315211</v>
      </c>
      <c r="T26">
        <f t="shared" si="12"/>
        <v>27.1903516129032</v>
      </c>
      <c r="U26">
        <f t="shared" si="13"/>
        <v>3.6193698484176884</v>
      </c>
      <c r="V26">
        <f t="shared" si="14"/>
        <v>55.088452679594923</v>
      </c>
      <c r="W26">
        <f t="shared" si="15"/>
        <v>1.9302378167207435</v>
      </c>
      <c r="X26">
        <f t="shared" si="16"/>
        <v>3.5038882430540919</v>
      </c>
      <c r="Y26">
        <f t="shared" si="17"/>
        <v>1.6891320316969449</v>
      </c>
      <c r="Z26">
        <f t="shared" si="18"/>
        <v>-220.83001662668909</v>
      </c>
      <c r="AA26">
        <f t="shared" si="19"/>
        <v>-100.6201579685731</v>
      </c>
      <c r="AB26">
        <f t="shared" si="20"/>
        <v>-6.4140958629192868</v>
      </c>
      <c r="AC26">
        <f t="shared" si="21"/>
        <v>-6.4237228812762623</v>
      </c>
      <c r="AD26">
        <v>-4.1178659053625201E-2</v>
      </c>
      <c r="AE26">
        <v>4.6226652236358502E-2</v>
      </c>
      <c r="AF26">
        <v>3.4548828009885799</v>
      </c>
      <c r="AG26">
        <v>164</v>
      </c>
      <c r="AH26">
        <v>33</v>
      </c>
      <c r="AI26">
        <f t="shared" si="22"/>
        <v>1</v>
      </c>
      <c r="AJ26">
        <f t="shared" si="23"/>
        <v>0</v>
      </c>
      <c r="AK26">
        <f t="shared" si="24"/>
        <v>52572.354392020192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261.940576923077</v>
      </c>
      <c r="AT26">
        <v>378.60199999999998</v>
      </c>
      <c r="AU26">
        <f t="shared" si="27"/>
        <v>0.30813736609136499</v>
      </c>
      <c r="AV26">
        <v>0.5</v>
      </c>
      <c r="AW26">
        <f t="shared" si="28"/>
        <v>1681.2034738704415</v>
      </c>
      <c r="AX26">
        <f t="shared" si="29"/>
        <v>41.982421566990261</v>
      </c>
      <c r="AY26">
        <f t="shared" si="30"/>
        <v>259.02080515104541</v>
      </c>
      <c r="AZ26">
        <f t="shared" si="31"/>
        <v>0.52229518069106862</v>
      </c>
      <c r="BA26">
        <f t="shared" si="32"/>
        <v>2.5566460119212563E-2</v>
      </c>
      <c r="BB26">
        <f t="shared" si="33"/>
        <v>-1</v>
      </c>
      <c r="BC26" t="s">
        <v>332</v>
      </c>
      <c r="BD26">
        <v>180.86</v>
      </c>
      <c r="BE26">
        <f t="shared" si="34"/>
        <v>197.74199999999996</v>
      </c>
      <c r="BF26">
        <f t="shared" si="35"/>
        <v>0.58996785243864736</v>
      </c>
      <c r="BG26">
        <f t="shared" si="36"/>
        <v>2.0933429171735041</v>
      </c>
      <c r="BH26">
        <f t="shared" si="37"/>
        <v>0.30813736609136499</v>
      </c>
      <c r="BI26" t="e">
        <f t="shared" si="38"/>
        <v>#DIV/0!</v>
      </c>
      <c r="BJ26">
        <v>4585</v>
      </c>
      <c r="BK26">
        <v>300</v>
      </c>
      <c r="BL26">
        <v>300</v>
      </c>
      <c r="BM26">
        <v>300</v>
      </c>
      <c r="BN26">
        <v>9876.1</v>
      </c>
      <c r="BO26">
        <v>347.18099999999998</v>
      </c>
      <c r="BP26">
        <v>-6.5691999999999999E-3</v>
      </c>
      <c r="BQ26">
        <v>2.9748800000000002</v>
      </c>
      <c r="BR26">
        <f t="shared" si="39"/>
        <v>2000.0080645161299</v>
      </c>
      <c r="BS26">
        <f t="shared" si="40"/>
        <v>1681.2034738704415</v>
      </c>
      <c r="BT26">
        <f t="shared" si="41"/>
        <v>0.8405983474257549</v>
      </c>
      <c r="BU26">
        <f t="shared" si="42"/>
        <v>0.19119669485150992</v>
      </c>
      <c r="BV26">
        <v>0.5</v>
      </c>
      <c r="BW26" t="s">
        <v>281</v>
      </c>
      <c r="BX26">
        <v>1594051243.2032299</v>
      </c>
      <c r="BY26">
        <v>681.87990322580697</v>
      </c>
      <c r="BZ26">
        <v>700.03658064516105</v>
      </c>
      <c r="CA26">
        <v>19.401264516129</v>
      </c>
      <c r="CB26">
        <v>17.437358064516101</v>
      </c>
      <c r="CC26">
        <v>500.05761290322602</v>
      </c>
      <c r="CD26">
        <v>99.290300000000002</v>
      </c>
      <c r="CE26">
        <v>0.20000977419354801</v>
      </c>
      <c r="CF26">
        <v>26.638596774193498</v>
      </c>
      <c r="CG26">
        <v>27.1903516129032</v>
      </c>
      <c r="CH26">
        <v>999.9</v>
      </c>
      <c r="CI26">
        <v>10001.413870967701</v>
      </c>
      <c r="CJ26">
        <v>0</v>
      </c>
      <c r="CK26">
        <v>267.62164516129002</v>
      </c>
      <c r="CL26">
        <v>2000.0080645161299</v>
      </c>
      <c r="CM26">
        <v>0.98000374193548401</v>
      </c>
      <c r="CN26">
        <v>1.9996035483871001E-2</v>
      </c>
      <c r="CO26">
        <v>0</v>
      </c>
      <c r="CP26">
        <v>261.94106451612902</v>
      </c>
      <c r="CQ26">
        <v>5.00054</v>
      </c>
      <c r="CR26">
        <v>6766.2351612903203</v>
      </c>
      <c r="CS26">
        <v>18703.745161290299</v>
      </c>
      <c r="CT26">
        <v>47.483612903225797</v>
      </c>
      <c r="CU26">
        <v>48.812129032257999</v>
      </c>
      <c r="CV26">
        <v>47.8</v>
      </c>
      <c r="CW26">
        <v>48.070322580645097</v>
      </c>
      <c r="CX26">
        <v>48.971548387096803</v>
      </c>
      <c r="CY26">
        <v>1955.1180645161301</v>
      </c>
      <c r="CZ26">
        <v>39.89</v>
      </c>
      <c r="DA26">
        <v>0</v>
      </c>
      <c r="DB26">
        <v>143.89999985694899</v>
      </c>
      <c r="DC26">
        <v>261.940576923077</v>
      </c>
      <c r="DD26">
        <v>-0.90724785700872501</v>
      </c>
      <c r="DE26">
        <v>-36.1422222600346</v>
      </c>
      <c r="DF26">
        <v>6766.2953846153796</v>
      </c>
      <c r="DG26">
        <v>15</v>
      </c>
      <c r="DH26">
        <v>1594051275.2</v>
      </c>
      <c r="DI26" t="s">
        <v>333</v>
      </c>
      <c r="DJ26">
        <v>25</v>
      </c>
      <c r="DK26">
        <v>-0.36699999999999999</v>
      </c>
      <c r="DL26">
        <v>0.11799999999999999</v>
      </c>
      <c r="DM26">
        <v>700</v>
      </c>
      <c r="DN26">
        <v>17</v>
      </c>
      <c r="DO26">
        <v>0.13</v>
      </c>
      <c r="DP26">
        <v>0.03</v>
      </c>
      <c r="DQ26">
        <v>681.89503703703701</v>
      </c>
      <c r="DR26">
        <v>0.234854895688657</v>
      </c>
      <c r="DS26">
        <v>3.4470042260530499E-2</v>
      </c>
      <c r="DT26">
        <v>1</v>
      </c>
      <c r="DU26">
        <v>19.366394444444399</v>
      </c>
      <c r="DV26">
        <v>0.22867584597817001</v>
      </c>
      <c r="DW26">
        <v>3.1339647216494203E-2</v>
      </c>
      <c r="DX26">
        <v>0</v>
      </c>
      <c r="DY26">
        <v>1</v>
      </c>
      <c r="DZ26">
        <v>2</v>
      </c>
      <c r="EA26" t="s">
        <v>328</v>
      </c>
      <c r="EB26">
        <v>1.8666199999999999</v>
      </c>
      <c r="EC26">
        <v>1.86313</v>
      </c>
      <c r="ED26">
        <v>1.8687499999999999</v>
      </c>
      <c r="EE26">
        <v>1.86676</v>
      </c>
      <c r="EF26">
        <v>1.8714</v>
      </c>
      <c r="EG26">
        <v>1.8638600000000001</v>
      </c>
      <c r="EH26">
        <v>1.8653599999999999</v>
      </c>
      <c r="EI26">
        <v>1.8652599999999999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-0.36699999999999999</v>
      </c>
      <c r="EX26">
        <v>0.11799999999999999</v>
      </c>
      <c r="EY26">
        <v>2</v>
      </c>
      <c r="EZ26">
        <v>321.76600000000002</v>
      </c>
      <c r="FA26">
        <v>447.90899999999999</v>
      </c>
      <c r="FB26">
        <v>20.649799999999999</v>
      </c>
      <c r="FC26">
        <v>37.940300000000001</v>
      </c>
      <c r="FD26">
        <v>29.9998</v>
      </c>
      <c r="FE26">
        <v>37.903799999999997</v>
      </c>
      <c r="FF26">
        <v>37.893900000000002</v>
      </c>
      <c r="FG26">
        <v>34.709400000000002</v>
      </c>
      <c r="FH26">
        <v>52.515500000000003</v>
      </c>
      <c r="FI26">
        <v>0</v>
      </c>
      <c r="FJ26">
        <v>18.600200000000001</v>
      </c>
      <c r="FK26">
        <v>700</v>
      </c>
      <c r="FL26">
        <v>17.369</v>
      </c>
      <c r="FM26">
        <v>99.911900000000003</v>
      </c>
      <c r="FN26">
        <v>100.35299999999999</v>
      </c>
    </row>
    <row r="27" spans="1:170" x14ac:dyDescent="0.25">
      <c r="A27">
        <v>11</v>
      </c>
      <c r="B27">
        <v>1594051394.2</v>
      </c>
      <c r="C27">
        <v>1324.60000014305</v>
      </c>
      <c r="D27" t="s">
        <v>334</v>
      </c>
      <c r="E27" t="s">
        <v>335</v>
      </c>
      <c r="G27">
        <v>1594051386.23226</v>
      </c>
      <c r="H27">
        <f t="shared" si="0"/>
        <v>4.7784416341462663E-3</v>
      </c>
      <c r="I27">
        <f t="shared" si="1"/>
        <v>43.375200044797204</v>
      </c>
      <c r="J27">
        <f t="shared" si="2"/>
        <v>781.16212903225801</v>
      </c>
      <c r="K27">
        <f t="shared" si="3"/>
        <v>511.39195011251127</v>
      </c>
      <c r="L27">
        <f t="shared" si="4"/>
        <v>50.87717084125299</v>
      </c>
      <c r="M27">
        <f t="shared" si="5"/>
        <v>77.715965385742152</v>
      </c>
      <c r="N27">
        <f t="shared" si="6"/>
        <v>0.286646955003721</v>
      </c>
      <c r="O27">
        <f t="shared" si="7"/>
        <v>3.3826665486910281</v>
      </c>
      <c r="P27">
        <f t="shared" si="8"/>
        <v>0.27380368033048091</v>
      </c>
      <c r="Q27">
        <f t="shared" si="9"/>
        <v>0.17223325922805183</v>
      </c>
      <c r="R27">
        <f t="shared" si="10"/>
        <v>321.43992977322443</v>
      </c>
      <c r="S27">
        <f t="shared" si="11"/>
        <v>26.942791109910925</v>
      </c>
      <c r="T27">
        <f t="shared" si="12"/>
        <v>27.062335483870999</v>
      </c>
      <c r="U27">
        <f t="shared" si="13"/>
        <v>3.5922843738902444</v>
      </c>
      <c r="V27">
        <f t="shared" si="14"/>
        <v>55.200090143088396</v>
      </c>
      <c r="W27">
        <f t="shared" si="15"/>
        <v>1.9039797359929393</v>
      </c>
      <c r="X27">
        <f t="shared" si="16"/>
        <v>3.4492330194705971</v>
      </c>
      <c r="Y27">
        <f t="shared" si="17"/>
        <v>1.688304637897305</v>
      </c>
      <c r="Z27">
        <f t="shared" si="18"/>
        <v>-210.72927606585034</v>
      </c>
      <c r="AA27">
        <f t="shared" si="19"/>
        <v>-125.91100112502129</v>
      </c>
      <c r="AB27">
        <f t="shared" si="20"/>
        <v>-8.0103396074673565</v>
      </c>
      <c r="AC27">
        <f t="shared" si="21"/>
        <v>-23.210687025114552</v>
      </c>
      <c r="AD27">
        <v>-4.1179356258443003E-2</v>
      </c>
      <c r="AE27">
        <v>4.6227434909845003E-2</v>
      </c>
      <c r="AF27">
        <v>3.4549291039051102</v>
      </c>
      <c r="AG27">
        <v>163</v>
      </c>
      <c r="AH27">
        <v>33</v>
      </c>
      <c r="AI27">
        <f t="shared" si="22"/>
        <v>1</v>
      </c>
      <c r="AJ27">
        <f t="shared" si="23"/>
        <v>0</v>
      </c>
      <c r="AK27">
        <f t="shared" si="24"/>
        <v>52619.984256784308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262.122538461538</v>
      </c>
      <c r="AT27">
        <v>378.98500000000001</v>
      </c>
      <c r="AU27">
        <f t="shared" si="27"/>
        <v>0.3083564297754845</v>
      </c>
      <c r="AV27">
        <v>0.5</v>
      </c>
      <c r="AW27">
        <f t="shared" si="28"/>
        <v>1681.2002222575391</v>
      </c>
      <c r="AX27">
        <f t="shared" si="29"/>
        <v>43.375200044797204</v>
      </c>
      <c r="AY27">
        <f t="shared" si="30"/>
        <v>259.20444913654291</v>
      </c>
      <c r="AZ27">
        <f t="shared" si="31"/>
        <v>0.52135308785308121</v>
      </c>
      <c r="BA27">
        <f t="shared" si="32"/>
        <v>2.6394952521008812E-2</v>
      </c>
      <c r="BB27">
        <f t="shared" si="33"/>
        <v>-1</v>
      </c>
      <c r="BC27" t="s">
        <v>337</v>
      </c>
      <c r="BD27">
        <v>181.4</v>
      </c>
      <c r="BE27">
        <f t="shared" si="34"/>
        <v>197.58500000000001</v>
      </c>
      <c r="BF27">
        <f t="shared" si="35"/>
        <v>0.59145411614475796</v>
      </c>
      <c r="BG27">
        <f t="shared" si="36"/>
        <v>2.0892227122381479</v>
      </c>
      <c r="BH27">
        <f t="shared" si="37"/>
        <v>0.30835642977548455</v>
      </c>
      <c r="BI27" t="e">
        <f t="shared" si="38"/>
        <v>#DIV/0!</v>
      </c>
      <c r="BJ27">
        <v>4587</v>
      </c>
      <c r="BK27">
        <v>300</v>
      </c>
      <c r="BL27">
        <v>300</v>
      </c>
      <c r="BM27">
        <v>300</v>
      </c>
      <c r="BN27">
        <v>9876.35</v>
      </c>
      <c r="BO27">
        <v>347.50799999999998</v>
      </c>
      <c r="BP27">
        <v>-6.5694500000000001E-3</v>
      </c>
      <c r="BQ27">
        <v>3.2182300000000001</v>
      </c>
      <c r="BR27">
        <f t="shared" si="39"/>
        <v>2000.00419354839</v>
      </c>
      <c r="BS27">
        <f t="shared" si="40"/>
        <v>1681.2002222575391</v>
      </c>
      <c r="BT27">
        <f t="shared" si="41"/>
        <v>0.84059834858384386</v>
      </c>
      <c r="BU27">
        <f t="shared" si="42"/>
        <v>0.191196697167688</v>
      </c>
      <c r="BV27">
        <v>0.5</v>
      </c>
      <c r="BW27" t="s">
        <v>281</v>
      </c>
      <c r="BX27">
        <v>1594051386.23226</v>
      </c>
      <c r="BY27">
        <v>781.16212903225801</v>
      </c>
      <c r="BZ27">
        <v>800.00303225806499</v>
      </c>
      <c r="CA27">
        <v>19.1378548387097</v>
      </c>
      <c r="CB27">
        <v>17.263283870967701</v>
      </c>
      <c r="CC27">
        <v>500.06029032258101</v>
      </c>
      <c r="CD27">
        <v>99.287635483871</v>
      </c>
      <c r="CE27">
        <v>0.199990064516129</v>
      </c>
      <c r="CF27">
        <v>26.371906451612901</v>
      </c>
      <c r="CG27">
        <v>27.062335483870999</v>
      </c>
      <c r="CH27">
        <v>999.9</v>
      </c>
      <c r="CI27">
        <v>10001.8516129032</v>
      </c>
      <c r="CJ27">
        <v>0</v>
      </c>
      <c r="CK27">
        <v>282.708741935484</v>
      </c>
      <c r="CL27">
        <v>2000.00419354839</v>
      </c>
      <c r="CM27">
        <v>0.98000374193548401</v>
      </c>
      <c r="CN27">
        <v>1.9996035483871001E-2</v>
      </c>
      <c r="CO27">
        <v>0</v>
      </c>
      <c r="CP27">
        <v>262.125258064516</v>
      </c>
      <c r="CQ27">
        <v>5.00054</v>
      </c>
      <c r="CR27">
        <v>6858.7138709677401</v>
      </c>
      <c r="CS27">
        <v>18703.693548387098</v>
      </c>
      <c r="CT27">
        <v>47.419129032257999</v>
      </c>
      <c r="CU27">
        <v>48.781999999999996</v>
      </c>
      <c r="CV27">
        <v>47.691129032257997</v>
      </c>
      <c r="CW27">
        <v>48.034064516129</v>
      </c>
      <c r="CX27">
        <v>48.852580645161297</v>
      </c>
      <c r="CY27">
        <v>1955.1141935483899</v>
      </c>
      <c r="CZ27">
        <v>39.89</v>
      </c>
      <c r="DA27">
        <v>0</v>
      </c>
      <c r="DB27">
        <v>142.40000009536701</v>
      </c>
      <c r="DC27">
        <v>262.122538461538</v>
      </c>
      <c r="DD27">
        <v>-0.63637606184332796</v>
      </c>
      <c r="DE27">
        <v>557.02153673219198</v>
      </c>
      <c r="DF27">
        <v>6861.7884615384601</v>
      </c>
      <c r="DG27">
        <v>15</v>
      </c>
      <c r="DH27">
        <v>1594051425.7</v>
      </c>
      <c r="DI27" t="s">
        <v>338</v>
      </c>
      <c r="DJ27">
        <v>26</v>
      </c>
      <c r="DK27">
        <v>-0.46</v>
      </c>
      <c r="DL27">
        <v>0.115</v>
      </c>
      <c r="DM27">
        <v>800</v>
      </c>
      <c r="DN27">
        <v>17</v>
      </c>
      <c r="DO27">
        <v>0.24</v>
      </c>
      <c r="DP27">
        <v>0.04</v>
      </c>
      <c r="DQ27">
        <v>781.23031481481496</v>
      </c>
      <c r="DR27">
        <v>0.29455615733611701</v>
      </c>
      <c r="DS27">
        <v>4.5542338492177398E-2</v>
      </c>
      <c r="DT27">
        <v>1</v>
      </c>
      <c r="DU27">
        <v>19.149894444444399</v>
      </c>
      <c r="DV27">
        <v>-8.4567805211336805E-2</v>
      </c>
      <c r="DW27">
        <v>1.11280495889584E-2</v>
      </c>
      <c r="DX27">
        <v>1</v>
      </c>
      <c r="DY27">
        <v>2</v>
      </c>
      <c r="DZ27">
        <v>2</v>
      </c>
      <c r="EA27" t="s">
        <v>283</v>
      </c>
      <c r="EB27">
        <v>1.8666199999999999</v>
      </c>
      <c r="EC27">
        <v>1.8631500000000001</v>
      </c>
      <c r="ED27">
        <v>1.8687400000000001</v>
      </c>
      <c r="EE27">
        <v>1.86676</v>
      </c>
      <c r="EF27">
        <v>1.8714299999999999</v>
      </c>
      <c r="EG27">
        <v>1.8638600000000001</v>
      </c>
      <c r="EH27">
        <v>1.86537</v>
      </c>
      <c r="EI27">
        <v>1.86524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-0.46</v>
      </c>
      <c r="EX27">
        <v>0.115</v>
      </c>
      <c r="EY27">
        <v>2</v>
      </c>
      <c r="EZ27">
        <v>322.38400000000001</v>
      </c>
      <c r="FA27">
        <v>447.18200000000002</v>
      </c>
      <c r="FB27">
        <v>20.519100000000002</v>
      </c>
      <c r="FC27">
        <v>37.894100000000002</v>
      </c>
      <c r="FD27">
        <v>30.0002</v>
      </c>
      <c r="FE27">
        <v>37.833199999999998</v>
      </c>
      <c r="FF27">
        <v>37.822400000000002</v>
      </c>
      <c r="FG27">
        <v>38.672499999999999</v>
      </c>
      <c r="FH27">
        <v>52.800800000000002</v>
      </c>
      <c r="FI27">
        <v>0</v>
      </c>
      <c r="FJ27">
        <v>18.084199999999999</v>
      </c>
      <c r="FK27">
        <v>800</v>
      </c>
      <c r="FL27">
        <v>17.2577</v>
      </c>
      <c r="FM27">
        <v>99.920100000000005</v>
      </c>
      <c r="FN27">
        <v>100.361</v>
      </c>
    </row>
    <row r="28" spans="1:170" x14ac:dyDescent="0.25">
      <c r="A28">
        <v>12</v>
      </c>
      <c r="B28">
        <v>1594051517.2</v>
      </c>
      <c r="C28">
        <v>1447.60000014305</v>
      </c>
      <c r="D28" t="s">
        <v>339</v>
      </c>
      <c r="E28" t="s">
        <v>340</v>
      </c>
      <c r="G28">
        <v>1594051509.2354801</v>
      </c>
      <c r="H28">
        <f t="shared" si="0"/>
        <v>4.518175807431149E-3</v>
      </c>
      <c r="I28">
        <f t="shared" si="1"/>
        <v>46.311096426586431</v>
      </c>
      <c r="J28">
        <f t="shared" si="2"/>
        <v>979.71348387096805</v>
      </c>
      <c r="K28">
        <f t="shared" si="3"/>
        <v>664.13488912287448</v>
      </c>
      <c r="L28">
        <f t="shared" si="4"/>
        <v>66.073338796159476</v>
      </c>
      <c r="M28">
        <f t="shared" si="5"/>
        <v>97.469568310837033</v>
      </c>
      <c r="N28">
        <f t="shared" si="6"/>
        <v>0.26298354271524427</v>
      </c>
      <c r="O28">
        <f t="shared" si="7"/>
        <v>3.3816296858167756</v>
      </c>
      <c r="P28">
        <f t="shared" si="8"/>
        <v>0.25212689290043044</v>
      </c>
      <c r="Q28">
        <f t="shared" si="9"/>
        <v>0.15851738753539632</v>
      </c>
      <c r="R28">
        <f t="shared" si="10"/>
        <v>321.43740707485932</v>
      </c>
      <c r="S28">
        <f t="shared" si="11"/>
        <v>27.18159043875017</v>
      </c>
      <c r="T28">
        <f t="shared" si="12"/>
        <v>27.2865419354839</v>
      </c>
      <c r="U28">
        <f t="shared" si="13"/>
        <v>3.6398387850661185</v>
      </c>
      <c r="V28">
        <f t="shared" si="14"/>
        <v>54.696588354208671</v>
      </c>
      <c r="W28">
        <f t="shared" si="15"/>
        <v>1.9066900343351139</v>
      </c>
      <c r="X28">
        <f t="shared" si="16"/>
        <v>3.4859396019137669</v>
      </c>
      <c r="Y28">
        <f t="shared" si="17"/>
        <v>1.7331487507310046</v>
      </c>
      <c r="Z28">
        <f t="shared" si="18"/>
        <v>-199.25155310771368</v>
      </c>
      <c r="AA28">
        <f t="shared" si="19"/>
        <v>-134.02050615085312</v>
      </c>
      <c r="AB28">
        <f t="shared" si="20"/>
        <v>-8.5461187005316077</v>
      </c>
      <c r="AC28">
        <f t="shared" si="21"/>
        <v>-20.380770884239098</v>
      </c>
      <c r="AD28">
        <v>-4.1163321050739103E-2</v>
      </c>
      <c r="AE28">
        <v>4.6209433984435902E-2</v>
      </c>
      <c r="AF28">
        <v>3.45386410205086</v>
      </c>
      <c r="AG28">
        <v>164</v>
      </c>
      <c r="AH28">
        <v>33</v>
      </c>
      <c r="AI28">
        <f t="shared" si="22"/>
        <v>1</v>
      </c>
      <c r="AJ28">
        <f t="shared" si="23"/>
        <v>0</v>
      </c>
      <c r="AK28">
        <f t="shared" si="24"/>
        <v>52568.813340231674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261.28215384615402</v>
      </c>
      <c r="AT28">
        <v>375.91899999999998</v>
      </c>
      <c r="AU28">
        <f t="shared" si="27"/>
        <v>0.30495092334743912</v>
      </c>
      <c r="AV28">
        <v>0.5</v>
      </c>
      <c r="AW28">
        <f t="shared" si="28"/>
        <v>1681.1869448381758</v>
      </c>
      <c r="AX28">
        <f t="shared" si="29"/>
        <v>46.311096426586431</v>
      </c>
      <c r="AY28">
        <f t="shared" si="30"/>
        <v>256.33975557403096</v>
      </c>
      <c r="AZ28">
        <f t="shared" si="31"/>
        <v>0.52096063247667712</v>
      </c>
      <c r="BA28">
        <f t="shared" si="32"/>
        <v>2.8141484545694234E-2</v>
      </c>
      <c r="BB28">
        <f t="shared" si="33"/>
        <v>-1</v>
      </c>
      <c r="BC28" t="s">
        <v>342</v>
      </c>
      <c r="BD28">
        <v>180.08</v>
      </c>
      <c r="BE28">
        <f t="shared" si="34"/>
        <v>195.83899999999997</v>
      </c>
      <c r="BF28">
        <f t="shared" si="35"/>
        <v>0.5853627017797578</v>
      </c>
      <c r="BG28">
        <f t="shared" si="36"/>
        <v>2.0875111061750329</v>
      </c>
      <c r="BH28">
        <f t="shared" si="37"/>
        <v>0.30495092334743912</v>
      </c>
      <c r="BI28" t="e">
        <f t="shared" si="38"/>
        <v>#DIV/0!</v>
      </c>
      <c r="BJ28">
        <v>4589</v>
      </c>
      <c r="BK28">
        <v>300</v>
      </c>
      <c r="BL28">
        <v>300</v>
      </c>
      <c r="BM28">
        <v>300</v>
      </c>
      <c r="BN28">
        <v>9876.1200000000008</v>
      </c>
      <c r="BO28">
        <v>344.55399999999997</v>
      </c>
      <c r="BP28">
        <v>-6.56933E-3</v>
      </c>
      <c r="BQ28">
        <v>1.7862499999999999</v>
      </c>
      <c r="BR28">
        <f t="shared" si="39"/>
        <v>1999.9883870967701</v>
      </c>
      <c r="BS28">
        <f t="shared" si="40"/>
        <v>1681.1869448381758</v>
      </c>
      <c r="BT28">
        <f t="shared" si="41"/>
        <v>0.84059835331275401</v>
      </c>
      <c r="BU28">
        <f t="shared" si="42"/>
        <v>0.19119670662550831</v>
      </c>
      <c r="BV28">
        <v>0.5</v>
      </c>
      <c r="BW28" t="s">
        <v>281</v>
      </c>
      <c r="BX28">
        <v>1594051509.2354801</v>
      </c>
      <c r="BY28">
        <v>979.71348387096805</v>
      </c>
      <c r="BZ28">
        <v>1000.00625806452</v>
      </c>
      <c r="CA28">
        <v>19.165058064516099</v>
      </c>
      <c r="CB28">
        <v>17.392622580645199</v>
      </c>
      <c r="CC28">
        <v>500.05596774193498</v>
      </c>
      <c r="CD28">
        <v>99.287816129032294</v>
      </c>
      <c r="CE28">
        <v>0.20001364516129</v>
      </c>
      <c r="CF28">
        <v>26.5514193548387</v>
      </c>
      <c r="CG28">
        <v>27.2865419354839</v>
      </c>
      <c r="CH28">
        <v>999.9</v>
      </c>
      <c r="CI28">
        <v>9997.9387096774208</v>
      </c>
      <c r="CJ28">
        <v>0</v>
      </c>
      <c r="CK28">
        <v>282.36022580645198</v>
      </c>
      <c r="CL28">
        <v>1999.9883870967701</v>
      </c>
      <c r="CM28">
        <v>0.98000399999999999</v>
      </c>
      <c r="CN28">
        <v>1.9995700000000002E-2</v>
      </c>
      <c r="CO28">
        <v>0</v>
      </c>
      <c r="CP28">
        <v>261.30174193548402</v>
      </c>
      <c r="CQ28">
        <v>5.00054</v>
      </c>
      <c r="CR28">
        <v>6838.29</v>
      </c>
      <c r="CS28">
        <v>18703.548387096798</v>
      </c>
      <c r="CT28">
        <v>47.467419354838697</v>
      </c>
      <c r="CU28">
        <v>48.850612903225802</v>
      </c>
      <c r="CV28">
        <v>47.758000000000003</v>
      </c>
      <c r="CW28">
        <v>48.090483870967702</v>
      </c>
      <c r="CX28">
        <v>48.912999999999997</v>
      </c>
      <c r="CY28">
        <v>1955.09838709677</v>
      </c>
      <c r="CZ28">
        <v>39.89</v>
      </c>
      <c r="DA28">
        <v>0</v>
      </c>
      <c r="DB28">
        <v>122.299999952316</v>
      </c>
      <c r="DC28">
        <v>261.28215384615402</v>
      </c>
      <c r="DD28">
        <v>-3.39049571795135</v>
      </c>
      <c r="DE28">
        <v>19.6878629499938</v>
      </c>
      <c r="DF28">
        <v>6838.63807692308</v>
      </c>
      <c r="DG28">
        <v>15</v>
      </c>
      <c r="DH28">
        <v>1594051545.2</v>
      </c>
      <c r="DI28" t="s">
        <v>343</v>
      </c>
      <c r="DJ28">
        <v>27</v>
      </c>
      <c r="DK28">
        <v>-0.17799999999999999</v>
      </c>
      <c r="DL28">
        <v>0.11600000000000001</v>
      </c>
      <c r="DM28">
        <v>1000</v>
      </c>
      <c r="DN28">
        <v>17</v>
      </c>
      <c r="DO28">
        <v>0.51</v>
      </c>
      <c r="DP28">
        <v>0.05</v>
      </c>
      <c r="DQ28">
        <v>979.40603703703698</v>
      </c>
      <c r="DR28">
        <v>0.21457904757912299</v>
      </c>
      <c r="DS28">
        <v>6.7685537314785701E-2</v>
      </c>
      <c r="DT28">
        <v>1</v>
      </c>
      <c r="DU28">
        <v>19.149612962963001</v>
      </c>
      <c r="DV28">
        <v>0.13758108747463099</v>
      </c>
      <c r="DW28">
        <v>1.87140573653258E-2</v>
      </c>
      <c r="DX28">
        <v>1</v>
      </c>
      <c r="DY28">
        <v>2</v>
      </c>
      <c r="DZ28">
        <v>2</v>
      </c>
      <c r="EA28" t="s">
        <v>283</v>
      </c>
      <c r="EB28">
        <v>1.8666400000000001</v>
      </c>
      <c r="EC28">
        <v>1.86311</v>
      </c>
      <c r="ED28">
        <v>1.8687499999999999</v>
      </c>
      <c r="EE28">
        <v>1.86676</v>
      </c>
      <c r="EF28">
        <v>1.87137</v>
      </c>
      <c r="EG28">
        <v>1.8638600000000001</v>
      </c>
      <c r="EH28">
        <v>1.86534</v>
      </c>
      <c r="EI28">
        <v>1.8652299999999999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-0.17799999999999999</v>
      </c>
      <c r="EX28">
        <v>0.11600000000000001</v>
      </c>
      <c r="EY28">
        <v>2</v>
      </c>
      <c r="EZ28">
        <v>322.10300000000001</v>
      </c>
      <c r="FA28">
        <v>446.846</v>
      </c>
      <c r="FB28">
        <v>20.696899999999999</v>
      </c>
      <c r="FC28">
        <v>37.946899999999999</v>
      </c>
      <c r="FD28">
        <v>30.000399999999999</v>
      </c>
      <c r="FE28">
        <v>37.851300000000002</v>
      </c>
      <c r="FF28">
        <v>37.8367</v>
      </c>
      <c r="FG28">
        <v>46.316099999999999</v>
      </c>
      <c r="FH28">
        <v>52.388300000000001</v>
      </c>
      <c r="FI28">
        <v>0</v>
      </c>
      <c r="FJ28">
        <v>17.164400000000001</v>
      </c>
      <c r="FK28">
        <v>1000</v>
      </c>
      <c r="FL28">
        <v>17.426100000000002</v>
      </c>
      <c r="FM28">
        <v>99.9071</v>
      </c>
      <c r="FN28">
        <v>100.349</v>
      </c>
    </row>
    <row r="29" spans="1:170" x14ac:dyDescent="0.25">
      <c r="A29">
        <v>13</v>
      </c>
      <c r="B29">
        <v>1594051657.8</v>
      </c>
      <c r="C29">
        <v>1588.2000000476801</v>
      </c>
      <c r="D29" t="s">
        <v>344</v>
      </c>
      <c r="E29" t="s">
        <v>345</v>
      </c>
      <c r="G29">
        <v>1594051649.76774</v>
      </c>
      <c r="H29">
        <f t="shared" si="0"/>
        <v>4.3704416228688382E-3</v>
      </c>
      <c r="I29">
        <f t="shared" si="1"/>
        <v>46.624359323669267</v>
      </c>
      <c r="J29">
        <f t="shared" si="2"/>
        <v>1179.2879032258099</v>
      </c>
      <c r="K29">
        <f t="shared" si="3"/>
        <v>844.47123296465895</v>
      </c>
      <c r="L29">
        <f t="shared" si="4"/>
        <v>84.01181166948426</v>
      </c>
      <c r="M29">
        <f t="shared" si="5"/>
        <v>117.32088597274216</v>
      </c>
      <c r="N29">
        <f t="shared" si="6"/>
        <v>0.25257305140147568</v>
      </c>
      <c r="O29">
        <f t="shared" si="7"/>
        <v>3.3850620133864453</v>
      </c>
      <c r="P29">
        <f t="shared" si="8"/>
        <v>0.24255104194769486</v>
      </c>
      <c r="Q29">
        <f t="shared" si="9"/>
        <v>0.15246170349160837</v>
      </c>
      <c r="R29">
        <f t="shared" si="10"/>
        <v>321.43635180387594</v>
      </c>
      <c r="S29">
        <f t="shared" si="11"/>
        <v>27.242777801301429</v>
      </c>
      <c r="T29">
        <f t="shared" si="12"/>
        <v>27.398564516128999</v>
      </c>
      <c r="U29">
        <f t="shared" si="13"/>
        <v>3.6638040502013123</v>
      </c>
      <c r="V29">
        <f t="shared" si="14"/>
        <v>55.031178214653117</v>
      </c>
      <c r="W29">
        <f t="shared" si="15"/>
        <v>1.9215479144045793</v>
      </c>
      <c r="X29">
        <f t="shared" si="16"/>
        <v>3.4917440926113583</v>
      </c>
      <c r="Y29">
        <f t="shared" si="17"/>
        <v>1.742256135796733</v>
      </c>
      <c r="Z29">
        <f t="shared" si="18"/>
        <v>-192.73647556851577</v>
      </c>
      <c r="AA29">
        <f t="shared" si="19"/>
        <v>-149.44730095339179</v>
      </c>
      <c r="AB29">
        <f t="shared" si="20"/>
        <v>-9.5268632397199884</v>
      </c>
      <c r="AC29">
        <f t="shared" si="21"/>
        <v>-30.274287957751625</v>
      </c>
      <c r="AD29">
        <v>-4.1216410839458401E-2</v>
      </c>
      <c r="AE29">
        <v>4.6269031923194398E-2</v>
      </c>
      <c r="AF29">
        <v>3.4573895928978899</v>
      </c>
      <c r="AG29">
        <v>163</v>
      </c>
      <c r="AH29">
        <v>33</v>
      </c>
      <c r="AI29">
        <f t="shared" si="22"/>
        <v>1</v>
      </c>
      <c r="AJ29">
        <f t="shared" si="23"/>
        <v>0</v>
      </c>
      <c r="AK29">
        <f t="shared" si="24"/>
        <v>52628.80079472057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346</v>
      </c>
      <c r="AS29">
        <v>257.984884615385</v>
      </c>
      <c r="AT29">
        <v>364.04399999999998</v>
      </c>
      <c r="AU29">
        <f t="shared" si="27"/>
        <v>0.29133597967447611</v>
      </c>
      <c r="AV29">
        <v>0.5</v>
      </c>
      <c r="AW29">
        <f t="shared" si="28"/>
        <v>1681.1790770961725</v>
      </c>
      <c r="AX29">
        <f t="shared" si="29"/>
        <v>46.624359323669267</v>
      </c>
      <c r="AY29">
        <f t="shared" si="30"/>
        <v>244.8939767170225</v>
      </c>
      <c r="AZ29">
        <f t="shared" si="31"/>
        <v>0.51231169858588521</v>
      </c>
      <c r="BA29">
        <f t="shared" si="32"/>
        <v>2.8327951479106408E-2</v>
      </c>
      <c r="BB29">
        <f t="shared" si="33"/>
        <v>-1</v>
      </c>
      <c r="BC29" t="s">
        <v>347</v>
      </c>
      <c r="BD29">
        <v>177.54</v>
      </c>
      <c r="BE29">
        <f t="shared" si="34"/>
        <v>186.50399999999999</v>
      </c>
      <c r="BF29">
        <f t="shared" si="35"/>
        <v>0.56866938716925641</v>
      </c>
      <c r="BG29">
        <f t="shared" si="36"/>
        <v>2.050490030415681</v>
      </c>
      <c r="BH29">
        <f t="shared" si="37"/>
        <v>0.29133597967447611</v>
      </c>
      <c r="BI29" t="e">
        <f t="shared" si="38"/>
        <v>#DIV/0!</v>
      </c>
      <c r="BJ29">
        <v>4591</v>
      </c>
      <c r="BK29">
        <v>300</v>
      </c>
      <c r="BL29">
        <v>300</v>
      </c>
      <c r="BM29">
        <v>300</v>
      </c>
      <c r="BN29">
        <v>9876.73</v>
      </c>
      <c r="BO29">
        <v>336.01299999999998</v>
      </c>
      <c r="BP29">
        <v>-6.5696499999999998E-3</v>
      </c>
      <c r="BQ29">
        <v>1.96835</v>
      </c>
      <c r="BR29">
        <f t="shared" si="39"/>
        <v>1999.9787096774201</v>
      </c>
      <c r="BS29">
        <f t="shared" si="40"/>
        <v>1681.1790770961725</v>
      </c>
      <c r="BT29">
        <f t="shared" si="41"/>
        <v>0.84059848685455896</v>
      </c>
      <c r="BU29">
        <f t="shared" si="42"/>
        <v>0.19119697370911787</v>
      </c>
      <c r="BV29">
        <v>0.5</v>
      </c>
      <c r="BW29" t="s">
        <v>281</v>
      </c>
      <c r="BX29">
        <v>1594051649.76774</v>
      </c>
      <c r="BY29">
        <v>1179.2879032258099</v>
      </c>
      <c r="BZ29">
        <v>1199.9970967741899</v>
      </c>
      <c r="CA29">
        <v>19.3150451612903</v>
      </c>
      <c r="CB29">
        <v>17.600812903225801</v>
      </c>
      <c r="CC29">
        <v>500.05200000000002</v>
      </c>
      <c r="CD29">
        <v>99.284532258064502</v>
      </c>
      <c r="CE29">
        <v>0.19998348387096801</v>
      </c>
      <c r="CF29">
        <v>26.5796548387097</v>
      </c>
      <c r="CG29">
        <v>27.398564516128999</v>
      </c>
      <c r="CH29">
        <v>999.9</v>
      </c>
      <c r="CI29">
        <v>10011.164516129</v>
      </c>
      <c r="CJ29">
        <v>0</v>
      </c>
      <c r="CK29">
        <v>318.92635483870998</v>
      </c>
      <c r="CL29">
        <v>1999.9787096774201</v>
      </c>
      <c r="CM29">
        <v>0.98000225806451602</v>
      </c>
      <c r="CN29">
        <v>1.9997964516129001E-2</v>
      </c>
      <c r="CO29">
        <v>0</v>
      </c>
      <c r="CP29">
        <v>258.02138709677399</v>
      </c>
      <c r="CQ29">
        <v>5.00054</v>
      </c>
      <c r="CR29">
        <v>6705.1838709677404</v>
      </c>
      <c r="CS29">
        <v>18703.445161290299</v>
      </c>
      <c r="CT29">
        <v>47.348483870967698</v>
      </c>
      <c r="CU29">
        <v>48.715516129032302</v>
      </c>
      <c r="CV29">
        <v>47.664999999999999</v>
      </c>
      <c r="CW29">
        <v>47.886870967741899</v>
      </c>
      <c r="CX29">
        <v>48.834387096774201</v>
      </c>
      <c r="CY29">
        <v>1955.08</v>
      </c>
      <c r="CZ29">
        <v>39.898709677419397</v>
      </c>
      <c r="DA29">
        <v>0</v>
      </c>
      <c r="DB29">
        <v>140</v>
      </c>
      <c r="DC29">
        <v>257.984884615385</v>
      </c>
      <c r="DD29">
        <v>-2.0819487362463698</v>
      </c>
      <c r="DE29">
        <v>147.26222192456899</v>
      </c>
      <c r="DF29">
        <v>6704.1661538461503</v>
      </c>
      <c r="DG29">
        <v>15</v>
      </c>
      <c r="DH29">
        <v>1594051684.2</v>
      </c>
      <c r="DI29" t="s">
        <v>348</v>
      </c>
      <c r="DJ29">
        <v>28</v>
      </c>
      <c r="DK29">
        <v>-0.153</v>
      </c>
      <c r="DL29">
        <v>0.11899999999999999</v>
      </c>
      <c r="DM29">
        <v>1200</v>
      </c>
      <c r="DN29">
        <v>18</v>
      </c>
      <c r="DO29">
        <v>0.16</v>
      </c>
      <c r="DP29">
        <v>7.0000000000000007E-2</v>
      </c>
      <c r="DQ29">
        <v>1179.2301851851901</v>
      </c>
      <c r="DR29">
        <v>0.27427387639096201</v>
      </c>
      <c r="DS29">
        <v>6.7563159497285502E-2</v>
      </c>
      <c r="DT29">
        <v>1</v>
      </c>
      <c r="DU29">
        <v>19.309975925925901</v>
      </c>
      <c r="DV29">
        <v>1.9330774425164302E-2</v>
      </c>
      <c r="DW29">
        <v>2.8554000293909499E-3</v>
      </c>
      <c r="DX29">
        <v>1</v>
      </c>
      <c r="DY29">
        <v>2</v>
      </c>
      <c r="DZ29">
        <v>2</v>
      </c>
      <c r="EA29" t="s">
        <v>283</v>
      </c>
      <c r="EB29">
        <v>1.86663</v>
      </c>
      <c r="EC29">
        <v>1.8631599999999999</v>
      </c>
      <c r="ED29">
        <v>1.86876</v>
      </c>
      <c r="EE29">
        <v>1.8667499999999999</v>
      </c>
      <c r="EF29">
        <v>1.8714299999999999</v>
      </c>
      <c r="EG29">
        <v>1.8638600000000001</v>
      </c>
      <c r="EH29">
        <v>1.86531</v>
      </c>
      <c r="EI29">
        <v>1.86527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-0.153</v>
      </c>
      <c r="EX29">
        <v>0.11899999999999999</v>
      </c>
      <c r="EY29">
        <v>2</v>
      </c>
      <c r="EZ29">
        <v>322.32299999999998</v>
      </c>
      <c r="FA29">
        <v>446.702</v>
      </c>
      <c r="FB29">
        <v>20.635300000000001</v>
      </c>
      <c r="FC29">
        <v>37.980899999999998</v>
      </c>
      <c r="FD29">
        <v>30</v>
      </c>
      <c r="FE29">
        <v>37.880099999999999</v>
      </c>
      <c r="FF29">
        <v>37.8581</v>
      </c>
      <c r="FG29">
        <v>53.640799999999999</v>
      </c>
      <c r="FH29">
        <v>51.642899999999997</v>
      </c>
      <c r="FI29">
        <v>0</v>
      </c>
      <c r="FJ29">
        <v>17.279</v>
      </c>
      <c r="FK29">
        <v>1200</v>
      </c>
      <c r="FL29">
        <v>17.5656</v>
      </c>
      <c r="FM29">
        <v>99.897300000000001</v>
      </c>
      <c r="FN29">
        <v>100.33799999999999</v>
      </c>
    </row>
    <row r="30" spans="1:170" x14ac:dyDescent="0.25">
      <c r="A30">
        <v>14</v>
      </c>
      <c r="B30">
        <v>1594051778.8</v>
      </c>
      <c r="C30">
        <v>1709.2000000476801</v>
      </c>
      <c r="D30" t="s">
        <v>349</v>
      </c>
      <c r="E30" t="s">
        <v>350</v>
      </c>
      <c r="G30">
        <v>1594051770.8</v>
      </c>
      <c r="H30">
        <f t="shared" si="0"/>
        <v>4.2144276357625717E-3</v>
      </c>
      <c r="I30">
        <f t="shared" si="1"/>
        <v>47.361760578398325</v>
      </c>
      <c r="J30">
        <f t="shared" si="2"/>
        <v>1578.3746774193501</v>
      </c>
      <c r="K30">
        <f t="shared" si="3"/>
        <v>1216.8467539833102</v>
      </c>
      <c r="L30">
        <f t="shared" si="4"/>
        <v>121.05669172005962</v>
      </c>
      <c r="M30">
        <f t="shared" si="5"/>
        <v>157.02290869218481</v>
      </c>
      <c r="N30">
        <f t="shared" si="6"/>
        <v>0.24372888520476849</v>
      </c>
      <c r="O30">
        <f t="shared" si="7"/>
        <v>3.383546191698859</v>
      </c>
      <c r="P30">
        <f t="shared" si="8"/>
        <v>0.23437847302098463</v>
      </c>
      <c r="Q30">
        <f t="shared" si="9"/>
        <v>0.14729675455375729</v>
      </c>
      <c r="R30">
        <f t="shared" si="10"/>
        <v>321.44080039302082</v>
      </c>
      <c r="S30">
        <f t="shared" si="11"/>
        <v>27.162461416760284</v>
      </c>
      <c r="T30">
        <f t="shared" si="12"/>
        <v>27.3530870967742</v>
      </c>
      <c r="U30">
        <f t="shared" si="13"/>
        <v>3.6540584010128265</v>
      </c>
      <c r="V30">
        <f t="shared" si="14"/>
        <v>55.228453640761344</v>
      </c>
      <c r="W30">
        <f t="shared" si="15"/>
        <v>1.9152808988837264</v>
      </c>
      <c r="X30">
        <f t="shared" si="16"/>
        <v>3.4679241815131214</v>
      </c>
      <c r="Y30">
        <f t="shared" si="17"/>
        <v>1.7387775021291001</v>
      </c>
      <c r="Z30">
        <f t="shared" si="18"/>
        <v>-185.85625873712942</v>
      </c>
      <c r="AA30">
        <f t="shared" si="19"/>
        <v>-162.26879239269846</v>
      </c>
      <c r="AB30">
        <f t="shared" si="20"/>
        <v>-10.340476063873965</v>
      </c>
      <c r="AC30">
        <f t="shared" si="21"/>
        <v>-37.024726800681009</v>
      </c>
      <c r="AD30">
        <v>-4.1192961771272303E-2</v>
      </c>
      <c r="AE30">
        <v>4.6242708289904198E-2</v>
      </c>
      <c r="AF30">
        <v>3.4558326222041398</v>
      </c>
      <c r="AG30">
        <v>163</v>
      </c>
      <c r="AH30">
        <v>33</v>
      </c>
      <c r="AI30">
        <f t="shared" si="22"/>
        <v>1</v>
      </c>
      <c r="AJ30">
        <f t="shared" si="23"/>
        <v>0</v>
      </c>
      <c r="AK30">
        <f t="shared" si="24"/>
        <v>52620.474278037167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351</v>
      </c>
      <c r="AS30">
        <v>257.54976923076902</v>
      </c>
      <c r="AT30">
        <v>353.78199999999998</v>
      </c>
      <c r="AU30">
        <f t="shared" si="27"/>
        <v>0.2720099687639026</v>
      </c>
      <c r="AV30">
        <v>0.5</v>
      </c>
      <c r="AW30">
        <f t="shared" si="28"/>
        <v>1681.2021480639094</v>
      </c>
      <c r="AX30">
        <f t="shared" si="29"/>
        <v>47.361760578398325</v>
      </c>
      <c r="AY30">
        <f t="shared" si="30"/>
        <v>228.65187189033497</v>
      </c>
      <c r="AZ30">
        <f t="shared" si="31"/>
        <v>0.49319072197002667</v>
      </c>
      <c r="BA30">
        <f t="shared" si="32"/>
        <v>2.8766178198197198E-2</v>
      </c>
      <c r="BB30">
        <f t="shared" si="33"/>
        <v>-1</v>
      </c>
      <c r="BC30" t="s">
        <v>352</v>
      </c>
      <c r="BD30">
        <v>179.3</v>
      </c>
      <c r="BE30">
        <f t="shared" si="34"/>
        <v>174.48199999999997</v>
      </c>
      <c r="BF30">
        <f t="shared" si="35"/>
        <v>0.55153099327856736</v>
      </c>
      <c r="BG30">
        <f t="shared" si="36"/>
        <v>1.973128834355828</v>
      </c>
      <c r="BH30">
        <f t="shared" si="37"/>
        <v>0.27200996876390254</v>
      </c>
      <c r="BI30" t="e">
        <f t="shared" si="38"/>
        <v>#DIV/0!</v>
      </c>
      <c r="BJ30">
        <v>4593</v>
      </c>
      <c r="BK30">
        <v>300</v>
      </c>
      <c r="BL30">
        <v>300</v>
      </c>
      <c r="BM30">
        <v>300</v>
      </c>
      <c r="BN30">
        <v>9877.33</v>
      </c>
      <c r="BO30">
        <v>330.26799999999997</v>
      </c>
      <c r="BP30">
        <v>-6.5701700000000002E-3</v>
      </c>
      <c r="BQ30">
        <v>1.88327</v>
      </c>
      <c r="BR30">
        <f t="shared" si="39"/>
        <v>2000.0061290322601</v>
      </c>
      <c r="BS30">
        <f t="shared" si="40"/>
        <v>1681.2021480639094</v>
      </c>
      <c r="BT30">
        <f t="shared" si="41"/>
        <v>0.84059849800429864</v>
      </c>
      <c r="BU30">
        <f t="shared" si="42"/>
        <v>0.19119699600859749</v>
      </c>
      <c r="BV30">
        <v>0.5</v>
      </c>
      <c r="BW30" t="s">
        <v>281</v>
      </c>
      <c r="BX30">
        <v>1594051770.8</v>
      </c>
      <c r="BY30">
        <v>1578.3746774193501</v>
      </c>
      <c r="BZ30">
        <v>1599.9783870967699</v>
      </c>
      <c r="CA30">
        <v>19.252164516129</v>
      </c>
      <c r="CB30">
        <v>17.5989838709677</v>
      </c>
      <c r="CC30">
        <v>500.041032258065</v>
      </c>
      <c r="CD30">
        <v>99.283958064516099</v>
      </c>
      <c r="CE30">
        <v>0.19996735483871</v>
      </c>
      <c r="CF30">
        <v>26.463522580645201</v>
      </c>
      <c r="CG30">
        <v>27.3530870967742</v>
      </c>
      <c r="CH30">
        <v>999.9</v>
      </c>
      <c r="CI30">
        <v>10005.5267741935</v>
      </c>
      <c r="CJ30">
        <v>0</v>
      </c>
      <c r="CK30">
        <v>304.01151612903197</v>
      </c>
      <c r="CL30">
        <v>2000.0061290322601</v>
      </c>
      <c r="CM30">
        <v>0.98000190322580605</v>
      </c>
      <c r="CN30">
        <v>1.9998380645161299E-2</v>
      </c>
      <c r="CO30">
        <v>0</v>
      </c>
      <c r="CP30">
        <v>257.58719354838701</v>
      </c>
      <c r="CQ30">
        <v>5.00054</v>
      </c>
      <c r="CR30">
        <v>6655.2177419354803</v>
      </c>
      <c r="CS30">
        <v>18703.706451612899</v>
      </c>
      <c r="CT30">
        <v>47.2093548387097</v>
      </c>
      <c r="CU30">
        <v>48.5</v>
      </c>
      <c r="CV30">
        <v>47.503999999999998</v>
      </c>
      <c r="CW30">
        <v>47.673129032257997</v>
      </c>
      <c r="CX30">
        <v>48.670999999999999</v>
      </c>
      <c r="CY30">
        <v>1955.10612903226</v>
      </c>
      <c r="CZ30">
        <v>39.9</v>
      </c>
      <c r="DA30">
        <v>0</v>
      </c>
      <c r="DB30">
        <v>120.5</v>
      </c>
      <c r="DC30">
        <v>257.54976923076902</v>
      </c>
      <c r="DD30">
        <v>-3.4881367557696099</v>
      </c>
      <c r="DE30">
        <v>-76.678974599861405</v>
      </c>
      <c r="DF30">
        <v>6653.9846153846202</v>
      </c>
      <c r="DG30">
        <v>15</v>
      </c>
      <c r="DH30">
        <v>1594051801.8</v>
      </c>
      <c r="DI30" t="s">
        <v>353</v>
      </c>
      <c r="DJ30">
        <v>29</v>
      </c>
      <c r="DK30">
        <v>-0.318</v>
      </c>
      <c r="DL30">
        <v>0.12</v>
      </c>
      <c r="DM30">
        <v>1600</v>
      </c>
      <c r="DN30">
        <v>18</v>
      </c>
      <c r="DO30">
        <v>0.2</v>
      </c>
      <c r="DP30">
        <v>0.06</v>
      </c>
      <c r="DQ30">
        <v>1578.5070370370399</v>
      </c>
      <c r="DR30">
        <v>0.26383076043426001</v>
      </c>
      <c r="DS30">
        <v>7.1404679523700498E-2</v>
      </c>
      <c r="DT30">
        <v>1</v>
      </c>
      <c r="DU30">
        <v>19.255048148148099</v>
      </c>
      <c r="DV30">
        <v>-3.8074328187529503E-2</v>
      </c>
      <c r="DW30">
        <v>4.9801733102648096E-3</v>
      </c>
      <c r="DX30">
        <v>1</v>
      </c>
      <c r="DY30">
        <v>2</v>
      </c>
      <c r="DZ30">
        <v>2</v>
      </c>
      <c r="EA30" t="s">
        <v>283</v>
      </c>
      <c r="EB30">
        <v>1.8666199999999999</v>
      </c>
      <c r="EC30">
        <v>1.86313</v>
      </c>
      <c r="ED30">
        <v>1.8687400000000001</v>
      </c>
      <c r="EE30">
        <v>1.8667400000000001</v>
      </c>
      <c r="EF30">
        <v>1.8714</v>
      </c>
      <c r="EG30">
        <v>1.8638600000000001</v>
      </c>
      <c r="EH30">
        <v>1.8653599999999999</v>
      </c>
      <c r="EI30">
        <v>1.86524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-0.318</v>
      </c>
      <c r="EX30">
        <v>0.12</v>
      </c>
      <c r="EY30">
        <v>2</v>
      </c>
      <c r="EZ30">
        <v>322.904</v>
      </c>
      <c r="FA30">
        <v>447.40899999999999</v>
      </c>
      <c r="FB30">
        <v>20.525600000000001</v>
      </c>
      <c r="FC30">
        <v>37.945599999999999</v>
      </c>
      <c r="FD30">
        <v>29.9999</v>
      </c>
      <c r="FE30">
        <v>37.858499999999999</v>
      </c>
      <c r="FF30">
        <v>37.840299999999999</v>
      </c>
      <c r="FG30">
        <v>67.452699999999993</v>
      </c>
      <c r="FH30">
        <v>52.039299999999997</v>
      </c>
      <c r="FI30">
        <v>0</v>
      </c>
      <c r="FJ30">
        <v>17.232099999999999</v>
      </c>
      <c r="FK30">
        <v>1600</v>
      </c>
      <c r="FL30">
        <v>17.518000000000001</v>
      </c>
      <c r="FM30">
        <v>99.903199999999998</v>
      </c>
      <c r="FN30">
        <v>100.346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2020-07-06T11:11:08Z</dcterms:created>
  <dcterms:modified xsi:type="dcterms:W3CDTF">2024-11-20T08:59:38Z</dcterms:modified>
</cp:coreProperties>
</file>