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博士学习资料\past test data\2020_soybean_CO2_curves\0615\"/>
    </mc:Choice>
  </mc:AlternateContent>
  <bookViews>
    <workbookView xWindow="240" yWindow="12" windowWidth="16092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BU30" i="1" l="1"/>
  <c r="BT30" i="1"/>
  <c r="BR30" i="1"/>
  <c r="BS30" i="1" s="1"/>
  <c r="BI30" i="1"/>
  <c r="BH30" i="1"/>
  <c r="BG30" i="1"/>
  <c r="BF30" i="1"/>
  <c r="BE30" i="1"/>
  <c r="AZ30" i="1" s="1"/>
  <c r="BB30" i="1"/>
  <c r="AU30" i="1"/>
  <c r="AO30" i="1"/>
  <c r="AP30" i="1" s="1"/>
  <c r="AK30" i="1"/>
  <c r="AI30" i="1"/>
  <c r="I30" i="1" s="1"/>
  <c r="AX30" i="1" s="1"/>
  <c r="X30" i="1"/>
  <c r="W30" i="1"/>
  <c r="V30" i="1"/>
  <c r="O30" i="1"/>
  <c r="BU29" i="1"/>
  <c r="BT29" i="1"/>
  <c r="BR29" i="1"/>
  <c r="BS29" i="1" s="1"/>
  <c r="BI29" i="1"/>
  <c r="BH29" i="1"/>
  <c r="BG29" i="1"/>
  <c r="BF29" i="1"/>
  <c r="BE29" i="1"/>
  <c r="BB29" i="1"/>
  <c r="AZ29" i="1"/>
  <c r="AU29" i="1"/>
  <c r="AO29" i="1"/>
  <c r="AP29" i="1" s="1"/>
  <c r="AK29" i="1"/>
  <c r="AI29" i="1" s="1"/>
  <c r="X29" i="1"/>
  <c r="W29" i="1"/>
  <c r="V29" i="1"/>
  <c r="O29" i="1"/>
  <c r="BU28" i="1"/>
  <c r="BT28" i="1"/>
  <c r="BR28" i="1"/>
  <c r="BS28" i="1" s="1"/>
  <c r="BI28" i="1"/>
  <c r="BH28" i="1"/>
  <c r="BG28" i="1"/>
  <c r="BF28" i="1"/>
  <c r="BE28" i="1"/>
  <c r="AZ28" i="1" s="1"/>
  <c r="BB28" i="1"/>
  <c r="AU28" i="1"/>
  <c r="AO28" i="1"/>
  <c r="AP28" i="1" s="1"/>
  <c r="AK28" i="1"/>
  <c r="AI28" i="1"/>
  <c r="J28" i="1" s="1"/>
  <c r="X28" i="1"/>
  <c r="W28" i="1"/>
  <c r="V28" i="1"/>
  <c r="O28" i="1"/>
  <c r="BU27" i="1"/>
  <c r="BT27" i="1"/>
  <c r="BR27" i="1"/>
  <c r="BS27" i="1" s="1"/>
  <c r="BI27" i="1"/>
  <c r="BH27" i="1"/>
  <c r="BG27" i="1"/>
  <c r="BF27" i="1"/>
  <c r="BE27" i="1"/>
  <c r="BB27" i="1"/>
  <c r="AZ27" i="1"/>
  <c r="AU27" i="1"/>
  <c r="AP27" i="1"/>
  <c r="AO27" i="1"/>
  <c r="AK27" i="1"/>
  <c r="AI27" i="1"/>
  <c r="J27" i="1" s="1"/>
  <c r="X27" i="1"/>
  <c r="W27" i="1"/>
  <c r="V27" i="1"/>
  <c r="O27" i="1"/>
  <c r="M27" i="1"/>
  <c r="BU26" i="1"/>
  <c r="BT26" i="1"/>
  <c r="BR26" i="1"/>
  <c r="BS26" i="1" s="1"/>
  <c r="BI26" i="1"/>
  <c r="BH26" i="1"/>
  <c r="BG26" i="1"/>
  <c r="BF26" i="1"/>
  <c r="BE26" i="1"/>
  <c r="BB26" i="1"/>
  <c r="AZ26" i="1"/>
  <c r="AU26" i="1"/>
  <c r="AP26" i="1"/>
  <c r="AO26" i="1"/>
  <c r="AK26" i="1"/>
  <c r="AI26" i="1" s="1"/>
  <c r="X26" i="1"/>
  <c r="W26" i="1"/>
  <c r="V26" i="1"/>
  <c r="O26" i="1"/>
  <c r="BU25" i="1"/>
  <c r="BT25" i="1"/>
  <c r="BS25" i="1" s="1"/>
  <c r="BR25" i="1"/>
  <c r="BI25" i="1"/>
  <c r="BH25" i="1"/>
  <c r="BG25" i="1"/>
  <c r="BF25" i="1"/>
  <c r="BE25" i="1"/>
  <c r="BB25" i="1"/>
  <c r="AZ25" i="1"/>
  <c r="AU25" i="1"/>
  <c r="AO25" i="1"/>
  <c r="AP25" i="1" s="1"/>
  <c r="AK25" i="1"/>
  <c r="AI25" i="1"/>
  <c r="I25" i="1" s="1"/>
  <c r="AX25" i="1" s="1"/>
  <c r="X25" i="1"/>
  <c r="V25" i="1" s="1"/>
  <c r="W25" i="1"/>
  <c r="O25" i="1"/>
  <c r="BU24" i="1"/>
  <c r="BT24" i="1"/>
  <c r="BS24" i="1"/>
  <c r="R24" i="1" s="1"/>
  <c r="BR24" i="1"/>
  <c r="BI24" i="1"/>
  <c r="BH24" i="1"/>
  <c r="BG24" i="1"/>
  <c r="BF24" i="1"/>
  <c r="BE24" i="1"/>
  <c r="BB24" i="1"/>
  <c r="AZ24" i="1"/>
  <c r="AU24" i="1"/>
  <c r="AO24" i="1"/>
  <c r="AP24" i="1" s="1"/>
  <c r="AK24" i="1"/>
  <c r="AJ24" i="1"/>
  <c r="AI24" i="1"/>
  <c r="J24" i="1" s="1"/>
  <c r="X24" i="1"/>
  <c r="V24" i="1" s="1"/>
  <c r="W24" i="1"/>
  <c r="O24" i="1"/>
  <c r="BU23" i="1"/>
  <c r="BT23" i="1"/>
  <c r="BR23" i="1"/>
  <c r="BS23" i="1" s="1"/>
  <c r="BI23" i="1"/>
  <c r="BH23" i="1"/>
  <c r="BG23" i="1"/>
  <c r="BF23" i="1"/>
  <c r="BE23" i="1"/>
  <c r="AZ23" i="1" s="1"/>
  <c r="BB23" i="1"/>
  <c r="AU23" i="1"/>
  <c r="AO23" i="1"/>
  <c r="AP23" i="1" s="1"/>
  <c r="AK23" i="1"/>
  <c r="AI23" i="1"/>
  <c r="H23" i="1" s="1"/>
  <c r="X23" i="1"/>
  <c r="W23" i="1"/>
  <c r="V23" i="1"/>
  <c r="O23" i="1"/>
  <c r="BU22" i="1"/>
  <c r="BT22" i="1"/>
  <c r="BR22" i="1"/>
  <c r="BS22" i="1" s="1"/>
  <c r="BI22" i="1"/>
  <c r="BH22" i="1"/>
  <c r="BG22" i="1"/>
  <c r="BF22" i="1"/>
  <c r="BE22" i="1"/>
  <c r="BB22" i="1"/>
  <c r="AZ22" i="1"/>
  <c r="AU22" i="1"/>
  <c r="AP22" i="1"/>
  <c r="AO22" i="1"/>
  <c r="AK22" i="1"/>
  <c r="AI22" i="1"/>
  <c r="J22" i="1" s="1"/>
  <c r="X22" i="1"/>
  <c r="V22" i="1" s="1"/>
  <c r="W22" i="1"/>
  <c r="O22" i="1"/>
  <c r="M22" i="1"/>
  <c r="BU21" i="1"/>
  <c r="BT21" i="1"/>
  <c r="BR21" i="1"/>
  <c r="BS21" i="1" s="1"/>
  <c r="BI21" i="1"/>
  <c r="BH21" i="1"/>
  <c r="BG21" i="1"/>
  <c r="BF21" i="1"/>
  <c r="BE21" i="1"/>
  <c r="BB21" i="1"/>
  <c r="AZ21" i="1"/>
  <c r="AU21" i="1"/>
  <c r="AO21" i="1"/>
  <c r="AP21" i="1" s="1"/>
  <c r="AK21" i="1"/>
  <c r="AI21" i="1"/>
  <c r="M21" i="1" s="1"/>
  <c r="X21" i="1"/>
  <c r="W21" i="1"/>
  <c r="V21" i="1"/>
  <c r="O21" i="1"/>
  <c r="BU20" i="1"/>
  <c r="BT20" i="1"/>
  <c r="BS20" i="1" s="1"/>
  <c r="BR20" i="1"/>
  <c r="BI20" i="1"/>
  <c r="BH20" i="1"/>
  <c r="BG20" i="1"/>
  <c r="BF20" i="1"/>
  <c r="BE20" i="1"/>
  <c r="BB20" i="1"/>
  <c r="AZ20" i="1"/>
  <c r="AU20" i="1"/>
  <c r="AO20" i="1"/>
  <c r="AP20" i="1" s="1"/>
  <c r="AK20" i="1"/>
  <c r="AI20" i="1"/>
  <c r="M20" i="1" s="1"/>
  <c r="X20" i="1"/>
  <c r="W20" i="1"/>
  <c r="V20" i="1" s="1"/>
  <c r="O20" i="1"/>
  <c r="BU19" i="1"/>
  <c r="BT19" i="1"/>
  <c r="BR19" i="1"/>
  <c r="BS19" i="1" s="1"/>
  <c r="BI19" i="1"/>
  <c r="BH19" i="1"/>
  <c r="BG19" i="1"/>
  <c r="BF19" i="1"/>
  <c r="BE19" i="1"/>
  <c r="BB19" i="1"/>
  <c r="AZ19" i="1"/>
  <c r="AU19" i="1"/>
  <c r="AO19" i="1"/>
  <c r="AP19" i="1" s="1"/>
  <c r="AK19" i="1"/>
  <c r="AI19" i="1"/>
  <c r="M19" i="1" s="1"/>
  <c r="X19" i="1"/>
  <c r="W19" i="1"/>
  <c r="V19" i="1" s="1"/>
  <c r="O19" i="1"/>
  <c r="BU18" i="1"/>
  <c r="BT18" i="1"/>
  <c r="BR18" i="1"/>
  <c r="BS18" i="1" s="1"/>
  <c r="BI18" i="1"/>
  <c r="BH18" i="1"/>
  <c r="BG18" i="1"/>
  <c r="BF18" i="1"/>
  <c r="BE18" i="1"/>
  <c r="BB18" i="1"/>
  <c r="AZ18" i="1"/>
  <c r="AU18" i="1"/>
  <c r="AO18" i="1"/>
  <c r="AP18" i="1" s="1"/>
  <c r="AK18" i="1"/>
  <c r="AI18" i="1"/>
  <c r="J18" i="1" s="1"/>
  <c r="X18" i="1"/>
  <c r="W18" i="1"/>
  <c r="V18" i="1"/>
  <c r="O18" i="1"/>
  <c r="BU17" i="1"/>
  <c r="BT17" i="1"/>
  <c r="BR17" i="1"/>
  <c r="BS17" i="1" s="1"/>
  <c r="BI17" i="1"/>
  <c r="BH17" i="1"/>
  <c r="BG17" i="1"/>
  <c r="BF17" i="1"/>
  <c r="BE17" i="1"/>
  <c r="BB17" i="1"/>
  <c r="AZ17" i="1"/>
  <c r="AU17" i="1"/>
  <c r="AP17" i="1"/>
  <c r="AO17" i="1"/>
  <c r="AK17" i="1"/>
  <c r="AI17" i="1" s="1"/>
  <c r="X17" i="1"/>
  <c r="W17" i="1"/>
  <c r="V17" i="1"/>
  <c r="O17" i="1"/>
  <c r="R29" i="1" l="1"/>
  <c r="AW29" i="1"/>
  <c r="Z23" i="1"/>
  <c r="BA30" i="1"/>
  <c r="R25" i="1"/>
  <c r="AW25" i="1"/>
  <c r="AW20" i="1"/>
  <c r="AY20" i="1" s="1"/>
  <c r="R20" i="1"/>
  <c r="S24" i="1"/>
  <c r="T24" i="1" s="1"/>
  <c r="AY22" i="1"/>
  <c r="BA25" i="1"/>
  <c r="I17" i="1"/>
  <c r="AX17" i="1" s="1"/>
  <c r="BA17" i="1" s="1"/>
  <c r="J17" i="1"/>
  <c r="H17" i="1"/>
  <c r="AJ17" i="1"/>
  <c r="M17" i="1"/>
  <c r="AY25" i="1"/>
  <c r="R30" i="1"/>
  <c r="AW30" i="1"/>
  <c r="AW18" i="1"/>
  <c r="AY18" i="1" s="1"/>
  <c r="R18" i="1"/>
  <c r="AY28" i="1"/>
  <c r="M26" i="1"/>
  <c r="AJ26" i="1"/>
  <c r="J26" i="1"/>
  <c r="I26" i="1"/>
  <c r="AX26" i="1" s="1"/>
  <c r="H26" i="1"/>
  <c r="M29" i="1"/>
  <c r="H29" i="1"/>
  <c r="J29" i="1"/>
  <c r="I29" i="1"/>
  <c r="AX29" i="1" s="1"/>
  <c r="BA29" i="1" s="1"/>
  <c r="AJ29" i="1"/>
  <c r="AY21" i="1"/>
  <c r="AY17" i="1"/>
  <c r="R26" i="1"/>
  <c r="AW26" i="1"/>
  <c r="AY26" i="1" s="1"/>
  <c r="R21" i="1"/>
  <c r="AW21" i="1"/>
  <c r="R17" i="1"/>
  <c r="AW17" i="1"/>
  <c r="AW28" i="1"/>
  <c r="R28" i="1"/>
  <c r="AY30" i="1"/>
  <c r="AW23" i="1"/>
  <c r="AY23" i="1" s="1"/>
  <c r="R23" i="1"/>
  <c r="R19" i="1"/>
  <c r="AW19" i="1"/>
  <c r="AY19" i="1" s="1"/>
  <c r="R27" i="1"/>
  <c r="AW27" i="1"/>
  <c r="AY27" i="1" s="1"/>
  <c r="AY29" i="1"/>
  <c r="R22" i="1"/>
  <c r="AW22" i="1"/>
  <c r="AJ21" i="1"/>
  <c r="H21" i="1"/>
  <c r="AJ25" i="1"/>
  <c r="J25" i="1"/>
  <c r="AJ30" i="1"/>
  <c r="AJ20" i="1"/>
  <c r="AJ28" i="1"/>
  <c r="H30" i="1"/>
  <c r="H25" i="1"/>
  <c r="M24" i="1"/>
  <c r="J30" i="1"/>
  <c r="M30" i="1"/>
  <c r="AJ19" i="1"/>
  <c r="M25" i="1"/>
  <c r="H19" i="1"/>
  <c r="J19" i="1"/>
  <c r="AW24" i="1"/>
  <c r="AY24" i="1" s="1"/>
  <c r="H28" i="1"/>
  <c r="I23" i="1"/>
  <c r="AX23" i="1" s="1"/>
  <c r="BA23" i="1" s="1"/>
  <c r="J23" i="1"/>
  <c r="AJ22" i="1"/>
  <c r="H27" i="1"/>
  <c r="M28" i="1"/>
  <c r="H24" i="1"/>
  <c r="I24" i="1"/>
  <c r="AX24" i="1" s="1"/>
  <c r="BA24" i="1" s="1"/>
  <c r="AJ23" i="1"/>
  <c r="AJ18" i="1"/>
  <c r="I28" i="1"/>
  <c r="AX28" i="1" s="1"/>
  <c r="BA28" i="1" s="1"/>
  <c r="H18" i="1"/>
  <c r="H22" i="1"/>
  <c r="M23" i="1"/>
  <c r="I27" i="1"/>
  <c r="AX27" i="1" s="1"/>
  <c r="H20" i="1"/>
  <c r="I19" i="1"/>
  <c r="AX19" i="1" s="1"/>
  <c r="AJ27" i="1"/>
  <c r="M18" i="1"/>
  <c r="I22" i="1"/>
  <c r="AX22" i="1" s="1"/>
  <c r="I21" i="1"/>
  <c r="AX21" i="1" s="1"/>
  <c r="BA21" i="1" s="1"/>
  <c r="J21" i="1"/>
  <c r="I20" i="1"/>
  <c r="AX20" i="1" s="1"/>
  <c r="J20" i="1"/>
  <c r="I18" i="1"/>
  <c r="AX18" i="1" s="1"/>
  <c r="BA18" i="1" s="1"/>
  <c r="AA24" i="1" l="1"/>
  <c r="AB24" i="1"/>
  <c r="U24" i="1"/>
  <c r="Y24" i="1" s="1"/>
  <c r="S26" i="1"/>
  <c r="T26" i="1" s="1"/>
  <c r="P26" i="1" s="1"/>
  <c r="N26" i="1" s="1"/>
  <c r="Q26" i="1" s="1"/>
  <c r="K26" i="1" s="1"/>
  <c r="L26" i="1" s="1"/>
  <c r="S22" i="1"/>
  <c r="T22" i="1" s="1"/>
  <c r="S20" i="1"/>
  <c r="T20" i="1" s="1"/>
  <c r="S25" i="1"/>
  <c r="T25" i="1" s="1"/>
  <c r="Z21" i="1"/>
  <c r="Z27" i="1"/>
  <c r="S19" i="1"/>
  <c r="T19" i="1" s="1"/>
  <c r="P19" i="1" s="1"/>
  <c r="N19" i="1" s="1"/>
  <c r="Q19" i="1" s="1"/>
  <c r="K19" i="1" s="1"/>
  <c r="L19" i="1" s="1"/>
  <c r="S18" i="1"/>
  <c r="T18" i="1" s="1"/>
  <c r="Z22" i="1"/>
  <c r="P22" i="1"/>
  <c r="N22" i="1" s="1"/>
  <c r="Q22" i="1" s="1"/>
  <c r="K22" i="1" s="1"/>
  <c r="L22" i="1" s="1"/>
  <c r="Z18" i="1"/>
  <c r="P18" i="1"/>
  <c r="N18" i="1" s="1"/>
  <c r="Q18" i="1" s="1"/>
  <c r="K18" i="1" s="1"/>
  <c r="L18" i="1" s="1"/>
  <c r="Z29" i="1"/>
  <c r="Z26" i="1"/>
  <c r="Z28" i="1"/>
  <c r="Z19" i="1"/>
  <c r="BA22" i="1"/>
  <c r="BA19" i="1"/>
  <c r="S17" i="1"/>
  <c r="T17" i="1" s="1"/>
  <c r="Z17" i="1"/>
  <c r="P17" i="1"/>
  <c r="N17" i="1" s="1"/>
  <c r="Q17" i="1" s="1"/>
  <c r="K17" i="1" s="1"/>
  <c r="L17" i="1" s="1"/>
  <c r="P24" i="1"/>
  <c r="N24" i="1" s="1"/>
  <c r="Q24" i="1" s="1"/>
  <c r="K24" i="1" s="1"/>
  <c r="L24" i="1" s="1"/>
  <c r="Z24" i="1"/>
  <c r="S27" i="1"/>
  <c r="T27" i="1" s="1"/>
  <c r="BA20" i="1"/>
  <c r="S28" i="1"/>
  <c r="T28" i="1" s="1"/>
  <c r="P28" i="1" s="1"/>
  <c r="N28" i="1" s="1"/>
  <c r="Q28" i="1" s="1"/>
  <c r="K28" i="1" s="1"/>
  <c r="L28" i="1" s="1"/>
  <c r="P20" i="1"/>
  <c r="N20" i="1" s="1"/>
  <c r="Q20" i="1" s="1"/>
  <c r="K20" i="1" s="1"/>
  <c r="L20" i="1" s="1"/>
  <c r="Z20" i="1"/>
  <c r="P25" i="1"/>
  <c r="N25" i="1" s="1"/>
  <c r="Q25" i="1" s="1"/>
  <c r="K25" i="1" s="1"/>
  <c r="L25" i="1" s="1"/>
  <c r="Z25" i="1"/>
  <c r="BA26" i="1"/>
  <c r="S23" i="1"/>
  <c r="T23" i="1" s="1"/>
  <c r="BA27" i="1"/>
  <c r="Z30" i="1"/>
  <c r="S21" i="1"/>
  <c r="T21" i="1" s="1"/>
  <c r="P21" i="1" s="1"/>
  <c r="N21" i="1" s="1"/>
  <c r="Q21" i="1" s="1"/>
  <c r="K21" i="1" s="1"/>
  <c r="L21" i="1" s="1"/>
  <c r="S30" i="1"/>
  <c r="T30" i="1" s="1"/>
  <c r="P30" i="1" s="1"/>
  <c r="N30" i="1" s="1"/>
  <c r="Q30" i="1" s="1"/>
  <c r="K30" i="1" s="1"/>
  <c r="L30" i="1" s="1"/>
  <c r="S29" i="1"/>
  <c r="T29" i="1" s="1"/>
  <c r="U18" i="1" l="1"/>
  <c r="Y18" i="1" s="1"/>
  <c r="AB18" i="1"/>
  <c r="AC18" i="1" s="1"/>
  <c r="AA18" i="1"/>
  <c r="AB20" i="1"/>
  <c r="U20" i="1"/>
  <c r="Y20" i="1" s="1"/>
  <c r="AA20" i="1"/>
  <c r="AB21" i="1"/>
  <c r="U21" i="1"/>
  <c r="Y21" i="1" s="1"/>
  <c r="AA21" i="1"/>
  <c r="U28" i="1"/>
  <c r="Y28" i="1" s="1"/>
  <c r="AB28" i="1"/>
  <c r="AC28" i="1" s="1"/>
  <c r="AA28" i="1"/>
  <c r="AB27" i="1"/>
  <c r="U27" i="1"/>
  <c r="Y27" i="1" s="1"/>
  <c r="AA27" i="1"/>
  <c r="AB19" i="1"/>
  <c r="AA19" i="1"/>
  <c r="U19" i="1"/>
  <c r="Y19" i="1" s="1"/>
  <c r="P27" i="1"/>
  <c r="N27" i="1" s="1"/>
  <c r="Q27" i="1" s="1"/>
  <c r="K27" i="1" s="1"/>
  <c r="L27" i="1" s="1"/>
  <c r="U25" i="1"/>
  <c r="Y25" i="1" s="1"/>
  <c r="AB25" i="1"/>
  <c r="AA25" i="1"/>
  <c r="AC24" i="1"/>
  <c r="U29" i="1"/>
  <c r="Y29" i="1" s="1"/>
  <c r="AA29" i="1"/>
  <c r="AB29" i="1"/>
  <c r="AC29" i="1" s="1"/>
  <c r="AB17" i="1"/>
  <c r="AC17" i="1" s="1"/>
  <c r="U17" i="1"/>
  <c r="Y17" i="1" s="1"/>
  <c r="AA17" i="1"/>
  <c r="U30" i="1"/>
  <c r="Y30" i="1" s="1"/>
  <c r="AB30" i="1"/>
  <c r="AA30" i="1"/>
  <c r="AB22" i="1"/>
  <c r="U22" i="1"/>
  <c r="Y22" i="1" s="1"/>
  <c r="AA22" i="1"/>
  <c r="U26" i="1"/>
  <c r="Y26" i="1" s="1"/>
  <c r="AB26" i="1"/>
  <c r="AA26" i="1"/>
  <c r="AA23" i="1"/>
  <c r="AB23" i="1"/>
  <c r="AC23" i="1" s="1"/>
  <c r="U23" i="1"/>
  <c r="Y23" i="1" s="1"/>
  <c r="P23" i="1"/>
  <c r="N23" i="1" s="1"/>
  <c r="Q23" i="1" s="1"/>
  <c r="K23" i="1" s="1"/>
  <c r="L23" i="1" s="1"/>
  <c r="P29" i="1"/>
  <c r="N29" i="1" s="1"/>
  <c r="Q29" i="1" s="1"/>
  <c r="K29" i="1" s="1"/>
  <c r="L29" i="1" s="1"/>
  <c r="AC22" i="1" l="1"/>
  <c r="AC21" i="1"/>
  <c r="AC20" i="1"/>
  <c r="AC19" i="1"/>
  <c r="AC26" i="1"/>
  <c r="AC27" i="1"/>
  <c r="AC25" i="1"/>
  <c r="AC30" i="1"/>
</calcChain>
</file>

<file path=xl/sharedStrings.xml><?xml version="1.0" encoding="utf-8"?>
<sst xmlns="http://schemas.openxmlformats.org/spreadsheetml/2006/main" count="771" uniqueCount="354">
  <si>
    <t>File opened</t>
  </si>
  <si>
    <t>2020-06-15 13:56:51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</si>
  <si>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</si>
  <si>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</si>
  <si>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</si>
  <si>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</si>
  <si>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</si>
  <si>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</si>
  <si>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</si>
  <si>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</si>
  <si>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</si>
  <si>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1.4.0</t>
  </si>
  <si>
    <t>Head cal</t>
  </si>
  <si>
    <t>{"co2aspan2": "0", "co2aspan2a": "0.164928", "flowbzero": "0.22736", "co2azero": "0.869071", "h2oaspan2": "0", "h2obspanconc1": "20", "co2aspanconc1": "1002", "co2bspanconc2": "0", "co2bzero": "0.880288", "h2oaspanconc2": "0", "co2aspan1": "0.992625", "h2oaspan1": "1.00223", "co2bspan2a": "0.163389", "co2bspan2": "0", "tazero": "0.00774765", "chamberpressurezero": "2.59209", "h2oaspanconc1": "12.19", "h2obspan2a": "0.0975941", "oxygen": "21", "h2oaspan2a": "0.0661155", "h2oaspan2b": "0.0662632", "h2obspan1": "0.998578", "h2obspan2b": "0.0963575", "h2obspan2": "0", "ssb_ref": "36526.8", "co2aspan2b": "0.163711", "h2obspanconc2": "0", "flowazero": "0.42932", "co2bspan1": "0.992131", "h2oazero": "1.00263", "co2bspanconc1": "1002", "co2bspan2b": "0.162103", "flowmeterzero": "0.990908", "co2aspanconc2": "0", "tbzero": "0.197721", "ssa_ref": "36614.9", "h2obzero": "1.01783"}</t>
  </si>
  <si>
    <t>Chamber type</t>
  </si>
  <si>
    <t>6800-01A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</si>
  <si>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</si>
  <si>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</si>
  <si>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</si>
  <si>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</si>
  <si>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</si>
  <si>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</si>
  <si>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</si>
  <si>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13:56:51</t>
  </si>
  <si>
    <t>Stability Definition:	ΔH2O (Meas2): Slp&lt;0.1	ΔCO2 (Meas2): Slp&lt;0.5</t>
  </si>
  <si>
    <t>SysConst</t>
  </si>
  <si>
    <t>AvgTime</t>
  </si>
  <si>
    <t>4</t>
  </si>
  <si>
    <t>Oxygen</t>
  </si>
  <si>
    <t>21</t>
  </si>
  <si>
    <t>Chamber</t>
  </si>
  <si>
    <t>6800-01A 2 cm²</t>
  </si>
  <si>
    <t>Const</t>
  </si>
  <si>
    <t>S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</si>
  <si>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</si>
  <si>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</si>
  <si>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</si>
  <si>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</si>
  <si>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</si>
  <si>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</si>
  <si>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</si>
  <si>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</si>
  <si>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</si>
  <si>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</si>
  <si>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</si>
  <si>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</si>
  <si>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</si>
  <si>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</si>
  <si>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</si>
  <si>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</si>
  <si>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</si>
  <si>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</si>
  <si>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</si>
  <si>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</si>
  <si>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</si>
  <si>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</si>
  <si>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</si>
  <si>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</si>
  <si>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</si>
  <si>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</si>
  <si>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</si>
  <si>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</si>
  <si>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</si>
  <si>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</si>
  <si>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</si>
  <si>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</si>
  <si>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</si>
  <si>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</si>
  <si>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</si>
  <si>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</si>
  <si>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</si>
  <si>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3.69256 76.0623 384.222 614.299 840.097 1040.28 1212.83 1370.52</t>
  </si>
  <si>
    <t>Fs_true</t>
  </si>
  <si>
    <t>0.0779822 99.8435 402.691 600.685 800.753 1001.13 1200.5 1400.73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</si>
  <si>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</si>
  <si>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</si>
  <si>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</si>
  <si>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</si>
  <si>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</si>
  <si>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</si>
  <si>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</si>
  <si>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</si>
  <si>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</si>
  <si>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</si>
  <si>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</si>
  <si>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</si>
  <si>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</si>
  <si>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</si>
  <si>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</si>
  <si>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</si>
  <si>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</si>
  <si>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</si>
  <si>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</si>
  <si>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</si>
  <si>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</si>
  <si>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</si>
  <si>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</si>
  <si>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</si>
  <si>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</si>
  <si>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</si>
  <si>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</si>
  <si>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</si>
  <si>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</si>
  <si>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</si>
  <si>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</si>
  <si>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</si>
  <si>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</si>
  <si>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</si>
  <si>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</si>
  <si>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</si>
  <si>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</si>
  <si>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</si>
  <si>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</si>
  <si>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</si>
  <si>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</si>
  <si>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</si>
  <si>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</si>
  <si>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</si>
  <si>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</si>
  <si>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</si>
  <si>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</si>
  <si>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</si>
  <si>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</si>
  <si>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</si>
  <si>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</si>
  <si>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</si>
  <si>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</si>
  <si>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</si>
  <si>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</si>
  <si>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</si>
  <si>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</si>
  <si>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</si>
  <si>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</si>
  <si>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</si>
  <si>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</si>
  <si>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</si>
  <si>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</si>
  <si>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</si>
  <si>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</si>
  <si>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</si>
  <si>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</si>
  <si>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</si>
  <si>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</si>
  <si>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</si>
  <si>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</si>
  <si>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</si>
  <si>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</si>
  <si>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</si>
  <si>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</si>
  <si>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</si>
  <si>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</si>
  <si>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</si>
  <si>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</si>
  <si>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</si>
  <si>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</si>
  <si>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</si>
  <si>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</si>
  <si>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</si>
  <si>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</si>
  <si>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</si>
  <si>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</si>
  <si>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</si>
  <si>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</si>
  <si>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</si>
  <si>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</si>
  <si>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</si>
  <si>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</si>
  <si>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</si>
  <si>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</si>
  <si>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</si>
  <si>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</si>
  <si>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</si>
  <si>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</si>
  <si>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</si>
  <si>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</si>
  <si>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</si>
  <si>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</si>
  <si>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</si>
  <si>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</si>
  <si>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</si>
  <si>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</si>
  <si>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</si>
  <si>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</si>
  <si>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</si>
  <si>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</si>
  <si>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</si>
  <si>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</si>
  <si>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</si>
  <si>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</si>
  <si>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</si>
  <si>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</si>
  <si>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</si>
  <si>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</si>
  <si>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</si>
  <si>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</si>
  <si>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</si>
  <si>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</si>
  <si>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</si>
  <si>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</si>
  <si>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</si>
  <si>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</si>
  <si>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</si>
  <si>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</si>
  <si>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</si>
  <si>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</si>
  <si>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</si>
  <si>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</si>
  <si>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</si>
  <si>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</si>
  <si>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</si>
  <si>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</si>
  <si>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</si>
  <si>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</si>
  <si>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</si>
  <si>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</si>
  <si>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</si>
  <si>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</si>
  <si>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</si>
  <si>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</si>
  <si>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</si>
  <si>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</si>
  <si>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</si>
  <si>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</si>
  <si>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</si>
  <si>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</si>
  <si>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</si>
  <si>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</si>
  <si>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</si>
  <si>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</si>
  <si>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</si>
  <si>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</si>
  <si>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</si>
  <si>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</si>
  <si>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</si>
  <si>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</si>
  <si>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</si>
  <si>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</si>
  <si>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</si>
  <si>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</si>
  <si>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</si>
  <si>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</si>
  <si>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</si>
  <si>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</si>
  <si>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</si>
  <si>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</si>
  <si>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</si>
  <si>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</si>
  <si>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</si>
  <si>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</si>
  <si>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</si>
  <si>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</si>
  <si>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</si>
  <si>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</si>
  <si>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</si>
  <si>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</si>
  <si>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</si>
  <si>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</si>
  <si>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</si>
  <si>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</si>
  <si>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</si>
  <si>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</si>
  <si>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</si>
  <si>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</si>
  <si>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</si>
  <si>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</si>
  <si>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</si>
  <si>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</si>
  <si>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</si>
  <si>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</si>
  <si>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</si>
  <si>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</si>
  <si>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</si>
  <si>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</si>
  <si>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</si>
  <si>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</si>
  <si>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</si>
  <si>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</si>
  <si>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20200615 13:59:32</t>
  </si>
  <si>
    <t>13:59:32</t>
  </si>
  <si>
    <t>MPF-3697-20200615-13_59_34</t>
  </si>
  <si>
    <t>DARK-3698-20200615-13_59_41</t>
  </si>
  <si>
    <t>0: Broadleaf</t>
  </si>
  <si>
    <t>13:59:59</t>
  </si>
  <si>
    <t>2/2</t>
  </si>
  <si>
    <t>5</t>
  </si>
  <si>
    <t>11111111</t>
  </si>
  <si>
    <t>oooooooo</t>
  </si>
  <si>
    <t>off</t>
  </si>
  <si>
    <t>20200615 14:02:12</t>
  </si>
  <si>
    <t>14:02:12</t>
  </si>
  <si>
    <t>MPF-3699-20200615-14_02_13</t>
  </si>
  <si>
    <t>DARK-3700-20200615-14_02_21</t>
  </si>
  <si>
    <t>14:01:07</t>
  </si>
  <si>
    <t>20200615 14:04:42</t>
  </si>
  <si>
    <t>14:04:42</t>
  </si>
  <si>
    <t>MPF-3701-20200615-14_04_44</t>
  </si>
  <si>
    <t>DARK-3702-20200615-14_04_51</t>
  </si>
  <si>
    <t>14:03:32</t>
  </si>
  <si>
    <t>1/2</t>
  </si>
  <si>
    <t>20200615 14:06:43</t>
  </si>
  <si>
    <t>14:06:43</t>
  </si>
  <si>
    <t>MPF-3703-20200615-14_06_44</t>
  </si>
  <si>
    <t>DARK-3704-20200615-14_06_52</t>
  </si>
  <si>
    <t>14:05:51</t>
  </si>
  <si>
    <t>20200615 14:08:43</t>
  </si>
  <si>
    <t>14:08:43</t>
  </si>
  <si>
    <t>MPF-3705-20200615-14_08_45</t>
  </si>
  <si>
    <t>DARK-3706-20200615-14_08_52</t>
  </si>
  <si>
    <t>14:07:46</t>
  </si>
  <si>
    <t>20200615 14:11:00</t>
  </si>
  <si>
    <t>14:11:00</t>
  </si>
  <si>
    <t>MPF-3707-20200615-14_11_01</t>
  </si>
  <si>
    <t>DARK-3708-20200615-14_11_09</t>
  </si>
  <si>
    <t>14:09:56</t>
  </si>
  <si>
    <t>20200615 14:13:10</t>
  </si>
  <si>
    <t>14:13:10</t>
  </si>
  <si>
    <t>MPF-3709-20200615-14_13_11</t>
  </si>
  <si>
    <t>DARK-3710-20200615-14_13_19</t>
  </si>
  <si>
    <t>14:11:55</t>
  </si>
  <si>
    <t>20200615 14:15:10</t>
  </si>
  <si>
    <t>14:15:10</t>
  </si>
  <si>
    <t>MPF-3711-20200615-14_15_12</t>
  </si>
  <si>
    <t>DARK-3712-20200615-14_15_19</t>
  </si>
  <si>
    <t>14:14:20</t>
  </si>
  <si>
    <t>20200615 14:17:12</t>
  </si>
  <si>
    <t>14:17:12</t>
  </si>
  <si>
    <t>MPF-3713-20200615-14_17_14</t>
  </si>
  <si>
    <t>DARK-3714-20200615-14_17_21</t>
  </si>
  <si>
    <t>14:16:26</t>
  </si>
  <si>
    <t>20200615 14:19:43</t>
  </si>
  <si>
    <t>14:19:43</t>
  </si>
  <si>
    <t>MPF-3715-20200615-14_19_44</t>
  </si>
  <si>
    <t>DARK-3716-20200615-14_19_52</t>
  </si>
  <si>
    <t>14:18:48</t>
  </si>
  <si>
    <t>20200615 14:22:07</t>
  </si>
  <si>
    <t>14:22:07</t>
  </si>
  <si>
    <t>MPF-3717-20200615-14_22_09</t>
  </si>
  <si>
    <t>DARK-3718-20200615-14_22_16</t>
  </si>
  <si>
    <t>14:22:30</t>
  </si>
  <si>
    <t>20200615 14:24:35</t>
  </si>
  <si>
    <t>14:24:35</t>
  </si>
  <si>
    <t>MPF-3719-20200615-14_24_37</t>
  </si>
  <si>
    <t>DARK-3720-20200615-14_24_44</t>
  </si>
  <si>
    <t>14:24:59</t>
  </si>
  <si>
    <t>20200615 14:27:02</t>
  </si>
  <si>
    <t>14:27:02</t>
  </si>
  <si>
    <t>MPF-3721-20200615-14_27_04</t>
  </si>
  <si>
    <t>DARK-3722-20200615-14_27_11</t>
  </si>
  <si>
    <t>14:27:31</t>
  </si>
  <si>
    <t>20200615 14:29:32</t>
  </si>
  <si>
    <t>14:29:32</t>
  </si>
  <si>
    <t>MPF-3723-20200615-14_29_34</t>
  </si>
  <si>
    <t>DARK-3724-20200615-14_29_41</t>
  </si>
  <si>
    <t>14:28:28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</si>
</sst>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N30"/>
  <sheetViews>
    <sheetView tabSelected="1" workbookViewId="0"/>
  </sheetViews>
  <sheetFormatPr defaultRowHeight="14.4" x14ac:dyDescent="0.25"/>
  <sheetData>
    <row r="2" spans="1:170" x14ac:dyDescent="0.25">
      <c r="A2" t="s">
        <v>25</v>
      </c>
      <c r="B2" t="s">
        <v>26</v>
      </c>
      <c r="C2" t="s">
        <v>28</v>
      </c>
      <c r="D2" t="s">
        <v>30</v>
      </c>
    </row>
    <row r="3" spans="1:170" x14ac:dyDescent="0.25">
      <c r="B3" t="s">
        <v>27</v>
      </c>
      <c r="C3" t="s">
        <v>29</v>
      </c>
      <c r="D3" t="s">
        <v>31</v>
      </c>
    </row>
    <row r="4" spans="1:170" x14ac:dyDescent="0.25">
      <c r="A4" t="s">
        <v>32</v>
      </c>
      <c r="B4" t="s">
        <v>33</v>
      </c>
      <c r="C4" t="s">
        <v>34</v>
      </c>
    </row>
    <row r="5" spans="1:170" x14ac:dyDescent="0.25">
      <c r="B5">
        <v>2</v>
      </c>
      <c r="C5">
        <v>2</v>
      </c>
    </row>
    <row r="6" spans="1:17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70" x14ac:dyDescent="0.25">
      <c r="B7">
        <v>0</v>
      </c>
      <c r="C7">
        <v>1</v>
      </c>
      <c r="D7">
        <v>0</v>
      </c>
      <c r="E7">
        <v>0</v>
      </c>
    </row>
    <row r="8" spans="1:170" x14ac:dyDescent="0.2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70" x14ac:dyDescent="0.2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0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7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70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70" x14ac:dyDescent="0.2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0</v>
      </c>
    </row>
    <row r="14" spans="1:170" x14ac:dyDescent="0.2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32</v>
      </c>
      <c r="BW14" t="s">
        <v>32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82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83</v>
      </c>
      <c r="DC14" t="s">
        <v>84</v>
      </c>
      <c r="DD14" t="s">
        <v>84</v>
      </c>
      <c r="DE14" t="s">
        <v>84</v>
      </c>
      <c r="DF14" t="s">
        <v>84</v>
      </c>
      <c r="DG14" t="s">
        <v>84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85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86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87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</row>
    <row r="15" spans="1:170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95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197</v>
      </c>
      <c r="DH15" t="s">
        <v>90</v>
      </c>
      <c r="DI15" t="s">
        <v>93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  <c r="FN15" t="s">
        <v>254</v>
      </c>
    </row>
    <row r="16" spans="1:170" x14ac:dyDescent="0.25">
      <c r="B16" t="s">
        <v>255</v>
      </c>
      <c r="C16" t="s">
        <v>255</v>
      </c>
      <c r="G16" t="s">
        <v>255</v>
      </c>
      <c r="H16" t="s">
        <v>256</v>
      </c>
      <c r="I16" t="s">
        <v>257</v>
      </c>
      <c r="J16" t="s">
        <v>258</v>
      </c>
      <c r="K16" t="s">
        <v>258</v>
      </c>
      <c r="L16" t="s">
        <v>168</v>
      </c>
      <c r="M16" t="s">
        <v>168</v>
      </c>
      <c r="N16" t="s">
        <v>256</v>
      </c>
      <c r="O16" t="s">
        <v>256</v>
      </c>
      <c r="P16" t="s">
        <v>256</v>
      </c>
      <c r="Q16" t="s">
        <v>256</v>
      </c>
      <c r="R16" t="s">
        <v>259</v>
      </c>
      <c r="S16" t="s">
        <v>260</v>
      </c>
      <c r="T16" t="s">
        <v>260</v>
      </c>
      <c r="U16" t="s">
        <v>261</v>
      </c>
      <c r="V16" t="s">
        <v>262</v>
      </c>
      <c r="W16" t="s">
        <v>261</v>
      </c>
      <c r="X16" t="s">
        <v>261</v>
      </c>
      <c r="Y16" t="s">
        <v>261</v>
      </c>
      <c r="Z16" t="s">
        <v>259</v>
      </c>
      <c r="AA16" t="s">
        <v>259</v>
      </c>
      <c r="AB16" t="s">
        <v>259</v>
      </c>
      <c r="AC16" t="s">
        <v>259</v>
      </c>
      <c r="AG16" t="s">
        <v>263</v>
      </c>
      <c r="AH16" t="s">
        <v>262</v>
      </c>
      <c r="AJ16" t="s">
        <v>262</v>
      </c>
      <c r="AK16" t="s">
        <v>263</v>
      </c>
      <c r="AQ16" t="s">
        <v>257</v>
      </c>
      <c r="AW16" t="s">
        <v>257</v>
      </c>
      <c r="AX16" t="s">
        <v>257</v>
      </c>
      <c r="AY16" t="s">
        <v>257</v>
      </c>
      <c r="BA16" t="s">
        <v>264</v>
      </c>
      <c r="BK16" t="s">
        <v>265</v>
      </c>
      <c r="BL16" t="s">
        <v>265</v>
      </c>
      <c r="BM16" t="s">
        <v>265</v>
      </c>
      <c r="BN16" t="s">
        <v>257</v>
      </c>
      <c r="BP16" t="s">
        <v>266</v>
      </c>
      <c r="BR16" t="s">
        <v>257</v>
      </c>
      <c r="BS16" t="s">
        <v>257</v>
      </c>
      <c r="BU16" t="s">
        <v>267</v>
      </c>
      <c r="BX16" t="s">
        <v>255</v>
      </c>
      <c r="BY16" t="s">
        <v>258</v>
      </c>
      <c r="BZ16" t="s">
        <v>258</v>
      </c>
      <c r="CA16" t="s">
        <v>268</v>
      </c>
      <c r="CB16" t="s">
        <v>268</v>
      </c>
      <c r="CC16" t="s">
        <v>263</v>
      </c>
      <c r="CD16" t="s">
        <v>261</v>
      </c>
      <c r="CE16" t="s">
        <v>261</v>
      </c>
      <c r="CF16" t="s">
        <v>260</v>
      </c>
      <c r="CG16" t="s">
        <v>260</v>
      </c>
      <c r="CH16" t="s">
        <v>260</v>
      </c>
      <c r="CI16" t="s">
        <v>269</v>
      </c>
      <c r="CJ16" t="s">
        <v>257</v>
      </c>
      <c r="CK16" t="s">
        <v>257</v>
      </c>
      <c r="CL16" t="s">
        <v>257</v>
      </c>
      <c r="CQ16" t="s">
        <v>257</v>
      </c>
      <c r="CT16" t="s">
        <v>260</v>
      </c>
      <c r="CU16" t="s">
        <v>260</v>
      </c>
      <c r="CV16" t="s">
        <v>260</v>
      </c>
      <c r="CW16" t="s">
        <v>260</v>
      </c>
      <c r="CX16" t="s">
        <v>260</v>
      </c>
      <c r="CY16" t="s">
        <v>257</v>
      </c>
      <c r="CZ16" t="s">
        <v>257</v>
      </c>
      <c r="DA16" t="s">
        <v>257</v>
      </c>
      <c r="DB16" t="s">
        <v>255</v>
      </c>
      <c r="DD16" t="s">
        <v>270</v>
      </c>
      <c r="DE16" t="s">
        <v>270</v>
      </c>
      <c r="DG16" t="s">
        <v>255</v>
      </c>
      <c r="DH16" t="s">
        <v>271</v>
      </c>
      <c r="DK16" t="s">
        <v>272</v>
      </c>
      <c r="DL16" t="s">
        <v>273</v>
      </c>
      <c r="DM16" t="s">
        <v>272</v>
      </c>
      <c r="DN16" t="s">
        <v>273</v>
      </c>
      <c r="DO16" t="s">
        <v>262</v>
      </c>
      <c r="DP16" t="s">
        <v>262</v>
      </c>
      <c r="DQ16" t="s">
        <v>258</v>
      </c>
      <c r="DR16" t="s">
        <v>274</v>
      </c>
      <c r="DS16" t="s">
        <v>258</v>
      </c>
      <c r="DU16" t="s">
        <v>268</v>
      </c>
      <c r="DV16" t="s">
        <v>275</v>
      </c>
      <c r="DW16" t="s">
        <v>268</v>
      </c>
      <c r="EB16" t="s">
        <v>276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T16" t="s">
        <v>276</v>
      </c>
      <c r="EU16" t="s">
        <v>262</v>
      </c>
      <c r="EV16" t="s">
        <v>262</v>
      </c>
      <c r="EW16" t="s">
        <v>272</v>
      </c>
      <c r="EX16" t="s">
        <v>273</v>
      </c>
      <c r="EZ16" t="s">
        <v>263</v>
      </c>
      <c r="FA16" t="s">
        <v>263</v>
      </c>
      <c r="FB16" t="s">
        <v>260</v>
      </c>
      <c r="FC16" t="s">
        <v>260</v>
      </c>
      <c r="FD16" t="s">
        <v>260</v>
      </c>
      <c r="FE16" t="s">
        <v>260</v>
      </c>
      <c r="FF16" t="s">
        <v>260</v>
      </c>
      <c r="FG16" t="s">
        <v>262</v>
      </c>
      <c r="FH16" t="s">
        <v>262</v>
      </c>
      <c r="FI16" t="s">
        <v>262</v>
      </c>
      <c r="FJ16" t="s">
        <v>260</v>
      </c>
      <c r="FK16" t="s">
        <v>258</v>
      </c>
      <c r="FL16" t="s">
        <v>268</v>
      </c>
      <c r="FM16" t="s">
        <v>262</v>
      </c>
      <c r="FN16" t="s">
        <v>262</v>
      </c>
    </row>
    <row r="17" spans="1:170" x14ac:dyDescent="0.25">
      <c r="A17">
        <v>1</v>
      </c>
      <c r="B17">
        <v>1592247572.5</v>
      </c>
      <c r="C17">
        <v>0</v>
      </c>
      <c r="D17" t="s">
        <v>277</v>
      </c>
      <c r="E17" t="s">
        <v>278</v>
      </c>
      <c r="G17">
        <v>1592247564.4677401</v>
      </c>
      <c r="H17">
        <f t="shared" ref="H17:H30" si="0">CC17*AI17*(CA17-CB17)/(100*$B$5*(1000-AI17*CA17))</f>
        <v>4.0059656178830158E-3</v>
      </c>
      <c r="I17">
        <f t="shared" ref="I17:I30" si="1">CC17*AI17*(BZ17-BY17*(1000-AI17*CB17)/(1000-AI17*CA17))/(100*$B$5)</f>
        <v>23.198442202474752</v>
      </c>
      <c r="J17">
        <f t="shared" ref="J17:J30" si="2">BY17 - IF(AI17&gt;1, I17*$B$5*100/(AK17*CI17), 0)</f>
        <v>390.06358064516098</v>
      </c>
      <c r="K17">
        <f t="shared" ref="K17:K30" si="3">((Q17-H17/2)*J17-I17)/(Q17+H17/2)</f>
        <v>213.13959406254122</v>
      </c>
      <c r="L17">
        <f t="shared" ref="L17:L30" si="4">K17*(CD17+CE17)/1000</f>
        <v>21.38796256651257</v>
      </c>
      <c r="M17">
        <f t="shared" ref="M17:M30" si="5">(BY17 - IF(AI17&gt;1, I17*$B$5*100/(AK17*CI17), 0))*(CD17+CE17)/1000</f>
        <v>39.14179014036494</v>
      </c>
      <c r="N17">
        <f t="shared" ref="N17:N30" si="6">2/((1/P17-1/O17)+SIGN(P17)*SQRT((1/P17-1/O17)*(1/P17-1/O17) + 4*BV17/((BV17+1)*(BV17+1))*(2*1/P17*1/O17-1/O17*1/O17)))</f>
        <v>0.22772468020161521</v>
      </c>
      <c r="O17">
        <f t="shared" ref="O17:O30" si="7">AF17+AE17*$B$5+AD17*$B$5*$B$5</f>
        <v>3.4048887750353769</v>
      </c>
      <c r="P17">
        <f t="shared" ref="P17:P30" si="8">H17*(1000-(1000*0.61365*EXP(17.502*T17/(240.97+T17))/(CD17+CE17)+CA17)/2)/(1000*0.61365*EXP(17.502*T17/(240.97+T17))/(CD17+CE17)-CA17)</f>
        <v>0.21958907437974942</v>
      </c>
      <c r="Q17">
        <f t="shared" ref="Q17:Q30" si="9">1/((BV17+1)/(N17/1.6)+1/(O17/1.37)) + BV17/((BV17+1)/(N17/1.6) + BV17/(O17/1.37))</f>
        <v>0.13794990867626553</v>
      </c>
      <c r="R17">
        <f t="shared" ref="R17:R30" si="10">(BS17*BU17)</f>
        <v>353.3349998459704</v>
      </c>
      <c r="S17">
        <f t="shared" ref="S17:S30" si="11">(CF17+(R17+2*0.95*0.0000000567*(((CF17+$B$7)+273)^4-(CF17+273)^4)-44100*H17)/(1.84*29.3*O17+8*0.95*0.0000000567*(CF17+273)^3))</f>
        <v>27.211745857244534</v>
      </c>
      <c r="T17">
        <f t="shared" ref="T17:T30" si="12">($C$7*CG17+$D$7*CH17+$E$7*S17)</f>
        <v>27.3652612903226</v>
      </c>
      <c r="U17">
        <f t="shared" ref="U17:U30" si="13">0.61365*EXP(17.502*T17/(240.97+T17))</f>
        <v>3.6566650671730874</v>
      </c>
      <c r="V17">
        <f t="shared" ref="V17:V30" si="14">(W17/X17*100)</f>
        <v>54.614539696715291</v>
      </c>
      <c r="W17">
        <f t="shared" ref="W17:W30" si="15">CA17*(CD17+CE17)/1000</f>
        <v>1.876500828429454</v>
      </c>
      <c r="X17">
        <f t="shared" ref="X17:X30" si="16">0.61365*EXP(17.502*CF17/(240.97+CF17))</f>
        <v>3.4358997418087061</v>
      </c>
      <c r="Y17">
        <f t="shared" ref="Y17:Y30" si="17">(U17-CA17*(CD17+CE17)/1000)</f>
        <v>1.7801642387436334</v>
      </c>
      <c r="Z17">
        <f t="shared" ref="Z17:Z30" si="18">(-H17*44100)</f>
        <v>-176.66308374864099</v>
      </c>
      <c r="AA17">
        <f t="shared" ref="AA17:AA30" si="19">2*29.3*O17*0.92*(CF17-T17)</f>
        <v>-194.3899239495845</v>
      </c>
      <c r="AB17">
        <f t="shared" ref="AB17:AB30" si="20">2*0.95*0.0000000567*(((CF17+$B$7)+273)^4-(T17+273)^4)</f>
        <v>-12.300810486553246</v>
      </c>
      <c r="AC17">
        <f t="shared" ref="AC17:AC30" si="21">R17+AB17+Z17+AA17</f>
        <v>-30.01881833880833</v>
      </c>
      <c r="AD17">
        <v>-4.1523557259313899E-2</v>
      </c>
      <c r="AE17">
        <v>4.6613830686986303E-2</v>
      </c>
      <c r="AF17">
        <v>3.4777553426986598</v>
      </c>
      <c r="AG17">
        <v>146</v>
      </c>
      <c r="AH17">
        <v>29</v>
      </c>
      <c r="AI17">
        <f t="shared" ref="AI17:AI30" si="22">IF(AG17*$H$13&gt;=AK17,1,(AK17/(AK17-AG17*$H$13)))</f>
        <v>1</v>
      </c>
      <c r="AJ17">
        <f t="shared" ref="AJ17:AJ30" si="23">(AI17-1)*100</f>
        <v>0</v>
      </c>
      <c r="AK17">
        <f t="shared" ref="AK17:AK30" si="24">MAX(0,($B$13+$C$13*CI17)/(1+$D$13*CI17)*CD17/(CF17+273)*$E$13)</f>
        <v>53072.088657937798</v>
      </c>
      <c r="AL17">
        <v>0</v>
      </c>
      <c r="AM17">
        <v>0</v>
      </c>
      <c r="AN17">
        <v>0</v>
      </c>
      <c r="AO17">
        <f t="shared" ref="AO17:AO30" si="25">AN17-AM17</f>
        <v>0</v>
      </c>
      <c r="AP17" t="e">
        <f t="shared" ref="AP17:AP30" si="26">AO17/AN17</f>
        <v>#DIV/0!</v>
      </c>
      <c r="AQ17">
        <v>-1</v>
      </c>
      <c r="AR17" t="s">
        <v>279</v>
      </c>
      <c r="AS17">
        <v>295.764538461538</v>
      </c>
      <c r="AT17">
        <v>400.697</v>
      </c>
      <c r="AU17">
        <f t="shared" ref="AU17:AU30" si="27">1-AS17/AT17</f>
        <v>0.26187483694278224</v>
      </c>
      <c r="AV17">
        <v>0.5</v>
      </c>
      <c r="AW17">
        <f t="shared" ref="AW17:AW30" si="28">BS17</f>
        <v>1849.1728545478343</v>
      </c>
      <c r="AX17">
        <f t="shared" ref="AX17:AX30" si="29">I17</f>
        <v>23.198442202474752</v>
      </c>
      <c r="AY17">
        <f t="shared" ref="AY17:AY30" si="30">AU17*AV17*AW17</f>
        <v>242.12591988186665</v>
      </c>
      <c r="AZ17">
        <f t="shared" ref="AZ17:AZ30" si="31">BE17/AT17</f>
        <v>0.50111929962041146</v>
      </c>
      <c r="BA17">
        <f t="shared" ref="BA17:BA30" si="32">(AX17-AQ17)/AW17</f>
        <v>1.3086089893089974E-2</v>
      </c>
      <c r="BB17">
        <f t="shared" ref="BB17:BB30" si="33">(AN17-AT17)/AT17</f>
        <v>-1</v>
      </c>
      <c r="BC17" t="s">
        <v>280</v>
      </c>
      <c r="BD17">
        <v>199.9</v>
      </c>
      <c r="BE17">
        <f t="shared" ref="BE17:BE30" si="34">AT17-BD17</f>
        <v>200.797</v>
      </c>
      <c r="BF17">
        <f t="shared" ref="BF17:BF30" si="35">(AT17-AS17)/(AT17-BD17)</f>
        <v>0.52257982708139072</v>
      </c>
      <c r="BG17">
        <f t="shared" ref="BG17:BG30" si="36">(AN17-AT17)/(AN17-BD17)</f>
        <v>2.0044872436218109</v>
      </c>
      <c r="BH17">
        <f t="shared" ref="BH17:BH30" si="37">(AT17-AS17)/(AT17-AM17)</f>
        <v>0.26187483694278224</v>
      </c>
      <c r="BI17" t="e">
        <f t="shared" ref="BI17:BI30" si="38">(AN17-AT17)/(AN17-AM17)</f>
        <v>#DIV/0!</v>
      </c>
      <c r="BJ17">
        <v>3697</v>
      </c>
      <c r="BK17">
        <v>300</v>
      </c>
      <c r="BL17">
        <v>300</v>
      </c>
      <c r="BM17">
        <v>300</v>
      </c>
      <c r="BN17">
        <v>9880.5300000000007</v>
      </c>
      <c r="BO17">
        <v>368.42700000000002</v>
      </c>
      <c r="BP17">
        <v>-6.4077200000000004E-3</v>
      </c>
      <c r="BQ17">
        <v>0.57455400000000001</v>
      </c>
      <c r="BR17">
        <f t="shared" ref="BR17:BR30" si="39">$B$11*CJ17+$C$11*CK17+$F$11*CL17</f>
        <v>2199.9854838709698</v>
      </c>
      <c r="BS17">
        <f t="shared" ref="BS17:BS30" si="40">BR17*BT17</f>
        <v>1849.1728545478343</v>
      </c>
      <c r="BT17">
        <f t="shared" ref="BT17:BT30" si="41">($B$11*$D$9+$C$11*$D$9+$F$11*((CY17+CQ17)/MAX(CY17+CQ17+CZ17, 0.1)*$I$9+CZ17/MAX(CY17+CQ17+CZ17, 0.1)*$J$9))/($B$11+$C$11+$F$11)</f>
        <v>0.84053866177977432</v>
      </c>
      <c r="BU17">
        <f t="shared" ref="BU17:BU30" si="42">($B$11*$K$9+$C$11*$K$9+$F$11*((CY17+CQ17)/MAX(CY17+CQ17+CZ17, 0.1)*$P$9+CZ17/MAX(CY17+CQ17+CZ17, 0.1)*$Q$9))/($B$11+$C$11+$F$11)</f>
        <v>0.19107732355954848</v>
      </c>
      <c r="BV17">
        <v>0.5</v>
      </c>
      <c r="BW17" t="s">
        <v>281</v>
      </c>
      <c r="BX17">
        <v>1592247564.4677401</v>
      </c>
      <c r="BY17">
        <v>390.06358064516098</v>
      </c>
      <c r="BZ17">
        <v>399.96683870967701</v>
      </c>
      <c r="CA17">
        <v>18.7000806451613</v>
      </c>
      <c r="CB17">
        <v>17.1278419354839</v>
      </c>
      <c r="CC17">
        <v>500.05812903225802</v>
      </c>
      <c r="CD17">
        <v>100.147225806452</v>
      </c>
      <c r="CE17">
        <v>0.19997932258064499</v>
      </c>
      <c r="CF17">
        <v>26.306287096774199</v>
      </c>
      <c r="CG17">
        <v>27.3652612903226</v>
      </c>
      <c r="CH17">
        <v>999.9</v>
      </c>
      <c r="CI17">
        <v>9998.8867741935501</v>
      </c>
      <c r="CJ17">
        <v>0</v>
      </c>
      <c r="CK17">
        <v>121.705806451613</v>
      </c>
      <c r="CL17">
        <v>2199.9854838709698</v>
      </c>
      <c r="CM17">
        <v>0.98200238709677401</v>
      </c>
      <c r="CN17">
        <v>1.7997893548387101E-2</v>
      </c>
      <c r="CO17">
        <v>0</v>
      </c>
      <c r="CP17">
        <v>295.96087096774198</v>
      </c>
      <c r="CQ17">
        <v>5.00054</v>
      </c>
      <c r="CR17">
        <v>7728.9041935483901</v>
      </c>
      <c r="CS17">
        <v>20590.400000000001</v>
      </c>
      <c r="CT17">
        <v>50.570193548387103</v>
      </c>
      <c r="CU17">
        <v>50.598516129032198</v>
      </c>
      <c r="CV17">
        <v>50.473580645161299</v>
      </c>
      <c r="CW17">
        <v>49.755870967741899</v>
      </c>
      <c r="CX17">
        <v>51.637</v>
      </c>
      <c r="CY17">
        <v>2155.4838709677401</v>
      </c>
      <c r="CZ17">
        <v>39.501612903225798</v>
      </c>
      <c r="DA17">
        <v>0</v>
      </c>
      <c r="DB17">
        <v>315.60000014305098</v>
      </c>
      <c r="DC17">
        <v>295.764538461538</v>
      </c>
      <c r="DD17">
        <v>-17.354051300059901</v>
      </c>
      <c r="DE17">
        <v>-378.73777805280702</v>
      </c>
      <c r="DF17">
        <v>7724.8276923076901</v>
      </c>
      <c r="DG17">
        <v>15</v>
      </c>
      <c r="DH17">
        <v>1592247599</v>
      </c>
      <c r="DI17" t="s">
        <v>282</v>
      </c>
      <c r="DJ17">
        <v>43</v>
      </c>
      <c r="DK17">
        <v>-0.17599999999999999</v>
      </c>
      <c r="DL17">
        <v>0.112</v>
      </c>
      <c r="DM17">
        <v>400</v>
      </c>
      <c r="DN17">
        <v>17</v>
      </c>
      <c r="DO17">
        <v>0.15</v>
      </c>
      <c r="DP17">
        <v>0.06</v>
      </c>
      <c r="DQ17">
        <v>-9.4661515384615402</v>
      </c>
      <c r="DR17">
        <v>0.26877047940444398</v>
      </c>
      <c r="DS17">
        <v>6.3696570774275998E-2</v>
      </c>
      <c r="DT17">
        <v>1</v>
      </c>
      <c r="DU17">
        <v>1.5683513461538501</v>
      </c>
      <c r="DV17">
        <v>4.8501748755666797E-2</v>
      </c>
      <c r="DW17">
        <v>9.6276490917577198E-3</v>
      </c>
      <c r="DX17">
        <v>1</v>
      </c>
      <c r="DY17">
        <v>2</v>
      </c>
      <c r="DZ17">
        <v>2</v>
      </c>
      <c r="EA17" t="s">
        <v>283</v>
      </c>
      <c r="EB17">
        <v>1.8666199999999999</v>
      </c>
      <c r="EC17">
        <v>1.86317</v>
      </c>
      <c r="ED17">
        <v>1.8688100000000001</v>
      </c>
      <c r="EE17">
        <v>1.86676</v>
      </c>
      <c r="EF17">
        <v>1.8714299999999999</v>
      </c>
      <c r="EG17">
        <v>1.8638600000000001</v>
      </c>
      <c r="EH17">
        <v>1.8654200000000001</v>
      </c>
      <c r="EI17">
        <v>1.86538</v>
      </c>
      <c r="EJ17" t="s">
        <v>284</v>
      </c>
      <c r="EK17" t="s">
        <v>19</v>
      </c>
      <c r="EL17" t="s">
        <v>19</v>
      </c>
      <c r="EM17" t="s">
        <v>19</v>
      </c>
      <c r="EN17" t="s">
        <v>285</v>
      </c>
      <c r="EO17" t="s">
        <v>286</v>
      </c>
      <c r="EP17" t="s">
        <v>287</v>
      </c>
      <c r="EQ17" t="s">
        <v>287</v>
      </c>
      <c r="ER17" t="s">
        <v>287</v>
      </c>
      <c r="ES17" t="s">
        <v>287</v>
      </c>
      <c r="ET17">
        <v>0</v>
      </c>
      <c r="EU17">
        <v>100</v>
      </c>
      <c r="EV17">
        <v>100</v>
      </c>
      <c r="EW17">
        <v>-0.17599999999999999</v>
      </c>
      <c r="EX17">
        <v>0.112</v>
      </c>
      <c r="EY17">
        <v>2</v>
      </c>
      <c r="EZ17">
        <v>334.74299999999999</v>
      </c>
      <c r="FA17">
        <v>487.11</v>
      </c>
      <c r="FB17">
        <v>17.987500000000001</v>
      </c>
      <c r="FC17">
        <v>35.406199999999998</v>
      </c>
      <c r="FD17">
        <v>30.000299999999999</v>
      </c>
      <c r="FE17">
        <v>35.297899999999998</v>
      </c>
      <c r="FF17">
        <v>35.274299999999997</v>
      </c>
      <c r="FG17">
        <v>22.545400000000001</v>
      </c>
      <c r="FH17">
        <v>15.8451</v>
      </c>
      <c r="FI17">
        <v>73.988299999999995</v>
      </c>
      <c r="FJ17">
        <v>16.9129</v>
      </c>
      <c r="FK17">
        <v>400</v>
      </c>
      <c r="FL17">
        <v>17.206499999999998</v>
      </c>
      <c r="FM17">
        <v>100.73</v>
      </c>
      <c r="FN17">
        <v>100.78700000000001</v>
      </c>
    </row>
    <row r="18" spans="1:170" x14ac:dyDescent="0.25">
      <c r="A18">
        <v>2</v>
      </c>
      <c r="B18">
        <v>1592247732</v>
      </c>
      <c r="C18">
        <v>159.5</v>
      </c>
      <c r="D18" t="s">
        <v>288</v>
      </c>
      <c r="E18" t="s">
        <v>289</v>
      </c>
      <c r="G18">
        <v>1592247724</v>
      </c>
      <c r="H18">
        <f t="shared" si="0"/>
        <v>3.8159335569720992E-3</v>
      </c>
      <c r="I18">
        <f t="shared" si="1"/>
        <v>16.475059093790506</v>
      </c>
      <c r="J18">
        <f t="shared" si="2"/>
        <v>292.92764516129</v>
      </c>
      <c r="K18">
        <f t="shared" si="3"/>
        <v>155.88709586978507</v>
      </c>
      <c r="L18">
        <f t="shared" si="4"/>
        <v>15.64196217277</v>
      </c>
      <c r="M18">
        <f t="shared" si="5"/>
        <v>29.392831519543329</v>
      </c>
      <c r="N18">
        <f t="shared" si="6"/>
        <v>0.20822197546440444</v>
      </c>
      <c r="O18">
        <f t="shared" si="7"/>
        <v>3.4057815213225888</v>
      </c>
      <c r="P18">
        <f t="shared" si="8"/>
        <v>0.20139944996726275</v>
      </c>
      <c r="Q18">
        <f t="shared" si="9"/>
        <v>0.1264690108072048</v>
      </c>
      <c r="R18">
        <f t="shared" si="10"/>
        <v>353.34155065308471</v>
      </c>
      <c r="S18">
        <f t="shared" si="11"/>
        <v>27.604756563854533</v>
      </c>
      <c r="T18">
        <f t="shared" si="12"/>
        <v>27.890993548387101</v>
      </c>
      <c r="U18">
        <f t="shared" si="13"/>
        <v>3.7707913498777903</v>
      </c>
      <c r="V18">
        <f t="shared" si="14"/>
        <v>54.839101758861695</v>
      </c>
      <c r="W18">
        <f t="shared" si="15"/>
        <v>1.9235554604164873</v>
      </c>
      <c r="X18">
        <f t="shared" si="16"/>
        <v>3.5076348786213503</v>
      </c>
      <c r="Y18">
        <f t="shared" si="17"/>
        <v>1.847235889461303</v>
      </c>
      <c r="Z18">
        <f t="shared" si="18"/>
        <v>-168.28266986246956</v>
      </c>
      <c r="AA18">
        <f t="shared" si="19"/>
        <v>-226.62342380205516</v>
      </c>
      <c r="AB18">
        <f t="shared" si="20"/>
        <v>-14.399707653094257</v>
      </c>
      <c r="AC18">
        <f t="shared" si="21"/>
        <v>-55.964250664534262</v>
      </c>
      <c r="AD18">
        <v>-4.1537406337513502E-2</v>
      </c>
      <c r="AE18">
        <v>4.6629377490511298E-2</v>
      </c>
      <c r="AF18">
        <v>3.47867239169162</v>
      </c>
      <c r="AG18">
        <v>148</v>
      </c>
      <c r="AH18">
        <v>30</v>
      </c>
      <c r="AI18">
        <f t="shared" si="22"/>
        <v>1</v>
      </c>
      <c r="AJ18">
        <f t="shared" si="23"/>
        <v>0</v>
      </c>
      <c r="AK18">
        <f t="shared" si="24"/>
        <v>53026.854610060167</v>
      </c>
      <c r="AL18">
        <v>0</v>
      </c>
      <c r="AM18">
        <v>0</v>
      </c>
      <c r="AN18">
        <v>0</v>
      </c>
      <c r="AO18">
        <f t="shared" si="25"/>
        <v>0</v>
      </c>
      <c r="AP18" t="e">
        <f t="shared" si="26"/>
        <v>#DIV/0!</v>
      </c>
      <c r="AQ18">
        <v>-1</v>
      </c>
      <c r="AR18" t="s">
        <v>290</v>
      </c>
      <c r="AS18">
        <v>257.891538461538</v>
      </c>
      <c r="AT18">
        <v>345.685</v>
      </c>
      <c r="AU18">
        <f t="shared" si="27"/>
        <v>0.25396954319239196</v>
      </c>
      <c r="AV18">
        <v>0.5</v>
      </c>
      <c r="AW18">
        <f t="shared" si="28"/>
        <v>1849.2077609994592</v>
      </c>
      <c r="AX18">
        <f t="shared" si="29"/>
        <v>16.475059093790506</v>
      </c>
      <c r="AY18">
        <f t="shared" si="30"/>
        <v>234.82122516442928</v>
      </c>
      <c r="AZ18">
        <f t="shared" si="31"/>
        <v>0.45540014753315883</v>
      </c>
      <c r="BA18">
        <f t="shared" si="32"/>
        <v>9.450024741592903E-3</v>
      </c>
      <c r="BB18">
        <f t="shared" si="33"/>
        <v>-1</v>
      </c>
      <c r="BC18" t="s">
        <v>291</v>
      </c>
      <c r="BD18">
        <v>188.26</v>
      </c>
      <c r="BE18">
        <f t="shared" si="34"/>
        <v>157.42500000000001</v>
      </c>
      <c r="BF18">
        <f t="shared" si="35"/>
        <v>0.55768436740328409</v>
      </c>
      <c r="BG18">
        <f t="shared" si="36"/>
        <v>1.8362105598640179</v>
      </c>
      <c r="BH18">
        <f t="shared" si="37"/>
        <v>0.2539695431923919</v>
      </c>
      <c r="BI18" t="e">
        <f t="shared" si="38"/>
        <v>#DIV/0!</v>
      </c>
      <c r="BJ18">
        <v>3699</v>
      </c>
      <c r="BK18">
        <v>300</v>
      </c>
      <c r="BL18">
        <v>300</v>
      </c>
      <c r="BM18">
        <v>300</v>
      </c>
      <c r="BN18">
        <v>9879.08</v>
      </c>
      <c r="BO18">
        <v>316.93799999999999</v>
      </c>
      <c r="BP18">
        <v>-6.4068299999999996E-3</v>
      </c>
      <c r="BQ18">
        <v>-5.35278E-2</v>
      </c>
      <c r="BR18">
        <f t="shared" si="39"/>
        <v>2200.0270967741899</v>
      </c>
      <c r="BS18">
        <f t="shared" si="40"/>
        <v>1849.2077609994592</v>
      </c>
      <c r="BT18">
        <f t="shared" si="41"/>
        <v>0.84053862959727965</v>
      </c>
      <c r="BU18">
        <f t="shared" si="42"/>
        <v>0.19107725919455951</v>
      </c>
      <c r="BV18">
        <v>0.5</v>
      </c>
      <c r="BW18" t="s">
        <v>281</v>
      </c>
      <c r="BX18">
        <v>1592247724</v>
      </c>
      <c r="BY18">
        <v>292.92764516129</v>
      </c>
      <c r="BZ18">
        <v>299.96396774193602</v>
      </c>
      <c r="CA18">
        <v>19.170067741935501</v>
      </c>
      <c r="CB18">
        <v>17.6731290322581</v>
      </c>
      <c r="CC18">
        <v>500.05812903225802</v>
      </c>
      <c r="CD18">
        <v>100.141612903226</v>
      </c>
      <c r="CE18">
        <v>0.199997064516129</v>
      </c>
      <c r="CF18">
        <v>26.656745161290299</v>
      </c>
      <c r="CG18">
        <v>27.890993548387101</v>
      </c>
      <c r="CH18">
        <v>999.9</v>
      </c>
      <c r="CI18">
        <v>10002.782258064501</v>
      </c>
      <c r="CJ18">
        <v>0</v>
      </c>
      <c r="CK18">
        <v>119.216741935484</v>
      </c>
      <c r="CL18">
        <v>2200.0270967741899</v>
      </c>
      <c r="CM18">
        <v>0.98200464516129005</v>
      </c>
      <c r="CN18">
        <v>1.7995522580645198E-2</v>
      </c>
      <c r="CO18">
        <v>0</v>
      </c>
      <c r="CP18">
        <v>257.951387096774</v>
      </c>
      <c r="CQ18">
        <v>5.00054</v>
      </c>
      <c r="CR18">
        <v>6866.9877419354798</v>
      </c>
      <c r="CS18">
        <v>20590.8129032258</v>
      </c>
      <c r="CT18">
        <v>50.6046774193548</v>
      </c>
      <c r="CU18">
        <v>50.771999999999998</v>
      </c>
      <c r="CV18">
        <v>50.625</v>
      </c>
      <c r="CW18">
        <v>49.963419354838699</v>
      </c>
      <c r="CX18">
        <v>51.749935483870999</v>
      </c>
      <c r="CY18">
        <v>2155.5270967741899</v>
      </c>
      <c r="CZ18">
        <v>39.5</v>
      </c>
      <c r="DA18">
        <v>0</v>
      </c>
      <c r="DB18">
        <v>159</v>
      </c>
      <c r="DC18">
        <v>257.891538461538</v>
      </c>
      <c r="DD18">
        <v>-4.2123760832799002</v>
      </c>
      <c r="DE18">
        <v>-141.25299156246101</v>
      </c>
      <c r="DF18">
        <v>6865.4188461538497</v>
      </c>
      <c r="DG18">
        <v>15</v>
      </c>
      <c r="DH18">
        <v>1592247667.5</v>
      </c>
      <c r="DI18" t="s">
        <v>292</v>
      </c>
      <c r="DJ18">
        <v>44</v>
      </c>
      <c r="DK18">
        <v>-0.33700000000000002</v>
      </c>
      <c r="DL18">
        <v>0.11600000000000001</v>
      </c>
      <c r="DM18">
        <v>300</v>
      </c>
      <c r="DN18">
        <v>17</v>
      </c>
      <c r="DO18">
        <v>0.88</v>
      </c>
      <c r="DP18">
        <v>0.05</v>
      </c>
      <c r="DQ18">
        <v>-7.0376376923076904</v>
      </c>
      <c r="DR18">
        <v>-4.5236916246909599E-2</v>
      </c>
      <c r="DS18">
        <v>5.6615028536714698E-2</v>
      </c>
      <c r="DT18">
        <v>1</v>
      </c>
      <c r="DU18">
        <v>1.48767653846154</v>
      </c>
      <c r="DV18">
        <v>9.9466404849301998E-2</v>
      </c>
      <c r="DW18">
        <v>1.2701621926203501E-2</v>
      </c>
      <c r="DX18">
        <v>1</v>
      </c>
      <c r="DY18">
        <v>2</v>
      </c>
      <c r="DZ18">
        <v>2</v>
      </c>
      <c r="EA18" t="s">
        <v>283</v>
      </c>
      <c r="EB18">
        <v>1.86663</v>
      </c>
      <c r="EC18">
        <v>1.8631899999999999</v>
      </c>
      <c r="ED18">
        <v>1.8687800000000001</v>
      </c>
      <c r="EE18">
        <v>1.86676</v>
      </c>
      <c r="EF18">
        <v>1.8714</v>
      </c>
      <c r="EG18">
        <v>1.8638600000000001</v>
      </c>
      <c r="EH18">
        <v>1.8654200000000001</v>
      </c>
      <c r="EI18">
        <v>1.8653599999999999</v>
      </c>
      <c r="EJ18" t="s">
        <v>284</v>
      </c>
      <c r="EK18" t="s">
        <v>19</v>
      </c>
      <c r="EL18" t="s">
        <v>19</v>
      </c>
      <c r="EM18" t="s">
        <v>19</v>
      </c>
      <c r="EN18" t="s">
        <v>285</v>
      </c>
      <c r="EO18" t="s">
        <v>286</v>
      </c>
      <c r="EP18" t="s">
        <v>287</v>
      </c>
      <c r="EQ18" t="s">
        <v>287</v>
      </c>
      <c r="ER18" t="s">
        <v>287</v>
      </c>
      <c r="ES18" t="s">
        <v>287</v>
      </c>
      <c r="ET18">
        <v>0</v>
      </c>
      <c r="EU18">
        <v>100</v>
      </c>
      <c r="EV18">
        <v>100</v>
      </c>
      <c r="EW18">
        <v>-0.33700000000000002</v>
      </c>
      <c r="EX18">
        <v>0.11600000000000001</v>
      </c>
      <c r="EY18">
        <v>2</v>
      </c>
      <c r="EZ18">
        <v>332.52699999999999</v>
      </c>
      <c r="FA18">
        <v>485.202</v>
      </c>
      <c r="FB18">
        <v>18.289200000000001</v>
      </c>
      <c r="FC18">
        <v>35.651000000000003</v>
      </c>
      <c r="FD18">
        <v>30.001000000000001</v>
      </c>
      <c r="FE18">
        <v>35.472900000000003</v>
      </c>
      <c r="FF18">
        <v>35.445</v>
      </c>
      <c r="FG18">
        <v>18.0123</v>
      </c>
      <c r="FH18">
        <v>10.119</v>
      </c>
      <c r="FI18">
        <v>79.738399999999999</v>
      </c>
      <c r="FJ18">
        <v>17.3095</v>
      </c>
      <c r="FK18">
        <v>300</v>
      </c>
      <c r="FL18">
        <v>17.662099999999999</v>
      </c>
      <c r="FM18">
        <v>100.676</v>
      </c>
      <c r="FN18">
        <v>100.721</v>
      </c>
    </row>
    <row r="19" spans="1:170" x14ac:dyDescent="0.25">
      <c r="A19">
        <v>3</v>
      </c>
      <c r="B19">
        <v>1592247882.5</v>
      </c>
      <c r="C19">
        <v>310</v>
      </c>
      <c r="D19" t="s">
        <v>293</v>
      </c>
      <c r="E19" t="s">
        <v>294</v>
      </c>
      <c r="G19">
        <v>1592247874.5</v>
      </c>
      <c r="H19">
        <f t="shared" si="0"/>
        <v>4.3275418647321486E-3</v>
      </c>
      <c r="I19">
        <f t="shared" si="1"/>
        <v>10.540128551486044</v>
      </c>
      <c r="J19">
        <f t="shared" si="2"/>
        <v>195.46674193548401</v>
      </c>
      <c r="K19">
        <f t="shared" si="3"/>
        <v>116.34625992317524</v>
      </c>
      <c r="L19">
        <f t="shared" si="4"/>
        <v>11.67408964535748</v>
      </c>
      <c r="M19">
        <f t="shared" si="5"/>
        <v>19.612974835182143</v>
      </c>
      <c r="N19">
        <f t="shared" si="6"/>
        <v>0.23419001939038744</v>
      </c>
      <c r="O19">
        <f t="shared" si="7"/>
        <v>3.4053527148442511</v>
      </c>
      <c r="P19">
        <f t="shared" si="8"/>
        <v>0.22559640262321415</v>
      </c>
      <c r="Q19">
        <f t="shared" si="9"/>
        <v>0.14174358113107716</v>
      </c>
      <c r="R19">
        <f t="shared" si="10"/>
        <v>353.33873068904501</v>
      </c>
      <c r="S19">
        <f t="shared" si="11"/>
        <v>27.789480377604047</v>
      </c>
      <c r="T19">
        <f t="shared" si="12"/>
        <v>28.153722580645201</v>
      </c>
      <c r="U19">
        <f t="shared" si="13"/>
        <v>3.8289803650481717</v>
      </c>
      <c r="V19">
        <f t="shared" si="14"/>
        <v>54.891970691814272</v>
      </c>
      <c r="W19">
        <f t="shared" si="15"/>
        <v>1.9597279843595259</v>
      </c>
      <c r="X19">
        <f t="shared" si="16"/>
        <v>3.5701541767597149</v>
      </c>
      <c r="Y19">
        <f t="shared" si="17"/>
        <v>1.8692523806886459</v>
      </c>
      <c r="Z19">
        <f t="shared" si="18"/>
        <v>-190.84459623468774</v>
      </c>
      <c r="AA19">
        <f t="shared" si="19"/>
        <v>-219.68482346969202</v>
      </c>
      <c r="AB19">
        <f t="shared" si="20"/>
        <v>-13.999888137858157</v>
      </c>
      <c r="AC19">
        <f t="shared" si="21"/>
        <v>-71.190577153192891</v>
      </c>
      <c r="AD19">
        <v>-4.15307541023235E-2</v>
      </c>
      <c r="AE19">
        <v>4.6621909773742698E-2</v>
      </c>
      <c r="AF19">
        <v>3.4782319117060601</v>
      </c>
      <c r="AG19">
        <v>148</v>
      </c>
      <c r="AH19">
        <v>30</v>
      </c>
      <c r="AI19">
        <f t="shared" si="22"/>
        <v>1</v>
      </c>
      <c r="AJ19">
        <f t="shared" si="23"/>
        <v>0</v>
      </c>
      <c r="AK19">
        <f t="shared" si="24"/>
        <v>52965.566182830298</v>
      </c>
      <c r="AL19">
        <v>0</v>
      </c>
      <c r="AM19">
        <v>0</v>
      </c>
      <c r="AN19">
        <v>0</v>
      </c>
      <c r="AO19">
        <f t="shared" si="25"/>
        <v>0</v>
      </c>
      <c r="AP19" t="e">
        <f t="shared" si="26"/>
        <v>#DIV/0!</v>
      </c>
      <c r="AQ19">
        <v>-1</v>
      </c>
      <c r="AR19" t="s">
        <v>295</v>
      </c>
      <c r="AS19">
        <v>244.632269230769</v>
      </c>
      <c r="AT19">
        <v>316.62599999999998</v>
      </c>
      <c r="AU19">
        <f t="shared" si="27"/>
        <v>0.22737782358123149</v>
      </c>
      <c r="AV19">
        <v>0.5</v>
      </c>
      <c r="AW19">
        <f t="shared" si="28"/>
        <v>1849.1872642251083</v>
      </c>
      <c r="AX19">
        <f t="shared" si="29"/>
        <v>10.540128551486044</v>
      </c>
      <c r="AY19">
        <f t="shared" si="30"/>
        <v>210.23208776681838</v>
      </c>
      <c r="AZ19">
        <f t="shared" si="31"/>
        <v>0.40301807179448301</v>
      </c>
      <c r="BA19">
        <f t="shared" si="32"/>
        <v>6.2406489460232525E-3</v>
      </c>
      <c r="BB19">
        <f t="shared" si="33"/>
        <v>-1</v>
      </c>
      <c r="BC19" t="s">
        <v>296</v>
      </c>
      <c r="BD19">
        <v>189.02</v>
      </c>
      <c r="BE19">
        <f t="shared" si="34"/>
        <v>127.60599999999997</v>
      </c>
      <c r="BF19">
        <f t="shared" si="35"/>
        <v>0.56418766178103696</v>
      </c>
      <c r="BG19">
        <f t="shared" si="36"/>
        <v>1.6750925827954712</v>
      </c>
      <c r="BH19">
        <f t="shared" si="37"/>
        <v>0.22737782358123143</v>
      </c>
      <c r="BI19" t="e">
        <f t="shared" si="38"/>
        <v>#DIV/0!</v>
      </c>
      <c r="BJ19">
        <v>3701</v>
      </c>
      <c r="BK19">
        <v>300</v>
      </c>
      <c r="BL19">
        <v>300</v>
      </c>
      <c r="BM19">
        <v>300</v>
      </c>
      <c r="BN19">
        <v>9877.4699999999993</v>
      </c>
      <c r="BO19">
        <v>294.577</v>
      </c>
      <c r="BP19">
        <v>-6.4051000000000004E-3</v>
      </c>
      <c r="BQ19">
        <v>0.47445700000000002</v>
      </c>
      <c r="BR19">
        <f t="shared" si="39"/>
        <v>2200.0019354838701</v>
      </c>
      <c r="BS19">
        <f t="shared" si="40"/>
        <v>1849.1872642251083</v>
      </c>
      <c r="BT19">
        <f t="shared" si="41"/>
        <v>0.84053892607980663</v>
      </c>
      <c r="BU19">
        <f t="shared" si="42"/>
        <v>0.19107785215961329</v>
      </c>
      <c r="BV19">
        <v>0.5</v>
      </c>
      <c r="BW19" t="s">
        <v>281</v>
      </c>
      <c r="BX19">
        <v>1592247874.5</v>
      </c>
      <c r="BY19">
        <v>195.46674193548401</v>
      </c>
      <c r="BZ19">
        <v>200.020677419355</v>
      </c>
      <c r="CA19">
        <v>19.531032258064499</v>
      </c>
      <c r="CB19">
        <v>17.834</v>
      </c>
      <c r="CC19">
        <v>500.05183870967699</v>
      </c>
      <c r="CD19">
        <v>100.139193548387</v>
      </c>
      <c r="CE19">
        <v>0.19999787096774199</v>
      </c>
      <c r="CF19">
        <v>26.957112903225799</v>
      </c>
      <c r="CG19">
        <v>28.153722580645201</v>
      </c>
      <c r="CH19">
        <v>999.9</v>
      </c>
      <c r="CI19">
        <v>10001.421935483901</v>
      </c>
      <c r="CJ19">
        <v>0</v>
      </c>
      <c r="CK19">
        <v>117.421483870968</v>
      </c>
      <c r="CL19">
        <v>2200.0019354838701</v>
      </c>
      <c r="CM19">
        <v>0.98199383870967705</v>
      </c>
      <c r="CN19">
        <v>1.8005819354838699E-2</v>
      </c>
      <c r="CO19">
        <v>0</v>
      </c>
      <c r="CP19">
        <v>244.640774193548</v>
      </c>
      <c r="CQ19">
        <v>5.00054</v>
      </c>
      <c r="CR19">
        <v>6565.5587096774198</v>
      </c>
      <c r="CS19">
        <v>20590.516129032301</v>
      </c>
      <c r="CT19">
        <v>50.828258064516099</v>
      </c>
      <c r="CU19">
        <v>51.164999999999999</v>
      </c>
      <c r="CV19">
        <v>50.875</v>
      </c>
      <c r="CW19">
        <v>50.340548387096803</v>
      </c>
      <c r="CX19">
        <v>51.991806451612902</v>
      </c>
      <c r="CY19">
        <v>2155.4806451612899</v>
      </c>
      <c r="CZ19">
        <v>39.521290322580597</v>
      </c>
      <c r="DA19">
        <v>0</v>
      </c>
      <c r="DB19">
        <v>150</v>
      </c>
      <c r="DC19">
        <v>244.632269230769</v>
      </c>
      <c r="DD19">
        <v>-2.5386324904431299</v>
      </c>
      <c r="DE19">
        <v>-222.91316048961201</v>
      </c>
      <c r="DF19">
        <v>6557.69115384615</v>
      </c>
      <c r="DG19">
        <v>15</v>
      </c>
      <c r="DH19">
        <v>1592247812</v>
      </c>
      <c r="DI19" t="s">
        <v>297</v>
      </c>
      <c r="DJ19">
        <v>45</v>
      </c>
      <c r="DK19">
        <v>-0.27200000000000002</v>
      </c>
      <c r="DL19">
        <v>0.12</v>
      </c>
      <c r="DM19">
        <v>200</v>
      </c>
      <c r="DN19">
        <v>18</v>
      </c>
      <c r="DO19">
        <v>0.42</v>
      </c>
      <c r="DP19">
        <v>0.05</v>
      </c>
      <c r="DQ19">
        <v>-4.5266723076923103</v>
      </c>
      <c r="DR19">
        <v>-0.27904984205581401</v>
      </c>
      <c r="DS19">
        <v>4.8958242592555198E-2</v>
      </c>
      <c r="DT19">
        <v>1</v>
      </c>
      <c r="DU19">
        <v>1.6859532692307699</v>
      </c>
      <c r="DV19">
        <v>0.120887577904901</v>
      </c>
      <c r="DW19">
        <v>1.5287330189151099E-2</v>
      </c>
      <c r="DX19">
        <v>0</v>
      </c>
      <c r="DY19">
        <v>1</v>
      </c>
      <c r="DZ19">
        <v>2</v>
      </c>
      <c r="EA19" t="s">
        <v>298</v>
      </c>
      <c r="EB19">
        <v>1.8666199999999999</v>
      </c>
      <c r="EC19">
        <v>1.8631800000000001</v>
      </c>
      <c r="ED19">
        <v>1.8688</v>
      </c>
      <c r="EE19">
        <v>1.86676</v>
      </c>
      <c r="EF19">
        <v>1.87138</v>
      </c>
      <c r="EG19">
        <v>1.8638600000000001</v>
      </c>
      <c r="EH19">
        <v>1.86541</v>
      </c>
      <c r="EI19">
        <v>1.86538</v>
      </c>
      <c r="EJ19" t="s">
        <v>284</v>
      </c>
      <c r="EK19" t="s">
        <v>19</v>
      </c>
      <c r="EL19" t="s">
        <v>19</v>
      </c>
      <c r="EM19" t="s">
        <v>19</v>
      </c>
      <c r="EN19" t="s">
        <v>285</v>
      </c>
      <c r="EO19" t="s">
        <v>286</v>
      </c>
      <c r="EP19" t="s">
        <v>287</v>
      </c>
      <c r="EQ19" t="s">
        <v>287</v>
      </c>
      <c r="ER19" t="s">
        <v>287</v>
      </c>
      <c r="ES19" t="s">
        <v>287</v>
      </c>
      <c r="ET19">
        <v>0</v>
      </c>
      <c r="EU19">
        <v>100</v>
      </c>
      <c r="EV19">
        <v>100</v>
      </c>
      <c r="EW19">
        <v>-0.27200000000000002</v>
      </c>
      <c r="EX19">
        <v>0.12</v>
      </c>
      <c r="EY19">
        <v>2</v>
      </c>
      <c r="EZ19">
        <v>332.30200000000002</v>
      </c>
      <c r="FA19">
        <v>484.07299999999998</v>
      </c>
      <c r="FB19">
        <v>18.551100000000002</v>
      </c>
      <c r="FC19">
        <v>35.875599999999999</v>
      </c>
      <c r="FD19">
        <v>30.000800000000002</v>
      </c>
      <c r="FE19">
        <v>35.6785</v>
      </c>
      <c r="FF19">
        <v>35.642200000000003</v>
      </c>
      <c r="FG19">
        <v>13.273199999999999</v>
      </c>
      <c r="FH19">
        <v>9.2962799999999994</v>
      </c>
      <c r="FI19">
        <v>87.208600000000004</v>
      </c>
      <c r="FJ19">
        <v>17.596900000000002</v>
      </c>
      <c r="FK19">
        <v>200</v>
      </c>
      <c r="FL19">
        <v>17.843900000000001</v>
      </c>
      <c r="FM19">
        <v>100.63200000000001</v>
      </c>
      <c r="FN19">
        <v>100.678</v>
      </c>
    </row>
    <row r="20" spans="1:170" x14ac:dyDescent="0.25">
      <c r="A20">
        <v>4</v>
      </c>
      <c r="B20">
        <v>1592248003</v>
      </c>
      <c r="C20">
        <v>430.5</v>
      </c>
      <c r="D20" t="s">
        <v>299</v>
      </c>
      <c r="E20" t="s">
        <v>300</v>
      </c>
      <c r="G20">
        <v>1592247995</v>
      </c>
      <c r="H20">
        <f t="shared" si="0"/>
        <v>4.7002945873867085E-3</v>
      </c>
      <c r="I20">
        <f t="shared" si="1"/>
        <v>3.6760269491921531</v>
      </c>
      <c r="J20">
        <f t="shared" si="2"/>
        <v>98.370167741935504</v>
      </c>
      <c r="K20">
        <f t="shared" si="3"/>
        <v>73.375773007956781</v>
      </c>
      <c r="L20">
        <f t="shared" si="4"/>
        <v>7.3628598157296627</v>
      </c>
      <c r="M20">
        <f t="shared" si="5"/>
        <v>9.8709114117972234</v>
      </c>
      <c r="N20">
        <f t="shared" si="6"/>
        <v>0.27101222584213797</v>
      </c>
      <c r="O20">
        <f t="shared" si="7"/>
        <v>3.4060446110964508</v>
      </c>
      <c r="P20">
        <f t="shared" si="8"/>
        <v>0.25957695948100051</v>
      </c>
      <c r="Q20">
        <f t="shared" si="9"/>
        <v>0.1632228045715477</v>
      </c>
      <c r="R20">
        <f t="shared" si="10"/>
        <v>353.34251949479727</v>
      </c>
      <c r="S20">
        <f t="shared" si="11"/>
        <v>27.340446742710757</v>
      </c>
      <c r="T20">
        <f t="shared" si="12"/>
        <v>27.606438709677398</v>
      </c>
      <c r="U20">
        <f t="shared" si="13"/>
        <v>3.7086401497488231</v>
      </c>
      <c r="V20">
        <f t="shared" si="14"/>
        <v>55.599020369376227</v>
      </c>
      <c r="W20">
        <f t="shared" si="15"/>
        <v>1.942816061211653</v>
      </c>
      <c r="X20">
        <f t="shared" si="16"/>
        <v>3.4943350589712012</v>
      </c>
      <c r="Y20">
        <f t="shared" si="17"/>
        <v>1.7658240885371701</v>
      </c>
      <c r="Z20">
        <f t="shared" si="18"/>
        <v>-207.28299130375385</v>
      </c>
      <c r="AA20">
        <f t="shared" si="19"/>
        <v>-186.23299119963568</v>
      </c>
      <c r="AB20">
        <f t="shared" si="20"/>
        <v>-11.811739600812357</v>
      </c>
      <c r="AC20">
        <f t="shared" si="21"/>
        <v>-51.98520260940461</v>
      </c>
      <c r="AD20">
        <v>-4.1541487935948501E-2</v>
      </c>
      <c r="AE20">
        <v>4.6633959442322299E-2</v>
      </c>
      <c r="AF20">
        <v>3.4789426439555999</v>
      </c>
      <c r="AG20">
        <v>148</v>
      </c>
      <c r="AH20">
        <v>30</v>
      </c>
      <c r="AI20">
        <f t="shared" si="22"/>
        <v>1</v>
      </c>
      <c r="AJ20">
        <f t="shared" si="23"/>
        <v>0</v>
      </c>
      <c r="AK20">
        <f t="shared" si="24"/>
        <v>53043.334259326781</v>
      </c>
      <c r="AL20">
        <v>0</v>
      </c>
      <c r="AM20">
        <v>0</v>
      </c>
      <c r="AN20">
        <v>0</v>
      </c>
      <c r="AO20">
        <f t="shared" si="25"/>
        <v>0</v>
      </c>
      <c r="AP20" t="e">
        <f t="shared" si="26"/>
        <v>#DIV/0!</v>
      </c>
      <c r="AQ20">
        <v>-1</v>
      </c>
      <c r="AR20" t="s">
        <v>301</v>
      </c>
      <c r="AS20">
        <v>242.830692307692</v>
      </c>
      <c r="AT20">
        <v>299.67599999999999</v>
      </c>
      <c r="AU20">
        <f t="shared" si="27"/>
        <v>0.18968922333556237</v>
      </c>
      <c r="AV20">
        <v>0.5</v>
      </c>
      <c r="AW20">
        <f t="shared" si="28"/>
        <v>1849.2075480960912</v>
      </c>
      <c r="AX20">
        <f t="shared" si="29"/>
        <v>3.6760269491921531</v>
      </c>
      <c r="AY20">
        <f t="shared" si="30"/>
        <v>175.38737179230355</v>
      </c>
      <c r="AZ20">
        <f t="shared" si="31"/>
        <v>0.36304542238951398</v>
      </c>
      <c r="BA20">
        <f t="shared" si="32"/>
        <v>2.5286652944968243E-3</v>
      </c>
      <c r="BB20">
        <f t="shared" si="33"/>
        <v>-1</v>
      </c>
      <c r="BC20" t="s">
        <v>302</v>
      </c>
      <c r="BD20">
        <v>190.88</v>
      </c>
      <c r="BE20">
        <f t="shared" si="34"/>
        <v>108.79599999999999</v>
      </c>
      <c r="BF20">
        <f t="shared" si="35"/>
        <v>0.52249446388017928</v>
      </c>
      <c r="BG20">
        <f t="shared" si="36"/>
        <v>1.5699706621961442</v>
      </c>
      <c r="BH20">
        <f t="shared" si="37"/>
        <v>0.18968922333556237</v>
      </c>
      <c r="BI20" t="e">
        <f t="shared" si="38"/>
        <v>#DIV/0!</v>
      </c>
      <c r="BJ20">
        <v>3703</v>
      </c>
      <c r="BK20">
        <v>300</v>
      </c>
      <c r="BL20">
        <v>300</v>
      </c>
      <c r="BM20">
        <v>300</v>
      </c>
      <c r="BN20">
        <v>9882.86</v>
      </c>
      <c r="BO20">
        <v>283.34399999999999</v>
      </c>
      <c r="BP20">
        <v>-6.4094199999999999E-3</v>
      </c>
      <c r="BQ20">
        <v>0.45941199999999999</v>
      </c>
      <c r="BR20">
        <f t="shared" si="39"/>
        <v>2200.0261290322601</v>
      </c>
      <c r="BS20">
        <f t="shared" si="40"/>
        <v>1849.2075480960912</v>
      </c>
      <c r="BT20">
        <f t="shared" si="41"/>
        <v>0.84053890255817743</v>
      </c>
      <c r="BU20">
        <f t="shared" si="42"/>
        <v>0.19107780511635483</v>
      </c>
      <c r="BV20">
        <v>0.5</v>
      </c>
      <c r="BW20" t="s">
        <v>281</v>
      </c>
      <c r="BX20">
        <v>1592247995</v>
      </c>
      <c r="BY20">
        <v>98.370167741935504</v>
      </c>
      <c r="BZ20">
        <v>100.025387096774</v>
      </c>
      <c r="CA20">
        <v>19.3614483870968</v>
      </c>
      <c r="CB20">
        <v>17.517887096774199</v>
      </c>
      <c r="CC20">
        <v>500.04196774193503</v>
      </c>
      <c r="CD20">
        <v>100.144612903226</v>
      </c>
      <c r="CE20">
        <v>0.19994925806451599</v>
      </c>
      <c r="CF20">
        <v>26.5922451612903</v>
      </c>
      <c r="CG20">
        <v>27.606438709677398</v>
      </c>
      <c r="CH20">
        <v>999.9</v>
      </c>
      <c r="CI20">
        <v>10003.465483870999</v>
      </c>
      <c r="CJ20">
        <v>0</v>
      </c>
      <c r="CK20">
        <v>102.868580645161</v>
      </c>
      <c r="CL20">
        <v>2200.0261290322601</v>
      </c>
      <c r="CM20">
        <v>0.98199648387096805</v>
      </c>
      <c r="CN20">
        <v>1.80030419354839E-2</v>
      </c>
      <c r="CO20">
        <v>0</v>
      </c>
      <c r="CP20">
        <v>242.835225806452</v>
      </c>
      <c r="CQ20">
        <v>5.00054</v>
      </c>
      <c r="CR20">
        <v>6641.5051612903198</v>
      </c>
      <c r="CS20">
        <v>20590.770967741901</v>
      </c>
      <c r="CT20">
        <v>49.792000000000002</v>
      </c>
      <c r="CU20">
        <v>50.0782903225806</v>
      </c>
      <c r="CV20">
        <v>49.689290322580597</v>
      </c>
      <c r="CW20">
        <v>49.058225806451603</v>
      </c>
      <c r="CX20">
        <v>50.790096774193501</v>
      </c>
      <c r="CY20">
        <v>2155.5061290322601</v>
      </c>
      <c r="CZ20">
        <v>39.520000000000003</v>
      </c>
      <c r="DA20">
        <v>0</v>
      </c>
      <c r="DB20">
        <v>120</v>
      </c>
      <c r="DC20">
        <v>242.830692307692</v>
      </c>
      <c r="DD20">
        <v>-0.26810256493208801</v>
      </c>
      <c r="DE20">
        <v>30.716923134029098</v>
      </c>
      <c r="DF20">
        <v>6641.70346153846</v>
      </c>
      <c r="DG20">
        <v>15</v>
      </c>
      <c r="DH20">
        <v>1592247951.5</v>
      </c>
      <c r="DI20" t="s">
        <v>303</v>
      </c>
      <c r="DJ20">
        <v>46</v>
      </c>
      <c r="DK20">
        <v>-0.23499999999999999</v>
      </c>
      <c r="DL20">
        <v>0.11899999999999999</v>
      </c>
      <c r="DM20">
        <v>100</v>
      </c>
      <c r="DN20">
        <v>18</v>
      </c>
      <c r="DO20">
        <v>0.24</v>
      </c>
      <c r="DP20">
        <v>0.05</v>
      </c>
      <c r="DQ20">
        <v>-1.6433840384615399</v>
      </c>
      <c r="DR20">
        <v>-8.3180449073693097E-2</v>
      </c>
      <c r="DS20">
        <v>5.8533464204399803E-2</v>
      </c>
      <c r="DT20">
        <v>1</v>
      </c>
      <c r="DU20">
        <v>1.8346786538461499</v>
      </c>
      <c r="DV20">
        <v>9.59548706565303E-2</v>
      </c>
      <c r="DW20">
        <v>1.8659861182273502E-2</v>
      </c>
      <c r="DX20">
        <v>1</v>
      </c>
      <c r="DY20">
        <v>2</v>
      </c>
      <c r="DZ20">
        <v>2</v>
      </c>
      <c r="EA20" t="s">
        <v>283</v>
      </c>
      <c r="EB20">
        <v>1.8666400000000001</v>
      </c>
      <c r="EC20">
        <v>1.8631899999999999</v>
      </c>
      <c r="ED20">
        <v>1.86876</v>
      </c>
      <c r="EE20">
        <v>1.86676</v>
      </c>
      <c r="EF20">
        <v>1.87138</v>
      </c>
      <c r="EG20">
        <v>1.8638600000000001</v>
      </c>
      <c r="EH20">
        <v>1.8653900000000001</v>
      </c>
      <c r="EI20">
        <v>1.86534</v>
      </c>
      <c r="EJ20" t="s">
        <v>284</v>
      </c>
      <c r="EK20" t="s">
        <v>19</v>
      </c>
      <c r="EL20" t="s">
        <v>19</v>
      </c>
      <c r="EM20" t="s">
        <v>19</v>
      </c>
      <c r="EN20" t="s">
        <v>285</v>
      </c>
      <c r="EO20" t="s">
        <v>286</v>
      </c>
      <c r="EP20" t="s">
        <v>287</v>
      </c>
      <c r="EQ20" t="s">
        <v>287</v>
      </c>
      <c r="ER20" t="s">
        <v>287</v>
      </c>
      <c r="ES20" t="s">
        <v>287</v>
      </c>
      <c r="ET20">
        <v>0</v>
      </c>
      <c r="EU20">
        <v>100</v>
      </c>
      <c r="EV20">
        <v>100</v>
      </c>
      <c r="EW20">
        <v>-0.23499999999999999</v>
      </c>
      <c r="EX20">
        <v>0.11899999999999999</v>
      </c>
      <c r="EY20">
        <v>2</v>
      </c>
      <c r="EZ20">
        <v>333.15800000000002</v>
      </c>
      <c r="FA20">
        <v>483.75700000000001</v>
      </c>
      <c r="FB20">
        <v>18.337499999999999</v>
      </c>
      <c r="FC20">
        <v>35.945900000000002</v>
      </c>
      <c r="FD20">
        <v>30.000299999999999</v>
      </c>
      <c r="FE20">
        <v>35.777200000000001</v>
      </c>
      <c r="FF20">
        <v>35.737699999999997</v>
      </c>
      <c r="FG20">
        <v>8.3389100000000003</v>
      </c>
      <c r="FH20">
        <v>11.690099999999999</v>
      </c>
      <c r="FI20">
        <v>91.977999999999994</v>
      </c>
      <c r="FJ20">
        <v>17.486999999999998</v>
      </c>
      <c r="FK20">
        <v>100</v>
      </c>
      <c r="FL20">
        <v>17.2986</v>
      </c>
      <c r="FM20">
        <v>100.614</v>
      </c>
      <c r="FN20">
        <v>100.65900000000001</v>
      </c>
    </row>
    <row r="21" spans="1:170" x14ac:dyDescent="0.25">
      <c r="A21">
        <v>5</v>
      </c>
      <c r="B21">
        <v>1592248123.5</v>
      </c>
      <c r="C21">
        <v>551</v>
      </c>
      <c r="D21" t="s">
        <v>304</v>
      </c>
      <c r="E21" t="s">
        <v>305</v>
      </c>
      <c r="G21">
        <v>1592248115.5</v>
      </c>
      <c r="H21">
        <f t="shared" si="0"/>
        <v>4.9251262103568389E-3</v>
      </c>
      <c r="I21">
        <f t="shared" si="1"/>
        <v>-4.2730237683035022E-2</v>
      </c>
      <c r="J21">
        <f t="shared" si="2"/>
        <v>49.928874193548403</v>
      </c>
      <c r="K21">
        <f t="shared" si="3"/>
        <v>48.770554603030583</v>
      </c>
      <c r="L21">
        <f t="shared" si="4"/>
        <v>4.8938938482595802</v>
      </c>
      <c r="M21">
        <f t="shared" si="5"/>
        <v>5.0101257255571472</v>
      </c>
      <c r="N21">
        <f t="shared" si="6"/>
        <v>0.28779921588926727</v>
      </c>
      <c r="O21">
        <f t="shared" si="7"/>
        <v>3.4051894656470405</v>
      </c>
      <c r="P21">
        <f t="shared" si="8"/>
        <v>0.27493648897736123</v>
      </c>
      <c r="Q21">
        <f t="shared" si="9"/>
        <v>0.17294305976820445</v>
      </c>
      <c r="R21">
        <f t="shared" si="10"/>
        <v>353.34010910993709</v>
      </c>
      <c r="S21">
        <f t="shared" si="11"/>
        <v>27.192171453059331</v>
      </c>
      <c r="T21">
        <f t="shared" si="12"/>
        <v>27.4171612903226</v>
      </c>
      <c r="U21">
        <f t="shared" si="13"/>
        <v>3.6677958027401583</v>
      </c>
      <c r="V21">
        <f t="shared" si="14"/>
        <v>55.271741601108161</v>
      </c>
      <c r="W21">
        <f t="shared" si="15"/>
        <v>1.9202939166780715</v>
      </c>
      <c r="X21">
        <f t="shared" si="16"/>
        <v>3.4742779240369925</v>
      </c>
      <c r="Y21">
        <f t="shared" si="17"/>
        <v>1.7475018860620868</v>
      </c>
      <c r="Z21">
        <f t="shared" si="18"/>
        <v>-217.19806587673659</v>
      </c>
      <c r="AA21">
        <f t="shared" si="19"/>
        <v>-169.37025361703056</v>
      </c>
      <c r="AB21">
        <f t="shared" si="20"/>
        <v>-10.729516789983141</v>
      </c>
      <c r="AC21">
        <f t="shared" si="21"/>
        <v>-43.957727173813225</v>
      </c>
      <c r="AD21">
        <v>-4.1528221656541103E-2</v>
      </c>
      <c r="AE21">
        <v>4.6619066881497501E-2</v>
      </c>
      <c r="AF21">
        <v>3.4780642185102102</v>
      </c>
      <c r="AG21">
        <v>149</v>
      </c>
      <c r="AH21">
        <v>30</v>
      </c>
      <c r="AI21">
        <f t="shared" si="22"/>
        <v>1</v>
      </c>
      <c r="AJ21">
        <f t="shared" si="23"/>
        <v>0</v>
      </c>
      <c r="AK21">
        <f t="shared" si="24"/>
        <v>53044.396148571337</v>
      </c>
      <c r="AL21">
        <v>0</v>
      </c>
      <c r="AM21">
        <v>0</v>
      </c>
      <c r="AN21">
        <v>0</v>
      </c>
      <c r="AO21">
        <f t="shared" si="25"/>
        <v>0</v>
      </c>
      <c r="AP21" t="e">
        <f t="shared" si="26"/>
        <v>#DIV/0!</v>
      </c>
      <c r="AQ21">
        <v>-1</v>
      </c>
      <c r="AR21" t="s">
        <v>306</v>
      </c>
      <c r="AS21">
        <v>243.04392307692299</v>
      </c>
      <c r="AT21">
        <v>295.59500000000003</v>
      </c>
      <c r="AU21">
        <f t="shared" si="27"/>
        <v>0.17778066923688507</v>
      </c>
      <c r="AV21">
        <v>0.5</v>
      </c>
      <c r="AW21">
        <f t="shared" si="28"/>
        <v>1849.200173902688</v>
      </c>
      <c r="AX21">
        <f t="shared" si="29"/>
        <v>-4.2730237683035022E-2</v>
      </c>
      <c r="AY21">
        <f t="shared" si="30"/>
        <v>164.37602223469207</v>
      </c>
      <c r="AZ21">
        <f t="shared" si="31"/>
        <v>0.34369661191833428</v>
      </c>
      <c r="BA21">
        <f t="shared" si="32"/>
        <v>5.1766692207078514E-4</v>
      </c>
      <c r="BB21">
        <f t="shared" si="33"/>
        <v>-1</v>
      </c>
      <c r="BC21" t="s">
        <v>307</v>
      </c>
      <c r="BD21">
        <v>194</v>
      </c>
      <c r="BE21">
        <f t="shared" si="34"/>
        <v>101.59500000000003</v>
      </c>
      <c r="BF21">
        <f t="shared" si="35"/>
        <v>0.51726046481693999</v>
      </c>
      <c r="BG21">
        <f t="shared" si="36"/>
        <v>1.5236855670103093</v>
      </c>
      <c r="BH21">
        <f t="shared" si="37"/>
        <v>0.17778066923688501</v>
      </c>
      <c r="BI21" t="e">
        <f t="shared" si="38"/>
        <v>#DIV/0!</v>
      </c>
      <c r="BJ21">
        <v>3705</v>
      </c>
      <c r="BK21">
        <v>300</v>
      </c>
      <c r="BL21">
        <v>300</v>
      </c>
      <c r="BM21">
        <v>300</v>
      </c>
      <c r="BN21">
        <v>9885.9599999999991</v>
      </c>
      <c r="BO21">
        <v>277.83100000000002</v>
      </c>
      <c r="BP21">
        <v>-6.4117999999999996E-3</v>
      </c>
      <c r="BQ21">
        <v>-0.25698900000000002</v>
      </c>
      <c r="BR21">
        <f t="shared" si="39"/>
        <v>2200.0180645161299</v>
      </c>
      <c r="BS21">
        <f t="shared" si="40"/>
        <v>1849.200173902688</v>
      </c>
      <c r="BT21">
        <f t="shared" si="41"/>
        <v>0.84053863180864352</v>
      </c>
      <c r="BU21">
        <f t="shared" si="42"/>
        <v>0.19107726361728711</v>
      </c>
      <c r="BV21">
        <v>0.5</v>
      </c>
      <c r="BW21" t="s">
        <v>281</v>
      </c>
      <c r="BX21">
        <v>1592248115.5</v>
      </c>
      <c r="BY21">
        <v>49.928874193548403</v>
      </c>
      <c r="BZ21">
        <v>50.010135483870997</v>
      </c>
      <c r="CA21">
        <v>19.1368677419355</v>
      </c>
      <c r="CB21">
        <v>17.204732258064499</v>
      </c>
      <c r="CC21">
        <v>500.05548387096798</v>
      </c>
      <c r="CD21">
        <v>100.145258064516</v>
      </c>
      <c r="CE21">
        <v>0.19999919354838699</v>
      </c>
      <c r="CF21">
        <v>26.494567741935501</v>
      </c>
      <c r="CG21">
        <v>27.4171612903226</v>
      </c>
      <c r="CH21">
        <v>999.9</v>
      </c>
      <c r="CI21">
        <v>10000.206451612899</v>
      </c>
      <c r="CJ21">
        <v>0</v>
      </c>
      <c r="CK21">
        <v>100.789709677419</v>
      </c>
      <c r="CL21">
        <v>2200.0180645161299</v>
      </c>
      <c r="CM21">
        <v>0.98200496774193502</v>
      </c>
      <c r="CN21">
        <v>1.7995183870967699E-2</v>
      </c>
      <c r="CO21">
        <v>0</v>
      </c>
      <c r="CP21">
        <v>243.03532258064499</v>
      </c>
      <c r="CQ21">
        <v>5.00054</v>
      </c>
      <c r="CR21">
        <v>6652.2277419354796</v>
      </c>
      <c r="CS21">
        <v>20590.722580645201</v>
      </c>
      <c r="CT21">
        <v>49.058064516129001</v>
      </c>
      <c r="CU21">
        <v>49.6046774193548</v>
      </c>
      <c r="CV21">
        <v>48.975612903225802</v>
      </c>
      <c r="CW21">
        <v>48.632935483871002</v>
      </c>
      <c r="CX21">
        <v>50.273935483871</v>
      </c>
      <c r="CY21">
        <v>2155.5180645161299</v>
      </c>
      <c r="CZ21">
        <v>39.5</v>
      </c>
      <c r="DA21">
        <v>0</v>
      </c>
      <c r="DB21">
        <v>120</v>
      </c>
      <c r="DC21">
        <v>243.04392307692299</v>
      </c>
      <c r="DD21">
        <v>-0.25442736332861499</v>
      </c>
      <c r="DE21">
        <v>-38.103931703429801</v>
      </c>
      <c r="DF21">
        <v>6652.0253846153801</v>
      </c>
      <c r="DG21">
        <v>15</v>
      </c>
      <c r="DH21">
        <v>1592248066.5</v>
      </c>
      <c r="DI21" t="s">
        <v>308</v>
      </c>
      <c r="DJ21">
        <v>47</v>
      </c>
      <c r="DK21">
        <v>-0.21199999999999999</v>
      </c>
      <c r="DL21">
        <v>0.112</v>
      </c>
      <c r="DM21">
        <v>50</v>
      </c>
      <c r="DN21">
        <v>17</v>
      </c>
      <c r="DO21">
        <v>0.36</v>
      </c>
      <c r="DP21">
        <v>0.05</v>
      </c>
      <c r="DQ21">
        <v>-7.8163118076923097E-2</v>
      </c>
      <c r="DR21">
        <v>8.8015209015622098E-2</v>
      </c>
      <c r="DS21">
        <v>4.4440271994310603E-2</v>
      </c>
      <c r="DT21">
        <v>1</v>
      </c>
      <c r="DU21">
        <v>1.92400980769231</v>
      </c>
      <c r="DV21">
        <v>8.8836421070597804E-2</v>
      </c>
      <c r="DW21">
        <v>1.16974881410144E-2</v>
      </c>
      <c r="DX21">
        <v>1</v>
      </c>
      <c r="DY21">
        <v>2</v>
      </c>
      <c r="DZ21">
        <v>2</v>
      </c>
      <c r="EA21" t="s">
        <v>283</v>
      </c>
      <c r="EB21">
        <v>1.8666400000000001</v>
      </c>
      <c r="EC21">
        <v>1.8631599999999999</v>
      </c>
      <c r="ED21">
        <v>1.8687800000000001</v>
      </c>
      <c r="EE21">
        <v>1.86676</v>
      </c>
      <c r="EF21">
        <v>1.87141</v>
      </c>
      <c r="EG21">
        <v>1.8638600000000001</v>
      </c>
      <c r="EH21">
        <v>1.8654200000000001</v>
      </c>
      <c r="EI21">
        <v>1.8653500000000001</v>
      </c>
      <c r="EJ21" t="s">
        <v>284</v>
      </c>
      <c r="EK21" t="s">
        <v>19</v>
      </c>
      <c r="EL21" t="s">
        <v>19</v>
      </c>
      <c r="EM21" t="s">
        <v>19</v>
      </c>
      <c r="EN21" t="s">
        <v>285</v>
      </c>
      <c r="EO21" t="s">
        <v>286</v>
      </c>
      <c r="EP21" t="s">
        <v>287</v>
      </c>
      <c r="EQ21" t="s">
        <v>287</v>
      </c>
      <c r="ER21" t="s">
        <v>287</v>
      </c>
      <c r="ES21" t="s">
        <v>287</v>
      </c>
      <c r="ET21">
        <v>0</v>
      </c>
      <c r="EU21">
        <v>100</v>
      </c>
      <c r="EV21">
        <v>100</v>
      </c>
      <c r="EW21">
        <v>-0.21199999999999999</v>
      </c>
      <c r="EX21">
        <v>0.112</v>
      </c>
      <c r="EY21">
        <v>2</v>
      </c>
      <c r="EZ21">
        <v>332.02600000000001</v>
      </c>
      <c r="FA21">
        <v>483.459</v>
      </c>
      <c r="FB21">
        <v>18.322500000000002</v>
      </c>
      <c r="FC21">
        <v>35.989800000000002</v>
      </c>
      <c r="FD21">
        <v>30.0002</v>
      </c>
      <c r="FE21">
        <v>35.854599999999998</v>
      </c>
      <c r="FF21">
        <v>35.820900000000002</v>
      </c>
      <c r="FG21">
        <v>5.8390500000000003</v>
      </c>
      <c r="FH21">
        <v>12.835599999999999</v>
      </c>
      <c r="FI21">
        <v>95.6541</v>
      </c>
      <c r="FJ21">
        <v>17.2744</v>
      </c>
      <c r="FK21">
        <v>50</v>
      </c>
      <c r="FL21">
        <v>17.053799999999999</v>
      </c>
      <c r="FM21">
        <v>100.596</v>
      </c>
      <c r="FN21">
        <v>100.646</v>
      </c>
    </row>
    <row r="22" spans="1:170" x14ac:dyDescent="0.25">
      <c r="A22">
        <v>6</v>
      </c>
      <c r="B22">
        <v>1592248260</v>
      </c>
      <c r="C22">
        <v>687.5</v>
      </c>
      <c r="D22" t="s">
        <v>309</v>
      </c>
      <c r="E22" t="s">
        <v>310</v>
      </c>
      <c r="G22">
        <v>1592248252</v>
      </c>
      <c r="H22">
        <f t="shared" si="0"/>
        <v>5.4557613142232455E-3</v>
      </c>
      <c r="I22">
        <f t="shared" si="1"/>
        <v>28.114148817809141</v>
      </c>
      <c r="J22">
        <f t="shared" si="2"/>
        <v>387.89790322580598</v>
      </c>
      <c r="K22">
        <f t="shared" si="3"/>
        <v>230.42982881564566</v>
      </c>
      <c r="L22">
        <f t="shared" si="4"/>
        <v>23.122582383233425</v>
      </c>
      <c r="M22">
        <f t="shared" si="5"/>
        <v>38.92378547396298</v>
      </c>
      <c r="N22">
        <f t="shared" si="6"/>
        <v>0.31612882814917059</v>
      </c>
      <c r="O22">
        <f t="shared" si="7"/>
        <v>3.4047497253742547</v>
      </c>
      <c r="P22">
        <f t="shared" si="8"/>
        <v>0.30068031018149705</v>
      </c>
      <c r="Q22">
        <f t="shared" si="9"/>
        <v>0.18925025399229667</v>
      </c>
      <c r="R22">
        <f t="shared" si="10"/>
        <v>353.33696860522025</v>
      </c>
      <c r="S22">
        <f t="shared" si="11"/>
        <v>27.257353155454478</v>
      </c>
      <c r="T22">
        <f t="shared" si="12"/>
        <v>27.533593548387099</v>
      </c>
      <c r="U22">
        <f t="shared" si="13"/>
        <v>3.6928740859620608</v>
      </c>
      <c r="V22">
        <f t="shared" si="14"/>
        <v>54.751709102488711</v>
      </c>
      <c r="W22">
        <f t="shared" si="15"/>
        <v>1.9230837652315167</v>
      </c>
      <c r="X22">
        <f t="shared" si="16"/>
        <v>3.5123721190725425</v>
      </c>
      <c r="Y22">
        <f t="shared" si="17"/>
        <v>1.7697903207305441</v>
      </c>
      <c r="Z22">
        <f t="shared" si="18"/>
        <v>-240.59907395724511</v>
      </c>
      <c r="AA22">
        <f t="shared" si="19"/>
        <v>-156.7439458486873</v>
      </c>
      <c r="AB22">
        <f t="shared" si="20"/>
        <v>-9.9459080911914217</v>
      </c>
      <c r="AC22">
        <f t="shared" si="21"/>
        <v>-53.951959291903592</v>
      </c>
      <c r="AD22">
        <v>-4.15214003451886E-2</v>
      </c>
      <c r="AE22">
        <v>4.6611409361924601E-2</v>
      </c>
      <c r="AF22">
        <v>3.47761250803116</v>
      </c>
      <c r="AG22">
        <v>149</v>
      </c>
      <c r="AH22">
        <v>30</v>
      </c>
      <c r="AI22">
        <f t="shared" si="22"/>
        <v>1</v>
      </c>
      <c r="AJ22">
        <f t="shared" si="23"/>
        <v>0</v>
      </c>
      <c r="AK22">
        <f t="shared" si="24"/>
        <v>53003.284457630689</v>
      </c>
      <c r="AL22">
        <v>0</v>
      </c>
      <c r="AM22">
        <v>0</v>
      </c>
      <c r="AN22">
        <v>0</v>
      </c>
      <c r="AO22">
        <f t="shared" si="25"/>
        <v>0</v>
      </c>
      <c r="AP22" t="e">
        <f t="shared" si="26"/>
        <v>#DIV/0!</v>
      </c>
      <c r="AQ22">
        <v>-1</v>
      </c>
      <c r="AR22" t="s">
        <v>311</v>
      </c>
      <c r="AS22">
        <v>248.22384615384601</v>
      </c>
      <c r="AT22">
        <v>344.48399999999998</v>
      </c>
      <c r="AU22">
        <f t="shared" si="27"/>
        <v>0.27943287306857201</v>
      </c>
      <c r="AV22">
        <v>0.5</v>
      </c>
      <c r="AW22">
        <f t="shared" si="28"/>
        <v>1849.1836448704228</v>
      </c>
      <c r="AX22">
        <f t="shared" si="29"/>
        <v>28.114148817809141</v>
      </c>
      <c r="AY22">
        <f t="shared" si="30"/>
        <v>258.36134935877811</v>
      </c>
      <c r="AZ22">
        <f t="shared" si="31"/>
        <v>0.48711696334227417</v>
      </c>
      <c r="BA22">
        <f t="shared" si="32"/>
        <v>1.5744325285685319E-2</v>
      </c>
      <c r="BB22">
        <f t="shared" si="33"/>
        <v>-1</v>
      </c>
      <c r="BC22" t="s">
        <v>312</v>
      </c>
      <c r="BD22">
        <v>176.68</v>
      </c>
      <c r="BE22">
        <f t="shared" si="34"/>
        <v>167.80399999999997</v>
      </c>
      <c r="BF22">
        <f t="shared" si="35"/>
        <v>0.57364636031414018</v>
      </c>
      <c r="BG22">
        <f t="shared" si="36"/>
        <v>1.9497622820919174</v>
      </c>
      <c r="BH22">
        <f t="shared" si="37"/>
        <v>0.27943287306857206</v>
      </c>
      <c r="BI22" t="e">
        <f t="shared" si="38"/>
        <v>#DIV/0!</v>
      </c>
      <c r="BJ22">
        <v>3707</v>
      </c>
      <c r="BK22">
        <v>300</v>
      </c>
      <c r="BL22">
        <v>300</v>
      </c>
      <c r="BM22">
        <v>300</v>
      </c>
      <c r="BN22">
        <v>9887.09</v>
      </c>
      <c r="BO22">
        <v>312.93200000000002</v>
      </c>
      <c r="BP22">
        <v>-6.4130000000000003E-3</v>
      </c>
      <c r="BQ22">
        <v>-0.25048799999999999</v>
      </c>
      <c r="BR22">
        <f t="shared" si="39"/>
        <v>2199.9983870967699</v>
      </c>
      <c r="BS22">
        <f t="shared" si="40"/>
        <v>1849.1836448704228</v>
      </c>
      <c r="BT22">
        <f t="shared" si="41"/>
        <v>0.84053863662632033</v>
      </c>
      <c r="BU22">
        <f t="shared" si="42"/>
        <v>0.1910772732526409</v>
      </c>
      <c r="BV22">
        <v>0.5</v>
      </c>
      <c r="BW22" t="s">
        <v>281</v>
      </c>
      <c r="BX22">
        <v>1592248252</v>
      </c>
      <c r="BY22">
        <v>387.89790322580598</v>
      </c>
      <c r="BZ22">
        <v>399.98890322580598</v>
      </c>
      <c r="CA22">
        <v>19.164635483870999</v>
      </c>
      <c r="CB22">
        <v>17.024361290322599</v>
      </c>
      <c r="CC22">
        <v>500.04841935483898</v>
      </c>
      <c r="CD22">
        <v>100.14541935483901</v>
      </c>
      <c r="CE22">
        <v>0.20001987096774199</v>
      </c>
      <c r="CF22">
        <v>26.6796677419355</v>
      </c>
      <c r="CG22">
        <v>27.533593548387099</v>
      </c>
      <c r="CH22">
        <v>999.9</v>
      </c>
      <c r="CI22">
        <v>9998.5477419354793</v>
      </c>
      <c r="CJ22">
        <v>0</v>
      </c>
      <c r="CK22">
        <v>100.654861290323</v>
      </c>
      <c r="CL22">
        <v>2199.9983870967699</v>
      </c>
      <c r="CM22">
        <v>0.98200406451612898</v>
      </c>
      <c r="CN22">
        <v>1.7996132258064498E-2</v>
      </c>
      <c r="CO22">
        <v>0</v>
      </c>
      <c r="CP22">
        <v>248.20190322580601</v>
      </c>
      <c r="CQ22">
        <v>5.00054</v>
      </c>
      <c r="CR22">
        <v>6777.4080645161303</v>
      </c>
      <c r="CS22">
        <v>20590.538709677399</v>
      </c>
      <c r="CT22">
        <v>48.749774193548397</v>
      </c>
      <c r="CU22">
        <v>49.467548387096798</v>
      </c>
      <c r="CV22">
        <v>48.681161290322599</v>
      </c>
      <c r="CW22">
        <v>48.582419354838699</v>
      </c>
      <c r="CX22">
        <v>49.991741935483901</v>
      </c>
      <c r="CY22">
        <v>2155.4983870967699</v>
      </c>
      <c r="CZ22">
        <v>39.5</v>
      </c>
      <c r="DA22">
        <v>0</v>
      </c>
      <c r="DB22">
        <v>135.60000014305101</v>
      </c>
      <c r="DC22">
        <v>248.22384615384601</v>
      </c>
      <c r="DD22">
        <v>2.1161709420308101</v>
      </c>
      <c r="DE22">
        <v>64.3931624280725</v>
      </c>
      <c r="DF22">
        <v>6777.7030769230796</v>
      </c>
      <c r="DG22">
        <v>15</v>
      </c>
      <c r="DH22">
        <v>1592248196.5</v>
      </c>
      <c r="DI22" t="s">
        <v>313</v>
      </c>
      <c r="DJ22">
        <v>48</v>
      </c>
      <c r="DK22">
        <v>-0.155</v>
      </c>
      <c r="DL22">
        <v>0.108</v>
      </c>
      <c r="DM22">
        <v>400</v>
      </c>
      <c r="DN22">
        <v>17</v>
      </c>
      <c r="DO22">
        <v>0.1</v>
      </c>
      <c r="DP22">
        <v>0.04</v>
      </c>
      <c r="DQ22">
        <v>-12.085469230769201</v>
      </c>
      <c r="DR22">
        <v>-0.102956373260484</v>
      </c>
      <c r="DS22">
        <v>3.8365697511737303E-2</v>
      </c>
      <c r="DT22">
        <v>1</v>
      </c>
      <c r="DU22">
        <v>2.1302944230769199</v>
      </c>
      <c r="DV22">
        <v>9.9361546999061107E-2</v>
      </c>
      <c r="DW22">
        <v>1.2701335546593501E-2</v>
      </c>
      <c r="DX22">
        <v>1</v>
      </c>
      <c r="DY22">
        <v>2</v>
      </c>
      <c r="DZ22">
        <v>2</v>
      </c>
      <c r="EA22" t="s">
        <v>283</v>
      </c>
      <c r="EB22">
        <v>1.8666400000000001</v>
      </c>
      <c r="EC22">
        <v>1.8632200000000001</v>
      </c>
      <c r="ED22">
        <v>1.8688400000000001</v>
      </c>
      <c r="EE22">
        <v>1.86676</v>
      </c>
      <c r="EF22">
        <v>1.8713900000000001</v>
      </c>
      <c r="EG22">
        <v>1.8638600000000001</v>
      </c>
      <c r="EH22">
        <v>1.8653999999999999</v>
      </c>
      <c r="EI22">
        <v>1.8653599999999999</v>
      </c>
      <c r="EJ22" t="s">
        <v>284</v>
      </c>
      <c r="EK22" t="s">
        <v>19</v>
      </c>
      <c r="EL22" t="s">
        <v>19</v>
      </c>
      <c r="EM22" t="s">
        <v>19</v>
      </c>
      <c r="EN22" t="s">
        <v>285</v>
      </c>
      <c r="EO22" t="s">
        <v>286</v>
      </c>
      <c r="EP22" t="s">
        <v>287</v>
      </c>
      <c r="EQ22" t="s">
        <v>287</v>
      </c>
      <c r="ER22" t="s">
        <v>287</v>
      </c>
      <c r="ES22" t="s">
        <v>287</v>
      </c>
      <c r="ET22">
        <v>0</v>
      </c>
      <c r="EU22">
        <v>100</v>
      </c>
      <c r="EV22">
        <v>100</v>
      </c>
      <c r="EW22">
        <v>-0.155</v>
      </c>
      <c r="EX22">
        <v>0.108</v>
      </c>
      <c r="EY22">
        <v>2</v>
      </c>
      <c r="EZ22">
        <v>331.762</v>
      </c>
      <c r="FA22">
        <v>483.30500000000001</v>
      </c>
      <c r="FB22">
        <v>18.5624</v>
      </c>
      <c r="FC22">
        <v>36.127499999999998</v>
      </c>
      <c r="FD22">
        <v>30.000699999999998</v>
      </c>
      <c r="FE22">
        <v>35.981299999999997</v>
      </c>
      <c r="FF22">
        <v>35.9514</v>
      </c>
      <c r="FG22">
        <v>22.540500000000002</v>
      </c>
      <c r="FH22">
        <v>14.4794</v>
      </c>
      <c r="FI22">
        <v>99.097999999999999</v>
      </c>
      <c r="FJ22">
        <v>17.2974</v>
      </c>
      <c r="FK22">
        <v>400</v>
      </c>
      <c r="FL22">
        <v>17.084700000000002</v>
      </c>
      <c r="FM22">
        <v>100.574</v>
      </c>
      <c r="FN22">
        <v>100.62</v>
      </c>
    </row>
    <row r="23" spans="1:170" x14ac:dyDescent="0.25">
      <c r="A23">
        <v>7</v>
      </c>
      <c r="B23">
        <v>1592248390</v>
      </c>
      <c r="C23">
        <v>817.5</v>
      </c>
      <c r="D23" t="s">
        <v>314</v>
      </c>
      <c r="E23" t="s">
        <v>315</v>
      </c>
      <c r="G23">
        <v>1592248382</v>
      </c>
      <c r="H23">
        <f t="shared" si="0"/>
        <v>5.5351939137245022E-3</v>
      </c>
      <c r="I23">
        <f t="shared" si="1"/>
        <v>29.331206803820297</v>
      </c>
      <c r="J23">
        <f t="shared" si="2"/>
        <v>387.42029032258102</v>
      </c>
      <c r="K23">
        <f t="shared" si="3"/>
        <v>228.42562178046467</v>
      </c>
      <c r="L23">
        <f t="shared" si="4"/>
        <v>22.920847241860624</v>
      </c>
      <c r="M23">
        <f t="shared" si="5"/>
        <v>38.87480407699433</v>
      </c>
      <c r="N23">
        <f t="shared" si="6"/>
        <v>0.32651547504735173</v>
      </c>
      <c r="O23">
        <f t="shared" si="7"/>
        <v>3.4049058827550089</v>
      </c>
      <c r="P23">
        <f t="shared" si="8"/>
        <v>0.31006422641439879</v>
      </c>
      <c r="Q23">
        <f t="shared" si="9"/>
        <v>0.19519912435196946</v>
      </c>
      <c r="R23">
        <f t="shared" si="10"/>
        <v>353.34154597886368</v>
      </c>
      <c r="S23">
        <f t="shared" si="11"/>
        <v>27.245178191494595</v>
      </c>
      <c r="T23">
        <f t="shared" si="12"/>
        <v>27.465558064516099</v>
      </c>
      <c r="U23">
        <f t="shared" si="13"/>
        <v>3.6782018499318472</v>
      </c>
      <c r="V23">
        <f t="shared" si="14"/>
        <v>55.129960472028202</v>
      </c>
      <c r="W23">
        <f t="shared" si="15"/>
        <v>1.9370280853798749</v>
      </c>
      <c r="X23">
        <f t="shared" si="16"/>
        <v>3.5135669766400115</v>
      </c>
      <c r="Y23">
        <f t="shared" si="17"/>
        <v>1.7411737645519723</v>
      </c>
      <c r="Z23">
        <f t="shared" si="18"/>
        <v>-244.10205159525054</v>
      </c>
      <c r="AA23">
        <f t="shared" si="19"/>
        <v>-143.20164815477727</v>
      </c>
      <c r="AB23">
        <f t="shared" si="20"/>
        <v>-9.0833587788099486</v>
      </c>
      <c r="AC23">
        <f t="shared" si="21"/>
        <v>-43.045512549974092</v>
      </c>
      <c r="AD23">
        <v>-4.1523822634045603E-2</v>
      </c>
      <c r="AE23">
        <v>4.6614128593370698E-2</v>
      </c>
      <c r="AF23">
        <v>3.4777729161044499</v>
      </c>
      <c r="AG23">
        <v>149</v>
      </c>
      <c r="AH23">
        <v>30</v>
      </c>
      <c r="AI23">
        <f t="shared" si="22"/>
        <v>1</v>
      </c>
      <c r="AJ23">
        <f t="shared" si="23"/>
        <v>0</v>
      </c>
      <c r="AK23">
        <f t="shared" si="24"/>
        <v>53005.171908914279</v>
      </c>
      <c r="AL23">
        <v>0</v>
      </c>
      <c r="AM23">
        <v>0</v>
      </c>
      <c r="AN23">
        <v>0</v>
      </c>
      <c r="AO23">
        <f t="shared" si="25"/>
        <v>0</v>
      </c>
      <c r="AP23" t="e">
        <f t="shared" si="26"/>
        <v>#DIV/0!</v>
      </c>
      <c r="AQ23">
        <v>-1</v>
      </c>
      <c r="AR23" t="s">
        <v>316</v>
      </c>
      <c r="AS23">
        <v>252.81573076923101</v>
      </c>
      <c r="AT23">
        <v>355.16699999999997</v>
      </c>
      <c r="AU23">
        <f t="shared" si="27"/>
        <v>0.2881778690891017</v>
      </c>
      <c r="AV23">
        <v>0.5</v>
      </c>
      <c r="AW23">
        <f t="shared" si="28"/>
        <v>1849.2050803542295</v>
      </c>
      <c r="AX23">
        <f t="shared" si="29"/>
        <v>29.331206803820297</v>
      </c>
      <c r="AY23">
        <f t="shared" si="30"/>
        <v>266.44998978261145</v>
      </c>
      <c r="AZ23">
        <f t="shared" si="31"/>
        <v>0.49066213921901525</v>
      </c>
      <c r="BA23">
        <f t="shared" si="32"/>
        <v>1.6402294762250014E-2</v>
      </c>
      <c r="BB23">
        <f t="shared" si="33"/>
        <v>-1</v>
      </c>
      <c r="BC23" t="s">
        <v>317</v>
      </c>
      <c r="BD23">
        <v>180.9</v>
      </c>
      <c r="BE23">
        <f t="shared" si="34"/>
        <v>174.26699999999997</v>
      </c>
      <c r="BF23">
        <f t="shared" si="35"/>
        <v>0.58732444599820377</v>
      </c>
      <c r="BG23">
        <f t="shared" si="36"/>
        <v>1.9633333333333332</v>
      </c>
      <c r="BH23">
        <f t="shared" si="37"/>
        <v>0.28817786908910165</v>
      </c>
      <c r="BI23" t="e">
        <f t="shared" si="38"/>
        <v>#DIV/0!</v>
      </c>
      <c r="BJ23">
        <v>3709</v>
      </c>
      <c r="BK23">
        <v>300</v>
      </c>
      <c r="BL23">
        <v>300</v>
      </c>
      <c r="BM23">
        <v>300</v>
      </c>
      <c r="BN23">
        <v>9888.59</v>
      </c>
      <c r="BO23">
        <v>321.53899999999999</v>
      </c>
      <c r="BP23">
        <v>-6.4140600000000001E-3</v>
      </c>
      <c r="BQ23">
        <v>-0.88266</v>
      </c>
      <c r="BR23">
        <f t="shared" si="39"/>
        <v>2200.0235483871002</v>
      </c>
      <c r="BS23">
        <f t="shared" si="40"/>
        <v>1849.2050803542295</v>
      </c>
      <c r="BT23">
        <f t="shared" si="41"/>
        <v>0.84053876682817075</v>
      </c>
      <c r="BU23">
        <f t="shared" si="42"/>
        <v>0.19107753365634189</v>
      </c>
      <c r="BV23">
        <v>0.5</v>
      </c>
      <c r="BW23" t="s">
        <v>281</v>
      </c>
      <c r="BX23">
        <v>1592248382</v>
      </c>
      <c r="BY23">
        <v>387.42029032258102</v>
      </c>
      <c r="BZ23">
        <v>400.00987096774202</v>
      </c>
      <c r="CA23">
        <v>19.304122580645199</v>
      </c>
      <c r="CB23">
        <v>17.132903225806501</v>
      </c>
      <c r="CC23">
        <v>500.02703225806499</v>
      </c>
      <c r="CD23">
        <v>100.142806451613</v>
      </c>
      <c r="CE23">
        <v>0.199909322580645</v>
      </c>
      <c r="CF23">
        <v>26.6854451612903</v>
      </c>
      <c r="CG23">
        <v>27.465558064516099</v>
      </c>
      <c r="CH23">
        <v>999.9</v>
      </c>
      <c r="CI23">
        <v>9999.3919354838708</v>
      </c>
      <c r="CJ23">
        <v>0</v>
      </c>
      <c r="CK23">
        <v>96.904245161290305</v>
      </c>
      <c r="CL23">
        <v>2200.0235483871002</v>
      </c>
      <c r="CM23">
        <v>0.98200174193548395</v>
      </c>
      <c r="CN23">
        <v>1.7998583870967699E-2</v>
      </c>
      <c r="CO23">
        <v>0</v>
      </c>
      <c r="CP23">
        <v>252.808161290323</v>
      </c>
      <c r="CQ23">
        <v>5.00054</v>
      </c>
      <c r="CR23">
        <v>6868.05</v>
      </c>
      <c r="CS23">
        <v>20590.7612903226</v>
      </c>
      <c r="CT23">
        <v>48.562064516128999</v>
      </c>
      <c r="CU23">
        <v>49.376935483871002</v>
      </c>
      <c r="CV23">
        <v>48.483741935483899</v>
      </c>
      <c r="CW23">
        <v>48.53</v>
      </c>
      <c r="CX23">
        <v>49.747774193548402</v>
      </c>
      <c r="CY23">
        <v>2155.5135483870999</v>
      </c>
      <c r="CZ23">
        <v>39.51</v>
      </c>
      <c r="DA23">
        <v>0</v>
      </c>
      <c r="DB23">
        <v>129.40000009536701</v>
      </c>
      <c r="DC23">
        <v>252.81573076923101</v>
      </c>
      <c r="DD23">
        <v>1.77179485882988</v>
      </c>
      <c r="DE23">
        <v>103.538461616329</v>
      </c>
      <c r="DF23">
        <v>6868.9876923076899</v>
      </c>
      <c r="DG23">
        <v>15</v>
      </c>
      <c r="DH23">
        <v>1592248315</v>
      </c>
      <c r="DI23" t="s">
        <v>318</v>
      </c>
      <c r="DJ23">
        <v>49</v>
      </c>
      <c r="DK23">
        <v>-0.11799999999999999</v>
      </c>
      <c r="DL23">
        <v>0.107</v>
      </c>
      <c r="DM23">
        <v>400</v>
      </c>
      <c r="DN23">
        <v>17</v>
      </c>
      <c r="DO23">
        <v>0.18</v>
      </c>
      <c r="DP23">
        <v>0.03</v>
      </c>
      <c r="DQ23">
        <v>-12.567288461538499</v>
      </c>
      <c r="DR23">
        <v>-0.48009425424743701</v>
      </c>
      <c r="DS23">
        <v>0.104232302784631</v>
      </c>
      <c r="DT23">
        <v>1</v>
      </c>
      <c r="DU23">
        <v>2.1786532692307699</v>
      </c>
      <c r="DV23">
        <v>-5.6037582173650902E-2</v>
      </c>
      <c r="DW23">
        <v>1.1642074346153299E-2</v>
      </c>
      <c r="DX23">
        <v>1</v>
      </c>
      <c r="DY23">
        <v>2</v>
      </c>
      <c r="DZ23">
        <v>2</v>
      </c>
      <c r="EA23" t="s">
        <v>283</v>
      </c>
      <c r="EB23">
        <v>1.8666199999999999</v>
      </c>
      <c r="EC23">
        <v>1.86321</v>
      </c>
      <c r="ED23">
        <v>1.8688199999999999</v>
      </c>
      <c r="EE23">
        <v>1.86676</v>
      </c>
      <c r="EF23">
        <v>1.87144</v>
      </c>
      <c r="EG23">
        <v>1.8638600000000001</v>
      </c>
      <c r="EH23">
        <v>1.86544</v>
      </c>
      <c r="EI23">
        <v>1.86538</v>
      </c>
      <c r="EJ23" t="s">
        <v>284</v>
      </c>
      <c r="EK23" t="s">
        <v>19</v>
      </c>
      <c r="EL23" t="s">
        <v>19</v>
      </c>
      <c r="EM23" t="s">
        <v>19</v>
      </c>
      <c r="EN23" t="s">
        <v>285</v>
      </c>
      <c r="EO23" t="s">
        <v>286</v>
      </c>
      <c r="EP23" t="s">
        <v>287</v>
      </c>
      <c r="EQ23" t="s">
        <v>287</v>
      </c>
      <c r="ER23" t="s">
        <v>287</v>
      </c>
      <c r="ES23" t="s">
        <v>287</v>
      </c>
      <c r="ET23">
        <v>0</v>
      </c>
      <c r="EU23">
        <v>100</v>
      </c>
      <c r="EV23">
        <v>100</v>
      </c>
      <c r="EW23">
        <v>-0.11799999999999999</v>
      </c>
      <c r="EX23">
        <v>0.107</v>
      </c>
      <c r="EY23">
        <v>2</v>
      </c>
      <c r="EZ23">
        <v>331.37099999999998</v>
      </c>
      <c r="FA23">
        <v>482.21899999999999</v>
      </c>
      <c r="FB23">
        <v>18.658200000000001</v>
      </c>
      <c r="FC23">
        <v>36.302399999999999</v>
      </c>
      <c r="FD23">
        <v>30.000599999999999</v>
      </c>
      <c r="FE23">
        <v>36.1494</v>
      </c>
      <c r="FF23">
        <v>36.116199999999999</v>
      </c>
      <c r="FG23">
        <v>22.537800000000001</v>
      </c>
      <c r="FH23">
        <v>10.796200000000001</v>
      </c>
      <c r="FI23">
        <v>100</v>
      </c>
      <c r="FJ23">
        <v>17.415299999999998</v>
      </c>
      <c r="FK23">
        <v>400</v>
      </c>
      <c r="FL23">
        <v>17.178100000000001</v>
      </c>
      <c r="FM23">
        <v>100.538</v>
      </c>
      <c r="FN23">
        <v>100.578</v>
      </c>
    </row>
    <row r="24" spans="1:170" x14ac:dyDescent="0.25">
      <c r="A24">
        <v>8</v>
      </c>
      <c r="B24">
        <v>1592248510.5</v>
      </c>
      <c r="C24">
        <v>938</v>
      </c>
      <c r="D24" t="s">
        <v>319</v>
      </c>
      <c r="E24" t="s">
        <v>320</v>
      </c>
      <c r="G24">
        <v>1592248502.5</v>
      </c>
      <c r="H24">
        <f t="shared" si="0"/>
        <v>5.8641772323446469E-3</v>
      </c>
      <c r="I24">
        <f t="shared" si="1"/>
        <v>36.662602651384098</v>
      </c>
      <c r="J24">
        <f t="shared" si="2"/>
        <v>484.23487096774198</v>
      </c>
      <c r="K24">
        <f t="shared" si="3"/>
        <v>300.92345901261149</v>
      </c>
      <c r="L24">
        <f t="shared" si="4"/>
        <v>30.196152409146251</v>
      </c>
      <c r="M24">
        <f t="shared" si="5"/>
        <v>48.590528679761086</v>
      </c>
      <c r="N24">
        <f t="shared" si="6"/>
        <v>0.35700160651358737</v>
      </c>
      <c r="O24">
        <f t="shared" si="7"/>
        <v>3.4034408449004259</v>
      </c>
      <c r="P24">
        <f t="shared" si="8"/>
        <v>0.33742583079109156</v>
      </c>
      <c r="Q24">
        <f t="shared" si="9"/>
        <v>0.21256045129448817</v>
      </c>
      <c r="R24">
        <f t="shared" si="10"/>
        <v>353.33986832950234</v>
      </c>
      <c r="S24">
        <f t="shared" si="11"/>
        <v>27.010041882881541</v>
      </c>
      <c r="T24">
        <f t="shared" si="12"/>
        <v>27.217251612903201</v>
      </c>
      <c r="U24">
        <f t="shared" si="13"/>
        <v>3.6250839216326862</v>
      </c>
      <c r="V24">
        <f t="shared" si="14"/>
        <v>55.437356950587954</v>
      </c>
      <c r="W24">
        <f t="shared" si="15"/>
        <v>1.9294393616470928</v>
      </c>
      <c r="X24">
        <f t="shared" si="16"/>
        <v>3.4803956533620957</v>
      </c>
      <c r="Y24">
        <f t="shared" si="17"/>
        <v>1.6956445599855934</v>
      </c>
      <c r="Z24">
        <f t="shared" si="18"/>
        <v>-258.61021594639891</v>
      </c>
      <c r="AA24">
        <f t="shared" si="19"/>
        <v>-127.12641329640208</v>
      </c>
      <c r="AB24">
        <f t="shared" si="20"/>
        <v>-8.0506704604944108</v>
      </c>
      <c r="AC24">
        <f t="shared" si="21"/>
        <v>-40.447431373793066</v>
      </c>
      <c r="AD24">
        <v>-4.1501099179940402E-2</v>
      </c>
      <c r="AE24">
        <v>4.6588619525453699E-2</v>
      </c>
      <c r="AF24">
        <v>3.47626800256928</v>
      </c>
      <c r="AG24">
        <v>149</v>
      </c>
      <c r="AH24">
        <v>30</v>
      </c>
      <c r="AI24">
        <f t="shared" si="22"/>
        <v>1</v>
      </c>
      <c r="AJ24">
        <f t="shared" si="23"/>
        <v>0</v>
      </c>
      <c r="AK24">
        <f t="shared" si="24"/>
        <v>53005.876952561506</v>
      </c>
      <c r="AL24">
        <v>0</v>
      </c>
      <c r="AM24">
        <v>0</v>
      </c>
      <c r="AN24">
        <v>0</v>
      </c>
      <c r="AO24">
        <f t="shared" si="25"/>
        <v>0</v>
      </c>
      <c r="AP24" t="e">
        <f t="shared" si="26"/>
        <v>#DIV/0!</v>
      </c>
      <c r="AQ24">
        <v>-1</v>
      </c>
      <c r="AR24" t="s">
        <v>321</v>
      </c>
      <c r="AS24">
        <v>265.96119230769199</v>
      </c>
      <c r="AT24">
        <v>380.45400000000001</v>
      </c>
      <c r="AU24">
        <f t="shared" si="27"/>
        <v>0.30093732144308649</v>
      </c>
      <c r="AV24">
        <v>0.5</v>
      </c>
      <c r="AW24">
        <f t="shared" si="28"/>
        <v>1849.1959063344693</v>
      </c>
      <c r="AX24">
        <f t="shared" si="29"/>
        <v>36.662602651384098</v>
      </c>
      <c r="AY24">
        <f t="shared" si="30"/>
        <v>278.2460314379079</v>
      </c>
      <c r="AZ24">
        <f t="shared" si="31"/>
        <v>0.51484279308405223</v>
      </c>
      <c r="BA24">
        <f t="shared" si="32"/>
        <v>2.0367016021596122E-2</v>
      </c>
      <c r="BB24">
        <f t="shared" si="33"/>
        <v>-1</v>
      </c>
      <c r="BC24" t="s">
        <v>322</v>
      </c>
      <c r="BD24">
        <v>184.58</v>
      </c>
      <c r="BE24">
        <f t="shared" si="34"/>
        <v>195.874</v>
      </c>
      <c r="BF24">
        <f t="shared" si="35"/>
        <v>0.58452274264224968</v>
      </c>
      <c r="BG24">
        <f t="shared" si="36"/>
        <v>2.0611875609491817</v>
      </c>
      <c r="BH24">
        <f t="shared" si="37"/>
        <v>0.30093732144308644</v>
      </c>
      <c r="BI24" t="e">
        <f t="shared" si="38"/>
        <v>#DIV/0!</v>
      </c>
      <c r="BJ24">
        <v>3711</v>
      </c>
      <c r="BK24">
        <v>300</v>
      </c>
      <c r="BL24">
        <v>300</v>
      </c>
      <c r="BM24">
        <v>300</v>
      </c>
      <c r="BN24">
        <v>9890.17</v>
      </c>
      <c r="BO24">
        <v>345.54399999999998</v>
      </c>
      <c r="BP24">
        <v>-6.4152899999999997E-3</v>
      </c>
      <c r="BQ24">
        <v>0.25677499999999998</v>
      </c>
      <c r="BR24">
        <f t="shared" si="39"/>
        <v>2200.0125806451601</v>
      </c>
      <c r="BS24">
        <f t="shared" si="40"/>
        <v>1849.1959063344693</v>
      </c>
      <c r="BT24">
        <f t="shared" si="41"/>
        <v>0.84053878718829289</v>
      </c>
      <c r="BU24">
        <f t="shared" si="42"/>
        <v>0.19107757437658568</v>
      </c>
      <c r="BV24">
        <v>0.5</v>
      </c>
      <c r="BW24" t="s">
        <v>281</v>
      </c>
      <c r="BX24">
        <v>1592248502.5</v>
      </c>
      <c r="BY24">
        <v>484.23487096774198</v>
      </c>
      <c r="BZ24">
        <v>500.034258064516</v>
      </c>
      <c r="CA24">
        <v>19.228064516128999</v>
      </c>
      <c r="CB24">
        <v>16.927716129032301</v>
      </c>
      <c r="CC24">
        <v>500.04777419354798</v>
      </c>
      <c r="CD24">
        <v>100.144967741936</v>
      </c>
      <c r="CE24">
        <v>0.19999209677419399</v>
      </c>
      <c r="CF24">
        <v>26.524412903225802</v>
      </c>
      <c r="CG24">
        <v>27.217251612903201</v>
      </c>
      <c r="CH24">
        <v>999.9</v>
      </c>
      <c r="CI24">
        <v>9993.7041935483903</v>
      </c>
      <c r="CJ24">
        <v>0</v>
      </c>
      <c r="CK24">
        <v>97.783503225806498</v>
      </c>
      <c r="CL24">
        <v>2200.0125806451601</v>
      </c>
      <c r="CM24">
        <v>0.981998451612903</v>
      </c>
      <c r="CN24">
        <v>1.8001583870967699E-2</v>
      </c>
      <c r="CO24">
        <v>0</v>
      </c>
      <c r="CP24">
        <v>265.94593548387098</v>
      </c>
      <c r="CQ24">
        <v>5.00054</v>
      </c>
      <c r="CR24">
        <v>7169.5074193548398</v>
      </c>
      <c r="CS24">
        <v>20590.632258064499</v>
      </c>
      <c r="CT24">
        <v>48.255870967741899</v>
      </c>
      <c r="CU24">
        <v>49.0843548387097</v>
      </c>
      <c r="CV24">
        <v>48.170999999999999</v>
      </c>
      <c r="CW24">
        <v>48.253870967741904</v>
      </c>
      <c r="CX24">
        <v>49.511935483871</v>
      </c>
      <c r="CY24">
        <v>2155.5009677419398</v>
      </c>
      <c r="CZ24">
        <v>39.511290322580599</v>
      </c>
      <c r="DA24">
        <v>0</v>
      </c>
      <c r="DB24">
        <v>120</v>
      </c>
      <c r="DC24">
        <v>265.96119230769199</v>
      </c>
      <c r="DD24">
        <v>2.9492307650495602</v>
      </c>
      <c r="DE24">
        <v>48.946666672390599</v>
      </c>
      <c r="DF24">
        <v>7170.1311538461496</v>
      </c>
      <c r="DG24">
        <v>15</v>
      </c>
      <c r="DH24">
        <v>1592248460.5</v>
      </c>
      <c r="DI24" t="s">
        <v>323</v>
      </c>
      <c r="DJ24">
        <v>50</v>
      </c>
      <c r="DK24">
        <v>-0.216</v>
      </c>
      <c r="DL24">
        <v>0.107</v>
      </c>
      <c r="DM24">
        <v>500</v>
      </c>
      <c r="DN24">
        <v>17</v>
      </c>
      <c r="DO24">
        <v>0.19</v>
      </c>
      <c r="DP24">
        <v>0.04</v>
      </c>
      <c r="DQ24">
        <v>-15.78375</v>
      </c>
      <c r="DR24">
        <v>-5.55239477503571E-2</v>
      </c>
      <c r="DS24">
        <v>8.1812396794317094E-2</v>
      </c>
      <c r="DT24">
        <v>1</v>
      </c>
      <c r="DU24">
        <v>2.2951967307692298</v>
      </c>
      <c r="DV24">
        <v>5.4514249124902998E-2</v>
      </c>
      <c r="DW24">
        <v>9.0000480172124607E-3</v>
      </c>
      <c r="DX24">
        <v>1</v>
      </c>
      <c r="DY24">
        <v>2</v>
      </c>
      <c r="DZ24">
        <v>2</v>
      </c>
      <c r="EA24" t="s">
        <v>283</v>
      </c>
      <c r="EB24">
        <v>1.8666400000000001</v>
      </c>
      <c r="EC24">
        <v>1.8631800000000001</v>
      </c>
      <c r="ED24">
        <v>1.8688</v>
      </c>
      <c r="EE24">
        <v>1.86676</v>
      </c>
      <c r="EF24">
        <v>1.8714299999999999</v>
      </c>
      <c r="EG24">
        <v>1.8638699999999999</v>
      </c>
      <c r="EH24">
        <v>1.86541</v>
      </c>
      <c r="EI24">
        <v>1.8653599999999999</v>
      </c>
      <c r="EJ24" t="s">
        <v>284</v>
      </c>
      <c r="EK24" t="s">
        <v>19</v>
      </c>
      <c r="EL24" t="s">
        <v>19</v>
      </c>
      <c r="EM24" t="s">
        <v>19</v>
      </c>
      <c r="EN24" t="s">
        <v>285</v>
      </c>
      <c r="EO24" t="s">
        <v>286</v>
      </c>
      <c r="EP24" t="s">
        <v>287</v>
      </c>
      <c r="EQ24" t="s">
        <v>287</v>
      </c>
      <c r="ER24" t="s">
        <v>287</v>
      </c>
      <c r="ES24" t="s">
        <v>287</v>
      </c>
      <c r="ET24">
        <v>0</v>
      </c>
      <c r="EU24">
        <v>100</v>
      </c>
      <c r="EV24">
        <v>100</v>
      </c>
      <c r="EW24">
        <v>-0.216</v>
      </c>
      <c r="EX24">
        <v>0.107</v>
      </c>
      <c r="EY24">
        <v>2</v>
      </c>
      <c r="EZ24">
        <v>331.822</v>
      </c>
      <c r="FA24">
        <v>481.91899999999998</v>
      </c>
      <c r="FB24">
        <v>18.4817</v>
      </c>
      <c r="FC24">
        <v>36.316000000000003</v>
      </c>
      <c r="FD24">
        <v>30</v>
      </c>
      <c r="FE24">
        <v>36.211399999999998</v>
      </c>
      <c r="FF24">
        <v>36.176900000000003</v>
      </c>
      <c r="FG24">
        <v>26.900400000000001</v>
      </c>
      <c r="FH24">
        <v>14.3202</v>
      </c>
      <c r="FI24">
        <v>100</v>
      </c>
      <c r="FJ24">
        <v>17.3703</v>
      </c>
      <c r="FK24">
        <v>500</v>
      </c>
      <c r="FL24">
        <v>16.7456</v>
      </c>
      <c r="FM24">
        <v>100.532</v>
      </c>
      <c r="FN24">
        <v>100.57599999999999</v>
      </c>
    </row>
    <row r="25" spans="1:170" x14ac:dyDescent="0.25">
      <c r="A25">
        <v>9</v>
      </c>
      <c r="B25">
        <v>1592248632.5</v>
      </c>
      <c r="C25">
        <v>1060</v>
      </c>
      <c r="D25" t="s">
        <v>324</v>
      </c>
      <c r="E25" t="s">
        <v>325</v>
      </c>
      <c r="G25">
        <v>1592248624.5</v>
      </c>
      <c r="H25">
        <f t="shared" si="0"/>
        <v>6.2105387046128072E-3</v>
      </c>
      <c r="I25">
        <f t="shared" si="1"/>
        <v>41.268782664963553</v>
      </c>
      <c r="J25">
        <f t="shared" si="2"/>
        <v>582.08364516129097</v>
      </c>
      <c r="K25">
        <f t="shared" si="3"/>
        <v>388.11882869067557</v>
      </c>
      <c r="L25">
        <f t="shared" si="4"/>
        <v>38.944529652710983</v>
      </c>
      <c r="M25">
        <f t="shared" si="5"/>
        <v>58.407302361022012</v>
      </c>
      <c r="N25">
        <f t="shared" si="6"/>
        <v>0.38483466480622119</v>
      </c>
      <c r="O25">
        <f t="shared" si="7"/>
        <v>3.4045403707448183</v>
      </c>
      <c r="P25">
        <f t="shared" si="8"/>
        <v>0.3621982762397476</v>
      </c>
      <c r="Q25">
        <f t="shared" si="9"/>
        <v>0.22829667502743378</v>
      </c>
      <c r="R25">
        <f t="shared" si="10"/>
        <v>353.33814338168423</v>
      </c>
      <c r="S25">
        <f t="shared" si="11"/>
        <v>26.729521419629172</v>
      </c>
      <c r="T25">
        <f t="shared" si="12"/>
        <v>26.968561290322601</v>
      </c>
      <c r="U25">
        <f t="shared" si="13"/>
        <v>3.5725561939191497</v>
      </c>
      <c r="V25">
        <f t="shared" si="14"/>
        <v>55.215052126579465</v>
      </c>
      <c r="W25">
        <f t="shared" si="15"/>
        <v>1.8989258897511225</v>
      </c>
      <c r="X25">
        <f t="shared" si="16"/>
        <v>3.4391453355832589</v>
      </c>
      <c r="Y25">
        <f t="shared" si="17"/>
        <v>1.6736303041680272</v>
      </c>
      <c r="Z25">
        <f t="shared" si="18"/>
        <v>-273.88475687342481</v>
      </c>
      <c r="AA25">
        <f t="shared" si="19"/>
        <v>-118.6219561611026</v>
      </c>
      <c r="AB25">
        <f t="shared" si="20"/>
        <v>-7.4927499995740909</v>
      </c>
      <c r="AC25">
        <f t="shared" si="21"/>
        <v>-46.661319652417248</v>
      </c>
      <c r="AD25">
        <v>-4.1518152948112598E-2</v>
      </c>
      <c r="AE25">
        <v>4.66077638742192E-2</v>
      </c>
      <c r="AF25">
        <v>3.47739745478883</v>
      </c>
      <c r="AG25">
        <v>146</v>
      </c>
      <c r="AH25">
        <v>29</v>
      </c>
      <c r="AI25">
        <f t="shared" si="22"/>
        <v>1</v>
      </c>
      <c r="AJ25">
        <f t="shared" si="23"/>
        <v>0</v>
      </c>
      <c r="AK25">
        <f t="shared" si="24"/>
        <v>53062.510671285578</v>
      </c>
      <c r="AL25">
        <v>0</v>
      </c>
      <c r="AM25">
        <v>0</v>
      </c>
      <c r="AN25">
        <v>0</v>
      </c>
      <c r="AO25">
        <f t="shared" si="25"/>
        <v>0</v>
      </c>
      <c r="AP25" t="e">
        <f t="shared" si="26"/>
        <v>#DIV/0!</v>
      </c>
      <c r="AQ25">
        <v>-1</v>
      </c>
      <c r="AR25" t="s">
        <v>326</v>
      </c>
      <c r="AS25">
        <v>273.229307692308</v>
      </c>
      <c r="AT25">
        <v>394.24</v>
      </c>
      <c r="AU25">
        <f t="shared" si="27"/>
        <v>0.30694676417332589</v>
      </c>
      <c r="AV25">
        <v>0.5</v>
      </c>
      <c r="AW25">
        <f t="shared" si="28"/>
        <v>1849.1845158380218</v>
      </c>
      <c r="AX25">
        <f t="shared" si="29"/>
        <v>41.268782664963553</v>
      </c>
      <c r="AY25">
        <f t="shared" si="30"/>
        <v>283.80060174794954</v>
      </c>
      <c r="AZ25">
        <f t="shared" si="31"/>
        <v>0.52825689935064934</v>
      </c>
      <c r="BA25">
        <f t="shared" si="32"/>
        <v>2.2858066516854861E-2</v>
      </c>
      <c r="BB25">
        <f t="shared" si="33"/>
        <v>-1</v>
      </c>
      <c r="BC25" t="s">
        <v>327</v>
      </c>
      <c r="BD25">
        <v>185.98</v>
      </c>
      <c r="BE25">
        <f t="shared" si="34"/>
        <v>208.26000000000002</v>
      </c>
      <c r="BF25">
        <f t="shared" si="35"/>
        <v>0.58105585473778931</v>
      </c>
      <c r="BG25">
        <f t="shared" si="36"/>
        <v>2.1197978277234113</v>
      </c>
      <c r="BH25">
        <f t="shared" si="37"/>
        <v>0.30694676417332589</v>
      </c>
      <c r="BI25" t="e">
        <f t="shared" si="38"/>
        <v>#DIV/0!</v>
      </c>
      <c r="BJ25">
        <v>3713</v>
      </c>
      <c r="BK25">
        <v>300</v>
      </c>
      <c r="BL25">
        <v>300</v>
      </c>
      <c r="BM25">
        <v>300</v>
      </c>
      <c r="BN25">
        <v>9891.2900000000009</v>
      </c>
      <c r="BO25">
        <v>357.17500000000001</v>
      </c>
      <c r="BP25">
        <v>-6.4161399999999999E-3</v>
      </c>
      <c r="BQ25">
        <v>0.61441000000000001</v>
      </c>
      <c r="BR25">
        <f t="shared" si="39"/>
        <v>2199.9987096774198</v>
      </c>
      <c r="BS25">
        <f t="shared" si="40"/>
        <v>1849.1845158380218</v>
      </c>
      <c r="BT25">
        <f t="shared" si="41"/>
        <v>0.8405389092747072</v>
      </c>
      <c r="BU25">
        <f t="shared" si="42"/>
        <v>0.19107781854941439</v>
      </c>
      <c r="BV25">
        <v>0.5</v>
      </c>
      <c r="BW25" t="s">
        <v>281</v>
      </c>
      <c r="BX25">
        <v>1592248624.5</v>
      </c>
      <c r="BY25">
        <v>582.08364516129097</v>
      </c>
      <c r="BZ25">
        <v>600.03570967741996</v>
      </c>
      <c r="CA25">
        <v>18.924580645161299</v>
      </c>
      <c r="CB25">
        <v>16.4875774193548</v>
      </c>
      <c r="CC25">
        <v>500.04093548387101</v>
      </c>
      <c r="CD25">
        <v>100.14180645161299</v>
      </c>
      <c r="CE25">
        <v>0.199962032258065</v>
      </c>
      <c r="CF25">
        <v>26.3222806451613</v>
      </c>
      <c r="CG25">
        <v>26.968561290322601</v>
      </c>
      <c r="CH25">
        <v>999.9</v>
      </c>
      <c r="CI25">
        <v>9998.1264516128995</v>
      </c>
      <c r="CJ25">
        <v>0</v>
      </c>
      <c r="CK25">
        <v>95.647264516128999</v>
      </c>
      <c r="CL25">
        <v>2199.9987096774198</v>
      </c>
      <c r="CM25">
        <v>0.98199609677419397</v>
      </c>
      <c r="CN25">
        <v>1.80035483870968E-2</v>
      </c>
      <c r="CO25">
        <v>0</v>
      </c>
      <c r="CP25">
        <v>273.24090322580599</v>
      </c>
      <c r="CQ25">
        <v>5.00054</v>
      </c>
      <c r="CR25">
        <v>7336.2493548387101</v>
      </c>
      <c r="CS25">
        <v>20590.5</v>
      </c>
      <c r="CT25">
        <v>47.9533870967742</v>
      </c>
      <c r="CU25">
        <v>48.816129032257997</v>
      </c>
      <c r="CV25">
        <v>47.906935483871003</v>
      </c>
      <c r="CW25">
        <v>47.989774193548399</v>
      </c>
      <c r="CX25">
        <v>49.137</v>
      </c>
      <c r="CY25">
        <v>2155.4787096774198</v>
      </c>
      <c r="CZ25">
        <v>39.520000000000003</v>
      </c>
      <c r="DA25">
        <v>0</v>
      </c>
      <c r="DB25">
        <v>121.200000047684</v>
      </c>
      <c r="DC25">
        <v>273.229307692308</v>
      </c>
      <c r="DD25">
        <v>0.60218803730639403</v>
      </c>
      <c r="DE25">
        <v>4.2923076117329604</v>
      </c>
      <c r="DF25">
        <v>7336.38807692308</v>
      </c>
      <c r="DG25">
        <v>15</v>
      </c>
      <c r="DH25">
        <v>1592248586</v>
      </c>
      <c r="DI25" t="s">
        <v>328</v>
      </c>
      <c r="DJ25">
        <v>51</v>
      </c>
      <c r="DK25">
        <v>-0.13300000000000001</v>
      </c>
      <c r="DL25">
        <v>0.10100000000000001</v>
      </c>
      <c r="DM25">
        <v>600</v>
      </c>
      <c r="DN25">
        <v>17</v>
      </c>
      <c r="DO25">
        <v>0.26</v>
      </c>
      <c r="DP25">
        <v>0.05</v>
      </c>
      <c r="DQ25">
        <v>-17.976009615384601</v>
      </c>
      <c r="DR25">
        <v>0.39426295569026598</v>
      </c>
      <c r="DS25">
        <v>6.7970435483760597E-2</v>
      </c>
      <c r="DT25">
        <v>1</v>
      </c>
      <c r="DU25">
        <v>2.43011576923077</v>
      </c>
      <c r="DV25">
        <v>6.4462733714680198E-2</v>
      </c>
      <c r="DW25">
        <v>2.5829125729430899E-2</v>
      </c>
      <c r="DX25">
        <v>1</v>
      </c>
      <c r="DY25">
        <v>2</v>
      </c>
      <c r="DZ25">
        <v>2</v>
      </c>
      <c r="EA25" t="s">
        <v>283</v>
      </c>
      <c r="EB25">
        <v>1.8666700000000001</v>
      </c>
      <c r="EC25">
        <v>1.8632500000000001</v>
      </c>
      <c r="ED25">
        <v>1.8688800000000001</v>
      </c>
      <c r="EE25">
        <v>1.86676</v>
      </c>
      <c r="EF25">
        <v>1.8714900000000001</v>
      </c>
      <c r="EG25">
        <v>1.86389</v>
      </c>
      <c r="EH25">
        <v>1.86541</v>
      </c>
      <c r="EI25">
        <v>1.8653900000000001</v>
      </c>
      <c r="EJ25" t="s">
        <v>284</v>
      </c>
      <c r="EK25" t="s">
        <v>19</v>
      </c>
      <c r="EL25" t="s">
        <v>19</v>
      </c>
      <c r="EM25" t="s">
        <v>19</v>
      </c>
      <c r="EN25" t="s">
        <v>285</v>
      </c>
      <c r="EO25" t="s">
        <v>286</v>
      </c>
      <c r="EP25" t="s">
        <v>287</v>
      </c>
      <c r="EQ25" t="s">
        <v>287</v>
      </c>
      <c r="ER25" t="s">
        <v>287</v>
      </c>
      <c r="ES25" t="s">
        <v>287</v>
      </c>
      <c r="ET25">
        <v>0</v>
      </c>
      <c r="EU25">
        <v>100</v>
      </c>
      <c r="EV25">
        <v>100</v>
      </c>
      <c r="EW25">
        <v>-0.13300000000000001</v>
      </c>
      <c r="EX25">
        <v>0.10100000000000001</v>
      </c>
      <c r="EY25">
        <v>2</v>
      </c>
      <c r="EZ25">
        <v>334.24099999999999</v>
      </c>
      <c r="FA25">
        <v>481.529</v>
      </c>
      <c r="FB25">
        <v>18.6967</v>
      </c>
      <c r="FC25">
        <v>36.2744</v>
      </c>
      <c r="FD25">
        <v>29.9999</v>
      </c>
      <c r="FE25">
        <v>36.214700000000001</v>
      </c>
      <c r="FF25">
        <v>36.190300000000001</v>
      </c>
      <c r="FG25">
        <v>31.101199999999999</v>
      </c>
      <c r="FH25">
        <v>16.072199999999999</v>
      </c>
      <c r="FI25">
        <v>100</v>
      </c>
      <c r="FJ25">
        <v>18.7134</v>
      </c>
      <c r="FK25">
        <v>600</v>
      </c>
      <c r="FL25">
        <v>16.459399999999999</v>
      </c>
      <c r="FM25">
        <v>100.539</v>
      </c>
      <c r="FN25">
        <v>100.59</v>
      </c>
    </row>
    <row r="26" spans="1:170" x14ac:dyDescent="0.25">
      <c r="A26">
        <v>10</v>
      </c>
      <c r="B26">
        <v>1592248783</v>
      </c>
      <c r="C26">
        <v>1210.5</v>
      </c>
      <c r="D26" t="s">
        <v>329</v>
      </c>
      <c r="E26" t="s">
        <v>330</v>
      </c>
      <c r="G26">
        <v>1592248775.0193501</v>
      </c>
      <c r="H26">
        <f t="shared" si="0"/>
        <v>5.1661785998074472E-3</v>
      </c>
      <c r="I26">
        <f t="shared" si="1"/>
        <v>44.995142352163477</v>
      </c>
      <c r="J26">
        <f t="shared" si="2"/>
        <v>680.59829032258097</v>
      </c>
      <c r="K26">
        <f t="shared" si="3"/>
        <v>428.36394404892962</v>
      </c>
      <c r="L26">
        <f t="shared" si="4"/>
        <v>42.98188976612672</v>
      </c>
      <c r="M26">
        <f t="shared" si="5"/>
        <v>68.290996700502021</v>
      </c>
      <c r="N26">
        <f t="shared" si="6"/>
        <v>0.3169904991083477</v>
      </c>
      <c r="O26">
        <f t="shared" si="7"/>
        <v>3.4041526178742942</v>
      </c>
      <c r="P26">
        <f t="shared" si="8"/>
        <v>0.30145729220556428</v>
      </c>
      <c r="Q26">
        <f t="shared" si="9"/>
        <v>0.18974295745529607</v>
      </c>
      <c r="R26">
        <f t="shared" si="10"/>
        <v>353.33876118588796</v>
      </c>
      <c r="S26">
        <f t="shared" si="11"/>
        <v>27.119033252839653</v>
      </c>
      <c r="T26">
        <f t="shared" si="12"/>
        <v>26.994125806451599</v>
      </c>
      <c r="U26">
        <f t="shared" si="13"/>
        <v>3.577925047395015</v>
      </c>
      <c r="V26">
        <f t="shared" si="14"/>
        <v>54.902712179362524</v>
      </c>
      <c r="W26">
        <f t="shared" si="15"/>
        <v>1.9053538902473508</v>
      </c>
      <c r="X26">
        <f t="shared" si="16"/>
        <v>3.4704185178005789</v>
      </c>
      <c r="Y26">
        <f t="shared" si="17"/>
        <v>1.6725711571476642</v>
      </c>
      <c r="Z26">
        <f t="shared" si="18"/>
        <v>-227.82847625150842</v>
      </c>
      <c r="AA26">
        <f t="shared" si="19"/>
        <v>-95.140968049879589</v>
      </c>
      <c r="AB26">
        <f t="shared" si="20"/>
        <v>-6.0156437301593124</v>
      </c>
      <c r="AC26">
        <f t="shared" si="21"/>
        <v>24.353673154340655</v>
      </c>
      <c r="AD26">
        <v>-4.1512138572452999E-2</v>
      </c>
      <c r="AE26">
        <v>4.6601012210652999E-2</v>
      </c>
      <c r="AF26">
        <v>3.4769991477427999</v>
      </c>
      <c r="AG26">
        <v>145</v>
      </c>
      <c r="AH26">
        <v>29</v>
      </c>
      <c r="AI26">
        <f t="shared" si="22"/>
        <v>1</v>
      </c>
      <c r="AJ26">
        <f t="shared" si="23"/>
        <v>0</v>
      </c>
      <c r="AK26">
        <f t="shared" si="24"/>
        <v>53027.909005489113</v>
      </c>
      <c r="AL26">
        <v>0</v>
      </c>
      <c r="AM26">
        <v>0</v>
      </c>
      <c r="AN26">
        <v>0</v>
      </c>
      <c r="AO26">
        <f t="shared" si="25"/>
        <v>0</v>
      </c>
      <c r="AP26" t="e">
        <f t="shared" si="26"/>
        <v>#DIV/0!</v>
      </c>
      <c r="AQ26">
        <v>-1</v>
      </c>
      <c r="AR26" t="s">
        <v>331</v>
      </c>
      <c r="AS26">
        <v>273.667384615385</v>
      </c>
      <c r="AT26">
        <v>395.15100000000001</v>
      </c>
      <c r="AU26">
        <f t="shared" si="27"/>
        <v>0.3074359305293799</v>
      </c>
      <c r="AV26">
        <v>0.5</v>
      </c>
      <c r="AW26">
        <f t="shared" si="28"/>
        <v>1849.1877674509235</v>
      </c>
      <c r="AX26">
        <f t="shared" si="29"/>
        <v>44.995142352163477</v>
      </c>
      <c r="AY26">
        <f t="shared" si="30"/>
        <v>284.25338100491064</v>
      </c>
      <c r="AZ26">
        <f t="shared" si="31"/>
        <v>0.52767423086364462</v>
      </c>
      <c r="BA26">
        <f t="shared" si="32"/>
        <v>2.4873159536182236E-2</v>
      </c>
      <c r="BB26">
        <f t="shared" si="33"/>
        <v>-1</v>
      </c>
      <c r="BC26" t="s">
        <v>332</v>
      </c>
      <c r="BD26">
        <v>186.64</v>
      </c>
      <c r="BE26">
        <f t="shared" si="34"/>
        <v>208.51100000000002</v>
      </c>
      <c r="BF26">
        <f t="shared" si="35"/>
        <v>0.58262449167964758</v>
      </c>
      <c r="BG26">
        <f t="shared" si="36"/>
        <v>2.1171828118302618</v>
      </c>
      <c r="BH26">
        <f t="shared" si="37"/>
        <v>0.3074359305293799</v>
      </c>
      <c r="BI26" t="e">
        <f t="shared" si="38"/>
        <v>#DIV/0!</v>
      </c>
      <c r="BJ26">
        <v>3715</v>
      </c>
      <c r="BK26">
        <v>300</v>
      </c>
      <c r="BL26">
        <v>300</v>
      </c>
      <c r="BM26">
        <v>300</v>
      </c>
      <c r="BN26">
        <v>9892.4599999999991</v>
      </c>
      <c r="BO26">
        <v>358.82</v>
      </c>
      <c r="BP26">
        <v>-6.41714E-3</v>
      </c>
      <c r="BQ26">
        <v>-6.8237300000000001E-2</v>
      </c>
      <c r="BR26">
        <f t="shared" si="39"/>
        <v>2200.0025806451599</v>
      </c>
      <c r="BS26">
        <f t="shared" si="40"/>
        <v>1849.1877674509235</v>
      </c>
      <c r="BT26">
        <f t="shared" si="41"/>
        <v>0.84053890832648093</v>
      </c>
      <c r="BU26">
        <f t="shared" si="42"/>
        <v>0.19107781665296214</v>
      </c>
      <c r="BV26">
        <v>0.5</v>
      </c>
      <c r="BW26" t="s">
        <v>281</v>
      </c>
      <c r="BX26">
        <v>1592248775.0193501</v>
      </c>
      <c r="BY26">
        <v>680.59829032258097</v>
      </c>
      <c r="BZ26">
        <v>700.00109677419402</v>
      </c>
      <c r="CA26">
        <v>18.9890419354839</v>
      </c>
      <c r="CB26">
        <v>16.961987096774202</v>
      </c>
      <c r="CC26">
        <v>500.04348387096798</v>
      </c>
      <c r="CD26">
        <v>100.139677419355</v>
      </c>
      <c r="CE26">
        <v>0.199976193548387</v>
      </c>
      <c r="CF26">
        <v>26.4757161290322</v>
      </c>
      <c r="CG26">
        <v>26.994125806451599</v>
      </c>
      <c r="CH26">
        <v>999.9</v>
      </c>
      <c r="CI26">
        <v>9996.8906451612893</v>
      </c>
      <c r="CJ26">
        <v>0</v>
      </c>
      <c r="CK26">
        <v>105.32399354838699</v>
      </c>
      <c r="CL26">
        <v>2200.0025806451599</v>
      </c>
      <c r="CM26">
        <v>0.98199493548387096</v>
      </c>
      <c r="CN26">
        <v>1.8004767741935501E-2</v>
      </c>
      <c r="CO26">
        <v>0</v>
      </c>
      <c r="CP26">
        <v>273.65600000000001</v>
      </c>
      <c r="CQ26">
        <v>5.00054</v>
      </c>
      <c r="CR26">
        <v>7385.7548387096704</v>
      </c>
      <c r="CS26">
        <v>20590.525806451598</v>
      </c>
      <c r="CT26">
        <v>47.564161290322602</v>
      </c>
      <c r="CU26">
        <v>48.4473548387097</v>
      </c>
      <c r="CV26">
        <v>47.521935483870998</v>
      </c>
      <c r="CW26">
        <v>47.497806451612902</v>
      </c>
      <c r="CX26">
        <v>48.737612903225802</v>
      </c>
      <c r="CY26">
        <v>2155.4825806451599</v>
      </c>
      <c r="CZ26">
        <v>39.520000000000003</v>
      </c>
      <c r="DA26">
        <v>0</v>
      </c>
      <c r="DB26">
        <v>149.700000047684</v>
      </c>
      <c r="DC26">
        <v>273.667384615385</v>
      </c>
      <c r="DD26">
        <v>-1.56307692601297</v>
      </c>
      <c r="DE26">
        <v>-29.6143588798117</v>
      </c>
      <c r="DF26">
        <v>7386.8507692307703</v>
      </c>
      <c r="DG26">
        <v>15</v>
      </c>
      <c r="DH26">
        <v>1592248728.5</v>
      </c>
      <c r="DI26" t="s">
        <v>333</v>
      </c>
      <c r="DJ26">
        <v>52</v>
      </c>
      <c r="DK26">
        <v>-4.7E-2</v>
      </c>
      <c r="DL26">
        <v>9.8000000000000004E-2</v>
      </c>
      <c r="DM26">
        <v>699</v>
      </c>
      <c r="DN26">
        <v>16</v>
      </c>
      <c r="DO26">
        <v>0.22</v>
      </c>
      <c r="DP26">
        <v>0.04</v>
      </c>
      <c r="DQ26">
        <v>-19.393748076923099</v>
      </c>
      <c r="DR26">
        <v>-0.34548298523552201</v>
      </c>
      <c r="DS26">
        <v>0.104819916065575</v>
      </c>
      <c r="DT26">
        <v>1</v>
      </c>
      <c r="DU26">
        <v>1.9949765384615401</v>
      </c>
      <c r="DV26">
        <v>0.36238136946619198</v>
      </c>
      <c r="DW26">
        <v>4.7854402373023998E-2</v>
      </c>
      <c r="DX26">
        <v>0</v>
      </c>
      <c r="DY26">
        <v>1</v>
      </c>
      <c r="DZ26">
        <v>2</v>
      </c>
      <c r="EA26" t="s">
        <v>298</v>
      </c>
      <c r="EB26">
        <v>1.86669</v>
      </c>
      <c r="EC26">
        <v>1.8632500000000001</v>
      </c>
      <c r="ED26">
        <v>1.8689</v>
      </c>
      <c r="EE26">
        <v>1.86677</v>
      </c>
      <c r="EF26">
        <v>1.8714900000000001</v>
      </c>
      <c r="EG26">
        <v>1.8639399999999999</v>
      </c>
      <c r="EH26">
        <v>1.8654599999999999</v>
      </c>
      <c r="EI26">
        <v>1.8653900000000001</v>
      </c>
      <c r="EJ26" t="s">
        <v>284</v>
      </c>
      <c r="EK26" t="s">
        <v>19</v>
      </c>
      <c r="EL26" t="s">
        <v>19</v>
      </c>
      <c r="EM26" t="s">
        <v>19</v>
      </c>
      <c r="EN26" t="s">
        <v>285</v>
      </c>
      <c r="EO26" t="s">
        <v>286</v>
      </c>
      <c r="EP26" t="s">
        <v>287</v>
      </c>
      <c r="EQ26" t="s">
        <v>287</v>
      </c>
      <c r="ER26" t="s">
        <v>287</v>
      </c>
      <c r="ES26" t="s">
        <v>287</v>
      </c>
      <c r="ET26">
        <v>0</v>
      </c>
      <c r="EU26">
        <v>100</v>
      </c>
      <c r="EV26">
        <v>100</v>
      </c>
      <c r="EW26">
        <v>-4.7E-2</v>
      </c>
      <c r="EX26">
        <v>9.8000000000000004E-2</v>
      </c>
      <c r="EY26">
        <v>2</v>
      </c>
      <c r="EZ26">
        <v>336.02100000000002</v>
      </c>
      <c r="FA26">
        <v>481.959</v>
      </c>
      <c r="FB26">
        <v>19.337700000000002</v>
      </c>
      <c r="FC26">
        <v>36.094299999999997</v>
      </c>
      <c r="FD26">
        <v>29.9985</v>
      </c>
      <c r="FE26">
        <v>36.139099999999999</v>
      </c>
      <c r="FF26">
        <v>36.126300000000001</v>
      </c>
      <c r="FG26">
        <v>35.220500000000001</v>
      </c>
      <c r="FH26">
        <v>5.59565</v>
      </c>
      <c r="FI26">
        <v>100</v>
      </c>
      <c r="FJ26">
        <v>19.3538</v>
      </c>
      <c r="FK26">
        <v>700</v>
      </c>
      <c r="FL26">
        <v>17.038799999999998</v>
      </c>
      <c r="FM26">
        <v>100.56100000000001</v>
      </c>
      <c r="FN26">
        <v>100.623</v>
      </c>
    </row>
    <row r="27" spans="1:170" x14ac:dyDescent="0.25">
      <c r="A27">
        <v>11</v>
      </c>
      <c r="B27">
        <v>1592248927.5</v>
      </c>
      <c r="C27">
        <v>1355</v>
      </c>
      <c r="D27" t="s">
        <v>334</v>
      </c>
      <c r="E27" t="s">
        <v>335</v>
      </c>
      <c r="G27">
        <v>1592248919.55161</v>
      </c>
      <c r="H27">
        <f t="shared" si="0"/>
        <v>6.1213629480227167E-3</v>
      </c>
      <c r="I27">
        <f t="shared" si="1"/>
        <v>45.939304889464665</v>
      </c>
      <c r="J27">
        <f t="shared" si="2"/>
        <v>779.68951612903197</v>
      </c>
      <c r="K27">
        <f t="shared" si="3"/>
        <v>550.92294166284046</v>
      </c>
      <c r="L27">
        <f t="shared" si="4"/>
        <v>55.277114222639682</v>
      </c>
      <c r="M27">
        <f t="shared" si="5"/>
        <v>78.230516796367738</v>
      </c>
      <c r="N27">
        <f t="shared" si="6"/>
        <v>0.36768444535766537</v>
      </c>
      <c r="O27">
        <f t="shared" si="7"/>
        <v>3.4043638609326208</v>
      </c>
      <c r="P27">
        <f t="shared" si="8"/>
        <v>0.34696137331973592</v>
      </c>
      <c r="Q27">
        <f t="shared" si="9"/>
        <v>0.21861535455874931</v>
      </c>
      <c r="R27">
        <f t="shared" si="10"/>
        <v>353.33815272994946</v>
      </c>
      <c r="S27">
        <f t="shared" si="11"/>
        <v>26.936364737720204</v>
      </c>
      <c r="T27">
        <f t="shared" si="12"/>
        <v>26.956522580645199</v>
      </c>
      <c r="U27">
        <f t="shared" si="13"/>
        <v>3.5700303578083363</v>
      </c>
      <c r="V27">
        <f t="shared" si="14"/>
        <v>53.134908430083613</v>
      </c>
      <c r="W27">
        <f t="shared" si="15"/>
        <v>1.8476249877602122</v>
      </c>
      <c r="X27">
        <f t="shared" si="16"/>
        <v>3.4772337853774009</v>
      </c>
      <c r="Y27">
        <f t="shared" si="17"/>
        <v>1.7224053700481241</v>
      </c>
      <c r="Z27">
        <f t="shared" si="18"/>
        <v>-269.95210600780183</v>
      </c>
      <c r="AA27">
        <f t="shared" si="19"/>
        <v>-82.137717316987562</v>
      </c>
      <c r="AB27">
        <f t="shared" si="20"/>
        <v>-5.1930288748964495</v>
      </c>
      <c r="AC27">
        <f t="shared" si="21"/>
        <v>-3.9446994697364062</v>
      </c>
      <c r="AD27">
        <v>-4.1515415092750002E-2</v>
      </c>
      <c r="AE27">
        <v>4.6604690391725399E-2</v>
      </c>
      <c r="AF27">
        <v>3.47721614052017</v>
      </c>
      <c r="AG27">
        <v>144</v>
      </c>
      <c r="AH27">
        <v>29</v>
      </c>
      <c r="AI27">
        <f t="shared" si="22"/>
        <v>1</v>
      </c>
      <c r="AJ27">
        <f t="shared" si="23"/>
        <v>0</v>
      </c>
      <c r="AK27">
        <f t="shared" si="24"/>
        <v>53025.941505004237</v>
      </c>
      <c r="AL27">
        <v>0</v>
      </c>
      <c r="AM27">
        <v>0</v>
      </c>
      <c r="AN27">
        <v>0</v>
      </c>
      <c r="AO27">
        <f t="shared" si="25"/>
        <v>0</v>
      </c>
      <c r="AP27" t="e">
        <f t="shared" si="26"/>
        <v>#DIV/0!</v>
      </c>
      <c r="AQ27">
        <v>-1</v>
      </c>
      <c r="AR27" t="s">
        <v>336</v>
      </c>
      <c r="AS27">
        <v>270.77219230769202</v>
      </c>
      <c r="AT27">
        <v>390.315</v>
      </c>
      <c r="AU27">
        <f t="shared" si="27"/>
        <v>0.30627264566390733</v>
      </c>
      <c r="AV27">
        <v>0.5</v>
      </c>
      <c r="AW27">
        <f t="shared" si="28"/>
        <v>1849.1898771284896</v>
      </c>
      <c r="AX27">
        <f t="shared" si="29"/>
        <v>45.939304889464665</v>
      </c>
      <c r="AY27">
        <f t="shared" si="30"/>
        <v>283.17813800152913</v>
      </c>
      <c r="AZ27">
        <f t="shared" si="31"/>
        <v>0.52802223844843266</v>
      </c>
      <c r="BA27">
        <f t="shared" si="32"/>
        <v>2.5383712873420148E-2</v>
      </c>
      <c r="BB27">
        <f t="shared" si="33"/>
        <v>-1</v>
      </c>
      <c r="BC27" t="s">
        <v>337</v>
      </c>
      <c r="BD27">
        <v>184.22</v>
      </c>
      <c r="BE27">
        <f t="shared" si="34"/>
        <v>206.095</v>
      </c>
      <c r="BF27">
        <f t="shared" si="35"/>
        <v>0.58003739873508808</v>
      </c>
      <c r="BG27">
        <f t="shared" si="36"/>
        <v>2.1187438931712084</v>
      </c>
      <c r="BH27">
        <f t="shared" si="37"/>
        <v>0.30627264566390727</v>
      </c>
      <c r="BI27" t="e">
        <f t="shared" si="38"/>
        <v>#DIV/0!</v>
      </c>
      <c r="BJ27">
        <v>3717</v>
      </c>
      <c r="BK27">
        <v>300</v>
      </c>
      <c r="BL27">
        <v>300</v>
      </c>
      <c r="BM27">
        <v>300</v>
      </c>
      <c r="BN27">
        <v>9893.99</v>
      </c>
      <c r="BO27">
        <v>352.88799999999998</v>
      </c>
      <c r="BP27">
        <v>-6.4182099999999997E-3</v>
      </c>
      <c r="BQ27">
        <v>0.36047400000000002</v>
      </c>
      <c r="BR27">
        <f t="shared" si="39"/>
        <v>2200.0058064516102</v>
      </c>
      <c r="BS27">
        <f t="shared" si="40"/>
        <v>1849.1898771284896</v>
      </c>
      <c r="BT27">
        <f t="shared" si="41"/>
        <v>0.84053863480980917</v>
      </c>
      <c r="BU27">
        <f t="shared" si="42"/>
        <v>0.19107726961961841</v>
      </c>
      <c r="BV27">
        <v>0.5</v>
      </c>
      <c r="BW27" t="s">
        <v>281</v>
      </c>
      <c r="BX27">
        <v>1592248919.55161</v>
      </c>
      <c r="BY27">
        <v>779.68951612903197</v>
      </c>
      <c r="BZ27">
        <v>799.97296774193501</v>
      </c>
      <c r="CA27">
        <v>18.414474193548401</v>
      </c>
      <c r="CB27">
        <v>16.0111806451613</v>
      </c>
      <c r="CC27">
        <v>500.03390322580702</v>
      </c>
      <c r="CD27">
        <v>100.135516129032</v>
      </c>
      <c r="CE27">
        <v>0.19995738709677399</v>
      </c>
      <c r="CF27">
        <v>26.5089935483871</v>
      </c>
      <c r="CG27">
        <v>26.956522580645199</v>
      </c>
      <c r="CH27">
        <v>999.9</v>
      </c>
      <c r="CI27">
        <v>9998.0951612903209</v>
      </c>
      <c r="CJ27">
        <v>0</v>
      </c>
      <c r="CK27">
        <v>111.26380645161299</v>
      </c>
      <c r="CL27">
        <v>2200.0058064516102</v>
      </c>
      <c r="CM27">
        <v>0.98200490322580603</v>
      </c>
      <c r="CN27">
        <v>1.7995306451612899E-2</v>
      </c>
      <c r="CO27">
        <v>0</v>
      </c>
      <c r="CP27">
        <v>270.78003225806401</v>
      </c>
      <c r="CQ27">
        <v>5.00054</v>
      </c>
      <c r="CR27">
        <v>7379.9335483871</v>
      </c>
      <c r="CS27">
        <v>20590.606451612901</v>
      </c>
      <c r="CT27">
        <v>47.054064516129003</v>
      </c>
      <c r="CU27">
        <v>47.838419354838699</v>
      </c>
      <c r="CV27">
        <v>47.058129032258002</v>
      </c>
      <c r="CW27">
        <v>46.935096774193497</v>
      </c>
      <c r="CX27">
        <v>48.366741935483901</v>
      </c>
      <c r="CY27">
        <v>2155.5058064516102</v>
      </c>
      <c r="CZ27">
        <v>39.5</v>
      </c>
      <c r="DA27">
        <v>0</v>
      </c>
      <c r="DB27">
        <v>143.80000019073501</v>
      </c>
      <c r="DC27">
        <v>270.77219230769202</v>
      </c>
      <c r="DD27">
        <v>-2.5289230875981898</v>
      </c>
      <c r="DE27">
        <v>-87.913162423393501</v>
      </c>
      <c r="DF27">
        <v>7379.3715384615398</v>
      </c>
      <c r="DG27">
        <v>15</v>
      </c>
      <c r="DH27">
        <v>1592248950</v>
      </c>
      <c r="DI27" t="s">
        <v>338</v>
      </c>
      <c r="DJ27">
        <v>53</v>
      </c>
      <c r="DK27">
        <v>-4.0000000000000001E-3</v>
      </c>
      <c r="DL27">
        <v>0.09</v>
      </c>
      <c r="DM27">
        <v>800</v>
      </c>
      <c r="DN27">
        <v>16</v>
      </c>
      <c r="DO27">
        <v>0.22</v>
      </c>
      <c r="DP27">
        <v>0.03</v>
      </c>
      <c r="DQ27">
        <v>-20.3729461538462</v>
      </c>
      <c r="DR27">
        <v>0.47906390368485102</v>
      </c>
      <c r="DS27">
        <v>0.127550066280987</v>
      </c>
      <c r="DT27">
        <v>1</v>
      </c>
      <c r="DU27">
        <v>2.40226730769231</v>
      </c>
      <c r="DV27">
        <v>9.2122773759742399E-2</v>
      </c>
      <c r="DW27">
        <v>1.29619846704751E-2</v>
      </c>
      <c r="DX27">
        <v>1</v>
      </c>
      <c r="DY27">
        <v>2</v>
      </c>
      <c r="DZ27">
        <v>2</v>
      </c>
      <c r="EA27" t="s">
        <v>283</v>
      </c>
      <c r="EB27">
        <v>1.86673</v>
      </c>
      <c r="EC27">
        <v>1.8632500000000001</v>
      </c>
      <c r="ED27">
        <v>1.8689</v>
      </c>
      <c r="EE27">
        <v>1.8668400000000001</v>
      </c>
      <c r="EF27">
        <v>1.8714900000000001</v>
      </c>
      <c r="EG27">
        <v>1.8640000000000001</v>
      </c>
      <c r="EH27">
        <v>1.8655299999999999</v>
      </c>
      <c r="EI27">
        <v>1.8653999999999999</v>
      </c>
      <c r="EJ27" t="s">
        <v>284</v>
      </c>
      <c r="EK27" t="s">
        <v>19</v>
      </c>
      <c r="EL27" t="s">
        <v>19</v>
      </c>
      <c r="EM27" t="s">
        <v>19</v>
      </c>
      <c r="EN27" t="s">
        <v>285</v>
      </c>
      <c r="EO27" t="s">
        <v>286</v>
      </c>
      <c r="EP27" t="s">
        <v>287</v>
      </c>
      <c r="EQ27" t="s">
        <v>287</v>
      </c>
      <c r="ER27" t="s">
        <v>287</v>
      </c>
      <c r="ES27" t="s">
        <v>287</v>
      </c>
      <c r="ET27">
        <v>0</v>
      </c>
      <c r="EU27">
        <v>100</v>
      </c>
      <c r="EV27">
        <v>100</v>
      </c>
      <c r="EW27">
        <v>-4.0000000000000001E-3</v>
      </c>
      <c r="EX27">
        <v>0.09</v>
      </c>
      <c r="EY27">
        <v>2</v>
      </c>
      <c r="EZ27">
        <v>336.42899999999997</v>
      </c>
      <c r="FA27">
        <v>484.53399999999999</v>
      </c>
      <c r="FB27">
        <v>19.992100000000001</v>
      </c>
      <c r="FC27">
        <v>35.831200000000003</v>
      </c>
      <c r="FD27">
        <v>29.999600000000001</v>
      </c>
      <c r="FE27">
        <v>35.947699999999998</v>
      </c>
      <c r="FF27">
        <v>35.949100000000001</v>
      </c>
      <c r="FG27">
        <v>39.211799999999997</v>
      </c>
      <c r="FH27">
        <v>0</v>
      </c>
      <c r="FI27">
        <v>100</v>
      </c>
      <c r="FJ27">
        <v>20.014099999999999</v>
      </c>
      <c r="FK27">
        <v>800</v>
      </c>
      <c r="FL27">
        <v>17.0397</v>
      </c>
      <c r="FM27">
        <v>100.608</v>
      </c>
      <c r="FN27">
        <v>100.68899999999999</v>
      </c>
    </row>
    <row r="28" spans="1:170" x14ac:dyDescent="0.25">
      <c r="A28">
        <v>12</v>
      </c>
      <c r="B28">
        <v>1592249075.5</v>
      </c>
      <c r="C28">
        <v>1503</v>
      </c>
      <c r="D28" t="s">
        <v>339</v>
      </c>
      <c r="E28" t="s">
        <v>340</v>
      </c>
      <c r="G28">
        <v>1592249067.5483899</v>
      </c>
      <c r="H28">
        <f t="shared" si="0"/>
        <v>6.0342712600474887E-3</v>
      </c>
      <c r="I28">
        <f t="shared" si="1"/>
        <v>47.214899772631867</v>
      </c>
      <c r="J28">
        <f t="shared" si="2"/>
        <v>978.78441935483897</v>
      </c>
      <c r="K28">
        <f t="shared" si="3"/>
        <v>721.89284691710964</v>
      </c>
      <c r="L28">
        <f t="shared" si="4"/>
        <v>72.430988295831028</v>
      </c>
      <c r="M28">
        <f t="shared" si="5"/>
        <v>98.206157777003796</v>
      </c>
      <c r="N28">
        <f t="shared" si="6"/>
        <v>0.34153026140869502</v>
      </c>
      <c r="O28">
        <f t="shared" si="7"/>
        <v>3.4041007598076667</v>
      </c>
      <c r="P28">
        <f t="shared" si="8"/>
        <v>0.32357187966740641</v>
      </c>
      <c r="Q28">
        <f t="shared" si="9"/>
        <v>0.2037671896012121</v>
      </c>
      <c r="R28">
        <f t="shared" si="10"/>
        <v>353.3361448662788</v>
      </c>
      <c r="S28">
        <f t="shared" si="11"/>
        <v>27.03800785357512</v>
      </c>
      <c r="T28">
        <f t="shared" si="12"/>
        <v>27.039300000000001</v>
      </c>
      <c r="U28">
        <f t="shared" si="13"/>
        <v>3.5874293875782817</v>
      </c>
      <c r="V28">
        <f t="shared" si="14"/>
        <v>50.548851050665142</v>
      </c>
      <c r="W28">
        <f t="shared" si="15"/>
        <v>1.7662116241707637</v>
      </c>
      <c r="X28">
        <f t="shared" si="16"/>
        <v>3.4940687819006784</v>
      </c>
      <c r="Y28">
        <f t="shared" si="17"/>
        <v>1.821217763407518</v>
      </c>
      <c r="Z28">
        <f t="shared" si="18"/>
        <v>-266.11136256809425</v>
      </c>
      <c r="AA28">
        <f t="shared" si="19"/>
        <v>-82.281738967941621</v>
      </c>
      <c r="AB28">
        <f t="shared" si="20"/>
        <v>-5.206826709307955</v>
      </c>
      <c r="AC28">
        <f t="shared" si="21"/>
        <v>-0.26378337906503191</v>
      </c>
      <c r="AD28">
        <v>-4.1511334233472398E-2</v>
      </c>
      <c r="AE28">
        <v>4.6600109269683297E-2</v>
      </c>
      <c r="AF28">
        <v>3.4769458782021898</v>
      </c>
      <c r="AG28">
        <v>140</v>
      </c>
      <c r="AH28">
        <v>28</v>
      </c>
      <c r="AI28">
        <f t="shared" si="22"/>
        <v>1</v>
      </c>
      <c r="AJ28">
        <f t="shared" si="23"/>
        <v>0</v>
      </c>
      <c r="AK28">
        <f t="shared" si="24"/>
        <v>53006.421835896421</v>
      </c>
      <c r="AL28">
        <v>0</v>
      </c>
      <c r="AM28">
        <v>0</v>
      </c>
      <c r="AN28">
        <v>0</v>
      </c>
      <c r="AO28">
        <f t="shared" si="25"/>
        <v>0</v>
      </c>
      <c r="AP28" t="e">
        <f t="shared" si="26"/>
        <v>#DIV/0!</v>
      </c>
      <c r="AQ28">
        <v>-1</v>
      </c>
      <c r="AR28" t="s">
        <v>341</v>
      </c>
      <c r="AS28">
        <v>264.21438461538497</v>
      </c>
      <c r="AT28">
        <v>372.95600000000002</v>
      </c>
      <c r="AU28">
        <f t="shared" si="27"/>
        <v>0.29156687487160693</v>
      </c>
      <c r="AV28">
        <v>0.5</v>
      </c>
      <c r="AW28">
        <f t="shared" si="28"/>
        <v>1849.1793093865535</v>
      </c>
      <c r="AX28">
        <f t="shared" si="29"/>
        <v>47.214899772631867</v>
      </c>
      <c r="AY28">
        <f t="shared" si="30"/>
        <v>269.57971615753689</v>
      </c>
      <c r="AZ28">
        <f t="shared" si="31"/>
        <v>0.5116313988781519</v>
      </c>
      <c r="BA28">
        <f t="shared" si="32"/>
        <v>2.6073674698764975E-2</v>
      </c>
      <c r="BB28">
        <f t="shared" si="33"/>
        <v>-1</v>
      </c>
      <c r="BC28" t="s">
        <v>342</v>
      </c>
      <c r="BD28">
        <v>182.14</v>
      </c>
      <c r="BE28">
        <f t="shared" si="34"/>
        <v>190.81600000000003</v>
      </c>
      <c r="BF28">
        <f t="shared" si="35"/>
        <v>0.56987682052141864</v>
      </c>
      <c r="BG28">
        <f t="shared" si="36"/>
        <v>2.0476336883715827</v>
      </c>
      <c r="BH28">
        <f t="shared" si="37"/>
        <v>0.29156687487160693</v>
      </c>
      <c r="BI28" t="e">
        <f t="shared" si="38"/>
        <v>#DIV/0!</v>
      </c>
      <c r="BJ28">
        <v>3719</v>
      </c>
      <c r="BK28">
        <v>300</v>
      </c>
      <c r="BL28">
        <v>300</v>
      </c>
      <c r="BM28">
        <v>300</v>
      </c>
      <c r="BN28">
        <v>9894.66</v>
      </c>
      <c r="BO28">
        <v>339.58800000000002</v>
      </c>
      <c r="BP28">
        <v>-6.4188300000000004E-3</v>
      </c>
      <c r="BQ28">
        <v>0.70010399999999995</v>
      </c>
      <c r="BR28">
        <f t="shared" si="39"/>
        <v>2199.99322580645</v>
      </c>
      <c r="BS28">
        <f t="shared" si="40"/>
        <v>1849.1793093865535</v>
      </c>
      <c r="BT28">
        <f t="shared" si="41"/>
        <v>0.84053863788998762</v>
      </c>
      <c r="BU28">
        <f t="shared" si="42"/>
        <v>0.19107727577997533</v>
      </c>
      <c r="BV28">
        <v>0.5</v>
      </c>
      <c r="BW28" t="s">
        <v>281</v>
      </c>
      <c r="BX28">
        <v>1592249067.5483899</v>
      </c>
      <c r="BY28">
        <v>978.78441935483897</v>
      </c>
      <c r="BZ28">
        <v>1000.03070967742</v>
      </c>
      <c r="CA28">
        <v>17.6031774193548</v>
      </c>
      <c r="CB28">
        <v>15.232200000000001</v>
      </c>
      <c r="CC28">
        <v>500.05106451612897</v>
      </c>
      <c r="CD28">
        <v>100.134806451613</v>
      </c>
      <c r="CE28">
        <v>0.20001277419354799</v>
      </c>
      <c r="CF28">
        <v>26.590951612903201</v>
      </c>
      <c r="CG28">
        <v>27.039300000000001</v>
      </c>
      <c r="CH28">
        <v>999.9</v>
      </c>
      <c r="CI28">
        <v>9997.1832258064496</v>
      </c>
      <c r="CJ28">
        <v>0</v>
      </c>
      <c r="CK28">
        <v>109.62538709677401</v>
      </c>
      <c r="CL28">
        <v>2199.99322580645</v>
      </c>
      <c r="CM28">
        <v>0.98200412903225798</v>
      </c>
      <c r="CN28">
        <v>1.7996158064516099E-2</v>
      </c>
      <c r="CO28">
        <v>0</v>
      </c>
      <c r="CP28">
        <v>264.25109677419402</v>
      </c>
      <c r="CQ28">
        <v>5.00054</v>
      </c>
      <c r="CR28">
        <v>7220.8319354838704</v>
      </c>
      <c r="CS28">
        <v>20590.490322580699</v>
      </c>
      <c r="CT28">
        <v>46.951322580645098</v>
      </c>
      <c r="CU28">
        <v>47.620677419354799</v>
      </c>
      <c r="CV28">
        <v>46.901000000000003</v>
      </c>
      <c r="CW28">
        <v>46.850677419354803</v>
      </c>
      <c r="CX28">
        <v>48.287999999999997</v>
      </c>
      <c r="CY28">
        <v>2155.49322580645</v>
      </c>
      <c r="CZ28">
        <v>39.5</v>
      </c>
      <c r="DA28">
        <v>0</v>
      </c>
      <c r="DB28">
        <v>147.200000047684</v>
      </c>
      <c r="DC28">
        <v>264.21438461538497</v>
      </c>
      <c r="DD28">
        <v>-4.8696752134258201</v>
      </c>
      <c r="DE28">
        <v>-142.09094064368199</v>
      </c>
      <c r="DF28">
        <v>7220.8853846153897</v>
      </c>
      <c r="DG28">
        <v>15</v>
      </c>
      <c r="DH28">
        <v>1592249099.5999999</v>
      </c>
      <c r="DI28" t="s">
        <v>343</v>
      </c>
      <c r="DJ28">
        <v>54</v>
      </c>
      <c r="DK28">
        <v>0.34899999999999998</v>
      </c>
      <c r="DL28">
        <v>0.08</v>
      </c>
      <c r="DM28">
        <v>1000</v>
      </c>
      <c r="DN28">
        <v>15</v>
      </c>
      <c r="DO28">
        <v>0.22</v>
      </c>
      <c r="DP28">
        <v>0.03</v>
      </c>
      <c r="DQ28">
        <v>-21.6370942307692</v>
      </c>
      <c r="DR28">
        <v>0.42464390594576101</v>
      </c>
      <c r="DS28">
        <v>8.75465335900803E-2</v>
      </c>
      <c r="DT28">
        <v>1</v>
      </c>
      <c r="DU28">
        <v>2.3732788461538501</v>
      </c>
      <c r="DV28">
        <v>7.6585750735338395E-2</v>
      </c>
      <c r="DW28">
        <v>9.8900574887195499E-3</v>
      </c>
      <c r="DX28">
        <v>1</v>
      </c>
      <c r="DY28">
        <v>2</v>
      </c>
      <c r="DZ28">
        <v>2</v>
      </c>
      <c r="EA28" t="s">
        <v>283</v>
      </c>
      <c r="EB28">
        <v>1.8666700000000001</v>
      </c>
      <c r="EC28">
        <v>1.8632500000000001</v>
      </c>
      <c r="ED28">
        <v>1.8688800000000001</v>
      </c>
      <c r="EE28">
        <v>1.86677</v>
      </c>
      <c r="EF28">
        <v>1.8714500000000001</v>
      </c>
      <c r="EG28">
        <v>1.8638999999999999</v>
      </c>
      <c r="EH28">
        <v>1.8654500000000001</v>
      </c>
      <c r="EI28">
        <v>1.8653900000000001</v>
      </c>
      <c r="EJ28" t="s">
        <v>284</v>
      </c>
      <c r="EK28" t="s">
        <v>19</v>
      </c>
      <c r="EL28" t="s">
        <v>19</v>
      </c>
      <c r="EM28" t="s">
        <v>19</v>
      </c>
      <c r="EN28" t="s">
        <v>285</v>
      </c>
      <c r="EO28" t="s">
        <v>286</v>
      </c>
      <c r="EP28" t="s">
        <v>287</v>
      </c>
      <c r="EQ28" t="s">
        <v>287</v>
      </c>
      <c r="ER28" t="s">
        <v>287</v>
      </c>
      <c r="ES28" t="s">
        <v>287</v>
      </c>
      <c r="ET28">
        <v>0</v>
      </c>
      <c r="EU28">
        <v>100</v>
      </c>
      <c r="EV28">
        <v>100</v>
      </c>
      <c r="EW28">
        <v>0.34899999999999998</v>
      </c>
      <c r="EX28">
        <v>0.08</v>
      </c>
      <c r="EY28">
        <v>2</v>
      </c>
      <c r="EZ28">
        <v>340.303</v>
      </c>
      <c r="FA28">
        <v>484.089</v>
      </c>
      <c r="FB28">
        <v>19.142399999999999</v>
      </c>
      <c r="FC28">
        <v>35.615699999999997</v>
      </c>
      <c r="FD28">
        <v>29.9999</v>
      </c>
      <c r="FE28">
        <v>35.756</v>
      </c>
      <c r="FF28">
        <v>35.764099999999999</v>
      </c>
      <c r="FG28">
        <v>46.888199999999998</v>
      </c>
      <c r="FH28">
        <v>0</v>
      </c>
      <c r="FI28">
        <v>100</v>
      </c>
      <c r="FJ28">
        <v>19.0715</v>
      </c>
      <c r="FK28">
        <v>1000</v>
      </c>
      <c r="FL28">
        <v>17.0397</v>
      </c>
      <c r="FM28">
        <v>100.648</v>
      </c>
      <c r="FN28">
        <v>100.735</v>
      </c>
    </row>
    <row r="29" spans="1:170" x14ac:dyDescent="0.25">
      <c r="A29">
        <v>13</v>
      </c>
      <c r="B29">
        <v>1592249222.5999999</v>
      </c>
      <c r="C29">
        <v>1650.0999999046301</v>
      </c>
      <c r="D29" t="s">
        <v>344</v>
      </c>
      <c r="E29" t="s">
        <v>345</v>
      </c>
      <c r="G29">
        <v>1592249214.5999999</v>
      </c>
      <c r="H29">
        <f t="shared" si="0"/>
        <v>6.1119024867276779E-3</v>
      </c>
      <c r="I29">
        <f t="shared" si="1"/>
        <v>47.186084750800063</v>
      </c>
      <c r="J29">
        <f t="shared" si="2"/>
        <v>1178.32967741936</v>
      </c>
      <c r="K29">
        <f t="shared" si="3"/>
        <v>913.71738711068019</v>
      </c>
      <c r="L29">
        <f t="shared" si="4"/>
        <v>91.674205693480161</v>
      </c>
      <c r="M29">
        <f t="shared" si="5"/>
        <v>118.22302907473248</v>
      </c>
      <c r="N29">
        <f t="shared" si="6"/>
        <v>0.33927680263332999</v>
      </c>
      <c r="O29">
        <f t="shared" si="7"/>
        <v>3.4037496183067852</v>
      </c>
      <c r="P29">
        <f t="shared" si="8"/>
        <v>0.32154629016843012</v>
      </c>
      <c r="Q29">
        <f t="shared" si="9"/>
        <v>0.20248219958462299</v>
      </c>
      <c r="R29">
        <f t="shared" si="10"/>
        <v>353.33870667120755</v>
      </c>
      <c r="S29">
        <f t="shared" si="11"/>
        <v>26.770318491964591</v>
      </c>
      <c r="T29">
        <f t="shared" si="12"/>
        <v>26.9109612903226</v>
      </c>
      <c r="U29">
        <f t="shared" si="13"/>
        <v>3.5604852728732719</v>
      </c>
      <c r="V29">
        <f t="shared" si="14"/>
        <v>49.477011720262489</v>
      </c>
      <c r="W29">
        <f t="shared" si="15"/>
        <v>1.7034363933337082</v>
      </c>
      <c r="X29">
        <f t="shared" si="16"/>
        <v>3.4428845520516638</v>
      </c>
      <c r="Y29">
        <f t="shared" si="17"/>
        <v>1.8570488795395637</v>
      </c>
      <c r="Z29">
        <f t="shared" si="18"/>
        <v>-269.53489966469061</v>
      </c>
      <c r="AA29">
        <f t="shared" si="19"/>
        <v>-104.64640455048405</v>
      </c>
      <c r="AB29">
        <f t="shared" si="20"/>
        <v>-6.6102219039065702</v>
      </c>
      <c r="AC29">
        <f t="shared" si="21"/>
        <v>-27.452819447873679</v>
      </c>
      <c r="AD29">
        <v>-4.1505888037264703E-2</v>
      </c>
      <c r="AE29">
        <v>4.6593995437327201E-2</v>
      </c>
      <c r="AF29">
        <v>3.47658517958119</v>
      </c>
      <c r="AG29">
        <v>142</v>
      </c>
      <c r="AH29">
        <v>28</v>
      </c>
      <c r="AI29">
        <f t="shared" si="22"/>
        <v>1</v>
      </c>
      <c r="AJ29">
        <f t="shared" si="23"/>
        <v>0</v>
      </c>
      <c r="AK29">
        <f t="shared" si="24"/>
        <v>53043.979624351843</v>
      </c>
      <c r="AL29">
        <v>0</v>
      </c>
      <c r="AM29">
        <v>0</v>
      </c>
      <c r="AN29">
        <v>0</v>
      </c>
      <c r="AO29">
        <f t="shared" si="25"/>
        <v>0</v>
      </c>
      <c r="AP29" t="e">
        <f t="shared" si="26"/>
        <v>#DIV/0!</v>
      </c>
      <c r="AQ29">
        <v>-1</v>
      </c>
      <c r="AR29" t="s">
        <v>346</v>
      </c>
      <c r="AS29">
        <v>257.208153846154</v>
      </c>
      <c r="AT29">
        <v>353.42899999999997</v>
      </c>
      <c r="AU29">
        <f t="shared" si="27"/>
        <v>0.27224943667284229</v>
      </c>
      <c r="AV29">
        <v>0.5</v>
      </c>
      <c r="AW29">
        <f t="shared" si="28"/>
        <v>1849.1923642252557</v>
      </c>
      <c r="AX29">
        <f t="shared" si="29"/>
        <v>47.186084750800063</v>
      </c>
      <c r="AY29">
        <f t="shared" si="30"/>
        <v>251.72078973002363</v>
      </c>
      <c r="AZ29">
        <f t="shared" si="31"/>
        <v>0.49200546644446264</v>
      </c>
      <c r="BA29">
        <f t="shared" si="32"/>
        <v>2.6057908134932344E-2</v>
      </c>
      <c r="BB29">
        <f t="shared" si="33"/>
        <v>-1</v>
      </c>
      <c r="BC29" t="s">
        <v>347</v>
      </c>
      <c r="BD29">
        <v>179.54</v>
      </c>
      <c r="BE29">
        <f t="shared" si="34"/>
        <v>173.88899999999998</v>
      </c>
      <c r="BF29">
        <f t="shared" si="35"/>
        <v>0.55334636551964744</v>
      </c>
      <c r="BG29">
        <f t="shared" si="36"/>
        <v>1.9685251197504734</v>
      </c>
      <c r="BH29">
        <f t="shared" si="37"/>
        <v>0.27224943667284229</v>
      </c>
      <c r="BI29" t="e">
        <f t="shared" si="38"/>
        <v>#DIV/0!</v>
      </c>
      <c r="BJ29">
        <v>3721</v>
      </c>
      <c r="BK29">
        <v>300</v>
      </c>
      <c r="BL29">
        <v>300</v>
      </c>
      <c r="BM29">
        <v>300</v>
      </c>
      <c r="BN29">
        <v>9895.3700000000008</v>
      </c>
      <c r="BO29">
        <v>326.19799999999998</v>
      </c>
      <c r="BP29">
        <v>-6.4191999999999999E-3</v>
      </c>
      <c r="BQ29">
        <v>0.78949000000000003</v>
      </c>
      <c r="BR29">
        <f t="shared" si="39"/>
        <v>2200.00870967742</v>
      </c>
      <c r="BS29">
        <f t="shared" si="40"/>
        <v>1849.1923642252557</v>
      </c>
      <c r="BT29">
        <f t="shared" si="41"/>
        <v>0.84053865609304634</v>
      </c>
      <c r="BU29">
        <f t="shared" si="42"/>
        <v>0.19107731218609245</v>
      </c>
      <c r="BV29">
        <v>0.5</v>
      </c>
      <c r="BW29" t="s">
        <v>281</v>
      </c>
      <c r="BX29">
        <v>1592249214.5999999</v>
      </c>
      <c r="BY29">
        <v>1178.32967741936</v>
      </c>
      <c r="BZ29">
        <v>1200.0825806451601</v>
      </c>
      <c r="CA29">
        <v>16.9781612903226</v>
      </c>
      <c r="CB29">
        <v>14.575158064516099</v>
      </c>
      <c r="CC29">
        <v>500.05206451612901</v>
      </c>
      <c r="CD29">
        <v>100.131032258064</v>
      </c>
      <c r="CE29">
        <v>0.199996774193548</v>
      </c>
      <c r="CF29">
        <v>26.340690322580599</v>
      </c>
      <c r="CG29">
        <v>26.9109612903226</v>
      </c>
      <c r="CH29">
        <v>999.9</v>
      </c>
      <c r="CI29">
        <v>9996.2483870967808</v>
      </c>
      <c r="CJ29">
        <v>0</v>
      </c>
      <c r="CK29">
        <v>108.51448387096799</v>
      </c>
      <c r="CL29">
        <v>2200.00870967742</v>
      </c>
      <c r="CM29">
        <v>0.98200277419354898</v>
      </c>
      <c r="CN29">
        <v>1.7997587096774199E-2</v>
      </c>
      <c r="CO29">
        <v>0</v>
      </c>
      <c r="CP29">
        <v>257.22935483870998</v>
      </c>
      <c r="CQ29">
        <v>5.00054</v>
      </c>
      <c r="CR29">
        <v>7037.4593548387102</v>
      </c>
      <c r="CS29">
        <v>20590.625806451601</v>
      </c>
      <c r="CT29">
        <v>46.765935483870997</v>
      </c>
      <c r="CU29">
        <v>47.485774193548401</v>
      </c>
      <c r="CV29">
        <v>46.808</v>
      </c>
      <c r="CW29">
        <v>46.737612903225802</v>
      </c>
      <c r="CX29">
        <v>48.037999999999997</v>
      </c>
      <c r="CY29">
        <v>2155.5070967741899</v>
      </c>
      <c r="CZ29">
        <v>39.501612903225798</v>
      </c>
      <c r="DA29">
        <v>0</v>
      </c>
      <c r="DB29">
        <v>146.60000014305101</v>
      </c>
      <c r="DC29">
        <v>257.208153846154</v>
      </c>
      <c r="DD29">
        <v>-3.38112819346353</v>
      </c>
      <c r="DE29">
        <v>-26.885811938320501</v>
      </c>
      <c r="DF29">
        <v>7036.9188461538497</v>
      </c>
      <c r="DG29">
        <v>15</v>
      </c>
      <c r="DH29">
        <v>1592249251.0999999</v>
      </c>
      <c r="DI29" t="s">
        <v>348</v>
      </c>
      <c r="DJ29">
        <v>55</v>
      </c>
      <c r="DK29">
        <v>0.29899999999999999</v>
      </c>
      <c r="DL29">
        <v>7.3999999999999996E-2</v>
      </c>
      <c r="DM29">
        <v>1200</v>
      </c>
      <c r="DN29">
        <v>14</v>
      </c>
      <c r="DO29">
        <v>0.3</v>
      </c>
      <c r="DP29">
        <v>0.05</v>
      </c>
      <c r="DQ29">
        <v>-21.740521153846199</v>
      </c>
      <c r="DR29">
        <v>0.37304652949711398</v>
      </c>
      <c r="DS29">
        <v>0.15145289358606401</v>
      </c>
      <c r="DT29">
        <v>1</v>
      </c>
      <c r="DU29">
        <v>2.4088359615384598</v>
      </c>
      <c r="DV29">
        <v>1.1850934858718301E-3</v>
      </c>
      <c r="DW29">
        <v>7.3651566017126201E-3</v>
      </c>
      <c r="DX29">
        <v>1</v>
      </c>
      <c r="DY29">
        <v>2</v>
      </c>
      <c r="DZ29">
        <v>2</v>
      </c>
      <c r="EA29" t="s">
        <v>283</v>
      </c>
      <c r="EB29">
        <v>1.8667199999999999</v>
      </c>
      <c r="EC29">
        <v>1.8632500000000001</v>
      </c>
      <c r="ED29">
        <v>1.8688899999999999</v>
      </c>
      <c r="EE29">
        <v>1.8667899999999999</v>
      </c>
      <c r="EF29">
        <v>1.87148</v>
      </c>
      <c r="EG29">
        <v>1.8639699999999999</v>
      </c>
      <c r="EH29">
        <v>1.86551</v>
      </c>
      <c r="EI29">
        <v>1.8653900000000001</v>
      </c>
      <c r="EJ29" t="s">
        <v>284</v>
      </c>
      <c r="EK29" t="s">
        <v>19</v>
      </c>
      <c r="EL29" t="s">
        <v>19</v>
      </c>
      <c r="EM29" t="s">
        <v>19</v>
      </c>
      <c r="EN29" t="s">
        <v>285</v>
      </c>
      <c r="EO29" t="s">
        <v>286</v>
      </c>
      <c r="EP29" t="s">
        <v>287</v>
      </c>
      <c r="EQ29" t="s">
        <v>287</v>
      </c>
      <c r="ER29" t="s">
        <v>287</v>
      </c>
      <c r="ES29" t="s">
        <v>287</v>
      </c>
      <c r="ET29">
        <v>0</v>
      </c>
      <c r="EU29">
        <v>100</v>
      </c>
      <c r="EV29">
        <v>100</v>
      </c>
      <c r="EW29">
        <v>0.29899999999999999</v>
      </c>
      <c r="EX29">
        <v>7.3999999999999996E-2</v>
      </c>
      <c r="EY29">
        <v>2</v>
      </c>
      <c r="EZ29">
        <v>339.21600000000001</v>
      </c>
      <c r="FA29">
        <v>482.05500000000001</v>
      </c>
      <c r="FB29">
        <v>19.1479</v>
      </c>
      <c r="FC29">
        <v>35.4788</v>
      </c>
      <c r="FD29">
        <v>29.9999</v>
      </c>
      <c r="FE29">
        <v>35.588299999999997</v>
      </c>
      <c r="FF29">
        <v>35.5931</v>
      </c>
      <c r="FG29">
        <v>54.241399999999999</v>
      </c>
      <c r="FH29">
        <v>0</v>
      </c>
      <c r="FI29">
        <v>100</v>
      </c>
      <c r="FJ29">
        <v>19.1632</v>
      </c>
      <c r="FK29">
        <v>1200</v>
      </c>
      <c r="FL29">
        <v>17.0397</v>
      </c>
      <c r="FM29">
        <v>100.68</v>
      </c>
      <c r="FN29">
        <v>100.78100000000001</v>
      </c>
    </row>
    <row r="30" spans="1:170" x14ac:dyDescent="0.25">
      <c r="A30">
        <v>14</v>
      </c>
      <c r="B30">
        <v>1592249372.5999999</v>
      </c>
      <c r="C30">
        <v>1800.0999999046301</v>
      </c>
      <c r="D30" t="s">
        <v>349</v>
      </c>
      <c r="E30" t="s">
        <v>350</v>
      </c>
      <c r="G30">
        <v>1592249364.5999999</v>
      </c>
      <c r="H30">
        <f t="shared" si="0"/>
        <v>5.6260422323649957E-3</v>
      </c>
      <c r="I30">
        <f t="shared" si="1"/>
        <v>47.122829234758456</v>
      </c>
      <c r="J30">
        <f t="shared" si="2"/>
        <v>1577.6883870967699</v>
      </c>
      <c r="K30">
        <f t="shared" si="3"/>
        <v>1271.2538376101561</v>
      </c>
      <c r="L30">
        <f t="shared" si="4"/>
        <v>127.55493169799941</v>
      </c>
      <c r="M30">
        <f t="shared" si="5"/>
        <v>158.30192877543027</v>
      </c>
      <c r="N30">
        <f t="shared" si="6"/>
        <v>0.29991073008450964</v>
      </c>
      <c r="O30">
        <f t="shared" si="7"/>
        <v>3.405401370672926</v>
      </c>
      <c r="P30">
        <f t="shared" si="8"/>
        <v>0.2859716165011526</v>
      </c>
      <c r="Q30">
        <f t="shared" si="9"/>
        <v>0.1799306375995034</v>
      </c>
      <c r="R30">
        <f t="shared" si="10"/>
        <v>353.33546623013274</v>
      </c>
      <c r="S30">
        <f t="shared" si="11"/>
        <v>26.969607138912561</v>
      </c>
      <c r="T30">
        <f t="shared" si="12"/>
        <v>26.998851612903199</v>
      </c>
      <c r="U30">
        <f t="shared" si="13"/>
        <v>3.5789182940918858</v>
      </c>
      <c r="V30">
        <f t="shared" si="14"/>
        <v>47.857529345029725</v>
      </c>
      <c r="W30">
        <f t="shared" si="15"/>
        <v>1.6564264903675026</v>
      </c>
      <c r="X30">
        <f t="shared" si="16"/>
        <v>3.4611617294855859</v>
      </c>
      <c r="Y30">
        <f t="shared" si="17"/>
        <v>1.9224918037243832</v>
      </c>
      <c r="Z30">
        <f t="shared" si="18"/>
        <v>-248.10846244729632</v>
      </c>
      <c r="AA30">
        <f t="shared" si="19"/>
        <v>-104.35842991667508</v>
      </c>
      <c r="AB30">
        <f t="shared" si="20"/>
        <v>-6.5946946934684716</v>
      </c>
      <c r="AC30">
        <f t="shared" si="21"/>
        <v>-5.7261208273071134</v>
      </c>
      <c r="AD30">
        <v>-4.1531508899236798E-2</v>
      </c>
      <c r="AE30">
        <v>4.6622757099401703E-2</v>
      </c>
      <c r="AF30">
        <v>3.4782818920710699</v>
      </c>
      <c r="AG30">
        <v>141</v>
      </c>
      <c r="AH30">
        <v>28</v>
      </c>
      <c r="AI30">
        <f t="shared" si="22"/>
        <v>1</v>
      </c>
      <c r="AJ30">
        <f t="shared" si="23"/>
        <v>0</v>
      </c>
      <c r="AK30">
        <f t="shared" si="24"/>
        <v>53059.6275537826</v>
      </c>
      <c r="AL30">
        <v>0</v>
      </c>
      <c r="AM30">
        <v>0</v>
      </c>
      <c r="AN30">
        <v>0</v>
      </c>
      <c r="AO30">
        <f t="shared" si="25"/>
        <v>0</v>
      </c>
      <c r="AP30" t="e">
        <f t="shared" si="26"/>
        <v>#DIV/0!</v>
      </c>
      <c r="AQ30">
        <v>-1</v>
      </c>
      <c r="AR30" t="s">
        <v>351</v>
      </c>
      <c r="AS30">
        <v>250.743576923077</v>
      </c>
      <c r="AT30">
        <v>338.71300000000002</v>
      </c>
      <c r="AU30">
        <f t="shared" si="27"/>
        <v>0.25971670138708292</v>
      </c>
      <c r="AV30">
        <v>0.5</v>
      </c>
      <c r="AW30">
        <f t="shared" si="28"/>
        <v>1849.1704255154375</v>
      </c>
      <c r="AX30">
        <f t="shared" si="29"/>
        <v>47.122829234758456</v>
      </c>
      <c r="AY30">
        <f t="shared" si="30"/>
        <v>240.13022160870898</v>
      </c>
      <c r="AZ30">
        <f t="shared" si="31"/>
        <v>0.48186222554197805</v>
      </c>
      <c r="BA30">
        <f t="shared" si="32"/>
        <v>2.6024009777976361E-2</v>
      </c>
      <c r="BB30">
        <f t="shared" si="33"/>
        <v>-1</v>
      </c>
      <c r="BC30" t="s">
        <v>352</v>
      </c>
      <c r="BD30">
        <v>175.5</v>
      </c>
      <c r="BE30">
        <f t="shared" si="34"/>
        <v>163.21300000000002</v>
      </c>
      <c r="BF30">
        <f t="shared" si="35"/>
        <v>0.53898539379168942</v>
      </c>
      <c r="BG30">
        <f t="shared" si="36"/>
        <v>1.9299886039886041</v>
      </c>
      <c r="BH30">
        <f t="shared" si="37"/>
        <v>0.25971670138708292</v>
      </c>
      <c r="BI30" t="e">
        <f t="shared" si="38"/>
        <v>#DIV/0!</v>
      </c>
      <c r="BJ30">
        <v>3723</v>
      </c>
      <c r="BK30">
        <v>300</v>
      </c>
      <c r="BL30">
        <v>300</v>
      </c>
      <c r="BM30">
        <v>300</v>
      </c>
      <c r="BN30">
        <v>9892.9500000000007</v>
      </c>
      <c r="BO30">
        <v>313.99799999999999</v>
      </c>
      <c r="BP30">
        <v>-6.4177799999999997E-3</v>
      </c>
      <c r="BQ30">
        <v>1.0050699999999999</v>
      </c>
      <c r="BR30">
        <f t="shared" si="39"/>
        <v>2199.9819354838701</v>
      </c>
      <c r="BS30">
        <f t="shared" si="40"/>
        <v>1849.1704255154375</v>
      </c>
      <c r="BT30">
        <f t="shared" si="41"/>
        <v>0.84053891338372555</v>
      </c>
      <c r="BU30">
        <f t="shared" si="42"/>
        <v>0.19107782676745116</v>
      </c>
      <c r="BV30">
        <v>0.5</v>
      </c>
      <c r="BW30" t="s">
        <v>281</v>
      </c>
      <c r="BX30">
        <v>1592249364.5999999</v>
      </c>
      <c r="BY30">
        <v>1577.6883870967699</v>
      </c>
      <c r="BZ30">
        <v>1600.0858064516101</v>
      </c>
      <c r="CA30">
        <v>16.508483870967702</v>
      </c>
      <c r="CB30">
        <v>14.295432258064499</v>
      </c>
      <c r="CC30">
        <v>500.04841935483898</v>
      </c>
      <c r="CD30">
        <v>100.137903225806</v>
      </c>
      <c r="CE30">
        <v>0.19998990322580601</v>
      </c>
      <c r="CF30">
        <v>26.430425806451598</v>
      </c>
      <c r="CG30">
        <v>26.998851612903199</v>
      </c>
      <c r="CH30">
        <v>999.9</v>
      </c>
      <c r="CI30">
        <v>10001.732580645201</v>
      </c>
      <c r="CJ30">
        <v>0</v>
      </c>
      <c r="CK30">
        <v>107.353032258065</v>
      </c>
      <c r="CL30">
        <v>2199.9819354838701</v>
      </c>
      <c r="CM30">
        <v>0.98199506451612895</v>
      </c>
      <c r="CN30">
        <v>1.80046322580645E-2</v>
      </c>
      <c r="CO30">
        <v>0</v>
      </c>
      <c r="CP30">
        <v>250.78877419354799</v>
      </c>
      <c r="CQ30">
        <v>5.00054</v>
      </c>
      <c r="CR30">
        <v>6911.9596774193496</v>
      </c>
      <c r="CS30">
        <v>20590.335483871</v>
      </c>
      <c r="CT30">
        <v>47.263903225806402</v>
      </c>
      <c r="CU30">
        <v>47.993709677419297</v>
      </c>
      <c r="CV30">
        <v>47.364645161290298</v>
      </c>
      <c r="CW30">
        <v>47.441258064516099</v>
      </c>
      <c r="CX30">
        <v>48.630838709677398</v>
      </c>
      <c r="CY30">
        <v>2155.4619354838701</v>
      </c>
      <c r="CZ30">
        <v>39.520000000000003</v>
      </c>
      <c r="DA30">
        <v>0</v>
      </c>
      <c r="DB30">
        <v>149.700000047684</v>
      </c>
      <c r="DC30">
        <v>250.743576923077</v>
      </c>
      <c r="DD30">
        <v>-2.18191452526202</v>
      </c>
      <c r="DE30">
        <v>-141.378803615501</v>
      </c>
      <c r="DF30">
        <v>6911.0796153846204</v>
      </c>
      <c r="DG30">
        <v>15</v>
      </c>
      <c r="DH30">
        <v>1592249308.5999999</v>
      </c>
      <c r="DI30" t="s">
        <v>353</v>
      </c>
      <c r="DJ30">
        <v>56</v>
      </c>
      <c r="DK30">
        <v>0.32500000000000001</v>
      </c>
      <c r="DL30">
        <v>7.3999999999999996E-2</v>
      </c>
      <c r="DM30">
        <v>1600</v>
      </c>
      <c r="DN30">
        <v>14</v>
      </c>
      <c r="DO30">
        <v>0.12</v>
      </c>
      <c r="DP30">
        <v>0.04</v>
      </c>
      <c r="DQ30">
        <v>-22.411161538461499</v>
      </c>
      <c r="DR30">
        <v>5.77163835055476E-2</v>
      </c>
      <c r="DS30">
        <v>0.13878903768759501</v>
      </c>
      <c r="DT30">
        <v>1</v>
      </c>
      <c r="DU30">
        <v>2.2187025</v>
      </c>
      <c r="DV30">
        <v>-5.9346623409888499E-2</v>
      </c>
      <c r="DW30">
        <v>8.0289576569871294E-3</v>
      </c>
      <c r="DX30">
        <v>1</v>
      </c>
      <c r="DY30">
        <v>2</v>
      </c>
      <c r="DZ30">
        <v>2</v>
      </c>
      <c r="EA30" t="s">
        <v>283</v>
      </c>
      <c r="EB30">
        <v>1.8667499999999999</v>
      </c>
      <c r="EC30">
        <v>1.8632500000000001</v>
      </c>
      <c r="ED30">
        <v>1.8689</v>
      </c>
      <c r="EE30">
        <v>1.86686</v>
      </c>
      <c r="EF30">
        <v>1.8714900000000001</v>
      </c>
      <c r="EG30">
        <v>1.86399</v>
      </c>
      <c r="EH30">
        <v>1.86551</v>
      </c>
      <c r="EI30">
        <v>1.8653900000000001</v>
      </c>
      <c r="EJ30" t="s">
        <v>284</v>
      </c>
      <c r="EK30" t="s">
        <v>19</v>
      </c>
      <c r="EL30" t="s">
        <v>19</v>
      </c>
      <c r="EM30" t="s">
        <v>19</v>
      </c>
      <c r="EN30" t="s">
        <v>285</v>
      </c>
      <c r="EO30" t="s">
        <v>286</v>
      </c>
      <c r="EP30" t="s">
        <v>287</v>
      </c>
      <c r="EQ30" t="s">
        <v>287</v>
      </c>
      <c r="ER30" t="s">
        <v>287</v>
      </c>
      <c r="ES30" t="s">
        <v>287</v>
      </c>
      <c r="ET30">
        <v>0</v>
      </c>
      <c r="EU30">
        <v>100</v>
      </c>
      <c r="EV30">
        <v>100</v>
      </c>
      <c r="EW30">
        <v>0.32500000000000001</v>
      </c>
      <c r="EX30">
        <v>7.3999999999999996E-2</v>
      </c>
      <c r="EY30">
        <v>2</v>
      </c>
      <c r="EZ30">
        <v>339.48200000000003</v>
      </c>
      <c r="FA30">
        <v>485.03800000000001</v>
      </c>
      <c r="FB30">
        <v>19.228300000000001</v>
      </c>
      <c r="FC30">
        <v>35.2333</v>
      </c>
      <c r="FD30">
        <v>29.9955</v>
      </c>
      <c r="FE30">
        <v>35.388500000000001</v>
      </c>
      <c r="FF30">
        <v>35.395800000000001</v>
      </c>
      <c r="FG30">
        <v>68.119600000000005</v>
      </c>
      <c r="FH30">
        <v>0</v>
      </c>
      <c r="FI30">
        <v>100</v>
      </c>
      <c r="FJ30">
        <v>19.337700000000002</v>
      </c>
      <c r="FK30">
        <v>1600</v>
      </c>
      <c r="FL30">
        <v>17.0397</v>
      </c>
      <c r="FM30">
        <v>100.715</v>
      </c>
      <c r="FN30">
        <v>100.825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2020-06-15T14:41:59Z</dcterms:created>
  <dcterms:modified xsi:type="dcterms:W3CDTF">2024-11-20T08:55:43Z</dcterms:modified>
</cp:coreProperties>
</file>