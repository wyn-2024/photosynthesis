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博士学习资料\past test data\2020_soybean_CO2_curves\0615\"/>
    </mc:Choice>
  </mc:AlternateContent>
  <bookViews>
    <workbookView xWindow="240" yWindow="12" windowWidth="16092" windowHeight="9660"/>
  </bookViews>
  <sheets>
    <sheet name="Measurements" sheetId="1" r:id="rId1"/>
    <sheet name="Remarks" sheetId="2" r:id="rId2"/>
  </sheets>
  <calcPr calcId="162913"/>
</workbook>
</file>

<file path=xl/calcChain.xml><?xml version="1.0" encoding="utf-8"?>
<calcChain xmlns="http://schemas.openxmlformats.org/spreadsheetml/2006/main">
  <c r="BU31" i="1" l="1"/>
  <c r="BT31" i="1"/>
  <c r="BR31" i="1"/>
  <c r="BS31" i="1" s="1"/>
  <c r="BI31" i="1"/>
  <c r="BH31" i="1"/>
  <c r="BG31" i="1"/>
  <c r="BF31" i="1"/>
  <c r="BE31" i="1"/>
  <c r="BB31" i="1"/>
  <c r="AZ31" i="1"/>
  <c r="AU31" i="1"/>
  <c r="AO31" i="1"/>
  <c r="AP31" i="1" s="1"/>
  <c r="AK31" i="1"/>
  <c r="AI31" i="1"/>
  <c r="X31" i="1"/>
  <c r="W31" i="1"/>
  <c r="V31" i="1"/>
  <c r="O31" i="1"/>
  <c r="BU30" i="1"/>
  <c r="BT30" i="1"/>
  <c r="BS30" i="1"/>
  <c r="BR30" i="1"/>
  <c r="BI30" i="1"/>
  <c r="BH30" i="1"/>
  <c r="BG30" i="1"/>
  <c r="BF30" i="1"/>
  <c r="BE30" i="1"/>
  <c r="BB30" i="1"/>
  <c r="AZ30" i="1"/>
  <c r="AU30" i="1"/>
  <c r="AO30" i="1"/>
  <c r="AP30" i="1" s="1"/>
  <c r="AK30" i="1"/>
  <c r="AI30" i="1"/>
  <c r="M30" i="1" s="1"/>
  <c r="X30" i="1"/>
  <c r="W30" i="1"/>
  <c r="V30" i="1"/>
  <c r="O30" i="1"/>
  <c r="BU29" i="1"/>
  <c r="BT29" i="1"/>
  <c r="BR29" i="1"/>
  <c r="BS29" i="1" s="1"/>
  <c r="AW29" i="1" s="1"/>
  <c r="BI29" i="1"/>
  <c r="BH29" i="1"/>
  <c r="BG29" i="1"/>
  <c r="BF29" i="1"/>
  <c r="BE29" i="1"/>
  <c r="AZ29" i="1" s="1"/>
  <c r="BB29" i="1"/>
  <c r="AU29" i="1"/>
  <c r="AO29" i="1"/>
  <c r="AP29" i="1" s="1"/>
  <c r="AK29" i="1"/>
  <c r="AI29" i="1"/>
  <c r="I29" i="1" s="1"/>
  <c r="AX29" i="1" s="1"/>
  <c r="X29" i="1"/>
  <c r="V29" i="1" s="1"/>
  <c r="W29" i="1"/>
  <c r="O29" i="1"/>
  <c r="BU28" i="1"/>
  <c r="BT28" i="1"/>
  <c r="BR28" i="1"/>
  <c r="BS28" i="1" s="1"/>
  <c r="R28" i="1" s="1"/>
  <c r="BI28" i="1"/>
  <c r="BH28" i="1"/>
  <c r="BG28" i="1"/>
  <c r="BF28" i="1"/>
  <c r="BE28" i="1"/>
  <c r="BB28" i="1"/>
  <c r="AZ28" i="1"/>
  <c r="AU28" i="1"/>
  <c r="AP28" i="1"/>
  <c r="AO28" i="1"/>
  <c r="AK28" i="1"/>
  <c r="AI28" i="1"/>
  <c r="J28" i="1" s="1"/>
  <c r="X28" i="1"/>
  <c r="W28" i="1"/>
  <c r="V28" i="1"/>
  <c r="O28" i="1"/>
  <c r="M28" i="1"/>
  <c r="BU27" i="1"/>
  <c r="BT27" i="1"/>
  <c r="BR27" i="1"/>
  <c r="BS27" i="1" s="1"/>
  <c r="BI27" i="1"/>
  <c r="BH27" i="1"/>
  <c r="BG27" i="1"/>
  <c r="BF27" i="1"/>
  <c r="BE27" i="1"/>
  <c r="BB27" i="1"/>
  <c r="AZ27" i="1"/>
  <c r="AU27" i="1"/>
  <c r="AO27" i="1"/>
  <c r="AP27" i="1" s="1"/>
  <c r="AK27" i="1"/>
  <c r="AI27" i="1" s="1"/>
  <c r="M27" i="1" s="1"/>
  <c r="AJ27" i="1"/>
  <c r="X27" i="1"/>
  <c r="W27" i="1"/>
  <c r="V27" i="1"/>
  <c r="O27" i="1"/>
  <c r="J27" i="1"/>
  <c r="I27" i="1"/>
  <c r="AX27" i="1" s="1"/>
  <c r="H27" i="1"/>
  <c r="BU26" i="1"/>
  <c r="R26" i="1" s="1"/>
  <c r="BT26" i="1"/>
  <c r="BS26" i="1"/>
  <c r="BR26" i="1"/>
  <c r="BI26" i="1"/>
  <c r="BH26" i="1"/>
  <c r="BG26" i="1"/>
  <c r="BF26" i="1"/>
  <c r="BE26" i="1"/>
  <c r="BB26" i="1"/>
  <c r="AZ26" i="1"/>
  <c r="AW26" i="1"/>
  <c r="AU26" i="1"/>
  <c r="AY26" i="1" s="1"/>
  <c r="AO26" i="1"/>
  <c r="AP26" i="1" s="1"/>
  <c r="AK26" i="1"/>
  <c r="AI26" i="1"/>
  <c r="J26" i="1" s="1"/>
  <c r="X26" i="1"/>
  <c r="V26" i="1" s="1"/>
  <c r="W26" i="1"/>
  <c r="O26" i="1"/>
  <c r="BU25" i="1"/>
  <c r="BT25" i="1"/>
  <c r="BR25" i="1"/>
  <c r="BS25" i="1" s="1"/>
  <c r="BI25" i="1"/>
  <c r="BH25" i="1"/>
  <c r="BG25" i="1"/>
  <c r="BF25" i="1"/>
  <c r="BE25" i="1"/>
  <c r="BB25" i="1"/>
  <c r="AZ25" i="1"/>
  <c r="AU25" i="1"/>
  <c r="AO25" i="1"/>
  <c r="AP25" i="1" s="1"/>
  <c r="AK25" i="1"/>
  <c r="AI25" i="1"/>
  <c r="M25" i="1" s="1"/>
  <c r="X25" i="1"/>
  <c r="W25" i="1"/>
  <c r="V25" i="1"/>
  <c r="O25" i="1"/>
  <c r="BU24" i="1"/>
  <c r="BT24" i="1"/>
  <c r="BR24" i="1"/>
  <c r="BS24" i="1" s="1"/>
  <c r="AW24" i="1" s="1"/>
  <c r="BI24" i="1"/>
  <c r="BH24" i="1"/>
  <c r="BG24" i="1"/>
  <c r="BF24" i="1"/>
  <c r="BE24" i="1"/>
  <c r="AZ24" i="1" s="1"/>
  <c r="BB24" i="1"/>
  <c r="AU24" i="1"/>
  <c r="AY24" i="1" s="1"/>
  <c r="AO24" i="1"/>
  <c r="AP24" i="1" s="1"/>
  <c r="AK24" i="1"/>
  <c r="AI24" i="1"/>
  <c r="I24" i="1" s="1"/>
  <c r="AX24" i="1" s="1"/>
  <c r="BA24" i="1" s="1"/>
  <c r="X24" i="1"/>
  <c r="W24" i="1"/>
  <c r="V24" i="1"/>
  <c r="O24" i="1"/>
  <c r="BU23" i="1"/>
  <c r="BT23" i="1"/>
  <c r="BR23" i="1"/>
  <c r="BS23" i="1" s="1"/>
  <c r="R23" i="1" s="1"/>
  <c r="BI23" i="1"/>
  <c r="BH23" i="1"/>
  <c r="BG23" i="1"/>
  <c r="BF23" i="1"/>
  <c r="BE23" i="1"/>
  <c r="BB23" i="1"/>
  <c r="AZ23" i="1"/>
  <c r="AW23" i="1"/>
  <c r="AU23" i="1"/>
  <c r="AY23" i="1" s="1"/>
  <c r="AO23" i="1"/>
  <c r="AP23" i="1" s="1"/>
  <c r="AK23" i="1"/>
  <c r="AI23" i="1"/>
  <c r="J23" i="1" s="1"/>
  <c r="X23" i="1"/>
  <c r="W23" i="1"/>
  <c r="V23" i="1"/>
  <c r="O23" i="1"/>
  <c r="M23" i="1"/>
  <c r="BU22" i="1"/>
  <c r="BT22" i="1"/>
  <c r="BR22" i="1"/>
  <c r="BS22" i="1" s="1"/>
  <c r="BI22" i="1"/>
  <c r="BH22" i="1"/>
  <c r="BG22" i="1"/>
  <c r="BF22" i="1"/>
  <c r="BE22" i="1"/>
  <c r="BB22" i="1"/>
  <c r="AZ22" i="1"/>
  <c r="AU22" i="1"/>
  <c r="AO22" i="1"/>
  <c r="AP22" i="1" s="1"/>
  <c r="AK22" i="1"/>
  <c r="AI22" i="1"/>
  <c r="X22" i="1"/>
  <c r="W22" i="1"/>
  <c r="V22" i="1"/>
  <c r="O22" i="1"/>
  <c r="BU21" i="1"/>
  <c r="BT21" i="1"/>
  <c r="BR21" i="1"/>
  <c r="BS21" i="1" s="1"/>
  <c r="BI21" i="1"/>
  <c r="BH21" i="1"/>
  <c r="BG21" i="1"/>
  <c r="BF21" i="1"/>
  <c r="BE21" i="1"/>
  <c r="BB21" i="1"/>
  <c r="AZ21" i="1"/>
  <c r="AU21" i="1"/>
  <c r="AO21" i="1"/>
  <c r="AP21" i="1" s="1"/>
  <c r="AK21" i="1"/>
  <c r="AI21" i="1"/>
  <c r="H21" i="1" s="1"/>
  <c r="Z21" i="1"/>
  <c r="X21" i="1"/>
  <c r="W21" i="1"/>
  <c r="V21" i="1" s="1"/>
  <c r="O21" i="1"/>
  <c r="BU20" i="1"/>
  <c r="BT20" i="1"/>
  <c r="BR20" i="1"/>
  <c r="BS20" i="1" s="1"/>
  <c r="BI20" i="1"/>
  <c r="BH20" i="1"/>
  <c r="BG20" i="1"/>
  <c r="BF20" i="1"/>
  <c r="BE20" i="1"/>
  <c r="BB20" i="1"/>
  <c r="AZ20" i="1"/>
  <c r="AU20" i="1"/>
  <c r="AO20" i="1"/>
  <c r="AP20" i="1" s="1"/>
  <c r="AK20" i="1"/>
  <c r="AI20" i="1"/>
  <c r="J20" i="1" s="1"/>
  <c r="X20" i="1"/>
  <c r="W20" i="1"/>
  <c r="V20" i="1"/>
  <c r="O20" i="1"/>
  <c r="BU19" i="1"/>
  <c r="BT19" i="1"/>
  <c r="BR19" i="1"/>
  <c r="BS19" i="1" s="1"/>
  <c r="AW19" i="1" s="1"/>
  <c r="BI19" i="1"/>
  <c r="BH19" i="1"/>
  <c r="BG19" i="1"/>
  <c r="BF19" i="1"/>
  <c r="BE19" i="1"/>
  <c r="BB19" i="1"/>
  <c r="AZ19" i="1"/>
  <c r="AU19" i="1"/>
  <c r="AO19" i="1"/>
  <c r="AP19" i="1" s="1"/>
  <c r="AK19" i="1"/>
  <c r="AI19" i="1"/>
  <c r="H19" i="1" s="1"/>
  <c r="Z19" i="1" s="1"/>
  <c r="X19" i="1"/>
  <c r="W19" i="1"/>
  <c r="V19" i="1"/>
  <c r="O19" i="1"/>
  <c r="BU18" i="1"/>
  <c r="BT18" i="1"/>
  <c r="BR18" i="1"/>
  <c r="BS18" i="1" s="1"/>
  <c r="R18" i="1" s="1"/>
  <c r="BI18" i="1"/>
  <c r="BH18" i="1"/>
  <c r="BG18" i="1"/>
  <c r="BF18" i="1"/>
  <c r="BE18" i="1"/>
  <c r="BB18" i="1"/>
  <c r="AZ18" i="1"/>
  <c r="AU18" i="1"/>
  <c r="AP18" i="1"/>
  <c r="AO18" i="1"/>
  <c r="AK18" i="1"/>
  <c r="AI18" i="1" s="1"/>
  <c r="X18" i="1"/>
  <c r="W18" i="1"/>
  <c r="V18" i="1"/>
  <c r="O18" i="1"/>
  <c r="M18" i="1"/>
  <c r="J18" i="1"/>
  <c r="BU17" i="1"/>
  <c r="BT17" i="1"/>
  <c r="BR17" i="1"/>
  <c r="BS17" i="1" s="1"/>
  <c r="BI17" i="1"/>
  <c r="BH17" i="1"/>
  <c r="BG17" i="1"/>
  <c r="BF17" i="1"/>
  <c r="BE17" i="1"/>
  <c r="BB17" i="1"/>
  <c r="AZ17" i="1"/>
  <c r="AU17" i="1"/>
  <c r="AO17" i="1"/>
  <c r="AP17" i="1" s="1"/>
  <c r="AK17" i="1"/>
  <c r="AI17" i="1"/>
  <c r="AJ17" i="1" s="1"/>
  <c r="X17" i="1"/>
  <c r="W17" i="1"/>
  <c r="V17" i="1"/>
  <c r="O17" i="1"/>
  <c r="I17" i="1"/>
  <c r="AX17" i="1" s="1"/>
  <c r="H17" i="1"/>
  <c r="R25" i="1" l="1"/>
  <c r="AW25" i="1"/>
  <c r="AY22" i="1"/>
  <c r="R17" i="1"/>
  <c r="AW17" i="1"/>
  <c r="J22" i="1"/>
  <c r="M22" i="1"/>
  <c r="R29" i="1"/>
  <c r="S23" i="1"/>
  <c r="T23" i="1" s="1"/>
  <c r="AY25" i="1"/>
  <c r="S18" i="1"/>
  <c r="T18" i="1" s="1"/>
  <c r="M31" i="1"/>
  <c r="I31" i="1"/>
  <c r="AX31" i="1" s="1"/>
  <c r="BA31" i="1" s="1"/>
  <c r="J31" i="1"/>
  <c r="H31" i="1"/>
  <c r="AJ31" i="1"/>
  <c r="I18" i="1"/>
  <c r="AX18" i="1" s="1"/>
  <c r="H18" i="1"/>
  <c r="AJ18" i="1"/>
  <c r="AY19" i="1"/>
  <c r="R30" i="1"/>
  <c r="AW30" i="1"/>
  <c r="AY30" i="1" s="1"/>
  <c r="AJ22" i="1"/>
  <c r="Z17" i="1"/>
  <c r="AW27" i="1"/>
  <c r="BA27" i="1" s="1"/>
  <c r="R27" i="1"/>
  <c r="BA17" i="1"/>
  <c r="R19" i="1"/>
  <c r="AY21" i="1"/>
  <c r="Z27" i="1"/>
  <c r="AY20" i="1"/>
  <c r="AY31" i="1"/>
  <c r="M17" i="1"/>
  <c r="J17" i="1"/>
  <c r="R22" i="1"/>
  <c r="AW22" i="1"/>
  <c r="AW18" i="1"/>
  <c r="AY18" i="1" s="1"/>
  <c r="AY17" i="1"/>
  <c r="R21" i="1"/>
  <c r="AW21" i="1"/>
  <c r="BA29" i="1"/>
  <c r="R20" i="1"/>
  <c r="AW20" i="1"/>
  <c r="H22" i="1"/>
  <c r="AY29" i="1"/>
  <c r="AW31" i="1"/>
  <c r="R31" i="1"/>
  <c r="I22" i="1"/>
  <c r="AX22" i="1" s="1"/>
  <c r="BA22" i="1" s="1"/>
  <c r="R24" i="1"/>
  <c r="AW28" i="1"/>
  <c r="AY28" i="1" s="1"/>
  <c r="AY27" i="1"/>
  <c r="AJ26" i="1"/>
  <c r="I21" i="1"/>
  <c r="AX21" i="1" s="1"/>
  <c r="BA21" i="1" s="1"/>
  <c r="H30" i="1"/>
  <c r="M26" i="1"/>
  <c r="H29" i="1"/>
  <c r="AJ21" i="1"/>
  <c r="I26" i="1"/>
  <c r="AX26" i="1" s="1"/>
  <c r="BA26" i="1" s="1"/>
  <c r="J21" i="1"/>
  <c r="AJ25" i="1"/>
  <c r="H25" i="1"/>
  <c r="H20" i="1"/>
  <c r="J25" i="1"/>
  <c r="AJ29" i="1"/>
  <c r="AJ24" i="1"/>
  <c r="M20" i="1"/>
  <c r="I19" i="1"/>
  <c r="AX19" i="1" s="1"/>
  <c r="BA19" i="1" s="1"/>
  <c r="J24" i="1"/>
  <c r="AJ23" i="1"/>
  <c r="H28" i="1"/>
  <c r="M29" i="1"/>
  <c r="H26" i="1"/>
  <c r="S26" i="1" s="1"/>
  <c r="T26" i="1" s="1"/>
  <c r="M21" i="1"/>
  <c r="I25" i="1"/>
  <c r="AX25" i="1" s="1"/>
  <c r="BA25" i="1" s="1"/>
  <c r="J30" i="1"/>
  <c r="J29" i="1"/>
  <c r="J19" i="1"/>
  <c r="H23" i="1"/>
  <c r="M24" i="1"/>
  <c r="I28" i="1"/>
  <c r="AX28" i="1" s="1"/>
  <c r="AJ30" i="1"/>
  <c r="AJ20" i="1"/>
  <c r="I30" i="1"/>
  <c r="AX30" i="1" s="1"/>
  <c r="I20" i="1"/>
  <c r="AX20" i="1" s="1"/>
  <c r="AJ28" i="1"/>
  <c r="M19" i="1"/>
  <c r="I23" i="1"/>
  <c r="AX23" i="1" s="1"/>
  <c r="BA23" i="1" s="1"/>
  <c r="AJ19" i="1"/>
  <c r="H24" i="1"/>
  <c r="U26" i="1" l="1"/>
  <c r="Y26" i="1" s="1"/>
  <c r="AA26" i="1"/>
  <c r="AB26" i="1"/>
  <c r="AB23" i="1"/>
  <c r="U23" i="1"/>
  <c r="Y23" i="1" s="1"/>
  <c r="U18" i="1"/>
  <c r="Y18" i="1" s="1"/>
  <c r="AB18" i="1"/>
  <c r="S24" i="1"/>
  <c r="T24" i="1" s="1"/>
  <c r="AA23" i="1"/>
  <c r="S31" i="1"/>
  <c r="T31" i="1" s="1"/>
  <c r="BA18" i="1"/>
  <c r="AA18" i="1"/>
  <c r="S19" i="1"/>
  <c r="T19" i="1" s="1"/>
  <c r="Z28" i="1"/>
  <c r="S29" i="1"/>
  <c r="T29" i="1" s="1"/>
  <c r="P29" i="1" s="1"/>
  <c r="N29" i="1" s="1"/>
  <c r="Q29" i="1" s="1"/>
  <c r="K29" i="1" s="1"/>
  <c r="L29" i="1" s="1"/>
  <c r="S28" i="1"/>
  <c r="T28" i="1" s="1"/>
  <c r="P28" i="1" s="1"/>
  <c r="N28" i="1" s="1"/>
  <c r="Q28" i="1" s="1"/>
  <c r="K28" i="1" s="1"/>
  <c r="L28" i="1" s="1"/>
  <c r="S30" i="1"/>
  <c r="T30" i="1" s="1"/>
  <c r="P30" i="1" s="1"/>
  <c r="N30" i="1" s="1"/>
  <c r="Q30" i="1" s="1"/>
  <c r="K30" i="1" s="1"/>
  <c r="L30" i="1" s="1"/>
  <c r="S21" i="1"/>
  <c r="T21" i="1" s="1"/>
  <c r="Z18" i="1"/>
  <c r="P18" i="1"/>
  <c r="N18" i="1" s="1"/>
  <c r="Q18" i="1" s="1"/>
  <c r="K18" i="1" s="1"/>
  <c r="L18" i="1" s="1"/>
  <c r="Z29" i="1"/>
  <c r="P26" i="1"/>
  <c r="N26" i="1" s="1"/>
  <c r="Q26" i="1" s="1"/>
  <c r="K26" i="1" s="1"/>
  <c r="L26" i="1" s="1"/>
  <c r="Z26" i="1"/>
  <c r="S27" i="1"/>
  <c r="T27" i="1" s="1"/>
  <c r="Z24" i="1"/>
  <c r="P24" i="1"/>
  <c r="N24" i="1" s="1"/>
  <c r="Q24" i="1" s="1"/>
  <c r="K24" i="1" s="1"/>
  <c r="L24" i="1" s="1"/>
  <c r="Z20" i="1"/>
  <c r="BA30" i="1"/>
  <c r="S22" i="1"/>
  <c r="T22" i="1" s="1"/>
  <c r="Z31" i="1"/>
  <c r="P31" i="1"/>
  <c r="N31" i="1" s="1"/>
  <c r="Q31" i="1" s="1"/>
  <c r="K31" i="1" s="1"/>
  <c r="L31" i="1" s="1"/>
  <c r="P22" i="1"/>
  <c r="N22" i="1" s="1"/>
  <c r="Q22" i="1" s="1"/>
  <c r="K22" i="1" s="1"/>
  <c r="L22" i="1" s="1"/>
  <c r="Z22" i="1"/>
  <c r="S20" i="1"/>
  <c r="T20" i="1" s="1"/>
  <c r="Z25" i="1"/>
  <c r="P25" i="1"/>
  <c r="N25" i="1" s="1"/>
  <c r="Q25" i="1" s="1"/>
  <c r="K25" i="1" s="1"/>
  <c r="L25" i="1" s="1"/>
  <c r="BA20" i="1"/>
  <c r="S17" i="1"/>
  <c r="T17" i="1" s="1"/>
  <c r="BA28" i="1"/>
  <c r="P23" i="1"/>
  <c r="N23" i="1" s="1"/>
  <c r="Q23" i="1" s="1"/>
  <c r="K23" i="1" s="1"/>
  <c r="L23" i="1" s="1"/>
  <c r="Z23" i="1"/>
  <c r="Z30" i="1"/>
  <c r="S25" i="1"/>
  <c r="T25" i="1" s="1"/>
  <c r="AC23" i="1" l="1"/>
  <c r="U21" i="1"/>
  <c r="Y21" i="1" s="1"/>
  <c r="AB21" i="1"/>
  <c r="AA21" i="1"/>
  <c r="P21" i="1"/>
  <c r="N21" i="1" s="1"/>
  <c r="Q21" i="1" s="1"/>
  <c r="K21" i="1" s="1"/>
  <c r="L21" i="1" s="1"/>
  <c r="AB29" i="1"/>
  <c r="U29" i="1"/>
  <c r="Y29" i="1" s="1"/>
  <c r="AA29" i="1"/>
  <c r="AC26" i="1"/>
  <c r="AB22" i="1"/>
  <c r="U22" i="1"/>
  <c r="Y22" i="1" s="1"/>
  <c r="AA22" i="1"/>
  <c r="U31" i="1"/>
  <c r="Y31" i="1" s="1"/>
  <c r="AB31" i="1"/>
  <c r="AC31" i="1" s="1"/>
  <c r="AA31" i="1"/>
  <c r="AB25" i="1"/>
  <c r="AA25" i="1"/>
  <c r="U25" i="1"/>
  <c r="Y25" i="1" s="1"/>
  <c r="AB27" i="1"/>
  <c r="U27" i="1"/>
  <c r="Y27" i="1" s="1"/>
  <c r="AA27" i="1"/>
  <c r="P27" i="1"/>
  <c r="N27" i="1" s="1"/>
  <c r="Q27" i="1" s="1"/>
  <c r="K27" i="1" s="1"/>
  <c r="L27" i="1" s="1"/>
  <c r="AA24" i="1"/>
  <c r="AB24" i="1"/>
  <c r="AC24" i="1" s="1"/>
  <c r="U24" i="1"/>
  <c r="Y24" i="1" s="1"/>
  <c r="AC18" i="1"/>
  <c r="AB17" i="1"/>
  <c r="U17" i="1"/>
  <c r="Y17" i="1" s="1"/>
  <c r="AA17" i="1"/>
  <c r="P17" i="1"/>
  <c r="N17" i="1" s="1"/>
  <c r="Q17" i="1" s="1"/>
  <c r="K17" i="1" s="1"/>
  <c r="L17" i="1" s="1"/>
  <c r="U30" i="1"/>
  <c r="Y30" i="1" s="1"/>
  <c r="AA30" i="1"/>
  <c r="AB30" i="1"/>
  <c r="AA20" i="1"/>
  <c r="AB20" i="1"/>
  <c r="AC20" i="1" s="1"/>
  <c r="U20" i="1"/>
  <c r="Y20" i="1" s="1"/>
  <c r="AB28" i="1"/>
  <c r="U28" i="1"/>
  <c r="Y28" i="1" s="1"/>
  <c r="AA28" i="1"/>
  <c r="U19" i="1"/>
  <c r="Y19" i="1" s="1"/>
  <c r="AB19" i="1"/>
  <c r="P19" i="1"/>
  <c r="N19" i="1" s="1"/>
  <c r="Q19" i="1" s="1"/>
  <c r="K19" i="1" s="1"/>
  <c r="L19" i="1" s="1"/>
  <c r="AA19" i="1"/>
  <c r="P20" i="1"/>
  <c r="N20" i="1" s="1"/>
  <c r="Q20" i="1" s="1"/>
  <c r="K20" i="1" s="1"/>
  <c r="L20" i="1" s="1"/>
  <c r="AC25" i="1" l="1"/>
  <c r="AC28" i="1"/>
  <c r="AC22" i="1"/>
  <c r="AC21" i="1"/>
  <c r="AC19" i="1"/>
  <c r="AC27" i="1"/>
  <c r="AC30" i="1"/>
  <c r="AC29" i="1"/>
  <c r="AC17" i="1"/>
</calcChain>
</file>

<file path=xl/sharedStrings.xml><?xml version="1.0" encoding="utf-8"?>
<sst xmlns="http://schemas.openxmlformats.org/spreadsheetml/2006/main" count="788" uniqueCount="360">
  <si>
    <t>File opened</t>
  </si>
  <si>
    <t>2020-06-15 14:43:32</t>
  </si>
  <si>
    <t>Console s/n</t>
  </si>
  <si>
    <t>68C-571038</t>
  </si>
  <si>
    <t>Console ver</t>
  </si>
  <si>
    <t>Bluestem v.1.3.4</t>
  </si>
  <si>
    <t>Scripts ver</t>
  </si>
  <si>
    <t>2018.05  1.3.4, Mar 2018</t>
  </si>
  <si>
    <t>Head s/n</t>
  </si>
  <si>
    <t>68H-581038</t>
  </si>
  <si>
    <t>Head ver</t>
  </si>
  <si>
    <t>1.4.0</t>
  </si>
  <si>
    <t>Head cal</t>
  </si>
  <si>
    <t>{"co2aspan2": "0", "co2aspan2a": "0.164928", "flowbzero": "0.22736", "co2azero": "0.869071", "h2oaspan2": "0", "h2obspanconc1": "20", "co2aspanconc1": "1002", "co2bspanconc2": "0", "co2bzero": "0.880288", "h2oaspanconc2": "0", "co2aspan1": "0.992625", "h2oaspan1": "1.00223", "co2bspan2a": "0.163389", "co2bspan2": "0", "tazero": "0.00774765", "chamberpressurezero": "2.59209", "h2oaspanconc1": "12.19", "h2obspan2a": "0.0975941", "oxygen": "21", "h2oaspan2a": "0.0661155", "h2oaspan2b": "0.0662632", "h2obspan1": "0.998578", "h2obspan2b": "0.0963575", "h2obspan2": "0", "ssb_ref": "36526.8", "co2aspan2b": "0.163711", "h2obspanconc2": "0", "flowazero": "0.42932", "co2bspan1": "0.992131", "h2oazero": "1.00263", "co2bspanconc1": "1002", "co2bspan2b": "0.162103", "flowmeterzero": "0.990908", "co2aspanconc2": "0", "tbzero": "0.197721", "ssa_ref": "36614.9", "h2obzero": "1.01783"}</t>
  </si>
  <si>
    <t>Chamber type</t>
  </si>
  <si>
    <t>6800-01A</t>
  </si>
  <si>
    <t>Chamber s/n</t>
  </si>
  <si>
    <t>MPF-551037</t>
  </si>
  <si>
    <t>Chamber rev</t>
  </si>
  <si>
    <t>0</t>
  </si>
  <si>
    <t>Chamber cal</t>
  </si>
  <si>
    <t>Fluorometer</t>
  </si>
  <si>
    <t>Flr. Version</t>
  </si>
  <si>
    <t>14:43:32</t>
  </si>
  <si>
    <t>Stability Definition:	ΔH2O (Meas2): Slp&lt;0.1	ΔCO2 (Meas2): Slp&lt;0.5</t>
  </si>
  <si>
    <t>SysConst</t>
  </si>
  <si>
    <t>AvgTime</t>
  </si>
  <si>
    <t>4</t>
  </si>
  <si>
    <t>Oxygen</t>
  </si>
  <si>
    <t>21</t>
  </si>
  <si>
    <t>Chamber</t>
  </si>
  <si>
    <t>6800-01A 2 cm²</t>
  </si>
  <si>
    <t>Const</t>
  </si>
  <si>
    <t>S</t>
  </si>
  <si>
    <t>CustomBLC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</si>
  <si>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</si>
  <si>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</si>
  <si>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</si>
  <si>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</si>
  <si>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</si>
  <si>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</si>
  <si>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</si>
  <si>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</si>
  <si>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</si>
  <si>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</si>
  <si>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</si>
  <si>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</si>
  <si>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</si>
  <si>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</si>
  <si>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</si>
  <si>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</si>
  <si>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</si>
  <si>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</si>
  <si>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</si>
  <si>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</si>
  <si>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</si>
  <si>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</si>
  <si>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</si>
  <si>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</si>
  <si>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</si>
  <si>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</si>
  <si>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</si>
  <si>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</si>
  <si>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</si>
  <si>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</si>
  <si>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</si>
  <si>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</si>
  <si>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</si>
  <si>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</si>
  <si>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</si>
  <si>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</si>
  <si>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3.69256 76.0623 384.222 614.299 840.097 1040.28 1212.83 1370.52</t>
  </si>
  <si>
    <t>Fs_true</t>
  </si>
  <si>
    <t>0.0779822 99.8435 402.691 600.685 800.753 1001.13 1200.5 1400.73</t>
  </si>
  <si>
    <t>leak_wt</t>
  </si>
  <si>
    <t>Sys</t>
  </si>
  <si>
    <t>UserDefVar</t>
  </si>
  <si>
    <t>GasEx</t>
  </si>
  <si>
    <t>Leak</t>
  </si>
  <si>
    <t>FLR</t>
  </si>
  <si>
    <t>MPF</t>
  </si>
  <si>
    <t>LeafQ</t>
  </si>
  <si>
    <t>Meas</t>
  </si>
  <si>
    <t>FlrLS</t>
  </si>
  <si>
    <t>FlrStats</t>
  </si>
  <si>
    <t>Match</t>
  </si>
  <si>
    <t>Stability</t>
  </si>
  <si>
    <t>Auxiliary</t>
  </si>
  <si>
    <t>Status</t>
  </si>
  <si>
    <t>obs</t>
  </si>
  <si>
    <t>time</t>
  </si>
  <si>
    <t>elapsed</t>
  </si>
  <si>
    <t>date</t>
  </si>
  <si>
    <t>hhmmss</t>
  </si>
  <si>
    <t>plant</t>
  </si>
  <si>
    <t>TIME</t>
  </si>
  <si>
    <t>E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</si>
  <si>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</si>
  <si>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</si>
  <si>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</si>
  <si>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</si>
  <si>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</si>
  <si>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</si>
  <si>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</si>
  <si>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</si>
  <si>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</si>
  <si>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</si>
  <si>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</si>
  <si>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</si>
  <si>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</si>
  <si>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</si>
  <si>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</si>
  <si>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</si>
  <si>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</si>
  <si>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</si>
  <si>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</si>
  <si>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</si>
  <si>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</si>
  <si>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blfa_1</t>
  </si>
  <si>
    <t>blfa_2</t>
  </si>
  <si>
    <t>blfa_3</t>
  </si>
  <si>
    <t>LeakPct</t>
  </si>
  <si>
    <t>CorrFact</t>
  </si>
  <si>
    <t>CorrFactPct</t>
  </si>
  <si>
    <t>Fan</t>
  </si>
  <si>
    <t>DarkAdaptedID</t>
  </si>
  <si>
    <t>Fo</t>
  </si>
  <si>
    <t>Fm</t>
  </si>
  <si>
    <t>Fv</t>
  </si>
  <si>
    <t>Fv/Fm</t>
  </si>
  <si>
    <t>Adark</t>
  </si>
  <si>
    <t>LightAdaptedID</t>
  </si>
  <si>
    <t>Fs</t>
  </si>
  <si>
    <t>Fm'</t>
  </si>
  <si>
    <t>PhiPS2</t>
  </si>
  <si>
    <t>PS2/1</t>
  </si>
  <si>
    <t>Qabs_fs</t>
  </si>
  <si>
    <t>Afs</t>
  </si>
  <si>
    <t>ETR</t>
  </si>
  <si>
    <t>Fv'/Fm'</t>
  </si>
  <si>
    <t>PhiCO2</t>
  </si>
  <si>
    <t>NPQ</t>
  </si>
  <si>
    <t>DarkPulseID</t>
  </si>
  <si>
    <t>Fo'</t>
  </si>
  <si>
    <t>Fv'</t>
  </si>
  <si>
    <t>qP</t>
  </si>
  <si>
    <t>qN</t>
  </si>
  <si>
    <t>qP_Fo</t>
  </si>
  <si>
    <t>qN_Fo</t>
  </si>
  <si>
    <t>ID</t>
  </si>
  <si>
    <t>P1_dur</t>
  </si>
  <si>
    <t>P2_dur</t>
  </si>
  <si>
    <t>P3_dur</t>
  </si>
  <si>
    <t>P1_Qmax</t>
  </si>
  <si>
    <t>P1_Fmax</t>
  </si>
  <si>
    <t>P2_dQdt</t>
  </si>
  <si>
    <t>P3_ΔF</t>
  </si>
  <si>
    <t>Qin</t>
  </si>
  <si>
    <t>Qabs</t>
  </si>
  <si>
    <t>alpha</t>
  </si>
  <si>
    <t>convert</t>
  </si>
  <si>
    <t>K</t>
  </si>
  <si>
    <t>Geometry</t>
  </si>
  <si>
    <t>CO2_s</t>
  </si>
  <si>
    <t>CO2_r</t>
  </si>
  <si>
    <t>H2O_s</t>
  </si>
  <si>
    <t>H2O_r</t>
  </si>
  <si>
    <t>Flow</t>
  </si>
  <si>
    <t>Pa</t>
  </si>
  <si>
    <t>ΔPcham</t>
  </si>
  <si>
    <t>Tair</t>
  </si>
  <si>
    <t>Tleaf</t>
  </si>
  <si>
    <t>Tleaf2</t>
  </si>
  <si>
    <t>Fan_speed</t>
  </si>
  <si>
    <t>Qamb_in</t>
  </si>
  <si>
    <t>Qamb_out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</si>
  <si>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</si>
  <si>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</si>
  <si>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</si>
  <si>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</si>
  <si>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</si>
  <si>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</si>
  <si>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</si>
  <si>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</si>
  <si>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</si>
  <si>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</si>
  <si>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</si>
  <si>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</si>
  <si>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</si>
  <si>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</si>
  <si>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</si>
  <si>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</si>
  <si>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</si>
  <si>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F_avg</t>
  </si>
  <si>
    <t>dF/dt</t>
  </si>
  <si>
    <t>dF_dc/dt</t>
  </si>
  <si>
    <t>F_dc_avg</t>
  </si>
  <si>
    <t>period</t>
  </si>
  <si>
    <t>count</t>
  </si>
  <si>
    <t>co2_adj</t>
  </si>
  <si>
    <t>h2o_adj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</si>
  <si>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</si>
  <si>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</si>
  <si>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</si>
  <si>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</si>
  <si>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</si>
  <si>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</si>
  <si>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</si>
  <si>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</si>
  <si>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ΔH2O:MN</t>
  </si>
  <si>
    <t>ΔH2O:SLP</t>
  </si>
  <si>
    <t>ΔH2O:SD</t>
  </si>
  <si>
    <t>ΔH2O:OK</t>
  </si>
  <si>
    <t>Stable</t>
  </si>
  <si>
    <t>Total</t>
  </si>
  <si>
    <t>State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</si>
  <si>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</si>
  <si>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</si>
  <si>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</si>
  <si>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</si>
  <si>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</si>
  <si>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</si>
  <si>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</si>
  <si>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</si>
  <si>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</si>
  <si>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</si>
  <si>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</si>
  <si>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</si>
  <si>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</si>
  <si>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</si>
  <si>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</si>
  <si>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</si>
  <si>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</si>
  <si>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</si>
  <si>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</si>
  <si>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</si>
  <si>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</si>
  <si>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</si>
  <si>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</si>
  <si>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</si>
  <si>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</si>
  <si>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</si>
  <si>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</si>
  <si>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</si>
  <si>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</si>
  <si>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</si>
  <si>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</si>
  <si>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</si>
  <si>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</si>
  <si>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</si>
  <si>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</si>
  <si>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</si>
  <si>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</si>
  <si>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</si>
  <si>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</si>
  <si>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</si>
  <si>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</si>
  <si>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µmol m⁻² s⁻¹</t>
  </si>
  <si>
    <t>µmol mol⁻¹</t>
  </si>
  <si>
    <t>W m⁻²</t>
  </si>
  <si>
    <t>°C</t>
  </si>
  <si>
    <t>kPa</t>
  </si>
  <si>
    <t>%</t>
  </si>
  <si>
    <t>µmol s⁻¹</t>
  </si>
  <si>
    <t>µmol µmol⁻¹</t>
  </si>
  <si>
    <t>ms</t>
  </si>
  <si>
    <t>mol m⁻² s⁻²</t>
  </si>
  <si>
    <t>J/µmol</t>
  </si>
  <si>
    <t>mmol mol⁻¹</t>
  </si>
  <si>
    <t>rpm</t>
  </si>
  <si>
    <t>min⁻¹</t>
  </si>
  <si>
    <t>secs</t>
  </si>
  <si>
    <t>µmol/mol</t>
  </si>
  <si>
    <t>mmol/mol</t>
  </si>
  <si>
    <t>µmol mol⁻¹ min⁻¹</t>
  </si>
  <si>
    <t>mmol mol⁻¹ min⁻¹</t>
  </si>
  <si>
    <t>V</t>
  </si>
  <si>
    <t>20200615 14:43:52</t>
  </si>
  <si>
    <t>14:43:52</t>
  </si>
  <si>
    <t>MPF-3725-20200615-14_43_54</t>
  </si>
  <si>
    <t>DARK-3726-20200615-14_44_02</t>
  </si>
  <si>
    <t>0: Broadleaf</t>
  </si>
  <si>
    <t>14:44:20</t>
  </si>
  <si>
    <t>0/2</t>
  </si>
  <si>
    <t>5</t>
  </si>
  <si>
    <t>11111111</t>
  </si>
  <si>
    <t>oooooooo</t>
  </si>
  <si>
    <t>off</t>
  </si>
  <si>
    <t>20200615 14:50:20</t>
  </si>
  <si>
    <t>14:50:20</t>
  </si>
  <si>
    <t>MPF-3727-20200615-14_50_21</t>
  </si>
  <si>
    <t>DARK-3728-20200615-14_50_29</t>
  </si>
  <si>
    <t>14:50:47</t>
  </si>
  <si>
    <t>2/2</t>
  </si>
  <si>
    <t>20200615 14:52:48</t>
  </si>
  <si>
    <t>14:52:48</t>
  </si>
  <si>
    <t>MPF-3729-20200615-14_52_50</t>
  </si>
  <si>
    <t>DARK-3730-20200615-14_52_58</t>
  </si>
  <si>
    <t>14:53:12</t>
  </si>
  <si>
    <t>20200615 14:55:13</t>
  </si>
  <si>
    <t>14:55:13</t>
  </si>
  <si>
    <t>MPF-3731-20200615-14_55_15</t>
  </si>
  <si>
    <t>DARK-3732-20200615-14_55_23</t>
  </si>
  <si>
    <t>14:55:40</t>
  </si>
  <si>
    <t>20200615 14:57:41</t>
  </si>
  <si>
    <t>14:57:41</t>
  </si>
  <si>
    <t>MPF-3733-20200615-14_57_43</t>
  </si>
  <si>
    <t>DARK-3734-20200615-14_57_51</t>
  </si>
  <si>
    <t>14:58:06</t>
  </si>
  <si>
    <t>20200615 15:00:07</t>
  </si>
  <si>
    <t>15:00:07</t>
  </si>
  <si>
    <t>MPF-3735-20200615-15_00_09</t>
  </si>
  <si>
    <t>DARK-3736-20200615-15_00_17</t>
  </si>
  <si>
    <t>15:00:38</t>
  </si>
  <si>
    <t>20200615 15:02:39</t>
  </si>
  <si>
    <t>15:02:39</t>
  </si>
  <si>
    <t>MPF-3737-20200615-15_02_41</t>
  </si>
  <si>
    <t>DARK-3738-20200615-15_02_49</t>
  </si>
  <si>
    <t>15:03:04</t>
  </si>
  <si>
    <t>20200615 15:05:06</t>
  </si>
  <si>
    <t>15:05:06</t>
  </si>
  <si>
    <t>MPF-3739-20200615-15_05_07</t>
  </si>
  <si>
    <t>DARK-3740-20200615-15_05_15</t>
  </si>
  <si>
    <t>15:05:33</t>
  </si>
  <si>
    <t>20200615 15:07:35</t>
  </si>
  <si>
    <t>15:07:35</t>
  </si>
  <si>
    <t>MPF-3741-20200615-15_07_36</t>
  </si>
  <si>
    <t>DARK-3742-20200615-15_07_44</t>
  </si>
  <si>
    <t>15:08:03</t>
  </si>
  <si>
    <t>20200615 15:10:05</t>
  </si>
  <si>
    <t>15:10:05</t>
  </si>
  <si>
    <t>MPF-3743-20200615-15_10_07</t>
  </si>
  <si>
    <t>DARK-3744-20200615-15_10_14</t>
  </si>
  <si>
    <t>15:10:33</t>
  </si>
  <si>
    <t>20200615 15:12:34</t>
  </si>
  <si>
    <t>15:12:34</t>
  </si>
  <si>
    <t>MPF-3745-20200615-15_12_36</t>
  </si>
  <si>
    <t>DARK-3746-20200615-15_12_43</t>
  </si>
  <si>
    <t>15:11:42</t>
  </si>
  <si>
    <t>20200615 15:14:43</t>
  </si>
  <si>
    <t>15:14:43</t>
  </si>
  <si>
    <t>MPF-3747-20200615-15_14_44</t>
  </si>
  <si>
    <t>DARK-3748-20200615-15_14_52</t>
  </si>
  <si>
    <t>15:13:42</t>
  </si>
  <si>
    <t>20200615 15:17:13</t>
  </si>
  <si>
    <t>15:17:13</t>
  </si>
  <si>
    <t>MPF-3749-20200615-15_17_15</t>
  </si>
  <si>
    <t>DARK-3750-20200615-15_17_22</t>
  </si>
  <si>
    <t>15:15:44</t>
  </si>
  <si>
    <t>1/2</t>
  </si>
  <si>
    <t>20200615 15:19:44</t>
  </si>
  <si>
    <t>15:19:44</t>
  </si>
  <si>
    <t>MPF-3751-20200615-15_19_45</t>
  </si>
  <si>
    <t>DARK-3752-20200615-15_19_53</t>
  </si>
  <si>
    <t>15:18:20</t>
  </si>
  <si>
    <t>20200615 15:22:14</t>
  </si>
  <si>
    <t>15:22:14</t>
  </si>
  <si>
    <t>MPF-3753-20200615-15_22_16</t>
  </si>
  <si>
    <t>DARK-3754-20200615-15_22_24</t>
  </si>
  <si>
    <t>15:20:45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</si>
</sst>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N31"/>
  <sheetViews>
    <sheetView tabSelected="1" workbookViewId="0"/>
  </sheetViews>
  <sheetFormatPr defaultRowHeight="14.4" x14ac:dyDescent="0.25"/>
  <sheetData>
    <row r="2" spans="1:170" x14ac:dyDescent="0.25">
      <c r="A2" t="s">
        <v>25</v>
      </c>
      <c r="B2" t="s">
        <v>26</v>
      </c>
      <c r="C2" t="s">
        <v>28</v>
      </c>
      <c r="D2" t="s">
        <v>30</v>
      </c>
    </row>
    <row r="3" spans="1:170" x14ac:dyDescent="0.25">
      <c r="B3" t="s">
        <v>27</v>
      </c>
      <c r="C3" t="s">
        <v>29</v>
      </c>
      <c r="D3" t="s">
        <v>31</v>
      </c>
    </row>
    <row r="4" spans="1:170" x14ac:dyDescent="0.25">
      <c r="A4" t="s">
        <v>32</v>
      </c>
      <c r="B4" t="s">
        <v>33</v>
      </c>
      <c r="C4" t="s">
        <v>34</v>
      </c>
    </row>
    <row r="5" spans="1:170" x14ac:dyDescent="0.25">
      <c r="B5">
        <v>2</v>
      </c>
      <c r="C5">
        <v>2</v>
      </c>
    </row>
    <row r="6" spans="1:170" x14ac:dyDescent="0.25">
      <c r="A6" t="s">
        <v>35</v>
      </c>
      <c r="B6" t="s">
        <v>36</v>
      </c>
      <c r="C6" t="s">
        <v>37</v>
      </c>
      <c r="D6" t="s">
        <v>38</v>
      </c>
      <c r="E6" t="s">
        <v>39</v>
      </c>
    </row>
    <row r="7" spans="1:170" x14ac:dyDescent="0.25">
      <c r="B7">
        <v>0</v>
      </c>
      <c r="C7">
        <v>1</v>
      </c>
      <c r="D7">
        <v>0</v>
      </c>
      <c r="E7">
        <v>0</v>
      </c>
    </row>
    <row r="8" spans="1:170" x14ac:dyDescent="0.25">
      <c r="A8" t="s">
        <v>40</v>
      </c>
      <c r="B8" t="s">
        <v>41</v>
      </c>
      <c r="C8" t="s">
        <v>43</v>
      </c>
      <c r="D8" t="s">
        <v>45</v>
      </c>
      <c r="E8" t="s">
        <v>46</v>
      </c>
      <c r="F8" t="s">
        <v>47</v>
      </c>
      <c r="G8" t="s">
        <v>48</v>
      </c>
      <c r="H8" t="s">
        <v>49</v>
      </c>
      <c r="I8" t="s">
        <v>50</v>
      </c>
      <c r="J8" t="s">
        <v>51</v>
      </c>
      <c r="K8" t="s">
        <v>52</v>
      </c>
      <c r="L8" t="s">
        <v>53</v>
      </c>
      <c r="M8" t="s">
        <v>54</v>
      </c>
      <c r="N8" t="s">
        <v>55</v>
      </c>
      <c r="O8" t="s">
        <v>56</v>
      </c>
      <c r="P8" t="s">
        <v>57</v>
      </c>
      <c r="Q8" t="s">
        <v>58</v>
      </c>
    </row>
    <row r="9" spans="1:170" x14ac:dyDescent="0.25">
      <c r="B9" t="s">
        <v>42</v>
      </c>
      <c r="C9" t="s">
        <v>44</v>
      </c>
      <c r="D9">
        <v>0.49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0.39</v>
      </c>
      <c r="L9">
        <v>0.18</v>
      </c>
      <c r="M9">
        <v>0.23</v>
      </c>
      <c r="N9">
        <v>0.26</v>
      </c>
      <c r="O9">
        <v>0.21</v>
      </c>
      <c r="P9">
        <v>0.19</v>
      </c>
      <c r="Q9">
        <v>0.25</v>
      </c>
    </row>
    <row r="10" spans="1:170" x14ac:dyDescent="0.25">
      <c r="A10" t="s">
        <v>59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</row>
    <row r="11" spans="1:170" x14ac:dyDescent="0.25">
      <c r="B11">
        <v>0</v>
      </c>
      <c r="C11">
        <v>0</v>
      </c>
      <c r="D11">
        <v>0</v>
      </c>
      <c r="E11">
        <v>0</v>
      </c>
      <c r="F11">
        <v>1</v>
      </c>
    </row>
    <row r="12" spans="1:170" x14ac:dyDescent="0.25">
      <c r="A12" t="s">
        <v>65</v>
      </c>
      <c r="B12" t="s">
        <v>66</v>
      </c>
      <c r="C12" t="s">
        <v>67</v>
      </c>
      <c r="D12" t="s">
        <v>68</v>
      </c>
      <c r="E12" t="s">
        <v>69</v>
      </c>
      <c r="F12" t="s">
        <v>70</v>
      </c>
      <c r="G12" t="s">
        <v>72</v>
      </c>
      <c r="H12" t="s">
        <v>74</v>
      </c>
    </row>
    <row r="13" spans="1:170" x14ac:dyDescent="0.25">
      <c r="B13">
        <v>-6276</v>
      </c>
      <c r="C13">
        <v>6.6</v>
      </c>
      <c r="D13">
        <v>1.7090000000000001E-5</v>
      </c>
      <c r="E13">
        <v>3.11</v>
      </c>
      <c r="F13" t="s">
        <v>71</v>
      </c>
      <c r="G13" t="s">
        <v>73</v>
      </c>
      <c r="H13">
        <v>0</v>
      </c>
    </row>
    <row r="14" spans="1:170" x14ac:dyDescent="0.25">
      <c r="A14" t="s">
        <v>75</v>
      </c>
      <c r="B14" t="s">
        <v>75</v>
      </c>
      <c r="C14" t="s">
        <v>75</v>
      </c>
      <c r="D14" t="s">
        <v>75</v>
      </c>
      <c r="E14" t="s">
        <v>75</v>
      </c>
      <c r="F14" t="s">
        <v>76</v>
      </c>
      <c r="G14" t="s">
        <v>77</v>
      </c>
      <c r="H14" t="s">
        <v>77</v>
      </c>
      <c r="I14" t="s">
        <v>77</v>
      </c>
      <c r="J14" t="s">
        <v>77</v>
      </c>
      <c r="K14" t="s">
        <v>77</v>
      </c>
      <c r="L14" t="s">
        <v>77</v>
      </c>
      <c r="M14" t="s">
        <v>77</v>
      </c>
      <c r="N14" t="s">
        <v>77</v>
      </c>
      <c r="O14" t="s">
        <v>77</v>
      </c>
      <c r="P14" t="s">
        <v>77</v>
      </c>
      <c r="Q14" t="s">
        <v>77</v>
      </c>
      <c r="R14" t="s">
        <v>77</v>
      </c>
      <c r="S14" t="s">
        <v>77</v>
      </c>
      <c r="T14" t="s">
        <v>77</v>
      </c>
      <c r="U14" t="s">
        <v>77</v>
      </c>
      <c r="V14" t="s">
        <v>77</v>
      </c>
      <c r="W14" t="s">
        <v>77</v>
      </c>
      <c r="X14" t="s">
        <v>77</v>
      </c>
      <c r="Y14" t="s">
        <v>77</v>
      </c>
      <c r="Z14" t="s">
        <v>77</v>
      </c>
      <c r="AA14" t="s">
        <v>77</v>
      </c>
      <c r="AB14" t="s">
        <v>77</v>
      </c>
      <c r="AC14" t="s">
        <v>77</v>
      </c>
      <c r="AD14" t="s">
        <v>77</v>
      </c>
      <c r="AE14" t="s">
        <v>77</v>
      </c>
      <c r="AF14" t="s">
        <v>77</v>
      </c>
      <c r="AG14" t="s">
        <v>78</v>
      </c>
      <c r="AH14" t="s">
        <v>78</v>
      </c>
      <c r="AI14" t="s">
        <v>78</v>
      </c>
      <c r="AJ14" t="s">
        <v>78</v>
      </c>
      <c r="AK14" t="s">
        <v>78</v>
      </c>
      <c r="AL14" t="s">
        <v>79</v>
      </c>
      <c r="AM14" t="s">
        <v>79</v>
      </c>
      <c r="AN14" t="s">
        <v>79</v>
      </c>
      <c r="AO14" t="s">
        <v>79</v>
      </c>
      <c r="AP14" t="s">
        <v>79</v>
      </c>
      <c r="AQ14" t="s">
        <v>79</v>
      </c>
      <c r="AR14" t="s">
        <v>79</v>
      </c>
      <c r="AS14" t="s">
        <v>79</v>
      </c>
      <c r="AT14" t="s">
        <v>79</v>
      </c>
      <c r="AU14" t="s">
        <v>79</v>
      </c>
      <c r="AV14" t="s">
        <v>79</v>
      </c>
      <c r="AW14" t="s">
        <v>79</v>
      </c>
      <c r="AX14" t="s">
        <v>79</v>
      </c>
      <c r="AY14" t="s">
        <v>79</v>
      </c>
      <c r="AZ14" t="s">
        <v>79</v>
      </c>
      <c r="BA14" t="s">
        <v>79</v>
      </c>
      <c r="BB14" t="s">
        <v>79</v>
      </c>
      <c r="BC14" t="s">
        <v>79</v>
      </c>
      <c r="BD14" t="s">
        <v>79</v>
      </c>
      <c r="BE14" t="s">
        <v>79</v>
      </c>
      <c r="BF14" t="s">
        <v>79</v>
      </c>
      <c r="BG14" t="s">
        <v>79</v>
      </c>
      <c r="BH14" t="s">
        <v>79</v>
      </c>
      <c r="BI14" t="s">
        <v>79</v>
      </c>
      <c r="BJ14" t="s">
        <v>80</v>
      </c>
      <c r="BK14" t="s">
        <v>80</v>
      </c>
      <c r="BL14" t="s">
        <v>80</v>
      </c>
      <c r="BM14" t="s">
        <v>80</v>
      </c>
      <c r="BN14" t="s">
        <v>80</v>
      </c>
      <c r="BO14" t="s">
        <v>80</v>
      </c>
      <c r="BP14" t="s">
        <v>80</v>
      </c>
      <c r="BQ14" t="s">
        <v>80</v>
      </c>
      <c r="BR14" t="s">
        <v>81</v>
      </c>
      <c r="BS14" t="s">
        <v>81</v>
      </c>
      <c r="BT14" t="s">
        <v>81</v>
      </c>
      <c r="BU14" t="s">
        <v>81</v>
      </c>
      <c r="BV14" t="s">
        <v>32</v>
      </c>
      <c r="BW14" t="s">
        <v>32</v>
      </c>
      <c r="BX14" t="s">
        <v>82</v>
      </c>
      <c r="BY14" t="s">
        <v>82</v>
      </c>
      <c r="BZ14" t="s">
        <v>82</v>
      </c>
      <c r="CA14" t="s">
        <v>82</v>
      </c>
      <c r="CB14" t="s">
        <v>82</v>
      </c>
      <c r="CC14" t="s">
        <v>82</v>
      </c>
      <c r="CD14" t="s">
        <v>82</v>
      </c>
      <c r="CE14" t="s">
        <v>82</v>
      </c>
      <c r="CF14" t="s">
        <v>82</v>
      </c>
      <c r="CG14" t="s">
        <v>82</v>
      </c>
      <c r="CH14" t="s">
        <v>82</v>
      </c>
      <c r="CI14" t="s">
        <v>82</v>
      </c>
      <c r="CJ14" t="s">
        <v>82</v>
      </c>
      <c r="CK14" t="s">
        <v>82</v>
      </c>
      <c r="CL14" t="s">
        <v>83</v>
      </c>
      <c r="CM14" t="s">
        <v>83</v>
      </c>
      <c r="CN14" t="s">
        <v>83</v>
      </c>
      <c r="CO14" t="s">
        <v>83</v>
      </c>
      <c r="CP14" t="s">
        <v>83</v>
      </c>
      <c r="CQ14" t="s">
        <v>83</v>
      </c>
      <c r="CR14" t="s">
        <v>83</v>
      </c>
      <c r="CS14" t="s">
        <v>83</v>
      </c>
      <c r="CT14" t="s">
        <v>83</v>
      </c>
      <c r="CU14" t="s">
        <v>83</v>
      </c>
      <c r="CV14" t="s">
        <v>83</v>
      </c>
      <c r="CW14" t="s">
        <v>83</v>
      </c>
      <c r="CX14" t="s">
        <v>83</v>
      </c>
      <c r="CY14" t="s">
        <v>83</v>
      </c>
      <c r="CZ14" t="s">
        <v>83</v>
      </c>
      <c r="DA14" t="s">
        <v>83</v>
      </c>
      <c r="DB14" t="s">
        <v>83</v>
      </c>
      <c r="DC14" t="s">
        <v>84</v>
      </c>
      <c r="DD14" t="s">
        <v>84</v>
      </c>
      <c r="DE14" t="s">
        <v>84</v>
      </c>
      <c r="DF14" t="s">
        <v>84</v>
      </c>
      <c r="DG14" t="s">
        <v>84</v>
      </c>
      <c r="DH14" t="s">
        <v>85</v>
      </c>
      <c r="DI14" t="s">
        <v>85</v>
      </c>
      <c r="DJ14" t="s">
        <v>85</v>
      </c>
      <c r="DK14" t="s">
        <v>85</v>
      </c>
      <c r="DL14" t="s">
        <v>85</v>
      </c>
      <c r="DM14" t="s">
        <v>85</v>
      </c>
      <c r="DN14" t="s">
        <v>85</v>
      </c>
      <c r="DO14" t="s">
        <v>85</v>
      </c>
      <c r="DP14" t="s">
        <v>85</v>
      </c>
      <c r="DQ14" t="s">
        <v>86</v>
      </c>
      <c r="DR14" t="s">
        <v>86</v>
      </c>
      <c r="DS14" t="s">
        <v>86</v>
      </c>
      <c r="DT14" t="s">
        <v>86</v>
      </c>
      <c r="DU14" t="s">
        <v>86</v>
      </c>
      <c r="DV14" t="s">
        <v>86</v>
      </c>
      <c r="DW14" t="s">
        <v>86</v>
      </c>
      <c r="DX14" t="s">
        <v>86</v>
      </c>
      <c r="DY14" t="s">
        <v>86</v>
      </c>
      <c r="DZ14" t="s">
        <v>86</v>
      </c>
      <c r="EA14" t="s">
        <v>86</v>
      </c>
      <c r="EB14" t="s">
        <v>87</v>
      </c>
      <c r="EC14" t="s">
        <v>87</v>
      </c>
      <c r="ED14" t="s">
        <v>87</v>
      </c>
      <c r="EE14" t="s">
        <v>87</v>
      </c>
      <c r="EF14" t="s">
        <v>87</v>
      </c>
      <c r="EG14" t="s">
        <v>87</v>
      </c>
      <c r="EH14" t="s">
        <v>87</v>
      </c>
      <c r="EI14" t="s">
        <v>87</v>
      </c>
      <c r="EJ14" t="s">
        <v>87</v>
      </c>
      <c r="EK14" t="s">
        <v>87</v>
      </c>
      <c r="EL14" t="s">
        <v>87</v>
      </c>
      <c r="EM14" t="s">
        <v>87</v>
      </c>
      <c r="EN14" t="s">
        <v>87</v>
      </c>
      <c r="EO14" t="s">
        <v>87</v>
      </c>
      <c r="EP14" t="s">
        <v>87</v>
      </c>
      <c r="EQ14" t="s">
        <v>87</v>
      </c>
      <c r="ER14" t="s">
        <v>87</v>
      </c>
      <c r="ES14" t="s">
        <v>87</v>
      </c>
      <c r="ET14" t="s">
        <v>87</v>
      </c>
      <c r="EU14" t="s">
        <v>88</v>
      </c>
      <c r="EV14" t="s">
        <v>88</v>
      </c>
      <c r="EW14" t="s">
        <v>88</v>
      </c>
      <c r="EX14" t="s">
        <v>88</v>
      </c>
      <c r="EY14" t="s">
        <v>88</v>
      </c>
      <c r="EZ14" t="s">
        <v>88</v>
      </c>
      <c r="FA14" t="s">
        <v>88</v>
      </c>
      <c r="FB14" t="s">
        <v>88</v>
      </c>
      <c r="FC14" t="s">
        <v>88</v>
      </c>
      <c r="FD14" t="s">
        <v>88</v>
      </c>
      <c r="FE14" t="s">
        <v>88</v>
      </c>
      <c r="FF14" t="s">
        <v>88</v>
      </c>
      <c r="FG14" t="s">
        <v>88</v>
      </c>
      <c r="FH14" t="s">
        <v>88</v>
      </c>
      <c r="FI14" t="s">
        <v>88</v>
      </c>
      <c r="FJ14" t="s">
        <v>88</v>
      </c>
      <c r="FK14" t="s">
        <v>88</v>
      </c>
      <c r="FL14" t="s">
        <v>88</v>
      </c>
      <c r="FM14" t="s">
        <v>88</v>
      </c>
      <c r="FN14" t="s">
        <v>88</v>
      </c>
    </row>
    <row r="15" spans="1:170" x14ac:dyDescent="0.25">
      <c r="A15" t="s">
        <v>89</v>
      </c>
      <c r="B15" t="s">
        <v>90</v>
      </c>
      <c r="C15" t="s">
        <v>91</v>
      </c>
      <c r="D15" t="s">
        <v>92</v>
      </c>
      <c r="E15" t="s">
        <v>93</v>
      </c>
      <c r="F15" t="s">
        <v>94</v>
      </c>
      <c r="G15" t="s">
        <v>95</v>
      </c>
      <c r="H15" t="s">
        <v>96</v>
      </c>
      <c r="I15" t="s">
        <v>97</v>
      </c>
      <c r="J15" t="s">
        <v>98</v>
      </c>
      <c r="K15" t="s">
        <v>99</v>
      </c>
      <c r="L15" t="s">
        <v>100</v>
      </c>
      <c r="M15" t="s">
        <v>101</v>
      </c>
      <c r="N15" t="s">
        <v>102</v>
      </c>
      <c r="O15" t="s">
        <v>103</v>
      </c>
      <c r="P15" t="s">
        <v>104</v>
      </c>
      <c r="Q15" t="s">
        <v>105</v>
      </c>
      <c r="R15" t="s">
        <v>106</v>
      </c>
      <c r="S15" t="s">
        <v>107</v>
      </c>
      <c r="T15" t="s">
        <v>108</v>
      </c>
      <c r="U15" t="s">
        <v>109</v>
      </c>
      <c r="V15" t="s">
        <v>110</v>
      </c>
      <c r="W15" t="s">
        <v>111</v>
      </c>
      <c r="X15" t="s">
        <v>112</v>
      </c>
      <c r="Y15" t="s">
        <v>113</v>
      </c>
      <c r="Z15" t="s">
        <v>114</v>
      </c>
      <c r="AA15" t="s">
        <v>115</v>
      </c>
      <c r="AB15" t="s">
        <v>116</v>
      </c>
      <c r="AC15" t="s">
        <v>117</v>
      </c>
      <c r="AD15" t="s">
        <v>118</v>
      </c>
      <c r="AE15" t="s">
        <v>119</v>
      </c>
      <c r="AF15" t="s">
        <v>120</v>
      </c>
      <c r="AG15" t="s">
        <v>78</v>
      </c>
      <c r="AH15" t="s">
        <v>121</v>
      </c>
      <c r="AI15" t="s">
        <v>122</v>
      </c>
      <c r="AJ15" t="s">
        <v>123</v>
      </c>
      <c r="AK15" t="s">
        <v>124</v>
      </c>
      <c r="AL15" t="s">
        <v>125</v>
      </c>
      <c r="AM15" t="s">
        <v>126</v>
      </c>
      <c r="AN15" t="s">
        <v>127</v>
      </c>
      <c r="AO15" t="s">
        <v>128</v>
      </c>
      <c r="AP15" t="s">
        <v>129</v>
      </c>
      <c r="AQ15" t="s">
        <v>130</v>
      </c>
      <c r="AR15" t="s">
        <v>131</v>
      </c>
      <c r="AS15" t="s">
        <v>132</v>
      </c>
      <c r="AT15" t="s">
        <v>133</v>
      </c>
      <c r="AU15" t="s">
        <v>134</v>
      </c>
      <c r="AV15" t="s">
        <v>135</v>
      </c>
      <c r="AW15" t="s">
        <v>136</v>
      </c>
      <c r="AX15" t="s">
        <v>137</v>
      </c>
      <c r="AY15" t="s">
        <v>138</v>
      </c>
      <c r="AZ15" t="s">
        <v>139</v>
      </c>
      <c r="BA15" t="s">
        <v>140</v>
      </c>
      <c r="BB15" t="s">
        <v>141</v>
      </c>
      <c r="BC15" t="s">
        <v>142</v>
      </c>
      <c r="BD15" t="s">
        <v>143</v>
      </c>
      <c r="BE15" t="s">
        <v>144</v>
      </c>
      <c r="BF15" t="s">
        <v>145</v>
      </c>
      <c r="BG15" t="s">
        <v>146</v>
      </c>
      <c r="BH15" t="s">
        <v>147</v>
      </c>
      <c r="BI15" t="s">
        <v>148</v>
      </c>
      <c r="BJ15" t="s">
        <v>149</v>
      </c>
      <c r="BK15" t="s">
        <v>150</v>
      </c>
      <c r="BL15" t="s">
        <v>151</v>
      </c>
      <c r="BM15" t="s">
        <v>152</v>
      </c>
      <c r="BN15" t="s">
        <v>153</v>
      </c>
      <c r="BO15" t="s">
        <v>154</v>
      </c>
      <c r="BP15" t="s">
        <v>155</v>
      </c>
      <c r="BQ15" t="s">
        <v>156</v>
      </c>
      <c r="BR15" t="s">
        <v>157</v>
      </c>
      <c r="BS15" t="s">
        <v>158</v>
      </c>
      <c r="BT15" t="s">
        <v>159</v>
      </c>
      <c r="BU15" t="s">
        <v>160</v>
      </c>
      <c r="BV15" t="s">
        <v>161</v>
      </c>
      <c r="BW15" t="s">
        <v>162</v>
      </c>
      <c r="BX15" t="s">
        <v>95</v>
      </c>
      <c r="BY15" t="s">
        <v>163</v>
      </c>
      <c r="BZ15" t="s">
        <v>164</v>
      </c>
      <c r="CA15" t="s">
        <v>165</v>
      </c>
      <c r="CB15" t="s">
        <v>166</v>
      </c>
      <c r="CC15" t="s">
        <v>167</v>
      </c>
      <c r="CD15" t="s">
        <v>168</v>
      </c>
      <c r="CE15" t="s">
        <v>169</v>
      </c>
      <c r="CF15" t="s">
        <v>170</v>
      </c>
      <c r="CG15" t="s">
        <v>171</v>
      </c>
      <c r="CH15" t="s">
        <v>172</v>
      </c>
      <c r="CI15" t="s">
        <v>173</v>
      </c>
      <c r="CJ15" t="s">
        <v>174</v>
      </c>
      <c r="CK15" t="s">
        <v>175</v>
      </c>
      <c r="CL15" t="s">
        <v>176</v>
      </c>
      <c r="CM15" t="s">
        <v>177</v>
      </c>
      <c r="CN15" t="s">
        <v>178</v>
      </c>
      <c r="CO15" t="s">
        <v>179</v>
      </c>
      <c r="CP15" t="s">
        <v>180</v>
      </c>
      <c r="CQ15" t="s">
        <v>181</v>
      </c>
      <c r="CR15" t="s">
        <v>182</v>
      </c>
      <c r="CS15" t="s">
        <v>183</v>
      </c>
      <c r="CT15" t="s">
        <v>184</v>
      </c>
      <c r="CU15" t="s">
        <v>185</v>
      </c>
      <c r="CV15" t="s">
        <v>186</v>
      </c>
      <c r="CW15" t="s">
        <v>187</v>
      </c>
      <c r="CX15" t="s">
        <v>188</v>
      </c>
      <c r="CY15" t="s">
        <v>189</v>
      </c>
      <c r="CZ15" t="s">
        <v>190</v>
      </c>
      <c r="DA15" t="s">
        <v>191</v>
      </c>
      <c r="DB15" t="s">
        <v>192</v>
      </c>
      <c r="DC15" t="s">
        <v>193</v>
      </c>
      <c r="DD15" t="s">
        <v>194</v>
      </c>
      <c r="DE15" t="s">
        <v>195</v>
      </c>
      <c r="DF15" t="s">
        <v>196</v>
      </c>
      <c r="DG15" t="s">
        <v>197</v>
      </c>
      <c r="DH15" t="s">
        <v>90</v>
      </c>
      <c r="DI15" t="s">
        <v>93</v>
      </c>
      <c r="DJ15" t="s">
        <v>198</v>
      </c>
      <c r="DK15" t="s">
        <v>199</v>
      </c>
      <c r="DL15" t="s">
        <v>200</v>
      </c>
      <c r="DM15" t="s">
        <v>201</v>
      </c>
      <c r="DN15" t="s">
        <v>202</v>
      </c>
      <c r="DO15" t="s">
        <v>203</v>
      </c>
      <c r="DP15" t="s">
        <v>204</v>
      </c>
      <c r="DQ15" t="s">
        <v>205</v>
      </c>
      <c r="DR15" t="s">
        <v>206</v>
      </c>
      <c r="DS15" t="s">
        <v>207</v>
      </c>
      <c r="DT15" t="s">
        <v>208</v>
      </c>
      <c r="DU15" t="s">
        <v>209</v>
      </c>
      <c r="DV15" t="s">
        <v>210</v>
      </c>
      <c r="DW15" t="s">
        <v>211</v>
      </c>
      <c r="DX15" t="s">
        <v>212</v>
      </c>
      <c r="DY15" t="s">
        <v>213</v>
      </c>
      <c r="DZ15" t="s">
        <v>214</v>
      </c>
      <c r="EA15" t="s">
        <v>215</v>
      </c>
      <c r="EB15" t="s">
        <v>216</v>
      </c>
      <c r="EC15" t="s">
        <v>217</v>
      </c>
      <c r="ED15" t="s">
        <v>218</v>
      </c>
      <c r="EE15" t="s">
        <v>219</v>
      </c>
      <c r="EF15" t="s">
        <v>220</v>
      </c>
      <c r="EG15" t="s">
        <v>221</v>
      </c>
      <c r="EH15" t="s">
        <v>222</v>
      </c>
      <c r="EI15" t="s">
        <v>223</v>
      </c>
      <c r="EJ15" t="s">
        <v>224</v>
      </c>
      <c r="EK15" t="s">
        <v>225</v>
      </c>
      <c r="EL15" t="s">
        <v>226</v>
      </c>
      <c r="EM15" t="s">
        <v>227</v>
      </c>
      <c r="EN15" t="s">
        <v>228</v>
      </c>
      <c r="EO15" t="s">
        <v>229</v>
      </c>
      <c r="EP15" t="s">
        <v>230</v>
      </c>
      <c r="EQ15" t="s">
        <v>231</v>
      </c>
      <c r="ER15" t="s">
        <v>232</v>
      </c>
      <c r="ES15" t="s">
        <v>233</v>
      </c>
      <c r="ET15" t="s">
        <v>234</v>
      </c>
      <c r="EU15" t="s">
        <v>235</v>
      </c>
      <c r="EV15" t="s">
        <v>236</v>
      </c>
      <c r="EW15" t="s">
        <v>237</v>
      </c>
      <c r="EX15" t="s">
        <v>238</v>
      </c>
      <c r="EY15" t="s">
        <v>239</v>
      </c>
      <c r="EZ15" t="s">
        <v>240</v>
      </c>
      <c r="FA15" t="s">
        <v>241</v>
      </c>
      <c r="FB15" t="s">
        <v>242</v>
      </c>
      <c r="FC15" t="s">
        <v>243</v>
      </c>
      <c r="FD15" t="s">
        <v>244</v>
      </c>
      <c r="FE15" t="s">
        <v>245</v>
      </c>
      <c r="FF15" t="s">
        <v>246</v>
      </c>
      <c r="FG15" t="s">
        <v>247</v>
      </c>
      <c r="FH15" t="s">
        <v>248</v>
      </c>
      <c r="FI15" t="s">
        <v>249</v>
      </c>
      <c r="FJ15" t="s">
        <v>250</v>
      </c>
      <c r="FK15" t="s">
        <v>251</v>
      </c>
      <c r="FL15" t="s">
        <v>252</v>
      </c>
      <c r="FM15" t="s">
        <v>253</v>
      </c>
      <c r="FN15" t="s">
        <v>254</v>
      </c>
    </row>
    <row r="16" spans="1:170" x14ac:dyDescent="0.25">
      <c r="B16" t="s">
        <v>255</v>
      </c>
      <c r="C16" t="s">
        <v>255</v>
      </c>
      <c r="G16" t="s">
        <v>255</v>
      </c>
      <c r="H16" t="s">
        <v>256</v>
      </c>
      <c r="I16" t="s">
        <v>257</v>
      </c>
      <c r="J16" t="s">
        <v>258</v>
      </c>
      <c r="K16" t="s">
        <v>258</v>
      </c>
      <c r="L16" t="s">
        <v>168</v>
      </c>
      <c r="M16" t="s">
        <v>168</v>
      </c>
      <c r="N16" t="s">
        <v>256</v>
      </c>
      <c r="O16" t="s">
        <v>256</v>
      </c>
      <c r="P16" t="s">
        <v>256</v>
      </c>
      <c r="Q16" t="s">
        <v>256</v>
      </c>
      <c r="R16" t="s">
        <v>259</v>
      </c>
      <c r="S16" t="s">
        <v>260</v>
      </c>
      <c r="T16" t="s">
        <v>260</v>
      </c>
      <c r="U16" t="s">
        <v>261</v>
      </c>
      <c r="V16" t="s">
        <v>262</v>
      </c>
      <c r="W16" t="s">
        <v>261</v>
      </c>
      <c r="X16" t="s">
        <v>261</v>
      </c>
      <c r="Y16" t="s">
        <v>261</v>
      </c>
      <c r="Z16" t="s">
        <v>259</v>
      </c>
      <c r="AA16" t="s">
        <v>259</v>
      </c>
      <c r="AB16" t="s">
        <v>259</v>
      </c>
      <c r="AC16" t="s">
        <v>259</v>
      </c>
      <c r="AG16" t="s">
        <v>263</v>
      </c>
      <c r="AH16" t="s">
        <v>262</v>
      </c>
      <c r="AJ16" t="s">
        <v>262</v>
      </c>
      <c r="AK16" t="s">
        <v>263</v>
      </c>
      <c r="AQ16" t="s">
        <v>257</v>
      </c>
      <c r="AW16" t="s">
        <v>257</v>
      </c>
      <c r="AX16" t="s">
        <v>257</v>
      </c>
      <c r="AY16" t="s">
        <v>257</v>
      </c>
      <c r="BA16" t="s">
        <v>264</v>
      </c>
      <c r="BK16" t="s">
        <v>265</v>
      </c>
      <c r="BL16" t="s">
        <v>265</v>
      </c>
      <c r="BM16" t="s">
        <v>265</v>
      </c>
      <c r="BN16" t="s">
        <v>257</v>
      </c>
      <c r="BP16" t="s">
        <v>266</v>
      </c>
      <c r="BR16" t="s">
        <v>257</v>
      </c>
      <c r="BS16" t="s">
        <v>257</v>
      </c>
      <c r="BU16" t="s">
        <v>267</v>
      </c>
      <c r="BX16" t="s">
        <v>255</v>
      </c>
      <c r="BY16" t="s">
        <v>258</v>
      </c>
      <c r="BZ16" t="s">
        <v>258</v>
      </c>
      <c r="CA16" t="s">
        <v>268</v>
      </c>
      <c r="CB16" t="s">
        <v>268</v>
      </c>
      <c r="CC16" t="s">
        <v>263</v>
      </c>
      <c r="CD16" t="s">
        <v>261</v>
      </c>
      <c r="CE16" t="s">
        <v>261</v>
      </c>
      <c r="CF16" t="s">
        <v>260</v>
      </c>
      <c r="CG16" t="s">
        <v>260</v>
      </c>
      <c r="CH16" t="s">
        <v>260</v>
      </c>
      <c r="CI16" t="s">
        <v>269</v>
      </c>
      <c r="CJ16" t="s">
        <v>257</v>
      </c>
      <c r="CK16" t="s">
        <v>257</v>
      </c>
      <c r="CL16" t="s">
        <v>257</v>
      </c>
      <c r="CQ16" t="s">
        <v>257</v>
      </c>
      <c r="CT16" t="s">
        <v>260</v>
      </c>
      <c r="CU16" t="s">
        <v>260</v>
      </c>
      <c r="CV16" t="s">
        <v>260</v>
      </c>
      <c r="CW16" t="s">
        <v>260</v>
      </c>
      <c r="CX16" t="s">
        <v>260</v>
      </c>
      <c r="CY16" t="s">
        <v>257</v>
      </c>
      <c r="CZ16" t="s">
        <v>257</v>
      </c>
      <c r="DA16" t="s">
        <v>257</v>
      </c>
      <c r="DB16" t="s">
        <v>255</v>
      </c>
      <c r="DD16" t="s">
        <v>270</v>
      </c>
      <c r="DE16" t="s">
        <v>270</v>
      </c>
      <c r="DG16" t="s">
        <v>255</v>
      </c>
      <c r="DH16" t="s">
        <v>271</v>
      </c>
      <c r="DK16" t="s">
        <v>272</v>
      </c>
      <c r="DL16" t="s">
        <v>273</v>
      </c>
      <c r="DM16" t="s">
        <v>272</v>
      </c>
      <c r="DN16" t="s">
        <v>273</v>
      </c>
      <c r="DO16" t="s">
        <v>262</v>
      </c>
      <c r="DP16" t="s">
        <v>262</v>
      </c>
      <c r="DQ16" t="s">
        <v>258</v>
      </c>
      <c r="DR16" t="s">
        <v>274</v>
      </c>
      <c r="DS16" t="s">
        <v>258</v>
      </c>
      <c r="DU16" t="s">
        <v>268</v>
      </c>
      <c r="DV16" t="s">
        <v>275</v>
      </c>
      <c r="DW16" t="s">
        <v>268</v>
      </c>
      <c r="EB16" t="s">
        <v>276</v>
      </c>
      <c r="EC16" t="s">
        <v>276</v>
      </c>
      <c r="ED16" t="s">
        <v>276</v>
      </c>
      <c r="EE16" t="s">
        <v>276</v>
      </c>
      <c r="EF16" t="s">
        <v>276</v>
      </c>
      <c r="EG16" t="s">
        <v>276</v>
      </c>
      <c r="EH16" t="s">
        <v>276</v>
      </c>
      <c r="EI16" t="s">
        <v>276</v>
      </c>
      <c r="EJ16" t="s">
        <v>276</v>
      </c>
      <c r="EK16" t="s">
        <v>276</v>
      </c>
      <c r="EL16" t="s">
        <v>276</v>
      </c>
      <c r="EM16" t="s">
        <v>276</v>
      </c>
      <c r="ET16" t="s">
        <v>276</v>
      </c>
      <c r="EU16" t="s">
        <v>262</v>
      </c>
      <c r="EV16" t="s">
        <v>262</v>
      </c>
      <c r="EW16" t="s">
        <v>272</v>
      </c>
      <c r="EX16" t="s">
        <v>273</v>
      </c>
      <c r="EZ16" t="s">
        <v>263</v>
      </c>
      <c r="FA16" t="s">
        <v>263</v>
      </c>
      <c r="FB16" t="s">
        <v>260</v>
      </c>
      <c r="FC16" t="s">
        <v>260</v>
      </c>
      <c r="FD16" t="s">
        <v>260</v>
      </c>
      <c r="FE16" t="s">
        <v>260</v>
      </c>
      <c r="FF16" t="s">
        <v>260</v>
      </c>
      <c r="FG16" t="s">
        <v>262</v>
      </c>
      <c r="FH16" t="s">
        <v>262</v>
      </c>
      <c r="FI16" t="s">
        <v>262</v>
      </c>
      <c r="FJ16" t="s">
        <v>260</v>
      </c>
      <c r="FK16" t="s">
        <v>258</v>
      </c>
      <c r="FL16" t="s">
        <v>268</v>
      </c>
      <c r="FM16" t="s">
        <v>262</v>
      </c>
      <c r="FN16" t="s">
        <v>262</v>
      </c>
    </row>
    <row r="17" spans="1:170" x14ac:dyDescent="0.25">
      <c r="A17">
        <v>1</v>
      </c>
      <c r="B17">
        <v>1592250232.7</v>
      </c>
      <c r="C17">
        <v>0</v>
      </c>
      <c r="D17" t="s">
        <v>277</v>
      </c>
      <c r="E17" t="s">
        <v>278</v>
      </c>
      <c r="G17">
        <v>1592250224.7290299</v>
      </c>
      <c r="H17">
        <f t="shared" ref="H17:H31" si="0">CC17*AI17*(CA17-CB17)/(100*$B$5*(1000-AI17*CA17))</f>
        <v>6.3164775638579352E-3</v>
      </c>
      <c r="I17">
        <f t="shared" ref="I17:I31" si="1">CC17*AI17*(BZ17-BY17*(1000-AI17*CB17)/(1000-AI17*CA17))/(100*$B$5)</f>
        <v>27.465161159282193</v>
      </c>
      <c r="J17">
        <f t="shared" ref="J17:J31" si="2">BY17 - IF(AI17&gt;1, I17*$B$5*100/(AK17*CI17), 0)</f>
        <v>388.02806451612901</v>
      </c>
      <c r="K17">
        <f t="shared" ref="K17:K31" si="3">((Q17-H17/2)*J17-I17)/(Q17+H17/2)</f>
        <v>249.15043582932054</v>
      </c>
      <c r="L17">
        <f t="shared" ref="L17:L31" si="4">K17*(CD17+CE17)/1000</f>
        <v>24.994042844853077</v>
      </c>
      <c r="M17">
        <f t="shared" ref="M17:M31" si="5">(BY17 - IF(AI17&gt;1, I17*$B$5*100/(AK17*CI17), 0))*(CD17+CE17)/1000</f>
        <v>38.925840274930856</v>
      </c>
      <c r="N17">
        <f t="shared" ref="N17:N31" si="6">2/((1/P17-1/O17)+SIGN(P17)*SQRT((1/P17-1/O17)*(1/P17-1/O17) + 4*BV17/((BV17+1)*(BV17+1))*(2*1/P17*1/O17-1/O17*1/O17)))</f>
        <v>0.35647283113546802</v>
      </c>
      <c r="O17">
        <f t="shared" ref="O17:O31" si="7">AF17+AE17*$B$5+AD17*$B$5*$B$5</f>
        <v>3.4017147104731049</v>
      </c>
      <c r="P17">
        <f t="shared" ref="P17:P31" si="8">H17*(1000-(1000*0.61365*EXP(17.502*T17/(240.97+T17))/(CD17+CE17)+CA17)/2)/(1000*0.61365*EXP(17.502*T17/(240.97+T17))/(CD17+CE17)-CA17)</f>
        <v>0.33694397770250789</v>
      </c>
      <c r="Q17">
        <f t="shared" ref="Q17:Q31" si="9">1/((BV17+1)/(N17/1.6)+1/(O17/1.37)) + BV17/((BV17+1)/(N17/1.6) + BV17/(O17/1.37))</f>
        <v>0.21225537394911254</v>
      </c>
      <c r="R17">
        <f t="shared" ref="R17:R31" si="10">(BS17*BU17)</f>
        <v>353.33531645312621</v>
      </c>
      <c r="S17">
        <f t="shared" ref="S17:S31" si="11">(CF17+(R17+2*0.95*0.0000000567*(((CF17+$B$7)+273)^4-(CF17+273)^4)-44100*H17)/(1.84*29.3*O17+8*0.95*0.0000000567*(CF17+273)^3))</f>
        <v>26.689580286154243</v>
      </c>
      <c r="T17">
        <f t="shared" ref="T17:T31" si="12">($C$7*CG17+$D$7*CH17+$E$7*S17)</f>
        <v>26.867429032258102</v>
      </c>
      <c r="U17">
        <f t="shared" ref="U17:U31" si="13">0.61365*EXP(17.502*T17/(240.97+T17))</f>
        <v>3.5513860899477594</v>
      </c>
      <c r="V17">
        <f t="shared" ref="V17:V31" si="14">(W17/X17*100)</f>
        <v>50.066826676663531</v>
      </c>
      <c r="W17">
        <f t="shared" ref="W17:W31" si="15">CA17*(CD17+CE17)/1000</f>
        <v>1.7202164837338993</v>
      </c>
      <c r="X17">
        <f t="shared" ref="X17:X31" si="16">0.61365*EXP(17.502*CF17/(240.97+CF17))</f>
        <v>3.4358408509555156</v>
      </c>
      <c r="Y17">
        <f t="shared" ref="Y17:Y31" si="17">(U17-CA17*(CD17+CE17)/1000)</f>
        <v>1.83116960621386</v>
      </c>
      <c r="Z17">
        <f t="shared" ref="Z17:Z31" si="18">(-H17*44100)</f>
        <v>-278.55666056613495</v>
      </c>
      <c r="AA17">
        <f t="shared" ref="AA17:AA31" si="19">2*29.3*O17*0.92*(CF17-T17)</f>
        <v>-102.96288279572957</v>
      </c>
      <c r="AB17">
        <f t="shared" ref="AB17:AB31" si="20">2*0.95*0.0000000567*(((CF17+$B$7)+273)^4-(T17+273)^4)</f>
        <v>-6.5052207447383701</v>
      </c>
      <c r="AC17">
        <f t="shared" ref="AC17:AC31" si="21">R17+AB17+Z17+AA17</f>
        <v>-34.689447653476691</v>
      </c>
      <c r="AD17">
        <v>-4.1474331686777402E-2</v>
      </c>
      <c r="AE17">
        <v>4.6558570669417099E-2</v>
      </c>
      <c r="AF17">
        <v>3.4744948958813802</v>
      </c>
      <c r="AG17">
        <v>138</v>
      </c>
      <c r="AH17">
        <v>28</v>
      </c>
      <c r="AI17">
        <f t="shared" ref="AI17:AI31" si="22">IF(AG17*$H$13&gt;=AK17,1,(AK17/(AK17-AG17*$H$13)))</f>
        <v>1</v>
      </c>
      <c r="AJ17">
        <f t="shared" ref="AJ17:AJ31" si="23">(AI17-1)*100</f>
        <v>0</v>
      </c>
      <c r="AK17">
        <f t="shared" ref="AK17:AK31" si="24">MAX(0,($B$13+$C$13*CI17)/(1+$D$13*CI17)*CD17/(CF17+273)*$E$13)</f>
        <v>53011.135077961502</v>
      </c>
      <c r="AL17">
        <v>0</v>
      </c>
      <c r="AM17">
        <v>0</v>
      </c>
      <c r="AN17">
        <v>0</v>
      </c>
      <c r="AO17">
        <f t="shared" ref="AO17:AO31" si="25">AN17-AM17</f>
        <v>0</v>
      </c>
      <c r="AP17" t="e">
        <f t="shared" ref="AP17:AP31" si="26">AO17/AN17</f>
        <v>#DIV/0!</v>
      </c>
      <c r="AQ17">
        <v>-1</v>
      </c>
      <c r="AR17" t="s">
        <v>279</v>
      </c>
      <c r="AS17">
        <v>412.44238461538498</v>
      </c>
      <c r="AT17">
        <v>549.92999999999995</v>
      </c>
      <c r="AU17">
        <f t="shared" ref="AU17:AU31" si="27">1-AS17/AT17</f>
        <v>0.25000930188317605</v>
      </c>
      <c r="AV17">
        <v>0.5</v>
      </c>
      <c r="AW17">
        <f t="shared" ref="AW17:AW31" si="28">BS17</f>
        <v>1849.1722932574457</v>
      </c>
      <c r="AX17">
        <f t="shared" ref="AX17:AX31" si="29">I17</f>
        <v>27.465161159282193</v>
      </c>
      <c r="AY17">
        <f t="shared" ref="AY17:AY31" si="30">AU17*AV17*AW17</f>
        <v>231.15513704950286</v>
      </c>
      <c r="AZ17">
        <f t="shared" ref="AZ17:AZ31" si="31">BE17/AT17</f>
        <v>0.59216627570781732</v>
      </c>
      <c r="BA17">
        <f t="shared" ref="BA17:BA31" si="32">(AX17-AQ17)/AW17</f>
        <v>1.539346077327323E-2</v>
      </c>
      <c r="BB17">
        <f t="shared" ref="BB17:BB31" si="33">(AN17-AT17)/AT17</f>
        <v>-1</v>
      </c>
      <c r="BC17" t="s">
        <v>280</v>
      </c>
      <c r="BD17">
        <v>224.28</v>
      </c>
      <c r="BE17">
        <f t="shared" ref="BE17:BE31" si="34">AT17-BD17</f>
        <v>325.64999999999998</v>
      </c>
      <c r="BF17">
        <f t="shared" ref="BF17:BF31" si="35">(AT17-AS17)/(AT17-BD17)</f>
        <v>0.42219442771262083</v>
      </c>
      <c r="BG17">
        <f t="shared" ref="BG17:BG31" si="36">(AN17-AT17)/(AN17-BD17)</f>
        <v>2.4519796682718029</v>
      </c>
      <c r="BH17">
        <f t="shared" ref="BH17:BH31" si="37">(AT17-AS17)/(AT17-AM17)</f>
        <v>0.25000930188317599</v>
      </c>
      <c r="BI17" t="e">
        <f t="shared" ref="BI17:BI31" si="38">(AN17-AT17)/(AN17-AM17)</f>
        <v>#DIV/0!</v>
      </c>
      <c r="BJ17">
        <v>3725</v>
      </c>
      <c r="BK17">
        <v>300</v>
      </c>
      <c r="BL17">
        <v>300</v>
      </c>
      <c r="BM17">
        <v>300</v>
      </c>
      <c r="BN17">
        <v>9874.6299999999992</v>
      </c>
      <c r="BO17">
        <v>508.93700000000001</v>
      </c>
      <c r="BP17">
        <v>-6.4044699999999998E-3</v>
      </c>
      <c r="BQ17">
        <v>-0.27209499999999998</v>
      </c>
      <c r="BR17">
        <f t="shared" ref="BR17:BR31" si="39">$B$11*CJ17+$C$11*CK17+$F$11*CL17</f>
        <v>2199.98451612903</v>
      </c>
      <c r="BS17">
        <f t="shared" ref="BS17:BS31" si="40">BR17*BT17</f>
        <v>1849.1722932574457</v>
      </c>
      <c r="BT17">
        <f t="shared" ref="BT17:BT31" si="41">($B$11*$D$9+$C$11*$D$9+$F$11*((CY17+CQ17)/MAX(CY17+CQ17+CZ17, 0.1)*$I$9+CZ17/MAX(CY17+CQ17+CZ17, 0.1)*$J$9))/($B$11+$C$11+$F$11)</f>
        <v>0.84053877638700214</v>
      </c>
      <c r="BU17">
        <f t="shared" ref="BU17:BU31" si="42">($B$11*$K$9+$C$11*$K$9+$F$11*((CY17+CQ17)/MAX(CY17+CQ17+CZ17, 0.1)*$P$9+CZ17/MAX(CY17+CQ17+CZ17, 0.1)*$Q$9))/($B$11+$C$11+$F$11)</f>
        <v>0.19107755277400434</v>
      </c>
      <c r="BV17">
        <v>0.5</v>
      </c>
      <c r="BW17" t="s">
        <v>281</v>
      </c>
      <c r="BX17">
        <v>1592250224.7290299</v>
      </c>
      <c r="BY17">
        <v>388.02806451612901</v>
      </c>
      <c r="BZ17">
        <v>399.99354838709701</v>
      </c>
      <c r="CA17">
        <v>17.147793548387099</v>
      </c>
      <c r="CB17">
        <v>14.6647290322581</v>
      </c>
      <c r="CC17">
        <v>500.04048387096799</v>
      </c>
      <c r="CD17">
        <v>100.11706451612901</v>
      </c>
      <c r="CE17">
        <v>0.20001003225806499</v>
      </c>
      <c r="CF17">
        <v>26.305996774193499</v>
      </c>
      <c r="CG17">
        <v>26.867429032258102</v>
      </c>
      <c r="CH17">
        <v>999.9</v>
      </c>
      <c r="CI17">
        <v>9990.0419354838705</v>
      </c>
      <c r="CJ17">
        <v>0</v>
      </c>
      <c r="CK17">
        <v>1319.6425161290299</v>
      </c>
      <c r="CL17">
        <v>2199.98451612903</v>
      </c>
      <c r="CM17">
        <v>0.98200083870967703</v>
      </c>
      <c r="CN17">
        <v>1.7999519354838699E-2</v>
      </c>
      <c r="CO17">
        <v>0</v>
      </c>
      <c r="CP17">
        <v>412.57135483871002</v>
      </c>
      <c r="CQ17">
        <v>5.00054</v>
      </c>
      <c r="CR17">
        <v>10207.6116129032</v>
      </c>
      <c r="CS17">
        <v>20590.400000000001</v>
      </c>
      <c r="CT17">
        <v>49.588419354838699</v>
      </c>
      <c r="CU17">
        <v>49.762</v>
      </c>
      <c r="CV17">
        <v>49.570129032258002</v>
      </c>
      <c r="CW17">
        <v>49.161064516129002</v>
      </c>
      <c r="CX17">
        <v>50.745935483871001</v>
      </c>
      <c r="CY17">
        <v>2155.4745161290298</v>
      </c>
      <c r="CZ17">
        <v>39.51</v>
      </c>
      <c r="DA17">
        <v>0</v>
      </c>
      <c r="DB17">
        <v>859.30000019073498</v>
      </c>
      <c r="DC17">
        <v>412.44238461538498</v>
      </c>
      <c r="DD17">
        <v>-24.944820521509602</v>
      </c>
      <c r="DE17">
        <v>-353.764107711843</v>
      </c>
      <c r="DF17">
        <v>10209.9215384615</v>
      </c>
      <c r="DG17">
        <v>15</v>
      </c>
      <c r="DH17">
        <v>1592250260.7</v>
      </c>
      <c r="DI17" t="s">
        <v>282</v>
      </c>
      <c r="DJ17">
        <v>57</v>
      </c>
      <c r="DK17">
        <v>-0.188</v>
      </c>
      <c r="DL17">
        <v>7.9000000000000001E-2</v>
      </c>
      <c r="DM17">
        <v>400</v>
      </c>
      <c r="DN17">
        <v>15</v>
      </c>
      <c r="DO17">
        <v>0.31</v>
      </c>
      <c r="DP17">
        <v>0.03</v>
      </c>
      <c r="DQ17">
        <v>-11.3038365384615</v>
      </c>
      <c r="DR17">
        <v>-1.4980814803244999</v>
      </c>
      <c r="DS17">
        <v>0.22221398906048101</v>
      </c>
      <c r="DT17">
        <v>0</v>
      </c>
      <c r="DU17">
        <v>2.31712211538462</v>
      </c>
      <c r="DV17">
        <v>1.64999250116199</v>
      </c>
      <c r="DW17">
        <v>0.218067433036881</v>
      </c>
      <c r="DX17">
        <v>0</v>
      </c>
      <c r="DY17">
        <v>0</v>
      </c>
      <c r="DZ17">
        <v>2</v>
      </c>
      <c r="EA17" t="s">
        <v>283</v>
      </c>
      <c r="EB17">
        <v>1.86676</v>
      </c>
      <c r="EC17">
        <v>1.8632899999999999</v>
      </c>
      <c r="ED17">
        <v>1.8689</v>
      </c>
      <c r="EE17">
        <v>1.8668800000000001</v>
      </c>
      <c r="EF17">
        <v>1.8714900000000001</v>
      </c>
      <c r="EG17">
        <v>1.8640000000000001</v>
      </c>
      <c r="EH17">
        <v>1.86554</v>
      </c>
      <c r="EI17">
        <v>1.8653999999999999</v>
      </c>
      <c r="EJ17" t="s">
        <v>284</v>
      </c>
      <c r="EK17" t="s">
        <v>19</v>
      </c>
      <c r="EL17" t="s">
        <v>19</v>
      </c>
      <c r="EM17" t="s">
        <v>19</v>
      </c>
      <c r="EN17" t="s">
        <v>285</v>
      </c>
      <c r="EO17" t="s">
        <v>286</v>
      </c>
      <c r="EP17" t="s">
        <v>287</v>
      </c>
      <c r="EQ17" t="s">
        <v>287</v>
      </c>
      <c r="ER17" t="s">
        <v>287</v>
      </c>
      <c r="ES17" t="s">
        <v>287</v>
      </c>
      <c r="ET17">
        <v>0</v>
      </c>
      <c r="EU17">
        <v>100</v>
      </c>
      <c r="EV17">
        <v>100</v>
      </c>
      <c r="EW17">
        <v>-0.188</v>
      </c>
      <c r="EX17">
        <v>7.9000000000000001E-2</v>
      </c>
      <c r="EY17">
        <v>2</v>
      </c>
      <c r="EZ17">
        <v>343.33699999999999</v>
      </c>
      <c r="FA17">
        <v>481.31</v>
      </c>
      <c r="FB17">
        <v>20.3125</v>
      </c>
      <c r="FC17">
        <v>34.567399999999999</v>
      </c>
      <c r="FD17">
        <v>30.000599999999999</v>
      </c>
      <c r="FE17">
        <v>34.690100000000001</v>
      </c>
      <c r="FF17">
        <v>34.684699999999999</v>
      </c>
      <c r="FG17">
        <v>22.4422</v>
      </c>
      <c r="FH17">
        <v>0</v>
      </c>
      <c r="FI17">
        <v>100</v>
      </c>
      <c r="FJ17">
        <v>20.300699999999999</v>
      </c>
      <c r="FK17">
        <v>400</v>
      </c>
      <c r="FL17">
        <v>17.0397</v>
      </c>
      <c r="FM17">
        <v>100.82299999999999</v>
      </c>
      <c r="FN17">
        <v>100.98</v>
      </c>
    </row>
    <row r="18" spans="1:170" x14ac:dyDescent="0.25">
      <c r="A18">
        <v>2</v>
      </c>
      <c r="B18">
        <v>1592250620.3</v>
      </c>
      <c r="C18">
        <v>387.59999990463302</v>
      </c>
      <c r="D18" t="s">
        <v>288</v>
      </c>
      <c r="E18" t="s">
        <v>289</v>
      </c>
      <c r="G18">
        <v>1592250612.3</v>
      </c>
      <c r="H18">
        <f t="shared" si="0"/>
        <v>4.9956866588227143E-3</v>
      </c>
      <c r="I18">
        <f t="shared" si="1"/>
        <v>23.444753716942532</v>
      </c>
      <c r="J18">
        <f t="shared" si="2"/>
        <v>389.82209677419303</v>
      </c>
      <c r="K18">
        <f t="shared" si="3"/>
        <v>213.55716988620622</v>
      </c>
      <c r="L18">
        <f t="shared" si="4"/>
        <v>21.420559414113683</v>
      </c>
      <c r="M18">
        <f t="shared" si="5"/>
        <v>39.100571473837078</v>
      </c>
      <c r="N18">
        <f t="shared" si="6"/>
        <v>0.23387437421525023</v>
      </c>
      <c r="O18">
        <f t="shared" si="7"/>
        <v>3.4057558794829621</v>
      </c>
      <c r="P18">
        <f t="shared" si="8"/>
        <v>0.22530442565761599</v>
      </c>
      <c r="Q18">
        <f t="shared" si="9"/>
        <v>0.14155907833628079</v>
      </c>
      <c r="R18">
        <f t="shared" si="10"/>
        <v>353.3327724545918</v>
      </c>
      <c r="S18">
        <f t="shared" si="11"/>
        <v>26.95875758743183</v>
      </c>
      <c r="T18">
        <f t="shared" si="12"/>
        <v>27.446200000000001</v>
      </c>
      <c r="U18">
        <f t="shared" si="13"/>
        <v>3.6740364821135465</v>
      </c>
      <c r="V18">
        <f t="shared" si="14"/>
        <v>43.948857838604297</v>
      </c>
      <c r="W18">
        <f t="shared" si="15"/>
        <v>1.5074435224673055</v>
      </c>
      <c r="X18">
        <f t="shared" si="16"/>
        <v>3.4299947634661399</v>
      </c>
      <c r="Y18">
        <f t="shared" si="17"/>
        <v>2.1665929596462412</v>
      </c>
      <c r="Z18">
        <f t="shared" si="18"/>
        <v>-220.30978165408169</v>
      </c>
      <c r="AA18">
        <f t="shared" si="19"/>
        <v>-214.64968084409281</v>
      </c>
      <c r="AB18">
        <f t="shared" si="20"/>
        <v>-13.582899531892705</v>
      </c>
      <c r="AC18">
        <f t="shared" si="21"/>
        <v>-95.209589575475377</v>
      </c>
      <c r="AD18">
        <v>-4.1537008535369402E-2</v>
      </c>
      <c r="AE18">
        <v>4.66289309227551E-2</v>
      </c>
      <c r="AF18">
        <v>3.4786460517789299</v>
      </c>
      <c r="AG18">
        <v>136</v>
      </c>
      <c r="AH18">
        <v>27</v>
      </c>
      <c r="AI18">
        <f t="shared" si="22"/>
        <v>1</v>
      </c>
      <c r="AJ18">
        <f t="shared" si="23"/>
        <v>0</v>
      </c>
      <c r="AK18">
        <f t="shared" si="24"/>
        <v>53092.798098639199</v>
      </c>
      <c r="AL18">
        <v>0</v>
      </c>
      <c r="AM18">
        <v>0</v>
      </c>
      <c r="AN18">
        <v>0</v>
      </c>
      <c r="AO18">
        <f t="shared" si="25"/>
        <v>0</v>
      </c>
      <c r="AP18" t="e">
        <f t="shared" si="26"/>
        <v>#DIV/0!</v>
      </c>
      <c r="AQ18">
        <v>-1</v>
      </c>
      <c r="AR18" t="s">
        <v>290</v>
      </c>
      <c r="AS18">
        <v>282.55042307692298</v>
      </c>
      <c r="AT18">
        <v>377.98599999999999</v>
      </c>
      <c r="AU18">
        <f t="shared" si="27"/>
        <v>0.25248442249997882</v>
      </c>
      <c r="AV18">
        <v>0.5</v>
      </c>
      <c r="AW18">
        <f t="shared" si="28"/>
        <v>1849.1575436535529</v>
      </c>
      <c r="AX18">
        <f t="shared" si="29"/>
        <v>23.444753716942532</v>
      </c>
      <c r="AY18">
        <f t="shared" si="30"/>
        <v>233.44173726042334</v>
      </c>
      <c r="AZ18">
        <f t="shared" si="31"/>
        <v>0.47389585857677263</v>
      </c>
      <c r="BA18">
        <f t="shared" si="32"/>
        <v>1.3219400261940231E-2</v>
      </c>
      <c r="BB18">
        <f t="shared" si="33"/>
        <v>-1</v>
      </c>
      <c r="BC18" t="s">
        <v>291</v>
      </c>
      <c r="BD18">
        <v>198.86</v>
      </c>
      <c r="BE18">
        <f t="shared" si="34"/>
        <v>179.12599999999998</v>
      </c>
      <c r="BF18">
        <f t="shared" si="35"/>
        <v>0.53278461486929318</v>
      </c>
      <c r="BG18">
        <f t="shared" si="36"/>
        <v>1.9007643568339534</v>
      </c>
      <c r="BH18">
        <f t="shared" si="37"/>
        <v>0.25248442249997888</v>
      </c>
      <c r="BI18" t="e">
        <f t="shared" si="38"/>
        <v>#DIV/0!</v>
      </c>
      <c r="BJ18">
        <v>3727</v>
      </c>
      <c r="BK18">
        <v>300</v>
      </c>
      <c r="BL18">
        <v>300</v>
      </c>
      <c r="BM18">
        <v>300</v>
      </c>
      <c r="BN18">
        <v>9869.51</v>
      </c>
      <c r="BO18">
        <v>350.44299999999998</v>
      </c>
      <c r="BP18">
        <v>-6.4008399999999997E-3</v>
      </c>
      <c r="BQ18">
        <v>4.7363299999999997E-2</v>
      </c>
      <c r="BR18">
        <f t="shared" si="39"/>
        <v>2199.96677419355</v>
      </c>
      <c r="BS18">
        <f t="shared" si="40"/>
        <v>1849.1575436535529</v>
      </c>
      <c r="BT18">
        <f t="shared" si="41"/>
        <v>0.84053885056123423</v>
      </c>
      <c r="BU18">
        <f t="shared" si="42"/>
        <v>0.19107770112246864</v>
      </c>
      <c r="BV18">
        <v>0.5</v>
      </c>
      <c r="BW18" t="s">
        <v>281</v>
      </c>
      <c r="BX18">
        <v>1592250612.3</v>
      </c>
      <c r="BY18">
        <v>389.82209677419303</v>
      </c>
      <c r="BZ18">
        <v>399.97803225806501</v>
      </c>
      <c r="CA18">
        <v>15.028803225806501</v>
      </c>
      <c r="CB18">
        <v>13.0607419354839</v>
      </c>
      <c r="CC18">
        <v>500.04616129032303</v>
      </c>
      <c r="CD18">
        <v>100.10361290322599</v>
      </c>
      <c r="CE18">
        <v>0.200017387096774</v>
      </c>
      <c r="CF18">
        <v>26.277154838709698</v>
      </c>
      <c r="CG18">
        <v>27.446200000000001</v>
      </c>
      <c r="CH18">
        <v>999.9</v>
      </c>
      <c r="CI18">
        <v>10006.483548387099</v>
      </c>
      <c r="CJ18">
        <v>0</v>
      </c>
      <c r="CK18">
        <v>84.200858064516098</v>
      </c>
      <c r="CL18">
        <v>2199.96677419355</v>
      </c>
      <c r="CM18">
        <v>0.98199770967741995</v>
      </c>
      <c r="CN18">
        <v>1.8002612903225801E-2</v>
      </c>
      <c r="CO18">
        <v>0</v>
      </c>
      <c r="CP18">
        <v>282.59203225806402</v>
      </c>
      <c r="CQ18">
        <v>5.00054</v>
      </c>
      <c r="CR18">
        <v>7043.5351612903196</v>
      </c>
      <c r="CS18">
        <v>20590.2</v>
      </c>
      <c r="CT18">
        <v>50.014000000000003</v>
      </c>
      <c r="CU18">
        <v>49.771999999999998</v>
      </c>
      <c r="CV18">
        <v>49.804000000000002</v>
      </c>
      <c r="CW18">
        <v>49.285967741935501</v>
      </c>
      <c r="CX18">
        <v>51.0741935483871</v>
      </c>
      <c r="CY18">
        <v>2155.4538709677399</v>
      </c>
      <c r="CZ18">
        <v>39.515161290322602</v>
      </c>
      <c r="DA18">
        <v>0</v>
      </c>
      <c r="DB18">
        <v>386.5</v>
      </c>
      <c r="DC18">
        <v>282.55042307692298</v>
      </c>
      <c r="DD18">
        <v>-5.3000000026643299</v>
      </c>
      <c r="DE18">
        <v>-136.89264960628401</v>
      </c>
      <c r="DF18">
        <v>7042.9073076923096</v>
      </c>
      <c r="DG18">
        <v>15</v>
      </c>
      <c r="DH18">
        <v>1592250647.3</v>
      </c>
      <c r="DI18" t="s">
        <v>292</v>
      </c>
      <c r="DJ18">
        <v>58</v>
      </c>
      <c r="DK18">
        <v>-0.33100000000000002</v>
      </c>
      <c r="DL18">
        <v>5.8000000000000003E-2</v>
      </c>
      <c r="DM18">
        <v>400</v>
      </c>
      <c r="DN18">
        <v>13</v>
      </c>
      <c r="DO18">
        <v>0.21</v>
      </c>
      <c r="DP18">
        <v>0.04</v>
      </c>
      <c r="DQ18">
        <v>-10.0370213461538</v>
      </c>
      <c r="DR18">
        <v>9.3745102448250003E-2</v>
      </c>
      <c r="DS18">
        <v>4.5219569284379403E-2</v>
      </c>
      <c r="DT18">
        <v>1</v>
      </c>
      <c r="DU18">
        <v>1.99387192307692</v>
      </c>
      <c r="DV18">
        <v>-5.17728733282816E-2</v>
      </c>
      <c r="DW18">
        <v>6.6019918435101703E-3</v>
      </c>
      <c r="DX18">
        <v>1</v>
      </c>
      <c r="DY18">
        <v>2</v>
      </c>
      <c r="DZ18">
        <v>2</v>
      </c>
      <c r="EA18" t="s">
        <v>293</v>
      </c>
      <c r="EB18">
        <v>1.8666400000000001</v>
      </c>
      <c r="EC18">
        <v>1.8632299999999999</v>
      </c>
      <c r="ED18">
        <v>1.8688</v>
      </c>
      <c r="EE18">
        <v>1.86676</v>
      </c>
      <c r="EF18">
        <v>1.87147</v>
      </c>
      <c r="EG18">
        <v>1.86388</v>
      </c>
      <c r="EH18">
        <v>1.8653900000000001</v>
      </c>
      <c r="EI18">
        <v>1.86537</v>
      </c>
      <c r="EJ18" t="s">
        <v>284</v>
      </c>
      <c r="EK18" t="s">
        <v>19</v>
      </c>
      <c r="EL18" t="s">
        <v>19</v>
      </c>
      <c r="EM18" t="s">
        <v>19</v>
      </c>
      <c r="EN18" t="s">
        <v>285</v>
      </c>
      <c r="EO18" t="s">
        <v>286</v>
      </c>
      <c r="EP18" t="s">
        <v>287</v>
      </c>
      <c r="EQ18" t="s">
        <v>287</v>
      </c>
      <c r="ER18" t="s">
        <v>287</v>
      </c>
      <c r="ES18" t="s">
        <v>287</v>
      </c>
      <c r="ET18">
        <v>0</v>
      </c>
      <c r="EU18">
        <v>100</v>
      </c>
      <c r="EV18">
        <v>100</v>
      </c>
      <c r="EW18">
        <v>-0.33100000000000002</v>
      </c>
      <c r="EX18">
        <v>5.8000000000000003E-2</v>
      </c>
      <c r="EY18">
        <v>2</v>
      </c>
      <c r="EZ18">
        <v>344.42399999999998</v>
      </c>
      <c r="FA18">
        <v>475.66300000000001</v>
      </c>
      <c r="FB18">
        <v>18.2606</v>
      </c>
      <c r="FC18">
        <v>35.470399999999998</v>
      </c>
      <c r="FD18">
        <v>30.0014</v>
      </c>
      <c r="FE18">
        <v>35.195999999999998</v>
      </c>
      <c r="FF18">
        <v>35.151899999999998</v>
      </c>
      <c r="FG18">
        <v>22.491</v>
      </c>
      <c r="FH18">
        <v>0</v>
      </c>
      <c r="FI18">
        <v>100</v>
      </c>
      <c r="FJ18">
        <v>13.5802</v>
      </c>
      <c r="FK18">
        <v>400</v>
      </c>
      <c r="FL18">
        <v>17.0397</v>
      </c>
      <c r="FM18">
        <v>100.663</v>
      </c>
      <c r="FN18">
        <v>100.779</v>
      </c>
    </row>
    <row r="19" spans="1:170" x14ac:dyDescent="0.25">
      <c r="A19">
        <v>3</v>
      </c>
      <c r="B19">
        <v>1592250768.8</v>
      </c>
      <c r="C19">
        <v>536.09999990463302</v>
      </c>
      <c r="D19" t="s">
        <v>294</v>
      </c>
      <c r="E19" t="s">
        <v>295</v>
      </c>
      <c r="G19">
        <v>1592250760.8</v>
      </c>
      <c r="H19">
        <f t="shared" si="0"/>
        <v>5.171754829809333E-3</v>
      </c>
      <c r="I19">
        <f t="shared" si="1"/>
        <v>17.016097515886194</v>
      </c>
      <c r="J19">
        <f t="shared" si="2"/>
        <v>292.60283870967697</v>
      </c>
      <c r="K19">
        <f t="shared" si="3"/>
        <v>166.7340104760965</v>
      </c>
      <c r="L19">
        <f t="shared" si="4"/>
        <v>16.724879264374881</v>
      </c>
      <c r="M19">
        <f t="shared" si="5"/>
        <v>29.350623402261935</v>
      </c>
      <c r="N19">
        <f t="shared" si="6"/>
        <v>0.23911157879224479</v>
      </c>
      <c r="O19">
        <f t="shared" si="7"/>
        <v>3.4048343270566646</v>
      </c>
      <c r="P19">
        <f t="shared" si="8"/>
        <v>0.23015909047500915</v>
      </c>
      <c r="Q19">
        <f t="shared" si="9"/>
        <v>0.14462585022438898</v>
      </c>
      <c r="R19">
        <f t="shared" si="10"/>
        <v>353.33898758862614</v>
      </c>
      <c r="S19">
        <f t="shared" si="11"/>
        <v>26.844634552297677</v>
      </c>
      <c r="T19">
        <f t="shared" si="12"/>
        <v>27.319764516128998</v>
      </c>
      <c r="U19">
        <f t="shared" si="13"/>
        <v>3.6469318602399792</v>
      </c>
      <c r="V19">
        <f t="shared" si="14"/>
        <v>42.467353422825781</v>
      </c>
      <c r="W19">
        <f t="shared" si="15"/>
        <v>1.4502269409487147</v>
      </c>
      <c r="X19">
        <f t="shared" si="16"/>
        <v>3.4149218730669291</v>
      </c>
      <c r="Y19">
        <f t="shared" si="17"/>
        <v>2.1967049192912644</v>
      </c>
      <c r="Z19">
        <f t="shared" si="18"/>
        <v>-228.07438799459158</v>
      </c>
      <c r="AA19">
        <f t="shared" si="19"/>
        <v>-205.06949842727749</v>
      </c>
      <c r="AB19">
        <f t="shared" si="20"/>
        <v>-12.967132993061858</v>
      </c>
      <c r="AC19">
        <f t="shared" si="21"/>
        <v>-92.772031826304783</v>
      </c>
      <c r="AD19">
        <v>-4.1522712666984603E-2</v>
      </c>
      <c r="AE19">
        <v>4.6612882558106403E-2</v>
      </c>
      <c r="AF19">
        <v>3.47769941260839</v>
      </c>
      <c r="AG19">
        <v>133</v>
      </c>
      <c r="AH19">
        <v>27</v>
      </c>
      <c r="AI19">
        <f t="shared" si="22"/>
        <v>1</v>
      </c>
      <c r="AJ19">
        <f t="shared" si="23"/>
        <v>0</v>
      </c>
      <c r="AK19">
        <f t="shared" si="24"/>
        <v>53088.611609408377</v>
      </c>
      <c r="AL19">
        <v>0</v>
      </c>
      <c r="AM19">
        <v>0</v>
      </c>
      <c r="AN19">
        <v>0</v>
      </c>
      <c r="AO19">
        <f t="shared" si="25"/>
        <v>0</v>
      </c>
      <c r="AP19" t="e">
        <f t="shared" si="26"/>
        <v>#DIV/0!</v>
      </c>
      <c r="AQ19">
        <v>-1</v>
      </c>
      <c r="AR19" t="s">
        <v>296</v>
      </c>
      <c r="AS19">
        <v>264.81046153846199</v>
      </c>
      <c r="AT19">
        <v>346.36399999999998</v>
      </c>
      <c r="AU19">
        <f t="shared" si="27"/>
        <v>0.23545616305833739</v>
      </c>
      <c r="AV19">
        <v>0.5</v>
      </c>
      <c r="AW19">
        <f t="shared" si="28"/>
        <v>1849.189592658927</v>
      </c>
      <c r="AX19">
        <f t="shared" si="29"/>
        <v>17.016097515886194</v>
      </c>
      <c r="AY19">
        <f t="shared" si="30"/>
        <v>217.7015431274404</v>
      </c>
      <c r="AZ19">
        <f t="shared" si="31"/>
        <v>0.44688247046459784</v>
      </c>
      <c r="BA19">
        <f t="shared" si="32"/>
        <v>9.7426989571042684E-3</v>
      </c>
      <c r="BB19">
        <f t="shared" si="33"/>
        <v>-1</v>
      </c>
      <c r="BC19" t="s">
        <v>297</v>
      </c>
      <c r="BD19">
        <v>191.58</v>
      </c>
      <c r="BE19">
        <f t="shared" si="34"/>
        <v>154.78399999999996</v>
      </c>
      <c r="BF19">
        <f t="shared" si="35"/>
        <v>0.52688610232025279</v>
      </c>
      <c r="BG19">
        <f t="shared" si="36"/>
        <v>1.8079340223405362</v>
      </c>
      <c r="BH19">
        <f t="shared" si="37"/>
        <v>0.23545616305833744</v>
      </c>
      <c r="BI19" t="e">
        <f t="shared" si="38"/>
        <v>#DIV/0!</v>
      </c>
      <c r="BJ19">
        <v>3729</v>
      </c>
      <c r="BK19">
        <v>300</v>
      </c>
      <c r="BL19">
        <v>300</v>
      </c>
      <c r="BM19">
        <v>300</v>
      </c>
      <c r="BN19">
        <v>9869.43</v>
      </c>
      <c r="BO19">
        <v>322.28800000000001</v>
      </c>
      <c r="BP19">
        <v>-6.4008099999999998E-3</v>
      </c>
      <c r="BQ19">
        <v>0.316772</v>
      </c>
      <c r="BR19">
        <f t="shared" si="39"/>
        <v>2200.0048387096799</v>
      </c>
      <c r="BS19">
        <f t="shared" si="40"/>
        <v>1849.189592658927</v>
      </c>
      <c r="BT19">
        <f t="shared" si="41"/>
        <v>0.84053887524333415</v>
      </c>
      <c r="BU19">
        <f t="shared" si="42"/>
        <v>0.19107775048666825</v>
      </c>
      <c r="BV19">
        <v>0.5</v>
      </c>
      <c r="BW19" t="s">
        <v>281</v>
      </c>
      <c r="BX19">
        <v>1592250760.8</v>
      </c>
      <c r="BY19">
        <v>292.60283870967697</v>
      </c>
      <c r="BZ19">
        <v>300.01387096774198</v>
      </c>
      <c r="CA19">
        <v>14.4576322580645</v>
      </c>
      <c r="CB19">
        <v>12.419035483870999</v>
      </c>
      <c r="CC19">
        <v>500.04822580645202</v>
      </c>
      <c r="CD19">
        <v>100.10874193548401</v>
      </c>
      <c r="CE19">
        <v>0.20000261290322599</v>
      </c>
      <c r="CF19">
        <v>26.2025935483871</v>
      </c>
      <c r="CG19">
        <v>27.319764516128998</v>
      </c>
      <c r="CH19">
        <v>999.9</v>
      </c>
      <c r="CI19">
        <v>10002.5270967742</v>
      </c>
      <c r="CJ19">
        <v>0</v>
      </c>
      <c r="CK19">
        <v>75.789396774193506</v>
      </c>
      <c r="CL19">
        <v>2200.0048387096799</v>
      </c>
      <c r="CM19">
        <v>0.98199812903225803</v>
      </c>
      <c r="CN19">
        <v>1.8002264516129001E-2</v>
      </c>
      <c r="CO19">
        <v>0</v>
      </c>
      <c r="CP19">
        <v>264.84016129032301</v>
      </c>
      <c r="CQ19">
        <v>5.00054</v>
      </c>
      <c r="CR19">
        <v>6656.88516129032</v>
      </c>
      <c r="CS19">
        <v>20590.5516129032</v>
      </c>
      <c r="CT19">
        <v>50.045999999999999</v>
      </c>
      <c r="CU19">
        <v>49.816064516129003</v>
      </c>
      <c r="CV19">
        <v>49.838419354838699</v>
      </c>
      <c r="CW19">
        <v>49.269838709677401</v>
      </c>
      <c r="CX19">
        <v>51.066064516129003</v>
      </c>
      <c r="CY19">
        <v>2155.4941935483898</v>
      </c>
      <c r="CZ19">
        <v>39.517741935483897</v>
      </c>
      <c r="DA19">
        <v>0</v>
      </c>
      <c r="DB19">
        <v>147.799999952316</v>
      </c>
      <c r="DC19">
        <v>264.81046153846199</v>
      </c>
      <c r="DD19">
        <v>-2.8114871746143</v>
      </c>
      <c r="DE19">
        <v>-70.381196471205897</v>
      </c>
      <c r="DF19">
        <v>6656.5473076923099</v>
      </c>
      <c r="DG19">
        <v>15</v>
      </c>
      <c r="DH19">
        <v>1592250792.3</v>
      </c>
      <c r="DI19" t="s">
        <v>298</v>
      </c>
      <c r="DJ19">
        <v>59</v>
      </c>
      <c r="DK19">
        <v>-0.27400000000000002</v>
      </c>
      <c r="DL19">
        <v>5.1999999999999998E-2</v>
      </c>
      <c r="DM19">
        <v>300</v>
      </c>
      <c r="DN19">
        <v>12</v>
      </c>
      <c r="DO19">
        <v>0.35</v>
      </c>
      <c r="DP19">
        <v>0.04</v>
      </c>
      <c r="DQ19">
        <v>-7.4481884615384599</v>
      </c>
      <c r="DR19">
        <v>-0.183499086485123</v>
      </c>
      <c r="DS19">
        <v>3.1822372112460501E-2</v>
      </c>
      <c r="DT19">
        <v>1</v>
      </c>
      <c r="DU19">
        <v>2.0420213461538501</v>
      </c>
      <c r="DV19">
        <v>2.6437752924103101E-2</v>
      </c>
      <c r="DW19">
        <v>3.4503706762106698E-3</v>
      </c>
      <c r="DX19">
        <v>1</v>
      </c>
      <c r="DY19">
        <v>2</v>
      </c>
      <c r="DZ19">
        <v>2</v>
      </c>
      <c r="EA19" t="s">
        <v>293</v>
      </c>
      <c r="EB19">
        <v>1.86663</v>
      </c>
      <c r="EC19">
        <v>1.8631800000000001</v>
      </c>
      <c r="ED19">
        <v>1.8688</v>
      </c>
      <c r="EE19">
        <v>1.86676</v>
      </c>
      <c r="EF19">
        <v>1.8714500000000001</v>
      </c>
      <c r="EG19">
        <v>1.8638600000000001</v>
      </c>
      <c r="EH19">
        <v>1.8653900000000001</v>
      </c>
      <c r="EI19">
        <v>1.8653299999999999</v>
      </c>
      <c r="EJ19" t="s">
        <v>284</v>
      </c>
      <c r="EK19" t="s">
        <v>19</v>
      </c>
      <c r="EL19" t="s">
        <v>19</v>
      </c>
      <c r="EM19" t="s">
        <v>19</v>
      </c>
      <c r="EN19" t="s">
        <v>285</v>
      </c>
      <c r="EO19" t="s">
        <v>286</v>
      </c>
      <c r="EP19" t="s">
        <v>287</v>
      </c>
      <c r="EQ19" t="s">
        <v>287</v>
      </c>
      <c r="ER19" t="s">
        <v>287</v>
      </c>
      <c r="ES19" t="s">
        <v>287</v>
      </c>
      <c r="ET19">
        <v>0</v>
      </c>
      <c r="EU19">
        <v>100</v>
      </c>
      <c r="EV19">
        <v>100</v>
      </c>
      <c r="EW19">
        <v>-0.27400000000000002</v>
      </c>
      <c r="EX19">
        <v>5.1999999999999998E-2</v>
      </c>
      <c r="EY19">
        <v>2</v>
      </c>
      <c r="EZ19">
        <v>347.904</v>
      </c>
      <c r="FA19">
        <v>475.23500000000001</v>
      </c>
      <c r="FB19">
        <v>18.1568</v>
      </c>
      <c r="FC19">
        <v>35.766599999999997</v>
      </c>
      <c r="FD19">
        <v>30.000399999999999</v>
      </c>
      <c r="FE19">
        <v>35.511299999999999</v>
      </c>
      <c r="FF19">
        <v>35.458799999999997</v>
      </c>
      <c r="FG19">
        <v>17.951499999999999</v>
      </c>
      <c r="FH19">
        <v>0</v>
      </c>
      <c r="FI19">
        <v>100</v>
      </c>
      <c r="FJ19">
        <v>12.968500000000001</v>
      </c>
      <c r="FK19">
        <v>300</v>
      </c>
      <c r="FL19">
        <v>17.0397</v>
      </c>
      <c r="FM19">
        <v>100.605</v>
      </c>
      <c r="FN19">
        <v>100.71899999999999</v>
      </c>
    </row>
    <row r="20" spans="1:170" x14ac:dyDescent="0.25">
      <c r="A20">
        <v>4</v>
      </c>
      <c r="B20">
        <v>1592250913.8</v>
      </c>
      <c r="C20">
        <v>681.09999990463302</v>
      </c>
      <c r="D20" t="s">
        <v>299</v>
      </c>
      <c r="E20" t="s">
        <v>300</v>
      </c>
      <c r="G20">
        <v>1592250905.8</v>
      </c>
      <c r="H20">
        <f t="shared" si="0"/>
        <v>5.5645284954066784E-3</v>
      </c>
      <c r="I20">
        <f t="shared" si="1"/>
        <v>10.907673168250545</v>
      </c>
      <c r="J20">
        <f t="shared" si="2"/>
        <v>195.21451612903201</v>
      </c>
      <c r="K20">
        <f t="shared" si="3"/>
        <v>118.82029385789723</v>
      </c>
      <c r="L20">
        <f t="shared" si="4"/>
        <v>11.918187156294525</v>
      </c>
      <c r="M20">
        <f t="shared" si="5"/>
        <v>19.580856630718095</v>
      </c>
      <c r="N20">
        <f t="shared" si="6"/>
        <v>0.2555405017175838</v>
      </c>
      <c r="O20">
        <f t="shared" si="7"/>
        <v>3.402521964486465</v>
      </c>
      <c r="P20">
        <f t="shared" si="8"/>
        <v>0.24533711228362715</v>
      </c>
      <c r="Q20">
        <f t="shared" si="9"/>
        <v>0.15421848200505914</v>
      </c>
      <c r="R20">
        <f t="shared" si="10"/>
        <v>353.33351452419441</v>
      </c>
      <c r="S20">
        <f t="shared" si="11"/>
        <v>26.780398022146166</v>
      </c>
      <c r="T20">
        <f t="shared" si="12"/>
        <v>27.254519354838699</v>
      </c>
      <c r="U20">
        <f t="shared" si="13"/>
        <v>3.6330133110116534</v>
      </c>
      <c r="V20">
        <f t="shared" si="14"/>
        <v>41.38373218689749</v>
      </c>
      <c r="W20">
        <f t="shared" si="15"/>
        <v>1.4152461990118288</v>
      </c>
      <c r="X20">
        <f t="shared" si="16"/>
        <v>3.4198128690285459</v>
      </c>
      <c r="Y20">
        <f t="shared" si="17"/>
        <v>2.2177671119998248</v>
      </c>
      <c r="Z20">
        <f t="shared" si="18"/>
        <v>-245.39570664743451</v>
      </c>
      <c r="AA20">
        <f t="shared" si="19"/>
        <v>-188.51796251633243</v>
      </c>
      <c r="AB20">
        <f t="shared" si="20"/>
        <v>-11.926178424998996</v>
      </c>
      <c r="AC20">
        <f t="shared" si="21"/>
        <v>-92.50633306457155</v>
      </c>
      <c r="AD20">
        <v>-4.1486849160635803E-2</v>
      </c>
      <c r="AE20">
        <v>4.6572622630414097E-2</v>
      </c>
      <c r="AF20">
        <v>3.47532411586818</v>
      </c>
      <c r="AG20">
        <v>139</v>
      </c>
      <c r="AH20">
        <v>28</v>
      </c>
      <c r="AI20">
        <f t="shared" si="22"/>
        <v>1</v>
      </c>
      <c r="AJ20">
        <f t="shared" si="23"/>
        <v>0</v>
      </c>
      <c r="AK20">
        <f t="shared" si="24"/>
        <v>53040.239291100726</v>
      </c>
      <c r="AL20">
        <v>0</v>
      </c>
      <c r="AM20">
        <v>0</v>
      </c>
      <c r="AN20">
        <v>0</v>
      </c>
      <c r="AO20">
        <f t="shared" si="25"/>
        <v>0</v>
      </c>
      <c r="AP20" t="e">
        <f t="shared" si="26"/>
        <v>#DIV/0!</v>
      </c>
      <c r="AQ20">
        <v>-1</v>
      </c>
      <c r="AR20" t="s">
        <v>301</v>
      </c>
      <c r="AS20">
        <v>257.47884615384601</v>
      </c>
      <c r="AT20">
        <v>322.45299999999997</v>
      </c>
      <c r="AU20">
        <f t="shared" si="27"/>
        <v>0.20149961031888053</v>
      </c>
      <c r="AV20">
        <v>0.5</v>
      </c>
      <c r="AW20">
        <f t="shared" si="28"/>
        <v>1849.162809386477</v>
      </c>
      <c r="AX20">
        <f t="shared" si="29"/>
        <v>10.907673168250545</v>
      </c>
      <c r="AY20">
        <f t="shared" si="30"/>
        <v>186.30279275377072</v>
      </c>
      <c r="AZ20">
        <f t="shared" si="31"/>
        <v>0.39594297463506306</v>
      </c>
      <c r="BA20">
        <f t="shared" si="32"/>
        <v>6.4394941904554756E-3</v>
      </c>
      <c r="BB20">
        <f t="shared" si="33"/>
        <v>-1</v>
      </c>
      <c r="BC20" t="s">
        <v>302</v>
      </c>
      <c r="BD20">
        <v>194.78</v>
      </c>
      <c r="BE20">
        <f t="shared" si="34"/>
        <v>127.67299999999997</v>
      </c>
      <c r="BF20">
        <f t="shared" si="35"/>
        <v>0.50891068468786649</v>
      </c>
      <c r="BG20">
        <f t="shared" si="36"/>
        <v>1.6554728411541224</v>
      </c>
      <c r="BH20">
        <f t="shared" si="37"/>
        <v>0.2014996103188805</v>
      </c>
      <c r="BI20" t="e">
        <f t="shared" si="38"/>
        <v>#DIV/0!</v>
      </c>
      <c r="BJ20">
        <v>3731</v>
      </c>
      <c r="BK20">
        <v>300</v>
      </c>
      <c r="BL20">
        <v>300</v>
      </c>
      <c r="BM20">
        <v>300</v>
      </c>
      <c r="BN20">
        <v>9869.1200000000008</v>
      </c>
      <c r="BO20">
        <v>305.726</v>
      </c>
      <c r="BP20">
        <v>-6.4004999999999999E-3</v>
      </c>
      <c r="BQ20">
        <v>0.63961800000000002</v>
      </c>
      <c r="BR20">
        <f t="shared" si="39"/>
        <v>2199.97322580645</v>
      </c>
      <c r="BS20">
        <f t="shared" si="40"/>
        <v>1849.162809386477</v>
      </c>
      <c r="BT20">
        <f t="shared" si="41"/>
        <v>0.84053877915201647</v>
      </c>
      <c r="BU20">
        <f t="shared" si="42"/>
        <v>0.19107755830403322</v>
      </c>
      <c r="BV20">
        <v>0.5</v>
      </c>
      <c r="BW20" t="s">
        <v>281</v>
      </c>
      <c r="BX20">
        <v>1592250905.8</v>
      </c>
      <c r="BY20">
        <v>195.21451612903201</v>
      </c>
      <c r="BZ20">
        <v>200.01164516129001</v>
      </c>
      <c r="CA20">
        <v>14.1095258064516</v>
      </c>
      <c r="CB20">
        <v>11.9153258064516</v>
      </c>
      <c r="CC20">
        <v>500.04700000000003</v>
      </c>
      <c r="CD20">
        <v>100.10429032258099</v>
      </c>
      <c r="CE20">
        <v>0.200016032258064</v>
      </c>
      <c r="CF20">
        <v>26.2268193548387</v>
      </c>
      <c r="CG20">
        <v>27.254519354838699</v>
      </c>
      <c r="CH20">
        <v>999.9</v>
      </c>
      <c r="CI20">
        <v>9994.3322580645199</v>
      </c>
      <c r="CJ20">
        <v>0</v>
      </c>
      <c r="CK20">
        <v>76.2334483870968</v>
      </c>
      <c r="CL20">
        <v>2199.97322580645</v>
      </c>
      <c r="CM20">
        <v>0.98199838709677401</v>
      </c>
      <c r="CN20">
        <v>1.80019935483871E-2</v>
      </c>
      <c r="CO20">
        <v>0</v>
      </c>
      <c r="CP20">
        <v>257.49064516128999</v>
      </c>
      <c r="CQ20">
        <v>5.00054</v>
      </c>
      <c r="CR20">
        <v>6482.16612903226</v>
      </c>
      <c r="CS20">
        <v>20590.267741935499</v>
      </c>
      <c r="CT20">
        <v>50.036000000000001</v>
      </c>
      <c r="CU20">
        <v>49.896999999999998</v>
      </c>
      <c r="CV20">
        <v>49.887</v>
      </c>
      <c r="CW20">
        <v>49.304193548387097</v>
      </c>
      <c r="CX20">
        <v>51.04</v>
      </c>
      <c r="CY20">
        <v>2155.4632258064498</v>
      </c>
      <c r="CZ20">
        <v>39.51</v>
      </c>
      <c r="DA20">
        <v>0</v>
      </c>
      <c r="DB20">
        <v>144.200000047684</v>
      </c>
      <c r="DC20">
        <v>257.47884615384601</v>
      </c>
      <c r="DD20">
        <v>-0.98208546493900695</v>
      </c>
      <c r="DE20">
        <v>-32.469401657157903</v>
      </c>
      <c r="DF20">
        <v>6481.9680769230799</v>
      </c>
      <c r="DG20">
        <v>15</v>
      </c>
      <c r="DH20">
        <v>1592250940.3</v>
      </c>
      <c r="DI20" t="s">
        <v>303</v>
      </c>
      <c r="DJ20">
        <v>60</v>
      </c>
      <c r="DK20">
        <v>-0.3</v>
      </c>
      <c r="DL20">
        <v>4.7E-2</v>
      </c>
      <c r="DM20">
        <v>200</v>
      </c>
      <c r="DN20">
        <v>12</v>
      </c>
      <c r="DO20">
        <v>0.51</v>
      </c>
      <c r="DP20">
        <v>0.04</v>
      </c>
      <c r="DQ20">
        <v>-4.7474680769230799</v>
      </c>
      <c r="DR20">
        <v>-0.28166324596602799</v>
      </c>
      <c r="DS20">
        <v>4.43605802590223E-2</v>
      </c>
      <c r="DT20">
        <v>1</v>
      </c>
      <c r="DU20">
        <v>2.1917673076923099</v>
      </c>
      <c r="DV20">
        <v>8.2015128489711001E-2</v>
      </c>
      <c r="DW20">
        <v>1.02981286790339E-2</v>
      </c>
      <c r="DX20">
        <v>1</v>
      </c>
      <c r="DY20">
        <v>2</v>
      </c>
      <c r="DZ20">
        <v>2</v>
      </c>
      <c r="EA20" t="s">
        <v>293</v>
      </c>
      <c r="EB20">
        <v>1.8666100000000001</v>
      </c>
      <c r="EC20">
        <v>1.8632</v>
      </c>
      <c r="ED20">
        <v>1.86876</v>
      </c>
      <c r="EE20">
        <v>1.86676</v>
      </c>
      <c r="EF20">
        <v>1.87147</v>
      </c>
      <c r="EG20">
        <v>1.8638600000000001</v>
      </c>
      <c r="EH20">
        <v>1.8653900000000001</v>
      </c>
      <c r="EI20">
        <v>1.8652899999999999</v>
      </c>
      <c r="EJ20" t="s">
        <v>284</v>
      </c>
      <c r="EK20" t="s">
        <v>19</v>
      </c>
      <c r="EL20" t="s">
        <v>19</v>
      </c>
      <c r="EM20" t="s">
        <v>19</v>
      </c>
      <c r="EN20" t="s">
        <v>285</v>
      </c>
      <c r="EO20" t="s">
        <v>286</v>
      </c>
      <c r="EP20" t="s">
        <v>287</v>
      </c>
      <c r="EQ20" t="s">
        <v>287</v>
      </c>
      <c r="ER20" t="s">
        <v>287</v>
      </c>
      <c r="ES20" t="s">
        <v>287</v>
      </c>
      <c r="ET20">
        <v>0</v>
      </c>
      <c r="EU20">
        <v>100</v>
      </c>
      <c r="EV20">
        <v>100</v>
      </c>
      <c r="EW20">
        <v>-0.3</v>
      </c>
      <c r="EX20">
        <v>4.7E-2</v>
      </c>
      <c r="EY20">
        <v>2</v>
      </c>
      <c r="EZ20">
        <v>341.35700000000003</v>
      </c>
      <c r="FA20">
        <v>475.39800000000002</v>
      </c>
      <c r="FB20">
        <v>18.157699999999998</v>
      </c>
      <c r="FC20">
        <v>35.9069</v>
      </c>
      <c r="FD20">
        <v>30.000699999999998</v>
      </c>
      <c r="FE20">
        <v>35.700600000000001</v>
      </c>
      <c r="FF20">
        <v>35.659199999999998</v>
      </c>
      <c r="FG20">
        <v>13.223599999999999</v>
      </c>
      <c r="FH20">
        <v>0</v>
      </c>
      <c r="FI20">
        <v>100</v>
      </c>
      <c r="FJ20">
        <v>12.614699999999999</v>
      </c>
      <c r="FK20">
        <v>200</v>
      </c>
      <c r="FL20">
        <v>17.0397</v>
      </c>
      <c r="FM20">
        <v>100.581</v>
      </c>
      <c r="FN20">
        <v>100.691</v>
      </c>
    </row>
    <row r="21" spans="1:170" x14ac:dyDescent="0.25">
      <c r="A21">
        <v>5</v>
      </c>
      <c r="B21">
        <v>1592251061.8</v>
      </c>
      <c r="C21">
        <v>829.09999990463302</v>
      </c>
      <c r="D21" t="s">
        <v>304</v>
      </c>
      <c r="E21" t="s">
        <v>305</v>
      </c>
      <c r="G21">
        <v>1592251053.8</v>
      </c>
      <c r="H21">
        <f t="shared" si="0"/>
        <v>6.0531711983705409E-3</v>
      </c>
      <c r="I21">
        <f t="shared" si="1"/>
        <v>4.0065808267957514</v>
      </c>
      <c r="J21">
        <f t="shared" si="2"/>
        <v>98.161293548387107</v>
      </c>
      <c r="K21">
        <f t="shared" si="3"/>
        <v>71.31849978967675</v>
      </c>
      <c r="L21">
        <f t="shared" si="4"/>
        <v>7.153079720294369</v>
      </c>
      <c r="M21">
        <f t="shared" si="5"/>
        <v>9.8453495273952232</v>
      </c>
      <c r="N21">
        <f t="shared" si="6"/>
        <v>0.27989756441280317</v>
      </c>
      <c r="O21">
        <f t="shared" si="7"/>
        <v>3.4039634534463992</v>
      </c>
      <c r="P21">
        <f t="shared" si="8"/>
        <v>0.26771119423684492</v>
      </c>
      <c r="Q21">
        <f t="shared" si="9"/>
        <v>0.16837017671452578</v>
      </c>
      <c r="R21">
        <f t="shared" si="10"/>
        <v>353.33511051839116</v>
      </c>
      <c r="S21">
        <f t="shared" si="11"/>
        <v>26.688064226689967</v>
      </c>
      <c r="T21">
        <f t="shared" si="12"/>
        <v>27.133216129032299</v>
      </c>
      <c r="U21">
        <f t="shared" si="13"/>
        <v>3.6072592573334337</v>
      </c>
      <c r="V21">
        <f t="shared" si="14"/>
        <v>40.776997771866142</v>
      </c>
      <c r="W21">
        <f t="shared" si="15"/>
        <v>1.3960100149606007</v>
      </c>
      <c r="X21">
        <f t="shared" si="16"/>
        <v>3.4235232882293505</v>
      </c>
      <c r="Y21">
        <f t="shared" si="17"/>
        <v>2.2112492423728329</v>
      </c>
      <c r="Z21">
        <f t="shared" si="18"/>
        <v>-266.94484984814085</v>
      </c>
      <c r="AA21">
        <f t="shared" si="19"/>
        <v>-162.96795998580384</v>
      </c>
      <c r="AB21">
        <f t="shared" si="20"/>
        <v>-10.300131394209238</v>
      </c>
      <c r="AC21">
        <f t="shared" si="21"/>
        <v>-86.877830709762776</v>
      </c>
      <c r="AD21">
        <v>-4.1509204584750499E-2</v>
      </c>
      <c r="AE21">
        <v>4.6597718552425602E-2</v>
      </c>
      <c r="AF21">
        <v>3.47680483468055</v>
      </c>
      <c r="AG21">
        <v>141</v>
      </c>
      <c r="AH21">
        <v>28</v>
      </c>
      <c r="AI21">
        <f t="shared" si="22"/>
        <v>1</v>
      </c>
      <c r="AJ21">
        <f t="shared" si="23"/>
        <v>0</v>
      </c>
      <c r="AK21">
        <f t="shared" si="24"/>
        <v>53064.255012250069</v>
      </c>
      <c r="AL21">
        <v>0</v>
      </c>
      <c r="AM21">
        <v>0</v>
      </c>
      <c r="AN21">
        <v>0</v>
      </c>
      <c r="AO21">
        <f t="shared" si="25"/>
        <v>0</v>
      </c>
      <c r="AP21" t="e">
        <f t="shared" si="26"/>
        <v>#DIV/0!</v>
      </c>
      <c r="AQ21">
        <v>-1</v>
      </c>
      <c r="AR21" t="s">
        <v>306</v>
      </c>
      <c r="AS21">
        <v>254.97011538461501</v>
      </c>
      <c r="AT21">
        <v>311.33</v>
      </c>
      <c r="AU21">
        <f t="shared" si="27"/>
        <v>0.18102940486103158</v>
      </c>
      <c r="AV21">
        <v>0.5</v>
      </c>
      <c r="AW21">
        <f t="shared" si="28"/>
        <v>1849.171209386478</v>
      </c>
      <c r="AX21">
        <f t="shared" si="29"/>
        <v>4.0065808267957514</v>
      </c>
      <c r="AY21">
        <f t="shared" si="30"/>
        <v>167.37718176069407</v>
      </c>
      <c r="AZ21">
        <f t="shared" si="31"/>
        <v>0.37314104005396204</v>
      </c>
      <c r="BA21">
        <f t="shared" si="32"/>
        <v>2.7074728404715134E-3</v>
      </c>
      <c r="BB21">
        <f t="shared" si="33"/>
        <v>-1</v>
      </c>
      <c r="BC21" t="s">
        <v>307</v>
      </c>
      <c r="BD21">
        <v>195.16</v>
      </c>
      <c r="BE21">
        <f t="shared" si="34"/>
        <v>116.16999999999999</v>
      </c>
      <c r="BF21">
        <f t="shared" si="35"/>
        <v>0.48515007846591185</v>
      </c>
      <c r="BG21">
        <f t="shared" si="36"/>
        <v>1.5952551752408279</v>
      </c>
      <c r="BH21">
        <f t="shared" si="37"/>
        <v>0.18102940486103161</v>
      </c>
      <c r="BI21" t="e">
        <f t="shared" si="38"/>
        <v>#DIV/0!</v>
      </c>
      <c r="BJ21">
        <v>3733</v>
      </c>
      <c r="BK21">
        <v>300</v>
      </c>
      <c r="BL21">
        <v>300</v>
      </c>
      <c r="BM21">
        <v>300</v>
      </c>
      <c r="BN21">
        <v>9867.8799999999992</v>
      </c>
      <c r="BO21">
        <v>294.24299999999999</v>
      </c>
      <c r="BP21">
        <v>-6.3995600000000003E-3</v>
      </c>
      <c r="BQ21">
        <v>0.495728</v>
      </c>
      <c r="BR21">
        <f t="shared" si="39"/>
        <v>2199.9832258064498</v>
      </c>
      <c r="BS21">
        <f t="shared" si="40"/>
        <v>1849.171209386478</v>
      </c>
      <c r="BT21">
        <f t="shared" si="41"/>
        <v>0.84053877670300225</v>
      </c>
      <c r="BU21">
        <f t="shared" si="42"/>
        <v>0.19107755340600477</v>
      </c>
      <c r="BV21">
        <v>0.5</v>
      </c>
      <c r="BW21" t="s">
        <v>281</v>
      </c>
      <c r="BX21">
        <v>1592251053.8</v>
      </c>
      <c r="BY21">
        <v>98.161293548387107</v>
      </c>
      <c r="BZ21">
        <v>100.001451612903</v>
      </c>
      <c r="CA21">
        <v>13.918667741935501</v>
      </c>
      <c r="CB21">
        <v>11.531293548387101</v>
      </c>
      <c r="CC21">
        <v>500.04051612903203</v>
      </c>
      <c r="CD21">
        <v>100.09767741935499</v>
      </c>
      <c r="CE21">
        <v>0.19999767741935501</v>
      </c>
      <c r="CF21">
        <v>26.2451774193548</v>
      </c>
      <c r="CG21">
        <v>27.133216129032299</v>
      </c>
      <c r="CH21">
        <v>999.9</v>
      </c>
      <c r="CI21">
        <v>10000.3783870968</v>
      </c>
      <c r="CJ21">
        <v>0</v>
      </c>
      <c r="CK21">
        <v>76.081222580645104</v>
      </c>
      <c r="CL21">
        <v>2199.9832258064498</v>
      </c>
      <c r="CM21">
        <v>0.98200025806451596</v>
      </c>
      <c r="CN21">
        <v>1.80000290322581E-2</v>
      </c>
      <c r="CO21">
        <v>0</v>
      </c>
      <c r="CP21">
        <v>254.971451612903</v>
      </c>
      <c r="CQ21">
        <v>5.00054</v>
      </c>
      <c r="CR21">
        <v>6426.3364516129004</v>
      </c>
      <c r="CS21">
        <v>20590.377419354802</v>
      </c>
      <c r="CT21">
        <v>50.179129032257997</v>
      </c>
      <c r="CU21">
        <v>50.215451612903202</v>
      </c>
      <c r="CV21">
        <v>50.125</v>
      </c>
      <c r="CW21">
        <v>49.527999999999999</v>
      </c>
      <c r="CX21">
        <v>51.237806451612897</v>
      </c>
      <c r="CY21">
        <v>2155.47322580645</v>
      </c>
      <c r="CZ21">
        <v>39.51</v>
      </c>
      <c r="DA21">
        <v>0</v>
      </c>
      <c r="DB21">
        <v>147.200000047684</v>
      </c>
      <c r="DC21">
        <v>254.97011538461501</v>
      </c>
      <c r="DD21">
        <v>-0.87552135581216906</v>
      </c>
      <c r="DE21">
        <v>-14.2868375764838</v>
      </c>
      <c r="DF21">
        <v>6426.2619230769196</v>
      </c>
      <c r="DG21">
        <v>15</v>
      </c>
      <c r="DH21">
        <v>1592251086.3</v>
      </c>
      <c r="DI21" t="s">
        <v>308</v>
      </c>
      <c r="DJ21">
        <v>61</v>
      </c>
      <c r="DK21">
        <v>-0.35899999999999999</v>
      </c>
      <c r="DL21">
        <v>4.3999999999999997E-2</v>
      </c>
      <c r="DM21">
        <v>100</v>
      </c>
      <c r="DN21">
        <v>11</v>
      </c>
      <c r="DO21">
        <v>0.2</v>
      </c>
      <c r="DP21">
        <v>0.04</v>
      </c>
      <c r="DQ21">
        <v>-1.7792288461538499</v>
      </c>
      <c r="DR21">
        <v>-2.7333731751048598E-2</v>
      </c>
      <c r="DS21">
        <v>1.9416786418521601E-2</v>
      </c>
      <c r="DT21">
        <v>1</v>
      </c>
      <c r="DU21">
        <v>2.38343403846154</v>
      </c>
      <c r="DV21">
        <v>7.4460906684881603E-2</v>
      </c>
      <c r="DW21">
        <v>9.3817415267871997E-3</v>
      </c>
      <c r="DX21">
        <v>1</v>
      </c>
      <c r="DY21">
        <v>2</v>
      </c>
      <c r="DZ21">
        <v>2</v>
      </c>
      <c r="EA21" t="s">
        <v>293</v>
      </c>
      <c r="EB21">
        <v>1.8666100000000001</v>
      </c>
      <c r="EC21">
        <v>1.86314</v>
      </c>
      <c r="ED21">
        <v>1.8687499999999999</v>
      </c>
      <c r="EE21">
        <v>1.86676</v>
      </c>
      <c r="EF21">
        <v>1.87141</v>
      </c>
      <c r="EG21">
        <v>1.8638600000000001</v>
      </c>
      <c r="EH21">
        <v>1.8653900000000001</v>
      </c>
      <c r="EI21">
        <v>1.8652599999999999</v>
      </c>
      <c r="EJ21" t="s">
        <v>284</v>
      </c>
      <c r="EK21" t="s">
        <v>19</v>
      </c>
      <c r="EL21" t="s">
        <v>19</v>
      </c>
      <c r="EM21" t="s">
        <v>19</v>
      </c>
      <c r="EN21" t="s">
        <v>285</v>
      </c>
      <c r="EO21" t="s">
        <v>286</v>
      </c>
      <c r="EP21" t="s">
        <v>287</v>
      </c>
      <c r="EQ21" t="s">
        <v>287</v>
      </c>
      <c r="ER21" t="s">
        <v>287</v>
      </c>
      <c r="ES21" t="s">
        <v>287</v>
      </c>
      <c r="ET21">
        <v>0</v>
      </c>
      <c r="EU21">
        <v>100</v>
      </c>
      <c r="EV21">
        <v>100</v>
      </c>
      <c r="EW21">
        <v>-0.35899999999999999</v>
      </c>
      <c r="EX21">
        <v>4.3999999999999997E-2</v>
      </c>
      <c r="EY21">
        <v>2</v>
      </c>
      <c r="EZ21">
        <v>339.91500000000002</v>
      </c>
      <c r="FA21">
        <v>474.37200000000001</v>
      </c>
      <c r="FB21">
        <v>18.201000000000001</v>
      </c>
      <c r="FC21">
        <v>36.172499999999999</v>
      </c>
      <c r="FD21">
        <v>30.001000000000001</v>
      </c>
      <c r="FE21">
        <v>35.967799999999997</v>
      </c>
      <c r="FF21">
        <v>35.928800000000003</v>
      </c>
      <c r="FG21">
        <v>8.3124199999999995</v>
      </c>
      <c r="FH21">
        <v>0</v>
      </c>
      <c r="FI21">
        <v>100</v>
      </c>
      <c r="FJ21">
        <v>13.927</v>
      </c>
      <c r="FK21">
        <v>100</v>
      </c>
      <c r="FL21">
        <v>17.0397</v>
      </c>
      <c r="FM21">
        <v>100.53100000000001</v>
      </c>
      <c r="FN21">
        <v>100.63200000000001</v>
      </c>
    </row>
    <row r="22" spans="1:170" x14ac:dyDescent="0.25">
      <c r="A22">
        <v>6</v>
      </c>
      <c r="B22">
        <v>1592251207.8</v>
      </c>
      <c r="C22">
        <v>975.09999990463302</v>
      </c>
      <c r="D22" t="s">
        <v>309</v>
      </c>
      <c r="E22" t="s">
        <v>310</v>
      </c>
      <c r="G22">
        <v>1592251199.8</v>
      </c>
      <c r="H22">
        <f t="shared" si="0"/>
        <v>6.65345891111552E-3</v>
      </c>
      <c r="I22">
        <f t="shared" si="1"/>
        <v>-2.9392625197548108E-2</v>
      </c>
      <c r="J22">
        <f t="shared" si="2"/>
        <v>49.876048387096802</v>
      </c>
      <c r="K22">
        <f t="shared" si="3"/>
        <v>48.260190250982411</v>
      </c>
      <c r="L22">
        <f t="shared" si="4"/>
        <v>4.8403757778501584</v>
      </c>
      <c r="M22">
        <f t="shared" si="5"/>
        <v>5.0024422873648202</v>
      </c>
      <c r="N22">
        <f t="shared" si="6"/>
        <v>0.30672931064667047</v>
      </c>
      <c r="O22">
        <f t="shared" si="7"/>
        <v>3.4046828826058437</v>
      </c>
      <c r="P22">
        <f t="shared" si="8"/>
        <v>0.2921627907372264</v>
      </c>
      <c r="Q22">
        <f t="shared" si="9"/>
        <v>0.18385282958798321</v>
      </c>
      <c r="R22">
        <f t="shared" si="10"/>
        <v>353.33531645312621</v>
      </c>
      <c r="S22">
        <f t="shared" si="11"/>
        <v>26.678037835162545</v>
      </c>
      <c r="T22">
        <f t="shared" si="12"/>
        <v>27.148235483871002</v>
      </c>
      <c r="U22">
        <f t="shared" si="13"/>
        <v>3.6104393683333003</v>
      </c>
      <c r="V22">
        <f t="shared" si="14"/>
        <v>40.104312537874961</v>
      </c>
      <c r="W22">
        <f t="shared" si="15"/>
        <v>1.3832129889431195</v>
      </c>
      <c r="X22">
        <f t="shared" si="16"/>
        <v>3.4490380246184191</v>
      </c>
      <c r="Y22">
        <f t="shared" si="17"/>
        <v>2.2272263793901805</v>
      </c>
      <c r="Z22">
        <f t="shared" si="18"/>
        <v>-293.41753798019442</v>
      </c>
      <c r="AA22">
        <f t="shared" si="19"/>
        <v>-142.67358334145933</v>
      </c>
      <c r="AB22">
        <f t="shared" si="20"/>
        <v>-9.0219020184371761</v>
      </c>
      <c r="AC22">
        <f t="shared" si="21"/>
        <v>-91.777706886964722</v>
      </c>
      <c r="AD22">
        <v>-4.1520363506047403E-2</v>
      </c>
      <c r="AE22">
        <v>4.6610245419156503E-2</v>
      </c>
      <c r="AF22">
        <v>3.47754384579172</v>
      </c>
      <c r="AG22">
        <v>140</v>
      </c>
      <c r="AH22">
        <v>28</v>
      </c>
      <c r="AI22">
        <f t="shared" si="22"/>
        <v>1</v>
      </c>
      <c r="AJ22">
        <f t="shared" si="23"/>
        <v>0</v>
      </c>
      <c r="AK22">
        <f t="shared" si="24"/>
        <v>53055.632681649986</v>
      </c>
      <c r="AL22">
        <v>0</v>
      </c>
      <c r="AM22">
        <v>0</v>
      </c>
      <c r="AN22">
        <v>0</v>
      </c>
      <c r="AO22">
        <f t="shared" si="25"/>
        <v>0</v>
      </c>
      <c r="AP22" t="e">
        <f t="shared" si="26"/>
        <v>#DIV/0!</v>
      </c>
      <c r="AQ22">
        <v>-1</v>
      </c>
      <c r="AR22" t="s">
        <v>311</v>
      </c>
      <c r="AS22">
        <v>254.45353846153799</v>
      </c>
      <c r="AT22">
        <v>301.65300000000002</v>
      </c>
      <c r="AU22">
        <f t="shared" si="27"/>
        <v>0.15646939211100841</v>
      </c>
      <c r="AV22">
        <v>0.5</v>
      </c>
      <c r="AW22">
        <f t="shared" si="28"/>
        <v>1849.1722932574457</v>
      </c>
      <c r="AX22">
        <f t="shared" si="29"/>
        <v>-2.9392625197548108E-2</v>
      </c>
      <c r="AY22">
        <f t="shared" si="30"/>
        <v>144.66943231725597</v>
      </c>
      <c r="AZ22">
        <f t="shared" si="31"/>
        <v>0.34222434386530226</v>
      </c>
      <c r="BA22">
        <f t="shared" si="32"/>
        <v>5.248874744346614E-4</v>
      </c>
      <c r="BB22">
        <f t="shared" si="33"/>
        <v>-1</v>
      </c>
      <c r="BC22" t="s">
        <v>312</v>
      </c>
      <c r="BD22">
        <v>198.42</v>
      </c>
      <c r="BE22">
        <f t="shared" si="34"/>
        <v>103.23300000000003</v>
      </c>
      <c r="BF22">
        <f t="shared" si="35"/>
        <v>0.45721292162837479</v>
      </c>
      <c r="BG22">
        <f t="shared" si="36"/>
        <v>1.5202751738736016</v>
      </c>
      <c r="BH22">
        <f t="shared" si="37"/>
        <v>0.15646939211100844</v>
      </c>
      <c r="BI22" t="e">
        <f t="shared" si="38"/>
        <v>#DIV/0!</v>
      </c>
      <c r="BJ22">
        <v>3735</v>
      </c>
      <c r="BK22">
        <v>300</v>
      </c>
      <c r="BL22">
        <v>300</v>
      </c>
      <c r="BM22">
        <v>300</v>
      </c>
      <c r="BN22">
        <v>9867.2900000000009</v>
      </c>
      <c r="BO22">
        <v>288.62</v>
      </c>
      <c r="BP22">
        <v>-6.3990799999999997E-3</v>
      </c>
      <c r="BQ22">
        <v>0.826874</v>
      </c>
      <c r="BR22">
        <f t="shared" si="39"/>
        <v>2199.98451612903</v>
      </c>
      <c r="BS22">
        <f t="shared" si="40"/>
        <v>1849.1722932574457</v>
      </c>
      <c r="BT22">
        <f t="shared" si="41"/>
        <v>0.84053877638700214</v>
      </c>
      <c r="BU22">
        <f t="shared" si="42"/>
        <v>0.19107755277400434</v>
      </c>
      <c r="BV22">
        <v>0.5</v>
      </c>
      <c r="BW22" t="s">
        <v>281</v>
      </c>
      <c r="BX22">
        <v>1592251199.8</v>
      </c>
      <c r="BY22">
        <v>49.876048387096802</v>
      </c>
      <c r="BZ22">
        <v>49.997019354838699</v>
      </c>
      <c r="CA22">
        <v>13.7911032258065</v>
      </c>
      <c r="CB22">
        <v>11.1666677419355</v>
      </c>
      <c r="CC22">
        <v>500.04661290322599</v>
      </c>
      <c r="CD22">
        <v>100.097451612903</v>
      </c>
      <c r="CE22">
        <v>0.200034838709677</v>
      </c>
      <c r="CF22">
        <v>26.370948387096799</v>
      </c>
      <c r="CG22">
        <v>27.148235483871002</v>
      </c>
      <c r="CH22">
        <v>999.9</v>
      </c>
      <c r="CI22">
        <v>10003.089354838699</v>
      </c>
      <c r="CJ22">
        <v>0</v>
      </c>
      <c r="CK22">
        <v>72.704499999999996</v>
      </c>
      <c r="CL22">
        <v>2199.98451612903</v>
      </c>
      <c r="CM22">
        <v>0.98200122580645199</v>
      </c>
      <c r="CN22">
        <v>1.7999012903225801E-2</v>
      </c>
      <c r="CO22">
        <v>0</v>
      </c>
      <c r="CP22">
        <v>254.48487096774201</v>
      </c>
      <c r="CQ22">
        <v>5.00054</v>
      </c>
      <c r="CR22">
        <v>6425.8170967741898</v>
      </c>
      <c r="CS22">
        <v>20590.400000000001</v>
      </c>
      <c r="CT22">
        <v>50.382935483871002</v>
      </c>
      <c r="CU22">
        <v>50.489774193548399</v>
      </c>
      <c r="CV22">
        <v>50.320129032258002</v>
      </c>
      <c r="CW22">
        <v>49.810161290322597</v>
      </c>
      <c r="CX22">
        <v>51.384999999999998</v>
      </c>
      <c r="CY22">
        <v>2155.4745161290298</v>
      </c>
      <c r="CZ22">
        <v>39.51</v>
      </c>
      <c r="DA22">
        <v>0</v>
      </c>
      <c r="DB22">
        <v>145.40000009536701</v>
      </c>
      <c r="DC22">
        <v>254.45353846153799</v>
      </c>
      <c r="DD22">
        <v>-0.206837605306781</v>
      </c>
      <c r="DE22">
        <v>-2.9658119868055399</v>
      </c>
      <c r="DF22">
        <v>6425.8211538461501</v>
      </c>
      <c r="DG22">
        <v>15</v>
      </c>
      <c r="DH22">
        <v>1592251238.3</v>
      </c>
      <c r="DI22" t="s">
        <v>313</v>
      </c>
      <c r="DJ22">
        <v>62</v>
      </c>
      <c r="DK22">
        <v>-0.23599999999999999</v>
      </c>
      <c r="DL22">
        <v>4.2000000000000003E-2</v>
      </c>
      <c r="DM22">
        <v>50</v>
      </c>
      <c r="DN22">
        <v>11</v>
      </c>
      <c r="DO22">
        <v>0.36</v>
      </c>
      <c r="DP22">
        <v>0.03</v>
      </c>
      <c r="DQ22">
        <v>-0.24409778846153801</v>
      </c>
      <c r="DR22">
        <v>-6.2858623751345405E-2</v>
      </c>
      <c r="DS22">
        <v>2.5090354457851599E-2</v>
      </c>
      <c r="DT22">
        <v>1</v>
      </c>
      <c r="DU22">
        <v>2.6225836538461502</v>
      </c>
      <c r="DV22">
        <v>4.3946094083491601E-2</v>
      </c>
      <c r="DW22">
        <v>5.5782965516938E-3</v>
      </c>
      <c r="DX22">
        <v>1</v>
      </c>
      <c r="DY22">
        <v>2</v>
      </c>
      <c r="DZ22">
        <v>2</v>
      </c>
      <c r="EA22" t="s">
        <v>293</v>
      </c>
      <c r="EB22">
        <v>1.8666199999999999</v>
      </c>
      <c r="EC22">
        <v>1.8631599999999999</v>
      </c>
      <c r="ED22">
        <v>1.8688</v>
      </c>
      <c r="EE22">
        <v>1.86676</v>
      </c>
      <c r="EF22">
        <v>1.8714299999999999</v>
      </c>
      <c r="EG22">
        <v>1.86388</v>
      </c>
      <c r="EH22">
        <v>1.8653900000000001</v>
      </c>
      <c r="EI22">
        <v>1.8652899999999999</v>
      </c>
      <c r="EJ22" t="s">
        <v>284</v>
      </c>
      <c r="EK22" t="s">
        <v>19</v>
      </c>
      <c r="EL22" t="s">
        <v>19</v>
      </c>
      <c r="EM22" t="s">
        <v>19</v>
      </c>
      <c r="EN22" t="s">
        <v>285</v>
      </c>
      <c r="EO22" t="s">
        <v>286</v>
      </c>
      <c r="EP22" t="s">
        <v>287</v>
      </c>
      <c r="EQ22" t="s">
        <v>287</v>
      </c>
      <c r="ER22" t="s">
        <v>287</v>
      </c>
      <c r="ES22" t="s">
        <v>287</v>
      </c>
      <c r="ET22">
        <v>0</v>
      </c>
      <c r="EU22">
        <v>100</v>
      </c>
      <c r="EV22">
        <v>100</v>
      </c>
      <c r="EW22">
        <v>-0.23599999999999999</v>
      </c>
      <c r="EX22">
        <v>4.2000000000000003E-2</v>
      </c>
      <c r="EY22">
        <v>2</v>
      </c>
      <c r="EZ22">
        <v>340.90800000000002</v>
      </c>
      <c r="FA22">
        <v>473.59300000000002</v>
      </c>
      <c r="FB22">
        <v>18.342700000000001</v>
      </c>
      <c r="FC22">
        <v>36.441899999999997</v>
      </c>
      <c r="FD22">
        <v>30.000599999999999</v>
      </c>
      <c r="FE22">
        <v>36.241500000000002</v>
      </c>
      <c r="FF22">
        <v>36.198399999999999</v>
      </c>
      <c r="FG22">
        <v>5.8340300000000003</v>
      </c>
      <c r="FH22">
        <v>0</v>
      </c>
      <c r="FI22">
        <v>100</v>
      </c>
      <c r="FJ22">
        <v>14.463800000000001</v>
      </c>
      <c r="FK22">
        <v>50</v>
      </c>
      <c r="FL22">
        <v>17.0397</v>
      </c>
      <c r="FM22">
        <v>100.48099999999999</v>
      </c>
      <c r="FN22">
        <v>100.58199999999999</v>
      </c>
    </row>
    <row r="23" spans="1:170" x14ac:dyDescent="0.25">
      <c r="A23">
        <v>7</v>
      </c>
      <c r="B23">
        <v>1592251359.8</v>
      </c>
      <c r="C23">
        <v>1127.0999999046301</v>
      </c>
      <c r="D23" t="s">
        <v>314</v>
      </c>
      <c r="E23" t="s">
        <v>315</v>
      </c>
      <c r="G23">
        <v>1592251351.8</v>
      </c>
      <c r="H23">
        <f t="shared" si="0"/>
        <v>7.0637872220977206E-3</v>
      </c>
      <c r="I23">
        <f t="shared" si="1"/>
        <v>28.183941042739136</v>
      </c>
      <c r="J23">
        <f t="shared" si="2"/>
        <v>387.67396774193497</v>
      </c>
      <c r="K23">
        <f t="shared" si="3"/>
        <v>233.83740410046087</v>
      </c>
      <c r="L23">
        <f t="shared" si="4"/>
        <v>23.449351180228252</v>
      </c>
      <c r="M23">
        <f t="shared" si="5"/>
        <v>38.876171449062007</v>
      </c>
      <c r="N23">
        <f t="shared" si="6"/>
        <v>0.33050157749588788</v>
      </c>
      <c r="O23">
        <f t="shared" si="7"/>
        <v>3.4043156064259374</v>
      </c>
      <c r="P23">
        <f t="shared" si="8"/>
        <v>0.31365457164331595</v>
      </c>
      <c r="Q23">
        <f t="shared" si="9"/>
        <v>0.19747615499878057</v>
      </c>
      <c r="R23">
        <f t="shared" si="10"/>
        <v>353.33547278266894</v>
      </c>
      <c r="S23">
        <f t="shared" si="11"/>
        <v>26.65502826916515</v>
      </c>
      <c r="T23">
        <f t="shared" si="12"/>
        <v>26.960248387096801</v>
      </c>
      <c r="U23">
        <f t="shared" si="13"/>
        <v>3.5708119009127683</v>
      </c>
      <c r="V23">
        <f t="shared" si="14"/>
        <v>39.500868966865717</v>
      </c>
      <c r="W23">
        <f t="shared" si="15"/>
        <v>1.3680150955814474</v>
      </c>
      <c r="X23">
        <f t="shared" si="16"/>
        <v>3.4632531672378435</v>
      </c>
      <c r="Y23">
        <f t="shared" si="17"/>
        <v>2.2027968053313209</v>
      </c>
      <c r="Z23">
        <f t="shared" si="18"/>
        <v>-311.51301649450949</v>
      </c>
      <c r="AA23">
        <f t="shared" si="19"/>
        <v>-95.360435100529216</v>
      </c>
      <c r="AB23">
        <f t="shared" si="20"/>
        <v>-6.0271522547698337</v>
      </c>
      <c r="AC23">
        <f t="shared" si="21"/>
        <v>-59.565131067139575</v>
      </c>
      <c r="AD23">
        <v>-4.1514666625128697E-2</v>
      </c>
      <c r="AE23">
        <v>4.6603850171251099E-2</v>
      </c>
      <c r="AF23">
        <v>3.47716657258395</v>
      </c>
      <c r="AG23">
        <v>86</v>
      </c>
      <c r="AH23">
        <v>17</v>
      </c>
      <c r="AI23">
        <f t="shared" si="22"/>
        <v>1</v>
      </c>
      <c r="AJ23">
        <f t="shared" si="23"/>
        <v>0</v>
      </c>
      <c r="AK23">
        <f t="shared" si="24"/>
        <v>53035.939957834598</v>
      </c>
      <c r="AL23">
        <v>0</v>
      </c>
      <c r="AM23">
        <v>0</v>
      </c>
      <c r="AN23">
        <v>0</v>
      </c>
      <c r="AO23">
        <f t="shared" si="25"/>
        <v>0</v>
      </c>
      <c r="AP23" t="e">
        <f t="shared" si="26"/>
        <v>#DIV/0!</v>
      </c>
      <c r="AQ23">
        <v>-1</v>
      </c>
      <c r="AR23" t="s">
        <v>316</v>
      </c>
      <c r="AS23">
        <v>259.373576923077</v>
      </c>
      <c r="AT23">
        <v>347.75299999999999</v>
      </c>
      <c r="AU23">
        <f t="shared" si="27"/>
        <v>0.25414424340529918</v>
      </c>
      <c r="AV23">
        <v>0.5</v>
      </c>
      <c r="AW23">
        <f t="shared" si="28"/>
        <v>1849.1745679723615</v>
      </c>
      <c r="AX23">
        <f t="shared" si="29"/>
        <v>28.183941042739136</v>
      </c>
      <c r="AY23">
        <f t="shared" si="30"/>
        <v>234.9785357508284</v>
      </c>
      <c r="AZ23">
        <f t="shared" si="31"/>
        <v>0.46001903650004455</v>
      </c>
      <c r="BA23">
        <f t="shared" si="32"/>
        <v>1.5782144935477683E-2</v>
      </c>
      <c r="BB23">
        <f t="shared" si="33"/>
        <v>-1</v>
      </c>
      <c r="BC23" t="s">
        <v>317</v>
      </c>
      <c r="BD23">
        <v>187.78</v>
      </c>
      <c r="BE23">
        <f t="shared" si="34"/>
        <v>159.97299999999998</v>
      </c>
      <c r="BF23">
        <f t="shared" si="35"/>
        <v>0.55246462263583851</v>
      </c>
      <c r="BG23">
        <f t="shared" si="36"/>
        <v>1.8519171370753007</v>
      </c>
      <c r="BH23">
        <f t="shared" si="37"/>
        <v>0.25414424340529912</v>
      </c>
      <c r="BI23" t="e">
        <f t="shared" si="38"/>
        <v>#DIV/0!</v>
      </c>
      <c r="BJ23">
        <v>3737</v>
      </c>
      <c r="BK23">
        <v>300</v>
      </c>
      <c r="BL23">
        <v>300</v>
      </c>
      <c r="BM23">
        <v>300</v>
      </c>
      <c r="BN23">
        <v>9866.43</v>
      </c>
      <c r="BO23">
        <v>318.57600000000002</v>
      </c>
      <c r="BP23">
        <v>-6.3984799999999998E-3</v>
      </c>
      <c r="BQ23">
        <v>-0.25119000000000002</v>
      </c>
      <c r="BR23">
        <f t="shared" si="39"/>
        <v>2199.9874193548399</v>
      </c>
      <c r="BS23">
        <f t="shared" si="40"/>
        <v>1849.1745679723615</v>
      </c>
      <c r="BT23">
        <f t="shared" si="41"/>
        <v>0.84053870113250173</v>
      </c>
      <c r="BU23">
        <f t="shared" si="42"/>
        <v>0.19107740226500347</v>
      </c>
      <c r="BV23">
        <v>0.5</v>
      </c>
      <c r="BW23" t="s">
        <v>281</v>
      </c>
      <c r="BX23">
        <v>1592251351.8</v>
      </c>
      <c r="BY23">
        <v>387.67396774193497</v>
      </c>
      <c r="BZ23">
        <v>400.04083870967702</v>
      </c>
      <c r="CA23">
        <v>13.6418741935484</v>
      </c>
      <c r="CB23">
        <v>10.8553741935484</v>
      </c>
      <c r="CC23">
        <v>500.08425806451601</v>
      </c>
      <c r="CD23">
        <v>100.080870967742</v>
      </c>
      <c r="CE23">
        <v>0.19971190322580601</v>
      </c>
      <c r="CF23">
        <v>26.440667741935499</v>
      </c>
      <c r="CG23">
        <v>26.960248387096801</v>
      </c>
      <c r="CH23">
        <v>999.9</v>
      </c>
      <c r="CI23">
        <v>10003.3738709677</v>
      </c>
      <c r="CJ23">
        <v>0</v>
      </c>
      <c r="CK23">
        <v>1185.15473225806</v>
      </c>
      <c r="CL23">
        <v>2199.9874193548399</v>
      </c>
      <c r="CM23">
        <v>0.98200232258064502</v>
      </c>
      <c r="CN23">
        <v>1.79978612903226E-2</v>
      </c>
      <c r="CO23">
        <v>0</v>
      </c>
      <c r="CP23">
        <v>259.359193548387</v>
      </c>
      <c r="CQ23">
        <v>5.00054</v>
      </c>
      <c r="CR23">
        <v>6680.5493548387103</v>
      </c>
      <c r="CS23">
        <v>20590.422580645201</v>
      </c>
      <c r="CT23">
        <v>50.503870967741904</v>
      </c>
      <c r="CU23">
        <v>50.586387096774203</v>
      </c>
      <c r="CV23">
        <v>50.436999999999998</v>
      </c>
      <c r="CW23">
        <v>49.824419354838703</v>
      </c>
      <c r="CX23">
        <v>51.52</v>
      </c>
      <c r="CY23">
        <v>2155.4819354838701</v>
      </c>
      <c r="CZ23">
        <v>39.504516129032297</v>
      </c>
      <c r="DA23">
        <v>0</v>
      </c>
      <c r="DB23">
        <v>151.299999952316</v>
      </c>
      <c r="DC23">
        <v>259.373576923077</v>
      </c>
      <c r="DD23">
        <v>0.52379486641524498</v>
      </c>
      <c r="DE23">
        <v>261.23760872265399</v>
      </c>
      <c r="DF23">
        <v>6687.0446153846196</v>
      </c>
      <c r="DG23">
        <v>15</v>
      </c>
      <c r="DH23">
        <v>1592251384.8</v>
      </c>
      <c r="DI23" t="s">
        <v>318</v>
      </c>
      <c r="DJ23">
        <v>63</v>
      </c>
      <c r="DK23">
        <v>-0.30599999999999999</v>
      </c>
      <c r="DL23">
        <v>3.5999999999999997E-2</v>
      </c>
      <c r="DM23">
        <v>400</v>
      </c>
      <c r="DN23">
        <v>11</v>
      </c>
      <c r="DO23">
        <v>0.51</v>
      </c>
      <c r="DP23">
        <v>0.03</v>
      </c>
      <c r="DQ23">
        <v>-12.289178846153799</v>
      </c>
      <c r="DR23">
        <v>6.7779561171340999E-2</v>
      </c>
      <c r="DS23">
        <v>6.6736630284616405E-2</v>
      </c>
      <c r="DT23">
        <v>1</v>
      </c>
      <c r="DU23">
        <v>2.7892617307692298</v>
      </c>
      <c r="DV23">
        <v>4.2576129087337697E-2</v>
      </c>
      <c r="DW23">
        <v>5.6877515907680096E-3</v>
      </c>
      <c r="DX23">
        <v>1</v>
      </c>
      <c r="DY23">
        <v>2</v>
      </c>
      <c r="DZ23">
        <v>2</v>
      </c>
      <c r="EA23" t="s">
        <v>293</v>
      </c>
      <c r="EB23">
        <v>1.8666700000000001</v>
      </c>
      <c r="EC23">
        <v>1.86324</v>
      </c>
      <c r="ED23">
        <v>1.8688800000000001</v>
      </c>
      <c r="EE23">
        <v>1.8667800000000001</v>
      </c>
      <c r="EF23">
        <v>1.87148</v>
      </c>
      <c r="EG23">
        <v>1.86391</v>
      </c>
      <c r="EH23">
        <v>1.8653999999999999</v>
      </c>
      <c r="EI23">
        <v>1.86537</v>
      </c>
      <c r="EJ23" t="s">
        <v>284</v>
      </c>
      <c r="EK23" t="s">
        <v>19</v>
      </c>
      <c r="EL23" t="s">
        <v>19</v>
      </c>
      <c r="EM23" t="s">
        <v>19</v>
      </c>
      <c r="EN23" t="s">
        <v>285</v>
      </c>
      <c r="EO23" t="s">
        <v>286</v>
      </c>
      <c r="EP23" t="s">
        <v>287</v>
      </c>
      <c r="EQ23" t="s">
        <v>287</v>
      </c>
      <c r="ER23" t="s">
        <v>287</v>
      </c>
      <c r="ES23" t="s">
        <v>287</v>
      </c>
      <c r="ET23">
        <v>0</v>
      </c>
      <c r="EU23">
        <v>100</v>
      </c>
      <c r="EV23">
        <v>100</v>
      </c>
      <c r="EW23">
        <v>-0.30599999999999999</v>
      </c>
      <c r="EX23">
        <v>3.5999999999999997E-2</v>
      </c>
      <c r="EY23">
        <v>2</v>
      </c>
      <c r="EZ23">
        <v>396.923</v>
      </c>
      <c r="FA23">
        <v>476.36700000000002</v>
      </c>
      <c r="FB23">
        <v>19.258500000000002</v>
      </c>
      <c r="FC23">
        <v>36.586799999999997</v>
      </c>
      <c r="FD23">
        <v>30.000299999999999</v>
      </c>
      <c r="FE23">
        <v>36.431899999999999</v>
      </c>
      <c r="FF23">
        <v>36.394300000000001</v>
      </c>
      <c r="FG23">
        <v>22.5</v>
      </c>
      <c r="FH23">
        <v>0</v>
      </c>
      <c r="FI23">
        <v>100</v>
      </c>
      <c r="FJ23">
        <v>19.264600000000002</v>
      </c>
      <c r="FK23">
        <v>400</v>
      </c>
      <c r="FL23">
        <v>17.0397</v>
      </c>
      <c r="FM23">
        <v>100.45</v>
      </c>
      <c r="FN23">
        <v>100.55</v>
      </c>
    </row>
    <row r="24" spans="1:170" x14ac:dyDescent="0.25">
      <c r="A24">
        <v>8</v>
      </c>
      <c r="B24">
        <v>1592251506.3</v>
      </c>
      <c r="C24">
        <v>1273.5999999046301</v>
      </c>
      <c r="D24" t="s">
        <v>319</v>
      </c>
      <c r="E24" t="s">
        <v>320</v>
      </c>
      <c r="G24">
        <v>1592251498.3</v>
      </c>
      <c r="H24">
        <f t="shared" si="0"/>
        <v>7.4326226036562099E-3</v>
      </c>
      <c r="I24">
        <f t="shared" si="1"/>
        <v>29.349441272226301</v>
      </c>
      <c r="J24">
        <f t="shared" si="2"/>
        <v>387.12683870967697</v>
      </c>
      <c r="K24">
        <f t="shared" si="3"/>
        <v>233.5926253737201</v>
      </c>
      <c r="L24">
        <f t="shared" si="4"/>
        <v>23.428617348273242</v>
      </c>
      <c r="M24">
        <f t="shared" si="5"/>
        <v>38.827623752526655</v>
      </c>
      <c r="N24">
        <f t="shared" si="6"/>
        <v>0.34577429003703908</v>
      </c>
      <c r="O24">
        <f t="shared" si="7"/>
        <v>3.4041443268273746</v>
      </c>
      <c r="P24">
        <f t="shared" si="8"/>
        <v>0.32737994478282623</v>
      </c>
      <c r="Q24">
        <f t="shared" si="9"/>
        <v>0.20618354270390105</v>
      </c>
      <c r="R24">
        <f t="shared" si="10"/>
        <v>353.33876585993966</v>
      </c>
      <c r="S24">
        <f t="shared" si="11"/>
        <v>26.619268610388072</v>
      </c>
      <c r="T24">
        <f t="shared" si="12"/>
        <v>26.973641935483901</v>
      </c>
      <c r="U24">
        <f t="shared" si="13"/>
        <v>3.5736226297418452</v>
      </c>
      <c r="V24">
        <f t="shared" si="14"/>
        <v>38.942454847263328</v>
      </c>
      <c r="W24">
        <f t="shared" si="15"/>
        <v>1.3524659094968323</v>
      </c>
      <c r="X24">
        <f t="shared" si="16"/>
        <v>3.4729857550104515</v>
      </c>
      <c r="Y24">
        <f t="shared" si="17"/>
        <v>2.2211567202450127</v>
      </c>
      <c r="Z24">
        <f t="shared" si="18"/>
        <v>-327.77865682123888</v>
      </c>
      <c r="AA24">
        <f t="shared" si="19"/>
        <v>-89.079700663121216</v>
      </c>
      <c r="AB24">
        <f t="shared" si="20"/>
        <v>-5.6321867604690983</v>
      </c>
      <c r="AC24">
        <f t="shared" si="21"/>
        <v>-69.151778384889539</v>
      </c>
      <c r="AD24">
        <v>-4.15120099746853E-2</v>
      </c>
      <c r="AE24">
        <v>4.6600867848392999E-2</v>
      </c>
      <c r="AF24">
        <v>3.4769906310293299</v>
      </c>
      <c r="AG24">
        <v>140</v>
      </c>
      <c r="AH24">
        <v>28</v>
      </c>
      <c r="AI24">
        <f t="shared" si="22"/>
        <v>1</v>
      </c>
      <c r="AJ24">
        <f t="shared" si="23"/>
        <v>0</v>
      </c>
      <c r="AK24">
        <f t="shared" si="24"/>
        <v>53024.605352742954</v>
      </c>
      <c r="AL24">
        <v>0</v>
      </c>
      <c r="AM24">
        <v>0</v>
      </c>
      <c r="AN24">
        <v>0</v>
      </c>
      <c r="AO24">
        <f t="shared" si="25"/>
        <v>0</v>
      </c>
      <c r="AP24" t="e">
        <f t="shared" si="26"/>
        <v>#DIV/0!</v>
      </c>
      <c r="AQ24">
        <v>-1</v>
      </c>
      <c r="AR24" t="s">
        <v>321</v>
      </c>
      <c r="AS24">
        <v>262.70742307692302</v>
      </c>
      <c r="AT24">
        <v>357.37</v>
      </c>
      <c r="AU24">
        <f t="shared" si="27"/>
        <v>0.26488674741326068</v>
      </c>
      <c r="AV24">
        <v>0.5</v>
      </c>
      <c r="AW24">
        <f t="shared" si="28"/>
        <v>1849.1904480961618</v>
      </c>
      <c r="AX24">
        <f t="shared" si="29"/>
        <v>29.349441272226301</v>
      </c>
      <c r="AY24">
        <f t="shared" si="30"/>
        <v>244.91302157193118</v>
      </c>
      <c r="AZ24">
        <f t="shared" si="31"/>
        <v>0.47399054201527829</v>
      </c>
      <c r="BA24">
        <f t="shared" si="32"/>
        <v>1.6412285334629885E-2</v>
      </c>
      <c r="BB24">
        <f t="shared" si="33"/>
        <v>-1</v>
      </c>
      <c r="BC24" t="s">
        <v>322</v>
      </c>
      <c r="BD24">
        <v>187.98</v>
      </c>
      <c r="BE24">
        <f t="shared" si="34"/>
        <v>169.39000000000001</v>
      </c>
      <c r="BF24">
        <f t="shared" si="35"/>
        <v>0.55884395137302656</v>
      </c>
      <c r="BG24">
        <f t="shared" si="36"/>
        <v>1.9011065006915631</v>
      </c>
      <c r="BH24">
        <f t="shared" si="37"/>
        <v>0.26488674741326074</v>
      </c>
      <c r="BI24" t="e">
        <f t="shared" si="38"/>
        <v>#DIV/0!</v>
      </c>
      <c r="BJ24">
        <v>3739</v>
      </c>
      <c r="BK24">
        <v>300</v>
      </c>
      <c r="BL24">
        <v>300</v>
      </c>
      <c r="BM24">
        <v>300</v>
      </c>
      <c r="BN24">
        <v>9867.1200000000008</v>
      </c>
      <c r="BO24">
        <v>326.90499999999997</v>
      </c>
      <c r="BP24">
        <v>-6.3990399999999999E-3</v>
      </c>
      <c r="BQ24">
        <v>0.25766</v>
      </c>
      <c r="BR24">
        <f t="shared" si="39"/>
        <v>2200.0061290322601</v>
      </c>
      <c r="BS24">
        <f t="shared" si="40"/>
        <v>1849.1904480961618</v>
      </c>
      <c r="BT24">
        <f t="shared" si="41"/>
        <v>0.84053877109405362</v>
      </c>
      <c r="BU24">
        <f t="shared" si="42"/>
        <v>0.19107754218810744</v>
      </c>
      <c r="BV24">
        <v>0.5</v>
      </c>
      <c r="BW24" t="s">
        <v>281</v>
      </c>
      <c r="BX24">
        <v>1592251498.3</v>
      </c>
      <c r="BY24">
        <v>387.12683870967697</v>
      </c>
      <c r="BZ24">
        <v>400.01635483871001</v>
      </c>
      <c r="CA24">
        <v>13.484622580645199</v>
      </c>
      <c r="CB24">
        <v>10.551938709677399</v>
      </c>
      <c r="CC24">
        <v>500.04683870967699</v>
      </c>
      <c r="CD24">
        <v>100.096903225806</v>
      </c>
      <c r="CE24">
        <v>0.20000174193548401</v>
      </c>
      <c r="CF24">
        <v>26.488258064516099</v>
      </c>
      <c r="CG24">
        <v>26.973641935483901</v>
      </c>
      <c r="CH24">
        <v>999.9</v>
      </c>
      <c r="CI24">
        <v>10001.1316129032</v>
      </c>
      <c r="CJ24">
        <v>0</v>
      </c>
      <c r="CK24">
        <v>1578.0503225806499</v>
      </c>
      <c r="CL24">
        <v>2200.0061290322601</v>
      </c>
      <c r="CM24">
        <v>0.98200103225806501</v>
      </c>
      <c r="CN24">
        <v>1.7999216129032301E-2</v>
      </c>
      <c r="CO24">
        <v>0</v>
      </c>
      <c r="CP24">
        <v>262.698483870968</v>
      </c>
      <c r="CQ24">
        <v>5.00054</v>
      </c>
      <c r="CR24">
        <v>6761.7993548387103</v>
      </c>
      <c r="CS24">
        <v>20590.5903225806</v>
      </c>
      <c r="CT24">
        <v>50.344516129032201</v>
      </c>
      <c r="CU24">
        <v>50.518000000000001</v>
      </c>
      <c r="CV24">
        <v>50.320129032258002</v>
      </c>
      <c r="CW24">
        <v>49.794064516128998</v>
      </c>
      <c r="CX24">
        <v>51.445129032258002</v>
      </c>
      <c r="CY24">
        <v>2155.4961290322599</v>
      </c>
      <c r="CZ24">
        <v>39.51</v>
      </c>
      <c r="DA24">
        <v>0</v>
      </c>
      <c r="DB24">
        <v>146</v>
      </c>
      <c r="DC24">
        <v>262.70742307692302</v>
      </c>
      <c r="DD24">
        <v>2.5252991439513002</v>
      </c>
      <c r="DE24">
        <v>43.812649639793698</v>
      </c>
      <c r="DF24">
        <v>6762.0469230769204</v>
      </c>
      <c r="DG24">
        <v>15</v>
      </c>
      <c r="DH24">
        <v>1592251533.8</v>
      </c>
      <c r="DI24" t="s">
        <v>323</v>
      </c>
      <c r="DJ24">
        <v>64</v>
      </c>
      <c r="DK24">
        <v>-0.23599999999999999</v>
      </c>
      <c r="DL24">
        <v>3.4000000000000002E-2</v>
      </c>
      <c r="DM24">
        <v>400</v>
      </c>
      <c r="DN24">
        <v>10</v>
      </c>
      <c r="DO24">
        <v>0.34</v>
      </c>
      <c r="DP24">
        <v>0.03</v>
      </c>
      <c r="DQ24">
        <v>-12.944130769230799</v>
      </c>
      <c r="DR24">
        <v>-0.15215504140696101</v>
      </c>
      <c r="DS24">
        <v>4.4483127909793599E-2</v>
      </c>
      <c r="DT24">
        <v>1</v>
      </c>
      <c r="DU24">
        <v>2.9330342307692301</v>
      </c>
      <c r="DV24">
        <v>1.9223358661314301E-2</v>
      </c>
      <c r="DW24">
        <v>2.52200343603274E-3</v>
      </c>
      <c r="DX24">
        <v>1</v>
      </c>
      <c r="DY24">
        <v>2</v>
      </c>
      <c r="DZ24">
        <v>2</v>
      </c>
      <c r="EA24" t="s">
        <v>293</v>
      </c>
      <c r="EB24">
        <v>1.8666100000000001</v>
      </c>
      <c r="EC24">
        <v>1.8631899999999999</v>
      </c>
      <c r="ED24">
        <v>1.8688199999999999</v>
      </c>
      <c r="EE24">
        <v>1.8667499999999999</v>
      </c>
      <c r="EF24">
        <v>1.8714599999999999</v>
      </c>
      <c r="EG24">
        <v>1.8638600000000001</v>
      </c>
      <c r="EH24">
        <v>1.86538</v>
      </c>
      <c r="EI24">
        <v>1.8653</v>
      </c>
      <c r="EJ24" t="s">
        <v>284</v>
      </c>
      <c r="EK24" t="s">
        <v>19</v>
      </c>
      <c r="EL24" t="s">
        <v>19</v>
      </c>
      <c r="EM24" t="s">
        <v>19</v>
      </c>
      <c r="EN24" t="s">
        <v>285</v>
      </c>
      <c r="EO24" t="s">
        <v>286</v>
      </c>
      <c r="EP24" t="s">
        <v>287</v>
      </c>
      <c r="EQ24" t="s">
        <v>287</v>
      </c>
      <c r="ER24" t="s">
        <v>287</v>
      </c>
      <c r="ES24" t="s">
        <v>287</v>
      </c>
      <c r="ET24">
        <v>0</v>
      </c>
      <c r="EU24">
        <v>100</v>
      </c>
      <c r="EV24">
        <v>100</v>
      </c>
      <c r="EW24">
        <v>-0.23599999999999999</v>
      </c>
      <c r="EX24">
        <v>3.4000000000000002E-2</v>
      </c>
      <c r="EY24">
        <v>2</v>
      </c>
      <c r="EZ24">
        <v>340.70600000000002</v>
      </c>
      <c r="FA24">
        <v>476.35500000000002</v>
      </c>
      <c r="FB24">
        <v>18.155100000000001</v>
      </c>
      <c r="FC24">
        <v>36.444699999999997</v>
      </c>
      <c r="FD24">
        <v>29.999199999999998</v>
      </c>
      <c r="FE24">
        <v>36.384900000000002</v>
      </c>
      <c r="FF24">
        <v>36.352400000000003</v>
      </c>
      <c r="FG24">
        <v>22.491399999999999</v>
      </c>
      <c r="FH24">
        <v>0</v>
      </c>
      <c r="FI24">
        <v>100</v>
      </c>
      <c r="FJ24">
        <v>18.986599999999999</v>
      </c>
      <c r="FK24">
        <v>400</v>
      </c>
      <c r="FL24">
        <v>17.0397</v>
      </c>
      <c r="FM24">
        <v>100.48399999999999</v>
      </c>
      <c r="FN24">
        <v>100.605</v>
      </c>
    </row>
    <row r="25" spans="1:170" x14ac:dyDescent="0.25">
      <c r="A25">
        <v>9</v>
      </c>
      <c r="B25">
        <v>1592251655.3</v>
      </c>
      <c r="C25">
        <v>1422.5999999046301</v>
      </c>
      <c r="D25" t="s">
        <v>324</v>
      </c>
      <c r="E25" t="s">
        <v>325</v>
      </c>
      <c r="G25">
        <v>1592251647.3</v>
      </c>
      <c r="H25">
        <f t="shared" si="0"/>
        <v>7.722960487020359E-3</v>
      </c>
      <c r="I25">
        <f t="shared" si="1"/>
        <v>36.054161047835521</v>
      </c>
      <c r="J25">
        <f t="shared" si="2"/>
        <v>484.10003225806503</v>
      </c>
      <c r="K25">
        <f t="shared" si="3"/>
        <v>300.77891128515984</v>
      </c>
      <c r="L25">
        <f t="shared" si="4"/>
        <v>30.168743135425306</v>
      </c>
      <c r="M25">
        <f t="shared" si="5"/>
        <v>48.556228435837319</v>
      </c>
      <c r="N25">
        <f t="shared" si="6"/>
        <v>0.35812488938153536</v>
      </c>
      <c r="O25">
        <f t="shared" si="7"/>
        <v>3.4058906257627029</v>
      </c>
      <c r="P25">
        <f t="shared" si="8"/>
        <v>0.33844271104459683</v>
      </c>
      <c r="Q25">
        <f t="shared" si="9"/>
        <v>0.21320486899952776</v>
      </c>
      <c r="R25">
        <f t="shared" si="10"/>
        <v>353.33763321889728</v>
      </c>
      <c r="S25">
        <f t="shared" si="11"/>
        <v>26.649961322433807</v>
      </c>
      <c r="T25">
        <f t="shared" si="12"/>
        <v>26.9404419354839</v>
      </c>
      <c r="U25">
        <f t="shared" si="13"/>
        <v>3.5666589170083469</v>
      </c>
      <c r="V25">
        <f t="shared" si="14"/>
        <v>38.186566430104477</v>
      </c>
      <c r="W25">
        <f t="shared" si="15"/>
        <v>1.3337672337673754</v>
      </c>
      <c r="X25">
        <f t="shared" si="16"/>
        <v>3.4927655415384415</v>
      </c>
      <c r="Y25">
        <f t="shared" si="17"/>
        <v>2.2328916832409718</v>
      </c>
      <c r="Z25">
        <f t="shared" si="18"/>
        <v>-340.58255747759785</v>
      </c>
      <c r="AA25">
        <f t="shared" si="19"/>
        <v>-65.335564194442441</v>
      </c>
      <c r="AB25">
        <f t="shared" si="20"/>
        <v>-4.1301169429713838</v>
      </c>
      <c r="AC25">
        <f t="shared" si="21"/>
        <v>-56.710605396114374</v>
      </c>
      <c r="AD25">
        <v>-4.1539098976226901E-2</v>
      </c>
      <c r="AE25">
        <v>4.6631277625750298E-2</v>
      </c>
      <c r="AF25">
        <v>3.4787844664161098</v>
      </c>
      <c r="AG25">
        <v>136</v>
      </c>
      <c r="AH25">
        <v>27</v>
      </c>
      <c r="AI25">
        <f t="shared" si="22"/>
        <v>1</v>
      </c>
      <c r="AJ25">
        <f t="shared" si="23"/>
        <v>0</v>
      </c>
      <c r="AK25">
        <f t="shared" si="24"/>
        <v>53040.834874875516</v>
      </c>
      <c r="AL25">
        <v>0</v>
      </c>
      <c r="AM25">
        <v>0</v>
      </c>
      <c r="AN25">
        <v>0</v>
      </c>
      <c r="AO25">
        <f t="shared" si="25"/>
        <v>0</v>
      </c>
      <c r="AP25" t="e">
        <f t="shared" si="26"/>
        <v>#DIV/0!</v>
      </c>
      <c r="AQ25">
        <v>-1</v>
      </c>
      <c r="AR25" t="s">
        <v>326</v>
      </c>
      <c r="AS25">
        <v>274.71834615384603</v>
      </c>
      <c r="AT25">
        <v>381.846</v>
      </c>
      <c r="AU25">
        <f t="shared" si="27"/>
        <v>0.28055198652376601</v>
      </c>
      <c r="AV25">
        <v>0.5</v>
      </c>
      <c r="AW25">
        <f t="shared" si="28"/>
        <v>1849.1844868058415</v>
      </c>
      <c r="AX25">
        <f t="shared" si="29"/>
        <v>36.054161047835521</v>
      </c>
      <c r="AY25">
        <f t="shared" si="30"/>
        <v>259.39619061115479</v>
      </c>
      <c r="AZ25">
        <f t="shared" si="31"/>
        <v>0.49985072516145257</v>
      </c>
      <c r="BA25">
        <f t="shared" si="32"/>
        <v>2.0038109400236436E-2</v>
      </c>
      <c r="BB25">
        <f t="shared" si="33"/>
        <v>-1</v>
      </c>
      <c r="BC25" t="s">
        <v>327</v>
      </c>
      <c r="BD25">
        <v>190.98</v>
      </c>
      <c r="BE25">
        <f t="shared" si="34"/>
        <v>190.86600000000001</v>
      </c>
      <c r="BF25">
        <f t="shared" si="35"/>
        <v>0.5612715404847064</v>
      </c>
      <c r="BG25">
        <f t="shared" si="36"/>
        <v>1.999403078856425</v>
      </c>
      <c r="BH25">
        <f t="shared" si="37"/>
        <v>0.28055198652376606</v>
      </c>
      <c r="BI25" t="e">
        <f t="shared" si="38"/>
        <v>#DIV/0!</v>
      </c>
      <c r="BJ25">
        <v>3741</v>
      </c>
      <c r="BK25">
        <v>300</v>
      </c>
      <c r="BL25">
        <v>300</v>
      </c>
      <c r="BM25">
        <v>300</v>
      </c>
      <c r="BN25">
        <v>9867.08</v>
      </c>
      <c r="BO25">
        <v>348.387</v>
      </c>
      <c r="BP25">
        <v>-6.3990599999999998E-3</v>
      </c>
      <c r="BQ25">
        <v>0.79083300000000001</v>
      </c>
      <c r="BR25">
        <f t="shared" si="39"/>
        <v>2199.9990322580702</v>
      </c>
      <c r="BS25">
        <f t="shared" si="40"/>
        <v>1849.1844868058415</v>
      </c>
      <c r="BT25">
        <f t="shared" si="41"/>
        <v>0.84053877283202527</v>
      </c>
      <c r="BU25">
        <f t="shared" si="42"/>
        <v>0.19107754566405066</v>
      </c>
      <c r="BV25">
        <v>0.5</v>
      </c>
      <c r="BW25" t="s">
        <v>281</v>
      </c>
      <c r="BX25">
        <v>1592251647.3</v>
      </c>
      <c r="BY25">
        <v>484.10003225806503</v>
      </c>
      <c r="BZ25">
        <v>500.01648387096799</v>
      </c>
      <c r="CA25">
        <v>13.2975064516129</v>
      </c>
      <c r="CB25">
        <v>10.2495322580645</v>
      </c>
      <c r="CC25">
        <v>500.02158064516101</v>
      </c>
      <c r="CD25">
        <v>100.102064516129</v>
      </c>
      <c r="CE25">
        <v>0.19999125806451601</v>
      </c>
      <c r="CF25">
        <v>26.584619354838701</v>
      </c>
      <c r="CG25">
        <v>26.9404419354839</v>
      </c>
      <c r="CH25">
        <v>999.9</v>
      </c>
      <c r="CI25">
        <v>10007.1419354839</v>
      </c>
      <c r="CJ25">
        <v>0</v>
      </c>
      <c r="CK25">
        <v>1575.0470967741901</v>
      </c>
      <c r="CL25">
        <v>2199.9990322580702</v>
      </c>
      <c r="CM25">
        <v>0.98200161290322596</v>
      </c>
      <c r="CN25">
        <v>1.79986064516129E-2</v>
      </c>
      <c r="CO25">
        <v>0</v>
      </c>
      <c r="CP25">
        <v>274.69635483871002</v>
      </c>
      <c r="CQ25">
        <v>5.00054</v>
      </c>
      <c r="CR25">
        <v>7043.31419354839</v>
      </c>
      <c r="CS25">
        <v>20590.538709677399</v>
      </c>
      <c r="CT25">
        <v>50.344516129032201</v>
      </c>
      <c r="CU25">
        <v>50.548000000000002</v>
      </c>
      <c r="CV25">
        <v>50.304000000000002</v>
      </c>
      <c r="CW25">
        <v>49.701290322580597</v>
      </c>
      <c r="CX25">
        <v>51.436999999999998</v>
      </c>
      <c r="CY25">
        <v>2155.48903225806</v>
      </c>
      <c r="CZ25">
        <v>39.51</v>
      </c>
      <c r="DA25">
        <v>0</v>
      </c>
      <c r="DB25">
        <v>148.299999952316</v>
      </c>
      <c r="DC25">
        <v>274.71834615384603</v>
      </c>
      <c r="DD25">
        <v>-0.57029059062244303</v>
      </c>
      <c r="DE25">
        <v>30.998632423420499</v>
      </c>
      <c r="DF25">
        <v>7043.38884615385</v>
      </c>
      <c r="DG25">
        <v>15</v>
      </c>
      <c r="DH25">
        <v>1592251683.8</v>
      </c>
      <c r="DI25" t="s">
        <v>328</v>
      </c>
      <c r="DJ25">
        <v>65</v>
      </c>
      <c r="DK25">
        <v>-0.17899999999999999</v>
      </c>
      <c r="DL25">
        <v>0.03</v>
      </c>
      <c r="DM25">
        <v>500</v>
      </c>
      <c r="DN25">
        <v>10</v>
      </c>
      <c r="DO25">
        <v>0.21</v>
      </c>
      <c r="DP25">
        <v>0.03</v>
      </c>
      <c r="DQ25">
        <v>-15.9594288461538</v>
      </c>
      <c r="DR25">
        <v>-0.154286519252153</v>
      </c>
      <c r="DS25">
        <v>5.80828166584259E-2</v>
      </c>
      <c r="DT25">
        <v>1</v>
      </c>
      <c r="DU25">
        <v>3.04341403846154</v>
      </c>
      <c r="DV25">
        <v>8.6745411081707996E-2</v>
      </c>
      <c r="DW25">
        <v>1.13742880182277E-2</v>
      </c>
      <c r="DX25">
        <v>1</v>
      </c>
      <c r="DY25">
        <v>2</v>
      </c>
      <c r="DZ25">
        <v>2</v>
      </c>
      <c r="EA25" t="s">
        <v>293</v>
      </c>
      <c r="EB25">
        <v>1.8667</v>
      </c>
      <c r="EC25">
        <v>1.8632500000000001</v>
      </c>
      <c r="ED25">
        <v>1.8689</v>
      </c>
      <c r="EE25">
        <v>1.86676</v>
      </c>
      <c r="EF25">
        <v>1.8714900000000001</v>
      </c>
      <c r="EG25">
        <v>1.86392</v>
      </c>
      <c r="EH25">
        <v>1.8653999999999999</v>
      </c>
      <c r="EI25">
        <v>1.86537</v>
      </c>
      <c r="EJ25" t="s">
        <v>284</v>
      </c>
      <c r="EK25" t="s">
        <v>19</v>
      </c>
      <c r="EL25" t="s">
        <v>19</v>
      </c>
      <c r="EM25" t="s">
        <v>19</v>
      </c>
      <c r="EN25" t="s">
        <v>285</v>
      </c>
      <c r="EO25" t="s">
        <v>286</v>
      </c>
      <c r="EP25" t="s">
        <v>287</v>
      </c>
      <c r="EQ25" t="s">
        <v>287</v>
      </c>
      <c r="ER25" t="s">
        <v>287</v>
      </c>
      <c r="ES25" t="s">
        <v>287</v>
      </c>
      <c r="ET25">
        <v>0</v>
      </c>
      <c r="EU25">
        <v>100</v>
      </c>
      <c r="EV25">
        <v>100</v>
      </c>
      <c r="EW25">
        <v>-0.17899999999999999</v>
      </c>
      <c r="EX25">
        <v>0.03</v>
      </c>
      <c r="EY25">
        <v>2</v>
      </c>
      <c r="EZ25">
        <v>344.67</v>
      </c>
      <c r="FA25">
        <v>474.62</v>
      </c>
      <c r="FB25">
        <v>19.0199</v>
      </c>
      <c r="FC25">
        <v>36.204300000000003</v>
      </c>
      <c r="FD25">
        <v>29.998999999999999</v>
      </c>
      <c r="FE25">
        <v>36.235599999999998</v>
      </c>
      <c r="FF25">
        <v>36.213799999999999</v>
      </c>
      <c r="FG25">
        <v>26.840299999999999</v>
      </c>
      <c r="FH25">
        <v>0</v>
      </c>
      <c r="FI25">
        <v>100</v>
      </c>
      <c r="FJ25">
        <v>19.060500000000001</v>
      </c>
      <c r="FK25">
        <v>500</v>
      </c>
      <c r="FL25">
        <v>17.0397</v>
      </c>
      <c r="FM25">
        <v>100.521</v>
      </c>
      <c r="FN25">
        <v>100.652</v>
      </c>
    </row>
    <row r="26" spans="1:170" x14ac:dyDescent="0.25">
      <c r="A26">
        <v>10</v>
      </c>
      <c r="B26">
        <v>1592251805.4000001</v>
      </c>
      <c r="C26">
        <v>1572.7000000476801</v>
      </c>
      <c r="D26" t="s">
        <v>329</v>
      </c>
      <c r="E26" t="s">
        <v>330</v>
      </c>
      <c r="G26">
        <v>1592251797.36129</v>
      </c>
      <c r="H26">
        <f t="shared" si="0"/>
        <v>7.9401855058390779E-3</v>
      </c>
      <c r="I26">
        <f t="shared" si="1"/>
        <v>41.062900325269183</v>
      </c>
      <c r="J26">
        <f t="shared" si="2"/>
        <v>581.736290322581</v>
      </c>
      <c r="K26">
        <f t="shared" si="3"/>
        <v>374.35321645542206</v>
      </c>
      <c r="L26">
        <f t="shared" si="4"/>
        <v>37.549443573780067</v>
      </c>
      <c r="M26">
        <f t="shared" si="5"/>
        <v>58.350971884567898</v>
      </c>
      <c r="N26">
        <f t="shared" si="6"/>
        <v>0.36361386790593664</v>
      </c>
      <c r="O26">
        <f t="shared" si="7"/>
        <v>3.4033744349065933</v>
      </c>
      <c r="P26">
        <f t="shared" si="8"/>
        <v>0.34332797218315303</v>
      </c>
      <c r="Q26">
        <f t="shared" si="9"/>
        <v>0.21630822376567516</v>
      </c>
      <c r="R26">
        <f t="shared" si="10"/>
        <v>353.33696393100769</v>
      </c>
      <c r="S26">
        <f t="shared" si="11"/>
        <v>26.767628379015409</v>
      </c>
      <c r="T26">
        <f t="shared" si="12"/>
        <v>26.991135483870998</v>
      </c>
      <c r="U26">
        <f t="shared" si="13"/>
        <v>3.5772966804492099</v>
      </c>
      <c r="V26">
        <f t="shared" si="14"/>
        <v>37.255843420594125</v>
      </c>
      <c r="W26">
        <f t="shared" si="15"/>
        <v>1.3140967641820962</v>
      </c>
      <c r="X26">
        <f t="shared" si="16"/>
        <v>3.5272232313916572</v>
      </c>
      <c r="Y26">
        <f t="shared" si="17"/>
        <v>2.2631999162671139</v>
      </c>
      <c r="Z26">
        <f t="shared" si="18"/>
        <v>-350.16218080750332</v>
      </c>
      <c r="AA26">
        <f t="shared" si="19"/>
        <v>-43.995605585317755</v>
      </c>
      <c r="AB26">
        <f t="shared" si="20"/>
        <v>-2.7862194136750196</v>
      </c>
      <c r="AC26">
        <f t="shared" si="21"/>
        <v>-43.607041875488427</v>
      </c>
      <c r="AD26">
        <v>-4.1500069233636298E-2</v>
      </c>
      <c r="AE26">
        <v>4.6587463320499199E-2</v>
      </c>
      <c r="AF26">
        <v>3.4761997852001398</v>
      </c>
      <c r="AG26">
        <v>137</v>
      </c>
      <c r="AH26">
        <v>27</v>
      </c>
      <c r="AI26">
        <f t="shared" si="22"/>
        <v>1</v>
      </c>
      <c r="AJ26">
        <f t="shared" si="23"/>
        <v>0</v>
      </c>
      <c r="AK26">
        <f t="shared" si="24"/>
        <v>52963.620618874629</v>
      </c>
      <c r="AL26">
        <v>0</v>
      </c>
      <c r="AM26">
        <v>0</v>
      </c>
      <c r="AN26">
        <v>0</v>
      </c>
      <c r="AO26">
        <f t="shared" si="25"/>
        <v>0</v>
      </c>
      <c r="AP26" t="e">
        <f t="shared" si="26"/>
        <v>#DIV/0!</v>
      </c>
      <c r="AQ26">
        <v>-1</v>
      </c>
      <c r="AR26" t="s">
        <v>331</v>
      </c>
      <c r="AS26">
        <v>280.82915384615399</v>
      </c>
      <c r="AT26">
        <v>394.34500000000003</v>
      </c>
      <c r="AU26">
        <f t="shared" si="27"/>
        <v>0.28785922518060592</v>
      </c>
      <c r="AV26">
        <v>0.5</v>
      </c>
      <c r="AW26">
        <f t="shared" si="28"/>
        <v>1849.1809642251933</v>
      </c>
      <c r="AX26">
        <f t="shared" si="29"/>
        <v>41.062900325269183</v>
      </c>
      <c r="AY26">
        <f t="shared" si="30"/>
        <v>266.15189979029492</v>
      </c>
      <c r="AZ26">
        <f t="shared" si="31"/>
        <v>0.50880574116573063</v>
      </c>
      <c r="BA26">
        <f t="shared" si="32"/>
        <v>2.2746773376446441E-2</v>
      </c>
      <c r="BB26">
        <f t="shared" si="33"/>
        <v>-1</v>
      </c>
      <c r="BC26" t="s">
        <v>332</v>
      </c>
      <c r="BD26">
        <v>193.7</v>
      </c>
      <c r="BE26">
        <f t="shared" si="34"/>
        <v>200.64500000000004</v>
      </c>
      <c r="BF26">
        <f t="shared" si="35"/>
        <v>0.56575467195218432</v>
      </c>
      <c r="BG26">
        <f t="shared" si="36"/>
        <v>2.0358544140423338</v>
      </c>
      <c r="BH26">
        <f t="shared" si="37"/>
        <v>0.28785922518060592</v>
      </c>
      <c r="BI26" t="e">
        <f t="shared" si="38"/>
        <v>#DIV/0!</v>
      </c>
      <c r="BJ26">
        <v>3743</v>
      </c>
      <c r="BK26">
        <v>300</v>
      </c>
      <c r="BL26">
        <v>300</v>
      </c>
      <c r="BM26">
        <v>300</v>
      </c>
      <c r="BN26">
        <v>9867.33</v>
      </c>
      <c r="BO26">
        <v>359.35399999999998</v>
      </c>
      <c r="BP26">
        <v>-6.3992399999999996E-3</v>
      </c>
      <c r="BQ26">
        <v>1.1358600000000001</v>
      </c>
      <c r="BR26">
        <f t="shared" si="39"/>
        <v>2199.9948387096802</v>
      </c>
      <c r="BS26">
        <f t="shared" si="40"/>
        <v>1849.1809642251933</v>
      </c>
      <c r="BT26">
        <f t="shared" si="41"/>
        <v>0.84053877385901377</v>
      </c>
      <c r="BU26">
        <f t="shared" si="42"/>
        <v>0.19107754771802762</v>
      </c>
      <c r="BV26">
        <v>0.5</v>
      </c>
      <c r="BW26" t="s">
        <v>281</v>
      </c>
      <c r="BX26">
        <v>1592251797.36129</v>
      </c>
      <c r="BY26">
        <v>581.736290322581</v>
      </c>
      <c r="BZ26">
        <v>600.00738709677398</v>
      </c>
      <c r="CA26">
        <v>13.101029032258101</v>
      </c>
      <c r="CB26">
        <v>9.9668564516128999</v>
      </c>
      <c r="CC26">
        <v>500.046548387097</v>
      </c>
      <c r="CD26">
        <v>100.104870967742</v>
      </c>
      <c r="CE26">
        <v>0.19997996774193499</v>
      </c>
      <c r="CF26">
        <v>26.751354838709702</v>
      </c>
      <c r="CG26">
        <v>26.991135483870998</v>
      </c>
      <c r="CH26">
        <v>999.9</v>
      </c>
      <c r="CI26">
        <v>9997.4590322580607</v>
      </c>
      <c r="CJ26">
        <v>0</v>
      </c>
      <c r="CK26">
        <v>1570.0290322580599</v>
      </c>
      <c r="CL26">
        <v>2199.9948387096802</v>
      </c>
      <c r="CM26">
        <v>0.98200090322580602</v>
      </c>
      <c r="CN26">
        <v>1.7999351612903201E-2</v>
      </c>
      <c r="CO26">
        <v>0</v>
      </c>
      <c r="CP26">
        <v>280.84729032258099</v>
      </c>
      <c r="CQ26">
        <v>5.00054</v>
      </c>
      <c r="CR26">
        <v>7198.6916129032297</v>
      </c>
      <c r="CS26">
        <v>20590.493548387101</v>
      </c>
      <c r="CT26">
        <v>50.292000000000002</v>
      </c>
      <c r="CU26">
        <v>50.336387096774203</v>
      </c>
      <c r="CV26">
        <v>50.186999999999998</v>
      </c>
      <c r="CW26">
        <v>49.52</v>
      </c>
      <c r="CX26">
        <v>51.378999999999998</v>
      </c>
      <c r="CY26">
        <v>2155.4848387096799</v>
      </c>
      <c r="CZ26">
        <v>39.51</v>
      </c>
      <c r="DA26">
        <v>0</v>
      </c>
      <c r="DB26">
        <v>149.59999990463299</v>
      </c>
      <c r="DC26">
        <v>280.82915384615399</v>
      </c>
      <c r="DD26">
        <v>-0.68964103816289002</v>
      </c>
      <c r="DE26">
        <v>-9.9312820718616894</v>
      </c>
      <c r="DF26">
        <v>7198.6357692307702</v>
      </c>
      <c r="DG26">
        <v>15</v>
      </c>
      <c r="DH26">
        <v>1592251833.3</v>
      </c>
      <c r="DI26" t="s">
        <v>333</v>
      </c>
      <c r="DJ26">
        <v>66</v>
      </c>
      <c r="DK26">
        <v>-0.17299999999999999</v>
      </c>
      <c r="DL26">
        <v>2.8000000000000001E-2</v>
      </c>
      <c r="DM26">
        <v>600</v>
      </c>
      <c r="DN26">
        <v>10</v>
      </c>
      <c r="DO26">
        <v>0.28000000000000003</v>
      </c>
      <c r="DP26">
        <v>0.02</v>
      </c>
      <c r="DQ26">
        <v>-18.2610846153846</v>
      </c>
      <c r="DR26">
        <v>-4.1683748383987897E-2</v>
      </c>
      <c r="DS26">
        <v>5.6302696289498098E-2</v>
      </c>
      <c r="DT26">
        <v>1</v>
      </c>
      <c r="DU26">
        <v>3.1351905769230801</v>
      </c>
      <c r="DV26">
        <v>1.3087273016169999E-2</v>
      </c>
      <c r="DW26">
        <v>1.9534559252194902E-3</v>
      </c>
      <c r="DX26">
        <v>1</v>
      </c>
      <c r="DY26">
        <v>2</v>
      </c>
      <c r="DZ26">
        <v>2</v>
      </c>
      <c r="EA26" t="s">
        <v>293</v>
      </c>
      <c r="EB26">
        <v>1.8667499999999999</v>
      </c>
      <c r="EC26">
        <v>1.8632500000000001</v>
      </c>
      <c r="ED26">
        <v>1.8689</v>
      </c>
      <c r="EE26">
        <v>1.8668100000000001</v>
      </c>
      <c r="EF26">
        <v>1.8714900000000001</v>
      </c>
      <c r="EG26">
        <v>1.86399</v>
      </c>
      <c r="EH26">
        <v>1.8654200000000001</v>
      </c>
      <c r="EI26">
        <v>1.8653900000000001</v>
      </c>
      <c r="EJ26" t="s">
        <v>284</v>
      </c>
      <c r="EK26" t="s">
        <v>19</v>
      </c>
      <c r="EL26" t="s">
        <v>19</v>
      </c>
      <c r="EM26" t="s">
        <v>19</v>
      </c>
      <c r="EN26" t="s">
        <v>285</v>
      </c>
      <c r="EO26" t="s">
        <v>286</v>
      </c>
      <c r="EP26" t="s">
        <v>287</v>
      </c>
      <c r="EQ26" t="s">
        <v>287</v>
      </c>
      <c r="ER26" t="s">
        <v>287</v>
      </c>
      <c r="ES26" t="s">
        <v>287</v>
      </c>
      <c r="ET26">
        <v>0</v>
      </c>
      <c r="EU26">
        <v>100</v>
      </c>
      <c r="EV26">
        <v>100</v>
      </c>
      <c r="EW26">
        <v>-0.17299999999999999</v>
      </c>
      <c r="EX26">
        <v>2.8000000000000001E-2</v>
      </c>
      <c r="EY26">
        <v>2</v>
      </c>
      <c r="EZ26">
        <v>343.89699999999999</v>
      </c>
      <c r="FA26">
        <v>478.303</v>
      </c>
      <c r="FB26">
        <v>19.560600000000001</v>
      </c>
      <c r="FC26">
        <v>35.890099999999997</v>
      </c>
      <c r="FD26">
        <v>29.997800000000002</v>
      </c>
      <c r="FE26">
        <v>35.9985</v>
      </c>
      <c r="FF26">
        <v>35.9895</v>
      </c>
      <c r="FG26">
        <v>31.0564</v>
      </c>
      <c r="FH26">
        <v>0</v>
      </c>
      <c r="FI26">
        <v>100</v>
      </c>
      <c r="FJ26">
        <v>19.613800000000001</v>
      </c>
      <c r="FK26">
        <v>600</v>
      </c>
      <c r="FL26">
        <v>17.0397</v>
      </c>
      <c r="FM26">
        <v>100.569</v>
      </c>
      <c r="FN26">
        <v>100.714</v>
      </c>
    </row>
    <row r="27" spans="1:170" x14ac:dyDescent="0.25">
      <c r="A27">
        <v>11</v>
      </c>
      <c r="B27">
        <v>1592251954.9000001</v>
      </c>
      <c r="C27">
        <v>1722.2000000476801</v>
      </c>
      <c r="D27" t="s">
        <v>334</v>
      </c>
      <c r="E27" t="s">
        <v>335</v>
      </c>
      <c r="G27">
        <v>1592251946.8419399</v>
      </c>
      <c r="H27">
        <f t="shared" si="0"/>
        <v>7.8691337830775251E-3</v>
      </c>
      <c r="I27">
        <f t="shared" si="1"/>
        <v>44.307806738994131</v>
      </c>
      <c r="J27">
        <f t="shared" si="2"/>
        <v>680.12935483871001</v>
      </c>
      <c r="K27">
        <f t="shared" si="3"/>
        <v>450.43197127850328</v>
      </c>
      <c r="L27">
        <f t="shared" si="4"/>
        <v>45.176239184997875</v>
      </c>
      <c r="M27">
        <f t="shared" si="5"/>
        <v>68.213822219857661</v>
      </c>
      <c r="N27">
        <f t="shared" si="6"/>
        <v>0.35647669067060184</v>
      </c>
      <c r="O27">
        <f t="shared" si="7"/>
        <v>3.4032976454052903</v>
      </c>
      <c r="P27">
        <f t="shared" si="8"/>
        <v>0.33695597614126488</v>
      </c>
      <c r="Q27">
        <f t="shared" si="9"/>
        <v>0.21226221712190055</v>
      </c>
      <c r="R27">
        <f t="shared" si="10"/>
        <v>353.34036185413663</v>
      </c>
      <c r="S27">
        <f t="shared" si="11"/>
        <v>26.854387084317903</v>
      </c>
      <c r="T27">
        <f t="shared" si="12"/>
        <v>27.007977419354798</v>
      </c>
      <c r="U27">
        <f t="shared" si="13"/>
        <v>3.5808369922714589</v>
      </c>
      <c r="V27">
        <f t="shared" si="14"/>
        <v>36.576770622023609</v>
      </c>
      <c r="W27">
        <f t="shared" si="15"/>
        <v>1.2955197654232753</v>
      </c>
      <c r="X27">
        <f t="shared" si="16"/>
        <v>3.5419194843932362</v>
      </c>
      <c r="Y27">
        <f t="shared" si="17"/>
        <v>2.2853172268481838</v>
      </c>
      <c r="Z27">
        <f t="shared" si="18"/>
        <v>-347.02879983371884</v>
      </c>
      <c r="AA27">
        <f t="shared" si="19"/>
        <v>-34.116362779454995</v>
      </c>
      <c r="AB27">
        <f t="shared" si="20"/>
        <v>-2.1615666428566964</v>
      </c>
      <c r="AC27">
        <f t="shared" si="21"/>
        <v>-29.966367401893912</v>
      </c>
      <c r="AD27">
        <v>-4.1498878323906203E-2</v>
      </c>
      <c r="AE27">
        <v>4.6586126419997702E-2</v>
      </c>
      <c r="AF27">
        <v>3.4761209058609199</v>
      </c>
      <c r="AG27">
        <v>135</v>
      </c>
      <c r="AH27">
        <v>27</v>
      </c>
      <c r="AI27">
        <f t="shared" si="22"/>
        <v>1</v>
      </c>
      <c r="AJ27">
        <f t="shared" si="23"/>
        <v>0</v>
      </c>
      <c r="AK27">
        <f t="shared" si="24"/>
        <v>52949.472601271977</v>
      </c>
      <c r="AL27">
        <v>0</v>
      </c>
      <c r="AM27">
        <v>0</v>
      </c>
      <c r="AN27">
        <v>0</v>
      </c>
      <c r="AO27">
        <f t="shared" si="25"/>
        <v>0</v>
      </c>
      <c r="AP27" t="e">
        <f t="shared" si="26"/>
        <v>#DIV/0!</v>
      </c>
      <c r="AQ27">
        <v>-1</v>
      </c>
      <c r="AR27" t="s">
        <v>336</v>
      </c>
      <c r="AS27">
        <v>281.670538461538</v>
      </c>
      <c r="AT27">
        <v>394.89699999999999</v>
      </c>
      <c r="AU27">
        <f t="shared" si="27"/>
        <v>0.286724035732006</v>
      </c>
      <c r="AV27">
        <v>0.5</v>
      </c>
      <c r="AW27">
        <f t="shared" si="28"/>
        <v>1849.1988480961631</v>
      </c>
      <c r="AX27">
        <f t="shared" si="29"/>
        <v>44.307806738994131</v>
      </c>
      <c r="AY27">
        <f t="shared" si="30"/>
        <v>265.1048782985543</v>
      </c>
      <c r="AZ27">
        <f t="shared" si="31"/>
        <v>0.51420243759765205</v>
      </c>
      <c r="BA27">
        <f t="shared" si="32"/>
        <v>2.4501316765171383E-2</v>
      </c>
      <c r="BB27">
        <f t="shared" si="33"/>
        <v>-1</v>
      </c>
      <c r="BC27" t="s">
        <v>337</v>
      </c>
      <c r="BD27">
        <v>191.84</v>
      </c>
      <c r="BE27">
        <f t="shared" si="34"/>
        <v>203.05699999999999</v>
      </c>
      <c r="BF27">
        <f t="shared" si="35"/>
        <v>0.55760925030145225</v>
      </c>
      <c r="BG27">
        <f t="shared" si="36"/>
        <v>2.0584706005004167</v>
      </c>
      <c r="BH27">
        <f t="shared" si="37"/>
        <v>0.28672403573200606</v>
      </c>
      <c r="BI27" t="e">
        <f t="shared" si="38"/>
        <v>#DIV/0!</v>
      </c>
      <c r="BJ27">
        <v>3745</v>
      </c>
      <c r="BK27">
        <v>300</v>
      </c>
      <c r="BL27">
        <v>300</v>
      </c>
      <c r="BM27">
        <v>300</v>
      </c>
      <c r="BN27">
        <v>9867.7099999999991</v>
      </c>
      <c r="BO27">
        <v>360.88900000000001</v>
      </c>
      <c r="BP27">
        <v>-6.3997200000000002E-3</v>
      </c>
      <c r="BQ27">
        <v>0.64169299999999996</v>
      </c>
      <c r="BR27">
        <f t="shared" si="39"/>
        <v>2200.0161290322599</v>
      </c>
      <c r="BS27">
        <f t="shared" si="40"/>
        <v>1849.1988480961631</v>
      </c>
      <c r="BT27">
        <f t="shared" si="41"/>
        <v>0.84053876864511268</v>
      </c>
      <c r="BU27">
        <f t="shared" si="42"/>
        <v>0.1910775372902255</v>
      </c>
      <c r="BV27">
        <v>0.5</v>
      </c>
      <c r="BW27" t="s">
        <v>281</v>
      </c>
      <c r="BX27">
        <v>1592251946.8419399</v>
      </c>
      <c r="BY27">
        <v>680.12935483871001</v>
      </c>
      <c r="BZ27">
        <v>699.991806451613</v>
      </c>
      <c r="CA27">
        <v>12.9170451612903</v>
      </c>
      <c r="CB27">
        <v>9.8102819354838697</v>
      </c>
      <c r="CC27">
        <v>500.03732258064503</v>
      </c>
      <c r="CD27">
        <v>100.095387096774</v>
      </c>
      <c r="CE27">
        <v>0.19997838709677401</v>
      </c>
      <c r="CF27">
        <v>26.822035483871002</v>
      </c>
      <c r="CG27">
        <v>27.007977419354798</v>
      </c>
      <c r="CH27">
        <v>999.9</v>
      </c>
      <c r="CI27">
        <v>9998.1193548387091</v>
      </c>
      <c r="CJ27">
        <v>0</v>
      </c>
      <c r="CK27">
        <v>81.355954838709707</v>
      </c>
      <c r="CL27">
        <v>2200.0161290322599</v>
      </c>
      <c r="CM27">
        <v>0.98200058064516105</v>
      </c>
      <c r="CN27">
        <v>1.79996903225806E-2</v>
      </c>
      <c r="CO27">
        <v>0</v>
      </c>
      <c r="CP27">
        <v>281.681451612903</v>
      </c>
      <c r="CQ27">
        <v>5.00054</v>
      </c>
      <c r="CR27">
        <v>7022.5338709677399</v>
      </c>
      <c r="CS27">
        <v>20590.677419354801</v>
      </c>
      <c r="CT27">
        <v>50.223548387096798</v>
      </c>
      <c r="CU27">
        <v>50.241870967741903</v>
      </c>
      <c r="CV27">
        <v>50.125</v>
      </c>
      <c r="CW27">
        <v>49.435193548387097</v>
      </c>
      <c r="CX27">
        <v>51.295999999999999</v>
      </c>
      <c r="CY27">
        <v>2155.5061290322601</v>
      </c>
      <c r="CZ27">
        <v>39.51</v>
      </c>
      <c r="DA27">
        <v>0</v>
      </c>
      <c r="DB27">
        <v>148.90000009536701</v>
      </c>
      <c r="DC27">
        <v>281.670538461538</v>
      </c>
      <c r="DD27">
        <v>-2.6897094048333798</v>
      </c>
      <c r="DE27">
        <v>-49.057094013645703</v>
      </c>
      <c r="DF27">
        <v>7021.9830769230803</v>
      </c>
      <c r="DG27">
        <v>15</v>
      </c>
      <c r="DH27">
        <v>1592251902.3</v>
      </c>
      <c r="DI27" t="s">
        <v>338</v>
      </c>
      <c r="DJ27">
        <v>67</v>
      </c>
      <c r="DK27">
        <v>-9.8000000000000004E-2</v>
      </c>
      <c r="DL27">
        <v>2.9000000000000001E-2</v>
      </c>
      <c r="DM27">
        <v>700</v>
      </c>
      <c r="DN27">
        <v>10</v>
      </c>
      <c r="DO27">
        <v>0.25</v>
      </c>
      <c r="DP27">
        <v>0.03</v>
      </c>
      <c r="DQ27">
        <v>-19.878119230769201</v>
      </c>
      <c r="DR27">
        <v>0.22011435381878</v>
      </c>
      <c r="DS27">
        <v>8.5868701288343202E-2</v>
      </c>
      <c r="DT27">
        <v>1</v>
      </c>
      <c r="DU27">
        <v>3.1126163461538501</v>
      </c>
      <c r="DV27">
        <v>-6.1780949915576297E-2</v>
      </c>
      <c r="DW27">
        <v>7.7654295608673499E-3</v>
      </c>
      <c r="DX27">
        <v>1</v>
      </c>
      <c r="DY27">
        <v>2</v>
      </c>
      <c r="DZ27">
        <v>2</v>
      </c>
      <c r="EA27" t="s">
        <v>293</v>
      </c>
      <c r="EB27">
        <v>1.8667400000000001</v>
      </c>
      <c r="EC27">
        <v>1.8632500000000001</v>
      </c>
      <c r="ED27">
        <v>1.8688899999999999</v>
      </c>
      <c r="EE27">
        <v>1.86677</v>
      </c>
      <c r="EF27">
        <v>1.8714900000000001</v>
      </c>
      <c r="EG27">
        <v>1.86395</v>
      </c>
      <c r="EH27">
        <v>1.8653900000000001</v>
      </c>
      <c r="EI27">
        <v>1.86538</v>
      </c>
      <c r="EJ27" t="s">
        <v>284</v>
      </c>
      <c r="EK27" t="s">
        <v>19</v>
      </c>
      <c r="EL27" t="s">
        <v>19</v>
      </c>
      <c r="EM27" t="s">
        <v>19</v>
      </c>
      <c r="EN27" t="s">
        <v>285</v>
      </c>
      <c r="EO27" t="s">
        <v>286</v>
      </c>
      <c r="EP27" t="s">
        <v>287</v>
      </c>
      <c r="EQ27" t="s">
        <v>287</v>
      </c>
      <c r="ER27" t="s">
        <v>287</v>
      </c>
      <c r="ES27" t="s">
        <v>287</v>
      </c>
      <c r="ET27">
        <v>0</v>
      </c>
      <c r="EU27">
        <v>100</v>
      </c>
      <c r="EV27">
        <v>100</v>
      </c>
      <c r="EW27">
        <v>-9.8000000000000004E-2</v>
      </c>
      <c r="EX27">
        <v>2.9000000000000001E-2</v>
      </c>
      <c r="EY27">
        <v>2</v>
      </c>
      <c r="EZ27">
        <v>345.78699999999998</v>
      </c>
      <c r="FA27">
        <v>478.92099999999999</v>
      </c>
      <c r="FB27">
        <v>19.940000000000001</v>
      </c>
      <c r="FC27">
        <v>35.654299999999999</v>
      </c>
      <c r="FD27">
        <v>29.9998</v>
      </c>
      <c r="FE27">
        <v>35.7956</v>
      </c>
      <c r="FF27">
        <v>35.798000000000002</v>
      </c>
      <c r="FG27">
        <v>35.1539</v>
      </c>
      <c r="FH27">
        <v>0</v>
      </c>
      <c r="FI27">
        <v>100</v>
      </c>
      <c r="FJ27">
        <v>19.9176</v>
      </c>
      <c r="FK27">
        <v>700</v>
      </c>
      <c r="FL27">
        <v>17.0397</v>
      </c>
      <c r="FM27">
        <v>100.604</v>
      </c>
      <c r="FN27">
        <v>100.756</v>
      </c>
    </row>
    <row r="28" spans="1:170" x14ac:dyDescent="0.25">
      <c r="A28">
        <v>12</v>
      </c>
      <c r="B28">
        <v>1592252083.3</v>
      </c>
      <c r="C28">
        <v>1850.5999999046301</v>
      </c>
      <c r="D28" t="s">
        <v>339</v>
      </c>
      <c r="E28" t="s">
        <v>340</v>
      </c>
      <c r="G28">
        <v>1592252075.35484</v>
      </c>
      <c r="H28">
        <f t="shared" si="0"/>
        <v>7.4577870600559468E-3</v>
      </c>
      <c r="I28">
        <f t="shared" si="1"/>
        <v>45.178394314547631</v>
      </c>
      <c r="J28">
        <f t="shared" si="2"/>
        <v>779.604548387097</v>
      </c>
      <c r="K28">
        <f t="shared" si="3"/>
        <v>529.88209171044844</v>
      </c>
      <c r="L28">
        <f t="shared" si="4"/>
        <v>53.143165001232482</v>
      </c>
      <c r="M28">
        <f t="shared" si="5"/>
        <v>78.188438142737638</v>
      </c>
      <c r="N28">
        <f t="shared" si="6"/>
        <v>0.33573977161264779</v>
      </c>
      <c r="O28">
        <f t="shared" si="7"/>
        <v>3.4047598715676619</v>
      </c>
      <c r="P28">
        <f t="shared" si="8"/>
        <v>0.31837172347295756</v>
      </c>
      <c r="Q28">
        <f t="shared" si="9"/>
        <v>0.20046787638040514</v>
      </c>
      <c r="R28">
        <f t="shared" si="10"/>
        <v>353.33876585993966</v>
      </c>
      <c r="S28">
        <f t="shared" si="11"/>
        <v>26.840074545839411</v>
      </c>
      <c r="T28">
        <f t="shared" si="12"/>
        <v>26.9614516129032</v>
      </c>
      <c r="U28">
        <f t="shared" si="13"/>
        <v>3.5710643272554212</v>
      </c>
      <c r="V28">
        <f t="shared" si="14"/>
        <v>36.325764942043939</v>
      </c>
      <c r="W28">
        <f t="shared" si="15"/>
        <v>1.2785366907703617</v>
      </c>
      <c r="X28">
        <f t="shared" si="16"/>
        <v>3.5196414798427709</v>
      </c>
      <c r="Y28">
        <f t="shared" si="17"/>
        <v>2.2925276364850595</v>
      </c>
      <c r="Z28">
        <f t="shared" si="18"/>
        <v>-328.88840934846723</v>
      </c>
      <c r="AA28">
        <f t="shared" si="19"/>
        <v>-45.276508633854263</v>
      </c>
      <c r="AB28">
        <f t="shared" si="20"/>
        <v>-2.8652219290978822</v>
      </c>
      <c r="AC28">
        <f t="shared" si="21"/>
        <v>-23.691374051479698</v>
      </c>
      <c r="AD28">
        <v>-4.1521557729820101E-2</v>
      </c>
      <c r="AE28">
        <v>4.6611586039961198E-2</v>
      </c>
      <c r="AF28">
        <v>3.4776229304070201</v>
      </c>
      <c r="AG28">
        <v>136</v>
      </c>
      <c r="AH28">
        <v>27</v>
      </c>
      <c r="AI28">
        <f t="shared" si="22"/>
        <v>1</v>
      </c>
      <c r="AJ28">
        <f t="shared" si="23"/>
        <v>0</v>
      </c>
      <c r="AK28">
        <f t="shared" si="24"/>
        <v>52996.119045474945</v>
      </c>
      <c r="AL28">
        <v>0</v>
      </c>
      <c r="AM28">
        <v>0</v>
      </c>
      <c r="AN28">
        <v>0</v>
      </c>
      <c r="AO28">
        <f t="shared" si="25"/>
        <v>0</v>
      </c>
      <c r="AP28" t="e">
        <f t="shared" si="26"/>
        <v>#DIV/0!</v>
      </c>
      <c r="AQ28">
        <v>-1</v>
      </c>
      <c r="AR28" t="s">
        <v>341</v>
      </c>
      <c r="AS28">
        <v>279.31061538461501</v>
      </c>
      <c r="AT28">
        <v>390.64499999999998</v>
      </c>
      <c r="AU28">
        <f t="shared" si="27"/>
        <v>0.28500143254203936</v>
      </c>
      <c r="AV28">
        <v>0.5</v>
      </c>
      <c r="AW28">
        <f t="shared" si="28"/>
        <v>1849.1904480961618</v>
      </c>
      <c r="AX28">
        <f t="shared" si="29"/>
        <v>45.178394314547631</v>
      </c>
      <c r="AY28">
        <f t="shared" si="30"/>
        <v>263.51096337523092</v>
      </c>
      <c r="AZ28">
        <f t="shared" si="31"/>
        <v>0.50824917764210475</v>
      </c>
      <c r="BA28">
        <f t="shared" si="32"/>
        <v>2.4972221959123086E-2</v>
      </c>
      <c r="BB28">
        <f t="shared" si="33"/>
        <v>-1</v>
      </c>
      <c r="BC28" t="s">
        <v>342</v>
      </c>
      <c r="BD28">
        <v>192.1</v>
      </c>
      <c r="BE28">
        <f t="shared" si="34"/>
        <v>198.54499999999999</v>
      </c>
      <c r="BF28">
        <f t="shared" si="35"/>
        <v>0.56075138943506497</v>
      </c>
      <c r="BG28">
        <f t="shared" si="36"/>
        <v>2.0335502342529934</v>
      </c>
      <c r="BH28">
        <f t="shared" si="37"/>
        <v>0.28500143254203941</v>
      </c>
      <c r="BI28" t="e">
        <f t="shared" si="38"/>
        <v>#DIV/0!</v>
      </c>
      <c r="BJ28">
        <v>3747</v>
      </c>
      <c r="BK28">
        <v>300</v>
      </c>
      <c r="BL28">
        <v>300</v>
      </c>
      <c r="BM28">
        <v>300</v>
      </c>
      <c r="BN28">
        <v>9868</v>
      </c>
      <c r="BO28">
        <v>356.73</v>
      </c>
      <c r="BP28">
        <v>-6.3997999999999998E-3</v>
      </c>
      <c r="BQ28">
        <v>0.21612500000000001</v>
      </c>
      <c r="BR28">
        <f t="shared" si="39"/>
        <v>2200.0061290322601</v>
      </c>
      <c r="BS28">
        <f t="shared" si="40"/>
        <v>1849.1904480961618</v>
      </c>
      <c r="BT28">
        <f t="shared" si="41"/>
        <v>0.84053877109405362</v>
      </c>
      <c r="BU28">
        <f t="shared" si="42"/>
        <v>0.19107754218810744</v>
      </c>
      <c r="BV28">
        <v>0.5</v>
      </c>
      <c r="BW28" t="s">
        <v>281</v>
      </c>
      <c r="BX28">
        <v>1592252075.35484</v>
      </c>
      <c r="BY28">
        <v>779.604548387097</v>
      </c>
      <c r="BZ28">
        <v>800.00003225806404</v>
      </c>
      <c r="CA28">
        <v>12.748087096774199</v>
      </c>
      <c r="CB28">
        <v>9.8032212903225808</v>
      </c>
      <c r="CC28">
        <v>500.03735483870997</v>
      </c>
      <c r="CD28">
        <v>100.09245161290301</v>
      </c>
      <c r="CE28">
        <v>0.199982935483871</v>
      </c>
      <c r="CF28">
        <v>26.714790322580601</v>
      </c>
      <c r="CG28">
        <v>26.9614516129032</v>
      </c>
      <c r="CH28">
        <v>999.9</v>
      </c>
      <c r="CI28">
        <v>10003.876774193501</v>
      </c>
      <c r="CJ28">
        <v>0</v>
      </c>
      <c r="CK28">
        <v>81.514496774193503</v>
      </c>
      <c r="CL28">
        <v>2200.0061290322601</v>
      </c>
      <c r="CM28">
        <v>0.98200006451612898</v>
      </c>
      <c r="CN28">
        <v>1.8000232258064498E-2</v>
      </c>
      <c r="CO28">
        <v>0</v>
      </c>
      <c r="CP28">
        <v>279.33003225806499</v>
      </c>
      <c r="CQ28">
        <v>5.00054</v>
      </c>
      <c r="CR28">
        <v>6971.8129032258103</v>
      </c>
      <c r="CS28">
        <v>20590.580645161299</v>
      </c>
      <c r="CT28">
        <v>50.175129032258099</v>
      </c>
      <c r="CU28">
        <v>50.151000000000003</v>
      </c>
      <c r="CV28">
        <v>50.061999999999998</v>
      </c>
      <c r="CW28">
        <v>49.425064516128998</v>
      </c>
      <c r="CX28">
        <v>51.304000000000002</v>
      </c>
      <c r="CY28">
        <v>2155.4961290322599</v>
      </c>
      <c r="CZ28">
        <v>39.51</v>
      </c>
      <c r="DA28">
        <v>0</v>
      </c>
      <c r="DB28">
        <v>127.700000047684</v>
      </c>
      <c r="DC28">
        <v>279.31061538461501</v>
      </c>
      <c r="DD28">
        <v>-2.6263931643887801</v>
      </c>
      <c r="DE28">
        <v>-75.952820477409404</v>
      </c>
      <c r="DF28">
        <v>6971.3169230769199</v>
      </c>
      <c r="DG28">
        <v>15</v>
      </c>
      <c r="DH28">
        <v>1592252022.9000001</v>
      </c>
      <c r="DI28" t="s">
        <v>343</v>
      </c>
      <c r="DJ28">
        <v>68</v>
      </c>
      <c r="DK28">
        <v>0.105</v>
      </c>
      <c r="DL28">
        <v>2.8000000000000001E-2</v>
      </c>
      <c r="DM28">
        <v>800</v>
      </c>
      <c r="DN28">
        <v>10</v>
      </c>
      <c r="DO28">
        <v>0.11</v>
      </c>
      <c r="DP28">
        <v>0.03</v>
      </c>
      <c r="DQ28">
        <v>-20.433540384615402</v>
      </c>
      <c r="DR28">
        <v>0.355569306244927</v>
      </c>
      <c r="DS28">
        <v>8.4833720299489795E-2</v>
      </c>
      <c r="DT28">
        <v>1</v>
      </c>
      <c r="DU28">
        <v>2.9548228846153899</v>
      </c>
      <c r="DV28">
        <v>-9.2018417982315706E-2</v>
      </c>
      <c r="DW28">
        <v>1.44722546667937E-2</v>
      </c>
      <c r="DX28">
        <v>1</v>
      </c>
      <c r="DY28">
        <v>2</v>
      </c>
      <c r="DZ28">
        <v>2</v>
      </c>
      <c r="EA28" t="s">
        <v>293</v>
      </c>
      <c r="EB28">
        <v>1.8667400000000001</v>
      </c>
      <c r="EC28">
        <v>1.8632500000000001</v>
      </c>
      <c r="ED28">
        <v>1.8688800000000001</v>
      </c>
      <c r="EE28">
        <v>1.86677</v>
      </c>
      <c r="EF28">
        <v>1.8714900000000001</v>
      </c>
      <c r="EG28">
        <v>1.86395</v>
      </c>
      <c r="EH28">
        <v>1.8653900000000001</v>
      </c>
      <c r="EI28">
        <v>1.86537</v>
      </c>
      <c r="EJ28" t="s">
        <v>284</v>
      </c>
      <c r="EK28" t="s">
        <v>19</v>
      </c>
      <c r="EL28" t="s">
        <v>19</v>
      </c>
      <c r="EM28" t="s">
        <v>19</v>
      </c>
      <c r="EN28" t="s">
        <v>285</v>
      </c>
      <c r="EO28" t="s">
        <v>286</v>
      </c>
      <c r="EP28" t="s">
        <v>287</v>
      </c>
      <c r="EQ28" t="s">
        <v>287</v>
      </c>
      <c r="ER28" t="s">
        <v>287</v>
      </c>
      <c r="ES28" t="s">
        <v>287</v>
      </c>
      <c r="ET28">
        <v>0</v>
      </c>
      <c r="EU28">
        <v>100</v>
      </c>
      <c r="EV28">
        <v>100</v>
      </c>
      <c r="EW28">
        <v>0.105</v>
      </c>
      <c r="EX28">
        <v>2.8000000000000001E-2</v>
      </c>
      <c r="EY28">
        <v>2</v>
      </c>
      <c r="EZ28">
        <v>345.43</v>
      </c>
      <c r="FA28">
        <v>478.11200000000002</v>
      </c>
      <c r="FB28">
        <v>19.617899999999999</v>
      </c>
      <c r="FC28">
        <v>35.6877</v>
      </c>
      <c r="FD28">
        <v>29.999700000000001</v>
      </c>
      <c r="FE28">
        <v>35.7746</v>
      </c>
      <c r="FF28">
        <v>35.777000000000001</v>
      </c>
      <c r="FG28">
        <v>39.1584</v>
      </c>
      <c r="FH28">
        <v>0</v>
      </c>
      <c r="FI28">
        <v>100</v>
      </c>
      <c r="FJ28">
        <v>19.570699999999999</v>
      </c>
      <c r="FK28">
        <v>800</v>
      </c>
      <c r="FL28">
        <v>17.0397</v>
      </c>
      <c r="FM28">
        <v>100.601</v>
      </c>
      <c r="FN28">
        <v>100.75</v>
      </c>
    </row>
    <row r="29" spans="1:170" x14ac:dyDescent="0.25">
      <c r="A29">
        <v>13</v>
      </c>
      <c r="B29">
        <v>1592252233.9000001</v>
      </c>
      <c r="C29">
        <v>2001.2000000476801</v>
      </c>
      <c r="D29" t="s">
        <v>344</v>
      </c>
      <c r="E29" t="s">
        <v>345</v>
      </c>
      <c r="G29">
        <v>1592252225.9000001</v>
      </c>
      <c r="H29">
        <f t="shared" si="0"/>
        <v>6.8128911801346569E-3</v>
      </c>
      <c r="I29">
        <f t="shared" si="1"/>
        <v>46.719066334301623</v>
      </c>
      <c r="J29">
        <f t="shared" si="2"/>
        <v>978.61935483871002</v>
      </c>
      <c r="K29">
        <f t="shared" si="3"/>
        <v>687.27405081329789</v>
      </c>
      <c r="L29">
        <f t="shared" si="4"/>
        <v>68.928782231132914</v>
      </c>
      <c r="M29">
        <f t="shared" si="5"/>
        <v>98.148679288887905</v>
      </c>
      <c r="N29">
        <f t="shared" si="6"/>
        <v>0.29974598020400156</v>
      </c>
      <c r="O29">
        <f t="shared" si="7"/>
        <v>3.4046563706553736</v>
      </c>
      <c r="P29">
        <f t="shared" si="8"/>
        <v>0.28581889998184168</v>
      </c>
      <c r="Q29">
        <f t="shared" si="9"/>
        <v>0.17983417221970113</v>
      </c>
      <c r="R29">
        <f t="shared" si="10"/>
        <v>353.33845982702974</v>
      </c>
      <c r="S29">
        <f t="shared" si="11"/>
        <v>26.939302107525137</v>
      </c>
      <c r="T29">
        <f t="shared" si="12"/>
        <v>27.0441419354839</v>
      </c>
      <c r="U29">
        <f t="shared" si="13"/>
        <v>3.588449404029967</v>
      </c>
      <c r="V29">
        <f t="shared" si="14"/>
        <v>35.770700072465033</v>
      </c>
      <c r="W29">
        <f t="shared" si="15"/>
        <v>1.2555578207867351</v>
      </c>
      <c r="X29">
        <f t="shared" si="16"/>
        <v>3.510017467489313</v>
      </c>
      <c r="Y29">
        <f t="shared" si="17"/>
        <v>2.332891583243232</v>
      </c>
      <c r="Z29">
        <f t="shared" si="18"/>
        <v>-300.44850104393839</v>
      </c>
      <c r="AA29">
        <f t="shared" si="19"/>
        <v>-68.990621366778569</v>
      </c>
      <c r="AB29">
        <f t="shared" si="20"/>
        <v>-4.3668401071812113</v>
      </c>
      <c r="AC29">
        <f t="shared" si="21"/>
        <v>-20.467502690868415</v>
      </c>
      <c r="AD29">
        <v>-4.1519952265498497E-2</v>
      </c>
      <c r="AE29">
        <v>4.6609783765613803E-2</v>
      </c>
      <c r="AF29">
        <v>3.4775166121861401</v>
      </c>
      <c r="AG29">
        <v>133</v>
      </c>
      <c r="AH29">
        <v>27</v>
      </c>
      <c r="AI29">
        <f t="shared" si="22"/>
        <v>1</v>
      </c>
      <c r="AJ29">
        <f t="shared" si="23"/>
        <v>0</v>
      </c>
      <c r="AK29">
        <f t="shared" si="24"/>
        <v>53002.391903181378</v>
      </c>
      <c r="AL29">
        <v>0</v>
      </c>
      <c r="AM29">
        <v>0</v>
      </c>
      <c r="AN29">
        <v>0</v>
      </c>
      <c r="AO29">
        <f t="shared" si="25"/>
        <v>0</v>
      </c>
      <c r="AP29" t="e">
        <f t="shared" si="26"/>
        <v>#DIV/0!</v>
      </c>
      <c r="AQ29">
        <v>-1</v>
      </c>
      <c r="AR29" t="s">
        <v>346</v>
      </c>
      <c r="AS29">
        <v>272.83519230769201</v>
      </c>
      <c r="AT29">
        <v>375.738</v>
      </c>
      <c r="AU29">
        <f t="shared" si="27"/>
        <v>0.2738685139440461</v>
      </c>
      <c r="AV29">
        <v>0.5</v>
      </c>
      <c r="AW29">
        <f t="shared" si="28"/>
        <v>1849.1885803542159</v>
      </c>
      <c r="AX29">
        <f t="shared" si="29"/>
        <v>46.719066334301623</v>
      </c>
      <c r="AY29">
        <f t="shared" si="30"/>
        <v>253.2172642519547</v>
      </c>
      <c r="AZ29">
        <f t="shared" si="31"/>
        <v>0.49927875274792544</v>
      </c>
      <c r="BA29">
        <f t="shared" si="32"/>
        <v>2.5805408297060184E-2</v>
      </c>
      <c r="BB29">
        <f t="shared" si="33"/>
        <v>-1</v>
      </c>
      <c r="BC29" t="s">
        <v>347</v>
      </c>
      <c r="BD29">
        <v>188.14</v>
      </c>
      <c r="BE29">
        <f t="shared" si="34"/>
        <v>187.59800000000001</v>
      </c>
      <c r="BF29">
        <f t="shared" si="35"/>
        <v>0.5485282769129094</v>
      </c>
      <c r="BG29">
        <f t="shared" si="36"/>
        <v>1.9971191665780803</v>
      </c>
      <c r="BH29">
        <f t="shared" si="37"/>
        <v>0.2738685139440461</v>
      </c>
      <c r="BI29" t="e">
        <f t="shared" si="38"/>
        <v>#DIV/0!</v>
      </c>
      <c r="BJ29">
        <v>3749</v>
      </c>
      <c r="BK29">
        <v>300</v>
      </c>
      <c r="BL29">
        <v>300</v>
      </c>
      <c r="BM29">
        <v>300</v>
      </c>
      <c r="BN29">
        <v>9868.36</v>
      </c>
      <c r="BO29">
        <v>345.29599999999999</v>
      </c>
      <c r="BP29">
        <v>-6.40019E-3</v>
      </c>
      <c r="BQ29">
        <v>0.530304</v>
      </c>
      <c r="BR29">
        <f t="shared" si="39"/>
        <v>2200.0038709677401</v>
      </c>
      <c r="BS29">
        <f t="shared" si="40"/>
        <v>1849.1885803542159</v>
      </c>
      <c r="BT29">
        <f t="shared" si="41"/>
        <v>0.84053878484349798</v>
      </c>
      <c r="BU29">
        <f t="shared" si="42"/>
        <v>0.19107756968699591</v>
      </c>
      <c r="BV29">
        <v>0.5</v>
      </c>
      <c r="BW29" t="s">
        <v>281</v>
      </c>
      <c r="BX29">
        <v>1592252225.9000001</v>
      </c>
      <c r="BY29">
        <v>978.61935483871002</v>
      </c>
      <c r="BZ29">
        <v>999.97177419354796</v>
      </c>
      <c r="CA29">
        <v>12.5188967741935</v>
      </c>
      <c r="CB29">
        <v>9.8281206451612899</v>
      </c>
      <c r="CC29">
        <v>500.04912903225801</v>
      </c>
      <c r="CD29">
        <v>100.09303225806499</v>
      </c>
      <c r="CE29">
        <v>0.19997625806451599</v>
      </c>
      <c r="CF29">
        <v>26.668277419354801</v>
      </c>
      <c r="CG29">
        <v>27.0441419354839</v>
      </c>
      <c r="CH29">
        <v>999.9</v>
      </c>
      <c r="CI29">
        <v>10003.431935483901</v>
      </c>
      <c r="CJ29">
        <v>0</v>
      </c>
      <c r="CK29">
        <v>80.997951612903194</v>
      </c>
      <c r="CL29">
        <v>2200.0038709677401</v>
      </c>
      <c r="CM29">
        <v>0.98199954838709702</v>
      </c>
      <c r="CN29">
        <v>1.80007741935484E-2</v>
      </c>
      <c r="CO29">
        <v>0</v>
      </c>
      <c r="CP29">
        <v>272.83822580645199</v>
      </c>
      <c r="CQ29">
        <v>5.00054</v>
      </c>
      <c r="CR29">
        <v>6818.84516129032</v>
      </c>
      <c r="CS29">
        <v>20590.564516129001</v>
      </c>
      <c r="CT29">
        <v>50.045999999999999</v>
      </c>
      <c r="CU29">
        <v>49.995935483871001</v>
      </c>
      <c r="CV29">
        <v>49.967483870967698</v>
      </c>
      <c r="CW29">
        <v>49.354612903225799</v>
      </c>
      <c r="CX29">
        <v>51.158999999999999</v>
      </c>
      <c r="CY29">
        <v>2155.4929032258101</v>
      </c>
      <c r="CZ29">
        <v>39.510967741935502</v>
      </c>
      <c r="DA29">
        <v>0</v>
      </c>
      <c r="DB29">
        <v>149.700000047684</v>
      </c>
      <c r="DC29">
        <v>272.83519230769201</v>
      </c>
      <c r="DD29">
        <v>-4.2384615343879499</v>
      </c>
      <c r="DE29">
        <v>-85.936752136109106</v>
      </c>
      <c r="DF29">
        <v>6818.3603846153801</v>
      </c>
      <c r="DG29">
        <v>15</v>
      </c>
      <c r="DH29">
        <v>1592252144.4000001</v>
      </c>
      <c r="DI29" t="s">
        <v>348</v>
      </c>
      <c r="DJ29">
        <v>69</v>
      </c>
      <c r="DK29">
        <v>0.27600000000000002</v>
      </c>
      <c r="DL29">
        <v>2.8000000000000001E-2</v>
      </c>
      <c r="DM29">
        <v>1000</v>
      </c>
      <c r="DN29">
        <v>10</v>
      </c>
      <c r="DO29">
        <v>0.25</v>
      </c>
      <c r="DP29">
        <v>0.03</v>
      </c>
      <c r="DQ29">
        <v>-21.395015384615402</v>
      </c>
      <c r="DR29">
        <v>0.27585452061812898</v>
      </c>
      <c r="DS29">
        <v>7.2353128114332393E-2</v>
      </c>
      <c r="DT29">
        <v>1</v>
      </c>
      <c r="DU29">
        <v>2.7028230769230799</v>
      </c>
      <c r="DV29">
        <v>-0.12631032186460001</v>
      </c>
      <c r="DW29">
        <v>1.5874288541109199E-2</v>
      </c>
      <c r="DX29">
        <v>0</v>
      </c>
      <c r="DY29">
        <v>1</v>
      </c>
      <c r="DZ29">
        <v>2</v>
      </c>
      <c r="EA29" t="s">
        <v>349</v>
      </c>
      <c r="EB29">
        <v>1.86663</v>
      </c>
      <c r="EC29">
        <v>1.8632</v>
      </c>
      <c r="ED29">
        <v>1.86877</v>
      </c>
      <c r="EE29">
        <v>1.86676</v>
      </c>
      <c r="EF29">
        <v>1.87138</v>
      </c>
      <c r="EG29">
        <v>1.8638600000000001</v>
      </c>
      <c r="EH29">
        <v>1.86537</v>
      </c>
      <c r="EI29">
        <v>1.8652299999999999</v>
      </c>
      <c r="EJ29" t="s">
        <v>284</v>
      </c>
      <c r="EK29" t="s">
        <v>19</v>
      </c>
      <c r="EL29" t="s">
        <v>19</v>
      </c>
      <c r="EM29" t="s">
        <v>19</v>
      </c>
      <c r="EN29" t="s">
        <v>285</v>
      </c>
      <c r="EO29" t="s">
        <v>286</v>
      </c>
      <c r="EP29" t="s">
        <v>287</v>
      </c>
      <c r="EQ29" t="s">
        <v>287</v>
      </c>
      <c r="ER29" t="s">
        <v>287</v>
      </c>
      <c r="ES29" t="s">
        <v>287</v>
      </c>
      <c r="ET29">
        <v>0</v>
      </c>
      <c r="EU29">
        <v>100</v>
      </c>
      <c r="EV29">
        <v>100</v>
      </c>
      <c r="EW29">
        <v>0.27600000000000002</v>
      </c>
      <c r="EX29">
        <v>2.8000000000000001E-2</v>
      </c>
      <c r="EY29">
        <v>2</v>
      </c>
      <c r="EZ29">
        <v>347.53199999999998</v>
      </c>
      <c r="FA29">
        <v>476.88499999999999</v>
      </c>
      <c r="FB29">
        <v>18.816299999999998</v>
      </c>
      <c r="FC29">
        <v>35.7714</v>
      </c>
      <c r="FD29">
        <v>30.000499999999999</v>
      </c>
      <c r="FE29">
        <v>35.804299999999998</v>
      </c>
      <c r="FF29">
        <v>35.800199999999997</v>
      </c>
      <c r="FG29">
        <v>46.878799999999998</v>
      </c>
      <c r="FH29">
        <v>0</v>
      </c>
      <c r="FI29">
        <v>100</v>
      </c>
      <c r="FJ29">
        <v>18.792200000000001</v>
      </c>
      <c r="FK29">
        <v>1000</v>
      </c>
      <c r="FL29">
        <v>17.0397</v>
      </c>
      <c r="FM29">
        <v>100.584</v>
      </c>
      <c r="FN29">
        <v>100.73</v>
      </c>
    </row>
    <row r="30" spans="1:170" x14ac:dyDescent="0.25">
      <c r="A30">
        <v>14</v>
      </c>
      <c r="B30">
        <v>1592252384.4000001</v>
      </c>
      <c r="C30">
        <v>2151.7000000476801</v>
      </c>
      <c r="D30" t="s">
        <v>350</v>
      </c>
      <c r="E30" t="s">
        <v>351</v>
      </c>
      <c r="G30">
        <v>1592252376.4000001</v>
      </c>
      <c r="H30">
        <f t="shared" si="0"/>
        <v>6.0816778744534833E-3</v>
      </c>
      <c r="I30">
        <f t="shared" si="1"/>
        <v>46.983910918446412</v>
      </c>
      <c r="J30">
        <f t="shared" si="2"/>
        <v>1178.3135483870999</v>
      </c>
      <c r="K30">
        <f t="shared" si="3"/>
        <v>844.67091152016576</v>
      </c>
      <c r="L30">
        <f t="shared" si="4"/>
        <v>84.714043499300672</v>
      </c>
      <c r="M30">
        <f t="shared" si="5"/>
        <v>118.17585266933511</v>
      </c>
      <c r="N30">
        <f t="shared" si="6"/>
        <v>0.26419627758162023</v>
      </c>
      <c r="O30">
        <f t="shared" si="7"/>
        <v>3.4034179941042226</v>
      </c>
      <c r="P30">
        <f t="shared" si="8"/>
        <v>0.25330853314183605</v>
      </c>
      <c r="Q30">
        <f t="shared" si="9"/>
        <v>0.15925866469736871</v>
      </c>
      <c r="R30">
        <f t="shared" si="10"/>
        <v>353.33821765704323</v>
      </c>
      <c r="S30">
        <f t="shared" si="11"/>
        <v>26.868146312217831</v>
      </c>
      <c r="T30">
        <f t="shared" si="12"/>
        <v>27.0104935483871</v>
      </c>
      <c r="U30">
        <f t="shared" si="13"/>
        <v>3.5813661655647002</v>
      </c>
      <c r="V30">
        <f t="shared" si="14"/>
        <v>35.56989673167579</v>
      </c>
      <c r="W30">
        <f t="shared" si="15"/>
        <v>1.231222074143383</v>
      </c>
      <c r="X30">
        <f t="shared" si="16"/>
        <v>3.4614159367152508</v>
      </c>
      <c r="Y30">
        <f t="shared" si="17"/>
        <v>2.350144091421317</v>
      </c>
      <c r="Z30">
        <f t="shared" si="18"/>
        <v>-268.2019942633986</v>
      </c>
      <c r="AA30">
        <f t="shared" si="19"/>
        <v>-106.20530224713254</v>
      </c>
      <c r="AB30">
        <f t="shared" si="20"/>
        <v>-6.7157480962174345</v>
      </c>
      <c r="AC30">
        <f t="shared" si="21"/>
        <v>-27.784826949705362</v>
      </c>
      <c r="AD30">
        <v>-4.15007447880772E-2</v>
      </c>
      <c r="AE30">
        <v>4.6588221689540903E-2</v>
      </c>
      <c r="AF30">
        <v>3.4762445298774498</v>
      </c>
      <c r="AG30">
        <v>133</v>
      </c>
      <c r="AH30">
        <v>27</v>
      </c>
      <c r="AI30">
        <f t="shared" si="22"/>
        <v>1</v>
      </c>
      <c r="AJ30">
        <f t="shared" si="23"/>
        <v>0</v>
      </c>
      <c r="AK30">
        <f t="shared" si="24"/>
        <v>53020.723625184197</v>
      </c>
      <c r="AL30">
        <v>0</v>
      </c>
      <c r="AM30">
        <v>0</v>
      </c>
      <c r="AN30">
        <v>0</v>
      </c>
      <c r="AO30">
        <f t="shared" si="25"/>
        <v>0</v>
      </c>
      <c r="AP30" t="e">
        <f t="shared" si="26"/>
        <v>#DIV/0!</v>
      </c>
      <c r="AQ30">
        <v>-1</v>
      </c>
      <c r="AR30" t="s">
        <v>352</v>
      </c>
      <c r="AS30">
        <v>266.825923076923</v>
      </c>
      <c r="AT30">
        <v>362.92500000000001</v>
      </c>
      <c r="AU30">
        <f t="shared" si="27"/>
        <v>0.26479045787167321</v>
      </c>
      <c r="AV30">
        <v>0.5</v>
      </c>
      <c r="AW30">
        <f t="shared" si="28"/>
        <v>1849.1874771284145</v>
      </c>
      <c r="AX30">
        <f t="shared" si="29"/>
        <v>46.983910918446412</v>
      </c>
      <c r="AY30">
        <f t="shared" si="30"/>
        <v>244.82359937969855</v>
      </c>
      <c r="AZ30">
        <f t="shared" si="31"/>
        <v>0.4855135358545154</v>
      </c>
      <c r="BA30">
        <f t="shared" si="32"/>
        <v>2.5948645830632687E-2</v>
      </c>
      <c r="BB30">
        <f t="shared" si="33"/>
        <v>-1</v>
      </c>
      <c r="BC30" t="s">
        <v>353</v>
      </c>
      <c r="BD30">
        <v>186.72</v>
      </c>
      <c r="BE30">
        <f t="shared" si="34"/>
        <v>176.20500000000001</v>
      </c>
      <c r="BF30">
        <f t="shared" si="35"/>
        <v>0.54538223616286141</v>
      </c>
      <c r="BG30">
        <f t="shared" si="36"/>
        <v>1.943685732647815</v>
      </c>
      <c r="BH30">
        <f t="shared" si="37"/>
        <v>0.26479045787167321</v>
      </c>
      <c r="BI30" t="e">
        <f t="shared" si="38"/>
        <v>#DIV/0!</v>
      </c>
      <c r="BJ30">
        <v>3751</v>
      </c>
      <c r="BK30">
        <v>300</v>
      </c>
      <c r="BL30">
        <v>300</v>
      </c>
      <c r="BM30">
        <v>300</v>
      </c>
      <c r="BN30">
        <v>9868.56</v>
      </c>
      <c r="BO30">
        <v>335.03</v>
      </c>
      <c r="BP30">
        <v>-6.4003300000000001E-3</v>
      </c>
      <c r="BQ30">
        <v>0.37158200000000002</v>
      </c>
      <c r="BR30">
        <f t="shared" si="39"/>
        <v>2200.0025806451599</v>
      </c>
      <c r="BS30">
        <f t="shared" si="40"/>
        <v>1849.1874771284145</v>
      </c>
      <c r="BT30">
        <f t="shared" si="41"/>
        <v>0.84053877636185892</v>
      </c>
      <c r="BU30">
        <f t="shared" si="42"/>
        <v>0.19107755272371776</v>
      </c>
      <c r="BV30">
        <v>0.5</v>
      </c>
      <c r="BW30" t="s">
        <v>281</v>
      </c>
      <c r="BX30">
        <v>1592252376.4000001</v>
      </c>
      <c r="BY30">
        <v>1178.3135483870999</v>
      </c>
      <c r="BZ30">
        <v>1199.9716129032299</v>
      </c>
      <c r="CA30">
        <v>12.276329032258101</v>
      </c>
      <c r="CB30">
        <v>9.8737383870967701</v>
      </c>
      <c r="CC30">
        <v>500.04500000000002</v>
      </c>
      <c r="CD30">
        <v>100.09235483870999</v>
      </c>
      <c r="CE30">
        <v>0.20001032258064499</v>
      </c>
      <c r="CF30">
        <v>26.431670967741901</v>
      </c>
      <c r="CG30">
        <v>27.0104935483871</v>
      </c>
      <c r="CH30">
        <v>999.9</v>
      </c>
      <c r="CI30">
        <v>9998.8719354838704</v>
      </c>
      <c r="CJ30">
        <v>0</v>
      </c>
      <c r="CK30">
        <v>80.016254838709699</v>
      </c>
      <c r="CL30">
        <v>2200.0025806451599</v>
      </c>
      <c r="CM30">
        <v>0.98199948387096803</v>
      </c>
      <c r="CN30">
        <v>1.8000841935483899E-2</v>
      </c>
      <c r="CO30">
        <v>0</v>
      </c>
      <c r="CP30">
        <v>266.84119354838703</v>
      </c>
      <c r="CQ30">
        <v>5.00054</v>
      </c>
      <c r="CR30">
        <v>6679.62387096774</v>
      </c>
      <c r="CS30">
        <v>20590.554838709701</v>
      </c>
      <c r="CT30">
        <v>50.007935483871002</v>
      </c>
      <c r="CU30">
        <v>49.961387096774203</v>
      </c>
      <c r="CV30">
        <v>49.917000000000002</v>
      </c>
      <c r="CW30">
        <v>49.402999999999999</v>
      </c>
      <c r="CX30">
        <v>51.0741935483871</v>
      </c>
      <c r="CY30">
        <v>2155.4922580645198</v>
      </c>
      <c r="CZ30">
        <v>39.510322580645202</v>
      </c>
      <c r="DA30">
        <v>0</v>
      </c>
      <c r="DB30">
        <v>149.700000047684</v>
      </c>
      <c r="DC30">
        <v>266.825923076923</v>
      </c>
      <c r="DD30">
        <v>-2.9591794911343001</v>
      </c>
      <c r="DE30">
        <v>-84.192136762861196</v>
      </c>
      <c r="DF30">
        <v>6679.1461538461499</v>
      </c>
      <c r="DG30">
        <v>15</v>
      </c>
      <c r="DH30">
        <v>1592252300.9000001</v>
      </c>
      <c r="DI30" t="s">
        <v>354</v>
      </c>
      <c r="DJ30">
        <v>70</v>
      </c>
      <c r="DK30">
        <v>0.34699999999999998</v>
      </c>
      <c r="DL30">
        <v>3.2000000000000001E-2</v>
      </c>
      <c r="DM30">
        <v>1200</v>
      </c>
      <c r="DN30">
        <v>10</v>
      </c>
      <c r="DO30">
        <v>7.0000000000000007E-2</v>
      </c>
      <c r="DP30">
        <v>0.04</v>
      </c>
      <c r="DQ30">
        <v>-21.6979634615385</v>
      </c>
      <c r="DR30">
        <v>0.54623256211042504</v>
      </c>
      <c r="DS30">
        <v>0.17228542845304201</v>
      </c>
      <c r="DT30">
        <v>0</v>
      </c>
      <c r="DU30">
        <v>2.4136207692307701</v>
      </c>
      <c r="DV30">
        <v>-0.12640846922222099</v>
      </c>
      <c r="DW30">
        <v>1.5826550944311901E-2</v>
      </c>
      <c r="DX30">
        <v>0</v>
      </c>
      <c r="DY30">
        <v>0</v>
      </c>
      <c r="DZ30">
        <v>2</v>
      </c>
      <c r="EA30" t="s">
        <v>283</v>
      </c>
      <c r="EB30">
        <v>1.8666199999999999</v>
      </c>
      <c r="EC30">
        <v>1.86314</v>
      </c>
      <c r="ED30">
        <v>1.86876</v>
      </c>
      <c r="EE30">
        <v>1.86673</v>
      </c>
      <c r="EF30">
        <v>1.87137</v>
      </c>
      <c r="EG30">
        <v>1.86385</v>
      </c>
      <c r="EH30">
        <v>1.86531</v>
      </c>
      <c r="EI30">
        <v>1.8652299999999999</v>
      </c>
      <c r="EJ30" t="s">
        <v>284</v>
      </c>
      <c r="EK30" t="s">
        <v>19</v>
      </c>
      <c r="EL30" t="s">
        <v>19</v>
      </c>
      <c r="EM30" t="s">
        <v>19</v>
      </c>
      <c r="EN30" t="s">
        <v>285</v>
      </c>
      <c r="EO30" t="s">
        <v>286</v>
      </c>
      <c r="EP30" t="s">
        <v>287</v>
      </c>
      <c r="EQ30" t="s">
        <v>287</v>
      </c>
      <c r="ER30" t="s">
        <v>287</v>
      </c>
      <c r="ES30" t="s">
        <v>287</v>
      </c>
      <c r="ET30">
        <v>0</v>
      </c>
      <c r="EU30">
        <v>100</v>
      </c>
      <c r="EV30">
        <v>100</v>
      </c>
      <c r="EW30">
        <v>0.34699999999999998</v>
      </c>
      <c r="EX30">
        <v>3.2000000000000001E-2</v>
      </c>
      <c r="EY30">
        <v>2</v>
      </c>
      <c r="EZ30">
        <v>348.19600000000003</v>
      </c>
      <c r="FA30">
        <v>476.30700000000002</v>
      </c>
      <c r="FB30">
        <v>18.444099999999999</v>
      </c>
      <c r="FC30">
        <v>35.930999999999997</v>
      </c>
      <c r="FD30">
        <v>30.000599999999999</v>
      </c>
      <c r="FE30">
        <v>35.906300000000002</v>
      </c>
      <c r="FF30">
        <v>35.893500000000003</v>
      </c>
      <c r="FG30">
        <v>54.281399999999998</v>
      </c>
      <c r="FH30">
        <v>0</v>
      </c>
      <c r="FI30">
        <v>100</v>
      </c>
      <c r="FJ30">
        <v>18.437999999999999</v>
      </c>
      <c r="FK30">
        <v>1200</v>
      </c>
      <c r="FL30">
        <v>17.0397</v>
      </c>
      <c r="FM30">
        <v>100.559</v>
      </c>
      <c r="FN30">
        <v>100.7</v>
      </c>
    </row>
    <row r="31" spans="1:170" x14ac:dyDescent="0.25">
      <c r="A31">
        <v>15</v>
      </c>
      <c r="B31">
        <v>1592252534.9000001</v>
      </c>
      <c r="C31">
        <v>2302.2000000476801</v>
      </c>
      <c r="D31" t="s">
        <v>355</v>
      </c>
      <c r="E31" t="s">
        <v>356</v>
      </c>
      <c r="G31">
        <v>1592252526.9000001</v>
      </c>
      <c r="H31">
        <f t="shared" si="0"/>
        <v>5.4100655767022141E-3</v>
      </c>
      <c r="I31">
        <f t="shared" si="1"/>
        <v>47.292753826976586</v>
      </c>
      <c r="J31">
        <f t="shared" si="2"/>
        <v>1577.6219354838699</v>
      </c>
      <c r="K31">
        <f t="shared" si="3"/>
        <v>1188.6074474620266</v>
      </c>
      <c r="L31">
        <f t="shared" si="4"/>
        <v>119.20351156602614</v>
      </c>
      <c r="M31">
        <f t="shared" si="5"/>
        <v>158.21714312392953</v>
      </c>
      <c r="N31">
        <f t="shared" si="6"/>
        <v>0.23259414643859791</v>
      </c>
      <c r="O31">
        <f t="shared" si="7"/>
        <v>3.4037106547025875</v>
      </c>
      <c r="P31">
        <f t="shared" si="8"/>
        <v>0.22411104083267355</v>
      </c>
      <c r="Q31">
        <f t="shared" si="9"/>
        <v>0.14080579694211745</v>
      </c>
      <c r="R31">
        <f t="shared" si="10"/>
        <v>353.34211516857772</v>
      </c>
      <c r="S31">
        <f t="shared" si="11"/>
        <v>26.875476224865078</v>
      </c>
      <c r="T31">
        <f t="shared" si="12"/>
        <v>26.928132258064501</v>
      </c>
      <c r="U31">
        <f t="shared" si="13"/>
        <v>3.5640799693854248</v>
      </c>
      <c r="V31">
        <f t="shared" si="14"/>
        <v>34.982863072067659</v>
      </c>
      <c r="W31">
        <f t="shared" si="15"/>
        <v>1.200617507950398</v>
      </c>
      <c r="X31">
        <f t="shared" si="16"/>
        <v>3.4320161430956189</v>
      </c>
      <c r="Y31">
        <f t="shared" si="17"/>
        <v>2.3634624614350268</v>
      </c>
      <c r="Z31">
        <f t="shared" si="18"/>
        <v>-238.58389193256764</v>
      </c>
      <c r="AA31">
        <f t="shared" si="19"/>
        <v>-117.62404409126523</v>
      </c>
      <c r="AB31">
        <f t="shared" si="20"/>
        <v>-7.4287166753109544</v>
      </c>
      <c r="AC31">
        <f t="shared" si="21"/>
        <v>-10.294537530566117</v>
      </c>
      <c r="AD31">
        <v>-4.1505283728425803E-2</v>
      </c>
      <c r="AE31">
        <v>4.6593317047715202E-2</v>
      </c>
      <c r="AF31">
        <v>3.47654515552086</v>
      </c>
      <c r="AG31">
        <v>137</v>
      </c>
      <c r="AH31">
        <v>27</v>
      </c>
      <c r="AI31">
        <f t="shared" si="22"/>
        <v>1</v>
      </c>
      <c r="AJ31">
        <f t="shared" si="23"/>
        <v>0</v>
      </c>
      <c r="AK31">
        <f t="shared" si="24"/>
        <v>53051.808281653612</v>
      </c>
      <c r="AL31">
        <v>0</v>
      </c>
      <c r="AM31">
        <v>0</v>
      </c>
      <c r="AN31">
        <v>0</v>
      </c>
      <c r="AO31">
        <f t="shared" si="25"/>
        <v>0</v>
      </c>
      <c r="AP31" t="e">
        <f t="shared" si="26"/>
        <v>#DIV/0!</v>
      </c>
      <c r="AQ31">
        <v>-1</v>
      </c>
      <c r="AR31" t="s">
        <v>357</v>
      </c>
      <c r="AS31">
        <v>261.943692307692</v>
      </c>
      <c r="AT31">
        <v>352.05099999999999</v>
      </c>
      <c r="AU31">
        <f t="shared" si="27"/>
        <v>0.25594958597563422</v>
      </c>
      <c r="AV31">
        <v>0.5</v>
      </c>
      <c r="AW31">
        <f t="shared" si="28"/>
        <v>1849.2078190638993</v>
      </c>
      <c r="AX31">
        <f t="shared" si="29"/>
        <v>47.292753826976586</v>
      </c>
      <c r="AY31">
        <f t="shared" si="30"/>
        <v>236.65198783615526</v>
      </c>
      <c r="AZ31">
        <f t="shared" si="31"/>
        <v>0.47200831697680168</v>
      </c>
      <c r="BA31">
        <f t="shared" si="32"/>
        <v>2.6115374015357132E-2</v>
      </c>
      <c r="BB31">
        <f t="shared" si="33"/>
        <v>-1</v>
      </c>
      <c r="BC31" t="s">
        <v>358</v>
      </c>
      <c r="BD31">
        <v>185.88</v>
      </c>
      <c r="BE31">
        <f t="shared" si="34"/>
        <v>166.17099999999999</v>
      </c>
      <c r="BF31">
        <f t="shared" si="35"/>
        <v>0.54225651703551159</v>
      </c>
      <c r="BG31">
        <f t="shared" si="36"/>
        <v>1.8939692274585753</v>
      </c>
      <c r="BH31">
        <f t="shared" si="37"/>
        <v>0.25594958597563416</v>
      </c>
      <c r="BI31" t="e">
        <f t="shared" si="38"/>
        <v>#DIV/0!</v>
      </c>
      <c r="BJ31">
        <v>3753</v>
      </c>
      <c r="BK31">
        <v>300</v>
      </c>
      <c r="BL31">
        <v>300</v>
      </c>
      <c r="BM31">
        <v>300</v>
      </c>
      <c r="BN31">
        <v>9868.2999999999993</v>
      </c>
      <c r="BO31">
        <v>324.62</v>
      </c>
      <c r="BP31">
        <v>-6.4001400000000003E-3</v>
      </c>
      <c r="BQ31">
        <v>0.43377700000000002</v>
      </c>
      <c r="BR31">
        <f t="shared" si="39"/>
        <v>2200.02677419355</v>
      </c>
      <c r="BS31">
        <f t="shared" si="40"/>
        <v>1849.2078190638993</v>
      </c>
      <c r="BT31">
        <f t="shared" si="41"/>
        <v>0.84053877923451714</v>
      </c>
      <c r="BU31">
        <f t="shared" si="42"/>
        <v>0.19107755846903435</v>
      </c>
      <c r="BV31">
        <v>0.5</v>
      </c>
      <c r="BW31" t="s">
        <v>281</v>
      </c>
      <c r="BX31">
        <v>1592252526.9000001</v>
      </c>
      <c r="BY31">
        <v>1577.6219354838699</v>
      </c>
      <c r="BZ31">
        <v>1599.9509677419401</v>
      </c>
      <c r="CA31">
        <v>11.9716516129032</v>
      </c>
      <c r="CB31">
        <v>9.8337319354838701</v>
      </c>
      <c r="CC31">
        <v>500.04667741935498</v>
      </c>
      <c r="CD31">
        <v>100.088387096774</v>
      </c>
      <c r="CE31">
        <v>0.199989709677419</v>
      </c>
      <c r="CF31">
        <v>26.287132258064499</v>
      </c>
      <c r="CG31">
        <v>26.928132258064501</v>
      </c>
      <c r="CH31">
        <v>999.9</v>
      </c>
      <c r="CI31">
        <v>10000.361935483899</v>
      </c>
      <c r="CJ31">
        <v>0</v>
      </c>
      <c r="CK31">
        <v>147.76241935483901</v>
      </c>
      <c r="CL31">
        <v>2200.02677419355</v>
      </c>
      <c r="CM31">
        <v>0.98199954838709702</v>
      </c>
      <c r="CN31">
        <v>1.80007741935484E-2</v>
      </c>
      <c r="CO31">
        <v>0</v>
      </c>
      <c r="CP31">
        <v>261.97054838709698</v>
      </c>
      <c r="CQ31">
        <v>5.00054</v>
      </c>
      <c r="CR31">
        <v>6509.7883870967798</v>
      </c>
      <c r="CS31">
        <v>20590.787096774198</v>
      </c>
      <c r="CT31">
        <v>49.900870967741902</v>
      </c>
      <c r="CU31">
        <v>49.695193548387103</v>
      </c>
      <c r="CV31">
        <v>49.78</v>
      </c>
      <c r="CW31">
        <v>49.104548387096798</v>
      </c>
      <c r="CX31">
        <v>50.975612903225802</v>
      </c>
      <c r="CY31">
        <v>2155.5158064516099</v>
      </c>
      <c r="CZ31">
        <v>39.510967741935502</v>
      </c>
      <c r="DA31">
        <v>0</v>
      </c>
      <c r="DB31">
        <v>149.700000047684</v>
      </c>
      <c r="DC31">
        <v>261.943692307692</v>
      </c>
      <c r="DD31">
        <v>-4.3468717997322797</v>
      </c>
      <c r="DE31">
        <v>-73.815042745945306</v>
      </c>
      <c r="DF31">
        <v>6509.3680769230796</v>
      </c>
      <c r="DG31">
        <v>15</v>
      </c>
      <c r="DH31">
        <v>1592252445.9000001</v>
      </c>
      <c r="DI31" t="s">
        <v>359</v>
      </c>
      <c r="DJ31">
        <v>71</v>
      </c>
      <c r="DK31">
        <v>0.33500000000000002</v>
      </c>
      <c r="DL31">
        <v>3.3000000000000002E-2</v>
      </c>
      <c r="DM31">
        <v>1601</v>
      </c>
      <c r="DN31">
        <v>10</v>
      </c>
      <c r="DO31">
        <v>0.16</v>
      </c>
      <c r="DP31">
        <v>0.04</v>
      </c>
      <c r="DQ31">
        <v>-22.375415384615401</v>
      </c>
      <c r="DR31">
        <v>0.62329104413887504</v>
      </c>
      <c r="DS31">
        <v>0.14363201698011199</v>
      </c>
      <c r="DT31">
        <v>0</v>
      </c>
      <c r="DU31">
        <v>2.1465242307692298</v>
      </c>
      <c r="DV31">
        <v>-9.8941244770748393E-2</v>
      </c>
      <c r="DW31">
        <v>1.2387071322421001E-2</v>
      </c>
      <c r="DX31">
        <v>1</v>
      </c>
      <c r="DY31">
        <v>1</v>
      </c>
      <c r="DZ31">
        <v>2</v>
      </c>
      <c r="EA31" t="s">
        <v>349</v>
      </c>
      <c r="EB31">
        <v>1.86673</v>
      </c>
      <c r="EC31">
        <v>1.8632500000000001</v>
      </c>
      <c r="ED31">
        <v>1.8689</v>
      </c>
      <c r="EE31">
        <v>1.86677</v>
      </c>
      <c r="EF31">
        <v>1.87148</v>
      </c>
      <c r="EG31">
        <v>1.8639699999999999</v>
      </c>
      <c r="EH31">
        <v>1.8653900000000001</v>
      </c>
      <c r="EI31">
        <v>1.8653500000000001</v>
      </c>
      <c r="EJ31" t="s">
        <v>284</v>
      </c>
      <c r="EK31" t="s">
        <v>19</v>
      </c>
      <c r="EL31" t="s">
        <v>19</v>
      </c>
      <c r="EM31" t="s">
        <v>19</v>
      </c>
      <c r="EN31" t="s">
        <v>285</v>
      </c>
      <c r="EO31" t="s">
        <v>286</v>
      </c>
      <c r="EP31" t="s">
        <v>287</v>
      </c>
      <c r="EQ31" t="s">
        <v>287</v>
      </c>
      <c r="ER31" t="s">
        <v>287</v>
      </c>
      <c r="ES31" t="s">
        <v>287</v>
      </c>
      <c r="ET31">
        <v>0</v>
      </c>
      <c r="EU31">
        <v>100</v>
      </c>
      <c r="EV31">
        <v>100</v>
      </c>
      <c r="EW31">
        <v>0.33500000000000002</v>
      </c>
      <c r="EX31">
        <v>3.3000000000000002E-2</v>
      </c>
      <c r="EY31">
        <v>2</v>
      </c>
      <c r="EZ31">
        <v>343.58499999999998</v>
      </c>
      <c r="FA31">
        <v>477.42599999999999</v>
      </c>
      <c r="FB31">
        <v>19.640699999999999</v>
      </c>
      <c r="FC31">
        <v>35.852499999999999</v>
      </c>
      <c r="FD31">
        <v>29.998699999999999</v>
      </c>
      <c r="FE31">
        <v>35.871400000000001</v>
      </c>
      <c r="FF31">
        <v>35.845500000000001</v>
      </c>
      <c r="FG31">
        <v>68.230099999999993</v>
      </c>
      <c r="FH31">
        <v>0</v>
      </c>
      <c r="FI31">
        <v>100</v>
      </c>
      <c r="FJ31">
        <v>19.673400000000001</v>
      </c>
      <c r="FK31">
        <v>1600</v>
      </c>
      <c r="FL31">
        <v>17.0397</v>
      </c>
      <c r="FM31">
        <v>100.574</v>
      </c>
      <c r="FN31">
        <v>100.73099999999999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/>
  </sheetViews>
  <sheetFormatPr defaultRowHeight="14.4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19</v>
      </c>
    </row>
    <row r="12" spans="1:2" x14ac:dyDescent="0.25">
      <c r="A12" t="s">
        <v>21</v>
      </c>
      <c r="B12" t="s">
        <v>17</v>
      </c>
    </row>
    <row r="13" spans="1:2" x14ac:dyDescent="0.25">
      <c r="A13" t="s">
        <v>22</v>
      </c>
      <c r="B13" t="s">
        <v>11</v>
      </c>
    </row>
    <row r="14" spans="1:2" x14ac:dyDescent="0.25">
      <c r="A14" t="s">
        <v>23</v>
      </c>
      <c r="B14" t="s">
        <v>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DELL</cp:lastModifiedBy>
  <dcterms:created xsi:type="dcterms:W3CDTF">2020-06-15T15:22:36Z</dcterms:created>
  <dcterms:modified xsi:type="dcterms:W3CDTF">2024-11-20T08:55:54Z</dcterms:modified>
</cp:coreProperties>
</file>