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615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 s="1"/>
  <c r="X30" i="1"/>
  <c r="W30" i="1"/>
  <c r="V30" i="1" s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/>
  <c r="AJ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I28" i="1" s="1"/>
  <c r="AX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O27" i="1"/>
  <c r="AP27" i="1" s="1"/>
  <c r="AK27" i="1"/>
  <c r="AI27" i="1" s="1"/>
  <c r="X27" i="1"/>
  <c r="W27" i="1"/>
  <c r="V27" i="1"/>
  <c r="O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P26" i="1"/>
  <c r="AO26" i="1"/>
  <c r="AK26" i="1"/>
  <c r="AI26" i="1" s="1"/>
  <c r="X26" i="1"/>
  <c r="W26" i="1"/>
  <c r="V26" i="1"/>
  <c r="O26" i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H25" i="1" s="1"/>
  <c r="X25" i="1"/>
  <c r="W25" i="1"/>
  <c r="V25" i="1"/>
  <c r="O25" i="1"/>
  <c r="BU24" i="1"/>
  <c r="BT24" i="1"/>
  <c r="BR24" i="1"/>
  <c r="BS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/>
  <c r="I24" i="1" s="1"/>
  <c r="AX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H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M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H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H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P18" i="1"/>
  <c r="AO18" i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/>
  <c r="I17" i="1" s="1"/>
  <c r="AX17" i="1" s="1"/>
  <c r="X17" i="1"/>
  <c r="W17" i="1"/>
  <c r="V17" i="1"/>
  <c r="O17" i="1"/>
  <c r="M17" i="1"/>
  <c r="J17" i="1"/>
  <c r="AW18" i="1" l="1"/>
  <c r="R18" i="1"/>
  <c r="Z19" i="1"/>
  <c r="R24" i="1"/>
  <c r="AW24" i="1"/>
  <c r="BA24" i="1" s="1"/>
  <c r="AW27" i="1"/>
  <c r="AY27" i="1" s="1"/>
  <c r="R27" i="1"/>
  <c r="BA28" i="1"/>
  <c r="AW22" i="1"/>
  <c r="AY22" i="1" s="1"/>
  <c r="R22" i="1"/>
  <c r="R21" i="1"/>
  <c r="AW21" i="1"/>
  <c r="H30" i="1"/>
  <c r="J30" i="1"/>
  <c r="I30" i="1"/>
  <c r="AX30" i="1" s="1"/>
  <c r="BA30" i="1" s="1"/>
  <c r="M30" i="1"/>
  <c r="AJ30" i="1"/>
  <c r="H26" i="1"/>
  <c r="I26" i="1"/>
  <c r="AX26" i="1" s="1"/>
  <c r="BA26" i="1" s="1"/>
  <c r="AJ26" i="1"/>
  <c r="M26" i="1"/>
  <c r="J26" i="1"/>
  <c r="Z25" i="1"/>
  <c r="H27" i="1"/>
  <c r="J27" i="1"/>
  <c r="I27" i="1"/>
  <c r="AX27" i="1" s="1"/>
  <c r="AJ27" i="1"/>
  <c r="M27" i="1"/>
  <c r="R17" i="1"/>
  <c r="AW17" i="1"/>
  <c r="AY17" i="1" s="1"/>
  <c r="J22" i="1"/>
  <c r="AJ22" i="1"/>
  <c r="I22" i="1"/>
  <c r="AX22" i="1" s="1"/>
  <c r="BA22" i="1" s="1"/>
  <c r="H22" i="1"/>
  <c r="M22" i="1"/>
  <c r="AY26" i="1"/>
  <c r="AW23" i="1"/>
  <c r="AY23" i="1" s="1"/>
  <c r="R23" i="1"/>
  <c r="AY18" i="1"/>
  <c r="AY29" i="1"/>
  <c r="R30" i="1"/>
  <c r="AW30" i="1"/>
  <c r="R29" i="1"/>
  <c r="AW29" i="1"/>
  <c r="AW25" i="1"/>
  <c r="AY25" i="1" s="1"/>
  <c r="R25" i="1"/>
  <c r="R28" i="1"/>
  <c r="AW28" i="1"/>
  <c r="AY28" i="1" s="1"/>
  <c r="AY30" i="1"/>
  <c r="R20" i="1"/>
  <c r="AW20" i="1"/>
  <c r="AY20" i="1" s="1"/>
  <c r="BA17" i="1"/>
  <c r="R19" i="1"/>
  <c r="AW19" i="1"/>
  <c r="AY19" i="1" s="1"/>
  <c r="AW26" i="1"/>
  <c r="R26" i="1"/>
  <c r="AY21" i="1"/>
  <c r="Z20" i="1"/>
  <c r="AY24" i="1"/>
  <c r="Z23" i="1"/>
  <c r="AJ21" i="1"/>
  <c r="H29" i="1"/>
  <c r="I21" i="1"/>
  <c r="AX21" i="1" s="1"/>
  <c r="J21" i="1"/>
  <c r="AJ25" i="1"/>
  <c r="M25" i="1"/>
  <c r="J24" i="1"/>
  <c r="H28" i="1"/>
  <c r="M24" i="1"/>
  <c r="H18" i="1"/>
  <c r="I23" i="1"/>
  <c r="AX23" i="1" s="1"/>
  <c r="BA23" i="1" s="1"/>
  <c r="J28" i="1"/>
  <c r="I18" i="1"/>
  <c r="AX18" i="1" s="1"/>
  <c r="BA18" i="1" s="1"/>
  <c r="J23" i="1"/>
  <c r="H21" i="1"/>
  <c r="AJ20" i="1"/>
  <c r="I25" i="1"/>
  <c r="AX25" i="1" s="1"/>
  <c r="BA25" i="1" s="1"/>
  <c r="I20" i="1"/>
  <c r="AX20" i="1" s="1"/>
  <c r="BA20" i="1" s="1"/>
  <c r="J25" i="1"/>
  <c r="J20" i="1"/>
  <c r="AJ19" i="1"/>
  <c r="J19" i="1"/>
  <c r="M19" i="1"/>
  <c r="J18" i="1"/>
  <c r="AJ24" i="1"/>
  <c r="H24" i="1"/>
  <c r="I29" i="1"/>
  <c r="AX29" i="1" s="1"/>
  <c r="BA29" i="1" s="1"/>
  <c r="J29" i="1"/>
  <c r="I19" i="1"/>
  <c r="AX19" i="1" s="1"/>
  <c r="AJ23" i="1"/>
  <c r="M29" i="1"/>
  <c r="M28" i="1"/>
  <c r="AJ17" i="1"/>
  <c r="M23" i="1"/>
  <c r="M20" i="1"/>
  <c r="AJ28" i="1"/>
  <c r="AJ18" i="1"/>
  <c r="H17" i="1"/>
  <c r="S17" i="1" l="1"/>
  <c r="T17" i="1" s="1"/>
  <c r="P17" i="1" s="1"/>
  <c r="N17" i="1" s="1"/>
  <c r="Q17" i="1" s="1"/>
  <c r="K17" i="1" s="1"/>
  <c r="L17" i="1" s="1"/>
  <c r="Z21" i="1"/>
  <c r="Z17" i="1"/>
  <c r="Z30" i="1"/>
  <c r="S25" i="1"/>
  <c r="T25" i="1" s="1"/>
  <c r="Z27" i="1"/>
  <c r="S23" i="1"/>
  <c r="T23" i="1" s="1"/>
  <c r="S27" i="1"/>
  <c r="T27" i="1" s="1"/>
  <c r="S21" i="1"/>
  <c r="T21" i="1" s="1"/>
  <c r="BA19" i="1"/>
  <c r="BA27" i="1"/>
  <c r="S28" i="1"/>
  <c r="T28" i="1" s="1"/>
  <c r="Z24" i="1"/>
  <c r="P24" i="1"/>
  <c r="N24" i="1" s="1"/>
  <c r="Q24" i="1" s="1"/>
  <c r="K24" i="1" s="1"/>
  <c r="L24" i="1" s="1"/>
  <c r="S22" i="1"/>
  <c r="T22" i="1" s="1"/>
  <c r="S20" i="1"/>
  <c r="T20" i="1" s="1"/>
  <c r="S24" i="1"/>
  <c r="T24" i="1" s="1"/>
  <c r="Z29" i="1"/>
  <c r="S29" i="1"/>
  <c r="T29" i="1" s="1"/>
  <c r="P29" i="1" s="1"/>
  <c r="N29" i="1" s="1"/>
  <c r="Q29" i="1" s="1"/>
  <c r="K29" i="1" s="1"/>
  <c r="L29" i="1" s="1"/>
  <c r="S30" i="1"/>
  <c r="T30" i="1" s="1"/>
  <c r="P30" i="1" s="1"/>
  <c r="N30" i="1" s="1"/>
  <c r="Q30" i="1" s="1"/>
  <c r="K30" i="1" s="1"/>
  <c r="L30" i="1" s="1"/>
  <c r="Z26" i="1"/>
  <c r="Z22" i="1"/>
  <c r="P22" i="1"/>
  <c r="N22" i="1" s="1"/>
  <c r="Q22" i="1" s="1"/>
  <c r="K22" i="1" s="1"/>
  <c r="L22" i="1" s="1"/>
  <c r="Z18" i="1"/>
  <c r="S18" i="1"/>
  <c r="T18" i="1" s="1"/>
  <c r="S26" i="1"/>
  <c r="T26" i="1" s="1"/>
  <c r="S19" i="1"/>
  <c r="T19" i="1" s="1"/>
  <c r="Z28" i="1"/>
  <c r="BA21" i="1"/>
  <c r="AB26" i="1" l="1"/>
  <c r="U26" i="1"/>
  <c r="Y26" i="1" s="1"/>
  <c r="AA26" i="1"/>
  <c r="AB19" i="1"/>
  <c r="AA19" i="1"/>
  <c r="U19" i="1"/>
  <c r="Y19" i="1" s="1"/>
  <c r="P19" i="1"/>
  <c r="N19" i="1" s="1"/>
  <c r="Q19" i="1" s="1"/>
  <c r="K19" i="1" s="1"/>
  <c r="L19" i="1" s="1"/>
  <c r="AB18" i="1"/>
  <c r="U18" i="1"/>
  <c r="Y18" i="1" s="1"/>
  <c r="AA18" i="1"/>
  <c r="AA25" i="1"/>
  <c r="U25" i="1"/>
  <c r="Y25" i="1" s="1"/>
  <c r="AB25" i="1"/>
  <c r="AC25" i="1" s="1"/>
  <c r="P25" i="1"/>
  <c r="N25" i="1" s="1"/>
  <c r="Q25" i="1" s="1"/>
  <c r="K25" i="1" s="1"/>
  <c r="L25" i="1" s="1"/>
  <c r="P18" i="1"/>
  <c r="N18" i="1" s="1"/>
  <c r="Q18" i="1" s="1"/>
  <c r="K18" i="1" s="1"/>
  <c r="L18" i="1" s="1"/>
  <c r="U29" i="1"/>
  <c r="Y29" i="1" s="1"/>
  <c r="AB29" i="1"/>
  <c r="AA29" i="1"/>
  <c r="U30" i="1"/>
  <c r="Y30" i="1" s="1"/>
  <c r="AB30" i="1"/>
  <c r="AA30" i="1"/>
  <c r="U28" i="1"/>
  <c r="Y28" i="1" s="1"/>
  <c r="AB28" i="1"/>
  <c r="AA28" i="1"/>
  <c r="U27" i="1"/>
  <c r="Y27" i="1" s="1"/>
  <c r="AB27" i="1"/>
  <c r="AC27" i="1" s="1"/>
  <c r="AA27" i="1"/>
  <c r="P26" i="1"/>
  <c r="N26" i="1" s="1"/>
  <c r="Q26" i="1" s="1"/>
  <c r="K26" i="1" s="1"/>
  <c r="L26" i="1" s="1"/>
  <c r="P27" i="1"/>
  <c r="N27" i="1" s="1"/>
  <c r="Q27" i="1" s="1"/>
  <c r="K27" i="1" s="1"/>
  <c r="L27" i="1" s="1"/>
  <c r="AB24" i="1"/>
  <c r="AA24" i="1"/>
  <c r="U24" i="1"/>
  <c r="Y24" i="1" s="1"/>
  <c r="U21" i="1"/>
  <c r="Y21" i="1" s="1"/>
  <c r="AB21" i="1"/>
  <c r="AA21" i="1"/>
  <c r="AA23" i="1"/>
  <c r="U23" i="1"/>
  <c r="Y23" i="1" s="1"/>
  <c r="AB23" i="1"/>
  <c r="AC23" i="1" s="1"/>
  <c r="P23" i="1"/>
  <c r="N23" i="1" s="1"/>
  <c r="Q23" i="1" s="1"/>
  <c r="K23" i="1" s="1"/>
  <c r="L23" i="1" s="1"/>
  <c r="U20" i="1"/>
  <c r="Y20" i="1" s="1"/>
  <c r="AB20" i="1"/>
  <c r="AA20" i="1"/>
  <c r="P20" i="1"/>
  <c r="N20" i="1" s="1"/>
  <c r="Q20" i="1" s="1"/>
  <c r="K20" i="1" s="1"/>
  <c r="L20" i="1" s="1"/>
  <c r="P21" i="1"/>
  <c r="N21" i="1" s="1"/>
  <c r="Q21" i="1" s="1"/>
  <c r="K21" i="1" s="1"/>
  <c r="L21" i="1" s="1"/>
  <c r="P28" i="1"/>
  <c r="N28" i="1" s="1"/>
  <c r="Q28" i="1" s="1"/>
  <c r="K28" i="1" s="1"/>
  <c r="L28" i="1" s="1"/>
  <c r="U22" i="1"/>
  <c r="Y22" i="1" s="1"/>
  <c r="AB22" i="1"/>
  <c r="AC22" i="1" s="1"/>
  <c r="AA22" i="1"/>
  <c r="AB17" i="1"/>
  <c r="U17" i="1"/>
  <c r="Y17" i="1" s="1"/>
  <c r="AA17" i="1"/>
  <c r="AC28" i="1" l="1"/>
  <c r="AC21" i="1"/>
  <c r="AC19" i="1"/>
  <c r="AC30" i="1"/>
  <c r="AC29" i="1"/>
  <c r="AC20" i="1"/>
  <c r="AC18" i="1"/>
  <c r="AC24" i="1"/>
  <c r="AC17" i="1"/>
  <c r="AC26" i="1"/>
</calcChain>
</file>

<file path=xl/sharedStrings.xml><?xml version="1.0" encoding="utf-8"?>
<sst xmlns="http://schemas.openxmlformats.org/spreadsheetml/2006/main" count="771" uniqueCount="354">
  <si>
    <t>File opened</t>
  </si>
  <si>
    <t>2020-06-15 12:11:17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</si>
  <si>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</si>
  <si>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</si>
  <si>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</si>
  <si>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</si>
  <si>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</si>
  <si>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</si>
  <si>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</si>
  <si>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</si>
  <si>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</si>
  <si>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</si>
  <si>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</si>
  <si>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{"co2aspan2": "0", "co2aspan2a": "0.164928", "flowbzero": "0.22736", "co2azero": "0.869071", "h2oaspan2": "0", "h2obspanconc1": "20", "co2aspanconc1": "1002", "co2bspanconc2": "0", "co2bzero": "0.880288", "h2oaspanconc2": "0", "co2aspan1": "0.992625", "h2oaspan1": "1.00223", "co2bspan2a": "0.163389", "co2bspan2": "0", "tazero": "0.00774765", "chamberpressurezero": "2.59209", "h2oaspanconc1": "12.19", "h2obspan2a": "0.0975941", "oxygen": "21", "h2oaspan2a": "0.0661155", "h2oaspan2b": "0.0662632", "h2obspan1": "0.998578", "h2obspan2b": "0.0963575", "h2obspan2": "0", "ssb_ref": "36526.8", "co2aspan2b": "0.163711", "h2obspanconc2": "0", "flowazero": "0.42932", "co2bspan1": "0.992131", "h2oazero": "1.00263", "co2bspanconc1": "1002", "co2bspan2b": "0.162103", "flowmeterzero": "0.990908", "co2aspanconc2": "0", "tbzero": "0.197721", "ssa_ref": "36614.9", "h2obzero": "1.01783"}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</si>
  <si>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</si>
  <si>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</si>
  <si>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</si>
  <si>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</si>
  <si>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</si>
  <si>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</si>
  <si>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</si>
  <si>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</si>
  <si>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</si>
  <si>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12:11:17</t>
  </si>
  <si>
    <t>Stability Definition:	ΔH2O (Meas2): Slp&lt;0.1	ΔCO2 (Meas2): Slp&lt;0.5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</si>
  <si>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</si>
  <si>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</si>
  <si>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</si>
  <si>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</si>
  <si>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</si>
  <si>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</si>
  <si>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</si>
  <si>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</si>
  <si>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</si>
  <si>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</si>
  <si>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</si>
  <si>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</si>
  <si>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</si>
  <si>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</si>
  <si>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</si>
  <si>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</si>
  <si>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</si>
  <si>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</si>
  <si>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</si>
  <si>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</si>
  <si>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</si>
  <si>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</si>
  <si>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</si>
  <si>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</si>
  <si>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</si>
  <si>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</si>
  <si>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</si>
  <si>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</si>
  <si>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</si>
  <si>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</si>
  <si>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</si>
  <si>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</si>
  <si>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</si>
  <si>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</si>
  <si>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</si>
  <si>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</si>
  <si>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</si>
  <si>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</si>
  <si>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</si>
  <si>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</si>
  <si>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</si>
  <si>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</si>
  <si>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</si>
  <si>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</si>
  <si>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</si>
  <si>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</si>
  <si>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3.69256 76.0623 384.222 614.299 840.097 1040.28 1212.83 1370.52</t>
  </si>
  <si>
    <t>Fs_true</t>
  </si>
  <si>
    <t>0.0779822 99.8435 402.691 600.685 800.753 1001.13 1200.5 1400.73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</si>
  <si>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</si>
  <si>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</si>
  <si>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</si>
  <si>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</si>
  <si>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</si>
  <si>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</si>
  <si>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</si>
  <si>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</si>
  <si>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</si>
  <si>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</si>
  <si>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</si>
  <si>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</si>
  <si>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</si>
  <si>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</si>
  <si>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</si>
  <si>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</si>
  <si>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</si>
  <si>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</si>
  <si>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</si>
  <si>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</si>
  <si>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</si>
  <si>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</si>
  <si>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</si>
  <si>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</si>
  <si>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</si>
  <si>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</si>
  <si>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</si>
  <si>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</si>
  <si>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</si>
  <si>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</si>
  <si>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</si>
  <si>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</si>
  <si>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</si>
  <si>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</si>
  <si>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</si>
  <si>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</si>
  <si>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</si>
  <si>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</si>
  <si>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</si>
  <si>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</si>
  <si>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</si>
  <si>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</si>
  <si>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</si>
  <si>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</si>
  <si>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</si>
  <si>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</si>
  <si>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</si>
  <si>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</si>
  <si>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</si>
  <si>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</si>
  <si>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</si>
  <si>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</si>
  <si>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</si>
  <si>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</si>
  <si>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</si>
  <si>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</si>
  <si>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</si>
  <si>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</si>
  <si>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</si>
  <si>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</si>
  <si>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</si>
  <si>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</si>
  <si>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</si>
  <si>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</si>
  <si>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</si>
  <si>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</si>
  <si>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</si>
  <si>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</si>
  <si>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</si>
  <si>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</si>
  <si>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</si>
  <si>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</si>
  <si>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</si>
  <si>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</si>
  <si>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</si>
  <si>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</si>
  <si>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</si>
  <si>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</si>
  <si>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</si>
  <si>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</si>
  <si>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</si>
  <si>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</si>
  <si>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</si>
  <si>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</si>
  <si>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</si>
  <si>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</si>
  <si>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</si>
  <si>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</si>
  <si>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</si>
  <si>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</si>
  <si>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</si>
  <si>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</si>
  <si>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</si>
  <si>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</si>
  <si>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</si>
  <si>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</si>
  <si>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</si>
  <si>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</si>
  <si>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</si>
  <si>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</si>
  <si>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</si>
  <si>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</si>
  <si>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</si>
  <si>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</si>
  <si>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</si>
  <si>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</si>
  <si>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</si>
  <si>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</si>
  <si>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</si>
  <si>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</si>
  <si>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</si>
  <si>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</si>
  <si>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</si>
  <si>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</si>
  <si>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</si>
  <si>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</si>
  <si>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</si>
  <si>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</si>
  <si>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</si>
  <si>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</si>
  <si>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</si>
  <si>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</si>
  <si>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</si>
  <si>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</si>
  <si>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</si>
  <si>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</si>
  <si>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</si>
  <si>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</si>
  <si>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</si>
  <si>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</si>
  <si>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</si>
  <si>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</si>
  <si>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</si>
  <si>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</si>
  <si>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</si>
  <si>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ΔH2O:MN</t>
  </si>
  <si>
    <t>ΔH2O:SLP</t>
  </si>
  <si>
    <t>ΔH2O:SD</t>
  </si>
  <si>
    <t>ΔH2O:OK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</si>
  <si>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</si>
  <si>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</si>
  <si>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</si>
  <si>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</si>
  <si>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</si>
  <si>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</si>
  <si>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</si>
  <si>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</si>
  <si>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</si>
  <si>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</si>
  <si>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</si>
  <si>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</si>
  <si>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</si>
  <si>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</si>
  <si>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</si>
  <si>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</si>
  <si>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</si>
  <si>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</si>
  <si>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</si>
  <si>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</si>
  <si>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</si>
  <si>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</si>
  <si>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</si>
  <si>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</si>
  <si>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</si>
  <si>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</si>
  <si>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</si>
  <si>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</si>
  <si>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</si>
  <si>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</si>
  <si>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</si>
  <si>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</si>
  <si>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</si>
  <si>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</si>
  <si>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</si>
  <si>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</si>
  <si>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</si>
  <si>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</si>
  <si>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</si>
  <si>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</si>
  <si>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</si>
  <si>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</si>
  <si>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</si>
  <si>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</si>
  <si>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</si>
  <si>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</si>
  <si>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</si>
  <si>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</si>
  <si>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</si>
  <si>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</si>
  <si>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</si>
  <si>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</si>
  <si>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</si>
  <si>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</si>
  <si>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</si>
  <si>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</si>
  <si>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</si>
  <si>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</si>
  <si>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</si>
  <si>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</si>
  <si>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</si>
  <si>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</si>
  <si>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</si>
  <si>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</si>
  <si>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20200615 12:16:03</t>
  </si>
  <si>
    <t>12:16:03</t>
  </si>
  <si>
    <t>MPF-3613-20200615-12_16_04</t>
  </si>
  <si>
    <t>DARK-3614-20200615-12_16_12</t>
  </si>
  <si>
    <t>0: Broadleaf</t>
  </si>
  <si>
    <t>12:14:54</t>
  </si>
  <si>
    <t>1/2</t>
  </si>
  <si>
    <t>5</t>
  </si>
  <si>
    <t>11111111</t>
  </si>
  <si>
    <t>oooooooo</t>
  </si>
  <si>
    <t>off</t>
  </si>
  <si>
    <t>20200615 12:18:20</t>
  </si>
  <si>
    <t>12:18:20</t>
  </si>
  <si>
    <t>MPF-3615-20200615-12_18_21</t>
  </si>
  <si>
    <t>DARK-3616-20200615-12_18_29</t>
  </si>
  <si>
    <t>12:17:28</t>
  </si>
  <si>
    <t>2/2</t>
  </si>
  <si>
    <t>20200615 12:20:34</t>
  </si>
  <si>
    <t>12:20:34</t>
  </si>
  <si>
    <t>MPF-3617-20200615-12_20_36</t>
  </si>
  <si>
    <t>DARK-3618-20200615-12_20_43</t>
  </si>
  <si>
    <t>12:19:41</t>
  </si>
  <si>
    <t>20200615 12:22:35</t>
  </si>
  <si>
    <t>12:22:35</t>
  </si>
  <si>
    <t>MPF-3619-20200615-12_22_36</t>
  </si>
  <si>
    <t>DARK-3620-20200615-12_22_44</t>
  </si>
  <si>
    <t>12:21:40</t>
  </si>
  <si>
    <t>20200615 12:24:48</t>
  </si>
  <si>
    <t>12:24:48</t>
  </si>
  <si>
    <t>MPF-3621-20200615-12_24_50</t>
  </si>
  <si>
    <t>DARK-3622-20200615-12_24_57</t>
  </si>
  <si>
    <t>12:23:54</t>
  </si>
  <si>
    <t>20200615 12:26:52</t>
  </si>
  <si>
    <t>12:26:52</t>
  </si>
  <si>
    <t>MPF-3623-20200615-12_26_54</t>
  </si>
  <si>
    <t>DARK-3624-20200615-12_27_02</t>
  </si>
  <si>
    <t>12:26:12</t>
  </si>
  <si>
    <t>20200615 12:29:01</t>
  </si>
  <si>
    <t>12:29:01</t>
  </si>
  <si>
    <t>MPF-3625-20200615-12_29_02</t>
  </si>
  <si>
    <t>DARK-3626-20200615-12_29_10</t>
  </si>
  <si>
    <t>12:27:50</t>
  </si>
  <si>
    <t>20200615 12:31:19</t>
  </si>
  <si>
    <t>12:31:19</t>
  </si>
  <si>
    <t>MPF-3627-20200615-12_31_21</t>
  </si>
  <si>
    <t>DARK-3628-20200615-12_31_28</t>
  </si>
  <si>
    <t>12:30:04</t>
  </si>
  <si>
    <t>20200615 12:33:32</t>
  </si>
  <si>
    <t>12:33:32</t>
  </si>
  <si>
    <t>MPF-3629-20200615-12_33_33</t>
  </si>
  <si>
    <t>DARK-3630-20200615-12_33_41</t>
  </si>
  <si>
    <t>12:32:36</t>
  </si>
  <si>
    <t>20200615 12:35:36</t>
  </si>
  <si>
    <t>12:35:36</t>
  </si>
  <si>
    <t>MPF-3631-20200615-12_35_38</t>
  </si>
  <si>
    <t>DARK-3632-20200615-12_35_46</t>
  </si>
  <si>
    <t>12:34:32</t>
  </si>
  <si>
    <t>20200615 12:37:49</t>
  </si>
  <si>
    <t>12:37:49</t>
  </si>
  <si>
    <t>MPF-3633-20200615-12_37_51</t>
  </si>
  <si>
    <t>DARK-3634-20200615-12_37_58</t>
  </si>
  <si>
    <t>12:36:36</t>
  </si>
  <si>
    <t>20200615 12:40:19</t>
  </si>
  <si>
    <t>12:40:19</t>
  </si>
  <si>
    <t>MPF-3635-20200615-12_40_21</t>
  </si>
  <si>
    <t>DARK-3636-20200615-12_40_29</t>
  </si>
  <si>
    <t>12:39:07</t>
  </si>
  <si>
    <t>20200615 12:42:22</t>
  </si>
  <si>
    <t>12:42:22</t>
  </si>
  <si>
    <t>MPF-3637-20200615-12_42_24</t>
  </si>
  <si>
    <t>DARK-3638-20200615-12_42_31</t>
  </si>
  <si>
    <t>12:41:35</t>
  </si>
  <si>
    <t>20200615 12:44:52</t>
  </si>
  <si>
    <t>12:44:52</t>
  </si>
  <si>
    <t>MPF-3639-20200615-12_44_54</t>
  </si>
  <si>
    <t>DARK-3640-20200615-12_45_02</t>
  </si>
  <si>
    <t>12:44:10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</si>
</sst>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1592241363.3</v>
      </c>
      <c r="C17">
        <v>0</v>
      </c>
      <c r="D17" t="s">
        <v>277</v>
      </c>
      <c r="E17" t="s">
        <v>278</v>
      </c>
      <c r="G17">
        <v>1592241355.3</v>
      </c>
      <c r="H17">
        <f t="shared" ref="H17:H30" si="0">CC17*AI17*(CA17-CB17)/(100*$B$5*(1000-AI17*CA17))</f>
        <v>4.5132712182438103E-3</v>
      </c>
      <c r="I17">
        <f t="shared" ref="I17:I30" si="1">CC17*AI17*(BZ17-BY17*(1000-AI17*CB17)/(1000-AI17*CA17))/(100*$B$5)</f>
        <v>25.026218055986668</v>
      </c>
      <c r="J17">
        <f t="shared" ref="J17:J30" si="2">BY17 - IF(AI17&gt;1, I17*$B$5*100/(AK17*CI17), 0)</f>
        <v>389.28116129032298</v>
      </c>
      <c r="K17">
        <f t="shared" ref="K17:K30" si="3">((Q17-H17/2)*J17-I17)/(Q17+H17/2)</f>
        <v>225.61114412222199</v>
      </c>
      <c r="L17">
        <f t="shared" ref="L17:L30" si="4">K17*(CD17+CE17)/1000</f>
        <v>22.654940264839574</v>
      </c>
      <c r="M17">
        <f t="shared" ref="M17:M30" si="5">(BY17 - IF(AI17&gt;1, I17*$B$5*100/(AK17*CI17), 0))*(CD17+CE17)/1000</f>
        <v>39.090008118047514</v>
      </c>
      <c r="N17">
        <f t="shared" ref="N17:N30" si="6">2/((1/P17-1/O17)+SIGN(P17)*SQRT((1/P17-1/O17)*(1/P17-1/O17) + 4*BV17/((BV17+1)*(BV17+1))*(2*1/P17*1/O17-1/O17*1/O17)))</f>
        <v>0.26784273881888176</v>
      </c>
      <c r="O17">
        <f t="shared" ref="O17:O30" si="7">AF17+AE17*$B$5+AD17*$B$5*$B$5</f>
        <v>3.4073138153244833</v>
      </c>
      <c r="P17">
        <f t="shared" ref="P17:P30" si="8">H17*(1000-(1000*0.61365*EXP(17.502*T17/(240.97+T17))/(CD17+CE17)+CA17)/2)/(1000*0.61365*EXP(17.502*T17/(240.97+T17))/(CD17+CE17)-CA17)</f>
        <v>0.25667142612259669</v>
      </c>
      <c r="Q17">
        <f t="shared" ref="Q17:Q30" si="9">1/((BV17+1)/(N17/1.6)+1/(O17/1.37)) + BV17/((BV17+1)/(N17/1.6) + BV17/(O17/1.37))</f>
        <v>0.16138451247931854</v>
      </c>
      <c r="R17">
        <f t="shared" ref="R17:R30" si="10">(BS17*BU17)</f>
        <v>353.33202149736513</v>
      </c>
      <c r="S17">
        <f t="shared" ref="S17:S30" si="11">(CF17+(R17+2*0.95*0.0000000567*(((CF17+$B$7)+273)^4-(CF17+273)^4)-44100*H17)/(1.84*29.3*O17+8*0.95*0.0000000567*(CF17+273)^3))</f>
        <v>26.708252681867584</v>
      </c>
      <c r="T17">
        <f t="shared" ref="T17:T30" si="12">($C$7*CG17+$D$7*CH17+$E$7*S17)</f>
        <v>26.9714225806452</v>
      </c>
      <c r="U17">
        <f t="shared" ref="U17:U30" si="13">0.61365*EXP(17.502*T17/(240.97+T17))</f>
        <v>3.5731567493136023</v>
      </c>
      <c r="V17">
        <f t="shared" ref="V17:V30" si="14">(W17/X17*100)</f>
        <v>55.248630928230135</v>
      </c>
      <c r="W17">
        <f t="shared" ref="W17:W30" si="15">CA17*(CD17+CE17)/1000</f>
        <v>1.8551848953366861</v>
      </c>
      <c r="X17">
        <f t="shared" ref="X17:X30" si="16">0.61365*EXP(17.502*CF17/(240.97+CF17))</f>
        <v>3.3578839224932735</v>
      </c>
      <c r="Y17">
        <f t="shared" ref="Y17:Y30" si="17">(U17-CA17*(CD17+CE17)/1000)</f>
        <v>1.7179718539769162</v>
      </c>
      <c r="Z17">
        <f t="shared" ref="Z17:Z30" si="18">(-H17*44100)</f>
        <v>-199.03526072455205</v>
      </c>
      <c r="AA17">
        <f t="shared" ref="AA17:AA30" si="19">2*29.3*O17*0.92*(CF17-T17)</f>
        <v>-193.54234503073704</v>
      </c>
      <c r="AB17">
        <f t="shared" ref="AB17:AB30" si="20">2*0.95*0.0000000567*(((CF17+$B$7)+273)^4-(T17+273)^4)</f>
        <v>-12.190624604786864</v>
      </c>
      <c r="AC17">
        <f t="shared" ref="AC17:AC30" si="21">R17+AB17+Z17+AA17</f>
        <v>-51.436208862710828</v>
      </c>
      <c r="AD17">
        <v>-4.1561180498264003E-2</v>
      </c>
      <c r="AE17">
        <v>4.6656066068684603E-2</v>
      </c>
      <c r="AF17">
        <v>3.48024640518017</v>
      </c>
      <c r="AG17">
        <v>75</v>
      </c>
      <c r="AH17">
        <v>15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53188.730931083599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289.52499999999998</v>
      </c>
      <c r="AT17">
        <v>379.56</v>
      </c>
      <c r="AU17">
        <f t="shared" ref="AU17:AU30" si="27">1-AS17/AT17</f>
        <v>0.2372088734323955</v>
      </c>
      <c r="AV17">
        <v>0.5</v>
      </c>
      <c r="AW17">
        <f t="shared" ref="AW17:AW30" si="28">BS17</f>
        <v>1849.1549513219595</v>
      </c>
      <c r="AX17">
        <f t="shared" ref="AX17:AX30" si="29">I17</f>
        <v>25.026218055986668</v>
      </c>
      <c r="AY17">
        <f t="shared" ref="AY17:AY30" si="30">AU17*AV17*AW17</f>
        <v>219.31798140250908</v>
      </c>
      <c r="AZ17">
        <f t="shared" ref="AZ17:AZ30" si="31">BE17/AT17</f>
        <v>0.47381178206344188</v>
      </c>
      <c r="BA17">
        <f t="shared" ref="BA17:BA30" si="32">(AX17-AQ17)/AW17</f>
        <v>1.4074655040336422E-2</v>
      </c>
      <c r="BB17">
        <f t="shared" ref="BB17:BB30" si="33">(AN17-AT17)/AT17</f>
        <v>-1</v>
      </c>
      <c r="BC17" t="s">
        <v>280</v>
      </c>
      <c r="BD17">
        <v>199.72</v>
      </c>
      <c r="BE17">
        <f t="shared" ref="BE17:BE30" si="34">AT17-BD17</f>
        <v>179.84</v>
      </c>
      <c r="BF17">
        <f t="shared" ref="BF17:BF30" si="35">(AT17-AS17)/(AT17-BD17)</f>
        <v>0.50063945729537385</v>
      </c>
      <c r="BG17">
        <f t="shared" ref="BG17:BG30" si="36">(AN17-AT17)/(AN17-BD17)</f>
        <v>1.900460644902864</v>
      </c>
      <c r="BH17">
        <f t="shared" ref="BH17:BH30" si="37">(AT17-AS17)/(AT17-AM17)</f>
        <v>0.23720887343239547</v>
      </c>
      <c r="BI17" t="e">
        <f t="shared" ref="BI17:BI30" si="38">(AN17-AT17)/(AN17-AM17)</f>
        <v>#DIV/0!</v>
      </c>
      <c r="BJ17">
        <v>3613</v>
      </c>
      <c r="BK17">
        <v>300</v>
      </c>
      <c r="BL17">
        <v>300</v>
      </c>
      <c r="BM17">
        <v>300</v>
      </c>
      <c r="BN17">
        <v>9888.25</v>
      </c>
      <c r="BO17">
        <v>354.31299999999999</v>
      </c>
      <c r="BP17">
        <v>-6.4147900000000001E-3</v>
      </c>
      <c r="BQ17">
        <v>0.51126099999999997</v>
      </c>
      <c r="BR17">
        <f t="shared" ref="BR17:BR30" si="39">$B$11*CJ17+$C$11*CK17+$F$11*CL17</f>
        <v>2199.9638709677401</v>
      </c>
      <c r="BS17">
        <f t="shared" ref="BS17:BS30" si="40">BR17*BT17</f>
        <v>1849.1549513219595</v>
      </c>
      <c r="BT17">
        <f t="shared" ref="BT17:BT30" si="41">($B$11*$D$9+$C$11*$D$9+$F$11*((CY17+CQ17)/MAX(CY17+CQ17+CZ17, 0.1)*$I$9+CZ17/MAX(CY17+CQ17+CZ17, 0.1)*$J$9))/($B$11+$C$11+$F$11)</f>
        <v>0.84053878144304994</v>
      </c>
      <c r="BU17">
        <f t="shared" ref="BU17:BU30" si="42">($B$11*$K$9+$C$11*$K$9+$F$11*((CY17+CQ17)/MAX(CY17+CQ17+CZ17, 0.1)*$P$9+CZ17/MAX(CY17+CQ17+CZ17, 0.1)*$Q$9))/($B$11+$C$11+$F$11)</f>
        <v>0.19107756288610012</v>
      </c>
      <c r="BV17">
        <v>0.5</v>
      </c>
      <c r="BW17" t="s">
        <v>281</v>
      </c>
      <c r="BX17">
        <v>1592241355.3</v>
      </c>
      <c r="BY17">
        <v>389.28116129032298</v>
      </c>
      <c r="BZ17">
        <v>399.99377419354801</v>
      </c>
      <c r="CA17">
        <v>18.475016129032301</v>
      </c>
      <c r="CB17">
        <v>16.703167741935498</v>
      </c>
      <c r="CC17">
        <v>500.03019354838699</v>
      </c>
      <c r="CD17">
        <v>100.21587096774201</v>
      </c>
      <c r="CE17">
        <v>0.200003225806452</v>
      </c>
      <c r="CF17">
        <v>25.9178161290323</v>
      </c>
      <c r="CG17">
        <v>26.9714225806452</v>
      </c>
      <c r="CH17">
        <v>999.9</v>
      </c>
      <c r="CI17">
        <v>10001.0912903226</v>
      </c>
      <c r="CJ17">
        <v>0</v>
      </c>
      <c r="CK17">
        <v>219.04790322580601</v>
      </c>
      <c r="CL17">
        <v>2199.9638709677401</v>
      </c>
      <c r="CM17">
        <v>0.98200180645161295</v>
      </c>
      <c r="CN17">
        <v>1.7998512903225801E-2</v>
      </c>
      <c r="CO17">
        <v>0</v>
      </c>
      <c r="CP17">
        <v>289.52670967741898</v>
      </c>
      <c r="CQ17">
        <v>5.00054</v>
      </c>
      <c r="CR17">
        <v>8731.1551612903204</v>
      </c>
      <c r="CS17">
        <v>20590.203225806501</v>
      </c>
      <c r="CT17">
        <v>46.320129032258002</v>
      </c>
      <c r="CU17">
        <v>47.038032258064497</v>
      </c>
      <c r="CV17">
        <v>46.570129032258002</v>
      </c>
      <c r="CW17">
        <v>45.429129032258103</v>
      </c>
      <c r="CX17">
        <v>47.6913870967742</v>
      </c>
      <c r="CY17">
        <v>2155.4538709677399</v>
      </c>
      <c r="CZ17">
        <v>39.51</v>
      </c>
      <c r="DA17">
        <v>0</v>
      </c>
      <c r="DB17">
        <v>1587484017</v>
      </c>
      <c r="DC17">
        <v>289.52499999999998</v>
      </c>
      <c r="DD17">
        <v>-2.01326494479637</v>
      </c>
      <c r="DE17">
        <v>-55.324444408023297</v>
      </c>
      <c r="DF17">
        <v>8730.5153846153808</v>
      </c>
      <c r="DG17">
        <v>15</v>
      </c>
      <c r="DH17">
        <v>1592241294.8</v>
      </c>
      <c r="DI17" t="s">
        <v>282</v>
      </c>
      <c r="DJ17">
        <v>1</v>
      </c>
      <c r="DK17">
        <v>-0.193</v>
      </c>
      <c r="DL17">
        <v>9.9000000000000005E-2</v>
      </c>
      <c r="DM17">
        <v>400</v>
      </c>
      <c r="DN17">
        <v>16</v>
      </c>
      <c r="DO17">
        <v>0.27</v>
      </c>
      <c r="DP17">
        <v>0.05</v>
      </c>
      <c r="DQ17">
        <v>-10.6991769230769</v>
      </c>
      <c r="DR17">
        <v>-0.101462648339453</v>
      </c>
      <c r="DS17">
        <v>3.8602987206973798E-2</v>
      </c>
      <c r="DT17">
        <v>1</v>
      </c>
      <c r="DU17">
        <v>1.75543807692308</v>
      </c>
      <c r="DV17">
        <v>0.16320358575941099</v>
      </c>
      <c r="DW17">
        <v>2.3589831417408998E-2</v>
      </c>
      <c r="DX17">
        <v>0</v>
      </c>
      <c r="DY17">
        <v>1</v>
      </c>
      <c r="DZ17">
        <v>2</v>
      </c>
      <c r="EA17" t="s">
        <v>283</v>
      </c>
      <c r="EB17">
        <v>1.86676</v>
      </c>
      <c r="EC17">
        <v>1.8633</v>
      </c>
      <c r="ED17">
        <v>1.8689100000000001</v>
      </c>
      <c r="EE17">
        <v>1.8669100000000001</v>
      </c>
      <c r="EF17">
        <v>1.8714999999999999</v>
      </c>
      <c r="EG17">
        <v>1.86402</v>
      </c>
      <c r="EH17">
        <v>1.86568</v>
      </c>
      <c r="EI17">
        <v>1.86554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-0.193</v>
      </c>
      <c r="EX17">
        <v>9.9000000000000005E-2</v>
      </c>
      <c r="EY17">
        <v>2</v>
      </c>
      <c r="EZ17">
        <v>410.11900000000003</v>
      </c>
      <c r="FA17">
        <v>523.80200000000002</v>
      </c>
      <c r="FB17">
        <v>19.092300000000002</v>
      </c>
      <c r="FC17">
        <v>32.838999999999999</v>
      </c>
      <c r="FD17">
        <v>29.9999</v>
      </c>
      <c r="FE17">
        <v>32.815100000000001</v>
      </c>
      <c r="FF17">
        <v>32.798900000000003</v>
      </c>
      <c r="FG17">
        <v>22.0395</v>
      </c>
      <c r="FH17">
        <v>41.393799999999999</v>
      </c>
      <c r="FI17">
        <v>80.654300000000006</v>
      </c>
      <c r="FJ17">
        <v>19.118600000000001</v>
      </c>
      <c r="FK17">
        <v>400</v>
      </c>
      <c r="FL17">
        <v>16.775200000000002</v>
      </c>
      <c r="FM17">
        <v>101.26900000000001</v>
      </c>
      <c r="FN17">
        <v>100.999</v>
      </c>
    </row>
    <row r="18" spans="1:170" x14ac:dyDescent="0.25">
      <c r="A18">
        <v>2</v>
      </c>
      <c r="B18">
        <v>1592241500.3</v>
      </c>
      <c r="C18">
        <v>137</v>
      </c>
      <c r="D18" t="s">
        <v>288</v>
      </c>
      <c r="E18" t="s">
        <v>289</v>
      </c>
      <c r="G18">
        <v>1592241492.3</v>
      </c>
      <c r="H18">
        <f t="shared" si="0"/>
        <v>4.8994617181763542E-3</v>
      </c>
      <c r="I18">
        <f t="shared" si="1"/>
        <v>19.004926137381446</v>
      </c>
      <c r="J18">
        <f t="shared" si="2"/>
        <v>291.84903225806499</v>
      </c>
      <c r="K18">
        <f t="shared" si="3"/>
        <v>176.19694293899678</v>
      </c>
      <c r="L18">
        <f t="shared" si="4"/>
        <v>17.693332844955549</v>
      </c>
      <c r="M18">
        <f t="shared" si="5"/>
        <v>29.306876623891974</v>
      </c>
      <c r="N18">
        <f t="shared" si="6"/>
        <v>0.29003697860411642</v>
      </c>
      <c r="O18">
        <f t="shared" si="7"/>
        <v>3.408632118741143</v>
      </c>
      <c r="P18">
        <f t="shared" si="8"/>
        <v>0.27699087654579069</v>
      </c>
      <c r="Q18">
        <f t="shared" si="9"/>
        <v>0.17424253141418355</v>
      </c>
      <c r="R18">
        <f t="shared" si="10"/>
        <v>353.34106177203921</v>
      </c>
      <c r="S18">
        <f t="shared" si="11"/>
        <v>26.688522727450806</v>
      </c>
      <c r="T18">
        <f t="shared" si="12"/>
        <v>27.0314032258064</v>
      </c>
      <c r="U18">
        <f t="shared" si="13"/>
        <v>3.5857663727405442</v>
      </c>
      <c r="V18">
        <f t="shared" si="14"/>
        <v>55.102070471523213</v>
      </c>
      <c r="W18">
        <f t="shared" si="15"/>
        <v>1.8576993711989569</v>
      </c>
      <c r="X18">
        <f t="shared" si="16"/>
        <v>3.3713785258922662</v>
      </c>
      <c r="Y18">
        <f t="shared" si="17"/>
        <v>1.7280670015415873</v>
      </c>
      <c r="Z18">
        <f t="shared" si="18"/>
        <v>-216.06626177157722</v>
      </c>
      <c r="AA18">
        <f t="shared" si="19"/>
        <v>-192.18859353187096</v>
      </c>
      <c r="AB18">
        <f t="shared" si="20"/>
        <v>-12.108418095165289</v>
      </c>
      <c r="AC18">
        <f t="shared" si="21"/>
        <v>-67.022211626574261</v>
      </c>
      <c r="AD18">
        <v>-4.1581638400977401E-2</v>
      </c>
      <c r="AE18">
        <v>4.6679031856691103E-2</v>
      </c>
      <c r="AF18">
        <v>3.4816006086316702</v>
      </c>
      <c r="AG18">
        <v>85</v>
      </c>
      <c r="AH18">
        <v>17</v>
      </c>
      <c r="AI18">
        <f t="shared" si="22"/>
        <v>1</v>
      </c>
      <c r="AJ18">
        <f t="shared" si="23"/>
        <v>0</v>
      </c>
      <c r="AK18">
        <f t="shared" si="24"/>
        <v>53201.826293859405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275.500846153846</v>
      </c>
      <c r="AT18">
        <v>354.15600000000001</v>
      </c>
      <c r="AU18">
        <f t="shared" si="27"/>
        <v>0.22209182915481884</v>
      </c>
      <c r="AV18">
        <v>0.5</v>
      </c>
      <c r="AW18">
        <f t="shared" si="28"/>
        <v>1849.201656633478</v>
      </c>
      <c r="AX18">
        <f t="shared" si="29"/>
        <v>19.004926137381446</v>
      </c>
      <c r="AY18">
        <f t="shared" si="30"/>
        <v>205.34628919892518</v>
      </c>
      <c r="AZ18">
        <f t="shared" si="31"/>
        <v>0.44160200589570703</v>
      </c>
      <c r="BA18">
        <f t="shared" si="32"/>
        <v>1.0818142015836692E-2</v>
      </c>
      <c r="BB18">
        <f t="shared" si="33"/>
        <v>-1</v>
      </c>
      <c r="BC18" t="s">
        <v>291</v>
      </c>
      <c r="BD18">
        <v>197.76</v>
      </c>
      <c r="BE18">
        <f t="shared" si="34"/>
        <v>156.39600000000002</v>
      </c>
      <c r="BF18">
        <f t="shared" si="35"/>
        <v>0.50292305331436871</v>
      </c>
      <c r="BG18">
        <f t="shared" si="36"/>
        <v>1.7908373786407767</v>
      </c>
      <c r="BH18">
        <f t="shared" si="37"/>
        <v>0.22209182915481879</v>
      </c>
      <c r="BI18" t="e">
        <f t="shared" si="38"/>
        <v>#DIV/0!</v>
      </c>
      <c r="BJ18">
        <v>3615</v>
      </c>
      <c r="BK18">
        <v>300</v>
      </c>
      <c r="BL18">
        <v>300</v>
      </c>
      <c r="BM18">
        <v>300</v>
      </c>
      <c r="BN18">
        <v>9889.84</v>
      </c>
      <c r="BO18">
        <v>330.57400000000001</v>
      </c>
      <c r="BP18">
        <v>-6.4158000000000001E-3</v>
      </c>
      <c r="BQ18">
        <v>0.208588</v>
      </c>
      <c r="BR18">
        <f t="shared" si="39"/>
        <v>2200.0193548387101</v>
      </c>
      <c r="BS18">
        <f t="shared" si="40"/>
        <v>1849.201656633478</v>
      </c>
      <c r="BT18">
        <f t="shared" si="41"/>
        <v>0.84053881279105769</v>
      </c>
      <c r="BU18">
        <f t="shared" si="42"/>
        <v>0.19107762558211538</v>
      </c>
      <c r="BV18">
        <v>0.5</v>
      </c>
      <c r="BW18" t="s">
        <v>281</v>
      </c>
      <c r="BX18">
        <v>1592241492.3</v>
      </c>
      <c r="BY18">
        <v>291.84903225806499</v>
      </c>
      <c r="BZ18">
        <v>300.02238709677403</v>
      </c>
      <c r="CA18">
        <v>18.4996774193548</v>
      </c>
      <c r="CB18">
        <v>16.5762838709677</v>
      </c>
      <c r="CC18">
        <v>500.03529032258098</v>
      </c>
      <c r="CD18">
        <v>100.217967741935</v>
      </c>
      <c r="CE18">
        <v>0.19996545161290299</v>
      </c>
      <c r="CF18">
        <v>25.9855709677419</v>
      </c>
      <c r="CG18">
        <v>27.0314032258064</v>
      </c>
      <c r="CH18">
        <v>999.9</v>
      </c>
      <c r="CI18">
        <v>10005.804838709701</v>
      </c>
      <c r="CJ18">
        <v>0</v>
      </c>
      <c r="CK18">
        <v>218.80380645161301</v>
      </c>
      <c r="CL18">
        <v>2200.0193548387101</v>
      </c>
      <c r="CM18">
        <v>0.98199777419354795</v>
      </c>
      <c r="CN18">
        <v>1.8002058064516099E-2</v>
      </c>
      <c r="CO18">
        <v>0</v>
      </c>
      <c r="CP18">
        <v>275.50358064516098</v>
      </c>
      <c r="CQ18">
        <v>5.00054</v>
      </c>
      <c r="CR18">
        <v>8409.9496774193594</v>
      </c>
      <c r="CS18">
        <v>20590.7096774194</v>
      </c>
      <c r="CT18">
        <v>46.1046774193548</v>
      </c>
      <c r="CU18">
        <v>46.862677419354803</v>
      </c>
      <c r="CV18">
        <v>46.518000000000001</v>
      </c>
      <c r="CW18">
        <v>44.870709677419299</v>
      </c>
      <c r="CX18">
        <v>47.592483870967698</v>
      </c>
      <c r="CY18">
        <v>2155.50225806452</v>
      </c>
      <c r="CZ18">
        <v>39.513225806451601</v>
      </c>
      <c r="DA18">
        <v>0</v>
      </c>
      <c r="DB18">
        <v>136.200000047684</v>
      </c>
      <c r="DC18">
        <v>275.500846153846</v>
      </c>
      <c r="DD18">
        <v>-3.8700851856442002E-2</v>
      </c>
      <c r="DE18">
        <v>4.4998293301181</v>
      </c>
      <c r="DF18">
        <v>8410.2353846153801</v>
      </c>
      <c r="DG18">
        <v>15</v>
      </c>
      <c r="DH18">
        <v>1592241448.3</v>
      </c>
      <c r="DI18" t="s">
        <v>292</v>
      </c>
      <c r="DJ18">
        <v>2</v>
      </c>
      <c r="DK18">
        <v>-0.25600000000000001</v>
      </c>
      <c r="DL18">
        <v>0.107</v>
      </c>
      <c r="DM18">
        <v>300</v>
      </c>
      <c r="DN18">
        <v>17</v>
      </c>
      <c r="DO18">
        <v>0.49</v>
      </c>
      <c r="DP18">
        <v>0.05</v>
      </c>
      <c r="DQ18">
        <v>-8.1593269230769199</v>
      </c>
      <c r="DR18">
        <v>-7.7813745411083393E-2</v>
      </c>
      <c r="DS18">
        <v>4.304126693957E-2</v>
      </c>
      <c r="DT18">
        <v>1</v>
      </c>
      <c r="DU18">
        <v>1.91475365384615</v>
      </c>
      <c r="DV18">
        <v>9.71204473661757E-2</v>
      </c>
      <c r="DW18">
        <v>1.3997981863997099E-2</v>
      </c>
      <c r="DX18">
        <v>1</v>
      </c>
      <c r="DY18">
        <v>2</v>
      </c>
      <c r="DZ18">
        <v>2</v>
      </c>
      <c r="EA18" t="s">
        <v>293</v>
      </c>
      <c r="EB18">
        <v>1.86676</v>
      </c>
      <c r="EC18">
        <v>1.86327</v>
      </c>
      <c r="ED18">
        <v>1.8689199999999999</v>
      </c>
      <c r="EE18">
        <v>1.8669</v>
      </c>
      <c r="EF18">
        <v>1.87151</v>
      </c>
      <c r="EG18">
        <v>1.8640099999999999</v>
      </c>
      <c r="EH18">
        <v>1.8656699999999999</v>
      </c>
      <c r="EI18">
        <v>1.86554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-0.25600000000000001</v>
      </c>
      <c r="EX18">
        <v>0.107</v>
      </c>
      <c r="EY18">
        <v>2</v>
      </c>
      <c r="EZ18">
        <v>398.226</v>
      </c>
      <c r="FA18">
        <v>522.12599999999998</v>
      </c>
      <c r="FB18">
        <v>19.2928</v>
      </c>
      <c r="FC18">
        <v>32.761699999999998</v>
      </c>
      <c r="FD18">
        <v>30.0002</v>
      </c>
      <c r="FE18">
        <v>32.806399999999996</v>
      </c>
      <c r="FF18">
        <v>32.795999999999999</v>
      </c>
      <c r="FG18">
        <v>17.582999999999998</v>
      </c>
      <c r="FH18">
        <v>41.070900000000002</v>
      </c>
      <c r="FI18">
        <v>76.494200000000006</v>
      </c>
      <c r="FJ18">
        <v>19.278300000000002</v>
      </c>
      <c r="FK18">
        <v>300</v>
      </c>
      <c r="FL18">
        <v>16.552099999999999</v>
      </c>
      <c r="FM18">
        <v>101.253</v>
      </c>
      <c r="FN18">
        <v>101.001</v>
      </c>
    </row>
    <row r="19" spans="1:170" x14ac:dyDescent="0.25">
      <c r="A19">
        <v>3</v>
      </c>
      <c r="B19">
        <v>1592241634.8</v>
      </c>
      <c r="C19">
        <v>271.5</v>
      </c>
      <c r="D19" t="s">
        <v>294</v>
      </c>
      <c r="E19" t="s">
        <v>295</v>
      </c>
      <c r="G19">
        <v>1592241626.8387101</v>
      </c>
      <c r="H19">
        <f t="shared" si="0"/>
        <v>5.1117614838417161E-3</v>
      </c>
      <c r="I19">
        <f t="shared" si="1"/>
        <v>11.914608507925218</v>
      </c>
      <c r="J19">
        <f t="shared" si="2"/>
        <v>194.81325806451599</v>
      </c>
      <c r="K19">
        <f t="shared" si="3"/>
        <v>125.15123464914082</v>
      </c>
      <c r="L19">
        <f t="shared" si="4"/>
        <v>12.56709907948623</v>
      </c>
      <c r="M19">
        <f t="shared" si="5"/>
        <v>19.562232230132455</v>
      </c>
      <c r="N19">
        <f t="shared" si="6"/>
        <v>0.30484467730936149</v>
      </c>
      <c r="O19">
        <f t="shared" si="7"/>
        <v>3.406914103087717</v>
      </c>
      <c r="P19">
        <f t="shared" si="8"/>
        <v>0.29046104451097987</v>
      </c>
      <c r="Q19">
        <f t="shared" si="9"/>
        <v>0.18277389844149078</v>
      </c>
      <c r="R19">
        <f t="shared" si="10"/>
        <v>353.33241844379057</v>
      </c>
      <c r="S19">
        <f t="shared" si="11"/>
        <v>26.729347652445011</v>
      </c>
      <c r="T19">
        <f t="shared" si="12"/>
        <v>26.970145161290301</v>
      </c>
      <c r="U19">
        <f t="shared" si="13"/>
        <v>3.5728886212477078</v>
      </c>
      <c r="V19">
        <f t="shared" si="14"/>
        <v>54.688822717923969</v>
      </c>
      <c r="W19">
        <f t="shared" si="15"/>
        <v>1.8534497805556767</v>
      </c>
      <c r="X19">
        <f t="shared" si="16"/>
        <v>3.3890833417926518</v>
      </c>
      <c r="Y19">
        <f t="shared" si="17"/>
        <v>1.7194388406920311</v>
      </c>
      <c r="Z19">
        <f t="shared" si="18"/>
        <v>-225.42868143741967</v>
      </c>
      <c r="AA19">
        <f t="shared" si="19"/>
        <v>-164.57861354458461</v>
      </c>
      <c r="AB19">
        <f t="shared" si="20"/>
        <v>-10.375549890279512</v>
      </c>
      <c r="AC19">
        <f t="shared" si="21"/>
        <v>-47.050426428493211</v>
      </c>
      <c r="AD19">
        <v>-4.1554978332564399E-2</v>
      </c>
      <c r="AE19">
        <v>4.6649103594347201E-2</v>
      </c>
      <c r="AF19">
        <v>3.47983580922928</v>
      </c>
      <c r="AG19">
        <v>104</v>
      </c>
      <c r="AH19">
        <v>21</v>
      </c>
      <c r="AI19">
        <f t="shared" si="22"/>
        <v>1</v>
      </c>
      <c r="AJ19">
        <f t="shared" si="23"/>
        <v>0</v>
      </c>
      <c r="AK19">
        <f t="shared" si="24"/>
        <v>53153.314746557313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268.1755</v>
      </c>
      <c r="AT19">
        <v>330.35700000000003</v>
      </c>
      <c r="AU19">
        <f t="shared" si="27"/>
        <v>0.18822516247574606</v>
      </c>
      <c r="AV19">
        <v>0.5</v>
      </c>
      <c r="AW19">
        <f t="shared" si="28"/>
        <v>1849.1568676247941</v>
      </c>
      <c r="AX19">
        <f t="shared" si="29"/>
        <v>11.914608507925218</v>
      </c>
      <c r="AY19">
        <f t="shared" si="30"/>
        <v>174.02892592590925</v>
      </c>
      <c r="AZ19">
        <f t="shared" si="31"/>
        <v>0.39071973652745368</v>
      </c>
      <c r="BA19">
        <f t="shared" si="32"/>
        <v>6.9840524262897068E-3</v>
      </c>
      <c r="BB19">
        <f t="shared" si="33"/>
        <v>-1</v>
      </c>
      <c r="BC19" t="s">
        <v>297</v>
      </c>
      <c r="BD19">
        <v>201.28</v>
      </c>
      <c r="BE19">
        <f t="shared" si="34"/>
        <v>129.07700000000003</v>
      </c>
      <c r="BF19">
        <f t="shared" si="35"/>
        <v>0.48173958180001097</v>
      </c>
      <c r="BG19">
        <f t="shared" si="36"/>
        <v>1.6412808028616854</v>
      </c>
      <c r="BH19">
        <f t="shared" si="37"/>
        <v>0.188225162475746</v>
      </c>
      <c r="BI19" t="e">
        <f t="shared" si="38"/>
        <v>#DIV/0!</v>
      </c>
      <c r="BJ19">
        <v>3617</v>
      </c>
      <c r="BK19">
        <v>300</v>
      </c>
      <c r="BL19">
        <v>300</v>
      </c>
      <c r="BM19">
        <v>300</v>
      </c>
      <c r="BN19">
        <v>9889.84</v>
      </c>
      <c r="BO19">
        <v>313.00900000000001</v>
      </c>
      <c r="BP19">
        <v>-6.4157800000000003E-3</v>
      </c>
      <c r="BQ19">
        <v>0.489288</v>
      </c>
      <c r="BR19">
        <f t="shared" si="39"/>
        <v>2199.9661290322601</v>
      </c>
      <c r="BS19">
        <f t="shared" si="40"/>
        <v>1849.1568676247941</v>
      </c>
      <c r="BT19">
        <f t="shared" si="41"/>
        <v>0.84053878976683016</v>
      </c>
      <c r="BU19">
        <f t="shared" si="42"/>
        <v>0.1910775795336602</v>
      </c>
      <c r="BV19">
        <v>0.5</v>
      </c>
      <c r="BW19" t="s">
        <v>281</v>
      </c>
      <c r="BX19">
        <v>1592241626.8387101</v>
      </c>
      <c r="BY19">
        <v>194.81325806451599</v>
      </c>
      <c r="BZ19">
        <v>199.97703225806501</v>
      </c>
      <c r="CA19">
        <v>18.457841935483899</v>
      </c>
      <c r="CB19">
        <v>16.451035483870999</v>
      </c>
      <c r="CC19">
        <v>500.039193548387</v>
      </c>
      <c r="CD19">
        <v>100.21532258064499</v>
      </c>
      <c r="CE19">
        <v>0.199979870967742</v>
      </c>
      <c r="CF19">
        <v>26.074106451612899</v>
      </c>
      <c r="CG19">
        <v>26.970145161290301</v>
      </c>
      <c r="CH19">
        <v>999.9</v>
      </c>
      <c r="CI19">
        <v>9999.6535483870994</v>
      </c>
      <c r="CJ19">
        <v>0</v>
      </c>
      <c r="CK19">
        <v>216.67345161290299</v>
      </c>
      <c r="CL19">
        <v>2199.9661290322601</v>
      </c>
      <c r="CM19">
        <v>0.98199825806451602</v>
      </c>
      <c r="CN19">
        <v>1.8001719354838699E-2</v>
      </c>
      <c r="CO19">
        <v>0</v>
      </c>
      <c r="CP19">
        <v>268.19058064516099</v>
      </c>
      <c r="CQ19">
        <v>5.00054</v>
      </c>
      <c r="CR19">
        <v>8254.1977419354807</v>
      </c>
      <c r="CS19">
        <v>20590.206451612899</v>
      </c>
      <c r="CT19">
        <v>46.02</v>
      </c>
      <c r="CU19">
        <v>46.634838709677403</v>
      </c>
      <c r="CV19">
        <v>46.378999999999998</v>
      </c>
      <c r="CW19">
        <v>44.8547096774194</v>
      </c>
      <c r="CX19">
        <v>47.414999999999999</v>
      </c>
      <c r="CY19">
        <v>2155.4551612903201</v>
      </c>
      <c r="CZ19">
        <v>39.510645161290299</v>
      </c>
      <c r="DA19">
        <v>0</v>
      </c>
      <c r="DB19">
        <v>134.19999980926499</v>
      </c>
      <c r="DC19">
        <v>268.1755</v>
      </c>
      <c r="DD19">
        <v>-1.19668375360317</v>
      </c>
      <c r="DE19">
        <v>-32.348717845239896</v>
      </c>
      <c r="DF19">
        <v>8254.0161538461507</v>
      </c>
      <c r="DG19">
        <v>15</v>
      </c>
      <c r="DH19">
        <v>1592241581.8</v>
      </c>
      <c r="DI19" t="s">
        <v>298</v>
      </c>
      <c r="DJ19">
        <v>3</v>
      </c>
      <c r="DK19">
        <v>-0.251</v>
      </c>
      <c r="DL19">
        <v>0.106</v>
      </c>
      <c r="DM19">
        <v>200</v>
      </c>
      <c r="DN19">
        <v>16</v>
      </c>
      <c r="DO19">
        <v>0.63</v>
      </c>
      <c r="DP19">
        <v>0.05</v>
      </c>
      <c r="DQ19">
        <v>-5.1612813461538503</v>
      </c>
      <c r="DR19">
        <v>3.7545369304616702E-2</v>
      </c>
      <c r="DS19">
        <v>2.66257522847024E-2</v>
      </c>
      <c r="DT19">
        <v>1</v>
      </c>
      <c r="DU19">
        <v>1.9990836538461501</v>
      </c>
      <c r="DV19">
        <v>7.9230721475576402E-2</v>
      </c>
      <c r="DW19">
        <v>2.2544781250866199E-2</v>
      </c>
      <c r="DX19">
        <v>1</v>
      </c>
      <c r="DY19">
        <v>2</v>
      </c>
      <c r="DZ19">
        <v>2</v>
      </c>
      <c r="EA19" t="s">
        <v>293</v>
      </c>
      <c r="EB19">
        <v>1.8668</v>
      </c>
      <c r="EC19">
        <v>1.86337</v>
      </c>
      <c r="ED19">
        <v>1.8689800000000001</v>
      </c>
      <c r="EE19">
        <v>1.8669100000000001</v>
      </c>
      <c r="EF19">
        <v>1.8715900000000001</v>
      </c>
      <c r="EG19">
        <v>1.8640300000000001</v>
      </c>
      <c r="EH19">
        <v>1.8656900000000001</v>
      </c>
      <c r="EI19">
        <v>1.86554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-0.251</v>
      </c>
      <c r="EX19">
        <v>0.106</v>
      </c>
      <c r="EY19">
        <v>2</v>
      </c>
      <c r="EZ19">
        <v>377.60899999999998</v>
      </c>
      <c r="FA19">
        <v>520.85599999999999</v>
      </c>
      <c r="FB19">
        <v>20.446400000000001</v>
      </c>
      <c r="FC19">
        <v>32.557699999999997</v>
      </c>
      <c r="FD19">
        <v>29.999700000000001</v>
      </c>
      <c r="FE19">
        <v>32.690600000000003</v>
      </c>
      <c r="FF19">
        <v>32.693600000000004</v>
      </c>
      <c r="FG19">
        <v>12.957800000000001</v>
      </c>
      <c r="FH19">
        <v>39.088000000000001</v>
      </c>
      <c r="FI19">
        <v>72.694400000000002</v>
      </c>
      <c r="FJ19">
        <v>20.442599999999999</v>
      </c>
      <c r="FK19">
        <v>200</v>
      </c>
      <c r="FL19">
        <v>16.617000000000001</v>
      </c>
      <c r="FM19">
        <v>101.283</v>
      </c>
      <c r="FN19">
        <v>101.05800000000001</v>
      </c>
    </row>
    <row r="20" spans="1:170" x14ac:dyDescent="0.25">
      <c r="A20">
        <v>4</v>
      </c>
      <c r="B20">
        <v>1592241755.4000001</v>
      </c>
      <c r="C20">
        <v>392.10000014305098</v>
      </c>
      <c r="D20" t="s">
        <v>299</v>
      </c>
      <c r="E20" t="s">
        <v>300</v>
      </c>
      <c r="G20">
        <v>1592241747.3419399</v>
      </c>
      <c r="H20">
        <f t="shared" si="0"/>
        <v>5.0069900261398249E-3</v>
      </c>
      <c r="I20">
        <f t="shared" si="1"/>
        <v>4.235058662232781</v>
      </c>
      <c r="J20">
        <f t="shared" si="2"/>
        <v>98.106229032258099</v>
      </c>
      <c r="K20">
        <f t="shared" si="3"/>
        <v>72.09682425774578</v>
      </c>
      <c r="L20">
        <f t="shared" si="4"/>
        <v>7.2395566263475803</v>
      </c>
      <c r="M20">
        <f t="shared" si="5"/>
        <v>9.851274418653075</v>
      </c>
      <c r="N20">
        <f t="shared" si="6"/>
        <v>0.29864808619129096</v>
      </c>
      <c r="O20">
        <f t="shared" si="7"/>
        <v>3.4089095271407239</v>
      </c>
      <c r="P20">
        <f t="shared" si="8"/>
        <v>0.28483670788077986</v>
      </c>
      <c r="Q20">
        <f t="shared" si="9"/>
        <v>0.17921060469331612</v>
      </c>
      <c r="R20">
        <f t="shared" si="10"/>
        <v>353.33774003161005</v>
      </c>
      <c r="S20">
        <f t="shared" si="11"/>
        <v>26.849941594141828</v>
      </c>
      <c r="T20">
        <f t="shared" si="12"/>
        <v>27.0682774193548</v>
      </c>
      <c r="U20">
        <f t="shared" si="13"/>
        <v>3.5935376334782543</v>
      </c>
      <c r="V20">
        <f t="shared" si="14"/>
        <v>55.050908339939177</v>
      </c>
      <c r="W20">
        <f t="shared" si="15"/>
        <v>1.8764852961623157</v>
      </c>
      <c r="X20">
        <f t="shared" si="16"/>
        <v>3.4086363926550045</v>
      </c>
      <c r="Y20">
        <f t="shared" si="17"/>
        <v>1.7170523373159385</v>
      </c>
      <c r="Z20">
        <f t="shared" si="18"/>
        <v>-220.80826015276628</v>
      </c>
      <c r="AA20">
        <f t="shared" si="19"/>
        <v>-164.82618177187615</v>
      </c>
      <c r="AB20">
        <f t="shared" si="20"/>
        <v>-10.395242774293308</v>
      </c>
      <c r="AC20">
        <f t="shared" si="21"/>
        <v>-42.691944667325686</v>
      </c>
      <c r="AD20">
        <v>-4.1585943782175602E-2</v>
      </c>
      <c r="AE20">
        <v>4.6683865024258198E-2</v>
      </c>
      <c r="AF20">
        <v>3.4818855722209099</v>
      </c>
      <c r="AG20">
        <v>97</v>
      </c>
      <c r="AH20">
        <v>19</v>
      </c>
      <c r="AI20">
        <f t="shared" si="22"/>
        <v>1</v>
      </c>
      <c r="AJ20">
        <f t="shared" si="23"/>
        <v>0</v>
      </c>
      <c r="AK20">
        <f t="shared" si="24"/>
        <v>53173.978628002587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266.09050000000002</v>
      </c>
      <c r="AT20">
        <v>315.65899999999999</v>
      </c>
      <c r="AU20">
        <f t="shared" si="27"/>
        <v>0.15703179697078162</v>
      </c>
      <c r="AV20">
        <v>0.5</v>
      </c>
      <c r="AW20">
        <f t="shared" si="28"/>
        <v>1849.1847873272359</v>
      </c>
      <c r="AX20">
        <f t="shared" si="29"/>
        <v>4.235058662232781</v>
      </c>
      <c r="AY20">
        <f t="shared" si="30"/>
        <v>145.19040504251424</v>
      </c>
      <c r="AZ20">
        <f t="shared" si="31"/>
        <v>0.35423986010219888</v>
      </c>
      <c r="BA20">
        <f t="shared" si="32"/>
        <v>2.8310089387007125E-3</v>
      </c>
      <c r="BB20">
        <f t="shared" si="33"/>
        <v>-1</v>
      </c>
      <c r="BC20" t="s">
        <v>302</v>
      </c>
      <c r="BD20">
        <v>203.84</v>
      </c>
      <c r="BE20">
        <f t="shared" si="34"/>
        <v>111.81899999999999</v>
      </c>
      <c r="BF20">
        <f t="shared" si="35"/>
        <v>0.44329228485320005</v>
      </c>
      <c r="BG20">
        <f t="shared" si="36"/>
        <v>1.5485625981161695</v>
      </c>
      <c r="BH20">
        <f t="shared" si="37"/>
        <v>0.15703179697078168</v>
      </c>
      <c r="BI20" t="e">
        <f t="shared" si="38"/>
        <v>#DIV/0!</v>
      </c>
      <c r="BJ20">
        <v>3619</v>
      </c>
      <c r="BK20">
        <v>300</v>
      </c>
      <c r="BL20">
        <v>300</v>
      </c>
      <c r="BM20">
        <v>300</v>
      </c>
      <c r="BN20">
        <v>9889.89</v>
      </c>
      <c r="BO20">
        <v>302.154</v>
      </c>
      <c r="BP20">
        <v>-6.4159400000000002E-3</v>
      </c>
      <c r="BQ20">
        <v>-7.4218800000000001E-2</v>
      </c>
      <c r="BR20">
        <f t="shared" si="39"/>
        <v>2199.9993548387101</v>
      </c>
      <c r="BS20">
        <f t="shared" si="40"/>
        <v>1849.1847873272359</v>
      </c>
      <c r="BT20">
        <f t="shared" si="41"/>
        <v>0.84053878618651057</v>
      </c>
      <c r="BU20">
        <f t="shared" si="42"/>
        <v>0.19107757237302136</v>
      </c>
      <c r="BV20">
        <v>0.5</v>
      </c>
      <c r="BW20" t="s">
        <v>281</v>
      </c>
      <c r="BX20">
        <v>1592241747.3419399</v>
      </c>
      <c r="BY20">
        <v>98.106229032258099</v>
      </c>
      <c r="BZ20">
        <v>99.996641935483893</v>
      </c>
      <c r="CA20">
        <v>18.687419354838699</v>
      </c>
      <c r="CB20">
        <v>16.7221516129032</v>
      </c>
      <c r="CC20">
        <v>500.02574193548401</v>
      </c>
      <c r="CD20">
        <v>100.214387096774</v>
      </c>
      <c r="CE20">
        <v>0.199975129032258</v>
      </c>
      <c r="CF20">
        <v>26.171416129032298</v>
      </c>
      <c r="CG20">
        <v>27.0682774193548</v>
      </c>
      <c r="CH20">
        <v>999.9</v>
      </c>
      <c r="CI20">
        <v>10007.1983870968</v>
      </c>
      <c r="CJ20">
        <v>0</v>
      </c>
      <c r="CK20">
        <v>215.25396774193501</v>
      </c>
      <c r="CL20">
        <v>2199.9993548387101</v>
      </c>
      <c r="CM20">
        <v>0.98199835483871001</v>
      </c>
      <c r="CN20">
        <v>1.8001651612903201E-2</v>
      </c>
      <c r="CO20">
        <v>0</v>
      </c>
      <c r="CP20">
        <v>266.109225806452</v>
      </c>
      <c r="CQ20">
        <v>5.00054</v>
      </c>
      <c r="CR20">
        <v>8192.6596774193495</v>
      </c>
      <c r="CS20">
        <v>20590.5225806452</v>
      </c>
      <c r="CT20">
        <v>45.975612903225802</v>
      </c>
      <c r="CU20">
        <v>46.608612903225797</v>
      </c>
      <c r="CV20">
        <v>46.311999999999998</v>
      </c>
      <c r="CW20">
        <v>44.804064516129003</v>
      </c>
      <c r="CX20">
        <v>47.370870967741901</v>
      </c>
      <c r="CY20">
        <v>2155.4874193548399</v>
      </c>
      <c r="CZ20">
        <v>39.510967741935502</v>
      </c>
      <c r="DA20">
        <v>0</v>
      </c>
      <c r="DB20">
        <v>120</v>
      </c>
      <c r="DC20">
        <v>266.09050000000002</v>
      </c>
      <c r="DD20">
        <v>-0.234153839258115</v>
      </c>
      <c r="DE20">
        <v>1.46598293681292</v>
      </c>
      <c r="DF20">
        <v>8192.4830769230794</v>
      </c>
      <c r="DG20">
        <v>15</v>
      </c>
      <c r="DH20">
        <v>1592241700.8</v>
      </c>
      <c r="DI20" t="s">
        <v>303</v>
      </c>
      <c r="DJ20">
        <v>4</v>
      </c>
      <c r="DK20">
        <v>-0.20599999999999999</v>
      </c>
      <c r="DL20">
        <v>0.11</v>
      </c>
      <c r="DM20">
        <v>100</v>
      </c>
      <c r="DN20">
        <v>17</v>
      </c>
      <c r="DO20">
        <v>0.51</v>
      </c>
      <c r="DP20">
        <v>0.04</v>
      </c>
      <c r="DQ20">
        <v>-1.8894073076923099</v>
      </c>
      <c r="DR20">
        <v>7.1893131583838504E-3</v>
      </c>
      <c r="DS20">
        <v>2.286332317485E-2</v>
      </c>
      <c r="DT20">
        <v>1</v>
      </c>
      <c r="DU20">
        <v>1.9612090384615399</v>
      </c>
      <c r="DV20">
        <v>5.1535036947533003E-2</v>
      </c>
      <c r="DW20">
        <v>8.7553972935413699E-3</v>
      </c>
      <c r="DX20">
        <v>1</v>
      </c>
      <c r="DY20">
        <v>2</v>
      </c>
      <c r="DZ20">
        <v>2</v>
      </c>
      <c r="EA20" t="s">
        <v>293</v>
      </c>
      <c r="EB20">
        <v>1.86676</v>
      </c>
      <c r="EC20">
        <v>1.86331</v>
      </c>
      <c r="ED20">
        <v>1.8689100000000001</v>
      </c>
      <c r="EE20">
        <v>1.8669100000000001</v>
      </c>
      <c r="EF20">
        <v>1.87151</v>
      </c>
      <c r="EG20">
        <v>1.8640099999999999</v>
      </c>
      <c r="EH20">
        <v>1.86564</v>
      </c>
      <c r="EI20">
        <v>1.86554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-0.20599999999999999</v>
      </c>
      <c r="EX20">
        <v>0.11</v>
      </c>
      <c r="EY20">
        <v>2</v>
      </c>
      <c r="EZ20">
        <v>384.65800000000002</v>
      </c>
      <c r="FA20">
        <v>520.37</v>
      </c>
      <c r="FB20">
        <v>19.178999999999998</v>
      </c>
      <c r="FC20">
        <v>32.425400000000003</v>
      </c>
      <c r="FD20">
        <v>30.000499999999999</v>
      </c>
      <c r="FE20">
        <v>32.589599999999997</v>
      </c>
      <c r="FF20">
        <v>32.602699999999999</v>
      </c>
      <c r="FG20">
        <v>8.1419599999999992</v>
      </c>
      <c r="FH20">
        <v>37.375500000000002</v>
      </c>
      <c r="FI20">
        <v>70.067700000000002</v>
      </c>
      <c r="FJ20">
        <v>19.139600000000002</v>
      </c>
      <c r="FK20">
        <v>100</v>
      </c>
      <c r="FL20">
        <v>16.763300000000001</v>
      </c>
      <c r="FM20">
        <v>101.29300000000001</v>
      </c>
      <c r="FN20">
        <v>101.084</v>
      </c>
    </row>
    <row r="21" spans="1:170" x14ac:dyDescent="0.25">
      <c r="A21">
        <v>5</v>
      </c>
      <c r="B21">
        <v>1592241888.4000001</v>
      </c>
      <c r="C21">
        <v>525.10000014305103</v>
      </c>
      <c r="D21" t="s">
        <v>304</v>
      </c>
      <c r="E21" t="s">
        <v>305</v>
      </c>
      <c r="G21">
        <v>1592241880.3483901</v>
      </c>
      <c r="H21">
        <f t="shared" si="0"/>
        <v>4.4596483401504452E-3</v>
      </c>
      <c r="I21">
        <f t="shared" si="1"/>
        <v>0.31831740479974152</v>
      </c>
      <c r="J21">
        <f t="shared" si="2"/>
        <v>49.734038709677399</v>
      </c>
      <c r="K21">
        <f t="shared" si="3"/>
        <v>46.426639840102588</v>
      </c>
      <c r="L21">
        <f t="shared" si="4"/>
        <v>4.661453342367869</v>
      </c>
      <c r="M21">
        <f t="shared" si="5"/>
        <v>4.9935317690690404</v>
      </c>
      <c r="N21">
        <f t="shared" si="6"/>
        <v>0.26729675008011988</v>
      </c>
      <c r="O21">
        <f t="shared" si="7"/>
        <v>3.4117878995369884</v>
      </c>
      <c r="P21">
        <f t="shared" si="8"/>
        <v>0.25618385754958051</v>
      </c>
      <c r="Q21">
        <f t="shared" si="9"/>
        <v>0.16107486004836241</v>
      </c>
      <c r="R21">
        <f t="shared" si="10"/>
        <v>353.34169575585867</v>
      </c>
      <c r="S21">
        <f t="shared" si="11"/>
        <v>26.708434474308156</v>
      </c>
      <c r="T21">
        <f t="shared" si="12"/>
        <v>26.864841935483899</v>
      </c>
      <c r="U21">
        <f t="shared" si="13"/>
        <v>3.5508459704521256</v>
      </c>
      <c r="V21">
        <f t="shared" si="14"/>
        <v>55.130402602683823</v>
      </c>
      <c r="W21">
        <f t="shared" si="15"/>
        <v>1.8500099121566309</v>
      </c>
      <c r="X21">
        <f t="shared" si="16"/>
        <v>3.3556981716410861</v>
      </c>
      <c r="Y21">
        <f t="shared" si="17"/>
        <v>1.7008360582954947</v>
      </c>
      <c r="Z21">
        <f t="shared" si="18"/>
        <v>-196.67049180063464</v>
      </c>
      <c r="AA21">
        <f t="shared" si="19"/>
        <v>-176.21513765230313</v>
      </c>
      <c r="AB21">
        <f t="shared" si="20"/>
        <v>-11.078149840004551</v>
      </c>
      <c r="AC21">
        <f t="shared" si="21"/>
        <v>-30.622083537083626</v>
      </c>
      <c r="AD21">
        <v>-4.16306255692038E-2</v>
      </c>
      <c r="AE21">
        <v>4.6734024244536897E-2</v>
      </c>
      <c r="AF21">
        <v>3.4848423533247299</v>
      </c>
      <c r="AG21">
        <v>111</v>
      </c>
      <c r="AH21">
        <v>22</v>
      </c>
      <c r="AI21">
        <f t="shared" si="22"/>
        <v>1</v>
      </c>
      <c r="AJ21">
        <f t="shared" si="23"/>
        <v>0</v>
      </c>
      <c r="AK21">
        <f t="shared" si="24"/>
        <v>53275.663782305295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266.202846153846</v>
      </c>
      <c r="AT21">
        <v>306.45499999999998</v>
      </c>
      <c r="AU21">
        <f t="shared" si="27"/>
        <v>0.13134768186570289</v>
      </c>
      <c r="AV21">
        <v>0.5</v>
      </c>
      <c r="AW21">
        <f t="shared" si="28"/>
        <v>1849.2032126122213</v>
      </c>
      <c r="AX21">
        <f t="shared" si="29"/>
        <v>0.31831740479974152</v>
      </c>
      <c r="AY21">
        <f t="shared" si="30"/>
        <v>121.44427763761288</v>
      </c>
      <c r="AZ21">
        <f t="shared" si="31"/>
        <v>0.33517155863014142</v>
      </c>
      <c r="BA21">
        <f t="shared" si="32"/>
        <v>7.1291105045045869E-4</v>
      </c>
      <c r="BB21">
        <f t="shared" si="33"/>
        <v>-1</v>
      </c>
      <c r="BC21" t="s">
        <v>307</v>
      </c>
      <c r="BD21">
        <v>203.74</v>
      </c>
      <c r="BE21">
        <f t="shared" si="34"/>
        <v>102.71499999999997</v>
      </c>
      <c r="BF21">
        <f t="shared" si="35"/>
        <v>0.39188194369034707</v>
      </c>
      <c r="BG21">
        <f t="shared" si="36"/>
        <v>1.5041474428192794</v>
      </c>
      <c r="BH21">
        <f t="shared" si="37"/>
        <v>0.13134768186570292</v>
      </c>
      <c r="BI21" t="e">
        <f t="shared" si="38"/>
        <v>#DIV/0!</v>
      </c>
      <c r="BJ21">
        <v>3621</v>
      </c>
      <c r="BK21">
        <v>300</v>
      </c>
      <c r="BL21">
        <v>300</v>
      </c>
      <c r="BM21">
        <v>300</v>
      </c>
      <c r="BN21">
        <v>9890.2999999999993</v>
      </c>
      <c r="BO21">
        <v>294.524</v>
      </c>
      <c r="BP21">
        <v>-6.4158899999999996E-3</v>
      </c>
      <c r="BQ21">
        <v>0.62698399999999999</v>
      </c>
      <c r="BR21">
        <f t="shared" si="39"/>
        <v>2200.0209677419398</v>
      </c>
      <c r="BS21">
        <f t="shared" si="40"/>
        <v>1849.2032126122213</v>
      </c>
      <c r="BT21">
        <f t="shared" si="41"/>
        <v>0.84053890382245255</v>
      </c>
      <c r="BU21">
        <f t="shared" si="42"/>
        <v>0.19107780764490515</v>
      </c>
      <c r="BV21">
        <v>0.5</v>
      </c>
      <c r="BW21" t="s">
        <v>281</v>
      </c>
      <c r="BX21">
        <v>1592241880.3483901</v>
      </c>
      <c r="BY21">
        <v>49.734038709677399</v>
      </c>
      <c r="BZ21">
        <v>49.950074193548403</v>
      </c>
      <c r="CA21">
        <v>18.425529032258101</v>
      </c>
      <c r="CB21">
        <v>16.674619354838701</v>
      </c>
      <c r="CC21">
        <v>500.023161290323</v>
      </c>
      <c r="CD21">
        <v>100.204709677419</v>
      </c>
      <c r="CE21">
        <v>0.20000103225806501</v>
      </c>
      <c r="CF21">
        <v>25.906819354838699</v>
      </c>
      <c r="CG21">
        <v>26.864841935483899</v>
      </c>
      <c r="CH21">
        <v>999.9</v>
      </c>
      <c r="CI21">
        <v>10018.9180645161</v>
      </c>
      <c r="CJ21">
        <v>0</v>
      </c>
      <c r="CK21">
        <v>215.406709677419</v>
      </c>
      <c r="CL21">
        <v>2200.0209677419398</v>
      </c>
      <c r="CM21">
        <v>0.98199674193548403</v>
      </c>
      <c r="CN21">
        <v>1.8002870967741901E-2</v>
      </c>
      <c r="CO21">
        <v>0</v>
      </c>
      <c r="CP21">
        <v>266.20454838709702</v>
      </c>
      <c r="CQ21">
        <v>5.00054</v>
      </c>
      <c r="CR21">
        <v>8230.0396774193596</v>
      </c>
      <c r="CS21">
        <v>20590.7096774194</v>
      </c>
      <c r="CT21">
        <v>46.058</v>
      </c>
      <c r="CU21">
        <v>46.894870967741902</v>
      </c>
      <c r="CV21">
        <v>46.447161290322597</v>
      </c>
      <c r="CW21">
        <v>44.8606129032258</v>
      </c>
      <c r="CX21">
        <v>47.588419354838699</v>
      </c>
      <c r="CY21">
        <v>2155.5009677419398</v>
      </c>
      <c r="CZ21">
        <v>39.520000000000003</v>
      </c>
      <c r="DA21">
        <v>0</v>
      </c>
      <c r="DB21">
        <v>132.69999980926499</v>
      </c>
      <c r="DC21">
        <v>266.202846153846</v>
      </c>
      <c r="DD21">
        <v>0.212170946130392</v>
      </c>
      <c r="DE21">
        <v>15.3572648796415</v>
      </c>
      <c r="DF21">
        <v>8229.8276923076901</v>
      </c>
      <c r="DG21">
        <v>15</v>
      </c>
      <c r="DH21">
        <v>1592241834.9000001</v>
      </c>
      <c r="DI21" t="s">
        <v>308</v>
      </c>
      <c r="DJ21">
        <v>5</v>
      </c>
      <c r="DK21">
        <v>-0.20899999999999999</v>
      </c>
      <c r="DL21">
        <v>0.109</v>
      </c>
      <c r="DM21">
        <v>50</v>
      </c>
      <c r="DN21">
        <v>16</v>
      </c>
      <c r="DO21">
        <v>0.45</v>
      </c>
      <c r="DP21">
        <v>0.04</v>
      </c>
      <c r="DQ21">
        <v>-0.208428311538462</v>
      </c>
      <c r="DR21">
        <v>-0.199183907472367</v>
      </c>
      <c r="DS21">
        <v>8.8900921514092707E-2</v>
      </c>
      <c r="DT21">
        <v>1</v>
      </c>
      <c r="DU21">
        <v>1.77341884615385</v>
      </c>
      <c r="DV21">
        <v>-5.4612433303258601E-2</v>
      </c>
      <c r="DW21">
        <v>0.104947063865805</v>
      </c>
      <c r="DX21">
        <v>1</v>
      </c>
      <c r="DY21">
        <v>2</v>
      </c>
      <c r="DZ21">
        <v>2</v>
      </c>
      <c r="EA21" t="s">
        <v>293</v>
      </c>
      <c r="EB21">
        <v>1.8667899999999999</v>
      </c>
      <c r="EC21">
        <v>1.8633599999999999</v>
      </c>
      <c r="ED21">
        <v>1.8689499999999999</v>
      </c>
      <c r="EE21">
        <v>1.86693</v>
      </c>
      <c r="EF21">
        <v>1.87161</v>
      </c>
      <c r="EG21">
        <v>1.8640600000000001</v>
      </c>
      <c r="EH21">
        <v>1.86568</v>
      </c>
      <c r="EI21">
        <v>1.8655600000000001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-0.20899999999999999</v>
      </c>
      <c r="EX21">
        <v>0.109</v>
      </c>
      <c r="EY21">
        <v>2</v>
      </c>
      <c r="EZ21">
        <v>370.19900000000001</v>
      </c>
      <c r="FA21">
        <v>517.06299999999999</v>
      </c>
      <c r="FB21">
        <v>18.535299999999999</v>
      </c>
      <c r="FC21">
        <v>32.504899999999999</v>
      </c>
      <c r="FD21">
        <v>29.994399999999999</v>
      </c>
      <c r="FE21">
        <v>32.600200000000001</v>
      </c>
      <c r="FF21">
        <v>32.608800000000002</v>
      </c>
      <c r="FG21">
        <v>5.7147100000000002</v>
      </c>
      <c r="FH21">
        <v>37.504399999999997</v>
      </c>
      <c r="FI21">
        <v>66.686700000000002</v>
      </c>
      <c r="FJ21">
        <v>18.795200000000001</v>
      </c>
      <c r="FK21">
        <v>50</v>
      </c>
      <c r="FL21">
        <v>16.2972</v>
      </c>
      <c r="FM21">
        <v>101.286</v>
      </c>
      <c r="FN21">
        <v>101.08499999999999</v>
      </c>
    </row>
    <row r="22" spans="1:170" x14ac:dyDescent="0.25">
      <c r="A22">
        <v>6</v>
      </c>
      <c r="B22">
        <v>1592242012.9000001</v>
      </c>
      <c r="C22">
        <v>649.60000014305103</v>
      </c>
      <c r="D22" t="s">
        <v>309</v>
      </c>
      <c r="E22" t="s">
        <v>310</v>
      </c>
      <c r="G22">
        <v>1592242004.9000001</v>
      </c>
      <c r="H22">
        <f t="shared" si="0"/>
        <v>5.936856224138135E-3</v>
      </c>
      <c r="I22">
        <f t="shared" si="1"/>
        <v>27.219242143556627</v>
      </c>
      <c r="J22">
        <f t="shared" si="2"/>
        <v>388.15374193548399</v>
      </c>
      <c r="K22">
        <f t="shared" si="3"/>
        <v>251.81854123811067</v>
      </c>
      <c r="L22">
        <f t="shared" si="4"/>
        <v>25.283939305264845</v>
      </c>
      <c r="M22">
        <f t="shared" si="5"/>
        <v>38.972728552693781</v>
      </c>
      <c r="N22">
        <f t="shared" si="6"/>
        <v>0.35877675520560376</v>
      </c>
      <c r="O22">
        <f t="shared" si="7"/>
        <v>3.4089120059553566</v>
      </c>
      <c r="P22">
        <f t="shared" si="8"/>
        <v>0.33904145381421513</v>
      </c>
      <c r="Q22">
        <f t="shared" si="9"/>
        <v>0.21358353316624534</v>
      </c>
      <c r="R22">
        <f t="shared" si="10"/>
        <v>353.33945842685461</v>
      </c>
      <c r="S22">
        <f t="shared" si="11"/>
        <v>26.677229975892907</v>
      </c>
      <c r="T22">
        <f t="shared" si="12"/>
        <v>26.980370967741901</v>
      </c>
      <c r="U22">
        <f t="shared" si="13"/>
        <v>3.575035492492066</v>
      </c>
      <c r="V22">
        <f t="shared" si="14"/>
        <v>54.578797601254337</v>
      </c>
      <c r="W22">
        <f t="shared" si="15"/>
        <v>1.864490879283359</v>
      </c>
      <c r="X22">
        <f t="shared" si="16"/>
        <v>3.4161450255923356</v>
      </c>
      <c r="Y22">
        <f t="shared" si="17"/>
        <v>1.710544613208707</v>
      </c>
      <c r="Z22">
        <f t="shared" si="18"/>
        <v>-261.81535948449175</v>
      </c>
      <c r="AA22">
        <f t="shared" si="19"/>
        <v>-141.82696569293725</v>
      </c>
      <c r="AB22">
        <f t="shared" si="20"/>
        <v>-8.9424498578904021</v>
      </c>
      <c r="AC22">
        <f t="shared" si="21"/>
        <v>-59.245316608464776</v>
      </c>
      <c r="AD22">
        <v>-4.1585982254123098E-2</v>
      </c>
      <c r="AE22">
        <v>4.6683908212389602E-2</v>
      </c>
      <c r="AF22">
        <v>3.48188811854707</v>
      </c>
      <c r="AG22">
        <v>110</v>
      </c>
      <c r="AH22">
        <v>22</v>
      </c>
      <c r="AI22">
        <f t="shared" si="22"/>
        <v>1</v>
      </c>
      <c r="AJ22">
        <f t="shared" si="23"/>
        <v>0</v>
      </c>
      <c r="AK22">
        <f t="shared" si="24"/>
        <v>53167.212558210907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269.08169230769198</v>
      </c>
      <c r="AT22">
        <v>350.17599999999999</v>
      </c>
      <c r="AU22">
        <f t="shared" si="27"/>
        <v>0.23158156953162978</v>
      </c>
      <c r="AV22">
        <v>0.5</v>
      </c>
      <c r="AW22">
        <f t="shared" si="28"/>
        <v>1849.1920353667053</v>
      </c>
      <c r="AX22">
        <f t="shared" si="29"/>
        <v>27.219242143556627</v>
      </c>
      <c r="AY22">
        <f t="shared" si="30"/>
        <v>214.11939695780535</v>
      </c>
      <c r="AZ22">
        <f t="shared" si="31"/>
        <v>0.44867723658960063</v>
      </c>
      <c r="BA22">
        <f t="shared" si="32"/>
        <v>1.5260309153321975E-2</v>
      </c>
      <c r="BB22">
        <f t="shared" si="33"/>
        <v>-1</v>
      </c>
      <c r="BC22" t="s">
        <v>312</v>
      </c>
      <c r="BD22">
        <v>193.06</v>
      </c>
      <c r="BE22">
        <f t="shared" si="34"/>
        <v>157.11599999999999</v>
      </c>
      <c r="BF22">
        <f t="shared" si="35"/>
        <v>0.51614289882830533</v>
      </c>
      <c r="BG22">
        <f t="shared" si="36"/>
        <v>1.8138195379674711</v>
      </c>
      <c r="BH22">
        <f t="shared" si="37"/>
        <v>0.23158156953162984</v>
      </c>
      <c r="BI22" t="e">
        <f t="shared" si="38"/>
        <v>#DIV/0!</v>
      </c>
      <c r="BJ22">
        <v>3623</v>
      </c>
      <c r="BK22">
        <v>300</v>
      </c>
      <c r="BL22">
        <v>300</v>
      </c>
      <c r="BM22">
        <v>300</v>
      </c>
      <c r="BN22">
        <v>9892.06</v>
      </c>
      <c r="BO22">
        <v>325.13099999999997</v>
      </c>
      <c r="BP22">
        <v>-6.4173600000000004E-3</v>
      </c>
      <c r="BQ22">
        <v>0.72277800000000003</v>
      </c>
      <c r="BR22">
        <f t="shared" si="39"/>
        <v>2200.0077419354802</v>
      </c>
      <c r="BS22">
        <f t="shared" si="40"/>
        <v>1849.1920353667053</v>
      </c>
      <c r="BT22">
        <f t="shared" si="41"/>
        <v>0.84053887634952551</v>
      </c>
      <c r="BU22">
        <f t="shared" si="42"/>
        <v>0.19107775269905128</v>
      </c>
      <c r="BV22">
        <v>0.5</v>
      </c>
      <c r="BW22" t="s">
        <v>281</v>
      </c>
      <c r="BX22">
        <v>1592242004.9000001</v>
      </c>
      <c r="BY22">
        <v>388.15374193548399</v>
      </c>
      <c r="BZ22">
        <v>399.96212903225802</v>
      </c>
      <c r="CA22">
        <v>18.569629032258099</v>
      </c>
      <c r="CB22">
        <v>16.239196774193601</v>
      </c>
      <c r="CC22">
        <v>500.04551612903202</v>
      </c>
      <c r="CD22">
        <v>100.20541935483899</v>
      </c>
      <c r="CE22">
        <v>0.199972483870968</v>
      </c>
      <c r="CF22">
        <v>26.208654838709698</v>
      </c>
      <c r="CG22">
        <v>26.980370967741901</v>
      </c>
      <c r="CH22">
        <v>999.9</v>
      </c>
      <c r="CI22">
        <v>10008.103225806401</v>
      </c>
      <c r="CJ22">
        <v>0</v>
      </c>
      <c r="CK22">
        <v>214.440129032258</v>
      </c>
      <c r="CL22">
        <v>2200.0077419354802</v>
      </c>
      <c r="CM22">
        <v>0.98199558064516201</v>
      </c>
      <c r="CN22">
        <v>1.80041709677419E-2</v>
      </c>
      <c r="CO22">
        <v>0</v>
      </c>
      <c r="CP22">
        <v>269.07299999999998</v>
      </c>
      <c r="CQ22">
        <v>5.00054</v>
      </c>
      <c r="CR22">
        <v>8337.0109677419405</v>
      </c>
      <c r="CS22">
        <v>20590.580645161299</v>
      </c>
      <c r="CT22">
        <v>45.739709677419398</v>
      </c>
      <c r="CU22">
        <v>46.632870967741901</v>
      </c>
      <c r="CV22">
        <v>46.2296774193548</v>
      </c>
      <c r="CW22">
        <v>44.560258064516098</v>
      </c>
      <c r="CX22">
        <v>47.179129032257997</v>
      </c>
      <c r="CY22">
        <v>2155.4896774193599</v>
      </c>
      <c r="CZ22">
        <v>39.517741935483897</v>
      </c>
      <c r="DA22">
        <v>0</v>
      </c>
      <c r="DB22">
        <v>123.69999980926499</v>
      </c>
      <c r="DC22">
        <v>269.08169230769198</v>
      </c>
      <c r="DD22">
        <v>2.5904957355074201</v>
      </c>
      <c r="DE22">
        <v>52.204102941386601</v>
      </c>
      <c r="DF22">
        <v>8338.0149999999994</v>
      </c>
      <c r="DG22">
        <v>15</v>
      </c>
      <c r="DH22">
        <v>1592241972.9000001</v>
      </c>
      <c r="DI22" t="s">
        <v>313</v>
      </c>
      <c r="DJ22">
        <v>6</v>
      </c>
      <c r="DK22">
        <v>-7.1999999999999995E-2</v>
      </c>
      <c r="DL22">
        <v>9.5000000000000001E-2</v>
      </c>
      <c r="DM22">
        <v>400</v>
      </c>
      <c r="DN22">
        <v>16</v>
      </c>
      <c r="DO22">
        <v>0.14000000000000001</v>
      </c>
      <c r="DP22">
        <v>0.03</v>
      </c>
      <c r="DQ22">
        <v>-11.8382057692308</v>
      </c>
      <c r="DR22">
        <v>0.305229573977635</v>
      </c>
      <c r="DS22">
        <v>4.3864758999686601E-2</v>
      </c>
      <c r="DT22">
        <v>1</v>
      </c>
      <c r="DU22">
        <v>2.3224644230769198</v>
      </c>
      <c r="DV22">
        <v>5.6297191155128302E-2</v>
      </c>
      <c r="DW22">
        <v>2.9528996402067499E-2</v>
      </c>
      <c r="DX22">
        <v>1</v>
      </c>
      <c r="DY22">
        <v>2</v>
      </c>
      <c r="DZ22">
        <v>2</v>
      </c>
      <c r="EA22" t="s">
        <v>293</v>
      </c>
      <c r="EB22">
        <v>1.8667800000000001</v>
      </c>
      <c r="EC22">
        <v>1.86334</v>
      </c>
      <c r="ED22">
        <v>1.8689499999999999</v>
      </c>
      <c r="EE22">
        <v>1.8669100000000001</v>
      </c>
      <c r="EF22">
        <v>1.87157</v>
      </c>
      <c r="EG22">
        <v>1.8640099999999999</v>
      </c>
      <c r="EH22">
        <v>1.8656900000000001</v>
      </c>
      <c r="EI22">
        <v>1.8655600000000001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-7.1999999999999995E-2</v>
      </c>
      <c r="EX22">
        <v>9.5000000000000001E-2</v>
      </c>
      <c r="EY22">
        <v>2</v>
      </c>
      <c r="EZ22">
        <v>371.57600000000002</v>
      </c>
      <c r="FA22">
        <v>516.10500000000002</v>
      </c>
      <c r="FB22">
        <v>20.5244</v>
      </c>
      <c r="FC22">
        <v>32.5381</v>
      </c>
      <c r="FD22">
        <v>29.999700000000001</v>
      </c>
      <c r="FE22">
        <v>32.623199999999997</v>
      </c>
      <c r="FF22">
        <v>32.619599999999998</v>
      </c>
      <c r="FG22">
        <v>22.150300000000001</v>
      </c>
      <c r="FH22">
        <v>37.179900000000004</v>
      </c>
      <c r="FI22">
        <v>63.649799999999999</v>
      </c>
      <c r="FJ22">
        <v>20.536799999999999</v>
      </c>
      <c r="FK22">
        <v>400</v>
      </c>
      <c r="FL22">
        <v>16.310500000000001</v>
      </c>
      <c r="FM22">
        <v>101.26600000000001</v>
      </c>
      <c r="FN22">
        <v>101.083</v>
      </c>
    </row>
    <row r="23" spans="1:170" x14ac:dyDescent="0.25">
      <c r="A23">
        <v>7</v>
      </c>
      <c r="B23">
        <v>1592242141.4000001</v>
      </c>
      <c r="C23">
        <v>778.10000014305103</v>
      </c>
      <c r="D23" t="s">
        <v>314</v>
      </c>
      <c r="E23" t="s">
        <v>315</v>
      </c>
      <c r="G23">
        <v>1592242133.4000001</v>
      </c>
      <c r="H23">
        <f t="shared" si="0"/>
        <v>5.7652023480832607E-3</v>
      </c>
      <c r="I23">
        <f t="shared" si="1"/>
        <v>28.182100811550253</v>
      </c>
      <c r="J23">
        <f t="shared" si="2"/>
        <v>387.81306451612897</v>
      </c>
      <c r="K23">
        <f t="shared" si="3"/>
        <v>243.99648272386949</v>
      </c>
      <c r="L23">
        <f t="shared" si="4"/>
        <v>24.498750237998618</v>
      </c>
      <c r="M23">
        <f t="shared" si="5"/>
        <v>38.938821168851376</v>
      </c>
      <c r="N23">
        <f t="shared" si="6"/>
        <v>0.35003782574172926</v>
      </c>
      <c r="O23">
        <f t="shared" si="7"/>
        <v>3.4091582893655659</v>
      </c>
      <c r="P23">
        <f t="shared" si="8"/>
        <v>0.3312264394543753</v>
      </c>
      <c r="Q23">
        <f t="shared" si="9"/>
        <v>0.20862236732572537</v>
      </c>
      <c r="R23">
        <f t="shared" si="10"/>
        <v>353.33941235614577</v>
      </c>
      <c r="S23">
        <f t="shared" si="11"/>
        <v>26.866779817700817</v>
      </c>
      <c r="T23">
        <f t="shared" si="12"/>
        <v>27.048722580645201</v>
      </c>
      <c r="U23">
        <f t="shared" si="13"/>
        <v>3.5894146093172825</v>
      </c>
      <c r="V23">
        <f t="shared" si="14"/>
        <v>54.819291723265628</v>
      </c>
      <c r="W23">
        <f t="shared" si="15"/>
        <v>1.8894645229921225</v>
      </c>
      <c r="X23">
        <f t="shared" si="16"/>
        <v>3.4467145845852341</v>
      </c>
      <c r="Y23">
        <f t="shared" si="17"/>
        <v>1.69995008632516</v>
      </c>
      <c r="Z23">
        <f t="shared" si="18"/>
        <v>-254.2454235504718</v>
      </c>
      <c r="AA23">
        <f t="shared" si="19"/>
        <v>-126.67001236583796</v>
      </c>
      <c r="AB23">
        <f t="shared" si="20"/>
        <v>-7.9949654894002542</v>
      </c>
      <c r="AC23">
        <f t="shared" si="21"/>
        <v>-35.570989049564261</v>
      </c>
      <c r="AD23">
        <v>-4.1589804710112602E-2</v>
      </c>
      <c r="AE23">
        <v>4.6688199254103301E-2</v>
      </c>
      <c r="AF23">
        <v>3.4821411096978099</v>
      </c>
      <c r="AG23">
        <v>101</v>
      </c>
      <c r="AH23">
        <v>20</v>
      </c>
      <c r="AI23">
        <f t="shared" si="22"/>
        <v>1</v>
      </c>
      <c r="AJ23">
        <f t="shared" si="23"/>
        <v>0</v>
      </c>
      <c r="AK23">
        <f t="shared" si="24"/>
        <v>53145.116831515661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273.38380769230798</v>
      </c>
      <c r="AT23">
        <v>359.92700000000002</v>
      </c>
      <c r="AU23">
        <f t="shared" si="27"/>
        <v>0.24044651361996194</v>
      </c>
      <c r="AV23">
        <v>0.5</v>
      </c>
      <c r="AW23">
        <f t="shared" si="28"/>
        <v>1849.1912803541552</v>
      </c>
      <c r="AX23">
        <f t="shared" si="29"/>
        <v>28.182100811550253</v>
      </c>
      <c r="AY23">
        <f t="shared" si="30"/>
        <v>222.31579818879513</v>
      </c>
      <c r="AZ23">
        <f t="shared" si="31"/>
        <v>0.45800120580006504</v>
      </c>
      <c r="BA23">
        <f t="shared" si="32"/>
        <v>1.5781007147060162E-2</v>
      </c>
      <c r="BB23">
        <f t="shared" si="33"/>
        <v>-1</v>
      </c>
      <c r="BC23" t="s">
        <v>317</v>
      </c>
      <c r="BD23">
        <v>195.08</v>
      </c>
      <c r="BE23">
        <f t="shared" si="34"/>
        <v>164.84700000000001</v>
      </c>
      <c r="BF23">
        <f t="shared" si="35"/>
        <v>0.52499100564579293</v>
      </c>
      <c r="BG23">
        <f t="shared" si="36"/>
        <v>1.8450225548492927</v>
      </c>
      <c r="BH23">
        <f t="shared" si="37"/>
        <v>0.24044651361996192</v>
      </c>
      <c r="BI23" t="e">
        <f t="shared" si="38"/>
        <v>#DIV/0!</v>
      </c>
      <c r="BJ23">
        <v>3625</v>
      </c>
      <c r="BK23">
        <v>300</v>
      </c>
      <c r="BL23">
        <v>300</v>
      </c>
      <c r="BM23">
        <v>300</v>
      </c>
      <c r="BN23">
        <v>9892.64</v>
      </c>
      <c r="BO23">
        <v>333.93400000000003</v>
      </c>
      <c r="BP23">
        <v>-6.4179600000000003E-3</v>
      </c>
      <c r="BQ23">
        <v>0.124725</v>
      </c>
      <c r="BR23">
        <f t="shared" si="39"/>
        <v>2200.00677419355</v>
      </c>
      <c r="BS23">
        <f t="shared" si="40"/>
        <v>1849.1912803541552</v>
      </c>
      <c r="BT23">
        <f t="shared" si="41"/>
        <v>0.84053890290042754</v>
      </c>
      <c r="BU23">
        <f t="shared" si="42"/>
        <v>0.19107780580085504</v>
      </c>
      <c r="BV23">
        <v>0.5</v>
      </c>
      <c r="BW23" t="s">
        <v>281</v>
      </c>
      <c r="BX23">
        <v>1592242133.4000001</v>
      </c>
      <c r="BY23">
        <v>387.81306451612897</v>
      </c>
      <c r="BZ23">
        <v>399.97903225806402</v>
      </c>
      <c r="CA23">
        <v>18.818212903225799</v>
      </c>
      <c r="CB23">
        <v>16.555751612903201</v>
      </c>
      <c r="CC23">
        <v>500.04935483870997</v>
      </c>
      <c r="CD23">
        <v>100.206161290323</v>
      </c>
      <c r="CE23">
        <v>0.200000161290323</v>
      </c>
      <c r="CF23">
        <v>26.359529032258099</v>
      </c>
      <c r="CG23">
        <v>27.048722580645201</v>
      </c>
      <c r="CH23">
        <v>999.9</v>
      </c>
      <c r="CI23">
        <v>10008.9490322581</v>
      </c>
      <c r="CJ23">
        <v>0</v>
      </c>
      <c r="CK23">
        <v>210.04154838709701</v>
      </c>
      <c r="CL23">
        <v>2200.00677419355</v>
      </c>
      <c r="CM23">
        <v>0.98199470967741898</v>
      </c>
      <c r="CN23">
        <v>1.8005087096774199E-2</v>
      </c>
      <c r="CO23">
        <v>0</v>
      </c>
      <c r="CP23">
        <v>273.37629032258099</v>
      </c>
      <c r="CQ23">
        <v>5.00054</v>
      </c>
      <c r="CR23">
        <v>8385.3303225806394</v>
      </c>
      <c r="CS23">
        <v>20590.577419354799</v>
      </c>
      <c r="CT23">
        <v>45.721548387096803</v>
      </c>
      <c r="CU23">
        <v>46.360580645161299</v>
      </c>
      <c r="CV23">
        <v>46.054000000000002</v>
      </c>
      <c r="CW23">
        <v>44.810225806451598</v>
      </c>
      <c r="CX23">
        <v>47.054000000000002</v>
      </c>
      <c r="CY23">
        <v>2155.4870967741899</v>
      </c>
      <c r="CZ23">
        <v>39.519677419354799</v>
      </c>
      <c r="DA23">
        <v>0</v>
      </c>
      <c r="DB23">
        <v>127.59999990463299</v>
      </c>
      <c r="DC23">
        <v>273.38380769230798</v>
      </c>
      <c r="DD23">
        <v>1.2597264954418601</v>
      </c>
      <c r="DE23">
        <v>23.292991465442299</v>
      </c>
      <c r="DF23">
        <v>8385.4307692307702</v>
      </c>
      <c r="DG23">
        <v>15</v>
      </c>
      <c r="DH23">
        <v>1592242070.9000001</v>
      </c>
      <c r="DI23" t="s">
        <v>318</v>
      </c>
      <c r="DJ23">
        <v>7</v>
      </c>
      <c r="DK23">
        <v>-0.08</v>
      </c>
      <c r="DL23">
        <v>0.105</v>
      </c>
      <c r="DM23">
        <v>400</v>
      </c>
      <c r="DN23">
        <v>16</v>
      </c>
      <c r="DO23">
        <v>0.18</v>
      </c>
      <c r="DP23">
        <v>0.03</v>
      </c>
      <c r="DQ23">
        <v>-12.1480634615385</v>
      </c>
      <c r="DR23">
        <v>-0.19134892854093899</v>
      </c>
      <c r="DS23">
        <v>6.6920799999948696E-2</v>
      </c>
      <c r="DT23">
        <v>1</v>
      </c>
      <c r="DU23">
        <v>2.2691294230769201</v>
      </c>
      <c r="DV23">
        <v>-8.8528250661664698E-2</v>
      </c>
      <c r="DW23">
        <v>2.4407252658983698E-2</v>
      </c>
      <c r="DX23">
        <v>1</v>
      </c>
      <c r="DY23">
        <v>2</v>
      </c>
      <c r="DZ23">
        <v>2</v>
      </c>
      <c r="EA23" t="s">
        <v>293</v>
      </c>
      <c r="EB23">
        <v>1.86676</v>
      </c>
      <c r="EC23">
        <v>1.8633</v>
      </c>
      <c r="ED23">
        <v>1.8689100000000001</v>
      </c>
      <c r="EE23">
        <v>1.8669100000000001</v>
      </c>
      <c r="EF23">
        <v>1.87155</v>
      </c>
      <c r="EG23">
        <v>1.8640099999999999</v>
      </c>
      <c r="EH23">
        <v>1.8656600000000001</v>
      </c>
      <c r="EI23">
        <v>1.86554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-0.08</v>
      </c>
      <c r="EX23">
        <v>0.105</v>
      </c>
      <c r="EY23">
        <v>2</v>
      </c>
      <c r="EZ23">
        <v>380.767</v>
      </c>
      <c r="FA23">
        <v>516.80799999999999</v>
      </c>
      <c r="FB23">
        <v>19.696300000000001</v>
      </c>
      <c r="FC23">
        <v>32.398400000000002</v>
      </c>
      <c r="FD23">
        <v>29.999500000000001</v>
      </c>
      <c r="FE23">
        <v>32.529000000000003</v>
      </c>
      <c r="FF23">
        <v>32.535400000000003</v>
      </c>
      <c r="FG23">
        <v>22.171700000000001</v>
      </c>
      <c r="FH23">
        <v>34.752600000000001</v>
      </c>
      <c r="FI23">
        <v>61.379300000000001</v>
      </c>
      <c r="FJ23">
        <v>19.666</v>
      </c>
      <c r="FK23">
        <v>400</v>
      </c>
      <c r="FL23">
        <v>16.634</v>
      </c>
      <c r="FM23">
        <v>101.28700000000001</v>
      </c>
      <c r="FN23">
        <v>101.125</v>
      </c>
    </row>
    <row r="24" spans="1:170" x14ac:dyDescent="0.25">
      <c r="A24">
        <v>8</v>
      </c>
      <c r="B24">
        <v>1592242279.4000001</v>
      </c>
      <c r="C24">
        <v>916.10000014305103</v>
      </c>
      <c r="D24" t="s">
        <v>319</v>
      </c>
      <c r="E24" t="s">
        <v>320</v>
      </c>
      <c r="G24">
        <v>1592242271.4000001</v>
      </c>
      <c r="H24">
        <f t="shared" si="0"/>
        <v>6.1943390811932172E-3</v>
      </c>
      <c r="I24">
        <f t="shared" si="1"/>
        <v>33.790231528434845</v>
      </c>
      <c r="J24">
        <f t="shared" si="2"/>
        <v>485.27332258064502</v>
      </c>
      <c r="K24">
        <f t="shared" si="3"/>
        <v>325.04956757245532</v>
      </c>
      <c r="L24">
        <f t="shared" si="4"/>
        <v>32.639467899004224</v>
      </c>
      <c r="M24">
        <f t="shared" si="5"/>
        <v>48.728146765134433</v>
      </c>
      <c r="N24">
        <f t="shared" si="6"/>
        <v>0.38174454372697475</v>
      </c>
      <c r="O24">
        <f t="shared" si="7"/>
        <v>3.4051901632590971</v>
      </c>
      <c r="P24">
        <f t="shared" si="8"/>
        <v>0.35946291340036252</v>
      </c>
      <c r="Q24">
        <f t="shared" si="9"/>
        <v>0.22655778414386674</v>
      </c>
      <c r="R24">
        <f t="shared" si="10"/>
        <v>353.33762434489432</v>
      </c>
      <c r="S24">
        <f t="shared" si="11"/>
        <v>26.716936439995077</v>
      </c>
      <c r="T24">
        <f t="shared" si="12"/>
        <v>27.012416129032299</v>
      </c>
      <c r="U24">
        <f t="shared" si="13"/>
        <v>3.5817705542413556</v>
      </c>
      <c r="V24">
        <f t="shared" si="14"/>
        <v>55.259440081992963</v>
      </c>
      <c r="W24">
        <f t="shared" si="15"/>
        <v>1.8986387102190991</v>
      </c>
      <c r="X24">
        <f t="shared" si="16"/>
        <v>3.4358630985075731</v>
      </c>
      <c r="Y24">
        <f t="shared" si="17"/>
        <v>1.6831318440222565</v>
      </c>
      <c r="Z24">
        <f t="shared" si="18"/>
        <v>-273.17035348062086</v>
      </c>
      <c r="AA24">
        <f t="shared" si="19"/>
        <v>-129.66476289982779</v>
      </c>
      <c r="AB24">
        <f t="shared" si="20"/>
        <v>-8.1898420278355708</v>
      </c>
      <c r="AC24">
        <f t="shared" si="21"/>
        <v>-57.687334063389926</v>
      </c>
      <c r="AD24">
        <v>-4.1528232478312901E-2</v>
      </c>
      <c r="AE24">
        <v>4.6619079029884401E-2</v>
      </c>
      <c r="AF24">
        <v>3.4780649351125801</v>
      </c>
      <c r="AG24">
        <v>103</v>
      </c>
      <c r="AH24">
        <v>21</v>
      </c>
      <c r="AI24">
        <f t="shared" si="22"/>
        <v>1</v>
      </c>
      <c r="AJ24">
        <f t="shared" si="23"/>
        <v>0</v>
      </c>
      <c r="AK24">
        <f t="shared" si="24"/>
        <v>53079.29174025356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282.45130769230798</v>
      </c>
      <c r="AT24">
        <v>381.13600000000002</v>
      </c>
      <c r="AU24">
        <f t="shared" si="27"/>
        <v>0.25892251665466404</v>
      </c>
      <c r="AV24">
        <v>0.5</v>
      </c>
      <c r="AW24">
        <f t="shared" si="28"/>
        <v>1849.1854559380506</v>
      </c>
      <c r="AX24">
        <f t="shared" si="29"/>
        <v>33.790231528434845</v>
      </c>
      <c r="AY24">
        <f t="shared" si="30"/>
        <v>239.39787600634122</v>
      </c>
      <c r="AZ24">
        <f t="shared" si="31"/>
        <v>0.48050039880777468</v>
      </c>
      <c r="BA24">
        <f t="shared" si="32"/>
        <v>1.8813814167052561E-2</v>
      </c>
      <c r="BB24">
        <f t="shared" si="33"/>
        <v>-1</v>
      </c>
      <c r="BC24" t="s">
        <v>322</v>
      </c>
      <c r="BD24">
        <v>198</v>
      </c>
      <c r="BE24">
        <f t="shared" si="34"/>
        <v>183.13600000000002</v>
      </c>
      <c r="BF24">
        <f t="shared" si="35"/>
        <v>0.53886014932996262</v>
      </c>
      <c r="BG24">
        <f t="shared" si="36"/>
        <v>1.9249292929292932</v>
      </c>
      <c r="BH24">
        <f t="shared" si="37"/>
        <v>0.25892251665466404</v>
      </c>
      <c r="BI24" t="e">
        <f t="shared" si="38"/>
        <v>#DIV/0!</v>
      </c>
      <c r="BJ24">
        <v>3627</v>
      </c>
      <c r="BK24">
        <v>300</v>
      </c>
      <c r="BL24">
        <v>300</v>
      </c>
      <c r="BM24">
        <v>300</v>
      </c>
      <c r="BN24">
        <v>9893.0400000000009</v>
      </c>
      <c r="BO24">
        <v>350.55799999999999</v>
      </c>
      <c r="BP24">
        <v>-6.4180000000000001E-3</v>
      </c>
      <c r="BQ24">
        <v>0.30807499999999999</v>
      </c>
      <c r="BR24">
        <f t="shared" si="39"/>
        <v>2200.0003225806499</v>
      </c>
      <c r="BS24">
        <f t="shared" si="40"/>
        <v>1849.1854559380506</v>
      </c>
      <c r="BT24">
        <f t="shared" si="41"/>
        <v>0.84053872036205635</v>
      </c>
      <c r="BU24">
        <f t="shared" si="42"/>
        <v>0.19107744072411278</v>
      </c>
      <c r="BV24">
        <v>0.5</v>
      </c>
      <c r="BW24" t="s">
        <v>281</v>
      </c>
      <c r="BX24">
        <v>1592242271.4000001</v>
      </c>
      <c r="BY24">
        <v>485.27332258064502</v>
      </c>
      <c r="BZ24">
        <v>499.99045161290297</v>
      </c>
      <c r="CA24">
        <v>18.908141935483901</v>
      </c>
      <c r="CB24">
        <v>16.477477419354798</v>
      </c>
      <c r="CC24">
        <v>500.04561290322602</v>
      </c>
      <c r="CD24">
        <v>100.21383870967701</v>
      </c>
      <c r="CE24">
        <v>0.19997861290322599</v>
      </c>
      <c r="CF24">
        <v>26.306106451612902</v>
      </c>
      <c r="CG24">
        <v>27.012416129032299</v>
      </c>
      <c r="CH24">
        <v>999.9</v>
      </c>
      <c r="CI24">
        <v>9993.3654838709699</v>
      </c>
      <c r="CJ24">
        <v>0</v>
      </c>
      <c r="CK24">
        <v>210.623677419355</v>
      </c>
      <c r="CL24">
        <v>2200.0003225806499</v>
      </c>
      <c r="CM24">
        <v>0.98200235483870901</v>
      </c>
      <c r="CN24">
        <v>1.79976516129032E-2</v>
      </c>
      <c r="CO24">
        <v>0</v>
      </c>
      <c r="CP24">
        <v>282.42019354838698</v>
      </c>
      <c r="CQ24">
        <v>5.00054</v>
      </c>
      <c r="CR24">
        <v>8613.0674193548402</v>
      </c>
      <c r="CS24">
        <v>20590.548387096798</v>
      </c>
      <c r="CT24">
        <v>45.820129032258002</v>
      </c>
      <c r="CU24">
        <v>46.638870967741902</v>
      </c>
      <c r="CV24">
        <v>46.229612903225799</v>
      </c>
      <c r="CW24">
        <v>44.783999999999999</v>
      </c>
      <c r="CX24">
        <v>47.282064516128997</v>
      </c>
      <c r="CY24">
        <v>2155.4916129032299</v>
      </c>
      <c r="CZ24">
        <v>39.506129032258102</v>
      </c>
      <c r="DA24">
        <v>0</v>
      </c>
      <c r="DB24">
        <v>137.200000047684</v>
      </c>
      <c r="DC24">
        <v>282.45130769230798</v>
      </c>
      <c r="DD24">
        <v>0.50365811243976299</v>
      </c>
      <c r="DE24">
        <v>19.1169230709224</v>
      </c>
      <c r="DF24">
        <v>8613.0734615384608</v>
      </c>
      <c r="DG24">
        <v>15</v>
      </c>
      <c r="DH24">
        <v>1592242204.9000001</v>
      </c>
      <c r="DI24" t="s">
        <v>323</v>
      </c>
      <c r="DJ24">
        <v>8</v>
      </c>
      <c r="DK24">
        <v>-7.0000000000000007E-2</v>
      </c>
      <c r="DL24">
        <v>0.108</v>
      </c>
      <c r="DM24">
        <v>500</v>
      </c>
      <c r="DN24">
        <v>17</v>
      </c>
      <c r="DO24">
        <v>0.37</v>
      </c>
      <c r="DP24">
        <v>0.03</v>
      </c>
      <c r="DQ24">
        <v>-14.6928173076923</v>
      </c>
      <c r="DR24">
        <v>-0.249206693417584</v>
      </c>
      <c r="DS24">
        <v>9.2896786648810098E-2</v>
      </c>
      <c r="DT24">
        <v>1</v>
      </c>
      <c r="DU24">
        <v>2.4249932692307699</v>
      </c>
      <c r="DV24">
        <v>8.6216562793477794E-2</v>
      </c>
      <c r="DW24">
        <v>1.7510984324258801E-2</v>
      </c>
      <c r="DX24">
        <v>1</v>
      </c>
      <c r="DY24">
        <v>2</v>
      </c>
      <c r="DZ24">
        <v>2</v>
      </c>
      <c r="EA24" t="s">
        <v>293</v>
      </c>
      <c r="EB24">
        <v>1.86676</v>
      </c>
      <c r="EC24">
        <v>1.86328</v>
      </c>
      <c r="ED24">
        <v>1.8689</v>
      </c>
      <c r="EE24">
        <v>1.8669100000000001</v>
      </c>
      <c r="EF24">
        <v>1.8715299999999999</v>
      </c>
      <c r="EG24">
        <v>1.8640099999999999</v>
      </c>
      <c r="EH24">
        <v>1.86558</v>
      </c>
      <c r="EI24">
        <v>1.86554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-7.0000000000000007E-2</v>
      </c>
      <c r="EX24">
        <v>0.108</v>
      </c>
      <c r="EY24">
        <v>2</v>
      </c>
      <c r="EZ24">
        <v>378.35899999999998</v>
      </c>
      <c r="FA24">
        <v>515.327</v>
      </c>
      <c r="FB24">
        <v>19.791799999999999</v>
      </c>
      <c r="FC24">
        <v>32.373800000000003</v>
      </c>
      <c r="FD24">
        <v>30.000299999999999</v>
      </c>
      <c r="FE24">
        <v>32.490600000000001</v>
      </c>
      <c r="FF24">
        <v>32.498399999999997</v>
      </c>
      <c r="FG24">
        <v>26.494399999999999</v>
      </c>
      <c r="FH24">
        <v>34.623399999999997</v>
      </c>
      <c r="FI24">
        <v>58.744700000000002</v>
      </c>
      <c r="FJ24">
        <v>19.779800000000002</v>
      </c>
      <c r="FK24">
        <v>500</v>
      </c>
      <c r="FL24">
        <v>16.3964</v>
      </c>
      <c r="FM24">
        <v>101.294</v>
      </c>
      <c r="FN24">
        <v>101.14400000000001</v>
      </c>
    </row>
    <row r="25" spans="1:170" x14ac:dyDescent="0.25">
      <c r="A25">
        <v>9</v>
      </c>
      <c r="B25">
        <v>1592242412.4000001</v>
      </c>
      <c r="C25">
        <v>1049.10000014305</v>
      </c>
      <c r="D25" t="s">
        <v>324</v>
      </c>
      <c r="E25" t="s">
        <v>325</v>
      </c>
      <c r="G25">
        <v>1592242404.4000001</v>
      </c>
      <c r="H25">
        <f t="shared" si="0"/>
        <v>5.927824086859588E-3</v>
      </c>
      <c r="I25">
        <f t="shared" si="1"/>
        <v>36.965057296109094</v>
      </c>
      <c r="J25">
        <f t="shared" si="2"/>
        <v>583.84261290322604</v>
      </c>
      <c r="K25">
        <f t="shared" si="3"/>
        <v>398.9349214903807</v>
      </c>
      <c r="L25">
        <f t="shared" si="4"/>
        <v>40.053730344278364</v>
      </c>
      <c r="M25">
        <f t="shared" si="5"/>
        <v>58.618770433434179</v>
      </c>
      <c r="N25">
        <f t="shared" si="6"/>
        <v>0.36246804443741115</v>
      </c>
      <c r="O25">
        <f t="shared" si="7"/>
        <v>3.4049373464437829</v>
      </c>
      <c r="P25">
        <f t="shared" si="8"/>
        <v>0.3423146942837485</v>
      </c>
      <c r="Q25">
        <f t="shared" si="9"/>
        <v>0.21566395189735338</v>
      </c>
      <c r="R25">
        <f t="shared" si="10"/>
        <v>353.33631765641184</v>
      </c>
      <c r="S25">
        <f t="shared" si="11"/>
        <v>26.800020243428584</v>
      </c>
      <c r="T25">
        <f t="shared" si="12"/>
        <v>27.0059838709677</v>
      </c>
      <c r="U25">
        <f t="shared" si="13"/>
        <v>3.5804177726635493</v>
      </c>
      <c r="V25">
        <f t="shared" si="14"/>
        <v>54.908676116020018</v>
      </c>
      <c r="W25">
        <f t="shared" si="15"/>
        <v>1.8891314946565563</v>
      </c>
      <c r="X25">
        <f t="shared" si="16"/>
        <v>3.4404972552332</v>
      </c>
      <c r="Y25">
        <f t="shared" si="17"/>
        <v>1.691286278006993</v>
      </c>
      <c r="Z25">
        <f t="shared" si="18"/>
        <v>-261.41704223050783</v>
      </c>
      <c r="AA25">
        <f t="shared" si="19"/>
        <v>-124.28313708571399</v>
      </c>
      <c r="AB25">
        <f t="shared" si="20"/>
        <v>-7.8511560569691241</v>
      </c>
      <c r="AC25">
        <f t="shared" si="21"/>
        <v>-40.215017716779087</v>
      </c>
      <c r="AD25">
        <v>-4.1524310699971499E-2</v>
      </c>
      <c r="AE25">
        <v>4.66146764901295E-2</v>
      </c>
      <c r="AF25">
        <v>3.4778052362634102</v>
      </c>
      <c r="AG25">
        <v>98</v>
      </c>
      <c r="AH25">
        <v>20</v>
      </c>
      <c r="AI25">
        <f t="shared" si="22"/>
        <v>1</v>
      </c>
      <c r="AJ25">
        <f t="shared" si="23"/>
        <v>0</v>
      </c>
      <c r="AK25">
        <f t="shared" si="24"/>
        <v>53070.173239981472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284.810846153846</v>
      </c>
      <c r="AT25">
        <v>384.79399999999998</v>
      </c>
      <c r="AU25">
        <f t="shared" si="27"/>
        <v>0.25983553237876367</v>
      </c>
      <c r="AV25">
        <v>0.5</v>
      </c>
      <c r="AW25">
        <f t="shared" si="28"/>
        <v>1849.1757496605615</v>
      </c>
      <c r="AX25">
        <f t="shared" si="29"/>
        <v>36.965057296109094</v>
      </c>
      <c r="AY25">
        <f t="shared" si="30"/>
        <v>240.2407826874757</v>
      </c>
      <c r="AZ25">
        <f t="shared" si="31"/>
        <v>0.49089642769897657</v>
      </c>
      <c r="BA25">
        <f t="shared" si="32"/>
        <v>2.0530799899943549E-2</v>
      </c>
      <c r="BB25">
        <f t="shared" si="33"/>
        <v>-1</v>
      </c>
      <c r="BC25" t="s">
        <v>327</v>
      </c>
      <c r="BD25">
        <v>195.9</v>
      </c>
      <c r="BE25">
        <f t="shared" si="34"/>
        <v>188.89399999999998</v>
      </c>
      <c r="BF25">
        <f t="shared" si="35"/>
        <v>0.5293082567268097</v>
      </c>
      <c r="BG25">
        <f t="shared" si="36"/>
        <v>1.9642368555385399</v>
      </c>
      <c r="BH25">
        <f t="shared" si="37"/>
        <v>0.25983553237876367</v>
      </c>
      <c r="BI25" t="e">
        <f t="shared" si="38"/>
        <v>#DIV/0!</v>
      </c>
      <c r="BJ25">
        <v>3629</v>
      </c>
      <c r="BK25">
        <v>300</v>
      </c>
      <c r="BL25">
        <v>300</v>
      </c>
      <c r="BM25">
        <v>300</v>
      </c>
      <c r="BN25">
        <v>9890.67</v>
      </c>
      <c r="BO25">
        <v>354.86399999999998</v>
      </c>
      <c r="BP25">
        <v>-6.4164900000000004E-3</v>
      </c>
      <c r="BQ25">
        <v>0.51403799999999999</v>
      </c>
      <c r="BR25">
        <f t="shared" si="39"/>
        <v>2199.9883870967701</v>
      </c>
      <c r="BS25">
        <f t="shared" si="40"/>
        <v>1849.1757496605615</v>
      </c>
      <c r="BT25">
        <f t="shared" si="41"/>
        <v>0.84053886852595572</v>
      </c>
      <c r="BU25">
        <f t="shared" si="42"/>
        <v>0.19107773705191136</v>
      </c>
      <c r="BV25">
        <v>0.5</v>
      </c>
      <c r="BW25" t="s">
        <v>281</v>
      </c>
      <c r="BX25">
        <v>1592242404.4000001</v>
      </c>
      <c r="BY25">
        <v>583.84261290322604</v>
      </c>
      <c r="BZ25">
        <v>600.01119354838704</v>
      </c>
      <c r="CA25">
        <v>18.815738709677401</v>
      </c>
      <c r="CB25">
        <v>16.4894838709677</v>
      </c>
      <c r="CC25">
        <v>500.055935483871</v>
      </c>
      <c r="CD25">
        <v>100.201709677419</v>
      </c>
      <c r="CE25">
        <v>0.199955322580645</v>
      </c>
      <c r="CF25">
        <v>26.328938709677399</v>
      </c>
      <c r="CG25">
        <v>27.0059838709677</v>
      </c>
      <c r="CH25">
        <v>999.9</v>
      </c>
      <c r="CI25">
        <v>9993.6312903225808</v>
      </c>
      <c r="CJ25">
        <v>0</v>
      </c>
      <c r="CK25">
        <v>206.92683870967701</v>
      </c>
      <c r="CL25">
        <v>2199.9883870967701</v>
      </c>
      <c r="CM25">
        <v>0.981997096774194</v>
      </c>
      <c r="CN25">
        <v>1.8002532258064498E-2</v>
      </c>
      <c r="CO25">
        <v>0</v>
      </c>
      <c r="CP25">
        <v>284.81938709677399</v>
      </c>
      <c r="CQ25">
        <v>5.00054</v>
      </c>
      <c r="CR25">
        <v>8648.71903225807</v>
      </c>
      <c r="CS25">
        <v>20590.403225806502</v>
      </c>
      <c r="CT25">
        <v>46.257870967741901</v>
      </c>
      <c r="CU25">
        <v>46.983580645161297</v>
      </c>
      <c r="CV25">
        <v>46.546064516129</v>
      </c>
      <c r="CW25">
        <v>45.54</v>
      </c>
      <c r="CX25">
        <v>47.638967741935502</v>
      </c>
      <c r="CY25">
        <v>2155.4687096774201</v>
      </c>
      <c r="CZ25">
        <v>39.5167741935484</v>
      </c>
      <c r="DA25">
        <v>0</v>
      </c>
      <c r="DB25">
        <v>132.299999952316</v>
      </c>
      <c r="DC25">
        <v>284.810846153846</v>
      </c>
      <c r="DD25">
        <v>-0.16902564412031601</v>
      </c>
      <c r="DE25">
        <v>-34.036239322281702</v>
      </c>
      <c r="DF25">
        <v>8648.6884615384606</v>
      </c>
      <c r="DG25">
        <v>15</v>
      </c>
      <c r="DH25">
        <v>1592242356.9000001</v>
      </c>
      <c r="DI25" t="s">
        <v>328</v>
      </c>
      <c r="DJ25">
        <v>9</v>
      </c>
      <c r="DK25">
        <v>8.8999999999999996E-2</v>
      </c>
      <c r="DL25">
        <v>0.104</v>
      </c>
      <c r="DM25">
        <v>600</v>
      </c>
      <c r="DN25">
        <v>16</v>
      </c>
      <c r="DO25">
        <v>0.17</v>
      </c>
      <c r="DP25">
        <v>0.03</v>
      </c>
      <c r="DQ25">
        <v>-16.196825</v>
      </c>
      <c r="DR25">
        <v>0.318665926748054</v>
      </c>
      <c r="DS25">
        <v>8.9568078695223902E-2</v>
      </c>
      <c r="DT25">
        <v>1</v>
      </c>
      <c r="DU25">
        <v>2.3128678846153901</v>
      </c>
      <c r="DV25">
        <v>9.6453496115426807E-2</v>
      </c>
      <c r="DW25">
        <v>1.9748413990509001E-2</v>
      </c>
      <c r="DX25">
        <v>1</v>
      </c>
      <c r="DY25">
        <v>2</v>
      </c>
      <c r="DZ25">
        <v>2</v>
      </c>
      <c r="EA25" t="s">
        <v>293</v>
      </c>
      <c r="EB25">
        <v>1.86676</v>
      </c>
      <c r="EC25">
        <v>1.8633200000000001</v>
      </c>
      <c r="ED25">
        <v>1.8689100000000001</v>
      </c>
      <c r="EE25">
        <v>1.8669100000000001</v>
      </c>
      <c r="EF25">
        <v>1.8715599999999999</v>
      </c>
      <c r="EG25">
        <v>1.8640099999999999</v>
      </c>
      <c r="EH25">
        <v>1.86564</v>
      </c>
      <c r="EI25">
        <v>1.86554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8.8999999999999996E-2</v>
      </c>
      <c r="EX25">
        <v>0.104</v>
      </c>
      <c r="EY25">
        <v>2</v>
      </c>
      <c r="EZ25">
        <v>383.38499999999999</v>
      </c>
      <c r="FA25">
        <v>514.73099999999999</v>
      </c>
      <c r="FB25">
        <v>19.7866</v>
      </c>
      <c r="FC25">
        <v>32.353700000000003</v>
      </c>
      <c r="FD25">
        <v>29.9998</v>
      </c>
      <c r="FE25">
        <v>32.453299999999999</v>
      </c>
      <c r="FF25">
        <v>32.4649</v>
      </c>
      <c r="FG25">
        <v>30.687000000000001</v>
      </c>
      <c r="FH25">
        <v>34.106900000000003</v>
      </c>
      <c r="FI25">
        <v>56.496000000000002</v>
      </c>
      <c r="FJ25">
        <v>19.800799999999999</v>
      </c>
      <c r="FK25">
        <v>600</v>
      </c>
      <c r="FL25">
        <v>16.570699999999999</v>
      </c>
      <c r="FM25">
        <v>101.30500000000001</v>
      </c>
      <c r="FN25">
        <v>101.169</v>
      </c>
    </row>
    <row r="26" spans="1:170" x14ac:dyDescent="0.25">
      <c r="A26">
        <v>10</v>
      </c>
      <c r="B26">
        <v>1592242536.9000001</v>
      </c>
      <c r="C26">
        <v>1173.60000014305</v>
      </c>
      <c r="D26" t="s">
        <v>329</v>
      </c>
      <c r="E26" t="s">
        <v>330</v>
      </c>
      <c r="G26">
        <v>1592242528.9000001</v>
      </c>
      <c r="H26">
        <f t="shared" si="0"/>
        <v>5.7830987434477153E-3</v>
      </c>
      <c r="I26">
        <f t="shared" si="1"/>
        <v>39.542740550767896</v>
      </c>
      <c r="J26">
        <f t="shared" si="2"/>
        <v>682.63109677419402</v>
      </c>
      <c r="K26">
        <f t="shared" si="3"/>
        <v>479.30565207816392</v>
      </c>
      <c r="L26">
        <f t="shared" si="4"/>
        <v>48.120806506951588</v>
      </c>
      <c r="M26">
        <f t="shared" si="5"/>
        <v>68.534052918162232</v>
      </c>
      <c r="N26">
        <f t="shared" si="6"/>
        <v>0.35425224943983846</v>
      </c>
      <c r="O26">
        <f t="shared" si="7"/>
        <v>3.4048676062050962</v>
      </c>
      <c r="P26">
        <f t="shared" si="8"/>
        <v>0.33497569328537435</v>
      </c>
      <c r="Q26">
        <f t="shared" si="9"/>
        <v>0.21100427490043727</v>
      </c>
      <c r="R26">
        <f t="shared" si="10"/>
        <v>353.33634612680271</v>
      </c>
      <c r="S26">
        <f t="shared" si="11"/>
        <v>26.876806964116753</v>
      </c>
      <c r="T26">
        <f t="shared" si="12"/>
        <v>27.018554838709701</v>
      </c>
      <c r="U26">
        <f t="shared" si="13"/>
        <v>3.5830620151119295</v>
      </c>
      <c r="V26">
        <f t="shared" si="14"/>
        <v>54.996777675807671</v>
      </c>
      <c r="W26">
        <f t="shared" si="15"/>
        <v>1.8970915946312792</v>
      </c>
      <c r="X26">
        <f t="shared" si="16"/>
        <v>3.4494595407282991</v>
      </c>
      <c r="Y26">
        <f t="shared" si="17"/>
        <v>1.6859704204806503</v>
      </c>
      <c r="Z26">
        <f t="shared" si="18"/>
        <v>-255.03465458604424</v>
      </c>
      <c r="AA26">
        <f t="shared" si="19"/>
        <v>-118.49657358369181</v>
      </c>
      <c r="AB26">
        <f t="shared" si="20"/>
        <v>-7.4878853910564107</v>
      </c>
      <c r="AC26">
        <f t="shared" si="21"/>
        <v>-27.682767433989753</v>
      </c>
      <c r="AD26">
        <v>-4.1523228889523298E-2</v>
      </c>
      <c r="AE26">
        <v>4.6613462063129697E-2</v>
      </c>
      <c r="AF26">
        <v>3.4777335976369299</v>
      </c>
      <c r="AG26">
        <v>108</v>
      </c>
      <c r="AH26">
        <v>22</v>
      </c>
      <c r="AI26">
        <f t="shared" si="22"/>
        <v>1</v>
      </c>
      <c r="AJ26">
        <f t="shared" si="23"/>
        <v>0</v>
      </c>
      <c r="AK26">
        <f t="shared" si="24"/>
        <v>53060.929952731123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283.26811538461499</v>
      </c>
      <c r="AT26">
        <v>382.43200000000002</v>
      </c>
      <c r="AU26">
        <f t="shared" si="27"/>
        <v>0.2592980833596169</v>
      </c>
      <c r="AV26">
        <v>0.5</v>
      </c>
      <c r="AW26">
        <f t="shared" si="28"/>
        <v>1849.1777126122909</v>
      </c>
      <c r="AX26">
        <f t="shared" si="29"/>
        <v>39.542740550767896</v>
      </c>
      <c r="AY26">
        <f t="shared" si="30"/>
        <v>239.74411833584375</v>
      </c>
      <c r="AZ26">
        <f t="shared" si="31"/>
        <v>0.48900719605053977</v>
      </c>
      <c r="BA26">
        <f t="shared" si="32"/>
        <v>2.1924739993482885E-2</v>
      </c>
      <c r="BB26">
        <f t="shared" si="33"/>
        <v>-1</v>
      </c>
      <c r="BC26" t="s">
        <v>332</v>
      </c>
      <c r="BD26">
        <v>195.42</v>
      </c>
      <c r="BE26">
        <f t="shared" si="34"/>
        <v>187.01200000000003</v>
      </c>
      <c r="BF26">
        <f t="shared" si="35"/>
        <v>0.53025412602070998</v>
      </c>
      <c r="BG26">
        <f t="shared" si="36"/>
        <v>1.9569747211134993</v>
      </c>
      <c r="BH26">
        <f t="shared" si="37"/>
        <v>0.25929808335961696</v>
      </c>
      <c r="BI26" t="e">
        <f t="shared" si="38"/>
        <v>#DIV/0!</v>
      </c>
      <c r="BJ26">
        <v>3631</v>
      </c>
      <c r="BK26">
        <v>300</v>
      </c>
      <c r="BL26">
        <v>300</v>
      </c>
      <c r="BM26">
        <v>300</v>
      </c>
      <c r="BN26">
        <v>9888.69</v>
      </c>
      <c r="BO26">
        <v>352.55900000000003</v>
      </c>
      <c r="BP26">
        <v>-6.4150700000000001E-3</v>
      </c>
      <c r="BQ26">
        <v>0.81945800000000002</v>
      </c>
      <c r="BR26">
        <f t="shared" si="39"/>
        <v>2199.99096774194</v>
      </c>
      <c r="BS26">
        <f t="shared" si="40"/>
        <v>1849.1777126122909</v>
      </c>
      <c r="BT26">
        <f t="shared" si="41"/>
        <v>0.84053877480700656</v>
      </c>
      <c r="BU26">
        <f t="shared" si="42"/>
        <v>0.19107754961401335</v>
      </c>
      <c r="BV26">
        <v>0.5</v>
      </c>
      <c r="BW26" t="s">
        <v>281</v>
      </c>
      <c r="BX26">
        <v>1592242528.9000001</v>
      </c>
      <c r="BY26">
        <v>682.63109677419402</v>
      </c>
      <c r="BZ26">
        <v>700.02567741935502</v>
      </c>
      <c r="CA26">
        <v>18.895916129032301</v>
      </c>
      <c r="CB26">
        <v>16.626596774193501</v>
      </c>
      <c r="CC26">
        <v>500.04612903225802</v>
      </c>
      <c r="CD26">
        <v>100.196935483871</v>
      </c>
      <c r="CE26">
        <v>0.19997470967741901</v>
      </c>
      <c r="CF26">
        <v>26.3730193548387</v>
      </c>
      <c r="CG26">
        <v>27.018554838709701</v>
      </c>
      <c r="CH26">
        <v>999.9</v>
      </c>
      <c r="CI26">
        <v>9993.8470967741905</v>
      </c>
      <c r="CJ26">
        <v>0</v>
      </c>
      <c r="CK26">
        <v>205.712516129032</v>
      </c>
      <c r="CL26">
        <v>2199.99096774194</v>
      </c>
      <c r="CM26">
        <v>0.98200148387096797</v>
      </c>
      <c r="CN26">
        <v>1.7998867741935501E-2</v>
      </c>
      <c r="CO26">
        <v>0</v>
      </c>
      <c r="CP26">
        <v>283.30625806451599</v>
      </c>
      <c r="CQ26">
        <v>5.00054</v>
      </c>
      <c r="CR26">
        <v>8615.9748387096806</v>
      </c>
      <c r="CS26">
        <v>20590.454838709698</v>
      </c>
      <c r="CT26">
        <v>46.717483870967698</v>
      </c>
      <c r="CU26">
        <v>47.598580645161299</v>
      </c>
      <c r="CV26">
        <v>47.009967741935498</v>
      </c>
      <c r="CW26">
        <v>46.031999999999996</v>
      </c>
      <c r="CX26">
        <v>48.092516129032298</v>
      </c>
      <c r="CY26">
        <v>2155.4809677419398</v>
      </c>
      <c r="CZ26">
        <v>39.51</v>
      </c>
      <c r="DA26">
        <v>0</v>
      </c>
      <c r="DB26">
        <v>124.19999980926499</v>
      </c>
      <c r="DC26">
        <v>283.26811538461499</v>
      </c>
      <c r="DD26">
        <v>-2.63223932323712</v>
      </c>
      <c r="DE26">
        <v>-60.0861538342985</v>
      </c>
      <c r="DF26">
        <v>8615.4507692307707</v>
      </c>
      <c r="DG26">
        <v>15</v>
      </c>
      <c r="DH26">
        <v>1592242472.4000001</v>
      </c>
      <c r="DI26" t="s">
        <v>333</v>
      </c>
      <c r="DJ26">
        <v>10</v>
      </c>
      <c r="DK26">
        <v>0.05</v>
      </c>
      <c r="DL26">
        <v>0.106</v>
      </c>
      <c r="DM26">
        <v>700</v>
      </c>
      <c r="DN26">
        <v>16</v>
      </c>
      <c r="DO26">
        <v>0.11</v>
      </c>
      <c r="DP26">
        <v>0.04</v>
      </c>
      <c r="DQ26">
        <v>-17.400690384615402</v>
      </c>
      <c r="DR26">
        <v>0.148471441987507</v>
      </c>
      <c r="DS26">
        <v>5.7617719829177801E-2</v>
      </c>
      <c r="DT26">
        <v>1</v>
      </c>
      <c r="DU26">
        <v>2.2581048076923098</v>
      </c>
      <c r="DV26">
        <v>7.9495517800727694E-2</v>
      </c>
      <c r="DW26">
        <v>1.9915850905013101E-2</v>
      </c>
      <c r="DX26">
        <v>1</v>
      </c>
      <c r="DY26">
        <v>2</v>
      </c>
      <c r="DZ26">
        <v>2</v>
      </c>
      <c r="EA26" t="s">
        <v>293</v>
      </c>
      <c r="EB26">
        <v>1.86677</v>
      </c>
      <c r="EC26">
        <v>1.8633200000000001</v>
      </c>
      <c r="ED26">
        <v>1.8689100000000001</v>
      </c>
      <c r="EE26">
        <v>1.8669100000000001</v>
      </c>
      <c r="EF26">
        <v>1.87157</v>
      </c>
      <c r="EG26">
        <v>1.8640300000000001</v>
      </c>
      <c r="EH26">
        <v>1.86565</v>
      </c>
      <c r="EI26">
        <v>1.86554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0.05</v>
      </c>
      <c r="EX26">
        <v>0.106</v>
      </c>
      <c r="EY26">
        <v>2</v>
      </c>
      <c r="EZ26">
        <v>373.00700000000001</v>
      </c>
      <c r="FA26">
        <v>513.48800000000006</v>
      </c>
      <c r="FB26">
        <v>20.179200000000002</v>
      </c>
      <c r="FC26">
        <v>32.337899999999998</v>
      </c>
      <c r="FD26">
        <v>30.000399999999999</v>
      </c>
      <c r="FE26">
        <v>32.436</v>
      </c>
      <c r="FF26">
        <v>32.448599999999999</v>
      </c>
      <c r="FG26">
        <v>34.757300000000001</v>
      </c>
      <c r="FH26">
        <v>32.565199999999997</v>
      </c>
      <c r="FI26">
        <v>54.245899999999999</v>
      </c>
      <c r="FJ26">
        <v>20.138300000000001</v>
      </c>
      <c r="FK26">
        <v>700</v>
      </c>
      <c r="FL26">
        <v>16.6539</v>
      </c>
      <c r="FM26">
        <v>101.31100000000001</v>
      </c>
      <c r="FN26">
        <v>101.188</v>
      </c>
    </row>
    <row r="27" spans="1:170" x14ac:dyDescent="0.25">
      <c r="A27">
        <v>11</v>
      </c>
      <c r="B27">
        <v>1592242669.4000001</v>
      </c>
      <c r="C27">
        <v>1306.10000014305</v>
      </c>
      <c r="D27" t="s">
        <v>334</v>
      </c>
      <c r="E27" t="s">
        <v>335</v>
      </c>
      <c r="G27">
        <v>1592242661.4000001</v>
      </c>
      <c r="H27">
        <f t="shared" si="0"/>
        <v>4.7006144358891734E-3</v>
      </c>
      <c r="I27">
        <f t="shared" si="1"/>
        <v>40.573302387644141</v>
      </c>
      <c r="J27">
        <f t="shared" si="2"/>
        <v>782.29332258064505</v>
      </c>
      <c r="K27">
        <f t="shared" si="3"/>
        <v>527.73553136900307</v>
      </c>
      <c r="L27">
        <f t="shared" si="4"/>
        <v>52.98002954438256</v>
      </c>
      <c r="M27">
        <f t="shared" si="5"/>
        <v>78.53540434387763</v>
      </c>
      <c r="N27">
        <f t="shared" si="6"/>
        <v>0.28526075587190186</v>
      </c>
      <c r="O27">
        <f t="shared" si="7"/>
        <v>3.4088387670265883</v>
      </c>
      <c r="P27">
        <f t="shared" si="8"/>
        <v>0.27263146624739854</v>
      </c>
      <c r="Q27">
        <f t="shared" si="9"/>
        <v>0.17148276016625519</v>
      </c>
      <c r="R27">
        <f t="shared" si="10"/>
        <v>353.33607813415193</v>
      </c>
      <c r="S27">
        <f t="shared" si="11"/>
        <v>27.026887383287516</v>
      </c>
      <c r="T27">
        <f t="shared" si="12"/>
        <v>27.014358064516099</v>
      </c>
      <c r="U27">
        <f t="shared" si="13"/>
        <v>3.5821790544069168</v>
      </c>
      <c r="V27">
        <f t="shared" si="14"/>
        <v>55.343657109184107</v>
      </c>
      <c r="W27">
        <f t="shared" si="15"/>
        <v>1.8985170596732905</v>
      </c>
      <c r="X27">
        <f t="shared" si="16"/>
        <v>3.4304148999908386</v>
      </c>
      <c r="Y27">
        <f t="shared" si="17"/>
        <v>1.6836619947336262</v>
      </c>
      <c r="Z27">
        <f t="shared" si="18"/>
        <v>-207.29709662271256</v>
      </c>
      <c r="AA27">
        <f t="shared" si="19"/>
        <v>-135.10004017383568</v>
      </c>
      <c r="AB27">
        <f t="shared" si="20"/>
        <v>-8.5229469165265872</v>
      </c>
      <c r="AC27">
        <f t="shared" si="21"/>
        <v>2.41599442107713</v>
      </c>
      <c r="AD27">
        <v>-4.1584845569325603E-2</v>
      </c>
      <c r="AE27">
        <v>4.66826321841253E-2</v>
      </c>
      <c r="AF27">
        <v>3.48181288493564</v>
      </c>
      <c r="AG27">
        <v>115</v>
      </c>
      <c r="AH27">
        <v>23</v>
      </c>
      <c r="AI27">
        <f t="shared" si="22"/>
        <v>1</v>
      </c>
      <c r="AJ27">
        <f t="shared" si="23"/>
        <v>0</v>
      </c>
      <c r="AK27">
        <f t="shared" si="24"/>
        <v>53152.971057448289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279.628346153846</v>
      </c>
      <c r="AT27">
        <v>373.73200000000003</v>
      </c>
      <c r="AU27">
        <f t="shared" si="27"/>
        <v>0.25179447798463617</v>
      </c>
      <c r="AV27">
        <v>0.5</v>
      </c>
      <c r="AW27">
        <f t="shared" si="28"/>
        <v>1849.1787868059037</v>
      </c>
      <c r="AX27">
        <f t="shared" si="29"/>
        <v>40.573302387644141</v>
      </c>
      <c r="AY27">
        <f t="shared" si="30"/>
        <v>232.80650366202767</v>
      </c>
      <c r="AZ27">
        <f t="shared" si="31"/>
        <v>0.47984116960816842</v>
      </c>
      <c r="BA27">
        <f t="shared" si="32"/>
        <v>2.2482035098106402E-2</v>
      </c>
      <c r="BB27">
        <f t="shared" si="33"/>
        <v>-1</v>
      </c>
      <c r="BC27" t="s">
        <v>337</v>
      </c>
      <c r="BD27">
        <v>194.4</v>
      </c>
      <c r="BE27">
        <f t="shared" si="34"/>
        <v>179.33200000000002</v>
      </c>
      <c r="BF27">
        <f t="shared" si="35"/>
        <v>0.52474546565116109</v>
      </c>
      <c r="BG27">
        <f t="shared" si="36"/>
        <v>1.9224897119341564</v>
      </c>
      <c r="BH27">
        <f t="shared" si="37"/>
        <v>0.25179447798463611</v>
      </c>
      <c r="BI27" t="e">
        <f t="shared" si="38"/>
        <v>#DIV/0!</v>
      </c>
      <c r="BJ27">
        <v>3633</v>
      </c>
      <c r="BK27">
        <v>300</v>
      </c>
      <c r="BL27">
        <v>300</v>
      </c>
      <c r="BM27">
        <v>300</v>
      </c>
      <c r="BN27">
        <v>9887.31</v>
      </c>
      <c r="BO27">
        <v>346.06</v>
      </c>
      <c r="BP27">
        <v>-6.4137899999999999E-3</v>
      </c>
      <c r="BQ27">
        <v>0.482483</v>
      </c>
      <c r="BR27">
        <f t="shared" si="39"/>
        <v>2199.9925806451602</v>
      </c>
      <c r="BS27">
        <f t="shared" si="40"/>
        <v>1849.1787868059037</v>
      </c>
      <c r="BT27">
        <f t="shared" si="41"/>
        <v>0.84053864684562785</v>
      </c>
      <c r="BU27">
        <f t="shared" si="42"/>
        <v>0.1910772936912559</v>
      </c>
      <c r="BV27">
        <v>0.5</v>
      </c>
      <c r="BW27" t="s">
        <v>281</v>
      </c>
      <c r="BX27">
        <v>1592242661.4000001</v>
      </c>
      <c r="BY27">
        <v>782.29332258064505</v>
      </c>
      <c r="BZ27">
        <v>799.99251612903197</v>
      </c>
      <c r="CA27">
        <v>18.911180645161298</v>
      </c>
      <c r="CB27">
        <v>17.066600000000001</v>
      </c>
      <c r="CC27">
        <v>500.02912903225803</v>
      </c>
      <c r="CD27">
        <v>100.191161290323</v>
      </c>
      <c r="CE27">
        <v>0.200088483870968</v>
      </c>
      <c r="CF27">
        <v>26.279229032258101</v>
      </c>
      <c r="CG27">
        <v>27.014358064516099</v>
      </c>
      <c r="CH27">
        <v>999.9</v>
      </c>
      <c r="CI27">
        <v>10009.253870967699</v>
      </c>
      <c r="CJ27">
        <v>0</v>
      </c>
      <c r="CK27">
        <v>232.51461290322601</v>
      </c>
      <c r="CL27">
        <v>2199.9925806451602</v>
      </c>
      <c r="CM27">
        <v>0.98200335483871004</v>
      </c>
      <c r="CN27">
        <v>1.7996877419354799E-2</v>
      </c>
      <c r="CO27">
        <v>0</v>
      </c>
      <c r="CP27">
        <v>279.64770967741902</v>
      </c>
      <c r="CQ27">
        <v>5.00054</v>
      </c>
      <c r="CR27">
        <v>8122.0564516128998</v>
      </c>
      <c r="CS27">
        <v>20590.487096774199</v>
      </c>
      <c r="CT27">
        <v>47.175129032258099</v>
      </c>
      <c r="CU27">
        <v>48.096677419354798</v>
      </c>
      <c r="CV27">
        <v>47.5</v>
      </c>
      <c r="CW27">
        <v>46.493774193548397</v>
      </c>
      <c r="CX27">
        <v>48.542000000000002</v>
      </c>
      <c r="CY27">
        <v>2155.4919354838698</v>
      </c>
      <c r="CZ27">
        <v>39.500645161290301</v>
      </c>
      <c r="DA27">
        <v>0</v>
      </c>
      <c r="DB27">
        <v>132</v>
      </c>
      <c r="DC27">
        <v>279.628346153846</v>
      </c>
      <c r="DD27">
        <v>-1.88153846892451</v>
      </c>
      <c r="DE27">
        <v>1980.80957975705</v>
      </c>
      <c r="DF27">
        <v>8110.2515384615399</v>
      </c>
      <c r="DG27">
        <v>15</v>
      </c>
      <c r="DH27">
        <v>1592242596.4000001</v>
      </c>
      <c r="DI27" t="s">
        <v>338</v>
      </c>
      <c r="DJ27">
        <v>11</v>
      </c>
      <c r="DK27">
        <v>7.3999999999999996E-2</v>
      </c>
      <c r="DL27">
        <v>0.111</v>
      </c>
      <c r="DM27">
        <v>800</v>
      </c>
      <c r="DN27">
        <v>17</v>
      </c>
      <c r="DO27">
        <v>0.17</v>
      </c>
      <c r="DP27">
        <v>0.04</v>
      </c>
      <c r="DQ27">
        <v>-17.729821153846199</v>
      </c>
      <c r="DR27">
        <v>0.38423717237256999</v>
      </c>
      <c r="DS27">
        <v>0.101321856432738</v>
      </c>
      <c r="DT27">
        <v>1</v>
      </c>
      <c r="DU27">
        <v>1.8548424999999999</v>
      </c>
      <c r="DV27">
        <v>-9.4665841372832293E-2</v>
      </c>
      <c r="DW27">
        <v>3.9760139194298598E-2</v>
      </c>
      <c r="DX27">
        <v>1</v>
      </c>
      <c r="DY27">
        <v>2</v>
      </c>
      <c r="DZ27">
        <v>2</v>
      </c>
      <c r="EA27" t="s">
        <v>293</v>
      </c>
      <c r="EB27">
        <v>1.8668</v>
      </c>
      <c r="EC27">
        <v>1.8633999999999999</v>
      </c>
      <c r="ED27">
        <v>1.869</v>
      </c>
      <c r="EE27">
        <v>1.8669199999999999</v>
      </c>
      <c r="EF27">
        <v>1.87161</v>
      </c>
      <c r="EG27">
        <v>1.86405</v>
      </c>
      <c r="EH27">
        <v>1.8656900000000001</v>
      </c>
      <c r="EI27">
        <v>1.8655600000000001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7.3999999999999996E-2</v>
      </c>
      <c r="EX27">
        <v>0.111</v>
      </c>
      <c r="EY27">
        <v>2</v>
      </c>
      <c r="EZ27">
        <v>366.49900000000002</v>
      </c>
      <c r="FA27">
        <v>511.75900000000001</v>
      </c>
      <c r="FB27">
        <v>18.767099999999999</v>
      </c>
      <c r="FC27">
        <v>32.434600000000003</v>
      </c>
      <c r="FD27">
        <v>29.992799999999999</v>
      </c>
      <c r="FE27">
        <v>32.491599999999998</v>
      </c>
      <c r="FF27">
        <v>32.500100000000003</v>
      </c>
      <c r="FG27">
        <v>38.757399999999997</v>
      </c>
      <c r="FH27">
        <v>30.827000000000002</v>
      </c>
      <c r="FI27">
        <v>52.756900000000002</v>
      </c>
      <c r="FJ27">
        <v>19.396899999999999</v>
      </c>
      <c r="FK27">
        <v>800</v>
      </c>
      <c r="FL27">
        <v>16.824400000000001</v>
      </c>
      <c r="FM27">
        <v>101.29300000000001</v>
      </c>
      <c r="FN27">
        <v>101.17100000000001</v>
      </c>
    </row>
    <row r="28" spans="1:170" x14ac:dyDescent="0.25">
      <c r="A28">
        <v>12</v>
      </c>
      <c r="B28">
        <v>1592242819.9000001</v>
      </c>
      <c r="C28">
        <v>1456.60000014305</v>
      </c>
      <c r="D28" t="s">
        <v>339</v>
      </c>
      <c r="E28" t="s">
        <v>340</v>
      </c>
      <c r="G28">
        <v>1592242811.90323</v>
      </c>
      <c r="H28">
        <f t="shared" si="0"/>
        <v>4.8084117335277171E-3</v>
      </c>
      <c r="I28">
        <f t="shared" si="1"/>
        <v>40.133318908880284</v>
      </c>
      <c r="J28">
        <f t="shared" si="2"/>
        <v>982.00838709677396</v>
      </c>
      <c r="K28">
        <f t="shared" si="3"/>
        <v>726.11476110311071</v>
      </c>
      <c r="L28">
        <f t="shared" si="4"/>
        <v>72.897745660299989</v>
      </c>
      <c r="M28">
        <f t="shared" si="5"/>
        <v>98.587993900727994</v>
      </c>
      <c r="N28">
        <f t="shared" si="6"/>
        <v>0.28769594237335966</v>
      </c>
      <c r="O28">
        <f t="shared" si="7"/>
        <v>3.4056755098509237</v>
      </c>
      <c r="P28">
        <f t="shared" si="8"/>
        <v>0.27484396986873327</v>
      </c>
      <c r="Q28">
        <f t="shared" si="9"/>
        <v>0.1728843320389431</v>
      </c>
      <c r="R28">
        <f t="shared" si="10"/>
        <v>353.33445223440486</v>
      </c>
      <c r="S28">
        <f t="shared" si="11"/>
        <v>26.912112467037396</v>
      </c>
      <c r="T28">
        <f t="shared" si="12"/>
        <v>27.014903225806499</v>
      </c>
      <c r="U28">
        <f t="shared" si="13"/>
        <v>3.5822937403356034</v>
      </c>
      <c r="V28">
        <f t="shared" si="14"/>
        <v>54.912473616309079</v>
      </c>
      <c r="W28">
        <f t="shared" si="15"/>
        <v>1.8736160800849362</v>
      </c>
      <c r="X28">
        <f t="shared" si="16"/>
        <v>3.41200451681796</v>
      </c>
      <c r="Y28">
        <f t="shared" si="17"/>
        <v>1.7086776602506673</v>
      </c>
      <c r="Z28">
        <f t="shared" si="18"/>
        <v>-212.05095744857232</v>
      </c>
      <c r="AA28">
        <f t="shared" si="19"/>
        <v>-151.80134588296792</v>
      </c>
      <c r="AB28">
        <f t="shared" si="20"/>
        <v>-9.5811228918945375</v>
      </c>
      <c r="AC28">
        <f t="shared" si="21"/>
        <v>-20.098973989029929</v>
      </c>
      <c r="AD28">
        <v>-4.1535761706504699E-2</v>
      </c>
      <c r="AE28">
        <v>4.6627531248126297E-2</v>
      </c>
      <c r="AF28">
        <v>3.47856349418069</v>
      </c>
      <c r="AG28">
        <v>121</v>
      </c>
      <c r="AH28">
        <v>24</v>
      </c>
      <c r="AI28">
        <f t="shared" si="22"/>
        <v>1</v>
      </c>
      <c r="AJ28">
        <f t="shared" si="23"/>
        <v>0</v>
      </c>
      <c r="AK28">
        <f t="shared" si="24"/>
        <v>53109.034104475504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273.389269230769</v>
      </c>
      <c r="AT28">
        <v>361.673</v>
      </c>
      <c r="AU28">
        <f t="shared" si="27"/>
        <v>0.24409820685876749</v>
      </c>
      <c r="AV28">
        <v>0.5</v>
      </c>
      <c r="AW28">
        <f t="shared" si="28"/>
        <v>1849.1674492154473</v>
      </c>
      <c r="AX28">
        <f t="shared" si="29"/>
        <v>40.133318908880284</v>
      </c>
      <c r="AY28">
        <f t="shared" si="30"/>
        <v>225.68922926754584</v>
      </c>
      <c r="AZ28">
        <f t="shared" si="31"/>
        <v>0.47582484730682134</v>
      </c>
      <c r="BA28">
        <f t="shared" si="32"/>
        <v>2.2244236954491094E-2</v>
      </c>
      <c r="BB28">
        <f t="shared" si="33"/>
        <v>-1</v>
      </c>
      <c r="BC28" t="s">
        <v>342</v>
      </c>
      <c r="BD28">
        <v>189.58</v>
      </c>
      <c r="BE28">
        <f t="shared" si="34"/>
        <v>172.09299999999999</v>
      </c>
      <c r="BF28">
        <f t="shared" si="35"/>
        <v>0.51300012649689997</v>
      </c>
      <c r="BG28">
        <f t="shared" si="36"/>
        <v>1.9077592573056228</v>
      </c>
      <c r="BH28">
        <f t="shared" si="37"/>
        <v>0.24409820685876746</v>
      </c>
      <c r="BI28" t="e">
        <f t="shared" si="38"/>
        <v>#DIV/0!</v>
      </c>
      <c r="BJ28">
        <v>3635</v>
      </c>
      <c r="BK28">
        <v>300</v>
      </c>
      <c r="BL28">
        <v>300</v>
      </c>
      <c r="BM28">
        <v>300</v>
      </c>
      <c r="BN28">
        <v>9883.75</v>
      </c>
      <c r="BO28">
        <v>334.58100000000002</v>
      </c>
      <c r="BP28">
        <v>-6.4112600000000002E-3</v>
      </c>
      <c r="BQ28">
        <v>0.35464499999999999</v>
      </c>
      <c r="BR28">
        <f t="shared" si="39"/>
        <v>2199.9787096774198</v>
      </c>
      <c r="BS28">
        <f t="shared" si="40"/>
        <v>1849.1674492154473</v>
      </c>
      <c r="BT28">
        <f t="shared" si="41"/>
        <v>0.84053879298067768</v>
      </c>
      <c r="BU28">
        <f t="shared" si="42"/>
        <v>0.19107758596135538</v>
      </c>
      <c r="BV28">
        <v>0.5</v>
      </c>
      <c r="BW28" t="s">
        <v>281</v>
      </c>
      <c r="BX28">
        <v>1592242811.90323</v>
      </c>
      <c r="BY28">
        <v>982.00838709677396</v>
      </c>
      <c r="BZ28">
        <v>999.94867741935502</v>
      </c>
      <c r="CA28">
        <v>18.662583870967701</v>
      </c>
      <c r="CB28">
        <v>16.7753032258065</v>
      </c>
      <c r="CC28">
        <v>500.050096774194</v>
      </c>
      <c r="CD28">
        <v>100.19425806451601</v>
      </c>
      <c r="CE28">
        <v>0.199990290322581</v>
      </c>
      <c r="CF28">
        <v>26.1881290322581</v>
      </c>
      <c r="CG28">
        <v>27.014903225806499</v>
      </c>
      <c r="CH28">
        <v>999.9</v>
      </c>
      <c r="CI28">
        <v>9997.1306451612909</v>
      </c>
      <c r="CJ28">
        <v>0</v>
      </c>
      <c r="CK28">
        <v>234.383225806452</v>
      </c>
      <c r="CL28">
        <v>2199.9787096774198</v>
      </c>
      <c r="CM28">
        <v>0.98199729032258098</v>
      </c>
      <c r="CN28">
        <v>1.8002296774193498E-2</v>
      </c>
      <c r="CO28">
        <v>0</v>
      </c>
      <c r="CP28">
        <v>273.39822580645199</v>
      </c>
      <c r="CQ28">
        <v>5.00054</v>
      </c>
      <c r="CR28">
        <v>7749.3480645161299</v>
      </c>
      <c r="CS28">
        <v>20590.309677419398</v>
      </c>
      <c r="CT28">
        <v>48.013935483871002</v>
      </c>
      <c r="CU28">
        <v>48.608677419354798</v>
      </c>
      <c r="CV28">
        <v>48.142935483871</v>
      </c>
      <c r="CW28">
        <v>47.552161290322601</v>
      </c>
      <c r="CX28">
        <v>49.237677419354803</v>
      </c>
      <c r="CY28">
        <v>2155.4596774193501</v>
      </c>
      <c r="CZ28">
        <v>39.510967741935502</v>
      </c>
      <c r="DA28">
        <v>0</v>
      </c>
      <c r="DB28">
        <v>149.90000009536701</v>
      </c>
      <c r="DC28">
        <v>273.389269230769</v>
      </c>
      <c r="DD28">
        <v>-3.3036239259481501</v>
      </c>
      <c r="DE28">
        <v>-29.737777781629902</v>
      </c>
      <c r="DF28">
        <v>7748.4042307692298</v>
      </c>
      <c r="DG28">
        <v>15</v>
      </c>
      <c r="DH28">
        <v>1592242747.4000001</v>
      </c>
      <c r="DI28" t="s">
        <v>343</v>
      </c>
      <c r="DJ28">
        <v>12</v>
      </c>
      <c r="DK28">
        <v>0.63900000000000001</v>
      </c>
      <c r="DL28">
        <v>0.108</v>
      </c>
      <c r="DM28">
        <v>1000</v>
      </c>
      <c r="DN28">
        <v>17</v>
      </c>
      <c r="DO28">
        <v>0.64</v>
      </c>
      <c r="DP28">
        <v>0.04</v>
      </c>
      <c r="DQ28">
        <v>-18.065463461538499</v>
      </c>
      <c r="DR28">
        <v>5.6651628567026702E-3</v>
      </c>
      <c r="DS28">
        <v>0.62470815371562705</v>
      </c>
      <c r="DT28">
        <v>1</v>
      </c>
      <c r="DU28">
        <v>1.9170863461538501</v>
      </c>
      <c r="DV28">
        <v>-0.26341142940905499</v>
      </c>
      <c r="DW28">
        <v>4.2651688533120603E-2</v>
      </c>
      <c r="DX28">
        <v>0</v>
      </c>
      <c r="DY28">
        <v>1</v>
      </c>
      <c r="DZ28">
        <v>2</v>
      </c>
      <c r="EA28" t="s">
        <v>283</v>
      </c>
      <c r="EB28">
        <v>1.86676</v>
      </c>
      <c r="EC28">
        <v>1.86327</v>
      </c>
      <c r="ED28">
        <v>1.8689</v>
      </c>
      <c r="EE28">
        <v>1.86686</v>
      </c>
      <c r="EF28">
        <v>1.8714900000000001</v>
      </c>
      <c r="EG28">
        <v>1.8640099999999999</v>
      </c>
      <c r="EH28">
        <v>1.8655600000000001</v>
      </c>
      <c r="EI28">
        <v>1.8655200000000001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0.63900000000000001</v>
      </c>
      <c r="EX28">
        <v>0.108</v>
      </c>
      <c r="EY28">
        <v>2</v>
      </c>
      <c r="EZ28">
        <v>359.71499999999997</v>
      </c>
      <c r="FA28">
        <v>508.99200000000002</v>
      </c>
      <c r="FB28">
        <v>18.836500000000001</v>
      </c>
      <c r="FC28">
        <v>32.641500000000001</v>
      </c>
      <c r="FD28">
        <v>30.000599999999999</v>
      </c>
      <c r="FE28">
        <v>32.618099999999998</v>
      </c>
      <c r="FF28">
        <v>32.615699999999997</v>
      </c>
      <c r="FG28">
        <v>46.384300000000003</v>
      </c>
      <c r="FH28">
        <v>30.749700000000001</v>
      </c>
      <c r="FI28">
        <v>50.509500000000003</v>
      </c>
      <c r="FJ28">
        <v>18.838200000000001</v>
      </c>
      <c r="FK28">
        <v>1000</v>
      </c>
      <c r="FL28">
        <v>16.809000000000001</v>
      </c>
      <c r="FM28">
        <v>101.256</v>
      </c>
      <c r="FN28">
        <v>101.142</v>
      </c>
    </row>
    <row r="29" spans="1:170" x14ac:dyDescent="0.25">
      <c r="A29">
        <v>13</v>
      </c>
      <c r="B29">
        <v>1592242942.4000001</v>
      </c>
      <c r="C29">
        <v>1579.10000014305</v>
      </c>
      <c r="D29" t="s">
        <v>344</v>
      </c>
      <c r="E29" t="s">
        <v>345</v>
      </c>
      <c r="G29">
        <v>1592242934.40645</v>
      </c>
      <c r="H29">
        <f t="shared" si="0"/>
        <v>4.3827843317695517E-3</v>
      </c>
      <c r="I29">
        <f t="shared" si="1"/>
        <v>41.398713708899251</v>
      </c>
      <c r="J29">
        <f t="shared" si="2"/>
        <v>1181.36612903226</v>
      </c>
      <c r="K29">
        <f t="shared" si="3"/>
        <v>890.03973736450973</v>
      </c>
      <c r="L29">
        <f t="shared" si="4"/>
        <v>89.352409507484921</v>
      </c>
      <c r="M29">
        <f t="shared" si="5"/>
        <v>118.59909811682066</v>
      </c>
      <c r="N29">
        <f t="shared" si="6"/>
        <v>0.26148113302386011</v>
      </c>
      <c r="O29">
        <f t="shared" si="7"/>
        <v>3.4072667958639693</v>
      </c>
      <c r="P29">
        <f t="shared" si="8"/>
        <v>0.25082269051380807</v>
      </c>
      <c r="Q29">
        <f t="shared" si="9"/>
        <v>0.1576855980466057</v>
      </c>
      <c r="R29">
        <f t="shared" si="10"/>
        <v>353.33503895039377</v>
      </c>
      <c r="S29">
        <f t="shared" si="11"/>
        <v>26.982477819482877</v>
      </c>
      <c r="T29">
        <f t="shared" si="12"/>
        <v>27.0076</v>
      </c>
      <c r="U29">
        <f t="shared" si="13"/>
        <v>3.5807576221645907</v>
      </c>
      <c r="V29">
        <f t="shared" si="14"/>
        <v>55.012707905200777</v>
      </c>
      <c r="W29">
        <f t="shared" si="15"/>
        <v>1.8742124894756407</v>
      </c>
      <c r="X29">
        <f t="shared" si="16"/>
        <v>3.4068719044067577</v>
      </c>
      <c r="Y29">
        <f t="shared" si="17"/>
        <v>1.70654513268895</v>
      </c>
      <c r="Z29">
        <f t="shared" si="18"/>
        <v>-193.28078903103724</v>
      </c>
      <c r="AA29">
        <f t="shared" si="19"/>
        <v>-155.21014607294961</v>
      </c>
      <c r="AB29">
        <f t="shared" si="20"/>
        <v>-9.7900923047167563</v>
      </c>
      <c r="AC29">
        <f t="shared" si="21"/>
        <v>-4.9459884583098699</v>
      </c>
      <c r="AD29">
        <v>-4.1560450900008303E-2</v>
      </c>
      <c r="AE29">
        <v>4.6655247030726203E-2</v>
      </c>
      <c r="AF29">
        <v>3.4801981054025499</v>
      </c>
      <c r="AG29">
        <v>124</v>
      </c>
      <c r="AH29">
        <v>25</v>
      </c>
      <c r="AI29">
        <f t="shared" si="22"/>
        <v>1</v>
      </c>
      <c r="AJ29">
        <f t="shared" si="23"/>
        <v>0</v>
      </c>
      <c r="AK29">
        <f t="shared" si="24"/>
        <v>53143.777156025702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269.488038461538</v>
      </c>
      <c r="AT29">
        <v>352.34</v>
      </c>
      <c r="AU29">
        <f t="shared" si="27"/>
        <v>0.23514775937577903</v>
      </c>
      <c r="AV29">
        <v>0.5</v>
      </c>
      <c r="AW29">
        <f t="shared" si="28"/>
        <v>1849.1726319671729</v>
      </c>
      <c r="AX29">
        <f t="shared" si="29"/>
        <v>41.398713708899251</v>
      </c>
      <c r="AY29">
        <f t="shared" si="30"/>
        <v>217.41440055304639</v>
      </c>
      <c r="AZ29">
        <f t="shared" si="31"/>
        <v>0.46182664471816992</v>
      </c>
      <c r="BA29">
        <f t="shared" si="32"/>
        <v>2.2928477837028644E-2</v>
      </c>
      <c r="BB29">
        <f t="shared" si="33"/>
        <v>-1</v>
      </c>
      <c r="BC29" t="s">
        <v>347</v>
      </c>
      <c r="BD29">
        <v>189.62</v>
      </c>
      <c r="BE29">
        <f t="shared" si="34"/>
        <v>162.71999999999997</v>
      </c>
      <c r="BF29">
        <f t="shared" si="35"/>
        <v>0.50916888851070552</v>
      </c>
      <c r="BG29">
        <f t="shared" si="36"/>
        <v>1.858137327286151</v>
      </c>
      <c r="BH29">
        <f t="shared" si="37"/>
        <v>0.23514775937577903</v>
      </c>
      <c r="BI29" t="e">
        <f t="shared" si="38"/>
        <v>#DIV/0!</v>
      </c>
      <c r="BJ29">
        <v>3637</v>
      </c>
      <c r="BK29">
        <v>300</v>
      </c>
      <c r="BL29">
        <v>300</v>
      </c>
      <c r="BM29">
        <v>300</v>
      </c>
      <c r="BN29">
        <v>9881.0300000000007</v>
      </c>
      <c r="BO29">
        <v>327.428</v>
      </c>
      <c r="BP29">
        <v>-6.4090800000000002E-3</v>
      </c>
      <c r="BQ29">
        <v>0.73907500000000004</v>
      </c>
      <c r="BR29">
        <f t="shared" si="39"/>
        <v>2199.9851612903199</v>
      </c>
      <c r="BS29">
        <f t="shared" si="40"/>
        <v>1849.1726319671729</v>
      </c>
      <c r="BT29">
        <f t="shared" si="41"/>
        <v>0.84053868385303521</v>
      </c>
      <c r="BU29">
        <f t="shared" si="42"/>
        <v>0.19107736770607053</v>
      </c>
      <c r="BV29">
        <v>0.5</v>
      </c>
      <c r="BW29" t="s">
        <v>281</v>
      </c>
      <c r="BX29">
        <v>1592242934.40645</v>
      </c>
      <c r="BY29">
        <v>1181.36612903226</v>
      </c>
      <c r="BZ29">
        <v>1199.9941935483901</v>
      </c>
      <c r="CA29">
        <v>18.669038709677402</v>
      </c>
      <c r="CB29">
        <v>16.948883870967698</v>
      </c>
      <c r="CC29">
        <v>500.06683870967697</v>
      </c>
      <c r="CD29">
        <v>100.191516129032</v>
      </c>
      <c r="CE29">
        <v>0.19996725806451601</v>
      </c>
      <c r="CF29">
        <v>26.162654838709699</v>
      </c>
      <c r="CG29">
        <v>27.0076</v>
      </c>
      <c r="CH29">
        <v>999.9</v>
      </c>
      <c r="CI29">
        <v>10003.3467741935</v>
      </c>
      <c r="CJ29">
        <v>0</v>
      </c>
      <c r="CK29">
        <v>235.93299999999999</v>
      </c>
      <c r="CL29">
        <v>2199.9851612903199</v>
      </c>
      <c r="CM29">
        <v>0.98200232258064502</v>
      </c>
      <c r="CN29">
        <v>1.7997961290322599E-2</v>
      </c>
      <c r="CO29">
        <v>0</v>
      </c>
      <c r="CP29">
        <v>269.50019354838702</v>
      </c>
      <c r="CQ29">
        <v>5.00054</v>
      </c>
      <c r="CR29">
        <v>7703.1048387096798</v>
      </c>
      <c r="CS29">
        <v>20590.396774193501</v>
      </c>
      <c r="CT29">
        <v>48.7458064516129</v>
      </c>
      <c r="CU29">
        <v>49.316258064516099</v>
      </c>
      <c r="CV29">
        <v>48.818225806451601</v>
      </c>
      <c r="CW29">
        <v>48.443225806451601</v>
      </c>
      <c r="CX29">
        <v>49.915161290322601</v>
      </c>
      <c r="CY29">
        <v>2155.4819354838701</v>
      </c>
      <c r="CZ29">
        <v>39.503225806451603</v>
      </c>
      <c r="DA29">
        <v>0</v>
      </c>
      <c r="DB29">
        <v>121.799999952316</v>
      </c>
      <c r="DC29">
        <v>269.488038461538</v>
      </c>
      <c r="DD29">
        <v>-3.9548376124548801</v>
      </c>
      <c r="DE29">
        <v>-30.326153648139499</v>
      </c>
      <c r="DF29">
        <v>7702.8492307692304</v>
      </c>
      <c r="DG29">
        <v>15</v>
      </c>
      <c r="DH29">
        <v>1592242895.9000001</v>
      </c>
      <c r="DI29" t="s">
        <v>348</v>
      </c>
      <c r="DJ29">
        <v>13</v>
      </c>
      <c r="DK29">
        <v>0.55500000000000005</v>
      </c>
      <c r="DL29">
        <v>0.108</v>
      </c>
      <c r="DM29">
        <v>1200</v>
      </c>
      <c r="DN29">
        <v>17</v>
      </c>
      <c r="DO29">
        <v>0.12</v>
      </c>
      <c r="DP29">
        <v>0.04</v>
      </c>
      <c r="DQ29">
        <v>-18.6324346153846</v>
      </c>
      <c r="DR29">
        <v>0.113588289000048</v>
      </c>
      <c r="DS29">
        <v>0.12615539087937899</v>
      </c>
      <c r="DT29">
        <v>1</v>
      </c>
      <c r="DU29">
        <v>1.7295207692307699</v>
      </c>
      <c r="DV29">
        <v>-8.4462280238581294E-2</v>
      </c>
      <c r="DW29">
        <v>2.7081481385324301E-2</v>
      </c>
      <c r="DX29">
        <v>1</v>
      </c>
      <c r="DY29">
        <v>2</v>
      </c>
      <c r="DZ29">
        <v>2</v>
      </c>
      <c r="EA29" t="s">
        <v>293</v>
      </c>
      <c r="EB29">
        <v>1.8667499999999999</v>
      </c>
      <c r="EC29">
        <v>1.8632500000000001</v>
      </c>
      <c r="ED29">
        <v>1.8689</v>
      </c>
      <c r="EE29">
        <v>1.8668199999999999</v>
      </c>
      <c r="EF29">
        <v>1.8714900000000001</v>
      </c>
      <c r="EG29">
        <v>1.8640099999999999</v>
      </c>
      <c r="EH29">
        <v>1.86554</v>
      </c>
      <c r="EI29">
        <v>1.8654500000000001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0.55500000000000005</v>
      </c>
      <c r="EX29">
        <v>0.108</v>
      </c>
      <c r="EY29">
        <v>2</v>
      </c>
      <c r="EZ29">
        <v>356.62400000000002</v>
      </c>
      <c r="FA29">
        <v>505.96899999999999</v>
      </c>
      <c r="FB29">
        <v>18.520800000000001</v>
      </c>
      <c r="FC29">
        <v>32.807200000000002</v>
      </c>
      <c r="FD29">
        <v>30.000699999999998</v>
      </c>
      <c r="FE29">
        <v>32.761800000000001</v>
      </c>
      <c r="FF29">
        <v>32.752899999999997</v>
      </c>
      <c r="FG29">
        <v>53.776400000000002</v>
      </c>
      <c r="FH29">
        <v>29.7822</v>
      </c>
      <c r="FI29">
        <v>49.0242</v>
      </c>
      <c r="FJ29">
        <v>18.5243</v>
      </c>
      <c r="FK29">
        <v>1200</v>
      </c>
      <c r="FL29">
        <v>16.982800000000001</v>
      </c>
      <c r="FM29">
        <v>101.221</v>
      </c>
      <c r="FN29">
        <v>101.107</v>
      </c>
    </row>
    <row r="30" spans="1:170" x14ac:dyDescent="0.25">
      <c r="A30">
        <v>14</v>
      </c>
      <c r="B30">
        <v>1592243092.9000001</v>
      </c>
      <c r="C30">
        <v>1729.60000014305</v>
      </c>
      <c r="D30" t="s">
        <v>349</v>
      </c>
      <c r="E30" t="s">
        <v>350</v>
      </c>
      <c r="G30">
        <v>1592243084.9451599</v>
      </c>
      <c r="H30">
        <f t="shared" si="0"/>
        <v>4.5824108458265645E-3</v>
      </c>
      <c r="I30">
        <f t="shared" si="1"/>
        <v>41.580626227676383</v>
      </c>
      <c r="J30">
        <f t="shared" si="2"/>
        <v>1580.45</v>
      </c>
      <c r="K30">
        <f t="shared" si="3"/>
        <v>1288.9089948740536</v>
      </c>
      <c r="L30">
        <f t="shared" si="4"/>
        <v>129.40609354267238</v>
      </c>
      <c r="M30">
        <f t="shared" si="5"/>
        <v>158.67672686968976</v>
      </c>
      <c r="N30">
        <f t="shared" si="6"/>
        <v>0.27437368910348886</v>
      </c>
      <c r="O30">
        <f t="shared" si="7"/>
        <v>3.4064425979720787</v>
      </c>
      <c r="P30">
        <f t="shared" si="8"/>
        <v>0.26266088887981581</v>
      </c>
      <c r="Q30">
        <f t="shared" si="9"/>
        <v>0.16517373635387506</v>
      </c>
      <c r="R30">
        <f t="shared" si="10"/>
        <v>353.33479981145524</v>
      </c>
      <c r="S30">
        <f t="shared" si="11"/>
        <v>26.911913624165365</v>
      </c>
      <c r="T30">
        <f t="shared" si="12"/>
        <v>27.010154838709699</v>
      </c>
      <c r="U30">
        <f t="shared" si="13"/>
        <v>3.5812949267224314</v>
      </c>
      <c r="V30">
        <f t="shared" si="14"/>
        <v>55.18773862191194</v>
      </c>
      <c r="W30">
        <f t="shared" si="15"/>
        <v>1.8773263060493941</v>
      </c>
      <c r="X30">
        <f t="shared" si="16"/>
        <v>3.4017090624257134</v>
      </c>
      <c r="Y30">
        <f t="shared" si="17"/>
        <v>1.7039686206730373</v>
      </c>
      <c r="Z30">
        <f t="shared" si="18"/>
        <v>-202.08431830095148</v>
      </c>
      <c r="AA30">
        <f t="shared" si="19"/>
        <v>-160.35384866078201</v>
      </c>
      <c r="AB30">
        <f t="shared" si="20"/>
        <v>-10.115816741266078</v>
      </c>
      <c r="AC30">
        <f t="shared" si="21"/>
        <v>-19.219183891544333</v>
      </c>
      <c r="AD30">
        <v>-4.15476626125496E-2</v>
      </c>
      <c r="AE30">
        <v>4.6640891057738401E-2</v>
      </c>
      <c r="AF30">
        <v>3.4793514663068001</v>
      </c>
      <c r="AG30">
        <v>125</v>
      </c>
      <c r="AH30">
        <v>25</v>
      </c>
      <c r="AI30">
        <f t="shared" si="22"/>
        <v>1</v>
      </c>
      <c r="AJ30">
        <f t="shared" si="23"/>
        <v>0</v>
      </c>
      <c r="AK30">
        <f t="shared" si="24"/>
        <v>53132.82819034782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264.61280769230802</v>
      </c>
      <c r="AT30">
        <v>339.08100000000002</v>
      </c>
      <c r="AU30">
        <f t="shared" si="27"/>
        <v>0.21961770877074205</v>
      </c>
      <c r="AV30">
        <v>0.5</v>
      </c>
      <c r="AW30">
        <f t="shared" si="28"/>
        <v>1849.1666609993026</v>
      </c>
      <c r="AX30">
        <f t="shared" si="29"/>
        <v>41.580626227676383</v>
      </c>
      <c r="AY30">
        <f t="shared" si="30"/>
        <v>203.05487261195518</v>
      </c>
      <c r="AZ30">
        <f t="shared" si="31"/>
        <v>0.44561918833553049</v>
      </c>
      <c r="BA30">
        <f t="shared" si="32"/>
        <v>2.3026927277969372E-2</v>
      </c>
      <c r="BB30">
        <f t="shared" si="33"/>
        <v>-1</v>
      </c>
      <c r="BC30" t="s">
        <v>352</v>
      </c>
      <c r="BD30">
        <v>187.98</v>
      </c>
      <c r="BE30">
        <f t="shared" si="34"/>
        <v>151.10100000000003</v>
      </c>
      <c r="BF30">
        <f t="shared" si="35"/>
        <v>0.49283719040702562</v>
      </c>
      <c r="BG30">
        <f t="shared" si="36"/>
        <v>1.8038142355569744</v>
      </c>
      <c r="BH30">
        <f t="shared" si="37"/>
        <v>0.21961770877074205</v>
      </c>
      <c r="BI30" t="e">
        <f t="shared" si="38"/>
        <v>#DIV/0!</v>
      </c>
      <c r="BJ30">
        <v>3639</v>
      </c>
      <c r="BK30">
        <v>300</v>
      </c>
      <c r="BL30">
        <v>300</v>
      </c>
      <c r="BM30">
        <v>300</v>
      </c>
      <c r="BN30">
        <v>9877.83</v>
      </c>
      <c r="BO30">
        <v>318.95800000000003</v>
      </c>
      <c r="BP30">
        <v>-6.4065700000000003E-3</v>
      </c>
      <c r="BQ30">
        <v>0.60403399999999996</v>
      </c>
      <c r="BR30">
        <f t="shared" si="39"/>
        <v>2199.9774193548401</v>
      </c>
      <c r="BS30">
        <f t="shared" si="40"/>
        <v>1849.1666609993026</v>
      </c>
      <c r="BT30">
        <f t="shared" si="41"/>
        <v>0.84053892768662353</v>
      </c>
      <c r="BU30">
        <f t="shared" si="42"/>
        <v>0.19107785537324723</v>
      </c>
      <c r="BV30">
        <v>0.5</v>
      </c>
      <c r="BW30" t="s">
        <v>281</v>
      </c>
      <c r="BX30">
        <v>1592243084.9451599</v>
      </c>
      <c r="BY30">
        <v>1580.45</v>
      </c>
      <c r="BZ30">
        <v>1599.97677419355</v>
      </c>
      <c r="CA30">
        <v>18.6985225806452</v>
      </c>
      <c r="CB30">
        <v>16.900051612903201</v>
      </c>
      <c r="CC30">
        <v>500.06106451612902</v>
      </c>
      <c r="CD30">
        <v>100.19970967741899</v>
      </c>
      <c r="CE30">
        <v>0.20000361290322599</v>
      </c>
      <c r="CF30">
        <v>26.136996774193602</v>
      </c>
      <c r="CG30">
        <v>27.010154838709699</v>
      </c>
      <c r="CH30">
        <v>999.9</v>
      </c>
      <c r="CI30">
        <v>9999.4509677419392</v>
      </c>
      <c r="CJ30">
        <v>0</v>
      </c>
      <c r="CK30">
        <v>232.374</v>
      </c>
      <c r="CL30">
        <v>2199.9774193548401</v>
      </c>
      <c r="CM30">
        <v>0.98199396774193504</v>
      </c>
      <c r="CN30">
        <v>1.8005683870967699E-2</v>
      </c>
      <c r="CO30">
        <v>0</v>
      </c>
      <c r="CP30">
        <v>264.63135483871002</v>
      </c>
      <c r="CQ30">
        <v>5.00054</v>
      </c>
      <c r="CR30">
        <v>7609.4574193548397</v>
      </c>
      <c r="CS30">
        <v>20590.293548387101</v>
      </c>
      <c r="CT30">
        <v>49.528064516129</v>
      </c>
      <c r="CU30">
        <v>50.209451612903202</v>
      </c>
      <c r="CV30">
        <v>49.645000000000003</v>
      </c>
      <c r="CW30">
        <v>49.376838709677401</v>
      </c>
      <c r="CX30">
        <v>50.652999999999999</v>
      </c>
      <c r="CY30">
        <v>2155.4564516128999</v>
      </c>
      <c r="CZ30">
        <v>39.5209677419355</v>
      </c>
      <c r="DA30">
        <v>0</v>
      </c>
      <c r="DB30">
        <v>150</v>
      </c>
      <c r="DC30">
        <v>264.61280769230802</v>
      </c>
      <c r="DD30">
        <v>-2.3628376026078799</v>
      </c>
      <c r="DE30">
        <v>-6.8745299259267698</v>
      </c>
      <c r="DF30">
        <v>7609.1384615384604</v>
      </c>
      <c r="DG30">
        <v>15</v>
      </c>
      <c r="DH30">
        <v>1592243050.9000001</v>
      </c>
      <c r="DI30" t="s">
        <v>353</v>
      </c>
      <c r="DJ30">
        <v>14</v>
      </c>
      <c r="DK30">
        <v>0.375</v>
      </c>
      <c r="DL30">
        <v>0.112</v>
      </c>
      <c r="DM30">
        <v>1600</v>
      </c>
      <c r="DN30">
        <v>17</v>
      </c>
      <c r="DO30">
        <v>0.34</v>
      </c>
      <c r="DP30">
        <v>0.04</v>
      </c>
      <c r="DQ30">
        <v>-19.538380769230798</v>
      </c>
      <c r="DR30">
        <v>0.66037060393867197</v>
      </c>
      <c r="DS30">
        <v>0.22977925948987599</v>
      </c>
      <c r="DT30">
        <v>0</v>
      </c>
      <c r="DU30">
        <v>1.7935769230769201</v>
      </c>
      <c r="DV30">
        <v>2.5090032580666399E-2</v>
      </c>
      <c r="DW30">
        <v>1.8612264829165899E-2</v>
      </c>
      <c r="DX30">
        <v>1</v>
      </c>
      <c r="DY30">
        <v>1</v>
      </c>
      <c r="DZ30">
        <v>2</v>
      </c>
      <c r="EA30" t="s">
        <v>283</v>
      </c>
      <c r="EB30">
        <v>1.8667400000000001</v>
      </c>
      <c r="EC30">
        <v>1.8632500000000001</v>
      </c>
      <c r="ED30">
        <v>1.8689</v>
      </c>
      <c r="EE30">
        <v>1.8668400000000001</v>
      </c>
      <c r="EF30">
        <v>1.8714900000000001</v>
      </c>
      <c r="EG30">
        <v>1.8640099999999999</v>
      </c>
      <c r="EH30">
        <v>1.86554</v>
      </c>
      <c r="EI30">
        <v>1.8654599999999999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0.375</v>
      </c>
      <c r="EX30">
        <v>0.112</v>
      </c>
      <c r="EY30">
        <v>2</v>
      </c>
      <c r="EZ30">
        <v>356.38600000000002</v>
      </c>
      <c r="FA30">
        <v>505.98700000000002</v>
      </c>
      <c r="FB30">
        <v>18.796399999999998</v>
      </c>
      <c r="FC30">
        <v>33.0867</v>
      </c>
      <c r="FD30">
        <v>30.001200000000001</v>
      </c>
      <c r="FE30">
        <v>33.000900000000001</v>
      </c>
      <c r="FF30">
        <v>32.984200000000001</v>
      </c>
      <c r="FG30">
        <v>67.664699999999996</v>
      </c>
      <c r="FH30">
        <v>29.361899999999999</v>
      </c>
      <c r="FI30">
        <v>47.515599999999999</v>
      </c>
      <c r="FJ30">
        <v>18.778300000000002</v>
      </c>
      <c r="FK30">
        <v>1600</v>
      </c>
      <c r="FL30">
        <v>16.878299999999999</v>
      </c>
      <c r="FM30">
        <v>101.16500000000001</v>
      </c>
      <c r="FN30">
        <v>101.048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2020-06-15T12:47:03Z</dcterms:created>
  <dcterms:modified xsi:type="dcterms:W3CDTF">2024-11-20T08:52:26Z</dcterms:modified>
</cp:coreProperties>
</file>