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615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0" i="1" l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/>
  <c r="M30" i="1" s="1"/>
  <c r="X30" i="1"/>
  <c r="V30" i="1" s="1"/>
  <c r="W30" i="1"/>
  <c r="O30" i="1"/>
  <c r="BU29" i="1"/>
  <c r="BT29" i="1"/>
  <c r="BR29" i="1"/>
  <c r="BS29" i="1" s="1"/>
  <c r="BI29" i="1"/>
  <c r="BH29" i="1"/>
  <c r="BG29" i="1"/>
  <c r="BF29" i="1"/>
  <c r="BE29" i="1"/>
  <c r="BB29" i="1"/>
  <c r="AZ29" i="1"/>
  <c r="AU29" i="1"/>
  <c r="AO29" i="1"/>
  <c r="AP29" i="1" s="1"/>
  <c r="AK29" i="1"/>
  <c r="AI29" i="1"/>
  <c r="J29" i="1" s="1"/>
  <c r="X29" i="1"/>
  <c r="W29" i="1"/>
  <c r="V29" i="1"/>
  <c r="O29" i="1"/>
  <c r="BU28" i="1"/>
  <c r="BT28" i="1"/>
  <c r="BR28" i="1"/>
  <c r="BS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/>
  <c r="AJ28" i="1" s="1"/>
  <c r="X28" i="1"/>
  <c r="W28" i="1"/>
  <c r="V28" i="1"/>
  <c r="O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P27" i="1"/>
  <c r="AO27" i="1"/>
  <c r="AK27" i="1"/>
  <c r="AI27" i="1"/>
  <c r="J27" i="1" s="1"/>
  <c r="X27" i="1"/>
  <c r="W27" i="1"/>
  <c r="V27" i="1"/>
  <c r="O27" i="1"/>
  <c r="M27" i="1"/>
  <c r="BU26" i="1"/>
  <c r="BT26" i="1"/>
  <c r="BR26" i="1"/>
  <c r="BS26" i="1" s="1"/>
  <c r="BI26" i="1"/>
  <c r="BH26" i="1"/>
  <c r="BG26" i="1"/>
  <c r="BF26" i="1"/>
  <c r="BE26" i="1"/>
  <c r="BB26" i="1"/>
  <c r="AZ26" i="1"/>
  <c r="AU26" i="1"/>
  <c r="AO26" i="1"/>
  <c r="AP26" i="1" s="1"/>
  <c r="AK26" i="1"/>
  <c r="AI26" i="1" s="1"/>
  <c r="X26" i="1"/>
  <c r="W26" i="1"/>
  <c r="V26" i="1"/>
  <c r="O26" i="1"/>
  <c r="BU25" i="1"/>
  <c r="BT25" i="1"/>
  <c r="BS25" i="1" s="1"/>
  <c r="BR25" i="1"/>
  <c r="BI25" i="1"/>
  <c r="BH25" i="1"/>
  <c r="BG25" i="1"/>
  <c r="BF25" i="1"/>
  <c r="BE25" i="1"/>
  <c r="BB25" i="1"/>
  <c r="AZ25" i="1"/>
  <c r="AU25" i="1"/>
  <c r="AO25" i="1"/>
  <c r="AP25" i="1" s="1"/>
  <c r="AK25" i="1"/>
  <c r="AI25" i="1"/>
  <c r="I25" i="1" s="1"/>
  <c r="AX25" i="1" s="1"/>
  <c r="X25" i="1"/>
  <c r="W25" i="1"/>
  <c r="V25" i="1" s="1"/>
  <c r="O25" i="1"/>
  <c r="BU24" i="1"/>
  <c r="BT24" i="1"/>
  <c r="BR24" i="1"/>
  <c r="BS24" i="1" s="1"/>
  <c r="BI24" i="1"/>
  <c r="BH24" i="1"/>
  <c r="BG24" i="1"/>
  <c r="BF24" i="1"/>
  <c r="BE24" i="1"/>
  <c r="BB24" i="1"/>
  <c r="AZ24" i="1"/>
  <c r="AU24" i="1"/>
  <c r="AO24" i="1"/>
  <c r="AP24" i="1" s="1"/>
  <c r="AK24" i="1"/>
  <c r="AI24" i="1"/>
  <c r="H24" i="1" s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/>
  <c r="H23" i="1" s="1"/>
  <c r="X23" i="1"/>
  <c r="W23" i="1"/>
  <c r="V23" i="1"/>
  <c r="O23" i="1"/>
  <c r="BU22" i="1"/>
  <c r="BT22" i="1"/>
  <c r="BR22" i="1"/>
  <c r="BS22" i="1" s="1"/>
  <c r="BI22" i="1"/>
  <c r="BH22" i="1"/>
  <c r="BG22" i="1"/>
  <c r="BF22" i="1"/>
  <c r="BE22" i="1"/>
  <c r="BB22" i="1"/>
  <c r="AZ22" i="1"/>
  <c r="AU22" i="1"/>
  <c r="AP22" i="1"/>
  <c r="AO22" i="1"/>
  <c r="AK22" i="1"/>
  <c r="AI22" i="1" s="1"/>
  <c r="X22" i="1"/>
  <c r="W22" i="1"/>
  <c r="V22" i="1"/>
  <c r="O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AJ21" i="1" s="1"/>
  <c r="X21" i="1"/>
  <c r="W21" i="1"/>
  <c r="V21" i="1"/>
  <c r="O21" i="1"/>
  <c r="BU20" i="1"/>
  <c r="BT20" i="1"/>
  <c r="BS20" i="1" s="1"/>
  <c r="BR20" i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I20" i="1" s="1"/>
  <c r="AX20" i="1" s="1"/>
  <c r="X20" i="1"/>
  <c r="W20" i="1"/>
  <c r="V20" i="1" s="1"/>
  <c r="O20" i="1"/>
  <c r="BU19" i="1"/>
  <c r="BT19" i="1"/>
  <c r="BR19" i="1"/>
  <c r="BS19" i="1" s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/>
  <c r="I19" i="1" s="1"/>
  <c r="AX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O18" i="1"/>
  <c r="AP18" i="1" s="1"/>
  <c r="AK18" i="1"/>
  <c r="AI18" i="1"/>
  <c r="M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P17" i="1"/>
  <c r="AO17" i="1"/>
  <c r="AK17" i="1"/>
  <c r="AI17" i="1" s="1"/>
  <c r="X17" i="1"/>
  <c r="W17" i="1"/>
  <c r="V17" i="1"/>
  <c r="O17" i="1"/>
  <c r="R22" i="1" l="1"/>
  <c r="AW22" i="1"/>
  <c r="Z24" i="1"/>
  <c r="AW18" i="1"/>
  <c r="AY18" i="1" s="1"/>
  <c r="R18" i="1"/>
  <c r="AY24" i="1"/>
  <c r="AY28" i="1"/>
  <c r="R29" i="1"/>
  <c r="AW29" i="1"/>
  <c r="AY29" i="1" s="1"/>
  <c r="AW25" i="1"/>
  <c r="AY25" i="1" s="1"/>
  <c r="R25" i="1"/>
  <c r="R21" i="1"/>
  <c r="AW21" i="1"/>
  <c r="Z23" i="1"/>
  <c r="R17" i="1"/>
  <c r="AW17" i="1"/>
  <c r="AY17" i="1" s="1"/>
  <c r="BA19" i="1"/>
  <c r="AW28" i="1"/>
  <c r="R28" i="1"/>
  <c r="R24" i="1"/>
  <c r="AW24" i="1"/>
  <c r="AJ26" i="1"/>
  <c r="I26" i="1"/>
  <c r="AX26" i="1" s="1"/>
  <c r="H26" i="1"/>
  <c r="M26" i="1"/>
  <c r="J26" i="1"/>
  <c r="AY19" i="1"/>
  <c r="R20" i="1"/>
  <c r="AW20" i="1"/>
  <c r="BA20" i="1" s="1"/>
  <c r="J22" i="1"/>
  <c r="I22" i="1"/>
  <c r="AX22" i="1" s="1"/>
  <c r="BA22" i="1" s="1"/>
  <c r="M22" i="1"/>
  <c r="H22" i="1"/>
  <c r="AJ22" i="1"/>
  <c r="AY26" i="1"/>
  <c r="AY30" i="1"/>
  <c r="AY22" i="1"/>
  <c r="R23" i="1"/>
  <c r="AW23" i="1"/>
  <c r="AY23" i="1" s="1"/>
  <c r="AW27" i="1"/>
  <c r="AY27" i="1" s="1"/>
  <c r="R27" i="1"/>
  <c r="R19" i="1"/>
  <c r="AW19" i="1"/>
  <c r="I17" i="1"/>
  <c r="AX17" i="1" s="1"/>
  <c r="H17" i="1"/>
  <c r="AJ17" i="1"/>
  <c r="J17" i="1"/>
  <c r="M17" i="1"/>
  <c r="R26" i="1"/>
  <c r="AW26" i="1"/>
  <c r="R30" i="1"/>
  <c r="AW30" i="1"/>
  <c r="AY21" i="1"/>
  <c r="H21" i="1"/>
  <c r="AJ20" i="1"/>
  <c r="J30" i="1"/>
  <c r="J25" i="1"/>
  <c r="H19" i="1"/>
  <c r="J24" i="1"/>
  <c r="H28" i="1"/>
  <c r="M29" i="1"/>
  <c r="M19" i="1"/>
  <c r="I23" i="1"/>
  <c r="AX23" i="1" s="1"/>
  <c r="BA23" i="1" s="1"/>
  <c r="J18" i="1"/>
  <c r="AJ27" i="1"/>
  <c r="J21" i="1"/>
  <c r="AJ30" i="1"/>
  <c r="H20" i="1"/>
  <c r="M21" i="1"/>
  <c r="J20" i="1"/>
  <c r="AJ29" i="1"/>
  <c r="M20" i="1"/>
  <c r="H18" i="1"/>
  <c r="I18" i="1"/>
  <c r="AX18" i="1" s="1"/>
  <c r="BA18" i="1" s="1"/>
  <c r="J23" i="1"/>
  <c r="H27" i="1"/>
  <c r="M28" i="1"/>
  <c r="I21" i="1"/>
  <c r="AX21" i="1" s="1"/>
  <c r="BA21" i="1" s="1"/>
  <c r="H30" i="1"/>
  <c r="AJ24" i="1"/>
  <c r="H29" i="1"/>
  <c r="I29" i="1"/>
  <c r="AX29" i="1" s="1"/>
  <c r="BA29" i="1" s="1"/>
  <c r="I24" i="1"/>
  <c r="AX24" i="1" s="1"/>
  <c r="AJ23" i="1"/>
  <c r="M24" i="1"/>
  <c r="I28" i="1"/>
  <c r="AX28" i="1" s="1"/>
  <c r="BA28" i="1" s="1"/>
  <c r="J28" i="1"/>
  <c r="M23" i="1"/>
  <c r="I27" i="1"/>
  <c r="AX27" i="1" s="1"/>
  <c r="BA27" i="1" s="1"/>
  <c r="AJ25" i="1"/>
  <c r="H25" i="1"/>
  <c r="I30" i="1"/>
  <c r="AX30" i="1" s="1"/>
  <c r="M25" i="1"/>
  <c r="J19" i="1"/>
  <c r="AJ18" i="1"/>
  <c r="AJ19" i="1"/>
  <c r="Z22" i="1" l="1"/>
  <c r="Z19" i="1"/>
  <c r="Z30" i="1"/>
  <c r="Z27" i="1"/>
  <c r="S25" i="1"/>
  <c r="T25" i="1" s="1"/>
  <c r="AY20" i="1"/>
  <c r="BA17" i="1"/>
  <c r="P26" i="1"/>
  <c r="N26" i="1" s="1"/>
  <c r="Q26" i="1" s="1"/>
  <c r="K26" i="1" s="1"/>
  <c r="L26" i="1" s="1"/>
  <c r="Z26" i="1"/>
  <c r="S27" i="1"/>
  <c r="T27" i="1" s="1"/>
  <c r="S30" i="1"/>
  <c r="T30" i="1" s="1"/>
  <c r="P30" i="1" s="1"/>
  <c r="N30" i="1" s="1"/>
  <c r="Q30" i="1" s="1"/>
  <c r="K30" i="1" s="1"/>
  <c r="L30" i="1" s="1"/>
  <c r="S21" i="1"/>
  <c r="T21" i="1" s="1"/>
  <c r="S20" i="1"/>
  <c r="T20" i="1" s="1"/>
  <c r="BA26" i="1"/>
  <c r="S19" i="1"/>
  <c r="T19" i="1" s="1"/>
  <c r="S24" i="1"/>
  <c r="T24" i="1" s="1"/>
  <c r="BA25" i="1"/>
  <c r="S28" i="1"/>
  <c r="T28" i="1" s="1"/>
  <c r="Z21" i="1"/>
  <c r="Z18" i="1"/>
  <c r="Z17" i="1"/>
  <c r="Z20" i="1"/>
  <c r="S18" i="1"/>
  <c r="T18" i="1" s="1"/>
  <c r="P18" i="1" s="1"/>
  <c r="N18" i="1" s="1"/>
  <c r="Q18" i="1" s="1"/>
  <c r="K18" i="1" s="1"/>
  <c r="L18" i="1" s="1"/>
  <c r="P28" i="1"/>
  <c r="N28" i="1" s="1"/>
  <c r="Q28" i="1" s="1"/>
  <c r="K28" i="1" s="1"/>
  <c r="L28" i="1" s="1"/>
  <c r="Z28" i="1"/>
  <c r="S22" i="1"/>
  <c r="T22" i="1" s="1"/>
  <c r="P29" i="1"/>
  <c r="N29" i="1" s="1"/>
  <c r="Q29" i="1" s="1"/>
  <c r="K29" i="1" s="1"/>
  <c r="L29" i="1" s="1"/>
  <c r="Z29" i="1"/>
  <c r="S17" i="1"/>
  <c r="T17" i="1" s="1"/>
  <c r="S26" i="1"/>
  <c r="T26" i="1" s="1"/>
  <c r="S29" i="1"/>
  <c r="T29" i="1" s="1"/>
  <c r="BA30" i="1"/>
  <c r="Z25" i="1"/>
  <c r="BA24" i="1"/>
  <c r="S23" i="1"/>
  <c r="T23" i="1" s="1"/>
  <c r="AB17" i="1" l="1"/>
  <c r="U17" i="1"/>
  <c r="Y17" i="1" s="1"/>
  <c r="AA17" i="1"/>
  <c r="AA20" i="1"/>
  <c r="U20" i="1"/>
  <c r="Y20" i="1" s="1"/>
  <c r="AB20" i="1"/>
  <c r="AC20" i="1" s="1"/>
  <c r="AB21" i="1"/>
  <c r="U21" i="1"/>
  <c r="Y21" i="1" s="1"/>
  <c r="AA21" i="1"/>
  <c r="U27" i="1"/>
  <c r="Y27" i="1" s="1"/>
  <c r="AB27" i="1"/>
  <c r="AC27" i="1" s="1"/>
  <c r="AA27" i="1"/>
  <c r="P20" i="1"/>
  <c r="N20" i="1" s="1"/>
  <c r="Q20" i="1" s="1"/>
  <c r="K20" i="1" s="1"/>
  <c r="L20" i="1" s="1"/>
  <c r="AB28" i="1"/>
  <c r="AA28" i="1"/>
  <c r="U28" i="1"/>
  <c r="Y28" i="1" s="1"/>
  <c r="U22" i="1"/>
  <c r="Y22" i="1" s="1"/>
  <c r="AB22" i="1"/>
  <c r="AA22" i="1"/>
  <c r="U18" i="1"/>
  <c r="Y18" i="1" s="1"/>
  <c r="AB18" i="1"/>
  <c r="AC18" i="1" s="1"/>
  <c r="AA18" i="1"/>
  <c r="AA25" i="1"/>
  <c r="U25" i="1"/>
  <c r="Y25" i="1" s="1"/>
  <c r="AB25" i="1"/>
  <c r="P25" i="1"/>
  <c r="N25" i="1" s="1"/>
  <c r="Q25" i="1" s="1"/>
  <c r="K25" i="1" s="1"/>
  <c r="L25" i="1" s="1"/>
  <c r="P21" i="1"/>
  <c r="N21" i="1" s="1"/>
  <c r="Q21" i="1" s="1"/>
  <c r="K21" i="1" s="1"/>
  <c r="L21" i="1" s="1"/>
  <c r="P27" i="1"/>
  <c r="N27" i="1" s="1"/>
  <c r="Q27" i="1" s="1"/>
  <c r="K27" i="1" s="1"/>
  <c r="L27" i="1" s="1"/>
  <c r="AA19" i="1"/>
  <c r="AB19" i="1"/>
  <c r="AC19" i="1" s="1"/>
  <c r="U19" i="1"/>
  <c r="Y19" i="1" s="1"/>
  <c r="P17" i="1"/>
  <c r="N17" i="1" s="1"/>
  <c r="Q17" i="1" s="1"/>
  <c r="K17" i="1" s="1"/>
  <c r="L17" i="1" s="1"/>
  <c r="AB23" i="1"/>
  <c r="AA23" i="1"/>
  <c r="U23" i="1"/>
  <c r="Y23" i="1" s="1"/>
  <c r="P23" i="1"/>
  <c r="N23" i="1" s="1"/>
  <c r="Q23" i="1" s="1"/>
  <c r="K23" i="1" s="1"/>
  <c r="L23" i="1" s="1"/>
  <c r="AB24" i="1"/>
  <c r="AA24" i="1"/>
  <c r="U24" i="1"/>
  <c r="Y24" i="1" s="1"/>
  <c r="P24" i="1"/>
  <c r="N24" i="1" s="1"/>
  <c r="Q24" i="1" s="1"/>
  <c r="K24" i="1" s="1"/>
  <c r="L24" i="1" s="1"/>
  <c r="U30" i="1"/>
  <c r="Y30" i="1" s="1"/>
  <c r="AA30" i="1"/>
  <c r="AB30" i="1"/>
  <c r="AC30" i="1" s="1"/>
  <c r="U29" i="1"/>
  <c r="Y29" i="1" s="1"/>
  <c r="AB29" i="1"/>
  <c r="AA29" i="1"/>
  <c r="P19" i="1"/>
  <c r="N19" i="1" s="1"/>
  <c r="Q19" i="1" s="1"/>
  <c r="K19" i="1" s="1"/>
  <c r="L19" i="1" s="1"/>
  <c r="AB26" i="1"/>
  <c r="AC26" i="1" s="1"/>
  <c r="U26" i="1"/>
  <c r="Y26" i="1" s="1"/>
  <c r="AA26" i="1"/>
  <c r="P22" i="1"/>
  <c r="N22" i="1" s="1"/>
  <c r="Q22" i="1" s="1"/>
  <c r="K22" i="1" s="1"/>
  <c r="L22" i="1" s="1"/>
  <c r="AC22" i="1" l="1"/>
  <c r="AC24" i="1"/>
  <c r="AC29" i="1"/>
  <c r="AC23" i="1"/>
  <c r="AC28" i="1"/>
  <c r="AC21" i="1"/>
  <c r="AC25" i="1"/>
  <c r="AC17" i="1"/>
</calcChain>
</file>

<file path=xl/sharedStrings.xml><?xml version="1.0" encoding="utf-8"?>
<sst xmlns="http://schemas.openxmlformats.org/spreadsheetml/2006/main" count="771" uniqueCount="354">
  <si>
    <t>File opened</t>
  </si>
  <si>
    <t>2020-06-15 13:21:30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</si>
  <si>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</si>
  <si>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</si>
  <si>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</si>
  <si>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</si>
  <si>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</si>
  <si>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</si>
  <si>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</si>
  <si>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</si>
  <si>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</si>
  <si>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</si>
  <si>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</si>
  <si>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{"co2aspan2": "0", "co2aspan2a": "0.164928", "flowbzero": "0.22736", "co2azero": "0.869071", "h2oaspan2": "0", "h2obspanconc1": "20", "co2aspanconc1": "1002", "co2bspanconc2": "0", "co2bzero": "0.880288", "h2oaspanconc2": "0", "co2aspan1": "0.992625", "h2oaspan1": "1.00223", "co2bspan2a": "0.163389", "co2bspan2": "0", "tazero": "0.00774765", "chamberpressurezero": "2.59209", "h2oaspanconc1": "12.19", "h2obspan2a": "0.0975941", "oxygen": "21", "h2oaspan2a": "0.0661155", "h2oaspan2b": "0.0662632", "h2obspan1": "0.998578", "h2obspan2b": "0.0963575", "h2obspan2": "0", "ssb_ref": "36526.8", "co2aspan2b": "0.163711", "h2obspanconc2": "0", "flowazero": "0.42932", "co2bspan1": "0.992131", "h2oazero": "1.00263", "co2bspanconc1": "1002", "co2bspan2b": "0.162103", "flowmeterzero": "0.990908", "co2aspanconc2": "0", "tbzero": "0.197721", "ssa_ref": "36614.9", "h2obzero": "1.01783"}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</si>
  <si>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</si>
  <si>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</si>
  <si>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</si>
  <si>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</si>
  <si>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</si>
  <si>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</si>
  <si>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</si>
  <si>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</si>
  <si>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</si>
  <si>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13:21:30</t>
  </si>
  <si>
    <t>Stability Definition:	ΔH2O (Meas2): Slp&lt;0.1	ΔCO2 (Meas2): Slp&lt;0.5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</si>
  <si>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</si>
  <si>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</si>
  <si>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</si>
  <si>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</si>
  <si>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</si>
  <si>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</si>
  <si>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</si>
  <si>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</si>
  <si>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</si>
  <si>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</si>
  <si>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</si>
  <si>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</si>
  <si>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</si>
  <si>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</si>
  <si>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</si>
  <si>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</si>
  <si>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</si>
  <si>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</si>
  <si>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</si>
  <si>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</si>
  <si>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</si>
  <si>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</si>
  <si>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</si>
  <si>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</si>
  <si>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</si>
  <si>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</si>
  <si>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</si>
  <si>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</si>
  <si>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</si>
  <si>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</si>
  <si>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</si>
  <si>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</si>
  <si>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</si>
  <si>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</si>
  <si>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</si>
  <si>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</si>
  <si>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</si>
  <si>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</si>
  <si>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</si>
  <si>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</si>
  <si>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</si>
  <si>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</si>
  <si>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</si>
  <si>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</si>
  <si>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</si>
  <si>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</si>
  <si>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3.69256 76.0623 384.222 614.299 840.097 1040.28 1212.83 1370.52</t>
  </si>
  <si>
    <t>Fs_true</t>
  </si>
  <si>
    <t>0.0779822 99.8435 402.691 600.685 800.753 1001.13 1200.5 1400.73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</si>
  <si>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</si>
  <si>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</si>
  <si>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</si>
  <si>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</si>
  <si>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</si>
  <si>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</si>
  <si>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</si>
  <si>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</si>
  <si>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</si>
  <si>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</si>
  <si>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</si>
  <si>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</si>
  <si>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</si>
  <si>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</si>
  <si>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</si>
  <si>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</si>
  <si>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</si>
  <si>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</si>
  <si>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</si>
  <si>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</si>
  <si>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</si>
  <si>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</si>
  <si>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</si>
  <si>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</si>
  <si>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</si>
  <si>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</si>
  <si>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</si>
  <si>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</si>
  <si>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</si>
  <si>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</si>
  <si>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</si>
  <si>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</si>
  <si>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</si>
  <si>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</si>
  <si>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</si>
  <si>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</si>
  <si>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</si>
  <si>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</si>
  <si>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</si>
  <si>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</si>
  <si>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</si>
  <si>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</si>
  <si>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</si>
  <si>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</si>
  <si>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</si>
  <si>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</si>
  <si>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</si>
  <si>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</si>
  <si>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</si>
  <si>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</si>
  <si>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</si>
  <si>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</si>
  <si>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</si>
  <si>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</si>
  <si>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</si>
  <si>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</si>
  <si>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</si>
  <si>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</si>
  <si>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</si>
  <si>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</si>
  <si>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</si>
  <si>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</si>
  <si>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</si>
  <si>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</si>
  <si>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</si>
  <si>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</si>
  <si>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</si>
  <si>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</si>
  <si>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</si>
  <si>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</si>
  <si>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</si>
  <si>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</si>
  <si>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</si>
  <si>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</si>
  <si>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</si>
  <si>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</si>
  <si>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</si>
  <si>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</si>
  <si>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</si>
  <si>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</si>
  <si>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</si>
  <si>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</si>
  <si>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</si>
  <si>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</si>
  <si>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</si>
  <si>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</si>
  <si>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</si>
  <si>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</si>
  <si>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</si>
  <si>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</si>
  <si>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</si>
  <si>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</si>
  <si>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</si>
  <si>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</si>
  <si>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</si>
  <si>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</si>
  <si>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</si>
  <si>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</si>
  <si>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</si>
  <si>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</si>
  <si>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</si>
  <si>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</si>
  <si>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</si>
  <si>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</si>
  <si>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</si>
  <si>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</si>
  <si>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</si>
  <si>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</si>
  <si>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</si>
  <si>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</si>
  <si>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</si>
  <si>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</si>
  <si>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</si>
  <si>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</si>
  <si>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</si>
  <si>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</si>
  <si>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</si>
  <si>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</si>
  <si>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</si>
  <si>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</si>
  <si>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</si>
  <si>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</si>
  <si>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</si>
  <si>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</si>
  <si>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</si>
  <si>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</si>
  <si>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</si>
  <si>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</si>
  <si>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</si>
  <si>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</si>
  <si>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</si>
  <si>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</si>
  <si>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</si>
  <si>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</si>
  <si>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</si>
  <si>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ΔH2O:MN</t>
  </si>
  <si>
    <t>ΔH2O:SLP</t>
  </si>
  <si>
    <t>ΔH2O:SD</t>
  </si>
  <si>
    <t>ΔH2O:OK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</si>
  <si>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</si>
  <si>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</si>
  <si>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</si>
  <si>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</si>
  <si>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</si>
  <si>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</si>
  <si>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</si>
  <si>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</si>
  <si>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</si>
  <si>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</si>
  <si>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</si>
  <si>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</si>
  <si>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</si>
  <si>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</si>
  <si>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</si>
  <si>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</si>
  <si>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</si>
  <si>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</si>
  <si>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</si>
  <si>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</si>
  <si>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</si>
  <si>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</si>
  <si>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</si>
  <si>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</si>
  <si>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</si>
  <si>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</si>
  <si>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</si>
  <si>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</si>
  <si>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</si>
  <si>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</si>
  <si>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</si>
  <si>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</si>
  <si>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</si>
  <si>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</si>
  <si>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</si>
  <si>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</si>
  <si>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</si>
  <si>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</si>
  <si>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</si>
  <si>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</si>
  <si>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</si>
  <si>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</si>
  <si>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</si>
  <si>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</si>
  <si>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</si>
  <si>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</si>
  <si>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</si>
  <si>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</si>
  <si>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</si>
  <si>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</si>
  <si>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</si>
  <si>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</si>
  <si>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</si>
  <si>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</si>
  <si>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</si>
  <si>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</si>
  <si>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</si>
  <si>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</si>
  <si>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</si>
  <si>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</si>
  <si>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</si>
  <si>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</si>
  <si>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</si>
  <si>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</si>
  <si>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20200615 13:25:13</t>
  </si>
  <si>
    <t>13:25:13</t>
  </si>
  <si>
    <t>MPF-3669-20200615-13_25_14</t>
  </si>
  <si>
    <t>DARK-3670-20200615-13_25_22</t>
  </si>
  <si>
    <t>0: Broadleaf</t>
  </si>
  <si>
    <t>13:23:50</t>
  </si>
  <si>
    <t>2/2</t>
  </si>
  <si>
    <t>5</t>
  </si>
  <si>
    <t>11111111</t>
  </si>
  <si>
    <t>oooooooo</t>
  </si>
  <si>
    <t>off</t>
  </si>
  <si>
    <t>20200615 13:27:19</t>
  </si>
  <si>
    <t>13:27:19</t>
  </si>
  <si>
    <t>MPF-3671-20200615-13_27_21</t>
  </si>
  <si>
    <t>DARK-3672-20200615-13_27_28</t>
  </si>
  <si>
    <t>13:26:29</t>
  </si>
  <si>
    <t>20200615 13:29:50</t>
  </si>
  <si>
    <t>13:29:50</t>
  </si>
  <si>
    <t>MPF-3673-20200615-13_29_51</t>
  </si>
  <si>
    <t>DARK-3674-20200615-13_29_59</t>
  </si>
  <si>
    <t>13:30:13</t>
  </si>
  <si>
    <t>1/2</t>
  </si>
  <si>
    <t>20200615 13:32:44</t>
  </si>
  <si>
    <t>13:32:44</t>
  </si>
  <si>
    <t>MPF-3675-20200615-13_32_46</t>
  </si>
  <si>
    <t>DARK-3676-20200615-13_32_53</t>
  </si>
  <si>
    <t>13:31:37</t>
  </si>
  <si>
    <t>20200615 13:34:45</t>
  </si>
  <si>
    <t>13:34:45</t>
  </si>
  <si>
    <t>MPF-3677-20200615-13_34_46</t>
  </si>
  <si>
    <t>DARK-3678-20200615-13_34_54</t>
  </si>
  <si>
    <t>13:33:47</t>
  </si>
  <si>
    <t>20200615 13:36:58</t>
  </si>
  <si>
    <t>13:36:58</t>
  </si>
  <si>
    <t>MPF-3679-20200615-13_37_00</t>
  </si>
  <si>
    <t>DARK-3680-20200615-13_37_07</t>
  </si>
  <si>
    <t>13:36:22</t>
  </si>
  <si>
    <t>20200615 13:39:01</t>
  </si>
  <si>
    <t>13:39:01</t>
  </si>
  <si>
    <t>MPF-3681-20200615-13_39_02</t>
  </si>
  <si>
    <t>DARK-3682-20200615-13_39_10</t>
  </si>
  <si>
    <t>13:37:56</t>
  </si>
  <si>
    <t>20200615 13:41:04</t>
  </si>
  <si>
    <t>13:41:04</t>
  </si>
  <si>
    <t>MPF-3683-20200615-13_41_05</t>
  </si>
  <si>
    <t>DARK-3684-20200615-13_41_13</t>
  </si>
  <si>
    <t>13:40:08</t>
  </si>
  <si>
    <t>20200615 13:43:18</t>
  </si>
  <si>
    <t>13:43:18</t>
  </si>
  <si>
    <t>MPF-3685-20200615-13_43_19</t>
  </si>
  <si>
    <t>DARK-3686-20200615-13_43_27</t>
  </si>
  <si>
    <t>13:42:13</t>
  </si>
  <si>
    <t>20200615 13:45:24</t>
  </si>
  <si>
    <t>13:45:24</t>
  </si>
  <si>
    <t>MPF-3687-20200615-13_45_25</t>
  </si>
  <si>
    <t>DARK-3688-20200615-13_45_33</t>
  </si>
  <si>
    <t>13:44:26</t>
  </si>
  <si>
    <t>20200615 13:47:49</t>
  </si>
  <si>
    <t>13:47:49</t>
  </si>
  <si>
    <t>MPF-3689-20200615-13_47_50</t>
  </si>
  <si>
    <t>DARK-3690-20200615-13_47_58</t>
  </si>
  <si>
    <t>13:47:04</t>
  </si>
  <si>
    <t>20200615 13:50:04</t>
  </si>
  <si>
    <t>13:50:04</t>
  </si>
  <si>
    <t>MPF-3691-20200615-13_50_06</t>
  </si>
  <si>
    <t>DARK-3692-20200615-13_50_14</t>
  </si>
  <si>
    <t>13:49:14</t>
  </si>
  <si>
    <t>20200615 13:52:15</t>
  </si>
  <si>
    <t>13:52:15</t>
  </si>
  <si>
    <t>MPF-3693-20200615-13_52_17</t>
  </si>
  <si>
    <t>DARK-3694-20200615-13_52_25</t>
  </si>
  <si>
    <t>13:51:07</t>
  </si>
  <si>
    <t>20200615 13:54:16</t>
  </si>
  <si>
    <t>13:54:16</t>
  </si>
  <si>
    <t>MPF-3695-20200615-13_54_18</t>
  </si>
  <si>
    <t>DARK-3696-20200615-13_54_25</t>
  </si>
  <si>
    <t>13:53:19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</si>
</sst>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0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1592245513.2</v>
      </c>
      <c r="C17">
        <v>0</v>
      </c>
      <c r="D17" t="s">
        <v>277</v>
      </c>
      <c r="E17" t="s">
        <v>278</v>
      </c>
      <c r="G17">
        <v>1592245505.2</v>
      </c>
      <c r="H17">
        <f t="shared" ref="H17:H30" si="0">CC17*AI17*(CA17-CB17)/(100*$B$5*(1000-AI17*CA17))</f>
        <v>4.1347236116651412E-3</v>
      </c>
      <c r="I17">
        <f t="shared" ref="I17:I30" si="1">CC17*AI17*(BZ17-BY17*(1000-AI17*CB17)/(1000-AI17*CA17))/(100*$B$5)</f>
        <v>25.799954295099568</v>
      </c>
      <c r="J17">
        <f t="shared" ref="J17:J30" si="2">BY17 - IF(AI17&gt;1, I17*$B$5*100/(AK17*CI17), 0)</f>
        <v>389.01180645161298</v>
      </c>
      <c r="K17">
        <f t="shared" ref="K17:K30" si="3">((Q17-H17/2)*J17-I17)/(Q17+H17/2)</f>
        <v>204.71169493253541</v>
      </c>
      <c r="L17">
        <f t="shared" ref="L17:L30" si="4">K17*(CD17+CE17)/1000</f>
        <v>20.546135021595465</v>
      </c>
      <c r="M17">
        <f t="shared" ref="M17:M30" si="5">(BY17 - IF(AI17&gt;1, I17*$B$5*100/(AK17*CI17), 0))*(CD17+CE17)/1000</f>
        <v>39.043636969464131</v>
      </c>
      <c r="N17">
        <f t="shared" ref="N17:N30" si="6">2/((1/P17-1/O17)+SIGN(P17)*SQRT((1/P17-1/O17)*(1/P17-1/O17) + 4*BV17/((BV17+1)*(BV17+1))*(2*1/P17*1/O17-1/O17*1/O17)))</f>
        <v>0.24256917111571205</v>
      </c>
      <c r="O17">
        <f t="shared" ref="O17:O30" si="7">AF17+AE17*$B$5+AD17*$B$5*$B$5</f>
        <v>3.4047401703054652</v>
      </c>
      <c r="P17">
        <f t="shared" ref="P17:P30" si="8">H17*(1000-(1000*0.61365*EXP(17.502*T17/(240.97+T17))/(CD17+CE17)+CA17)/2)/(1000*0.61365*EXP(17.502*T17/(240.97+T17))/(CD17+CE17)-CA17)</f>
        <v>0.23336102005299428</v>
      </c>
      <c r="Q17">
        <f t="shared" ref="Q17:Q30" si="9">1/((BV17+1)/(N17/1.6)+1/(O17/1.37)) + BV17/((BV17+1)/(N17/1.6) + BV17/(O17/1.37))</f>
        <v>0.14664882925091785</v>
      </c>
      <c r="R17">
        <f t="shared" ref="R17:R30" si="10">(BS17*BU17)</f>
        <v>353.33467282624633</v>
      </c>
      <c r="S17">
        <f t="shared" ref="S17:S30" si="11">(CF17+(R17+2*0.95*0.0000000567*(((CF17+$B$7)+273)^4-(CF17+273)^4)-44100*H17)/(1.84*29.3*O17+8*0.95*0.0000000567*(CF17+273)^3))</f>
        <v>26.811049403909781</v>
      </c>
      <c r="T17">
        <f t="shared" ref="T17:T30" si="12">($C$7*CG17+$D$7*CH17+$E$7*S17)</f>
        <v>27.021074193548401</v>
      </c>
      <c r="U17">
        <f t="shared" ref="U17:U30" si="13">0.61365*EXP(17.502*T17/(240.97+T17))</f>
        <v>3.5835921542557796</v>
      </c>
      <c r="V17">
        <f t="shared" ref="V17:V30" si="14">(W17/X17*100)</f>
        <v>55.142786799988343</v>
      </c>
      <c r="W17">
        <f t="shared" ref="W17:W30" si="15">CA17*(CD17+CE17)/1000</f>
        <v>1.8534567972164873</v>
      </c>
      <c r="X17">
        <f t="shared" ref="X17:X30" si="16">0.61365*EXP(17.502*CF17/(240.97+CF17))</f>
        <v>3.3611953707368292</v>
      </c>
      <c r="Y17">
        <f t="shared" ref="Y17:Y30" si="17">(U17-CA17*(CD17+CE17)/1000)</f>
        <v>1.7301353570392923</v>
      </c>
      <c r="Z17">
        <f t="shared" ref="Z17:Z30" si="18">(-H17*44100)</f>
        <v>-182.34131127443271</v>
      </c>
      <c r="AA17">
        <f t="shared" ref="AA17:AA30" si="19">2*29.3*O17*0.92*(CF17-T17)</f>
        <v>-199.45410850183728</v>
      </c>
      <c r="AB17">
        <f t="shared" ref="AB17:AB30" si="20">2*0.95*0.0000000567*(((CF17+$B$7)+273)^4-(T17+273)^4)</f>
        <v>-12.576662831509676</v>
      </c>
      <c r="AC17">
        <f t="shared" ref="AC17:AC30" si="21">R17+AB17+Z17+AA17</f>
        <v>-41.037409781533341</v>
      </c>
      <c r="AD17">
        <v>-4.1521252130094999E-2</v>
      </c>
      <c r="AE17">
        <v>4.6611242977497698E-2</v>
      </c>
      <c r="AF17">
        <v>3.4776026928708501</v>
      </c>
      <c r="AG17">
        <v>131</v>
      </c>
      <c r="AH17">
        <v>26</v>
      </c>
      <c r="AI17">
        <f t="shared" ref="AI17:AI30" si="22">IF(AG17*$H$13&gt;=AK17,1,(AK17/(AK17-AG17*$H$13)))</f>
        <v>1</v>
      </c>
      <c r="AJ17">
        <f t="shared" ref="AJ17:AJ30" si="23">(AI17-1)*100</f>
        <v>0</v>
      </c>
      <c r="AK17">
        <f t="shared" ref="AK17:AK30" si="24">MAX(0,($B$13+$C$13*CI17)/(1+$D$13*CI17)*CD17/(CF17+273)*$E$13)</f>
        <v>53135.68235673551</v>
      </c>
      <c r="AL17">
        <v>0</v>
      </c>
      <c r="AM17">
        <v>0</v>
      </c>
      <c r="AN17">
        <v>0</v>
      </c>
      <c r="AO17">
        <f t="shared" ref="AO17:AO30" si="25">AN17-AM17</f>
        <v>0</v>
      </c>
      <c r="AP17" t="e">
        <f t="shared" ref="AP17:AP30" si="26">AO17/AN17</f>
        <v>#DIV/0!</v>
      </c>
      <c r="AQ17">
        <v>-1</v>
      </c>
      <c r="AR17" t="s">
        <v>279</v>
      </c>
      <c r="AS17">
        <v>282.46026923076897</v>
      </c>
      <c r="AT17">
        <v>390.19600000000003</v>
      </c>
      <c r="AU17">
        <f t="shared" ref="AU17:AU30" si="27">1-AS17/AT17</f>
        <v>0.27610670219384881</v>
      </c>
      <c r="AV17">
        <v>0.5</v>
      </c>
      <c r="AW17">
        <f t="shared" ref="AW17:AW30" si="28">BS17</f>
        <v>1849.1712190639664</v>
      </c>
      <c r="AX17">
        <f t="shared" ref="AX17:AX30" si="29">I17</f>
        <v>25.799954295099568</v>
      </c>
      <c r="AY17">
        <f t="shared" ref="AY17:AY30" si="30">AU17*AV17*AW17</f>
        <v>255.28428354376547</v>
      </c>
      <c r="AZ17">
        <f t="shared" ref="AZ17:AZ30" si="31">BE17/AT17</f>
        <v>0.50209638233093112</v>
      </c>
      <c r="BA17">
        <f t="shared" ref="BA17:BA30" si="32">(AX17-AQ17)/AW17</f>
        <v>1.4492954475392204E-2</v>
      </c>
      <c r="BB17">
        <f t="shared" ref="BB17:BB30" si="33">(AN17-AT17)/AT17</f>
        <v>-1</v>
      </c>
      <c r="BC17" t="s">
        <v>280</v>
      </c>
      <c r="BD17">
        <v>194.28</v>
      </c>
      <c r="BE17">
        <f t="shared" ref="BE17:BE30" si="34">AT17-BD17</f>
        <v>195.91600000000003</v>
      </c>
      <c r="BF17">
        <f t="shared" ref="BF17:BF30" si="35">(AT17-AS17)/(AT17-BD17)</f>
        <v>0.54990777052017725</v>
      </c>
      <c r="BG17">
        <f t="shared" ref="BG17:BG30" si="36">(AN17-AT17)/(AN17-BD17)</f>
        <v>2.0084208359069384</v>
      </c>
      <c r="BH17">
        <f t="shared" ref="BH17:BH30" si="37">(AT17-AS17)/(AT17-AM17)</f>
        <v>0.27610670219384886</v>
      </c>
      <c r="BI17" t="e">
        <f t="shared" ref="BI17:BI30" si="38">(AN17-AT17)/(AN17-AM17)</f>
        <v>#DIV/0!</v>
      </c>
      <c r="BJ17">
        <v>3669</v>
      </c>
      <c r="BK17">
        <v>300</v>
      </c>
      <c r="BL17">
        <v>300</v>
      </c>
      <c r="BM17">
        <v>300</v>
      </c>
      <c r="BN17">
        <v>9879.84</v>
      </c>
      <c r="BO17">
        <v>357.17200000000003</v>
      </c>
      <c r="BP17">
        <v>-6.4074700000000002E-3</v>
      </c>
      <c r="BQ17">
        <v>6.0272199999999998E-2</v>
      </c>
      <c r="BR17">
        <f t="shared" ref="BR17:BR30" si="39">$B$11*CJ17+$C$11*CK17+$F$11*CL17</f>
        <v>2199.9835483871002</v>
      </c>
      <c r="BS17">
        <f t="shared" ref="BS17:BS30" si="40">BR17*BT17</f>
        <v>1849.1712190639664</v>
      </c>
      <c r="BT17">
        <f t="shared" ref="BT17:BT30" si="41">($B$11*$D$9+$C$11*$D$9+$F$11*((CY17+CQ17)/MAX(CY17+CQ17+CZ17, 0.1)*$I$9+CZ17/MAX(CY17+CQ17+CZ17, 0.1)*$J$9))/($B$11+$C$11+$F$11)</f>
        <v>0.84053865785481485</v>
      </c>
      <c r="BU17">
        <f t="shared" ref="BU17:BU30" si="42">($B$11*$K$9+$C$11*$K$9+$F$11*((CY17+CQ17)/MAX(CY17+CQ17+CZ17, 0.1)*$P$9+CZ17/MAX(CY17+CQ17+CZ17, 0.1)*$Q$9))/($B$11+$C$11+$F$11)</f>
        <v>0.19107731570962971</v>
      </c>
      <c r="BV17">
        <v>0.5</v>
      </c>
      <c r="BW17" t="s">
        <v>281</v>
      </c>
      <c r="BX17">
        <v>1592245505.2</v>
      </c>
      <c r="BY17">
        <v>389.01180645161298</v>
      </c>
      <c r="BZ17">
        <v>399.97380645161297</v>
      </c>
      <c r="CA17">
        <v>18.466941935483899</v>
      </c>
      <c r="CB17">
        <v>16.8437967741935</v>
      </c>
      <c r="CC17">
        <v>500.06222580645198</v>
      </c>
      <c r="CD17">
        <v>100.166193548387</v>
      </c>
      <c r="CE17">
        <v>0.20000696774193499</v>
      </c>
      <c r="CF17">
        <v>25.934464516129001</v>
      </c>
      <c r="CG17">
        <v>27.021074193548401</v>
      </c>
      <c r="CH17">
        <v>999.9</v>
      </c>
      <c r="CI17">
        <v>9996.4383870967795</v>
      </c>
      <c r="CJ17">
        <v>0</v>
      </c>
      <c r="CK17">
        <v>260.78732258064503</v>
      </c>
      <c r="CL17">
        <v>2199.9835483871002</v>
      </c>
      <c r="CM17">
        <v>0.98200290322580697</v>
      </c>
      <c r="CN17">
        <v>1.7997351612903199E-2</v>
      </c>
      <c r="CO17">
        <v>0</v>
      </c>
      <c r="CP17">
        <v>282.51251612903201</v>
      </c>
      <c r="CQ17">
        <v>5.00054</v>
      </c>
      <c r="CR17">
        <v>7850.4406451612904</v>
      </c>
      <c r="CS17">
        <v>20590.393548387099</v>
      </c>
      <c r="CT17">
        <v>50.296064516129</v>
      </c>
      <c r="CU17">
        <v>50.699258064516101</v>
      </c>
      <c r="CV17">
        <v>50.483741935483899</v>
      </c>
      <c r="CW17">
        <v>49.453258064516099</v>
      </c>
      <c r="CX17">
        <v>51.320129032258002</v>
      </c>
      <c r="CY17">
        <v>2155.48225806452</v>
      </c>
      <c r="CZ17">
        <v>39.501290322580601</v>
      </c>
      <c r="DA17">
        <v>0</v>
      </c>
      <c r="DB17">
        <v>389.40000009536698</v>
      </c>
      <c r="DC17">
        <v>282.46026923076897</v>
      </c>
      <c r="DD17">
        <v>-7.39114531153787</v>
      </c>
      <c r="DE17">
        <v>-147.02085470617999</v>
      </c>
      <c r="DF17">
        <v>7849.1292307692302</v>
      </c>
      <c r="DG17">
        <v>15</v>
      </c>
      <c r="DH17">
        <v>1592245430.7</v>
      </c>
      <c r="DI17" t="s">
        <v>282</v>
      </c>
      <c r="DJ17">
        <v>29</v>
      </c>
      <c r="DK17">
        <v>-0.17599999999999999</v>
      </c>
      <c r="DL17">
        <v>0.10299999999999999</v>
      </c>
      <c r="DM17">
        <v>400</v>
      </c>
      <c r="DN17">
        <v>16</v>
      </c>
      <c r="DO17">
        <v>0.14000000000000001</v>
      </c>
      <c r="DP17">
        <v>0.04</v>
      </c>
      <c r="DQ17">
        <v>-10.966723076923101</v>
      </c>
      <c r="DR17">
        <v>6.3657375132017593E-2</v>
      </c>
      <c r="DS17">
        <v>6.3029296043691604E-2</v>
      </c>
      <c r="DT17">
        <v>1</v>
      </c>
      <c r="DU17">
        <v>1.61441384615385</v>
      </c>
      <c r="DV17">
        <v>9.2822463692483204E-2</v>
      </c>
      <c r="DW17">
        <v>1.32028617460013E-2</v>
      </c>
      <c r="DX17">
        <v>1</v>
      </c>
      <c r="DY17">
        <v>2</v>
      </c>
      <c r="DZ17">
        <v>2</v>
      </c>
      <c r="EA17" t="s">
        <v>283</v>
      </c>
      <c r="EB17">
        <v>1.8667199999999999</v>
      </c>
      <c r="EC17">
        <v>1.8632500000000001</v>
      </c>
      <c r="ED17">
        <v>1.8688400000000001</v>
      </c>
      <c r="EE17">
        <v>1.86677</v>
      </c>
      <c r="EF17">
        <v>1.87147</v>
      </c>
      <c r="EG17">
        <v>1.8639600000000001</v>
      </c>
      <c r="EH17">
        <v>1.8655299999999999</v>
      </c>
      <c r="EI17">
        <v>1.8654200000000001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-0.17599999999999999</v>
      </c>
      <c r="EX17">
        <v>0.10299999999999999</v>
      </c>
      <c r="EY17">
        <v>2</v>
      </c>
      <c r="EZ17">
        <v>350.17399999999998</v>
      </c>
      <c r="FA17">
        <v>492.23</v>
      </c>
      <c r="FB17">
        <v>17.959399999999999</v>
      </c>
      <c r="FC17">
        <v>34.160299999999999</v>
      </c>
      <c r="FD17">
        <v>30.001799999999999</v>
      </c>
      <c r="FE17">
        <v>33.930999999999997</v>
      </c>
      <c r="FF17">
        <v>33.896099999999997</v>
      </c>
      <c r="FG17">
        <v>22.479199999999999</v>
      </c>
      <c r="FH17">
        <v>21.5976</v>
      </c>
      <c r="FI17">
        <v>47.086399999999998</v>
      </c>
      <c r="FJ17">
        <v>17.9392</v>
      </c>
      <c r="FK17">
        <v>400</v>
      </c>
      <c r="FL17">
        <v>16.895</v>
      </c>
      <c r="FM17">
        <v>100.94499999999999</v>
      </c>
      <c r="FN17">
        <v>100.943</v>
      </c>
    </row>
    <row r="18" spans="1:170" x14ac:dyDescent="0.25">
      <c r="A18">
        <v>2</v>
      </c>
      <c r="B18">
        <v>1592245639.7</v>
      </c>
      <c r="C18">
        <v>126.5</v>
      </c>
      <c r="D18" t="s">
        <v>288</v>
      </c>
      <c r="E18" t="s">
        <v>289</v>
      </c>
      <c r="G18">
        <v>1592245631.7</v>
      </c>
      <c r="H18">
        <f t="shared" si="0"/>
        <v>3.7340753306103298E-3</v>
      </c>
      <c r="I18">
        <f t="shared" si="1"/>
        <v>18.915219289039545</v>
      </c>
      <c r="J18">
        <f t="shared" si="2"/>
        <v>291.99225806451602</v>
      </c>
      <c r="K18">
        <f t="shared" si="3"/>
        <v>140.21662349177811</v>
      </c>
      <c r="L18">
        <f t="shared" si="4"/>
        <v>14.074688870275372</v>
      </c>
      <c r="M18">
        <f t="shared" si="5"/>
        <v>29.309650185865433</v>
      </c>
      <c r="N18">
        <f t="shared" si="6"/>
        <v>0.21410915172464304</v>
      </c>
      <c r="O18">
        <f t="shared" si="7"/>
        <v>3.4071826782372687</v>
      </c>
      <c r="P18">
        <f t="shared" si="8"/>
        <v>0.20690541924771208</v>
      </c>
      <c r="Q18">
        <f t="shared" si="9"/>
        <v>0.12994292269443805</v>
      </c>
      <c r="R18">
        <f t="shared" si="10"/>
        <v>353.33984701729923</v>
      </c>
      <c r="S18">
        <f t="shared" si="11"/>
        <v>26.968110161327509</v>
      </c>
      <c r="T18">
        <f t="shared" si="12"/>
        <v>27.2082451612903</v>
      </c>
      <c r="U18">
        <f t="shared" si="13"/>
        <v>3.6231699033111759</v>
      </c>
      <c r="V18">
        <f t="shared" si="14"/>
        <v>55.150772840173886</v>
      </c>
      <c r="W18">
        <f t="shared" si="15"/>
        <v>1.8611072226251941</v>
      </c>
      <c r="X18">
        <f t="shared" si="16"/>
        <v>3.3745804941277155</v>
      </c>
      <c r="Y18">
        <f t="shared" si="17"/>
        <v>1.7620626806859818</v>
      </c>
      <c r="Z18">
        <f t="shared" si="18"/>
        <v>-164.67272207991553</v>
      </c>
      <c r="AA18">
        <f t="shared" si="19"/>
        <v>-221.64390549417902</v>
      </c>
      <c r="AB18">
        <f t="shared" si="20"/>
        <v>-13.98363906600108</v>
      </c>
      <c r="AC18">
        <f t="shared" si="21"/>
        <v>-46.960419622796422</v>
      </c>
      <c r="AD18">
        <v>-4.1559145663074198E-2</v>
      </c>
      <c r="AE18">
        <v>4.66537817879226E-2</v>
      </c>
      <c r="AF18">
        <v>3.4801116973137201</v>
      </c>
      <c r="AG18">
        <v>124</v>
      </c>
      <c r="AH18">
        <v>25</v>
      </c>
      <c r="AI18">
        <f t="shared" si="22"/>
        <v>1</v>
      </c>
      <c r="AJ18">
        <f t="shared" si="23"/>
        <v>0</v>
      </c>
      <c r="AK18">
        <f t="shared" si="24"/>
        <v>53170.509172266458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263.03776923076902</v>
      </c>
      <c r="AT18">
        <v>349.62599999999998</v>
      </c>
      <c r="AU18">
        <f t="shared" si="27"/>
        <v>0.24765958701364021</v>
      </c>
      <c r="AV18">
        <v>0.5</v>
      </c>
      <c r="AW18">
        <f t="shared" si="28"/>
        <v>1849.1961384187448</v>
      </c>
      <c r="AX18">
        <f t="shared" si="29"/>
        <v>18.915219289039545</v>
      </c>
      <c r="AY18">
        <f t="shared" si="30"/>
        <v>228.9855759740023</v>
      </c>
      <c r="AZ18">
        <f t="shared" si="31"/>
        <v>0.45684817490690044</v>
      </c>
      <c r="BA18">
        <f t="shared" si="32"/>
        <v>1.0769663031023377E-2</v>
      </c>
      <c r="BB18">
        <f t="shared" si="33"/>
        <v>-1</v>
      </c>
      <c r="BC18" t="s">
        <v>291</v>
      </c>
      <c r="BD18">
        <v>189.9</v>
      </c>
      <c r="BE18">
        <f t="shared" si="34"/>
        <v>159.72599999999997</v>
      </c>
      <c r="BF18">
        <f t="shared" si="35"/>
        <v>0.54210479677216594</v>
      </c>
      <c r="BG18">
        <f t="shared" si="36"/>
        <v>1.8411058451816744</v>
      </c>
      <c r="BH18">
        <f t="shared" si="37"/>
        <v>0.24765958701364019</v>
      </c>
      <c r="BI18" t="e">
        <f t="shared" si="38"/>
        <v>#DIV/0!</v>
      </c>
      <c r="BJ18">
        <v>3671</v>
      </c>
      <c r="BK18">
        <v>300</v>
      </c>
      <c r="BL18">
        <v>300</v>
      </c>
      <c r="BM18">
        <v>300</v>
      </c>
      <c r="BN18">
        <v>9880.6299999999992</v>
      </c>
      <c r="BO18">
        <v>325.01799999999997</v>
      </c>
      <c r="BP18">
        <v>-6.4078599999999996E-3</v>
      </c>
      <c r="BQ18">
        <v>0.18826300000000001</v>
      </c>
      <c r="BR18">
        <f t="shared" si="39"/>
        <v>2200.0129032258101</v>
      </c>
      <c r="BS18">
        <f t="shared" si="40"/>
        <v>1849.1961384187448</v>
      </c>
      <c r="BT18">
        <f t="shared" si="41"/>
        <v>0.8405387694350912</v>
      </c>
      <c r="BU18">
        <f t="shared" si="42"/>
        <v>0.19107753887018258</v>
      </c>
      <c r="BV18">
        <v>0.5</v>
      </c>
      <c r="BW18" t="s">
        <v>281</v>
      </c>
      <c r="BX18">
        <v>1592245631.7</v>
      </c>
      <c r="BY18">
        <v>291.99225806451602</v>
      </c>
      <c r="BZ18">
        <v>299.993516129032</v>
      </c>
      <c r="CA18">
        <v>18.540954838709698</v>
      </c>
      <c r="CB18">
        <v>17.075193548387102</v>
      </c>
      <c r="CC18">
        <v>500.05987096774197</v>
      </c>
      <c r="CD18">
        <v>100.178193548387</v>
      </c>
      <c r="CE18">
        <v>0.19998216129032301</v>
      </c>
      <c r="CF18">
        <v>26.001612903225801</v>
      </c>
      <c r="CG18">
        <v>27.2082451612903</v>
      </c>
      <c r="CH18">
        <v>999.9</v>
      </c>
      <c r="CI18">
        <v>10004.3629032258</v>
      </c>
      <c r="CJ18">
        <v>0</v>
      </c>
      <c r="CK18">
        <v>265.63119354838699</v>
      </c>
      <c r="CL18">
        <v>2200.0129032258101</v>
      </c>
      <c r="CM18">
        <v>0.98200129032258099</v>
      </c>
      <c r="CN18">
        <v>1.7999045161290299E-2</v>
      </c>
      <c r="CO18">
        <v>0</v>
      </c>
      <c r="CP18">
        <v>263.05245161290298</v>
      </c>
      <c r="CQ18">
        <v>5.00054</v>
      </c>
      <c r="CR18">
        <v>7538.8280645161303</v>
      </c>
      <c r="CS18">
        <v>20590.651612903199</v>
      </c>
      <c r="CT18">
        <v>50.133000000000003</v>
      </c>
      <c r="CU18">
        <v>50.545999999999999</v>
      </c>
      <c r="CV18">
        <v>50.401000000000003</v>
      </c>
      <c r="CW18">
        <v>49.076354838709698</v>
      </c>
      <c r="CX18">
        <v>51.221612903225797</v>
      </c>
      <c r="CY18">
        <v>2155.5029032258099</v>
      </c>
      <c r="CZ18">
        <v>39.51</v>
      </c>
      <c r="DA18">
        <v>0</v>
      </c>
      <c r="DB18">
        <v>125.90000009536701</v>
      </c>
      <c r="DC18">
        <v>263.03776923076902</v>
      </c>
      <c r="DD18">
        <v>-2.9357264948143902</v>
      </c>
      <c r="DE18">
        <v>-75.908376027212299</v>
      </c>
      <c r="DF18">
        <v>7538.4661538461496</v>
      </c>
      <c r="DG18">
        <v>15</v>
      </c>
      <c r="DH18">
        <v>1592245589.7</v>
      </c>
      <c r="DI18" t="s">
        <v>292</v>
      </c>
      <c r="DJ18">
        <v>30</v>
      </c>
      <c r="DK18">
        <v>-0.189</v>
      </c>
      <c r="DL18">
        <v>0.105</v>
      </c>
      <c r="DM18">
        <v>300</v>
      </c>
      <c r="DN18">
        <v>17</v>
      </c>
      <c r="DO18">
        <v>0.23</v>
      </c>
      <c r="DP18">
        <v>0.06</v>
      </c>
      <c r="DQ18">
        <v>-7.9945838461538496</v>
      </c>
      <c r="DR18">
        <v>-2.58393921284048E-2</v>
      </c>
      <c r="DS18">
        <v>3.7956944847157802E-2</v>
      </c>
      <c r="DT18">
        <v>1</v>
      </c>
      <c r="DU18">
        <v>1.4603465384615399</v>
      </c>
      <c r="DV18">
        <v>9.9985622812259506E-2</v>
      </c>
      <c r="DW18">
        <v>2.0726453172086001E-2</v>
      </c>
      <c r="DX18">
        <v>1</v>
      </c>
      <c r="DY18">
        <v>2</v>
      </c>
      <c r="DZ18">
        <v>2</v>
      </c>
      <c r="EA18" t="s">
        <v>283</v>
      </c>
      <c r="EB18">
        <v>1.8666499999999999</v>
      </c>
      <c r="EC18">
        <v>1.8632200000000001</v>
      </c>
      <c r="ED18">
        <v>1.86883</v>
      </c>
      <c r="EE18">
        <v>1.86676</v>
      </c>
      <c r="EF18">
        <v>1.87144</v>
      </c>
      <c r="EG18">
        <v>1.8638699999999999</v>
      </c>
      <c r="EH18">
        <v>1.86548</v>
      </c>
      <c r="EI18">
        <v>1.8653900000000001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-0.189</v>
      </c>
      <c r="EX18">
        <v>0.105</v>
      </c>
      <c r="EY18">
        <v>2</v>
      </c>
      <c r="EZ18">
        <v>356.94600000000003</v>
      </c>
      <c r="FA18">
        <v>490.87299999999999</v>
      </c>
      <c r="FB18">
        <v>17.540600000000001</v>
      </c>
      <c r="FC18">
        <v>34.569299999999998</v>
      </c>
      <c r="FD18">
        <v>30.0014</v>
      </c>
      <c r="FE18">
        <v>34.3125</v>
      </c>
      <c r="FF18">
        <v>34.268599999999999</v>
      </c>
      <c r="FG18">
        <v>17.948799999999999</v>
      </c>
      <c r="FH18">
        <v>18.847100000000001</v>
      </c>
      <c r="FI18">
        <v>47.086399999999998</v>
      </c>
      <c r="FJ18">
        <v>16.794899999999998</v>
      </c>
      <c r="FK18">
        <v>300</v>
      </c>
      <c r="FL18">
        <v>17.081099999999999</v>
      </c>
      <c r="FM18">
        <v>100.857</v>
      </c>
      <c r="FN18">
        <v>100.84099999999999</v>
      </c>
    </row>
    <row r="19" spans="1:170" x14ac:dyDescent="0.25">
      <c r="A19">
        <v>3</v>
      </c>
      <c r="B19">
        <v>1592245790.3</v>
      </c>
      <c r="C19">
        <v>277.09999990463302</v>
      </c>
      <c r="D19" t="s">
        <v>293</v>
      </c>
      <c r="E19" t="s">
        <v>294</v>
      </c>
      <c r="G19">
        <v>1592245782.2354801</v>
      </c>
      <c r="H19">
        <f t="shared" si="0"/>
        <v>5.2714934398488886E-3</v>
      </c>
      <c r="I19">
        <f t="shared" si="1"/>
        <v>11.972144768441153</v>
      </c>
      <c r="J19">
        <f t="shared" si="2"/>
        <v>194.853064516129</v>
      </c>
      <c r="K19">
        <f t="shared" si="3"/>
        <v>127.16249573713468</v>
      </c>
      <c r="L19">
        <f t="shared" si="4"/>
        <v>12.765044440413963</v>
      </c>
      <c r="M19">
        <f t="shared" si="5"/>
        <v>19.560075582669448</v>
      </c>
      <c r="N19">
        <f t="shared" si="6"/>
        <v>0.31639441730871432</v>
      </c>
      <c r="O19">
        <f t="shared" si="7"/>
        <v>3.4055649333580984</v>
      </c>
      <c r="P19">
        <f t="shared" si="8"/>
        <v>0.30092412291811466</v>
      </c>
      <c r="Q19">
        <f t="shared" si="9"/>
        <v>0.18940446884118806</v>
      </c>
      <c r="R19">
        <f t="shared" si="10"/>
        <v>353.34103114202611</v>
      </c>
      <c r="S19">
        <f t="shared" si="11"/>
        <v>26.323648893955262</v>
      </c>
      <c r="T19">
        <f t="shared" si="12"/>
        <v>26.903906451612901</v>
      </c>
      <c r="U19">
        <f t="shared" si="13"/>
        <v>3.5590092786878209</v>
      </c>
      <c r="V19">
        <f t="shared" si="14"/>
        <v>55.732410396493002</v>
      </c>
      <c r="W19">
        <f t="shared" si="15"/>
        <v>1.8478771288235591</v>
      </c>
      <c r="X19">
        <f t="shared" si="16"/>
        <v>3.3156239173531925</v>
      </c>
      <c r="Y19">
        <f t="shared" si="17"/>
        <v>1.7111321498642618</v>
      </c>
      <c r="Z19">
        <f t="shared" si="18"/>
        <v>-232.47286069733599</v>
      </c>
      <c r="AA19">
        <f t="shared" si="19"/>
        <v>-220.28840568620487</v>
      </c>
      <c r="AB19">
        <f t="shared" si="20"/>
        <v>-13.862864194736382</v>
      </c>
      <c r="AC19">
        <f t="shared" si="21"/>
        <v>-113.28309943625115</v>
      </c>
      <c r="AD19">
        <v>-4.1534046279881699E-2</v>
      </c>
      <c r="AE19">
        <v>4.6625605531462402E-2</v>
      </c>
      <c r="AF19">
        <v>3.4784499074147002</v>
      </c>
      <c r="AG19">
        <v>126</v>
      </c>
      <c r="AH19">
        <v>25</v>
      </c>
      <c r="AI19">
        <f t="shared" si="22"/>
        <v>1</v>
      </c>
      <c r="AJ19">
        <f t="shared" si="23"/>
        <v>0</v>
      </c>
      <c r="AK19">
        <f t="shared" si="24"/>
        <v>53192.760581533148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295</v>
      </c>
      <c r="AS19">
        <v>253.76907692307699</v>
      </c>
      <c r="AT19">
        <v>321.87700000000001</v>
      </c>
      <c r="AU19">
        <f t="shared" si="27"/>
        <v>0.21159611614661189</v>
      </c>
      <c r="AV19">
        <v>0.5</v>
      </c>
      <c r="AW19">
        <f t="shared" si="28"/>
        <v>1849.2023706768109</v>
      </c>
      <c r="AX19">
        <f t="shared" si="29"/>
        <v>11.972144768441153</v>
      </c>
      <c r="AY19">
        <f t="shared" si="30"/>
        <v>195.64201980216026</v>
      </c>
      <c r="AZ19">
        <f t="shared" si="31"/>
        <v>0.41362694445393738</v>
      </c>
      <c r="BA19">
        <f t="shared" si="32"/>
        <v>7.0149946669673191E-3</v>
      </c>
      <c r="BB19">
        <f t="shared" si="33"/>
        <v>-1</v>
      </c>
      <c r="BC19" t="s">
        <v>296</v>
      </c>
      <c r="BD19">
        <v>188.74</v>
      </c>
      <c r="BE19">
        <f t="shared" si="34"/>
        <v>133.137</v>
      </c>
      <c r="BF19">
        <f t="shared" si="35"/>
        <v>0.51156269915142305</v>
      </c>
      <c r="BG19">
        <f t="shared" si="36"/>
        <v>1.7053989615343859</v>
      </c>
      <c r="BH19">
        <f t="shared" si="37"/>
        <v>0.21159611614661195</v>
      </c>
      <c r="BI19" t="e">
        <f t="shared" si="38"/>
        <v>#DIV/0!</v>
      </c>
      <c r="BJ19">
        <v>3673</v>
      </c>
      <c r="BK19">
        <v>300</v>
      </c>
      <c r="BL19">
        <v>300</v>
      </c>
      <c r="BM19">
        <v>300</v>
      </c>
      <c r="BN19">
        <v>9880.2199999999993</v>
      </c>
      <c r="BO19">
        <v>304.63</v>
      </c>
      <c r="BP19">
        <v>-6.4075199999999999E-3</v>
      </c>
      <c r="BQ19">
        <v>0.77572600000000003</v>
      </c>
      <c r="BR19">
        <f t="shared" si="39"/>
        <v>2200.0203225806499</v>
      </c>
      <c r="BS19">
        <f t="shared" si="40"/>
        <v>1849.2023706768109</v>
      </c>
      <c r="BT19">
        <f t="shared" si="41"/>
        <v>0.84053876761814394</v>
      </c>
      <c r="BU19">
        <f t="shared" si="42"/>
        <v>0.19107753523628826</v>
      </c>
      <c r="BV19">
        <v>0.5</v>
      </c>
      <c r="BW19" t="s">
        <v>281</v>
      </c>
      <c r="BX19">
        <v>1592245782.2354801</v>
      </c>
      <c r="BY19">
        <v>194.853064516129</v>
      </c>
      <c r="BZ19">
        <v>200.05209677419401</v>
      </c>
      <c r="CA19">
        <v>18.408135483871</v>
      </c>
      <c r="CB19">
        <v>16.338629032258101</v>
      </c>
      <c r="CC19">
        <v>500.06658064516103</v>
      </c>
      <c r="CD19">
        <v>100.183709677419</v>
      </c>
      <c r="CE19">
        <v>0.200010903225807</v>
      </c>
      <c r="CF19">
        <v>25.7040838709677</v>
      </c>
      <c r="CG19">
        <v>26.903906451612901</v>
      </c>
      <c r="CH19">
        <v>999.9</v>
      </c>
      <c r="CI19">
        <v>9997.7703225806508</v>
      </c>
      <c r="CJ19">
        <v>0</v>
      </c>
      <c r="CK19">
        <v>265.07980645161302</v>
      </c>
      <c r="CL19">
        <v>2200.0203225806499</v>
      </c>
      <c r="CM19">
        <v>0.98200232258064502</v>
      </c>
      <c r="CN19">
        <v>1.7997961290322599E-2</v>
      </c>
      <c r="CO19">
        <v>0</v>
      </c>
      <c r="CP19">
        <v>253.800193548387</v>
      </c>
      <c r="CQ19">
        <v>5.00054</v>
      </c>
      <c r="CR19">
        <v>7344.5693548387098</v>
      </c>
      <c r="CS19">
        <v>20590.7096774194</v>
      </c>
      <c r="CT19">
        <v>50.084419354838701</v>
      </c>
      <c r="CU19">
        <v>50.140999999999998</v>
      </c>
      <c r="CV19">
        <v>50.195129032258002</v>
      </c>
      <c r="CW19">
        <v>49.058096774193501</v>
      </c>
      <c r="CX19">
        <v>51.116870967741903</v>
      </c>
      <c r="CY19">
        <v>2155.5103225806401</v>
      </c>
      <c r="CZ19">
        <v>39.51</v>
      </c>
      <c r="DA19">
        <v>0</v>
      </c>
      <c r="DB19">
        <v>150</v>
      </c>
      <c r="DC19">
        <v>253.76907692307699</v>
      </c>
      <c r="DD19">
        <v>-1.2361025691613701</v>
      </c>
      <c r="DE19">
        <v>-36.782222188146498</v>
      </c>
      <c r="DF19">
        <v>7344.1307692307701</v>
      </c>
      <c r="DG19">
        <v>15</v>
      </c>
      <c r="DH19">
        <v>1592245813.2</v>
      </c>
      <c r="DI19" t="s">
        <v>297</v>
      </c>
      <c r="DJ19">
        <v>31</v>
      </c>
      <c r="DK19">
        <v>-0.21099999999999999</v>
      </c>
      <c r="DL19">
        <v>9.2999999999999999E-2</v>
      </c>
      <c r="DM19">
        <v>200</v>
      </c>
      <c r="DN19">
        <v>16</v>
      </c>
      <c r="DO19">
        <v>0.62</v>
      </c>
      <c r="DP19">
        <v>0.04</v>
      </c>
      <c r="DQ19">
        <v>-5.1270215384615403</v>
      </c>
      <c r="DR19">
        <v>-0.46936260872656499</v>
      </c>
      <c r="DS19">
        <v>7.7146400518868993E-2</v>
      </c>
      <c r="DT19">
        <v>1</v>
      </c>
      <c r="DU19">
        <v>1.9805482692307701</v>
      </c>
      <c r="DV19">
        <v>1.1303387007475401</v>
      </c>
      <c r="DW19">
        <v>0.14380488989119899</v>
      </c>
      <c r="DX19">
        <v>0</v>
      </c>
      <c r="DY19">
        <v>1</v>
      </c>
      <c r="DZ19">
        <v>2</v>
      </c>
      <c r="EA19" t="s">
        <v>298</v>
      </c>
      <c r="EB19">
        <v>1.8667499999999999</v>
      </c>
      <c r="EC19">
        <v>1.8632500000000001</v>
      </c>
      <c r="ED19">
        <v>1.8689</v>
      </c>
      <c r="EE19">
        <v>1.86683</v>
      </c>
      <c r="EF19">
        <v>1.8714900000000001</v>
      </c>
      <c r="EG19">
        <v>1.8640000000000001</v>
      </c>
      <c r="EH19">
        <v>1.86554</v>
      </c>
      <c r="EI19">
        <v>1.8654500000000001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-0.21099999999999999</v>
      </c>
      <c r="EX19">
        <v>9.2999999999999999E-2</v>
      </c>
      <c r="EY19">
        <v>2</v>
      </c>
      <c r="EZ19">
        <v>354.84899999999999</v>
      </c>
      <c r="FA19">
        <v>484.46100000000001</v>
      </c>
      <c r="FB19">
        <v>18.064599999999999</v>
      </c>
      <c r="FC19">
        <v>34.955500000000001</v>
      </c>
      <c r="FD19">
        <v>30.001000000000001</v>
      </c>
      <c r="FE19">
        <v>34.695799999999998</v>
      </c>
      <c r="FF19">
        <v>34.646500000000003</v>
      </c>
      <c r="FG19">
        <v>13.2051</v>
      </c>
      <c r="FH19">
        <v>22.9495</v>
      </c>
      <c r="FI19">
        <v>47.086399999999998</v>
      </c>
      <c r="FJ19">
        <v>18.0928</v>
      </c>
      <c r="FK19">
        <v>200</v>
      </c>
      <c r="FL19">
        <v>16.038599999999999</v>
      </c>
      <c r="FM19">
        <v>100.783</v>
      </c>
      <c r="FN19">
        <v>100.765</v>
      </c>
    </row>
    <row r="20" spans="1:170" x14ac:dyDescent="0.25">
      <c r="A20">
        <v>4</v>
      </c>
      <c r="B20">
        <v>1592245964.7</v>
      </c>
      <c r="C20">
        <v>451.5</v>
      </c>
      <c r="D20" t="s">
        <v>299</v>
      </c>
      <c r="E20" t="s">
        <v>300</v>
      </c>
      <c r="G20">
        <v>1592245956.7451601</v>
      </c>
      <c r="H20">
        <f t="shared" si="0"/>
        <v>5.0824634144094058E-3</v>
      </c>
      <c r="I20">
        <f t="shared" si="1"/>
        <v>4.4975308442034256</v>
      </c>
      <c r="J20">
        <f t="shared" si="2"/>
        <v>98.008493548387094</v>
      </c>
      <c r="K20">
        <f t="shared" si="3"/>
        <v>70.637548488916295</v>
      </c>
      <c r="L20">
        <f t="shared" si="4"/>
        <v>7.090850204817742</v>
      </c>
      <c r="M20">
        <f t="shared" si="5"/>
        <v>9.8384437373347584</v>
      </c>
      <c r="N20">
        <f t="shared" si="6"/>
        <v>0.29998493146524247</v>
      </c>
      <c r="O20">
        <f t="shared" si="7"/>
        <v>3.4064073950730887</v>
      </c>
      <c r="P20">
        <f t="shared" si="8"/>
        <v>0.28604300492877288</v>
      </c>
      <c r="Q20">
        <f t="shared" si="9"/>
        <v>0.17997549967017618</v>
      </c>
      <c r="R20">
        <f t="shared" si="10"/>
        <v>353.33839686658285</v>
      </c>
      <c r="S20">
        <f t="shared" si="11"/>
        <v>26.648637176877632</v>
      </c>
      <c r="T20">
        <f t="shared" si="12"/>
        <v>27.0937387096774</v>
      </c>
      <c r="U20">
        <f t="shared" si="13"/>
        <v>3.5989121938052908</v>
      </c>
      <c r="V20">
        <f t="shared" si="14"/>
        <v>55.279890865027568</v>
      </c>
      <c r="W20">
        <f t="shared" si="15"/>
        <v>1.8638100024978428</v>
      </c>
      <c r="X20">
        <f t="shared" si="16"/>
        <v>3.3715877027481054</v>
      </c>
      <c r="Y20">
        <f t="shared" si="17"/>
        <v>1.735102191307448</v>
      </c>
      <c r="Z20">
        <f t="shared" si="18"/>
        <v>-224.13663657545479</v>
      </c>
      <c r="AA20">
        <f t="shared" si="19"/>
        <v>-203.31830174669423</v>
      </c>
      <c r="AB20">
        <f t="shared" si="20"/>
        <v>-12.822060823739692</v>
      </c>
      <c r="AC20">
        <f t="shared" si="21"/>
        <v>-86.938602279305883</v>
      </c>
      <c r="AD20">
        <v>-4.1547116434289599E-2</v>
      </c>
      <c r="AE20">
        <v>4.6640277924793597E-2</v>
      </c>
      <c r="AF20">
        <v>3.47931530496066</v>
      </c>
      <c r="AG20">
        <v>138</v>
      </c>
      <c r="AH20">
        <v>28</v>
      </c>
      <c r="AI20">
        <f t="shared" si="22"/>
        <v>1</v>
      </c>
      <c r="AJ20">
        <f t="shared" si="23"/>
        <v>0</v>
      </c>
      <c r="AK20">
        <f t="shared" si="24"/>
        <v>53158.531648227945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301</v>
      </c>
      <c r="AS20">
        <v>250.42976923076901</v>
      </c>
      <c r="AT20">
        <v>306.30399999999997</v>
      </c>
      <c r="AU20">
        <f t="shared" si="27"/>
        <v>0.18241430333665565</v>
      </c>
      <c r="AV20">
        <v>0.5</v>
      </c>
      <c r="AW20">
        <f t="shared" si="28"/>
        <v>1849.1892771284417</v>
      </c>
      <c r="AX20">
        <f t="shared" si="29"/>
        <v>4.4975308442034256</v>
      </c>
      <c r="AY20">
        <f t="shared" si="30"/>
        <v>168.65928686249927</v>
      </c>
      <c r="AZ20">
        <f t="shared" si="31"/>
        <v>0.3701029043042206</v>
      </c>
      <c r="BA20">
        <f t="shared" si="32"/>
        <v>2.9729411219279831E-3</v>
      </c>
      <c r="BB20">
        <f t="shared" si="33"/>
        <v>-1</v>
      </c>
      <c r="BC20" t="s">
        <v>302</v>
      </c>
      <c r="BD20">
        <v>192.94</v>
      </c>
      <c r="BE20">
        <f t="shared" si="34"/>
        <v>113.36399999999998</v>
      </c>
      <c r="BF20">
        <f t="shared" si="35"/>
        <v>0.49287455249665657</v>
      </c>
      <c r="BG20">
        <f t="shared" si="36"/>
        <v>1.5875608997615838</v>
      </c>
      <c r="BH20">
        <f t="shared" si="37"/>
        <v>0.18241430333665562</v>
      </c>
      <c r="BI20" t="e">
        <f t="shared" si="38"/>
        <v>#DIV/0!</v>
      </c>
      <c r="BJ20">
        <v>3675</v>
      </c>
      <c r="BK20">
        <v>300</v>
      </c>
      <c r="BL20">
        <v>300</v>
      </c>
      <c r="BM20">
        <v>300</v>
      </c>
      <c r="BN20">
        <v>9880.23</v>
      </c>
      <c r="BO20">
        <v>291.24299999999999</v>
      </c>
      <c r="BP20">
        <v>-6.4075299999999998E-3</v>
      </c>
      <c r="BQ20">
        <v>0.25811800000000001</v>
      </c>
      <c r="BR20">
        <f t="shared" si="39"/>
        <v>2200.0048387096799</v>
      </c>
      <c r="BS20">
        <f t="shared" si="40"/>
        <v>1849.1892771284417</v>
      </c>
      <c r="BT20">
        <f t="shared" si="41"/>
        <v>0.84053873182070171</v>
      </c>
      <c r="BU20">
        <f t="shared" si="42"/>
        <v>0.19107746364140341</v>
      </c>
      <c r="BV20">
        <v>0.5</v>
      </c>
      <c r="BW20" t="s">
        <v>281</v>
      </c>
      <c r="BX20">
        <v>1592245956.7451601</v>
      </c>
      <c r="BY20">
        <v>98.008493548387094</v>
      </c>
      <c r="BZ20">
        <v>100.00647741935499</v>
      </c>
      <c r="CA20">
        <v>18.566880645161302</v>
      </c>
      <c r="CB20">
        <v>16.571919354838698</v>
      </c>
      <c r="CC20">
        <v>500.06964516129</v>
      </c>
      <c r="CD20">
        <v>100.183580645161</v>
      </c>
      <c r="CE20">
        <v>0.20000225806451599</v>
      </c>
      <c r="CF20">
        <v>25.986619354838702</v>
      </c>
      <c r="CG20">
        <v>27.0937387096774</v>
      </c>
      <c r="CH20">
        <v>999.9</v>
      </c>
      <c r="CI20">
        <v>10000.9293548387</v>
      </c>
      <c r="CJ20">
        <v>0</v>
      </c>
      <c r="CK20">
        <v>262.37816129032302</v>
      </c>
      <c r="CL20">
        <v>2200.0048387096799</v>
      </c>
      <c r="CM20">
        <v>0.98200232258064502</v>
      </c>
      <c r="CN20">
        <v>1.7997961290322599E-2</v>
      </c>
      <c r="CO20">
        <v>0</v>
      </c>
      <c r="CP20">
        <v>250.421258064516</v>
      </c>
      <c r="CQ20">
        <v>5.00054</v>
      </c>
      <c r="CR20">
        <v>7297.6683870967699</v>
      </c>
      <c r="CS20">
        <v>20590.583870967701</v>
      </c>
      <c r="CT20">
        <v>50.120870967741901</v>
      </c>
      <c r="CU20">
        <v>50.139000000000003</v>
      </c>
      <c r="CV20">
        <v>50.252000000000002</v>
      </c>
      <c r="CW20">
        <v>49.042000000000002</v>
      </c>
      <c r="CX20">
        <v>51.203258064516099</v>
      </c>
      <c r="CY20">
        <v>2155.49774193548</v>
      </c>
      <c r="CZ20">
        <v>39.507096774193499</v>
      </c>
      <c r="DA20">
        <v>0</v>
      </c>
      <c r="DB20">
        <v>173.59999990463299</v>
      </c>
      <c r="DC20">
        <v>250.42976923076901</v>
      </c>
      <c r="DD20">
        <v>-0.458461531687816</v>
      </c>
      <c r="DE20">
        <v>-35.7145300263481</v>
      </c>
      <c r="DF20">
        <v>7297.3965384615403</v>
      </c>
      <c r="DG20">
        <v>15</v>
      </c>
      <c r="DH20">
        <v>1592245897.8</v>
      </c>
      <c r="DI20" t="s">
        <v>303</v>
      </c>
      <c r="DJ20">
        <v>32</v>
      </c>
      <c r="DK20">
        <v>-0.2</v>
      </c>
      <c r="DL20">
        <v>0.106</v>
      </c>
      <c r="DM20">
        <v>100</v>
      </c>
      <c r="DN20">
        <v>17</v>
      </c>
      <c r="DO20">
        <v>0.3</v>
      </c>
      <c r="DP20">
        <v>0.05</v>
      </c>
      <c r="DQ20">
        <v>-1.98487884615385</v>
      </c>
      <c r="DR20">
        <v>-0.103421760207882</v>
      </c>
      <c r="DS20">
        <v>5.8765221781052902E-2</v>
      </c>
      <c r="DT20">
        <v>1</v>
      </c>
      <c r="DU20">
        <v>1.96327096153846</v>
      </c>
      <c r="DV20">
        <v>0.29213090655429902</v>
      </c>
      <c r="DW20">
        <v>3.9506734638131598E-2</v>
      </c>
      <c r="DX20">
        <v>0</v>
      </c>
      <c r="DY20">
        <v>1</v>
      </c>
      <c r="DZ20">
        <v>2</v>
      </c>
      <c r="EA20" t="s">
        <v>298</v>
      </c>
      <c r="EB20">
        <v>1.8666400000000001</v>
      </c>
      <c r="EC20">
        <v>1.8632299999999999</v>
      </c>
      <c r="ED20">
        <v>1.8688</v>
      </c>
      <c r="EE20">
        <v>1.86676</v>
      </c>
      <c r="EF20">
        <v>1.8714599999999999</v>
      </c>
      <c r="EG20">
        <v>1.8638600000000001</v>
      </c>
      <c r="EH20">
        <v>1.8654900000000001</v>
      </c>
      <c r="EI20">
        <v>1.8653900000000001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-0.2</v>
      </c>
      <c r="EX20">
        <v>0.106</v>
      </c>
      <c r="EY20">
        <v>2</v>
      </c>
      <c r="EZ20">
        <v>342.63400000000001</v>
      </c>
      <c r="FA20">
        <v>488.04</v>
      </c>
      <c r="FB20">
        <v>17.5642</v>
      </c>
      <c r="FC20">
        <v>35.287599999999998</v>
      </c>
      <c r="FD20">
        <v>30.001000000000001</v>
      </c>
      <c r="FE20">
        <v>35.0762</v>
      </c>
      <c r="FF20">
        <v>35.033499999999997</v>
      </c>
      <c r="FG20">
        <v>8.3064099999999996</v>
      </c>
      <c r="FH20">
        <v>18.658999999999999</v>
      </c>
      <c r="FI20">
        <v>47.793999999999997</v>
      </c>
      <c r="FJ20">
        <v>16.8124</v>
      </c>
      <c r="FK20">
        <v>100</v>
      </c>
      <c r="FL20">
        <v>16.495799999999999</v>
      </c>
      <c r="FM20">
        <v>100.717</v>
      </c>
      <c r="FN20">
        <v>100.699</v>
      </c>
    </row>
    <row r="21" spans="1:170" x14ac:dyDescent="0.25">
      <c r="A21">
        <v>5</v>
      </c>
      <c r="B21">
        <v>1592246085.2</v>
      </c>
      <c r="C21">
        <v>572</v>
      </c>
      <c r="D21" t="s">
        <v>304</v>
      </c>
      <c r="E21" t="s">
        <v>305</v>
      </c>
      <c r="G21">
        <v>1592246077.2806499</v>
      </c>
      <c r="H21">
        <f t="shared" si="0"/>
        <v>5.5027169500137477E-3</v>
      </c>
      <c r="I21">
        <f t="shared" si="1"/>
        <v>0.30903530490138903</v>
      </c>
      <c r="J21">
        <f t="shared" si="2"/>
        <v>49.788241935483903</v>
      </c>
      <c r="K21">
        <f t="shared" si="3"/>
        <v>46.843973754961326</v>
      </c>
      <c r="L21">
        <f t="shared" si="4"/>
        <v>4.7024833849674534</v>
      </c>
      <c r="M21">
        <f t="shared" si="5"/>
        <v>4.998046956756224</v>
      </c>
      <c r="N21">
        <f t="shared" si="6"/>
        <v>0.32662389252368046</v>
      </c>
      <c r="O21">
        <f t="shared" si="7"/>
        <v>3.4054579400823828</v>
      </c>
      <c r="P21">
        <f t="shared" si="8"/>
        <v>0.31016453701294922</v>
      </c>
      <c r="Q21">
        <f t="shared" si="9"/>
        <v>0.19526250166448789</v>
      </c>
      <c r="R21">
        <f t="shared" si="10"/>
        <v>353.33852623376771</v>
      </c>
      <c r="S21">
        <f t="shared" si="11"/>
        <v>26.591985674335422</v>
      </c>
      <c r="T21">
        <f t="shared" si="12"/>
        <v>27.074903225806398</v>
      </c>
      <c r="U21">
        <f t="shared" si="13"/>
        <v>3.5949355836394714</v>
      </c>
      <c r="V21">
        <f t="shared" si="14"/>
        <v>55.11247181577923</v>
      </c>
      <c r="W21">
        <f t="shared" si="15"/>
        <v>1.8623672830252509</v>
      </c>
      <c r="X21">
        <f t="shared" si="16"/>
        <v>3.3792120397910321</v>
      </c>
      <c r="Y21">
        <f t="shared" si="17"/>
        <v>1.7325683006142205</v>
      </c>
      <c r="Z21">
        <f t="shared" si="18"/>
        <v>-242.66981749560628</v>
      </c>
      <c r="AA21">
        <f t="shared" si="19"/>
        <v>-192.7949371201195</v>
      </c>
      <c r="AB21">
        <f t="shared" si="20"/>
        <v>-12.162979047716629</v>
      </c>
      <c r="AC21">
        <f t="shared" si="21"/>
        <v>-94.289207429674718</v>
      </c>
      <c r="AD21">
        <v>-4.1532386465533901E-2</v>
      </c>
      <c r="AE21">
        <v>4.6623742244449297E-2</v>
      </c>
      <c r="AF21">
        <v>3.4783400014556198</v>
      </c>
      <c r="AG21">
        <v>143</v>
      </c>
      <c r="AH21">
        <v>29</v>
      </c>
      <c r="AI21">
        <f t="shared" si="22"/>
        <v>1</v>
      </c>
      <c r="AJ21">
        <f t="shared" si="23"/>
        <v>0</v>
      </c>
      <c r="AK21">
        <f t="shared" si="24"/>
        <v>53133.725230207099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306</v>
      </c>
      <c r="AS21">
        <v>249.764538461538</v>
      </c>
      <c r="AT21">
        <v>298.46800000000002</v>
      </c>
      <c r="AU21">
        <f t="shared" si="27"/>
        <v>0.16317816830769805</v>
      </c>
      <c r="AV21">
        <v>0.5</v>
      </c>
      <c r="AW21">
        <f t="shared" si="28"/>
        <v>1849.1891027610668</v>
      </c>
      <c r="AX21">
        <f t="shared" si="29"/>
        <v>0.30903530490138903</v>
      </c>
      <c r="AY21">
        <f t="shared" si="30"/>
        <v>150.87364532155325</v>
      </c>
      <c r="AZ21">
        <f t="shared" si="31"/>
        <v>0.33848854818607027</v>
      </c>
      <c r="BA21">
        <f t="shared" si="32"/>
        <v>7.0789693868887626E-4</v>
      </c>
      <c r="BB21">
        <f t="shared" si="33"/>
        <v>-1</v>
      </c>
      <c r="BC21" t="s">
        <v>307</v>
      </c>
      <c r="BD21">
        <v>197.44</v>
      </c>
      <c r="BE21">
        <f t="shared" si="34"/>
        <v>101.02800000000002</v>
      </c>
      <c r="BF21">
        <f t="shared" si="35"/>
        <v>0.48207884485946484</v>
      </c>
      <c r="BG21">
        <f t="shared" si="36"/>
        <v>1.5116896272285252</v>
      </c>
      <c r="BH21">
        <f t="shared" si="37"/>
        <v>0.16317816830769805</v>
      </c>
      <c r="BI21" t="e">
        <f t="shared" si="38"/>
        <v>#DIV/0!</v>
      </c>
      <c r="BJ21">
        <v>3677</v>
      </c>
      <c r="BK21">
        <v>300</v>
      </c>
      <c r="BL21">
        <v>300</v>
      </c>
      <c r="BM21">
        <v>300</v>
      </c>
      <c r="BN21">
        <v>9881.2900000000009</v>
      </c>
      <c r="BO21">
        <v>284.92700000000002</v>
      </c>
      <c r="BP21">
        <v>-6.40823E-3</v>
      </c>
      <c r="BQ21">
        <v>0.72378500000000001</v>
      </c>
      <c r="BR21">
        <f t="shared" si="39"/>
        <v>2200.00451612903</v>
      </c>
      <c r="BS21">
        <f t="shared" si="40"/>
        <v>1849.1891027610668</v>
      </c>
      <c r="BT21">
        <f t="shared" si="41"/>
        <v>0.84053877580886394</v>
      </c>
      <c r="BU21">
        <f t="shared" si="42"/>
        <v>0.19107755161772791</v>
      </c>
      <c r="BV21">
        <v>0.5</v>
      </c>
      <c r="BW21" t="s">
        <v>281</v>
      </c>
      <c r="BX21">
        <v>1592246077.2806499</v>
      </c>
      <c r="BY21">
        <v>49.788241935483903</v>
      </c>
      <c r="BZ21">
        <v>50.021412903225801</v>
      </c>
      <c r="CA21">
        <v>18.552045161290302</v>
      </c>
      <c r="CB21">
        <v>16.392083870967699</v>
      </c>
      <c r="CC21">
        <v>500.067322580645</v>
      </c>
      <c r="CD21">
        <v>100.186096774194</v>
      </c>
      <c r="CE21">
        <v>0.19999364516129001</v>
      </c>
      <c r="CF21">
        <v>26.024793548387098</v>
      </c>
      <c r="CG21">
        <v>27.074903225806398</v>
      </c>
      <c r="CH21">
        <v>999.9</v>
      </c>
      <c r="CI21">
        <v>9997.1325806451605</v>
      </c>
      <c r="CJ21">
        <v>0</v>
      </c>
      <c r="CK21">
        <v>1845.03548387097</v>
      </c>
      <c r="CL21">
        <v>2200.00451612903</v>
      </c>
      <c r="CM21">
        <v>0.98200025806451596</v>
      </c>
      <c r="CN21">
        <v>1.8000129032258099E-2</v>
      </c>
      <c r="CO21">
        <v>0</v>
      </c>
      <c r="CP21">
        <v>249.77941935483901</v>
      </c>
      <c r="CQ21">
        <v>5.00054</v>
      </c>
      <c r="CR21">
        <v>7306.0774193548395</v>
      </c>
      <c r="CS21">
        <v>20590.5741935484</v>
      </c>
      <c r="CT21">
        <v>50.046064516129</v>
      </c>
      <c r="CU21">
        <v>50.187064516128999</v>
      </c>
      <c r="CV21">
        <v>50.187064516128999</v>
      </c>
      <c r="CW21">
        <v>48.715451612903202</v>
      </c>
      <c r="CX21">
        <v>51.128999999999998</v>
      </c>
      <c r="CY21">
        <v>2155.4945161290302</v>
      </c>
      <c r="CZ21">
        <v>39.510322580645202</v>
      </c>
      <c r="DA21">
        <v>0</v>
      </c>
      <c r="DB21">
        <v>119.799999952316</v>
      </c>
      <c r="DC21">
        <v>249.764538461538</v>
      </c>
      <c r="DD21">
        <v>-0.92492308013267599</v>
      </c>
      <c r="DE21">
        <v>-61.492649855266301</v>
      </c>
      <c r="DF21">
        <v>7306.9638461538498</v>
      </c>
      <c r="DG21">
        <v>15</v>
      </c>
      <c r="DH21">
        <v>1592246027.7</v>
      </c>
      <c r="DI21" t="s">
        <v>308</v>
      </c>
      <c r="DJ21">
        <v>33</v>
      </c>
      <c r="DK21">
        <v>-0.20699999999999999</v>
      </c>
      <c r="DL21">
        <v>0.10100000000000001</v>
      </c>
      <c r="DM21">
        <v>50</v>
      </c>
      <c r="DN21">
        <v>16</v>
      </c>
      <c r="DO21">
        <v>0.27</v>
      </c>
      <c r="DP21">
        <v>0.04</v>
      </c>
      <c r="DQ21">
        <v>-0.22786763461538501</v>
      </c>
      <c r="DR21">
        <v>-7.1233960610218E-2</v>
      </c>
      <c r="DS21">
        <v>3.7712685176123702E-2</v>
      </c>
      <c r="DT21">
        <v>1</v>
      </c>
      <c r="DU21">
        <v>2.1534551923076899</v>
      </c>
      <c r="DV21">
        <v>7.7793884361650203E-2</v>
      </c>
      <c r="DW21">
        <v>1.3660492232710399E-2</v>
      </c>
      <c r="DX21">
        <v>1</v>
      </c>
      <c r="DY21">
        <v>2</v>
      </c>
      <c r="DZ21">
        <v>2</v>
      </c>
      <c r="EA21" t="s">
        <v>283</v>
      </c>
      <c r="EB21">
        <v>1.8666400000000001</v>
      </c>
      <c r="EC21">
        <v>1.8632200000000001</v>
      </c>
      <c r="ED21">
        <v>1.86883</v>
      </c>
      <c r="EE21">
        <v>1.86676</v>
      </c>
      <c r="EF21">
        <v>1.8714500000000001</v>
      </c>
      <c r="EG21">
        <v>1.86388</v>
      </c>
      <c r="EH21">
        <v>1.8654599999999999</v>
      </c>
      <c r="EI21">
        <v>1.8653900000000001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-0.20699999999999999</v>
      </c>
      <c r="EX21">
        <v>0.10100000000000001</v>
      </c>
      <c r="EY21">
        <v>2</v>
      </c>
      <c r="EZ21">
        <v>338.108</v>
      </c>
      <c r="FA21">
        <v>487.75400000000002</v>
      </c>
      <c r="FB21">
        <v>17.533999999999999</v>
      </c>
      <c r="FC21">
        <v>35.5075</v>
      </c>
      <c r="FD21">
        <v>30.0002</v>
      </c>
      <c r="FE21">
        <v>35.296500000000002</v>
      </c>
      <c r="FF21">
        <v>35.252499999999998</v>
      </c>
      <c r="FG21">
        <v>5.82552</v>
      </c>
      <c r="FH21">
        <v>19.4788</v>
      </c>
      <c r="FI21">
        <v>47.883099999999999</v>
      </c>
      <c r="FJ21">
        <v>16.795000000000002</v>
      </c>
      <c r="FK21">
        <v>50</v>
      </c>
      <c r="FL21">
        <v>16.351800000000001</v>
      </c>
      <c r="FM21">
        <v>100.687</v>
      </c>
      <c r="FN21">
        <v>100.672</v>
      </c>
    </row>
    <row r="22" spans="1:170" x14ac:dyDescent="0.25">
      <c r="A22">
        <v>6</v>
      </c>
      <c r="B22">
        <v>1592246218.8</v>
      </c>
      <c r="C22">
        <v>705.59999990463302</v>
      </c>
      <c r="D22" t="s">
        <v>309</v>
      </c>
      <c r="E22" t="s">
        <v>310</v>
      </c>
      <c r="G22">
        <v>1592246210.8</v>
      </c>
      <c r="H22">
        <f t="shared" si="0"/>
        <v>5.1654726044145843E-3</v>
      </c>
      <c r="I22">
        <f t="shared" si="1"/>
        <v>29.753473849935048</v>
      </c>
      <c r="J22">
        <f t="shared" si="2"/>
        <v>387.306451612903</v>
      </c>
      <c r="K22">
        <f t="shared" si="3"/>
        <v>216.24442234876477</v>
      </c>
      <c r="L22">
        <f t="shared" si="4"/>
        <v>21.708141563819481</v>
      </c>
      <c r="M22">
        <f t="shared" si="5"/>
        <v>38.880555571663855</v>
      </c>
      <c r="N22">
        <f t="shared" si="6"/>
        <v>0.30531909037306199</v>
      </c>
      <c r="O22">
        <f t="shared" si="7"/>
        <v>3.4067331235302718</v>
      </c>
      <c r="P22">
        <f t="shared" si="8"/>
        <v>0.29089106467560655</v>
      </c>
      <c r="Q22">
        <f t="shared" si="9"/>
        <v>0.18304638812623483</v>
      </c>
      <c r="R22">
        <f t="shared" si="10"/>
        <v>353.33917772940964</v>
      </c>
      <c r="S22">
        <f t="shared" si="11"/>
        <v>26.749322583782341</v>
      </c>
      <c r="T22">
        <f t="shared" si="12"/>
        <v>27.0425838709677</v>
      </c>
      <c r="U22">
        <f t="shared" si="13"/>
        <v>3.5881211499288401</v>
      </c>
      <c r="V22">
        <f t="shared" si="14"/>
        <v>54.596283897721619</v>
      </c>
      <c r="W22">
        <f t="shared" si="15"/>
        <v>1.8538241772326416</v>
      </c>
      <c r="X22">
        <f t="shared" si="16"/>
        <v>3.39551347616537</v>
      </c>
      <c r="Y22">
        <f t="shared" si="17"/>
        <v>1.7342969726961985</v>
      </c>
      <c r="Z22">
        <f t="shared" si="18"/>
        <v>-227.79734185468317</v>
      </c>
      <c r="AA22">
        <f t="shared" si="19"/>
        <v>-171.98692596725621</v>
      </c>
      <c r="AB22">
        <f t="shared" si="20"/>
        <v>-10.84884651187012</v>
      </c>
      <c r="AC22">
        <f t="shared" si="21"/>
        <v>-57.293936604399875</v>
      </c>
      <c r="AD22">
        <v>-4.1552170258167501E-2</v>
      </c>
      <c r="AE22">
        <v>4.6645951284835799E-2</v>
      </c>
      <c r="AF22">
        <v>3.4796499019932701</v>
      </c>
      <c r="AG22">
        <v>144</v>
      </c>
      <c r="AH22">
        <v>29</v>
      </c>
      <c r="AI22">
        <f t="shared" si="22"/>
        <v>1</v>
      </c>
      <c r="AJ22">
        <f t="shared" si="23"/>
        <v>0</v>
      </c>
      <c r="AK22">
        <f t="shared" si="24"/>
        <v>53143.560942789678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311</v>
      </c>
      <c r="AS22">
        <v>254.36584615384601</v>
      </c>
      <c r="AT22">
        <v>349.089</v>
      </c>
      <c r="AU22">
        <f t="shared" si="27"/>
        <v>0.27134385170015096</v>
      </c>
      <c r="AV22">
        <v>0.5</v>
      </c>
      <c r="AW22">
        <f t="shared" si="28"/>
        <v>1849.1926158380966</v>
      </c>
      <c r="AX22">
        <f t="shared" si="29"/>
        <v>29.753473849935048</v>
      </c>
      <c r="AY22">
        <f t="shared" si="30"/>
        <v>250.88352345849336</v>
      </c>
      <c r="AZ22">
        <f t="shared" si="31"/>
        <v>0.47606484306294383</v>
      </c>
      <c r="BA22">
        <f t="shared" si="32"/>
        <v>1.6630757437886948E-2</v>
      </c>
      <c r="BB22">
        <f t="shared" si="33"/>
        <v>-1</v>
      </c>
      <c r="BC22" t="s">
        <v>312</v>
      </c>
      <c r="BD22">
        <v>182.9</v>
      </c>
      <c r="BE22">
        <f t="shared" si="34"/>
        <v>166.18899999999999</v>
      </c>
      <c r="BF22">
        <f t="shared" si="35"/>
        <v>0.56997246415920422</v>
      </c>
      <c r="BG22">
        <f t="shared" si="36"/>
        <v>1.9086331328594859</v>
      </c>
      <c r="BH22">
        <f t="shared" si="37"/>
        <v>0.27134385170015096</v>
      </c>
      <c r="BI22" t="e">
        <f t="shared" si="38"/>
        <v>#DIV/0!</v>
      </c>
      <c r="BJ22">
        <v>3679</v>
      </c>
      <c r="BK22">
        <v>300</v>
      </c>
      <c r="BL22">
        <v>300</v>
      </c>
      <c r="BM22">
        <v>300</v>
      </c>
      <c r="BN22">
        <v>9880.98</v>
      </c>
      <c r="BO22">
        <v>319.69</v>
      </c>
      <c r="BP22">
        <v>-6.4082100000000001E-3</v>
      </c>
      <c r="BQ22">
        <v>-0.47518899999999997</v>
      </c>
      <c r="BR22">
        <f t="shared" si="39"/>
        <v>2200.00870967742</v>
      </c>
      <c r="BS22">
        <f t="shared" si="40"/>
        <v>1849.1926158380966</v>
      </c>
      <c r="BT22">
        <f t="shared" si="41"/>
        <v>0.84053877046206671</v>
      </c>
      <c r="BU22">
        <f t="shared" si="42"/>
        <v>0.19107754092413365</v>
      </c>
      <c r="BV22">
        <v>0.5</v>
      </c>
      <c r="BW22" t="s">
        <v>281</v>
      </c>
      <c r="BX22">
        <v>1592246210.8</v>
      </c>
      <c r="BY22">
        <v>387.306451612903</v>
      </c>
      <c r="BZ22">
        <v>400.006709677419</v>
      </c>
      <c r="CA22">
        <v>18.466764516129</v>
      </c>
      <c r="CB22">
        <v>16.4389516129032</v>
      </c>
      <c r="CC22">
        <v>500.05432258064502</v>
      </c>
      <c r="CD22">
        <v>100.187064516129</v>
      </c>
      <c r="CE22">
        <v>0.199994387096774</v>
      </c>
      <c r="CF22">
        <v>26.1061612903226</v>
      </c>
      <c r="CG22">
        <v>27.0425838709677</v>
      </c>
      <c r="CH22">
        <v>999.9</v>
      </c>
      <c r="CI22">
        <v>10001.798064516101</v>
      </c>
      <c r="CJ22">
        <v>0</v>
      </c>
      <c r="CK22">
        <v>1839.1364516128999</v>
      </c>
      <c r="CL22">
        <v>2200.00870967742</v>
      </c>
      <c r="CM22">
        <v>0.98200103225806501</v>
      </c>
      <c r="CN22">
        <v>1.79993161290323E-2</v>
      </c>
      <c r="CO22">
        <v>0</v>
      </c>
      <c r="CP22">
        <v>254.355161290323</v>
      </c>
      <c r="CQ22">
        <v>5.00054</v>
      </c>
      <c r="CR22">
        <v>7409.5661290322596</v>
      </c>
      <c r="CS22">
        <v>20590.609677419401</v>
      </c>
      <c r="CT22">
        <v>50.070129032258002</v>
      </c>
      <c r="CU22">
        <v>50.350612903225802</v>
      </c>
      <c r="CV22">
        <v>50.241870967741903</v>
      </c>
      <c r="CW22">
        <v>48.975548387096801</v>
      </c>
      <c r="CX22">
        <v>51.128999999999998</v>
      </c>
      <c r="CY22">
        <v>2155.4987096774198</v>
      </c>
      <c r="CZ22">
        <v>39.51</v>
      </c>
      <c r="DA22">
        <v>0</v>
      </c>
      <c r="DB22">
        <v>132.59999990463299</v>
      </c>
      <c r="DC22">
        <v>254.36584615384601</v>
      </c>
      <c r="DD22">
        <v>2.1297777894706802</v>
      </c>
      <c r="DE22">
        <v>57.021196602389097</v>
      </c>
      <c r="DF22">
        <v>7409.8396153846197</v>
      </c>
      <c r="DG22">
        <v>15</v>
      </c>
      <c r="DH22">
        <v>1592246182.3</v>
      </c>
      <c r="DI22" t="s">
        <v>313</v>
      </c>
      <c r="DJ22">
        <v>34</v>
      </c>
      <c r="DK22">
        <v>-0.09</v>
      </c>
      <c r="DL22">
        <v>9.6000000000000002E-2</v>
      </c>
      <c r="DM22">
        <v>400</v>
      </c>
      <c r="DN22">
        <v>16</v>
      </c>
      <c r="DO22">
        <v>0.3</v>
      </c>
      <c r="DP22">
        <v>0.03</v>
      </c>
      <c r="DQ22">
        <v>-12.7083365384615</v>
      </c>
      <c r="DR22">
        <v>-1.3939895842224799E-2</v>
      </c>
      <c r="DS22">
        <v>5.7227414183864699E-2</v>
      </c>
      <c r="DT22">
        <v>1</v>
      </c>
      <c r="DU22">
        <v>2.0405276923076898</v>
      </c>
      <c r="DV22">
        <v>-8.2216238367626995E-2</v>
      </c>
      <c r="DW22">
        <v>2.7722905665184299E-2</v>
      </c>
      <c r="DX22">
        <v>1</v>
      </c>
      <c r="DY22">
        <v>2</v>
      </c>
      <c r="DZ22">
        <v>2</v>
      </c>
      <c r="EA22" t="s">
        <v>283</v>
      </c>
      <c r="EB22">
        <v>1.8666100000000001</v>
      </c>
      <c r="EC22">
        <v>1.86321</v>
      </c>
      <c r="ED22">
        <v>1.8688</v>
      </c>
      <c r="EE22">
        <v>1.86676</v>
      </c>
      <c r="EF22">
        <v>1.87144</v>
      </c>
      <c r="EG22">
        <v>1.8638600000000001</v>
      </c>
      <c r="EH22">
        <v>1.86541</v>
      </c>
      <c r="EI22">
        <v>1.8653900000000001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-0.09</v>
      </c>
      <c r="EX22">
        <v>9.6000000000000002E-2</v>
      </c>
      <c r="EY22">
        <v>2</v>
      </c>
      <c r="EZ22">
        <v>336.60899999999998</v>
      </c>
      <c r="FA22">
        <v>488.14299999999997</v>
      </c>
      <c r="FB22">
        <v>17.657399999999999</v>
      </c>
      <c r="FC22">
        <v>35.683399999999999</v>
      </c>
      <c r="FD22">
        <v>30.000699999999998</v>
      </c>
      <c r="FE22">
        <v>35.498899999999999</v>
      </c>
      <c r="FF22">
        <v>35.462200000000003</v>
      </c>
      <c r="FG22">
        <v>22.496400000000001</v>
      </c>
      <c r="FH22">
        <v>18.732299999999999</v>
      </c>
      <c r="FI22">
        <v>47.883099999999999</v>
      </c>
      <c r="FJ22">
        <v>17.5854</v>
      </c>
      <c r="FK22">
        <v>400</v>
      </c>
      <c r="FL22">
        <v>16.482800000000001</v>
      </c>
      <c r="FM22">
        <v>100.66200000000001</v>
      </c>
      <c r="FN22">
        <v>100.64700000000001</v>
      </c>
    </row>
    <row r="23" spans="1:170" x14ac:dyDescent="0.25">
      <c r="A23">
        <v>7</v>
      </c>
      <c r="B23">
        <v>1592246341.3</v>
      </c>
      <c r="C23">
        <v>828.09999990463302</v>
      </c>
      <c r="D23" t="s">
        <v>314</v>
      </c>
      <c r="E23" t="s">
        <v>315</v>
      </c>
      <c r="G23">
        <v>1592246333.3</v>
      </c>
      <c r="H23">
        <f t="shared" si="0"/>
        <v>5.6473668087123887E-3</v>
      </c>
      <c r="I23">
        <f t="shared" si="1"/>
        <v>30.383378803545153</v>
      </c>
      <c r="J23">
        <f t="shared" si="2"/>
        <v>386.96187096774202</v>
      </c>
      <c r="K23">
        <f t="shared" si="3"/>
        <v>226.21335166822408</v>
      </c>
      <c r="L23">
        <f t="shared" si="4"/>
        <v>22.706070674894679</v>
      </c>
      <c r="M23">
        <f t="shared" si="5"/>
        <v>38.841136148186244</v>
      </c>
      <c r="N23">
        <f t="shared" si="6"/>
        <v>0.33452740937015768</v>
      </c>
      <c r="O23">
        <f t="shared" si="7"/>
        <v>3.4073490399119053</v>
      </c>
      <c r="P23">
        <f t="shared" si="8"/>
        <v>0.31729348716539896</v>
      </c>
      <c r="Q23">
        <f t="shared" si="9"/>
        <v>0.19978281382378521</v>
      </c>
      <c r="R23">
        <f t="shared" si="10"/>
        <v>353.33433826313438</v>
      </c>
      <c r="S23">
        <f t="shared" si="11"/>
        <v>26.79751924298688</v>
      </c>
      <c r="T23">
        <f t="shared" si="12"/>
        <v>27.198403225806501</v>
      </c>
      <c r="U23">
        <f t="shared" si="13"/>
        <v>3.6210793396521126</v>
      </c>
      <c r="V23">
        <f t="shared" si="14"/>
        <v>54.958525302530362</v>
      </c>
      <c r="W23">
        <f t="shared" si="15"/>
        <v>1.8835436065764581</v>
      </c>
      <c r="X23">
        <f t="shared" si="16"/>
        <v>3.4272091476401703</v>
      </c>
      <c r="Y23">
        <f t="shared" si="17"/>
        <v>1.7375357330756545</v>
      </c>
      <c r="Z23">
        <f t="shared" si="18"/>
        <v>-249.04887626421635</v>
      </c>
      <c r="AA23">
        <f t="shared" si="19"/>
        <v>-171.75788148811117</v>
      </c>
      <c r="AB23">
        <f t="shared" si="20"/>
        <v>-10.84942866082884</v>
      </c>
      <c r="AC23">
        <f t="shared" si="21"/>
        <v>-78.321848150021964</v>
      </c>
      <c r="AD23">
        <v>-4.1561727079155203E-2</v>
      </c>
      <c r="AE23">
        <v>4.6656679653618097E-2</v>
      </c>
      <c r="AF23">
        <v>3.4802825889212898</v>
      </c>
      <c r="AG23">
        <v>146</v>
      </c>
      <c r="AH23">
        <v>29</v>
      </c>
      <c r="AI23">
        <f t="shared" si="22"/>
        <v>1</v>
      </c>
      <c r="AJ23">
        <f t="shared" si="23"/>
        <v>0</v>
      </c>
      <c r="AK23">
        <f t="shared" si="24"/>
        <v>53127.084360322311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316</v>
      </c>
      <c r="AS23">
        <v>257.76084615384599</v>
      </c>
      <c r="AT23">
        <v>361.92399999999998</v>
      </c>
      <c r="AU23">
        <f t="shared" si="27"/>
        <v>0.28780394183904356</v>
      </c>
      <c r="AV23">
        <v>0.5</v>
      </c>
      <c r="AW23">
        <f t="shared" si="28"/>
        <v>1849.1671448703466</v>
      </c>
      <c r="AX23">
        <f t="shared" si="29"/>
        <v>30.383378803545153</v>
      </c>
      <c r="AY23">
        <f t="shared" si="30"/>
        <v>266.09879670646774</v>
      </c>
      <c r="AZ23">
        <f t="shared" si="31"/>
        <v>0.49331903935632893</v>
      </c>
      <c r="BA23">
        <f t="shared" si="32"/>
        <v>1.6971629033429306E-2</v>
      </c>
      <c r="BB23">
        <f t="shared" si="33"/>
        <v>-1</v>
      </c>
      <c r="BC23" t="s">
        <v>317</v>
      </c>
      <c r="BD23">
        <v>183.38</v>
      </c>
      <c r="BE23">
        <f t="shared" si="34"/>
        <v>178.54399999999998</v>
      </c>
      <c r="BF23">
        <f t="shared" si="35"/>
        <v>0.58340327228108479</v>
      </c>
      <c r="BG23">
        <f t="shared" si="36"/>
        <v>1.9736285309194022</v>
      </c>
      <c r="BH23">
        <f t="shared" si="37"/>
        <v>0.28780394183904356</v>
      </c>
      <c r="BI23" t="e">
        <f t="shared" si="38"/>
        <v>#DIV/0!</v>
      </c>
      <c r="BJ23">
        <v>3681</v>
      </c>
      <c r="BK23">
        <v>300</v>
      </c>
      <c r="BL23">
        <v>300</v>
      </c>
      <c r="BM23">
        <v>300</v>
      </c>
      <c r="BN23">
        <v>9881.06</v>
      </c>
      <c r="BO23">
        <v>326.48399999999998</v>
      </c>
      <c r="BP23">
        <v>-6.4082699999999998E-3</v>
      </c>
      <c r="BQ23">
        <v>-0.358124</v>
      </c>
      <c r="BR23">
        <f t="shared" si="39"/>
        <v>2199.9783870967699</v>
      </c>
      <c r="BS23">
        <f t="shared" si="40"/>
        <v>1849.1671448703466</v>
      </c>
      <c r="BT23">
        <f t="shared" si="41"/>
        <v>0.84053877788800646</v>
      </c>
      <c r="BU23">
        <f t="shared" si="42"/>
        <v>0.19107755577601301</v>
      </c>
      <c r="BV23">
        <v>0.5</v>
      </c>
      <c r="BW23" t="s">
        <v>281</v>
      </c>
      <c r="BX23">
        <v>1592246333.3</v>
      </c>
      <c r="BY23">
        <v>386.96187096774202</v>
      </c>
      <c r="BZ23">
        <v>399.987741935484</v>
      </c>
      <c r="CA23">
        <v>18.765145161290299</v>
      </c>
      <c r="CB23">
        <v>16.548861290322598</v>
      </c>
      <c r="CC23">
        <v>500.06167741935502</v>
      </c>
      <c r="CD23">
        <v>100.17461290322601</v>
      </c>
      <c r="CE23">
        <v>0.19996935483871001</v>
      </c>
      <c r="CF23">
        <v>26.263396774193499</v>
      </c>
      <c r="CG23">
        <v>27.198403225806501</v>
      </c>
      <c r="CH23">
        <v>999.9</v>
      </c>
      <c r="CI23">
        <v>10005.341935483901</v>
      </c>
      <c r="CJ23">
        <v>0</v>
      </c>
      <c r="CK23">
        <v>1833.52774193548</v>
      </c>
      <c r="CL23">
        <v>2199.9783870967699</v>
      </c>
      <c r="CM23">
        <v>0.98200090322580602</v>
      </c>
      <c r="CN23">
        <v>1.79994516129032E-2</v>
      </c>
      <c r="CO23">
        <v>0</v>
      </c>
      <c r="CP23">
        <v>257.73106451612898</v>
      </c>
      <c r="CQ23">
        <v>5.00054</v>
      </c>
      <c r="CR23">
        <v>7504.5283870967796</v>
      </c>
      <c r="CS23">
        <v>20590.335483871</v>
      </c>
      <c r="CT23">
        <v>50.183064516129001</v>
      </c>
      <c r="CU23">
        <v>50.541935483870901</v>
      </c>
      <c r="CV23">
        <v>50.340451612903202</v>
      </c>
      <c r="CW23">
        <v>49.132870967741901</v>
      </c>
      <c r="CX23">
        <v>51.2296774193548</v>
      </c>
      <c r="CY23">
        <v>2155.4683870967701</v>
      </c>
      <c r="CZ23">
        <v>39.51</v>
      </c>
      <c r="DA23">
        <v>0</v>
      </c>
      <c r="DB23">
        <v>121.799999952316</v>
      </c>
      <c r="DC23">
        <v>257.76084615384599</v>
      </c>
      <c r="DD23">
        <v>1.6259829301125099</v>
      </c>
      <c r="DE23">
        <v>17.008888921720398</v>
      </c>
      <c r="DF23">
        <v>7505.6280769230798</v>
      </c>
      <c r="DG23">
        <v>15</v>
      </c>
      <c r="DH23">
        <v>1592246276.8</v>
      </c>
      <c r="DI23" t="s">
        <v>318</v>
      </c>
      <c r="DJ23">
        <v>35</v>
      </c>
      <c r="DK23">
        <v>-0.14699999999999999</v>
      </c>
      <c r="DL23">
        <v>0.10100000000000001</v>
      </c>
      <c r="DM23">
        <v>400</v>
      </c>
      <c r="DN23">
        <v>16</v>
      </c>
      <c r="DO23">
        <v>0.13</v>
      </c>
      <c r="DP23">
        <v>0.03</v>
      </c>
      <c r="DQ23">
        <v>-13.0284269230769</v>
      </c>
      <c r="DR23">
        <v>7.8435925894025701E-3</v>
      </c>
      <c r="DS23">
        <v>5.1955299261016497E-2</v>
      </c>
      <c r="DT23">
        <v>1</v>
      </c>
      <c r="DU23">
        <v>2.2077880769230802</v>
      </c>
      <c r="DV23">
        <v>9.6722171945700097E-2</v>
      </c>
      <c r="DW23">
        <v>1.30165975464555E-2</v>
      </c>
      <c r="DX23">
        <v>1</v>
      </c>
      <c r="DY23">
        <v>2</v>
      </c>
      <c r="DZ23">
        <v>2</v>
      </c>
      <c r="EA23" t="s">
        <v>283</v>
      </c>
      <c r="EB23">
        <v>1.86663</v>
      </c>
      <c r="EC23">
        <v>1.8631899999999999</v>
      </c>
      <c r="ED23">
        <v>1.86883</v>
      </c>
      <c r="EE23">
        <v>1.86676</v>
      </c>
      <c r="EF23">
        <v>1.87144</v>
      </c>
      <c r="EG23">
        <v>1.8638600000000001</v>
      </c>
      <c r="EH23">
        <v>1.86544</v>
      </c>
      <c r="EI23">
        <v>1.8653900000000001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-0.14699999999999999</v>
      </c>
      <c r="EX23">
        <v>0.10100000000000001</v>
      </c>
      <c r="EY23">
        <v>2</v>
      </c>
      <c r="EZ23">
        <v>335.17</v>
      </c>
      <c r="FA23">
        <v>487.62599999999998</v>
      </c>
      <c r="FB23">
        <v>17.813600000000001</v>
      </c>
      <c r="FC23">
        <v>35.865499999999997</v>
      </c>
      <c r="FD23">
        <v>30.000299999999999</v>
      </c>
      <c r="FE23">
        <v>35.683199999999999</v>
      </c>
      <c r="FF23">
        <v>35.645400000000002</v>
      </c>
      <c r="FG23">
        <v>22.503900000000002</v>
      </c>
      <c r="FH23">
        <v>18.744700000000002</v>
      </c>
      <c r="FI23">
        <v>48.054099999999998</v>
      </c>
      <c r="FJ23">
        <v>16.971599999999999</v>
      </c>
      <c r="FK23">
        <v>400</v>
      </c>
      <c r="FL23">
        <v>16.482900000000001</v>
      </c>
      <c r="FM23">
        <v>100.633</v>
      </c>
      <c r="FN23">
        <v>100.62</v>
      </c>
    </row>
    <row r="24" spans="1:170" x14ac:dyDescent="0.25">
      <c r="A24">
        <v>8</v>
      </c>
      <c r="B24">
        <v>1592246464.3</v>
      </c>
      <c r="C24">
        <v>951.09999990463302</v>
      </c>
      <c r="D24" t="s">
        <v>319</v>
      </c>
      <c r="E24" t="s">
        <v>320</v>
      </c>
      <c r="G24">
        <v>1592246456.3</v>
      </c>
      <c r="H24">
        <f t="shared" si="0"/>
        <v>5.8481842440578627E-3</v>
      </c>
      <c r="I24">
        <f t="shared" si="1"/>
        <v>37.051454366676083</v>
      </c>
      <c r="J24">
        <f t="shared" si="2"/>
        <v>484.07083870967801</v>
      </c>
      <c r="K24">
        <f t="shared" si="3"/>
        <v>294.31216327228265</v>
      </c>
      <c r="L24">
        <f t="shared" si="4"/>
        <v>29.531546099981565</v>
      </c>
      <c r="M24">
        <f t="shared" si="5"/>
        <v>48.572101574294294</v>
      </c>
      <c r="N24">
        <f t="shared" si="6"/>
        <v>0.34764736857624318</v>
      </c>
      <c r="O24">
        <f t="shared" si="7"/>
        <v>3.4045359199986334</v>
      </c>
      <c r="P24">
        <f t="shared" si="8"/>
        <v>0.32906096482221925</v>
      </c>
      <c r="Q24">
        <f t="shared" si="9"/>
        <v>0.20725017119793068</v>
      </c>
      <c r="R24">
        <f t="shared" si="10"/>
        <v>353.33818896519006</v>
      </c>
      <c r="S24">
        <f t="shared" si="11"/>
        <v>26.792310345386984</v>
      </c>
      <c r="T24">
        <f t="shared" si="12"/>
        <v>27.208506451612902</v>
      </c>
      <c r="U24">
        <f t="shared" si="13"/>
        <v>3.6232254193533744</v>
      </c>
      <c r="V24">
        <f t="shared" si="14"/>
        <v>54.985988218941628</v>
      </c>
      <c r="W24">
        <f t="shared" si="15"/>
        <v>1.8889144498264108</v>
      </c>
      <c r="X24">
        <f t="shared" si="16"/>
        <v>3.4352650757229011</v>
      </c>
      <c r="Y24">
        <f t="shared" si="17"/>
        <v>1.7343109695269636</v>
      </c>
      <c r="Z24">
        <f t="shared" si="18"/>
        <v>-257.90492516295177</v>
      </c>
      <c r="AA24">
        <f t="shared" si="19"/>
        <v>-166.17247799797926</v>
      </c>
      <c r="AB24">
        <f t="shared" si="20"/>
        <v>-10.507908905729348</v>
      </c>
      <c r="AC24">
        <f t="shared" si="21"/>
        <v>-81.247123101470294</v>
      </c>
      <c r="AD24">
        <v>-4.1518083911502197E-2</v>
      </c>
      <c r="AE24">
        <v>4.6607686374576102E-2</v>
      </c>
      <c r="AF24">
        <v>3.4773928828954901</v>
      </c>
      <c r="AG24">
        <v>142</v>
      </c>
      <c r="AH24">
        <v>28</v>
      </c>
      <c r="AI24">
        <f t="shared" si="22"/>
        <v>1</v>
      </c>
      <c r="AJ24">
        <f t="shared" si="23"/>
        <v>0</v>
      </c>
      <c r="AK24">
        <f t="shared" si="24"/>
        <v>53065.795977946007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321</v>
      </c>
      <c r="AS24">
        <v>267.79307692307702</v>
      </c>
      <c r="AT24">
        <v>385.67500000000001</v>
      </c>
      <c r="AU24">
        <f t="shared" si="27"/>
        <v>0.30565093168321256</v>
      </c>
      <c r="AV24">
        <v>0.5</v>
      </c>
      <c r="AW24">
        <f t="shared" si="28"/>
        <v>1849.1898964833235</v>
      </c>
      <c r="AX24">
        <f t="shared" si="29"/>
        <v>37.051454366676083</v>
      </c>
      <c r="AY24">
        <f t="shared" si="30"/>
        <v>282.60330735965562</v>
      </c>
      <c r="AZ24">
        <f t="shared" si="31"/>
        <v>0.52395151358008685</v>
      </c>
      <c r="BA24">
        <f t="shared" si="32"/>
        <v>2.0577364411864901E-2</v>
      </c>
      <c r="BB24">
        <f t="shared" si="33"/>
        <v>-1</v>
      </c>
      <c r="BC24" t="s">
        <v>322</v>
      </c>
      <c r="BD24">
        <v>183.6</v>
      </c>
      <c r="BE24">
        <f t="shared" si="34"/>
        <v>202.07500000000002</v>
      </c>
      <c r="BF24">
        <f t="shared" si="35"/>
        <v>0.58335728356760108</v>
      </c>
      <c r="BG24">
        <f t="shared" si="36"/>
        <v>2.1006263616557734</v>
      </c>
      <c r="BH24">
        <f t="shared" si="37"/>
        <v>0.3056509316832125</v>
      </c>
      <c r="BI24" t="e">
        <f t="shared" si="38"/>
        <v>#DIV/0!</v>
      </c>
      <c r="BJ24">
        <v>3683</v>
      </c>
      <c r="BK24">
        <v>300</v>
      </c>
      <c r="BL24">
        <v>300</v>
      </c>
      <c r="BM24">
        <v>300</v>
      </c>
      <c r="BN24">
        <v>9879.66</v>
      </c>
      <c r="BO24">
        <v>346.75900000000001</v>
      </c>
      <c r="BP24">
        <v>-6.4073000000000003E-3</v>
      </c>
      <c r="BQ24">
        <v>-0.73504599999999998</v>
      </c>
      <c r="BR24">
        <f t="shared" si="39"/>
        <v>2200.0058064516102</v>
      </c>
      <c r="BS24">
        <f t="shared" si="40"/>
        <v>1849.1898964833235</v>
      </c>
      <c r="BT24">
        <f t="shared" si="41"/>
        <v>0.84053864360743769</v>
      </c>
      <c r="BU24">
        <f t="shared" si="42"/>
        <v>0.19107728721487557</v>
      </c>
      <c r="BV24">
        <v>0.5</v>
      </c>
      <c r="BW24" t="s">
        <v>281</v>
      </c>
      <c r="BX24">
        <v>1592246456.3</v>
      </c>
      <c r="BY24">
        <v>484.07083870967801</v>
      </c>
      <c r="BZ24">
        <v>500.02116129032299</v>
      </c>
      <c r="CA24">
        <v>18.824970967741901</v>
      </c>
      <c r="CB24">
        <v>16.530112903225799</v>
      </c>
      <c r="CC24">
        <v>500.08254838709701</v>
      </c>
      <c r="CD24">
        <v>100.140870967742</v>
      </c>
      <c r="CE24">
        <v>0.200024806451613</v>
      </c>
      <c r="CF24">
        <v>26.303158064516101</v>
      </c>
      <c r="CG24">
        <v>27.208506451612902</v>
      </c>
      <c r="CH24">
        <v>999.9</v>
      </c>
      <c r="CI24">
        <v>9998.2032258064501</v>
      </c>
      <c r="CJ24">
        <v>0</v>
      </c>
      <c r="CK24">
        <v>1824.31096774194</v>
      </c>
      <c r="CL24">
        <v>2200.0058064516102</v>
      </c>
      <c r="CM24">
        <v>0.98200367741935501</v>
      </c>
      <c r="CN24">
        <v>1.79965387096774E-2</v>
      </c>
      <c r="CO24">
        <v>0</v>
      </c>
      <c r="CP24">
        <v>267.78100000000001</v>
      </c>
      <c r="CQ24">
        <v>5.00054</v>
      </c>
      <c r="CR24">
        <v>7643.5235483871002</v>
      </c>
      <c r="CS24">
        <v>20590.609677419401</v>
      </c>
      <c r="CT24">
        <v>50.401000000000003</v>
      </c>
      <c r="CU24">
        <v>50.8708064516129</v>
      </c>
      <c r="CV24">
        <v>50.562064516128999</v>
      </c>
      <c r="CW24">
        <v>49.558193548387102</v>
      </c>
      <c r="CX24">
        <v>51.447161290322597</v>
      </c>
      <c r="CY24">
        <v>2155.5051612903198</v>
      </c>
      <c r="CZ24">
        <v>39.500645161290301</v>
      </c>
      <c r="DA24">
        <v>0</v>
      </c>
      <c r="DB24">
        <v>122.40000009536701</v>
      </c>
      <c r="DC24">
        <v>267.79307692307702</v>
      </c>
      <c r="DD24">
        <v>1.4397948687233499</v>
      </c>
      <c r="DE24">
        <v>-110.49059769387701</v>
      </c>
      <c r="DF24">
        <v>7642.5442307692301</v>
      </c>
      <c r="DG24">
        <v>15</v>
      </c>
      <c r="DH24">
        <v>1592246408.8</v>
      </c>
      <c r="DI24" t="s">
        <v>323</v>
      </c>
      <c r="DJ24">
        <v>36</v>
      </c>
      <c r="DK24">
        <v>-0.14699999999999999</v>
      </c>
      <c r="DL24">
        <v>0.10100000000000001</v>
      </c>
      <c r="DM24">
        <v>500</v>
      </c>
      <c r="DN24">
        <v>16</v>
      </c>
      <c r="DO24">
        <v>0.16</v>
      </c>
      <c r="DP24">
        <v>0.03</v>
      </c>
      <c r="DQ24">
        <v>-15.9475307692308</v>
      </c>
      <c r="DR24">
        <v>-8.2238879877066698E-2</v>
      </c>
      <c r="DS24">
        <v>9.0580415905217301E-2</v>
      </c>
      <c r="DT24">
        <v>1</v>
      </c>
      <c r="DU24">
        <v>2.2862759615384598</v>
      </c>
      <c r="DV24">
        <v>9.75183642107047E-2</v>
      </c>
      <c r="DW24">
        <v>1.4616421120887801E-2</v>
      </c>
      <c r="DX24">
        <v>1</v>
      </c>
      <c r="DY24">
        <v>2</v>
      </c>
      <c r="DZ24">
        <v>2</v>
      </c>
      <c r="EA24" t="s">
        <v>283</v>
      </c>
      <c r="EB24">
        <v>1.8666400000000001</v>
      </c>
      <c r="EC24">
        <v>1.8632299999999999</v>
      </c>
      <c r="ED24">
        <v>1.8688400000000001</v>
      </c>
      <c r="EE24">
        <v>1.86676</v>
      </c>
      <c r="EF24">
        <v>1.8714599999999999</v>
      </c>
      <c r="EG24">
        <v>1.86389</v>
      </c>
      <c r="EH24">
        <v>1.8654500000000001</v>
      </c>
      <c r="EI24">
        <v>1.8653900000000001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-0.14699999999999999</v>
      </c>
      <c r="EX24">
        <v>0.10100000000000001</v>
      </c>
      <c r="EY24">
        <v>2</v>
      </c>
      <c r="EZ24">
        <v>338.48</v>
      </c>
      <c r="FA24">
        <v>486.56799999999998</v>
      </c>
      <c r="FB24">
        <v>17.927700000000002</v>
      </c>
      <c r="FC24">
        <v>36.069499999999998</v>
      </c>
      <c r="FD24">
        <v>30.001000000000001</v>
      </c>
      <c r="FE24">
        <v>35.883200000000002</v>
      </c>
      <c r="FF24">
        <v>35.848199999999999</v>
      </c>
      <c r="FG24">
        <v>26.866499999999998</v>
      </c>
      <c r="FH24">
        <v>18.799900000000001</v>
      </c>
      <c r="FI24">
        <v>48.054099999999998</v>
      </c>
      <c r="FJ24">
        <v>17.013200000000001</v>
      </c>
      <c r="FK24">
        <v>500</v>
      </c>
      <c r="FL24">
        <v>16.5166</v>
      </c>
      <c r="FM24">
        <v>100.596</v>
      </c>
      <c r="FN24">
        <v>100.577</v>
      </c>
    </row>
    <row r="25" spans="1:170" x14ac:dyDescent="0.25">
      <c r="A25">
        <v>9</v>
      </c>
      <c r="B25">
        <v>1592246598.3</v>
      </c>
      <c r="C25">
        <v>1085.0999999046301</v>
      </c>
      <c r="D25" t="s">
        <v>324</v>
      </c>
      <c r="E25" t="s">
        <v>325</v>
      </c>
      <c r="G25">
        <v>1592246590.3</v>
      </c>
      <c r="H25">
        <f t="shared" si="0"/>
        <v>5.9171598184749831E-3</v>
      </c>
      <c r="I25">
        <f t="shared" si="1"/>
        <v>42.468214180831254</v>
      </c>
      <c r="J25">
        <f t="shared" si="2"/>
        <v>581.63867741935496</v>
      </c>
      <c r="K25">
        <f t="shared" si="3"/>
        <v>363.51650991948117</v>
      </c>
      <c r="L25">
        <f t="shared" si="4"/>
        <v>36.485307499323341</v>
      </c>
      <c r="M25">
        <f t="shared" si="5"/>
        <v>58.377722662019963</v>
      </c>
      <c r="N25">
        <f t="shared" si="6"/>
        <v>0.34811136708247642</v>
      </c>
      <c r="O25">
        <f t="shared" si="7"/>
        <v>3.4063626611242217</v>
      </c>
      <c r="P25">
        <f t="shared" si="8"/>
        <v>0.32948616334566572</v>
      </c>
      <c r="Q25">
        <f t="shared" si="9"/>
        <v>0.2075191707840961</v>
      </c>
      <c r="R25">
        <f t="shared" si="10"/>
        <v>353.33805263175981</v>
      </c>
      <c r="S25">
        <f t="shared" si="11"/>
        <v>26.946164140556622</v>
      </c>
      <c r="T25">
        <f t="shared" si="12"/>
        <v>27.393712903225801</v>
      </c>
      <c r="U25">
        <f t="shared" si="13"/>
        <v>3.6627632870403759</v>
      </c>
      <c r="V25">
        <f t="shared" si="14"/>
        <v>55.055216357600933</v>
      </c>
      <c r="W25">
        <f t="shared" si="15"/>
        <v>1.9103280986623918</v>
      </c>
      <c r="X25">
        <f t="shared" si="16"/>
        <v>3.4698403258543395</v>
      </c>
      <c r="Y25">
        <f t="shared" si="17"/>
        <v>1.7524351883779841</v>
      </c>
      <c r="Z25">
        <f t="shared" si="18"/>
        <v>-260.94674799474677</v>
      </c>
      <c r="AA25">
        <f t="shared" si="19"/>
        <v>-169.10337973866416</v>
      </c>
      <c r="AB25">
        <f t="shared" si="20"/>
        <v>-10.706504397158787</v>
      </c>
      <c r="AC25">
        <f t="shared" si="21"/>
        <v>-87.418579498809891</v>
      </c>
      <c r="AD25">
        <v>-4.1546422384063197E-2</v>
      </c>
      <c r="AE25">
        <v>4.6639498792612401E-2</v>
      </c>
      <c r="AF25">
        <v>3.4792693530752499</v>
      </c>
      <c r="AG25">
        <v>78</v>
      </c>
      <c r="AH25">
        <v>16</v>
      </c>
      <c r="AI25">
        <f t="shared" si="22"/>
        <v>1</v>
      </c>
      <c r="AJ25">
        <f t="shared" si="23"/>
        <v>0</v>
      </c>
      <c r="AK25">
        <f t="shared" si="24"/>
        <v>53071.009657089104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326</v>
      </c>
      <c r="AS25">
        <v>272.13046153846102</v>
      </c>
      <c r="AT25">
        <v>394.77800000000002</v>
      </c>
      <c r="AU25">
        <f t="shared" si="27"/>
        <v>0.3106747044200513</v>
      </c>
      <c r="AV25">
        <v>0.5</v>
      </c>
      <c r="AW25">
        <f t="shared" si="28"/>
        <v>1849.1890932575188</v>
      </c>
      <c r="AX25">
        <f t="shared" si="29"/>
        <v>42.468214180831254</v>
      </c>
      <c r="AY25">
        <f t="shared" si="30"/>
        <v>287.24813748228115</v>
      </c>
      <c r="AZ25">
        <f t="shared" si="31"/>
        <v>0.53275005192791902</v>
      </c>
      <c r="BA25">
        <f t="shared" si="32"/>
        <v>2.3506635605479342E-2</v>
      </c>
      <c r="BB25">
        <f t="shared" si="33"/>
        <v>-1</v>
      </c>
      <c r="BC25" t="s">
        <v>327</v>
      </c>
      <c r="BD25">
        <v>184.46</v>
      </c>
      <c r="BE25">
        <f t="shared" si="34"/>
        <v>210.31800000000001</v>
      </c>
      <c r="BF25">
        <f t="shared" si="35"/>
        <v>0.58315283742494217</v>
      </c>
      <c r="BG25">
        <f t="shared" si="36"/>
        <v>2.140182153312371</v>
      </c>
      <c r="BH25">
        <f t="shared" si="37"/>
        <v>0.31067470442005124</v>
      </c>
      <c r="BI25" t="e">
        <f t="shared" si="38"/>
        <v>#DIV/0!</v>
      </c>
      <c r="BJ25">
        <v>3685</v>
      </c>
      <c r="BK25">
        <v>300</v>
      </c>
      <c r="BL25">
        <v>300</v>
      </c>
      <c r="BM25">
        <v>300</v>
      </c>
      <c r="BN25">
        <v>9880.09</v>
      </c>
      <c r="BO25">
        <v>356.72500000000002</v>
      </c>
      <c r="BP25">
        <v>-6.4075199999999999E-3</v>
      </c>
      <c r="BQ25">
        <v>0.28527799999999998</v>
      </c>
      <c r="BR25">
        <f t="shared" si="39"/>
        <v>2200.0048387096799</v>
      </c>
      <c r="BS25">
        <f t="shared" si="40"/>
        <v>1849.1890932575188</v>
      </c>
      <c r="BT25">
        <f t="shared" si="41"/>
        <v>0.84053864824319324</v>
      </c>
      <c r="BU25">
        <f t="shared" si="42"/>
        <v>0.19107729648638686</v>
      </c>
      <c r="BV25">
        <v>0.5</v>
      </c>
      <c r="BW25" t="s">
        <v>281</v>
      </c>
      <c r="BX25">
        <v>1592246590.3</v>
      </c>
      <c r="BY25">
        <v>581.63867741935496</v>
      </c>
      <c r="BZ25">
        <v>600.00222580645197</v>
      </c>
      <c r="CA25">
        <v>19.033300000000001</v>
      </c>
      <c r="CB25">
        <v>16.711535483871</v>
      </c>
      <c r="CC25">
        <v>500.01080645161301</v>
      </c>
      <c r="CD25">
        <v>100.167193548387</v>
      </c>
      <c r="CE25">
        <v>0.20048303225806499</v>
      </c>
      <c r="CF25">
        <v>26.4728903225806</v>
      </c>
      <c r="CG25">
        <v>27.393712903225801</v>
      </c>
      <c r="CH25">
        <v>999.9</v>
      </c>
      <c r="CI25">
        <v>10002.3983870968</v>
      </c>
      <c r="CJ25">
        <v>0</v>
      </c>
      <c r="CK25">
        <v>280.76048387096802</v>
      </c>
      <c r="CL25">
        <v>2200.0048387096799</v>
      </c>
      <c r="CM25">
        <v>0.98200296774193596</v>
      </c>
      <c r="CN25">
        <v>1.79972838709677E-2</v>
      </c>
      <c r="CO25">
        <v>0</v>
      </c>
      <c r="CP25">
        <v>272.13274193548398</v>
      </c>
      <c r="CQ25">
        <v>5.00054</v>
      </c>
      <c r="CR25">
        <v>7260.97806451613</v>
      </c>
      <c r="CS25">
        <v>20590.603225806499</v>
      </c>
      <c r="CT25">
        <v>50.52</v>
      </c>
      <c r="CU25">
        <v>50.908999999999999</v>
      </c>
      <c r="CV25">
        <v>50.628999999999998</v>
      </c>
      <c r="CW25">
        <v>49.771935483870998</v>
      </c>
      <c r="CX25">
        <v>51.596548387096803</v>
      </c>
      <c r="CY25">
        <v>2155.5038709677401</v>
      </c>
      <c r="CZ25">
        <v>39.500967741935497</v>
      </c>
      <c r="DA25">
        <v>0</v>
      </c>
      <c r="DB25">
        <v>133.10000014305101</v>
      </c>
      <c r="DC25">
        <v>272.13046153846102</v>
      </c>
      <c r="DD25">
        <v>-0.68041026280359596</v>
      </c>
      <c r="DE25">
        <v>23.7052992070182</v>
      </c>
      <c r="DF25">
        <v>7260.8584615384598</v>
      </c>
      <c r="DG25">
        <v>15</v>
      </c>
      <c r="DH25">
        <v>1592246533.8</v>
      </c>
      <c r="DI25" t="s">
        <v>328</v>
      </c>
      <c r="DJ25">
        <v>37</v>
      </c>
      <c r="DK25">
        <v>-5.3999999999999999E-2</v>
      </c>
      <c r="DL25">
        <v>9.9000000000000005E-2</v>
      </c>
      <c r="DM25">
        <v>600</v>
      </c>
      <c r="DN25">
        <v>17</v>
      </c>
      <c r="DO25">
        <v>0.11</v>
      </c>
      <c r="DP25">
        <v>0.05</v>
      </c>
      <c r="DQ25">
        <v>-18.328471153846198</v>
      </c>
      <c r="DR25">
        <v>-0.48671202936909802</v>
      </c>
      <c r="DS25">
        <v>9.3984354951192395E-2</v>
      </c>
      <c r="DT25">
        <v>1</v>
      </c>
      <c r="DU25">
        <v>2.3152575</v>
      </c>
      <c r="DV25">
        <v>6.2780141722871996E-2</v>
      </c>
      <c r="DW25">
        <v>8.5488053315158595E-3</v>
      </c>
      <c r="DX25">
        <v>1</v>
      </c>
      <c r="DY25">
        <v>2</v>
      </c>
      <c r="DZ25">
        <v>2</v>
      </c>
      <c r="EA25" t="s">
        <v>283</v>
      </c>
      <c r="EB25">
        <v>1.8666100000000001</v>
      </c>
      <c r="EC25">
        <v>1.8632</v>
      </c>
      <c r="ED25">
        <v>1.8688100000000001</v>
      </c>
      <c r="EE25">
        <v>1.86676</v>
      </c>
      <c r="EF25">
        <v>1.8714200000000001</v>
      </c>
      <c r="EG25">
        <v>1.8638600000000001</v>
      </c>
      <c r="EH25">
        <v>1.8653900000000001</v>
      </c>
      <c r="EI25">
        <v>1.86537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-5.3999999999999999E-2</v>
      </c>
      <c r="EX25">
        <v>9.9000000000000005E-2</v>
      </c>
      <c r="EY25">
        <v>2</v>
      </c>
      <c r="EZ25">
        <v>407.428</v>
      </c>
      <c r="FA25">
        <v>488.78199999999998</v>
      </c>
      <c r="FB25">
        <v>18.0306</v>
      </c>
      <c r="FC25">
        <v>36.183399999999999</v>
      </c>
      <c r="FD25">
        <v>29.9999</v>
      </c>
      <c r="FE25">
        <v>36.011099999999999</v>
      </c>
      <c r="FF25">
        <v>35.9679</v>
      </c>
      <c r="FG25">
        <v>31.101099999999999</v>
      </c>
      <c r="FH25">
        <v>17.335799999999999</v>
      </c>
      <c r="FI25">
        <v>48.897399999999998</v>
      </c>
      <c r="FJ25">
        <v>17.195499999999999</v>
      </c>
      <c r="FK25">
        <v>600</v>
      </c>
      <c r="FL25">
        <v>16.724499999999999</v>
      </c>
      <c r="FM25">
        <v>100.57899999999999</v>
      </c>
      <c r="FN25">
        <v>100.57</v>
      </c>
    </row>
    <row r="26" spans="1:170" x14ac:dyDescent="0.25">
      <c r="A26">
        <v>10</v>
      </c>
      <c r="B26">
        <v>1592246724.3</v>
      </c>
      <c r="C26">
        <v>1211.0999999046301</v>
      </c>
      <c r="D26" t="s">
        <v>329</v>
      </c>
      <c r="E26" t="s">
        <v>330</v>
      </c>
      <c r="G26">
        <v>1592246716.3</v>
      </c>
      <c r="H26">
        <f t="shared" si="0"/>
        <v>5.5082122316933782E-3</v>
      </c>
      <c r="I26">
        <f t="shared" si="1"/>
        <v>44.724670872748391</v>
      </c>
      <c r="J26">
        <f t="shared" si="2"/>
        <v>680.64874193548405</v>
      </c>
      <c r="K26">
        <f t="shared" si="3"/>
        <v>439.51971701141366</v>
      </c>
      <c r="L26">
        <f t="shared" si="4"/>
        <v>44.111324706999994</v>
      </c>
      <c r="M26">
        <f t="shared" si="5"/>
        <v>68.311651343158033</v>
      </c>
      <c r="N26">
        <f t="shared" si="6"/>
        <v>0.33189245852717864</v>
      </c>
      <c r="O26">
        <f t="shared" si="7"/>
        <v>3.4058199735690211</v>
      </c>
      <c r="P26">
        <f t="shared" si="8"/>
        <v>0.31491436052486343</v>
      </c>
      <c r="Q26">
        <f t="shared" si="9"/>
        <v>0.19827448682864918</v>
      </c>
      <c r="R26">
        <f t="shared" si="10"/>
        <v>353.33774086047868</v>
      </c>
      <c r="S26">
        <f t="shared" si="11"/>
        <v>26.728668976629294</v>
      </c>
      <c r="T26">
        <f t="shared" si="12"/>
        <v>27.075348387096799</v>
      </c>
      <c r="U26">
        <f t="shared" si="13"/>
        <v>3.5950295233047127</v>
      </c>
      <c r="V26">
        <f t="shared" si="14"/>
        <v>55.40280327527811</v>
      </c>
      <c r="W26">
        <f t="shared" si="15"/>
        <v>1.8875216112190236</v>
      </c>
      <c r="X26">
        <f t="shared" si="16"/>
        <v>3.4069063289822288</v>
      </c>
      <c r="Y26">
        <f t="shared" si="17"/>
        <v>1.7075079120856891</v>
      </c>
      <c r="Z26">
        <f t="shared" si="18"/>
        <v>-242.91215941767797</v>
      </c>
      <c r="AA26">
        <f t="shared" si="19"/>
        <v>-167.55243798911346</v>
      </c>
      <c r="AB26">
        <f t="shared" si="20"/>
        <v>-10.576688346821458</v>
      </c>
      <c r="AC26">
        <f t="shared" si="21"/>
        <v>-67.703544893134222</v>
      </c>
      <c r="AD26">
        <v>-4.1538002880184201E-2</v>
      </c>
      <c r="AE26">
        <v>4.6630047161919097E-2</v>
      </c>
      <c r="AF26">
        <v>3.4787118907659198</v>
      </c>
      <c r="AG26">
        <v>99</v>
      </c>
      <c r="AH26">
        <v>20</v>
      </c>
      <c r="AI26">
        <f t="shared" si="22"/>
        <v>1</v>
      </c>
      <c r="AJ26">
        <f t="shared" si="23"/>
        <v>0</v>
      </c>
      <c r="AK26">
        <f t="shared" si="24"/>
        <v>53115.589508556273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331</v>
      </c>
      <c r="AS26">
        <v>272.517615384615</v>
      </c>
      <c r="AT26">
        <v>391.74799999999999</v>
      </c>
      <c r="AU26">
        <f t="shared" si="27"/>
        <v>0.30435480108484281</v>
      </c>
      <c r="AV26">
        <v>0.5</v>
      </c>
      <c r="AW26">
        <f t="shared" si="28"/>
        <v>1849.1877093865548</v>
      </c>
      <c r="AX26">
        <f t="shared" si="29"/>
        <v>44.724670872748391</v>
      </c>
      <c r="AY26">
        <f t="shared" si="30"/>
        <v>281.40457872944052</v>
      </c>
      <c r="AZ26">
        <f t="shared" si="31"/>
        <v>0.53495614527706581</v>
      </c>
      <c r="BA26">
        <f t="shared" si="32"/>
        <v>2.4726895296052442E-2</v>
      </c>
      <c r="BB26">
        <f t="shared" si="33"/>
        <v>-1</v>
      </c>
      <c r="BC26" t="s">
        <v>332</v>
      </c>
      <c r="BD26">
        <v>182.18</v>
      </c>
      <c r="BE26">
        <f t="shared" si="34"/>
        <v>209.56799999999998</v>
      </c>
      <c r="BF26">
        <f t="shared" si="35"/>
        <v>0.56893411501462532</v>
      </c>
      <c r="BG26">
        <f t="shared" si="36"/>
        <v>2.1503348336809749</v>
      </c>
      <c r="BH26">
        <f t="shared" si="37"/>
        <v>0.30435480108484281</v>
      </c>
      <c r="BI26" t="e">
        <f t="shared" si="38"/>
        <v>#DIV/0!</v>
      </c>
      <c r="BJ26">
        <v>3687</v>
      </c>
      <c r="BK26">
        <v>300</v>
      </c>
      <c r="BL26">
        <v>300</v>
      </c>
      <c r="BM26">
        <v>300</v>
      </c>
      <c r="BN26">
        <v>9879.56</v>
      </c>
      <c r="BO26">
        <v>356.66399999999999</v>
      </c>
      <c r="BP26">
        <v>-6.4071700000000002E-3</v>
      </c>
      <c r="BQ26">
        <v>0.24804699999999999</v>
      </c>
      <c r="BR26">
        <f t="shared" si="39"/>
        <v>2200.0032258064498</v>
      </c>
      <c r="BS26">
        <f t="shared" si="40"/>
        <v>1849.1877093865548</v>
      </c>
      <c r="BT26">
        <f t="shared" si="41"/>
        <v>0.84053863544163787</v>
      </c>
      <c r="BU26">
        <f t="shared" si="42"/>
        <v>0.19107727088327561</v>
      </c>
      <c r="BV26">
        <v>0.5</v>
      </c>
      <c r="BW26" t="s">
        <v>281</v>
      </c>
      <c r="BX26">
        <v>1592246716.3</v>
      </c>
      <c r="BY26">
        <v>680.64874193548405</v>
      </c>
      <c r="BZ26">
        <v>700.03622580645197</v>
      </c>
      <c r="CA26">
        <v>18.8070290322581</v>
      </c>
      <c r="CB26">
        <v>16.645409677419401</v>
      </c>
      <c r="CC26">
        <v>500.05280645161298</v>
      </c>
      <c r="CD26">
        <v>100.16261290322601</v>
      </c>
      <c r="CE26">
        <v>0.19994877419354801</v>
      </c>
      <c r="CF26">
        <v>26.1628258064516</v>
      </c>
      <c r="CG26">
        <v>27.075348387096799</v>
      </c>
      <c r="CH26">
        <v>999.9</v>
      </c>
      <c r="CI26">
        <v>10000.8287096774</v>
      </c>
      <c r="CJ26">
        <v>0</v>
      </c>
      <c r="CK26">
        <v>281.40667741935499</v>
      </c>
      <c r="CL26">
        <v>2200.0032258064498</v>
      </c>
      <c r="CM26">
        <v>0.98200393548387099</v>
      </c>
      <c r="CN26">
        <v>1.7996267741935499E-2</v>
      </c>
      <c r="CO26">
        <v>0</v>
      </c>
      <c r="CP26">
        <v>272.53909677419398</v>
      </c>
      <c r="CQ26">
        <v>5.00054</v>
      </c>
      <c r="CR26">
        <v>7281.6087096774199</v>
      </c>
      <c r="CS26">
        <v>20590.583870967701</v>
      </c>
      <c r="CT26">
        <v>50.578258064516099</v>
      </c>
      <c r="CU26">
        <v>50.997903225806397</v>
      </c>
      <c r="CV26">
        <v>50.758000000000003</v>
      </c>
      <c r="CW26">
        <v>49.786064516129002</v>
      </c>
      <c r="CX26">
        <v>51.677</v>
      </c>
      <c r="CY26">
        <v>2155.5032258064498</v>
      </c>
      <c r="CZ26">
        <v>39.5</v>
      </c>
      <c r="DA26">
        <v>0</v>
      </c>
      <c r="DB26">
        <v>125.200000047684</v>
      </c>
      <c r="DC26">
        <v>272.517615384615</v>
      </c>
      <c r="DD26">
        <v>-1.05593161669129</v>
      </c>
      <c r="DE26">
        <v>-26.961709415319401</v>
      </c>
      <c r="DF26">
        <v>7281.5142307692304</v>
      </c>
      <c r="DG26">
        <v>15</v>
      </c>
      <c r="DH26">
        <v>1592246666.3</v>
      </c>
      <c r="DI26" t="s">
        <v>333</v>
      </c>
      <c r="DJ26">
        <v>38</v>
      </c>
      <c r="DK26">
        <v>3.6999999999999998E-2</v>
      </c>
      <c r="DL26">
        <v>0.10100000000000001</v>
      </c>
      <c r="DM26">
        <v>700</v>
      </c>
      <c r="DN26">
        <v>17</v>
      </c>
      <c r="DO26">
        <v>0.18</v>
      </c>
      <c r="DP26">
        <v>0.03</v>
      </c>
      <c r="DQ26">
        <v>-19.428882692307699</v>
      </c>
      <c r="DR26">
        <v>0.41205446939297702</v>
      </c>
      <c r="DS26">
        <v>8.5325863427653303E-2</v>
      </c>
      <c r="DT26">
        <v>1</v>
      </c>
      <c r="DU26">
        <v>2.1486913461538499</v>
      </c>
      <c r="DV26">
        <v>9.25823102535651E-2</v>
      </c>
      <c r="DW26">
        <v>1.7389183865137599E-2</v>
      </c>
      <c r="DX26">
        <v>1</v>
      </c>
      <c r="DY26">
        <v>2</v>
      </c>
      <c r="DZ26">
        <v>2</v>
      </c>
      <c r="EA26" t="s">
        <v>283</v>
      </c>
      <c r="EB26">
        <v>1.86663</v>
      </c>
      <c r="EC26">
        <v>1.8632200000000001</v>
      </c>
      <c r="ED26">
        <v>1.8688</v>
      </c>
      <c r="EE26">
        <v>1.86676</v>
      </c>
      <c r="EF26">
        <v>1.87141</v>
      </c>
      <c r="EG26">
        <v>1.8638600000000001</v>
      </c>
      <c r="EH26">
        <v>1.86541</v>
      </c>
      <c r="EI26">
        <v>1.8653900000000001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3.6999999999999998E-2</v>
      </c>
      <c r="EX26">
        <v>0.10100000000000001</v>
      </c>
      <c r="EY26">
        <v>2</v>
      </c>
      <c r="EZ26">
        <v>382.11599999999999</v>
      </c>
      <c r="FA26">
        <v>489.05200000000002</v>
      </c>
      <c r="FB26">
        <v>17.834700000000002</v>
      </c>
      <c r="FC26">
        <v>36.039299999999997</v>
      </c>
      <c r="FD26">
        <v>29.999199999999998</v>
      </c>
      <c r="FE26">
        <v>35.928699999999999</v>
      </c>
      <c r="FF26">
        <v>35.888199999999998</v>
      </c>
      <c r="FG26">
        <v>35.214399999999998</v>
      </c>
      <c r="FH26">
        <v>17.497900000000001</v>
      </c>
      <c r="FI26">
        <v>50.233600000000003</v>
      </c>
      <c r="FJ26">
        <v>17.035499999999999</v>
      </c>
      <c r="FK26">
        <v>700</v>
      </c>
      <c r="FL26">
        <v>16.606000000000002</v>
      </c>
      <c r="FM26">
        <v>100.611</v>
      </c>
      <c r="FN26">
        <v>100.61799999999999</v>
      </c>
    </row>
    <row r="27" spans="1:170" x14ac:dyDescent="0.25">
      <c r="A27">
        <v>11</v>
      </c>
      <c r="B27">
        <v>1592246869.3</v>
      </c>
      <c r="C27">
        <v>1356.0999999046301</v>
      </c>
      <c r="D27" t="s">
        <v>334</v>
      </c>
      <c r="E27" t="s">
        <v>335</v>
      </c>
      <c r="G27">
        <v>1592246861.3</v>
      </c>
      <c r="H27">
        <f t="shared" si="0"/>
        <v>4.0611298665387749E-3</v>
      </c>
      <c r="I27">
        <f t="shared" si="1"/>
        <v>46.405705484980643</v>
      </c>
      <c r="J27">
        <f t="shared" si="2"/>
        <v>780.15867741935494</v>
      </c>
      <c r="K27">
        <f t="shared" si="3"/>
        <v>441.6184424801495</v>
      </c>
      <c r="L27">
        <f t="shared" si="4"/>
        <v>44.321103853300102</v>
      </c>
      <c r="M27">
        <f t="shared" si="5"/>
        <v>78.297214151129396</v>
      </c>
      <c r="N27">
        <f t="shared" si="6"/>
        <v>0.2387366443884828</v>
      </c>
      <c r="O27">
        <f t="shared" si="7"/>
        <v>3.4031908473142076</v>
      </c>
      <c r="P27">
        <f t="shared" si="8"/>
        <v>0.22980750930905908</v>
      </c>
      <c r="Q27">
        <f t="shared" si="9"/>
        <v>0.14440411571669889</v>
      </c>
      <c r="R27">
        <f t="shared" si="10"/>
        <v>353.33449738839596</v>
      </c>
      <c r="S27">
        <f t="shared" si="11"/>
        <v>27.095594801500219</v>
      </c>
      <c r="T27">
        <f t="shared" si="12"/>
        <v>27.024893548387102</v>
      </c>
      <c r="U27">
        <f t="shared" si="13"/>
        <v>3.5843959784936699</v>
      </c>
      <c r="V27">
        <f t="shared" si="14"/>
        <v>54.437057157971005</v>
      </c>
      <c r="W27">
        <f t="shared" si="15"/>
        <v>1.8589323065466707</v>
      </c>
      <c r="X27">
        <f t="shared" si="16"/>
        <v>3.4148288015500756</v>
      </c>
      <c r="Y27">
        <f t="shared" si="17"/>
        <v>1.7254636719469991</v>
      </c>
      <c r="Z27">
        <f t="shared" si="18"/>
        <v>-179.09582711435996</v>
      </c>
      <c r="AA27">
        <f t="shared" si="19"/>
        <v>-150.95433820355473</v>
      </c>
      <c r="AB27">
        <f t="shared" si="20"/>
        <v>-9.53576435616589</v>
      </c>
      <c r="AC27">
        <f t="shared" si="21"/>
        <v>13.748567714315385</v>
      </c>
      <c r="AD27">
        <v>-4.14972220385195E-2</v>
      </c>
      <c r="AE27">
        <v>4.6584267094552601E-2</v>
      </c>
      <c r="AF27">
        <v>3.4760112012791802</v>
      </c>
      <c r="AG27">
        <v>139</v>
      </c>
      <c r="AH27">
        <v>28</v>
      </c>
      <c r="AI27">
        <f t="shared" si="22"/>
        <v>1</v>
      </c>
      <c r="AJ27">
        <f t="shared" si="23"/>
        <v>0</v>
      </c>
      <c r="AK27">
        <f t="shared" si="24"/>
        <v>53058.553048840666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336</v>
      </c>
      <c r="AS27">
        <v>268.57657692307703</v>
      </c>
      <c r="AT27">
        <v>384.625</v>
      </c>
      <c r="AU27">
        <f t="shared" si="27"/>
        <v>0.30171835704107375</v>
      </c>
      <c r="AV27">
        <v>0.5</v>
      </c>
      <c r="AW27">
        <f t="shared" si="28"/>
        <v>1849.1706384188146</v>
      </c>
      <c r="AX27">
        <f t="shared" si="29"/>
        <v>46.405705484980643</v>
      </c>
      <c r="AY27">
        <f t="shared" si="30"/>
        <v>278.96436345615911</v>
      </c>
      <c r="AZ27">
        <f t="shared" si="31"/>
        <v>0.52296392590185248</v>
      </c>
      <c r="BA27">
        <f t="shared" si="32"/>
        <v>2.5636198466527798E-2</v>
      </c>
      <c r="BB27">
        <f t="shared" si="33"/>
        <v>-1</v>
      </c>
      <c r="BC27" t="s">
        <v>337</v>
      </c>
      <c r="BD27">
        <v>183.48</v>
      </c>
      <c r="BE27">
        <f t="shared" si="34"/>
        <v>201.14500000000001</v>
      </c>
      <c r="BF27">
        <f t="shared" si="35"/>
        <v>0.57693913881489955</v>
      </c>
      <c r="BG27">
        <f t="shared" si="36"/>
        <v>2.0962775234357971</v>
      </c>
      <c r="BH27">
        <f t="shared" si="37"/>
        <v>0.30171835704107369</v>
      </c>
      <c r="BI27" t="e">
        <f t="shared" si="38"/>
        <v>#DIV/0!</v>
      </c>
      <c r="BJ27">
        <v>3689</v>
      </c>
      <c r="BK27">
        <v>300</v>
      </c>
      <c r="BL27">
        <v>300</v>
      </c>
      <c r="BM27">
        <v>300</v>
      </c>
      <c r="BN27">
        <v>9878.3700000000008</v>
      </c>
      <c r="BO27">
        <v>349.91899999999998</v>
      </c>
      <c r="BP27">
        <v>-6.4063599999999998E-3</v>
      </c>
      <c r="BQ27">
        <v>0.96707200000000004</v>
      </c>
      <c r="BR27">
        <f t="shared" si="39"/>
        <v>2199.9829032258099</v>
      </c>
      <c r="BS27">
        <f t="shared" si="40"/>
        <v>1849.1706384188146</v>
      </c>
      <c r="BT27">
        <f t="shared" si="41"/>
        <v>0.84053864041733994</v>
      </c>
      <c r="BU27">
        <f t="shared" si="42"/>
        <v>0.19107728083467979</v>
      </c>
      <c r="BV27">
        <v>0.5</v>
      </c>
      <c r="BW27" t="s">
        <v>281</v>
      </c>
      <c r="BX27">
        <v>1592246861.3</v>
      </c>
      <c r="BY27">
        <v>780.15867741935494</v>
      </c>
      <c r="BZ27">
        <v>799.98558064516101</v>
      </c>
      <c r="CA27">
        <v>18.522525806451601</v>
      </c>
      <c r="CB27">
        <v>16.928380645161301</v>
      </c>
      <c r="CC27">
        <v>500.06832258064497</v>
      </c>
      <c r="CD27">
        <v>100.160612903226</v>
      </c>
      <c r="CE27">
        <v>0.200014258064516</v>
      </c>
      <c r="CF27">
        <v>26.202132258064498</v>
      </c>
      <c r="CG27">
        <v>27.024893548387102</v>
      </c>
      <c r="CH27">
        <v>999.9</v>
      </c>
      <c r="CI27">
        <v>9991.2096774193506</v>
      </c>
      <c r="CJ27">
        <v>0</v>
      </c>
      <c r="CK27">
        <v>279.47032258064502</v>
      </c>
      <c r="CL27">
        <v>2199.9829032258099</v>
      </c>
      <c r="CM27">
        <v>0.98200580645161295</v>
      </c>
      <c r="CN27">
        <v>1.7994303225806502E-2</v>
      </c>
      <c r="CO27">
        <v>0</v>
      </c>
      <c r="CP27">
        <v>268.62403225806497</v>
      </c>
      <c r="CQ27">
        <v>5.00054</v>
      </c>
      <c r="CR27">
        <v>7185.4729032258101</v>
      </c>
      <c r="CS27">
        <v>20590.416129032299</v>
      </c>
      <c r="CT27">
        <v>50.632935483871002</v>
      </c>
      <c r="CU27">
        <v>51.096548387096803</v>
      </c>
      <c r="CV27">
        <v>50.804000000000002</v>
      </c>
      <c r="CW27">
        <v>49.8929677419355</v>
      </c>
      <c r="CX27">
        <v>51.683</v>
      </c>
      <c r="CY27">
        <v>2155.4829032258099</v>
      </c>
      <c r="CZ27">
        <v>39.5</v>
      </c>
      <c r="DA27">
        <v>0</v>
      </c>
      <c r="DB27">
        <v>144.40000009536701</v>
      </c>
      <c r="DC27">
        <v>268.57657692307703</v>
      </c>
      <c r="DD27">
        <v>-2.7731623950157802</v>
      </c>
      <c r="DE27">
        <v>-56.459487195041</v>
      </c>
      <c r="DF27">
        <v>7185.2069230769202</v>
      </c>
      <c r="DG27">
        <v>15</v>
      </c>
      <c r="DH27">
        <v>1592246824.3</v>
      </c>
      <c r="DI27" t="s">
        <v>338</v>
      </c>
      <c r="DJ27">
        <v>39</v>
      </c>
      <c r="DK27">
        <v>-4.9000000000000002E-2</v>
      </c>
      <c r="DL27">
        <v>9.6000000000000002E-2</v>
      </c>
      <c r="DM27">
        <v>800</v>
      </c>
      <c r="DN27">
        <v>16</v>
      </c>
      <c r="DO27">
        <v>0.14000000000000001</v>
      </c>
      <c r="DP27">
        <v>0.03</v>
      </c>
      <c r="DQ27">
        <v>-19.836169230769201</v>
      </c>
      <c r="DR27">
        <v>0.36245983095710099</v>
      </c>
      <c r="DS27">
        <v>9.8868600713778398E-2</v>
      </c>
      <c r="DT27">
        <v>1</v>
      </c>
      <c r="DU27">
        <v>1.5925501923076899</v>
      </c>
      <c r="DV27">
        <v>-6.2338427388385301E-3</v>
      </c>
      <c r="DW27">
        <v>2.9130345365561E-2</v>
      </c>
      <c r="DX27">
        <v>1</v>
      </c>
      <c r="DY27">
        <v>2</v>
      </c>
      <c r="DZ27">
        <v>2</v>
      </c>
      <c r="EA27" t="s">
        <v>283</v>
      </c>
      <c r="EB27">
        <v>1.8667199999999999</v>
      </c>
      <c r="EC27">
        <v>1.8632500000000001</v>
      </c>
      <c r="ED27">
        <v>1.8688899999999999</v>
      </c>
      <c r="EE27">
        <v>1.86677</v>
      </c>
      <c r="EF27">
        <v>1.8714900000000001</v>
      </c>
      <c r="EG27">
        <v>1.86391</v>
      </c>
      <c r="EH27">
        <v>1.8654900000000001</v>
      </c>
      <c r="EI27">
        <v>1.8653900000000001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-4.9000000000000002E-2</v>
      </c>
      <c r="EX27">
        <v>9.6000000000000002E-2</v>
      </c>
      <c r="EY27">
        <v>2</v>
      </c>
      <c r="EZ27">
        <v>341.69</v>
      </c>
      <c r="FA27">
        <v>488.899</v>
      </c>
      <c r="FB27">
        <v>18.410499999999999</v>
      </c>
      <c r="FC27">
        <v>35.681100000000001</v>
      </c>
      <c r="FD27">
        <v>29.998799999999999</v>
      </c>
      <c r="FE27">
        <v>35.700400000000002</v>
      </c>
      <c r="FF27">
        <v>35.683100000000003</v>
      </c>
      <c r="FG27">
        <v>39.2408</v>
      </c>
      <c r="FH27">
        <v>10.9636</v>
      </c>
      <c r="FI27">
        <v>52.817</v>
      </c>
      <c r="FJ27">
        <v>18.398199999999999</v>
      </c>
      <c r="FK27">
        <v>800</v>
      </c>
      <c r="FL27">
        <v>17.117799999999999</v>
      </c>
      <c r="FM27">
        <v>100.676</v>
      </c>
      <c r="FN27">
        <v>100.703</v>
      </c>
    </row>
    <row r="28" spans="1:170" x14ac:dyDescent="0.25">
      <c r="A28">
        <v>12</v>
      </c>
      <c r="B28">
        <v>1592247004.9000001</v>
      </c>
      <c r="C28">
        <v>1491.7000000476801</v>
      </c>
      <c r="D28" t="s">
        <v>339</v>
      </c>
      <c r="E28" t="s">
        <v>340</v>
      </c>
      <c r="G28">
        <v>1592246996.9000001</v>
      </c>
      <c r="H28">
        <f t="shared" si="0"/>
        <v>4.1561286583086257E-3</v>
      </c>
      <c r="I28">
        <f t="shared" si="1"/>
        <v>48.012346363720162</v>
      </c>
      <c r="J28">
        <f t="shared" si="2"/>
        <v>979.17522580645198</v>
      </c>
      <c r="K28">
        <f t="shared" si="3"/>
        <v>631.0524483985464</v>
      </c>
      <c r="L28">
        <f t="shared" si="4"/>
        <v>63.334844051695825</v>
      </c>
      <c r="M28">
        <f t="shared" si="5"/>
        <v>98.273781177961638</v>
      </c>
      <c r="N28">
        <f t="shared" si="6"/>
        <v>0.24407469594719911</v>
      </c>
      <c r="O28">
        <f t="shared" si="7"/>
        <v>3.4052321067242635</v>
      </c>
      <c r="P28">
        <f t="shared" si="8"/>
        <v>0.23475554112440866</v>
      </c>
      <c r="Q28">
        <f t="shared" si="9"/>
        <v>0.14752985552314035</v>
      </c>
      <c r="R28">
        <f t="shared" si="10"/>
        <v>353.33897646889255</v>
      </c>
      <c r="S28">
        <f t="shared" si="11"/>
        <v>27.094964519644286</v>
      </c>
      <c r="T28">
        <f t="shared" si="12"/>
        <v>27.120116129032301</v>
      </c>
      <c r="U28">
        <f t="shared" si="13"/>
        <v>3.6044875359058079</v>
      </c>
      <c r="V28">
        <f t="shared" si="14"/>
        <v>54.872177991531878</v>
      </c>
      <c r="W28">
        <f t="shared" si="15"/>
        <v>1.8761539468431458</v>
      </c>
      <c r="X28">
        <f t="shared" si="16"/>
        <v>3.4191351892988142</v>
      </c>
      <c r="Y28">
        <f t="shared" si="17"/>
        <v>1.7283335890626621</v>
      </c>
      <c r="Z28">
        <f t="shared" si="18"/>
        <v>-183.28527383141039</v>
      </c>
      <c r="AA28">
        <f t="shared" si="19"/>
        <v>-164.60987947968783</v>
      </c>
      <c r="AB28">
        <f t="shared" si="20"/>
        <v>-10.398218631107813</v>
      </c>
      <c r="AC28">
        <f t="shared" si="21"/>
        <v>-4.9543954733134683</v>
      </c>
      <c r="AD28">
        <v>-4.1528883132058901E-2</v>
      </c>
      <c r="AE28">
        <v>4.6619809445714602E-2</v>
      </c>
      <c r="AF28">
        <v>3.4781080203610699</v>
      </c>
      <c r="AG28">
        <v>144</v>
      </c>
      <c r="AH28">
        <v>29</v>
      </c>
      <c r="AI28">
        <f t="shared" si="22"/>
        <v>1</v>
      </c>
      <c r="AJ28">
        <f t="shared" si="23"/>
        <v>0</v>
      </c>
      <c r="AK28">
        <f t="shared" si="24"/>
        <v>53093.66913287677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341</v>
      </c>
      <c r="AS28">
        <v>261.53380769230802</v>
      </c>
      <c r="AT28">
        <v>367.85</v>
      </c>
      <c r="AU28">
        <f t="shared" si="27"/>
        <v>0.28902050375884736</v>
      </c>
      <c r="AV28">
        <v>0.5</v>
      </c>
      <c r="AW28">
        <f t="shared" si="28"/>
        <v>1849.1942126123674</v>
      </c>
      <c r="AX28">
        <f t="shared" si="29"/>
        <v>48.012346363720162</v>
      </c>
      <c r="AY28">
        <f t="shared" si="30"/>
        <v>267.22752143858577</v>
      </c>
      <c r="AZ28">
        <f t="shared" si="31"/>
        <v>0.51197498980562728</v>
      </c>
      <c r="BA28">
        <f t="shared" si="32"/>
        <v>2.6504704605623947E-2</v>
      </c>
      <c r="BB28">
        <f t="shared" si="33"/>
        <v>-1</v>
      </c>
      <c r="BC28" t="s">
        <v>342</v>
      </c>
      <c r="BD28">
        <v>179.52</v>
      </c>
      <c r="BE28">
        <f t="shared" si="34"/>
        <v>188.33</v>
      </c>
      <c r="BF28">
        <f t="shared" si="35"/>
        <v>0.56452074713371214</v>
      </c>
      <c r="BG28">
        <f t="shared" si="36"/>
        <v>2.0490753119429592</v>
      </c>
      <c r="BH28">
        <f t="shared" si="37"/>
        <v>0.28902050375884736</v>
      </c>
      <c r="BI28" t="e">
        <f t="shared" si="38"/>
        <v>#DIV/0!</v>
      </c>
      <c r="BJ28">
        <v>3691</v>
      </c>
      <c r="BK28">
        <v>300</v>
      </c>
      <c r="BL28">
        <v>300</v>
      </c>
      <c r="BM28">
        <v>300</v>
      </c>
      <c r="BN28">
        <v>9879.42</v>
      </c>
      <c r="BO28">
        <v>337.024</v>
      </c>
      <c r="BP28">
        <v>-6.4069299999999999E-3</v>
      </c>
      <c r="BQ28">
        <v>0.69659400000000005</v>
      </c>
      <c r="BR28">
        <f t="shared" si="39"/>
        <v>2200.01096774194</v>
      </c>
      <c r="BS28">
        <f t="shared" si="40"/>
        <v>1849.1942126123674</v>
      </c>
      <c r="BT28">
        <f t="shared" si="41"/>
        <v>0.84053863354615643</v>
      </c>
      <c r="BU28">
        <f t="shared" si="42"/>
        <v>0.19107726709231287</v>
      </c>
      <c r="BV28">
        <v>0.5</v>
      </c>
      <c r="BW28" t="s">
        <v>281</v>
      </c>
      <c r="BX28">
        <v>1592246996.9000001</v>
      </c>
      <c r="BY28">
        <v>979.17522580645198</v>
      </c>
      <c r="BZ28">
        <v>1000.00564516129</v>
      </c>
      <c r="CA28">
        <v>18.6935258064516</v>
      </c>
      <c r="CB28">
        <v>17.062335483870999</v>
      </c>
      <c r="CC28">
        <v>500.05641935483902</v>
      </c>
      <c r="CD28">
        <v>100.16383870967699</v>
      </c>
      <c r="CE28">
        <v>0.19999667741935501</v>
      </c>
      <c r="CF28">
        <v>26.223464516128999</v>
      </c>
      <c r="CG28">
        <v>27.120116129032301</v>
      </c>
      <c r="CH28">
        <v>999.9</v>
      </c>
      <c r="CI28">
        <v>9998.5106451612901</v>
      </c>
      <c r="CJ28">
        <v>0</v>
      </c>
      <c r="CK28">
        <v>1834.4406451612899</v>
      </c>
      <c r="CL28">
        <v>2200.01096774194</v>
      </c>
      <c r="CM28">
        <v>0.982003870967742</v>
      </c>
      <c r="CN28">
        <v>1.7996335483871001E-2</v>
      </c>
      <c r="CO28">
        <v>0</v>
      </c>
      <c r="CP28">
        <v>261.58309677419402</v>
      </c>
      <c r="CQ28">
        <v>5.00054</v>
      </c>
      <c r="CR28">
        <v>7483.77</v>
      </c>
      <c r="CS28">
        <v>20590.661290322601</v>
      </c>
      <c r="CT28">
        <v>50.725612903225802</v>
      </c>
      <c r="CU28">
        <v>51.249870967741899</v>
      </c>
      <c r="CV28">
        <v>50.937064516128999</v>
      </c>
      <c r="CW28">
        <v>49.856516129032201</v>
      </c>
      <c r="CX28">
        <v>51.818096774193499</v>
      </c>
      <c r="CY28">
        <v>2155.51096774194</v>
      </c>
      <c r="CZ28">
        <v>39.5</v>
      </c>
      <c r="DA28">
        <v>0</v>
      </c>
      <c r="DB28">
        <v>135</v>
      </c>
      <c r="DC28">
        <v>261.53380769230802</v>
      </c>
      <c r="DD28">
        <v>-5.3183931433629397</v>
      </c>
      <c r="DE28">
        <v>-95.606495620598196</v>
      </c>
      <c r="DF28">
        <v>7482.99346153846</v>
      </c>
      <c r="DG28">
        <v>15</v>
      </c>
      <c r="DH28">
        <v>1592246954.9000001</v>
      </c>
      <c r="DI28" t="s">
        <v>343</v>
      </c>
      <c r="DJ28">
        <v>40</v>
      </c>
      <c r="DK28">
        <v>0.35199999999999998</v>
      </c>
      <c r="DL28">
        <v>0.106</v>
      </c>
      <c r="DM28">
        <v>1000</v>
      </c>
      <c r="DN28">
        <v>17</v>
      </c>
      <c r="DO28">
        <v>0.24</v>
      </c>
      <c r="DP28">
        <v>0.05</v>
      </c>
      <c r="DQ28">
        <v>-20.862182692307702</v>
      </c>
      <c r="DR28">
        <v>0.43636758874298998</v>
      </c>
      <c r="DS28">
        <v>0.102933951416867</v>
      </c>
      <c r="DT28">
        <v>1</v>
      </c>
      <c r="DU28">
        <v>1.62512423076923</v>
      </c>
      <c r="DV28">
        <v>5.5884572690441503E-2</v>
      </c>
      <c r="DW28">
        <v>1.043727848151E-2</v>
      </c>
      <c r="DX28">
        <v>1</v>
      </c>
      <c r="DY28">
        <v>2</v>
      </c>
      <c r="DZ28">
        <v>2</v>
      </c>
      <c r="EA28" t="s">
        <v>283</v>
      </c>
      <c r="EB28">
        <v>1.8666400000000001</v>
      </c>
      <c r="EC28">
        <v>1.8631800000000001</v>
      </c>
      <c r="ED28">
        <v>1.86883</v>
      </c>
      <c r="EE28">
        <v>1.86676</v>
      </c>
      <c r="EF28">
        <v>1.87144</v>
      </c>
      <c r="EG28">
        <v>1.8638699999999999</v>
      </c>
      <c r="EH28">
        <v>1.8653999999999999</v>
      </c>
      <c r="EI28">
        <v>1.8653900000000001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0.35199999999999998</v>
      </c>
      <c r="EX28">
        <v>0.106</v>
      </c>
      <c r="EY28">
        <v>2</v>
      </c>
      <c r="EZ28">
        <v>336.44900000000001</v>
      </c>
      <c r="FA28">
        <v>490.71199999999999</v>
      </c>
      <c r="FB28">
        <v>17.742000000000001</v>
      </c>
      <c r="FC28">
        <v>35.549799999999998</v>
      </c>
      <c r="FD28">
        <v>29.9999</v>
      </c>
      <c r="FE28">
        <v>35.569499999999998</v>
      </c>
      <c r="FF28">
        <v>35.559899999999999</v>
      </c>
      <c r="FG28">
        <v>46.972700000000003</v>
      </c>
      <c r="FH28">
        <v>13.9932</v>
      </c>
      <c r="FI28">
        <v>56.3596</v>
      </c>
      <c r="FJ28">
        <v>16.9497</v>
      </c>
      <c r="FK28">
        <v>1000</v>
      </c>
      <c r="FL28">
        <v>17.099399999999999</v>
      </c>
      <c r="FM28">
        <v>100.69499999999999</v>
      </c>
      <c r="FN28">
        <v>100.72499999999999</v>
      </c>
    </row>
    <row r="29" spans="1:170" x14ac:dyDescent="0.25">
      <c r="A29">
        <v>13</v>
      </c>
      <c r="B29">
        <v>1592247135.9000001</v>
      </c>
      <c r="C29">
        <v>1622.7000000476801</v>
      </c>
      <c r="D29" t="s">
        <v>344</v>
      </c>
      <c r="E29" t="s">
        <v>345</v>
      </c>
      <c r="G29">
        <v>1592247127.90645</v>
      </c>
      <c r="H29">
        <f t="shared" si="0"/>
        <v>4.7933100951775319E-3</v>
      </c>
      <c r="I29">
        <f t="shared" si="1"/>
        <v>48.293594528562288</v>
      </c>
      <c r="J29">
        <f t="shared" si="2"/>
        <v>1178.4090322580601</v>
      </c>
      <c r="K29">
        <f t="shared" si="3"/>
        <v>860.67297163147043</v>
      </c>
      <c r="L29">
        <f t="shared" si="4"/>
        <v>86.378939572099995</v>
      </c>
      <c r="M29">
        <f t="shared" si="5"/>
        <v>118.26759517692963</v>
      </c>
      <c r="N29">
        <f t="shared" si="6"/>
        <v>0.27816893297032169</v>
      </c>
      <c r="O29">
        <f t="shared" si="7"/>
        <v>3.4063730404272725</v>
      </c>
      <c r="P29">
        <f t="shared" si="8"/>
        <v>0.26613726307436258</v>
      </c>
      <c r="Q29">
        <f t="shared" si="9"/>
        <v>0.16737341868202529</v>
      </c>
      <c r="R29">
        <f t="shared" si="10"/>
        <v>353.33854935097764</v>
      </c>
      <c r="S29">
        <f t="shared" si="11"/>
        <v>27.08301756356202</v>
      </c>
      <c r="T29">
        <f t="shared" si="12"/>
        <v>27.3568903225807</v>
      </c>
      <c r="U29">
        <f t="shared" si="13"/>
        <v>3.6548725509441189</v>
      </c>
      <c r="V29">
        <f t="shared" si="14"/>
        <v>55.058208870731605</v>
      </c>
      <c r="W29">
        <f t="shared" si="15"/>
        <v>1.8972831809752349</v>
      </c>
      <c r="X29">
        <f t="shared" si="16"/>
        <v>3.4459587768824274</v>
      </c>
      <c r="Y29">
        <f t="shared" si="17"/>
        <v>1.757589369968884</v>
      </c>
      <c r="Z29">
        <f t="shared" si="18"/>
        <v>-211.38497519732917</v>
      </c>
      <c r="AA29">
        <f t="shared" si="19"/>
        <v>-183.84224536856098</v>
      </c>
      <c r="AB29">
        <f t="shared" si="20"/>
        <v>-11.630684752786308</v>
      </c>
      <c r="AC29">
        <f t="shared" si="21"/>
        <v>-53.5193559676988</v>
      </c>
      <c r="AD29">
        <v>-4.1546583419279297E-2</v>
      </c>
      <c r="AE29">
        <v>4.6639679568749898E-2</v>
      </c>
      <c r="AF29">
        <v>3.4792800149668901</v>
      </c>
      <c r="AG29">
        <v>145</v>
      </c>
      <c r="AH29">
        <v>29</v>
      </c>
      <c r="AI29">
        <f t="shared" si="22"/>
        <v>1</v>
      </c>
      <c r="AJ29">
        <f t="shared" si="23"/>
        <v>0</v>
      </c>
      <c r="AK29">
        <f t="shared" si="24"/>
        <v>53091.851684113113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346</v>
      </c>
      <c r="AS29">
        <v>254.719192307692</v>
      </c>
      <c r="AT29">
        <v>353.74</v>
      </c>
      <c r="AU29">
        <f t="shared" si="27"/>
        <v>0.27992539066067734</v>
      </c>
      <c r="AV29">
        <v>0.5</v>
      </c>
      <c r="AW29">
        <f t="shared" si="28"/>
        <v>1849.1917932575204</v>
      </c>
      <c r="AX29">
        <f t="shared" si="29"/>
        <v>48.293594528562288</v>
      </c>
      <c r="AY29">
        <f t="shared" si="30"/>
        <v>258.81786756706492</v>
      </c>
      <c r="AZ29">
        <f t="shared" si="31"/>
        <v>0.5057386781251767</v>
      </c>
      <c r="BA29">
        <f t="shared" si="32"/>
        <v>2.6656831762013777E-2</v>
      </c>
      <c r="BB29">
        <f t="shared" si="33"/>
        <v>-1</v>
      </c>
      <c r="BC29" t="s">
        <v>347</v>
      </c>
      <c r="BD29">
        <v>174.84</v>
      </c>
      <c r="BE29">
        <f t="shared" si="34"/>
        <v>178.9</v>
      </c>
      <c r="BF29">
        <f t="shared" si="35"/>
        <v>0.55349808659758526</v>
      </c>
      <c r="BG29">
        <f t="shared" si="36"/>
        <v>2.0232212308396247</v>
      </c>
      <c r="BH29">
        <f t="shared" si="37"/>
        <v>0.27992539066067734</v>
      </c>
      <c r="BI29" t="e">
        <f t="shared" si="38"/>
        <v>#DIV/0!</v>
      </c>
      <c r="BJ29">
        <v>3693</v>
      </c>
      <c r="BK29">
        <v>300</v>
      </c>
      <c r="BL29">
        <v>300</v>
      </c>
      <c r="BM29">
        <v>300</v>
      </c>
      <c r="BN29">
        <v>9879.42</v>
      </c>
      <c r="BO29">
        <v>323.84899999999999</v>
      </c>
      <c r="BP29">
        <v>-6.4069599999999997E-3</v>
      </c>
      <c r="BQ29">
        <v>0.72363299999999997</v>
      </c>
      <c r="BR29">
        <f t="shared" si="39"/>
        <v>2200.0080645161302</v>
      </c>
      <c r="BS29">
        <f t="shared" si="40"/>
        <v>1849.1917932575204</v>
      </c>
      <c r="BT29">
        <f t="shared" si="41"/>
        <v>0.84053864305457981</v>
      </c>
      <c r="BU29">
        <f t="shared" si="42"/>
        <v>0.19107728610915986</v>
      </c>
      <c r="BV29">
        <v>0.5</v>
      </c>
      <c r="BW29" t="s">
        <v>281</v>
      </c>
      <c r="BX29">
        <v>1592247127.90645</v>
      </c>
      <c r="BY29">
        <v>1178.4090322580601</v>
      </c>
      <c r="BZ29">
        <v>1199.98322580645</v>
      </c>
      <c r="CA29">
        <v>18.9043806451613</v>
      </c>
      <c r="CB29">
        <v>17.023532258064499</v>
      </c>
      <c r="CC29">
        <v>500.06109677419403</v>
      </c>
      <c r="CD29">
        <v>100.16206451612901</v>
      </c>
      <c r="CE29">
        <v>0.20002703225806501</v>
      </c>
      <c r="CF29">
        <v>26.3558129032258</v>
      </c>
      <c r="CG29">
        <v>27.3568903225807</v>
      </c>
      <c r="CH29">
        <v>999.9</v>
      </c>
      <c r="CI29">
        <v>10002.9493548387</v>
      </c>
      <c r="CJ29">
        <v>0</v>
      </c>
      <c r="CK29">
        <v>1824.5825806451601</v>
      </c>
      <c r="CL29">
        <v>2200.0080645161302</v>
      </c>
      <c r="CM29">
        <v>0.98200354838709702</v>
      </c>
      <c r="CN29">
        <v>1.79966741935484E-2</v>
      </c>
      <c r="CO29">
        <v>0</v>
      </c>
      <c r="CP29">
        <v>254.729419354839</v>
      </c>
      <c r="CQ29">
        <v>5.00054</v>
      </c>
      <c r="CR29">
        <v>7357.4651612903199</v>
      </c>
      <c r="CS29">
        <v>20590.629032258101</v>
      </c>
      <c r="CT29">
        <v>50.758000000000003</v>
      </c>
      <c r="CU29">
        <v>51.1871935483871</v>
      </c>
      <c r="CV29">
        <v>50.961387096774203</v>
      </c>
      <c r="CW29">
        <v>49.939225806451603</v>
      </c>
      <c r="CX29">
        <v>51.776000000000003</v>
      </c>
      <c r="CY29">
        <v>2155.5074193548398</v>
      </c>
      <c r="CZ29">
        <v>39.500645161290301</v>
      </c>
      <c r="DA29">
        <v>0</v>
      </c>
      <c r="DB29">
        <v>130.200000047684</v>
      </c>
      <c r="DC29">
        <v>254.719192307692</v>
      </c>
      <c r="DD29">
        <v>-4.0148717970647203</v>
      </c>
      <c r="DE29">
        <v>-87.045470395963903</v>
      </c>
      <c r="DF29">
        <v>7357.2261538461498</v>
      </c>
      <c r="DG29">
        <v>15</v>
      </c>
      <c r="DH29">
        <v>1592247067.4000001</v>
      </c>
      <c r="DI29" t="s">
        <v>348</v>
      </c>
      <c r="DJ29">
        <v>41</v>
      </c>
      <c r="DK29">
        <v>0.29199999999999998</v>
      </c>
      <c r="DL29">
        <v>0.112</v>
      </c>
      <c r="DM29">
        <v>1200</v>
      </c>
      <c r="DN29">
        <v>17</v>
      </c>
      <c r="DO29">
        <v>0.1</v>
      </c>
      <c r="DP29">
        <v>0.05</v>
      </c>
      <c r="DQ29">
        <v>-21.605019230769201</v>
      </c>
      <c r="DR29">
        <v>0.229462261549816</v>
      </c>
      <c r="DS29">
        <v>6.8945201312518106E-2</v>
      </c>
      <c r="DT29">
        <v>1</v>
      </c>
      <c r="DU29">
        <v>1.87036769230769</v>
      </c>
      <c r="DV29">
        <v>8.1707269789130996E-2</v>
      </c>
      <c r="DW29">
        <v>1.8187334732570299E-2</v>
      </c>
      <c r="DX29">
        <v>1</v>
      </c>
      <c r="DY29">
        <v>2</v>
      </c>
      <c r="DZ29">
        <v>2</v>
      </c>
      <c r="EA29" t="s">
        <v>283</v>
      </c>
      <c r="EB29">
        <v>1.86663</v>
      </c>
      <c r="EC29">
        <v>1.86317</v>
      </c>
      <c r="ED29">
        <v>1.8688100000000001</v>
      </c>
      <c r="EE29">
        <v>1.86676</v>
      </c>
      <c r="EF29">
        <v>1.8714200000000001</v>
      </c>
      <c r="EG29">
        <v>1.8638600000000001</v>
      </c>
      <c r="EH29">
        <v>1.8654500000000001</v>
      </c>
      <c r="EI29">
        <v>1.8653900000000001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0.29199999999999998</v>
      </c>
      <c r="EX29">
        <v>0.112</v>
      </c>
      <c r="EY29">
        <v>2</v>
      </c>
      <c r="EZ29">
        <v>335.90100000000001</v>
      </c>
      <c r="FA29">
        <v>490.214</v>
      </c>
      <c r="FB29">
        <v>17.779699999999998</v>
      </c>
      <c r="FC29">
        <v>35.549799999999998</v>
      </c>
      <c r="FD29">
        <v>30.0001</v>
      </c>
      <c r="FE29">
        <v>35.515099999999997</v>
      </c>
      <c r="FF29">
        <v>35.502299999999998</v>
      </c>
      <c r="FG29">
        <v>54.377200000000002</v>
      </c>
      <c r="FH29">
        <v>16.036999999999999</v>
      </c>
      <c r="FI29">
        <v>59.496699999999997</v>
      </c>
      <c r="FJ29">
        <v>17.093499999999999</v>
      </c>
      <c r="FK29">
        <v>1200</v>
      </c>
      <c r="FL29">
        <v>16.957599999999999</v>
      </c>
      <c r="FM29">
        <v>100.70399999999999</v>
      </c>
      <c r="FN29">
        <v>100.738</v>
      </c>
    </row>
    <row r="30" spans="1:170" x14ac:dyDescent="0.25">
      <c r="A30">
        <v>14</v>
      </c>
      <c r="B30">
        <v>1592247256.4000001</v>
      </c>
      <c r="C30">
        <v>1743.2000000476801</v>
      </c>
      <c r="D30" t="s">
        <v>349</v>
      </c>
      <c r="E30" t="s">
        <v>350</v>
      </c>
      <c r="G30">
        <v>1592247248.43226</v>
      </c>
      <c r="H30">
        <f t="shared" si="0"/>
        <v>4.6875125175238688E-3</v>
      </c>
      <c r="I30">
        <f t="shared" si="1"/>
        <v>48.242074610723584</v>
      </c>
      <c r="J30">
        <f t="shared" si="2"/>
        <v>1577.7790322580599</v>
      </c>
      <c r="K30">
        <f t="shared" si="3"/>
        <v>1241.2182679450484</v>
      </c>
      <c r="L30">
        <f t="shared" si="4"/>
        <v>124.56555511822168</v>
      </c>
      <c r="M30">
        <f t="shared" si="5"/>
        <v>158.34195006854102</v>
      </c>
      <c r="N30">
        <f t="shared" si="6"/>
        <v>0.2705816284399582</v>
      </c>
      <c r="O30">
        <f t="shared" si="7"/>
        <v>3.4040691426424745</v>
      </c>
      <c r="P30">
        <f t="shared" si="8"/>
        <v>0.25917553359078754</v>
      </c>
      <c r="Q30">
        <f t="shared" si="9"/>
        <v>0.1629694337320208</v>
      </c>
      <c r="R30">
        <f t="shared" si="10"/>
        <v>353.33986980913704</v>
      </c>
      <c r="S30">
        <f t="shared" si="11"/>
        <v>27.114155857247528</v>
      </c>
      <c r="T30">
        <f t="shared" si="12"/>
        <v>27.385406451612901</v>
      </c>
      <c r="U30">
        <f t="shared" si="13"/>
        <v>3.6609819943631514</v>
      </c>
      <c r="V30">
        <f t="shared" si="14"/>
        <v>55.00326146107728</v>
      </c>
      <c r="W30">
        <f t="shared" si="15"/>
        <v>1.8961454307450498</v>
      </c>
      <c r="X30">
        <f t="shared" si="16"/>
        <v>3.4473327224183707</v>
      </c>
      <c r="Y30">
        <f t="shared" si="17"/>
        <v>1.7648365636181016</v>
      </c>
      <c r="Z30">
        <f t="shared" si="18"/>
        <v>-206.71930202280262</v>
      </c>
      <c r="AA30">
        <f t="shared" si="19"/>
        <v>-187.71153962902955</v>
      </c>
      <c r="AB30">
        <f t="shared" si="20"/>
        <v>-11.885609353773859</v>
      </c>
      <c r="AC30">
        <f t="shared" si="21"/>
        <v>-52.976581196468999</v>
      </c>
      <c r="AD30">
        <v>-4.1510843841552798E-2</v>
      </c>
      <c r="AE30">
        <v>4.6599558761793003E-2</v>
      </c>
      <c r="AF30">
        <v>3.4769134004850999</v>
      </c>
      <c r="AG30">
        <v>144</v>
      </c>
      <c r="AH30">
        <v>29</v>
      </c>
      <c r="AI30">
        <f t="shared" si="22"/>
        <v>1</v>
      </c>
      <c r="AJ30">
        <f t="shared" si="23"/>
        <v>0</v>
      </c>
      <c r="AK30">
        <f t="shared" si="24"/>
        <v>53046.749156205064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351</v>
      </c>
      <c r="AS30">
        <v>250.41503846153799</v>
      </c>
      <c r="AT30">
        <v>338.39299999999997</v>
      </c>
      <c r="AU30">
        <f t="shared" si="27"/>
        <v>0.25998753383924011</v>
      </c>
      <c r="AV30">
        <v>0.5</v>
      </c>
      <c r="AW30">
        <f t="shared" si="28"/>
        <v>1849.1988287413913</v>
      </c>
      <c r="AX30">
        <f t="shared" si="29"/>
        <v>48.242074610723584</v>
      </c>
      <c r="AY30">
        <f t="shared" si="30"/>
        <v>240.38432153144282</v>
      </c>
      <c r="AZ30">
        <f t="shared" si="31"/>
        <v>0.48580496641478987</v>
      </c>
      <c r="BA30">
        <f t="shared" si="32"/>
        <v>2.6628869673381156E-2</v>
      </c>
      <c r="BB30">
        <f t="shared" si="33"/>
        <v>-1</v>
      </c>
      <c r="BC30" t="s">
        <v>352</v>
      </c>
      <c r="BD30">
        <v>174</v>
      </c>
      <c r="BE30">
        <f t="shared" si="34"/>
        <v>164.39299999999997</v>
      </c>
      <c r="BF30">
        <f t="shared" si="35"/>
        <v>0.53516853843206214</v>
      </c>
      <c r="BG30">
        <f t="shared" si="36"/>
        <v>1.944787356321839</v>
      </c>
      <c r="BH30">
        <f t="shared" si="37"/>
        <v>0.25998753383924017</v>
      </c>
      <c r="BI30" t="e">
        <f t="shared" si="38"/>
        <v>#DIV/0!</v>
      </c>
      <c r="BJ30">
        <v>3695</v>
      </c>
      <c r="BK30">
        <v>300</v>
      </c>
      <c r="BL30">
        <v>300</v>
      </c>
      <c r="BM30">
        <v>300</v>
      </c>
      <c r="BN30">
        <v>9878.84</v>
      </c>
      <c r="BO30">
        <v>313.15600000000001</v>
      </c>
      <c r="BP30">
        <v>-6.4064999999999999E-3</v>
      </c>
      <c r="BQ30">
        <v>0.42901600000000001</v>
      </c>
      <c r="BR30">
        <f t="shared" si="39"/>
        <v>2200.0164516128998</v>
      </c>
      <c r="BS30">
        <f t="shared" si="40"/>
        <v>1849.1988287413913</v>
      </c>
      <c r="BT30">
        <f t="shared" si="41"/>
        <v>0.84053863660232475</v>
      </c>
      <c r="BU30">
        <f t="shared" si="42"/>
        <v>0.19107727320464971</v>
      </c>
      <c r="BV30">
        <v>0.5</v>
      </c>
      <c r="BW30" t="s">
        <v>281</v>
      </c>
      <c r="BX30">
        <v>1592247248.43226</v>
      </c>
      <c r="BY30">
        <v>1577.7790322580599</v>
      </c>
      <c r="BZ30">
        <v>1600.0316129032301</v>
      </c>
      <c r="CA30">
        <v>18.893909677419401</v>
      </c>
      <c r="CB30">
        <v>17.054545161290299</v>
      </c>
      <c r="CC30">
        <v>500.058258064516</v>
      </c>
      <c r="CD30">
        <v>100.15748387096799</v>
      </c>
      <c r="CE30">
        <v>0.20001032258064499</v>
      </c>
      <c r="CF30">
        <v>26.3625677419355</v>
      </c>
      <c r="CG30">
        <v>27.385406451612901</v>
      </c>
      <c r="CH30">
        <v>999.9</v>
      </c>
      <c r="CI30">
        <v>9994.8016129032294</v>
      </c>
      <c r="CJ30">
        <v>0</v>
      </c>
      <c r="CK30">
        <v>1821.39580645161</v>
      </c>
      <c r="CL30">
        <v>2200.0164516128998</v>
      </c>
      <c r="CM30">
        <v>0.98200451612903195</v>
      </c>
      <c r="CN30">
        <v>1.7995658064516099E-2</v>
      </c>
      <c r="CO30">
        <v>0</v>
      </c>
      <c r="CP30">
        <v>250.407677419355</v>
      </c>
      <c r="CQ30">
        <v>5.00054</v>
      </c>
      <c r="CR30">
        <v>7281.0890322580599</v>
      </c>
      <c r="CS30">
        <v>20590.716129032298</v>
      </c>
      <c r="CT30">
        <v>50.8343548387097</v>
      </c>
      <c r="CU30">
        <v>51.372806451612902</v>
      </c>
      <c r="CV30">
        <v>51.060032258064503</v>
      </c>
      <c r="CW30">
        <v>50.021967741935498</v>
      </c>
      <c r="CX30">
        <v>51.878999999999998</v>
      </c>
      <c r="CY30">
        <v>2155.5161290322599</v>
      </c>
      <c r="CZ30">
        <v>39.500322580645197</v>
      </c>
      <c r="DA30">
        <v>0</v>
      </c>
      <c r="DB30">
        <v>119.799999952316</v>
      </c>
      <c r="DC30">
        <v>250.41503846153799</v>
      </c>
      <c r="DD30">
        <v>-2.3473162422093101</v>
      </c>
      <c r="DE30">
        <v>-62.915555655075799</v>
      </c>
      <c r="DF30">
        <v>7280.5746153846203</v>
      </c>
      <c r="DG30">
        <v>15</v>
      </c>
      <c r="DH30">
        <v>1592247199.9000001</v>
      </c>
      <c r="DI30" t="s">
        <v>353</v>
      </c>
      <c r="DJ30">
        <v>42</v>
      </c>
      <c r="DK30">
        <v>0.29399999999999998</v>
      </c>
      <c r="DL30">
        <v>0.111</v>
      </c>
      <c r="DM30">
        <v>1600</v>
      </c>
      <c r="DN30">
        <v>17</v>
      </c>
      <c r="DO30">
        <v>0.08</v>
      </c>
      <c r="DP30">
        <v>0.05</v>
      </c>
      <c r="DQ30">
        <v>-22.266678846153798</v>
      </c>
      <c r="DR30">
        <v>0.250687929759629</v>
      </c>
      <c r="DS30">
        <v>8.3428042086345106E-2</v>
      </c>
      <c r="DT30">
        <v>1</v>
      </c>
      <c r="DU30">
        <v>1.84389596153846</v>
      </c>
      <c r="DV30">
        <v>-1.7595131285037102E-2</v>
      </c>
      <c r="DW30">
        <v>1.43618751801716E-2</v>
      </c>
      <c r="DX30">
        <v>1</v>
      </c>
      <c r="DY30">
        <v>2</v>
      </c>
      <c r="DZ30">
        <v>2</v>
      </c>
      <c r="EA30" t="s">
        <v>283</v>
      </c>
      <c r="EB30">
        <v>1.8666199999999999</v>
      </c>
      <c r="EC30">
        <v>1.86317</v>
      </c>
      <c r="ED30">
        <v>1.86877</v>
      </c>
      <c r="EE30">
        <v>1.86676</v>
      </c>
      <c r="EF30">
        <v>1.8714200000000001</v>
      </c>
      <c r="EG30">
        <v>1.8638600000000001</v>
      </c>
      <c r="EH30">
        <v>1.8654200000000001</v>
      </c>
      <c r="EI30">
        <v>1.86538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0.29399999999999998</v>
      </c>
      <c r="EX30">
        <v>0.111</v>
      </c>
      <c r="EY30">
        <v>2</v>
      </c>
      <c r="EZ30">
        <v>336.51400000000001</v>
      </c>
      <c r="FA30">
        <v>490.34500000000003</v>
      </c>
      <c r="FB30">
        <v>17.779599999999999</v>
      </c>
      <c r="FC30">
        <v>35.572800000000001</v>
      </c>
      <c r="FD30">
        <v>30.0001</v>
      </c>
      <c r="FE30">
        <v>35.495399999999997</v>
      </c>
      <c r="FF30">
        <v>35.477400000000003</v>
      </c>
      <c r="FG30">
        <v>68.348699999999994</v>
      </c>
      <c r="FH30">
        <v>16.513100000000001</v>
      </c>
      <c r="FI30">
        <v>62.197600000000001</v>
      </c>
      <c r="FJ30">
        <v>17.074200000000001</v>
      </c>
      <c r="FK30">
        <v>1600</v>
      </c>
      <c r="FL30">
        <v>17.008400000000002</v>
      </c>
      <c r="FM30">
        <v>100.705</v>
      </c>
      <c r="FN30">
        <v>100.74299999999999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2020-06-15T13:56:37Z</dcterms:created>
  <dcterms:modified xsi:type="dcterms:W3CDTF">2024-11-20T08:55:31Z</dcterms:modified>
</cp:coreProperties>
</file>