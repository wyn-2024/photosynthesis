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6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H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H29" i="1" s="1"/>
  <c r="X29" i="1"/>
  <c r="W29" i="1"/>
  <c r="V29" i="1"/>
  <c r="O29" i="1"/>
  <c r="BU28" i="1"/>
  <c r="BT28" i="1"/>
  <c r="BS28" i="1"/>
  <c r="AW28" i="1" s="1"/>
  <c r="BR28" i="1"/>
  <c r="BI28" i="1"/>
  <c r="BH28" i="1"/>
  <c r="BG28" i="1"/>
  <c r="BF28" i="1"/>
  <c r="BE28" i="1"/>
  <c r="AZ28" i="1" s="1"/>
  <c r="BB28" i="1"/>
  <c r="AU28" i="1"/>
  <c r="AY28" i="1" s="1"/>
  <c r="AP28" i="1"/>
  <c r="AO28" i="1"/>
  <c r="AK28" i="1"/>
  <c r="AI28" i="1"/>
  <c r="AJ28" i="1" s="1"/>
  <c r="X28" i="1"/>
  <c r="W28" i="1"/>
  <c r="V28" i="1"/>
  <c r="R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J27" i="1" s="1"/>
  <c r="X27" i="1"/>
  <c r="W27" i="1"/>
  <c r="V27" i="1"/>
  <c r="O27" i="1"/>
  <c r="M27" i="1"/>
  <c r="BU26" i="1"/>
  <c r="BT26" i="1"/>
  <c r="BS26" i="1"/>
  <c r="BR26" i="1"/>
  <c r="BI26" i="1"/>
  <c r="BH26" i="1"/>
  <c r="BG26" i="1"/>
  <c r="BF26" i="1"/>
  <c r="BE26" i="1"/>
  <c r="BB26" i="1"/>
  <c r="AZ26" i="1"/>
  <c r="AW26" i="1"/>
  <c r="AU26" i="1"/>
  <c r="AY26" i="1" s="1"/>
  <c r="AO26" i="1"/>
  <c r="AP26" i="1" s="1"/>
  <c r="AK26" i="1"/>
  <c r="AI26" i="1" s="1"/>
  <c r="X26" i="1"/>
  <c r="W26" i="1"/>
  <c r="V26" i="1"/>
  <c r="R26" i="1"/>
  <c r="O26" i="1"/>
  <c r="BU25" i="1"/>
  <c r="BT25" i="1"/>
  <c r="BS25" i="1"/>
  <c r="R25" i="1" s="1"/>
  <c r="BR25" i="1"/>
  <c r="BI25" i="1"/>
  <c r="BH25" i="1"/>
  <c r="BG25" i="1"/>
  <c r="BF25" i="1"/>
  <c r="BE25" i="1"/>
  <c r="BB25" i="1"/>
  <c r="AZ25" i="1"/>
  <c r="AW25" i="1"/>
  <c r="AU25" i="1"/>
  <c r="AY25" i="1" s="1"/>
  <c r="AO25" i="1"/>
  <c r="AP25" i="1" s="1"/>
  <c r="AK25" i="1"/>
  <c r="AI25" i="1"/>
  <c r="AJ25" i="1" s="1"/>
  <c r="X25" i="1"/>
  <c r="W25" i="1"/>
  <c r="V25" i="1" s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I24" i="1" s="1"/>
  <c r="AX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AJ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M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J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I19" i="1" s="1"/>
  <c r="AX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I18" i="1" s="1"/>
  <c r="AX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 s="1"/>
  <c r="X17" i="1"/>
  <c r="W17" i="1"/>
  <c r="V17" i="1"/>
  <c r="O17" i="1"/>
  <c r="AY19" i="1" l="1"/>
  <c r="R24" i="1"/>
  <c r="AW24" i="1"/>
  <c r="BA24" i="1" s="1"/>
  <c r="R20" i="1"/>
  <c r="AW20" i="1"/>
  <c r="AY20" i="1" s="1"/>
  <c r="AY22" i="1"/>
  <c r="R21" i="1"/>
  <c r="AW21" i="1"/>
  <c r="AY21" i="1" s="1"/>
  <c r="BA18" i="1"/>
  <c r="Z30" i="1"/>
  <c r="Z29" i="1"/>
  <c r="AY24" i="1"/>
  <c r="R30" i="1"/>
  <c r="AW30" i="1"/>
  <c r="I17" i="1"/>
  <c r="AX17" i="1" s="1"/>
  <c r="H17" i="1"/>
  <c r="AJ17" i="1"/>
  <c r="M17" i="1"/>
  <c r="J17" i="1"/>
  <c r="AW27" i="1"/>
  <c r="AY27" i="1" s="1"/>
  <c r="R27" i="1"/>
  <c r="AW18" i="1"/>
  <c r="AY18" i="1" s="1"/>
  <c r="R18" i="1"/>
  <c r="R17" i="1"/>
  <c r="AW17" i="1"/>
  <c r="AY17" i="1" s="1"/>
  <c r="R29" i="1"/>
  <c r="AW29" i="1"/>
  <c r="AY29" i="1" s="1"/>
  <c r="J26" i="1"/>
  <c r="M26" i="1"/>
  <c r="H26" i="1"/>
  <c r="AJ26" i="1"/>
  <c r="I26" i="1"/>
  <c r="AX26" i="1" s="1"/>
  <c r="BA26" i="1" s="1"/>
  <c r="AW23" i="1"/>
  <c r="AY23" i="1" s="1"/>
  <c r="R23" i="1"/>
  <c r="R19" i="1"/>
  <c r="AW19" i="1"/>
  <c r="AY30" i="1"/>
  <c r="R22" i="1"/>
  <c r="AW22" i="1"/>
  <c r="BA19" i="1"/>
  <c r="H20" i="1"/>
  <c r="I25" i="1"/>
  <c r="AX25" i="1" s="1"/>
  <c r="BA25" i="1" s="1"/>
  <c r="J21" i="1"/>
  <c r="AJ30" i="1"/>
  <c r="M29" i="1"/>
  <c r="AJ18" i="1"/>
  <c r="H23" i="1"/>
  <c r="M24" i="1"/>
  <c r="I28" i="1"/>
  <c r="AX28" i="1" s="1"/>
  <c r="BA28" i="1" s="1"/>
  <c r="AJ21" i="1"/>
  <c r="H25" i="1"/>
  <c r="M25" i="1"/>
  <c r="I29" i="1"/>
  <c r="AX29" i="1" s="1"/>
  <c r="BA29" i="1" s="1"/>
  <c r="M20" i="1"/>
  <c r="M19" i="1"/>
  <c r="I23" i="1"/>
  <c r="AX23" i="1" s="1"/>
  <c r="BA23" i="1" s="1"/>
  <c r="AJ27" i="1"/>
  <c r="AJ20" i="1"/>
  <c r="AJ29" i="1"/>
  <c r="M30" i="1"/>
  <c r="AJ19" i="1"/>
  <c r="H24" i="1"/>
  <c r="J29" i="1"/>
  <c r="J19" i="1"/>
  <c r="J28" i="1"/>
  <c r="J23" i="1"/>
  <c r="AJ22" i="1"/>
  <c r="H27" i="1"/>
  <c r="M28" i="1"/>
  <c r="H21" i="1"/>
  <c r="I30" i="1"/>
  <c r="AX30" i="1" s="1"/>
  <c r="BA30" i="1" s="1"/>
  <c r="J30" i="1"/>
  <c r="I20" i="1"/>
  <c r="AX20" i="1" s="1"/>
  <c r="BA20" i="1" s="1"/>
  <c r="J25" i="1"/>
  <c r="J24" i="1"/>
  <c r="H28" i="1"/>
  <c r="H22" i="1"/>
  <c r="M23" i="1"/>
  <c r="I27" i="1"/>
  <c r="AX27" i="1" s="1"/>
  <c r="H18" i="1"/>
  <c r="J18" i="1"/>
  <c r="M18" i="1"/>
  <c r="I22" i="1"/>
  <c r="AX22" i="1" s="1"/>
  <c r="I21" i="1"/>
  <c r="AX21" i="1" s="1"/>
  <c r="AJ24" i="1"/>
  <c r="H19" i="1"/>
  <c r="Z17" i="1" l="1"/>
  <c r="S17" i="1"/>
  <c r="T17" i="1" s="1"/>
  <c r="BA17" i="1"/>
  <c r="S20" i="1"/>
  <c r="T20" i="1" s="1"/>
  <c r="P19" i="1"/>
  <c r="N19" i="1" s="1"/>
  <c r="Q19" i="1" s="1"/>
  <c r="K19" i="1" s="1"/>
  <c r="L19" i="1" s="1"/>
  <c r="Z19" i="1"/>
  <c r="Z22" i="1"/>
  <c r="P25" i="1"/>
  <c r="N25" i="1" s="1"/>
  <c r="Q25" i="1" s="1"/>
  <c r="K25" i="1" s="1"/>
  <c r="L25" i="1" s="1"/>
  <c r="Z25" i="1"/>
  <c r="Z24" i="1"/>
  <c r="P24" i="1"/>
  <c r="N24" i="1" s="1"/>
  <c r="Q24" i="1" s="1"/>
  <c r="K24" i="1" s="1"/>
  <c r="L24" i="1" s="1"/>
  <c r="S22" i="1"/>
  <c r="T22" i="1" s="1"/>
  <c r="P28" i="1"/>
  <c r="N28" i="1" s="1"/>
  <c r="Q28" i="1" s="1"/>
  <c r="K28" i="1" s="1"/>
  <c r="L28" i="1" s="1"/>
  <c r="Z28" i="1"/>
  <c r="S29" i="1"/>
  <c r="T29" i="1" s="1"/>
  <c r="S21" i="1"/>
  <c r="T21" i="1" s="1"/>
  <c r="S27" i="1"/>
  <c r="T27" i="1" s="1"/>
  <c r="S19" i="1"/>
  <c r="T19" i="1" s="1"/>
  <c r="S30" i="1"/>
  <c r="T30" i="1" s="1"/>
  <c r="S28" i="1"/>
  <c r="T28" i="1" s="1"/>
  <c r="Z26" i="1"/>
  <c r="Z21" i="1"/>
  <c r="BA21" i="1"/>
  <c r="BA22" i="1"/>
  <c r="S23" i="1"/>
  <c r="T23" i="1" s="1"/>
  <c r="Z23" i="1"/>
  <c r="S18" i="1"/>
  <c r="T18" i="1" s="1"/>
  <c r="P27" i="1"/>
  <c r="N27" i="1" s="1"/>
  <c r="Q27" i="1" s="1"/>
  <c r="K27" i="1" s="1"/>
  <c r="L27" i="1" s="1"/>
  <c r="Z27" i="1"/>
  <c r="P20" i="1"/>
  <c r="N20" i="1" s="1"/>
  <c r="Q20" i="1" s="1"/>
  <c r="K20" i="1" s="1"/>
  <c r="L20" i="1" s="1"/>
  <c r="Z20" i="1"/>
  <c r="P18" i="1"/>
  <c r="N18" i="1" s="1"/>
  <c r="Q18" i="1" s="1"/>
  <c r="K18" i="1" s="1"/>
  <c r="L18" i="1" s="1"/>
  <c r="Z18" i="1"/>
  <c r="S24" i="1"/>
  <c r="T24" i="1" s="1"/>
  <c r="S26" i="1"/>
  <c r="T26" i="1" s="1"/>
  <c r="P26" i="1" s="1"/>
  <c r="N26" i="1" s="1"/>
  <c r="Q26" i="1" s="1"/>
  <c r="K26" i="1" s="1"/>
  <c r="L26" i="1" s="1"/>
  <c r="BA27" i="1"/>
  <c r="S25" i="1"/>
  <c r="T25" i="1" s="1"/>
  <c r="AB21" i="1" l="1"/>
  <c r="U21" i="1"/>
  <c r="Y21" i="1" s="1"/>
  <c r="AA21" i="1"/>
  <c r="AA23" i="1"/>
  <c r="U23" i="1"/>
  <c r="Y23" i="1" s="1"/>
  <c r="AB23" i="1"/>
  <c r="AC23" i="1" s="1"/>
  <c r="U20" i="1"/>
  <c r="Y20" i="1" s="1"/>
  <c r="AB20" i="1"/>
  <c r="AA20" i="1"/>
  <c r="U30" i="1"/>
  <c r="Y30" i="1" s="1"/>
  <c r="AB30" i="1"/>
  <c r="AA30" i="1"/>
  <c r="P30" i="1"/>
  <c r="N30" i="1" s="1"/>
  <c r="Q30" i="1" s="1"/>
  <c r="K30" i="1" s="1"/>
  <c r="L30" i="1" s="1"/>
  <c r="P21" i="1"/>
  <c r="N21" i="1" s="1"/>
  <c r="Q21" i="1" s="1"/>
  <c r="K21" i="1" s="1"/>
  <c r="L21" i="1" s="1"/>
  <c r="AB28" i="1"/>
  <c r="U28" i="1"/>
  <c r="Y28" i="1" s="1"/>
  <c r="AA28" i="1"/>
  <c r="U25" i="1"/>
  <c r="Y25" i="1" s="1"/>
  <c r="AA25" i="1"/>
  <c r="AB25" i="1"/>
  <c r="AC25" i="1" s="1"/>
  <c r="AB17" i="1"/>
  <c r="U17" i="1"/>
  <c r="Y17" i="1" s="1"/>
  <c r="AA17" i="1"/>
  <c r="U29" i="1"/>
  <c r="Y29" i="1" s="1"/>
  <c r="AB29" i="1"/>
  <c r="AA29" i="1"/>
  <c r="P29" i="1"/>
  <c r="N29" i="1" s="1"/>
  <c r="Q29" i="1" s="1"/>
  <c r="K29" i="1" s="1"/>
  <c r="L29" i="1" s="1"/>
  <c r="AB22" i="1"/>
  <c r="AC22" i="1" s="1"/>
  <c r="U22" i="1"/>
  <c r="Y22" i="1" s="1"/>
  <c r="AA22" i="1"/>
  <c r="P22" i="1"/>
  <c r="N22" i="1" s="1"/>
  <c r="Q22" i="1" s="1"/>
  <c r="K22" i="1" s="1"/>
  <c r="L22" i="1" s="1"/>
  <c r="U24" i="1"/>
  <c r="Y24" i="1" s="1"/>
  <c r="AA24" i="1"/>
  <c r="AB24" i="1"/>
  <c r="AC24" i="1" s="1"/>
  <c r="AB19" i="1"/>
  <c r="U19" i="1"/>
  <c r="Y19" i="1" s="1"/>
  <c r="AA19" i="1"/>
  <c r="AB18" i="1"/>
  <c r="U18" i="1"/>
  <c r="Y18" i="1" s="1"/>
  <c r="AA18" i="1"/>
  <c r="P23" i="1"/>
  <c r="N23" i="1" s="1"/>
  <c r="Q23" i="1" s="1"/>
  <c r="K23" i="1" s="1"/>
  <c r="L23" i="1" s="1"/>
  <c r="AB26" i="1"/>
  <c r="U26" i="1"/>
  <c r="Y26" i="1" s="1"/>
  <c r="AA26" i="1"/>
  <c r="AB27" i="1"/>
  <c r="U27" i="1"/>
  <c r="Y27" i="1" s="1"/>
  <c r="AA27" i="1"/>
  <c r="P17" i="1"/>
  <c r="N17" i="1" s="1"/>
  <c r="Q17" i="1" s="1"/>
  <c r="K17" i="1" s="1"/>
  <c r="L17" i="1" s="1"/>
  <c r="AC17" i="1" l="1"/>
  <c r="AC28" i="1"/>
  <c r="AC27" i="1"/>
  <c r="AC26" i="1"/>
  <c r="AC18" i="1"/>
  <c r="AC30" i="1"/>
  <c r="AC20" i="1"/>
  <c r="AC19" i="1"/>
  <c r="AC29" i="1"/>
  <c r="AC21" i="1"/>
</calcChain>
</file>

<file path=xl/sharedStrings.xml><?xml version="1.0" encoding="utf-8"?>
<sst xmlns="http://schemas.openxmlformats.org/spreadsheetml/2006/main" count="771" uniqueCount="354">
  <si>
    <t>File opened</t>
  </si>
  <si>
    <t>2020-06-15 12:47:22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</si>
  <si>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</si>
  <si>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</si>
  <si>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</si>
  <si>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</si>
  <si>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</si>
  <si>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</si>
  <si>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</si>
  <si>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</si>
  <si>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</si>
  <si>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</si>
  <si>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</si>
  <si>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{"co2aspan2": "0", "co2aspan2a": "0.164928", "flowbzero": "0.22736", "co2azero": "0.869071", "h2oaspan2": "0", "h2obspanconc1": "20", "co2aspanconc1": "1002", "co2bspanconc2": "0", "co2bzero": "0.880288", "h2oaspanconc2": "0", "co2aspan1": "0.992625", "h2oaspan1": "1.00223", "co2bspan2a": "0.163389", "co2bspan2": "0", "tazero": "0.00774765", "chamberpressurezero": "2.59209", "h2oaspanconc1": "12.19", "h2obspan2a": "0.0975941", "oxygen": "21", "h2oaspan2a": "0.0661155", "h2oaspan2b": "0.0662632", "h2obspan1": "0.998578", "h2obspan2b": "0.0963575", "h2obspan2": "0", "ssb_ref": "36526.8", "co2aspan2b": "0.163711", "h2obspanconc2": "0", "flowazero": "0.42932", "co2bspan1": "0.992131", "h2oazero": "1.00263", "co2bspanconc1": "1002", "co2bspan2b": "0.162103", "flowmeterzero": "0.990908", "co2aspanconc2": "0", "tbzero": "0.197721", "ssa_ref": "36614.9", "h2obzero": "1.01783"}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</si>
  <si>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</si>
  <si>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</si>
  <si>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</si>
  <si>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</si>
  <si>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</si>
  <si>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</si>
  <si>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</si>
  <si>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</si>
  <si>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</si>
  <si>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12:47:22</t>
  </si>
  <si>
    <t>Stability Definition:	ΔH2O (Meas2): Slp&lt;0.1	ΔCO2 (Meas2): Slp&lt;0.5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</si>
  <si>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</si>
  <si>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</si>
  <si>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</si>
  <si>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</si>
  <si>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</si>
  <si>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</si>
  <si>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</si>
  <si>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</si>
  <si>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</si>
  <si>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</si>
  <si>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</si>
  <si>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</si>
  <si>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</si>
  <si>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</si>
  <si>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</si>
  <si>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</si>
  <si>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</si>
  <si>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</si>
  <si>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</si>
  <si>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</si>
  <si>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</si>
  <si>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</si>
  <si>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</si>
  <si>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</si>
  <si>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</si>
  <si>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</si>
  <si>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</si>
  <si>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</si>
  <si>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</si>
  <si>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</si>
  <si>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</si>
  <si>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</si>
  <si>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</si>
  <si>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</si>
  <si>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</si>
  <si>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</si>
  <si>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</si>
  <si>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</si>
  <si>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</si>
  <si>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</si>
  <si>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</si>
  <si>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</si>
  <si>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</si>
  <si>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</si>
  <si>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</si>
  <si>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</si>
  <si>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3.69256 76.0623 384.222 614.299 840.097 1040.28 1212.83 1370.52</t>
  </si>
  <si>
    <t>Fs_true</t>
  </si>
  <si>
    <t>0.0779822 99.8435 402.691 600.685 800.753 1001.13 1200.5 1400.73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</si>
  <si>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</si>
  <si>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</si>
  <si>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</si>
  <si>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</si>
  <si>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</si>
  <si>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</si>
  <si>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</si>
  <si>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</si>
  <si>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</si>
  <si>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</si>
  <si>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</si>
  <si>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</si>
  <si>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</si>
  <si>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</si>
  <si>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</si>
  <si>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</si>
  <si>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</si>
  <si>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</si>
  <si>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</si>
  <si>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</si>
  <si>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</si>
  <si>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</si>
  <si>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</si>
  <si>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</si>
  <si>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</si>
  <si>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</si>
  <si>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</si>
  <si>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</si>
  <si>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</si>
  <si>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</si>
  <si>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</si>
  <si>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</si>
  <si>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</si>
  <si>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</si>
  <si>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</si>
  <si>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</si>
  <si>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</si>
  <si>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</si>
  <si>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</si>
  <si>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</si>
  <si>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</si>
  <si>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</si>
  <si>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</si>
  <si>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</si>
  <si>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</si>
  <si>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</si>
  <si>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</si>
  <si>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</si>
  <si>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</si>
  <si>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</si>
  <si>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</si>
  <si>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</si>
  <si>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</si>
  <si>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</si>
  <si>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</si>
  <si>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</si>
  <si>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</si>
  <si>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</si>
  <si>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</si>
  <si>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</si>
  <si>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</si>
  <si>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</si>
  <si>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</si>
  <si>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</si>
  <si>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</si>
  <si>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</si>
  <si>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</si>
  <si>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</si>
  <si>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</si>
  <si>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</si>
  <si>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</si>
  <si>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</si>
  <si>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</si>
  <si>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</si>
  <si>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</si>
  <si>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</si>
  <si>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</si>
  <si>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</si>
  <si>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</si>
  <si>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</si>
  <si>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</si>
  <si>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</si>
  <si>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</si>
  <si>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</si>
  <si>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</si>
  <si>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</si>
  <si>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</si>
  <si>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</si>
  <si>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</si>
  <si>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</si>
  <si>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</si>
  <si>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</si>
  <si>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</si>
  <si>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</si>
  <si>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</si>
  <si>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</si>
  <si>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</si>
  <si>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</si>
  <si>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</si>
  <si>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</si>
  <si>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</si>
  <si>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</si>
  <si>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</si>
  <si>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</si>
  <si>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</si>
  <si>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</si>
  <si>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</si>
  <si>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</si>
  <si>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</si>
  <si>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</si>
  <si>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</si>
  <si>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</si>
  <si>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</si>
  <si>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</si>
  <si>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</si>
  <si>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</si>
  <si>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</si>
  <si>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</si>
  <si>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</si>
  <si>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</si>
  <si>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</si>
  <si>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</si>
  <si>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</si>
  <si>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</si>
  <si>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</si>
  <si>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</si>
  <si>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</si>
  <si>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</si>
  <si>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</si>
  <si>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</si>
  <si>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</si>
  <si>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</si>
  <si>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</si>
  <si>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</si>
  <si>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</si>
  <si>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</si>
  <si>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</si>
  <si>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</si>
  <si>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</si>
  <si>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</si>
  <si>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</si>
  <si>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</si>
  <si>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</si>
  <si>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</si>
  <si>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</si>
  <si>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</si>
  <si>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</si>
  <si>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</si>
  <si>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</si>
  <si>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</si>
  <si>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</si>
  <si>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</si>
  <si>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</si>
  <si>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</si>
  <si>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</si>
  <si>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</si>
  <si>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</si>
  <si>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</si>
  <si>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</si>
  <si>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</si>
  <si>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</si>
  <si>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</si>
  <si>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</si>
  <si>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</si>
  <si>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</si>
  <si>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</si>
  <si>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</si>
  <si>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</si>
  <si>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</si>
  <si>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</si>
  <si>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</si>
  <si>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</si>
  <si>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</si>
  <si>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</si>
  <si>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</si>
  <si>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</si>
  <si>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</si>
  <si>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</si>
  <si>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</si>
  <si>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</si>
  <si>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</si>
  <si>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</si>
  <si>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</si>
  <si>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</si>
  <si>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</si>
  <si>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</si>
  <si>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</si>
  <si>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</si>
  <si>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</si>
  <si>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</si>
  <si>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</si>
  <si>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</si>
  <si>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</si>
  <si>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</si>
  <si>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</si>
  <si>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</si>
  <si>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</si>
  <si>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</si>
  <si>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</si>
  <si>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</si>
  <si>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</si>
  <si>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</si>
  <si>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</si>
  <si>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20200615 12:51:06</t>
  </si>
  <si>
    <t>12:51:06</t>
  </si>
  <si>
    <t>MPF-3641-20200615-12_51_07</t>
  </si>
  <si>
    <t>DARK-3642-20200615-12_51_15</t>
  </si>
  <si>
    <t>0: Broadleaf</t>
  </si>
  <si>
    <t>12:50:29</t>
  </si>
  <si>
    <t>2/2</t>
  </si>
  <si>
    <t>5</t>
  </si>
  <si>
    <t>11111111</t>
  </si>
  <si>
    <t>oooooooo</t>
  </si>
  <si>
    <t>off</t>
  </si>
  <si>
    <t>20200615 12:53:07</t>
  </si>
  <si>
    <t>12:53:07</t>
  </si>
  <si>
    <t>MPF-3643-20200615-12_53_08</t>
  </si>
  <si>
    <t>DARK-3644-20200615-12_53_16</t>
  </si>
  <si>
    <t>12:52:18</t>
  </si>
  <si>
    <t>20200615 12:55:15</t>
  </si>
  <si>
    <t>12:55:15</t>
  </si>
  <si>
    <t>MPF-3645-20200615-12_55_16</t>
  </si>
  <si>
    <t>DARK-3646-20200615-12_55_24</t>
  </si>
  <si>
    <t>12:54:21</t>
  </si>
  <si>
    <t>20200615 12:57:19</t>
  </si>
  <si>
    <t>12:57:19</t>
  </si>
  <si>
    <t>MPF-3647-20200615-12_57_21</t>
  </si>
  <si>
    <t>DARK-3648-20200615-12_57_28</t>
  </si>
  <si>
    <t>12:56:32</t>
  </si>
  <si>
    <t>20200615 12:59:29</t>
  </si>
  <si>
    <t>12:59:29</t>
  </si>
  <si>
    <t>MPF-3649-20200615-12_59_31</t>
  </si>
  <si>
    <t>DARK-3650-20200615-12_59_38</t>
  </si>
  <si>
    <t>12:58:40</t>
  </si>
  <si>
    <t>20200615 13:01:42</t>
  </si>
  <si>
    <t>13:01:42</t>
  </si>
  <si>
    <t>MPF-3651-20200615-13_01_44</t>
  </si>
  <si>
    <t>DARK-3652-20200615-13_01_51</t>
  </si>
  <si>
    <t>13:00:56</t>
  </si>
  <si>
    <t>20200615 13:03:43</t>
  </si>
  <si>
    <t>13:03:43</t>
  </si>
  <si>
    <t>MPF-3653-20200615-13_03_44</t>
  </si>
  <si>
    <t>DARK-3654-20200615-13_03_52</t>
  </si>
  <si>
    <t>13:03:03</t>
  </si>
  <si>
    <t>20200615 13:05:43</t>
  </si>
  <si>
    <t>13:05:43</t>
  </si>
  <si>
    <t>MPF-3655-20200615-13_05_45</t>
  </si>
  <si>
    <t>DARK-3656-20200615-13_05_52</t>
  </si>
  <si>
    <t>13:04:57</t>
  </si>
  <si>
    <t>20200615 13:08:14</t>
  </si>
  <si>
    <t>13:08:14</t>
  </si>
  <si>
    <t>MPF-3657-20200615-13_08_15</t>
  </si>
  <si>
    <t>DARK-3658-20200615-13_08_23</t>
  </si>
  <si>
    <t>13:06:45</t>
  </si>
  <si>
    <t>0/2</t>
  </si>
  <si>
    <t>20200615 13:10:20</t>
  </si>
  <si>
    <t>13:10:20</t>
  </si>
  <si>
    <t>MPF-3659-20200615-13_10_22</t>
  </si>
  <si>
    <t>DARK-3660-20200615-13_10_29</t>
  </si>
  <si>
    <t>13:09:29</t>
  </si>
  <si>
    <t>20200615 13:12:32</t>
  </si>
  <si>
    <t>13:12:32</t>
  </si>
  <si>
    <t>MPF-3661-20200615-13_12_33</t>
  </si>
  <si>
    <t>DARK-3662-20200615-13_12_41</t>
  </si>
  <si>
    <t>13:11:38</t>
  </si>
  <si>
    <t>20200615 13:14:42</t>
  </si>
  <si>
    <t>13:14:42</t>
  </si>
  <si>
    <t>MPF-3663-20200615-13_14_43</t>
  </si>
  <si>
    <t>DARK-3664-20200615-13_14_51</t>
  </si>
  <si>
    <t>13:13:53</t>
  </si>
  <si>
    <t>20200615 13:16:42</t>
  </si>
  <si>
    <t>13:16:42</t>
  </si>
  <si>
    <t>MPF-3665-20200615-13_16_44</t>
  </si>
  <si>
    <t>DARK-3666-20200615-13_16_51</t>
  </si>
  <si>
    <t>13:16:03</t>
  </si>
  <si>
    <t>20200615 13:18:43</t>
  </si>
  <si>
    <t>13:18:43</t>
  </si>
  <si>
    <t>MPF-3667-20200615-13_18_44</t>
  </si>
  <si>
    <t>DARK-3668-20200615-13_18_52</t>
  </si>
  <si>
    <t>13:17:41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</si>
</sst>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1592243466</v>
      </c>
      <c r="C17">
        <v>0</v>
      </c>
      <c r="D17" t="s">
        <v>277</v>
      </c>
      <c r="E17" t="s">
        <v>278</v>
      </c>
      <c r="G17">
        <v>1592243458</v>
      </c>
      <c r="H17">
        <f t="shared" ref="H17:H30" si="0">CC17*AI17*(CA17-CB17)/(100*$B$5*(1000-AI17*CA17))</f>
        <v>4.9010135142051742E-3</v>
      </c>
      <c r="I17">
        <f t="shared" ref="I17:I30" si="1">CC17*AI17*(BZ17-BY17*(1000-AI17*CB17)/(1000-AI17*CA17))/(100*$B$5)</f>
        <v>26.834833379030666</v>
      </c>
      <c r="J17">
        <f t="shared" ref="J17:J30" si="2">BY17 - IF(AI17&gt;1, I17*$B$5*100/(AK17*CI17), 0)</f>
        <v>388.48096774193601</v>
      </c>
      <c r="K17">
        <f t="shared" ref="K17:K30" si="3">((Q17-H17/2)*J17-I17)/(Q17+H17/2)</f>
        <v>231.34758608468928</v>
      </c>
      <c r="L17">
        <f t="shared" ref="L17:L30" si="4">K17*(CD17+CE17)/1000</f>
        <v>23.229752636320942</v>
      </c>
      <c r="M17">
        <f t="shared" ref="M17:M30" si="5">(BY17 - IF(AI17&gt;1, I17*$B$5*100/(AK17*CI17), 0))*(CD17+CE17)/1000</f>
        <v>39.007611608535321</v>
      </c>
      <c r="N17">
        <f t="shared" ref="N17:N30" si="6">2/((1/P17-1/O17)+SIGN(P17)*SQRT((1/P17-1/O17)*(1/P17-1/O17) + 4*BV17/((BV17+1)*(BV17+1))*(2*1/P17*1/O17-1/O17*1/O17)))</f>
        <v>0.3007995178477938</v>
      </c>
      <c r="O17">
        <f t="shared" ref="O17:O30" si="7">AF17+AE17*$B$5+AD17*$B$5*$B$5</f>
        <v>3.405964345753453</v>
      </c>
      <c r="P17">
        <f t="shared" ref="P17:P30" si="8">H17*(1000-(1000*0.61365*EXP(17.502*T17/(240.97+T17))/(CD17+CE17)+CA17)/2)/(1000*0.61365*EXP(17.502*T17/(240.97+T17))/(CD17+CE17)-CA17)</f>
        <v>0.28678194096603216</v>
      </c>
      <c r="Q17">
        <f t="shared" ref="Q17:Q30" si="9">1/((BV17+1)/(N17/1.6)+1/(O17/1.37)) + BV17/((BV17+1)/(N17/1.6) + BV17/(O17/1.37))</f>
        <v>0.18044369146382666</v>
      </c>
      <c r="R17">
        <f t="shared" ref="R17:R30" si="10">(BS17*BU17)</f>
        <v>353.33603255065367</v>
      </c>
      <c r="S17">
        <f t="shared" ref="S17:S30" si="11">(CF17+(R17+2*0.95*0.0000000567*(((CF17+$B$7)+273)^4-(CF17+273)^4)-44100*H17)/(1.84*29.3*O17+8*0.95*0.0000000567*(CF17+273)^3))</f>
        <v>27.160003255286227</v>
      </c>
      <c r="T17">
        <f t="shared" ref="T17:T30" si="12">($C$7*CG17+$D$7*CH17+$E$7*S17)</f>
        <v>27.048116129032302</v>
      </c>
      <c r="U17">
        <f t="shared" ref="U17:U30" si="13">0.61365*EXP(17.502*T17/(240.97+T17))</f>
        <v>3.589286808560991</v>
      </c>
      <c r="V17">
        <f t="shared" ref="V17:V30" si="14">(W17/X17*100)</f>
        <v>55.396449990156071</v>
      </c>
      <c r="W17">
        <f t="shared" ref="W17:W30" si="15">CA17*(CD17+CE17)/1000</f>
        <v>1.9203801569843018</v>
      </c>
      <c r="X17">
        <f t="shared" ref="X17:X30" si="16">0.61365*EXP(17.502*CF17/(240.97+CF17))</f>
        <v>3.4666123141926106</v>
      </c>
      <c r="Y17">
        <f t="shared" ref="Y17:Y30" si="17">(U17-CA17*(CD17+CE17)/1000)</f>
        <v>1.6689066515766893</v>
      </c>
      <c r="Z17">
        <f t="shared" ref="Z17:Z30" si="18">(-H17*44100)</f>
        <v>-216.13469597644817</v>
      </c>
      <c r="AA17">
        <f t="shared" ref="AA17:AA30" si="19">2*29.3*O17*0.92*(CF17-T17)</f>
        <v>-108.52258572717211</v>
      </c>
      <c r="AB17">
        <f t="shared" ref="AB17:AB30" si="20">2*0.95*0.0000000567*(((CF17+$B$7)+273)^4-(T17+273)^4)</f>
        <v>-6.8593125282229641</v>
      </c>
      <c r="AC17">
        <f t="shared" ref="AC17:AC30" si="21">R17+AB17+Z17+AA17</f>
        <v>21.819438318810413</v>
      </c>
      <c r="AD17">
        <v>-4.1540242677000398E-2</v>
      </c>
      <c r="AE17">
        <v>4.6632561530062303E-2</v>
      </c>
      <c r="AF17">
        <v>3.4788601934013301</v>
      </c>
      <c r="AG17">
        <v>112</v>
      </c>
      <c r="AH17">
        <v>22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53067.176256419814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280.88342307692301</v>
      </c>
      <c r="AT17">
        <v>382.87400000000002</v>
      </c>
      <c r="AU17">
        <f t="shared" ref="AU17:AU30" si="27">1-AS17/AT17</f>
        <v>0.26638156919267697</v>
      </c>
      <c r="AV17">
        <v>0.5</v>
      </c>
      <c r="AW17">
        <f t="shared" ref="AW17:AW30" si="28">BS17</f>
        <v>1849.1734061606019</v>
      </c>
      <c r="AX17">
        <f t="shared" ref="AX17:AX30" si="29">I17</f>
        <v>26.834833379030666</v>
      </c>
      <c r="AY17">
        <f t="shared" ref="AY17:AY30" si="30">AU17*AV17*AW17</f>
        <v>246.29285682121426</v>
      </c>
      <c r="AZ17">
        <f t="shared" ref="AZ17:AZ30" si="31">BE17/AT17</f>
        <v>0.49722362970585626</v>
      </c>
      <c r="BA17">
        <f t="shared" ref="BA17:BA30" si="32">(AX17-AQ17)/AW17</f>
        <v>1.5052581486570002E-2</v>
      </c>
      <c r="BB17">
        <f t="shared" ref="BB17:BB30" si="33">(AN17-AT17)/AT17</f>
        <v>-1</v>
      </c>
      <c r="BC17" t="s">
        <v>280</v>
      </c>
      <c r="BD17">
        <v>192.5</v>
      </c>
      <c r="BE17">
        <f t="shared" ref="BE17:BE30" si="34">AT17-BD17</f>
        <v>190.37400000000002</v>
      </c>
      <c r="BF17">
        <f t="shared" ref="BF17:BF30" si="35">(AT17-AS17)/(AT17-BD17)</f>
        <v>0.5357379522575404</v>
      </c>
      <c r="BG17">
        <f t="shared" ref="BG17:BG30" si="36">(AN17-AT17)/(AN17-BD17)</f>
        <v>1.9889558441558444</v>
      </c>
      <c r="BH17">
        <f t="shared" ref="BH17:BH30" si="37">(AT17-AS17)/(AT17-AM17)</f>
        <v>0.26638156919267697</v>
      </c>
      <c r="BI17" t="e">
        <f t="shared" ref="BI17:BI30" si="38">(AN17-AT17)/(AN17-AM17)</f>
        <v>#DIV/0!</v>
      </c>
      <c r="BJ17">
        <v>3641</v>
      </c>
      <c r="BK17">
        <v>300</v>
      </c>
      <c r="BL17">
        <v>300</v>
      </c>
      <c r="BM17">
        <v>300</v>
      </c>
      <c r="BN17">
        <v>9876.6</v>
      </c>
      <c r="BO17">
        <v>351.28100000000001</v>
      </c>
      <c r="BP17">
        <v>-6.4053799999999996E-3</v>
      </c>
      <c r="BQ17">
        <v>0.22741700000000001</v>
      </c>
      <c r="BR17">
        <f t="shared" ref="BR17:BR30" si="39">$B$11*CJ17+$C$11*CK17+$F$11*CL17</f>
        <v>2199.9854838709698</v>
      </c>
      <c r="BS17">
        <f t="shared" ref="BS17:BS30" si="40">BR17*BT17</f>
        <v>1849.1734061606019</v>
      </c>
      <c r="BT17">
        <f t="shared" ref="BT17:BT30" si="41">($B$11*$D$9+$C$11*$D$9+$F$11*((CY17+CQ17)/MAX(CY17+CQ17+CZ17, 0.1)*$I$9+CZ17/MAX(CY17+CQ17+CZ17, 0.1)*$J$9))/($B$11+$C$11+$F$11)</f>
        <v>0.84053891251450497</v>
      </c>
      <c r="BU17">
        <f t="shared" ref="BU17:BU30" si="42">($B$11*$K$9+$C$11*$K$9+$F$11*((CY17+CQ17)/MAX(CY17+CQ17+CZ17, 0.1)*$P$9+CZ17/MAX(CY17+CQ17+CZ17, 0.1)*$Q$9))/($B$11+$C$11+$F$11)</f>
        <v>0.19107782502900986</v>
      </c>
      <c r="BV17">
        <v>0.5</v>
      </c>
      <c r="BW17" t="s">
        <v>281</v>
      </c>
      <c r="BX17">
        <v>1592243458</v>
      </c>
      <c r="BY17">
        <v>388.48096774193601</v>
      </c>
      <c r="BZ17">
        <v>399.97529032258097</v>
      </c>
      <c r="CA17">
        <v>19.125270967741901</v>
      </c>
      <c r="CB17">
        <v>17.202558064516101</v>
      </c>
      <c r="CC17">
        <v>500.051806451613</v>
      </c>
      <c r="CD17">
        <v>100.21067741935499</v>
      </c>
      <c r="CE17">
        <v>0.199934290322581</v>
      </c>
      <c r="CF17">
        <v>26.457106451612901</v>
      </c>
      <c r="CG17">
        <v>27.048116129032302</v>
      </c>
      <c r="CH17">
        <v>999.9</v>
      </c>
      <c r="CI17">
        <v>9996.57096774194</v>
      </c>
      <c r="CJ17">
        <v>0</v>
      </c>
      <c r="CK17">
        <v>294.63280645161302</v>
      </c>
      <c r="CL17">
        <v>2199.9854838709698</v>
      </c>
      <c r="CM17">
        <v>0.98199606451612897</v>
      </c>
      <c r="CN17">
        <v>1.8003854838709699E-2</v>
      </c>
      <c r="CO17">
        <v>0</v>
      </c>
      <c r="CP17">
        <v>280.95448387096798</v>
      </c>
      <c r="CQ17">
        <v>5.00054</v>
      </c>
      <c r="CR17">
        <v>7391.2316129032297</v>
      </c>
      <c r="CS17">
        <v>20590.390322580599</v>
      </c>
      <c r="CT17">
        <v>50.265999999999998</v>
      </c>
      <c r="CU17">
        <v>50.721548387096803</v>
      </c>
      <c r="CV17">
        <v>50.412999999999997</v>
      </c>
      <c r="CW17">
        <v>49.689032258064501</v>
      </c>
      <c r="CX17">
        <v>51.370935483871001</v>
      </c>
      <c r="CY17">
        <v>2155.4654838709698</v>
      </c>
      <c r="CZ17">
        <v>39.520000000000003</v>
      </c>
      <c r="DA17">
        <v>0</v>
      </c>
      <c r="DB17">
        <v>372.59999990463302</v>
      </c>
      <c r="DC17">
        <v>280.88342307692301</v>
      </c>
      <c r="DD17">
        <v>-5.5880683655258299</v>
      </c>
      <c r="DE17">
        <v>-130.173333209942</v>
      </c>
      <c r="DF17">
        <v>7389.50730769231</v>
      </c>
      <c r="DG17">
        <v>15</v>
      </c>
      <c r="DH17">
        <v>1592243429</v>
      </c>
      <c r="DI17" t="s">
        <v>282</v>
      </c>
      <c r="DJ17">
        <v>15</v>
      </c>
      <c r="DK17">
        <v>-0.13700000000000001</v>
      </c>
      <c r="DL17">
        <v>0.113</v>
      </c>
      <c r="DM17">
        <v>400</v>
      </c>
      <c r="DN17">
        <v>17</v>
      </c>
      <c r="DO17">
        <v>0.19</v>
      </c>
      <c r="DP17">
        <v>0.05</v>
      </c>
      <c r="DQ17">
        <v>-11.5459115384615</v>
      </c>
      <c r="DR17">
        <v>0.49567796465462399</v>
      </c>
      <c r="DS17">
        <v>7.50672740686293E-2</v>
      </c>
      <c r="DT17">
        <v>1</v>
      </c>
      <c r="DU17">
        <v>1.919065</v>
      </c>
      <c r="DV17">
        <v>3.2457064799792303E-2</v>
      </c>
      <c r="DW17">
        <v>4.86223061345938E-3</v>
      </c>
      <c r="DX17">
        <v>1</v>
      </c>
      <c r="DY17">
        <v>2</v>
      </c>
      <c r="DZ17">
        <v>2</v>
      </c>
      <c r="EA17" t="s">
        <v>283</v>
      </c>
      <c r="EB17">
        <v>1.8667199999999999</v>
      </c>
      <c r="EC17">
        <v>1.8632500000000001</v>
      </c>
      <c r="ED17">
        <v>1.8688899999999999</v>
      </c>
      <c r="EE17">
        <v>1.8667800000000001</v>
      </c>
      <c r="EF17">
        <v>1.8714900000000001</v>
      </c>
      <c r="EG17">
        <v>1.86399</v>
      </c>
      <c r="EH17">
        <v>1.8655299999999999</v>
      </c>
      <c r="EI17">
        <v>1.86541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-0.13700000000000001</v>
      </c>
      <c r="EX17">
        <v>0.113</v>
      </c>
      <c r="EY17">
        <v>2</v>
      </c>
      <c r="EZ17">
        <v>370.06099999999998</v>
      </c>
      <c r="FA17">
        <v>499.18200000000002</v>
      </c>
      <c r="FB17">
        <v>18.618400000000001</v>
      </c>
      <c r="FC17">
        <v>33.707700000000003</v>
      </c>
      <c r="FD17">
        <v>30.0016</v>
      </c>
      <c r="FE17">
        <v>33.548400000000001</v>
      </c>
      <c r="FF17">
        <v>33.521500000000003</v>
      </c>
      <c r="FG17">
        <v>22.341899999999999</v>
      </c>
      <c r="FH17">
        <v>25.776399999999999</v>
      </c>
      <c r="FI17">
        <v>44.1496</v>
      </c>
      <c r="FJ17">
        <v>18.594899999999999</v>
      </c>
      <c r="FK17">
        <v>400</v>
      </c>
      <c r="FL17">
        <v>17.1187</v>
      </c>
      <c r="FM17">
        <v>101.051</v>
      </c>
      <c r="FN17">
        <v>100.944</v>
      </c>
    </row>
    <row r="18" spans="1:170" x14ac:dyDescent="0.25">
      <c r="A18">
        <v>2</v>
      </c>
      <c r="B18">
        <v>1592243587.0999999</v>
      </c>
      <c r="C18">
        <v>121.09999990463299</v>
      </c>
      <c r="D18" t="s">
        <v>288</v>
      </c>
      <c r="E18" t="s">
        <v>289</v>
      </c>
      <c r="G18">
        <v>1592243579.0999999</v>
      </c>
      <c r="H18">
        <f t="shared" si="0"/>
        <v>4.8234169671206662E-3</v>
      </c>
      <c r="I18">
        <f t="shared" si="1"/>
        <v>19.068044305635254</v>
      </c>
      <c r="J18">
        <f t="shared" si="2"/>
        <v>291.78774193548401</v>
      </c>
      <c r="K18">
        <f t="shared" si="3"/>
        <v>176.79262128770847</v>
      </c>
      <c r="L18">
        <f t="shared" si="4"/>
        <v>17.748728432223178</v>
      </c>
      <c r="M18">
        <f t="shared" si="5"/>
        <v>29.293424995585976</v>
      </c>
      <c r="N18">
        <f t="shared" si="6"/>
        <v>0.29247090071389115</v>
      </c>
      <c r="O18">
        <f t="shared" si="7"/>
        <v>3.4064267971741353</v>
      </c>
      <c r="P18">
        <f t="shared" si="8"/>
        <v>0.27920213383838655</v>
      </c>
      <c r="Q18">
        <f t="shared" si="9"/>
        <v>0.17564330929062882</v>
      </c>
      <c r="R18">
        <f t="shared" si="10"/>
        <v>353.33770395638999</v>
      </c>
      <c r="S18">
        <f t="shared" si="11"/>
        <v>26.95904774883503</v>
      </c>
      <c r="T18">
        <f t="shared" si="12"/>
        <v>27.0105838709677</v>
      </c>
      <c r="U18">
        <f t="shared" si="13"/>
        <v>3.5813851627982105</v>
      </c>
      <c r="V18">
        <f t="shared" si="14"/>
        <v>55.354051223407893</v>
      </c>
      <c r="W18">
        <f t="shared" si="15"/>
        <v>1.8943238239648357</v>
      </c>
      <c r="X18">
        <f t="shared" si="16"/>
        <v>3.42219545290259</v>
      </c>
      <c r="Y18">
        <f t="shared" si="17"/>
        <v>1.6870613388333748</v>
      </c>
      <c r="Z18">
        <f t="shared" si="18"/>
        <v>-212.71268825002139</v>
      </c>
      <c r="AA18">
        <f t="shared" si="19"/>
        <v>-141.77096202500283</v>
      </c>
      <c r="AB18">
        <f t="shared" si="20"/>
        <v>-8.9481352983211604</v>
      </c>
      <c r="AC18">
        <f t="shared" si="21"/>
        <v>-10.094081616955407</v>
      </c>
      <c r="AD18">
        <v>-4.1547417460481198E-2</v>
      </c>
      <c r="AE18">
        <v>4.6640615853064997E-2</v>
      </c>
      <c r="AF18">
        <v>3.4793352353099301</v>
      </c>
      <c r="AG18">
        <v>100</v>
      </c>
      <c r="AH18">
        <v>20</v>
      </c>
      <c r="AI18">
        <f t="shared" si="22"/>
        <v>1</v>
      </c>
      <c r="AJ18">
        <f t="shared" si="23"/>
        <v>0</v>
      </c>
      <c r="AK18">
        <f t="shared" si="24"/>
        <v>53114.341241974696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260.33503846153798</v>
      </c>
      <c r="AT18">
        <v>343.36599999999999</v>
      </c>
      <c r="AU18">
        <f t="shared" si="27"/>
        <v>0.24181474443731188</v>
      </c>
      <c r="AV18">
        <v>0.5</v>
      </c>
      <c r="AW18">
        <f t="shared" si="28"/>
        <v>1849.1823333773189</v>
      </c>
      <c r="AX18">
        <f t="shared" si="29"/>
        <v>19.068044305635254</v>
      </c>
      <c r="AY18">
        <f t="shared" si="30"/>
        <v>223.5797766818142</v>
      </c>
      <c r="AZ18">
        <f t="shared" si="31"/>
        <v>0.45743026391663699</v>
      </c>
      <c r="BA18">
        <f t="shared" si="32"/>
        <v>1.0852388076292768E-2</v>
      </c>
      <c r="BB18">
        <f t="shared" si="33"/>
        <v>-1</v>
      </c>
      <c r="BC18" t="s">
        <v>291</v>
      </c>
      <c r="BD18">
        <v>186.3</v>
      </c>
      <c r="BE18">
        <f t="shared" si="34"/>
        <v>157.06599999999997</v>
      </c>
      <c r="BF18">
        <f t="shared" si="35"/>
        <v>0.52863739789936726</v>
      </c>
      <c r="BG18">
        <f t="shared" si="36"/>
        <v>1.843081052066559</v>
      </c>
      <c r="BH18">
        <f t="shared" si="37"/>
        <v>0.24181474443731182</v>
      </c>
      <c r="BI18" t="e">
        <f t="shared" si="38"/>
        <v>#DIV/0!</v>
      </c>
      <c r="BJ18">
        <v>3643</v>
      </c>
      <c r="BK18">
        <v>300</v>
      </c>
      <c r="BL18">
        <v>300</v>
      </c>
      <c r="BM18">
        <v>300</v>
      </c>
      <c r="BN18">
        <v>9875.8700000000008</v>
      </c>
      <c r="BO18">
        <v>317.24599999999998</v>
      </c>
      <c r="BP18">
        <v>-6.4047599999999998E-3</v>
      </c>
      <c r="BQ18">
        <v>-0.118683</v>
      </c>
      <c r="BR18">
        <f t="shared" si="39"/>
        <v>2199.9961290322599</v>
      </c>
      <c r="BS18">
        <f t="shared" si="40"/>
        <v>1849.1823333773189</v>
      </c>
      <c r="BT18">
        <f t="shared" si="41"/>
        <v>0.84053890321649882</v>
      </c>
      <c r="BU18">
        <f t="shared" si="42"/>
        <v>0.19107780643299749</v>
      </c>
      <c r="BV18">
        <v>0.5</v>
      </c>
      <c r="BW18" t="s">
        <v>281</v>
      </c>
      <c r="BX18">
        <v>1592243579.0999999</v>
      </c>
      <c r="BY18">
        <v>291.78774193548401</v>
      </c>
      <c r="BZ18">
        <v>299.976612903226</v>
      </c>
      <c r="CA18">
        <v>18.869096774193501</v>
      </c>
      <c r="CB18">
        <v>16.976438709677399</v>
      </c>
      <c r="CC18">
        <v>500.08012903225801</v>
      </c>
      <c r="CD18">
        <v>100.193064516129</v>
      </c>
      <c r="CE18">
        <v>0.199860838709677</v>
      </c>
      <c r="CF18">
        <v>26.238609677419401</v>
      </c>
      <c r="CG18">
        <v>27.0105838709677</v>
      </c>
      <c r="CH18">
        <v>999.9</v>
      </c>
      <c r="CI18">
        <v>10000.0551612903</v>
      </c>
      <c r="CJ18">
        <v>0</v>
      </c>
      <c r="CK18">
        <v>294.40445161290302</v>
      </c>
      <c r="CL18">
        <v>2199.9961290322599</v>
      </c>
      <c r="CM18">
        <v>0.98199806451612903</v>
      </c>
      <c r="CN18">
        <v>1.8002432258064499E-2</v>
      </c>
      <c r="CO18">
        <v>0</v>
      </c>
      <c r="CP18">
        <v>260.38077419354801</v>
      </c>
      <c r="CQ18">
        <v>5.00054</v>
      </c>
      <c r="CR18">
        <v>6927.7983870967701</v>
      </c>
      <c r="CS18">
        <v>20590.4774193548</v>
      </c>
      <c r="CT18">
        <v>50.383000000000003</v>
      </c>
      <c r="CU18">
        <v>50.846548387096803</v>
      </c>
      <c r="CV18">
        <v>50.508000000000003</v>
      </c>
      <c r="CW18">
        <v>49.812064516128999</v>
      </c>
      <c r="CX18">
        <v>51.453258064516099</v>
      </c>
      <c r="CY18">
        <v>2155.4858064516102</v>
      </c>
      <c r="CZ18">
        <v>39.519677419354799</v>
      </c>
      <c r="DA18">
        <v>0</v>
      </c>
      <c r="DB18">
        <v>120.5</v>
      </c>
      <c r="DC18">
        <v>260.33503846153798</v>
      </c>
      <c r="DD18">
        <v>-3.61200000142918</v>
      </c>
      <c r="DE18">
        <v>-64.024273430523195</v>
      </c>
      <c r="DF18">
        <v>6927.0996153846199</v>
      </c>
      <c r="DG18">
        <v>15</v>
      </c>
      <c r="DH18">
        <v>1592243538.0999999</v>
      </c>
      <c r="DI18" t="s">
        <v>292</v>
      </c>
      <c r="DJ18">
        <v>16</v>
      </c>
      <c r="DK18">
        <v>-0.20699999999999999</v>
      </c>
      <c r="DL18">
        <v>0.106</v>
      </c>
      <c r="DM18">
        <v>300</v>
      </c>
      <c r="DN18">
        <v>17</v>
      </c>
      <c r="DO18">
        <v>0.22</v>
      </c>
      <c r="DP18">
        <v>0.04</v>
      </c>
      <c r="DQ18">
        <v>-8.22063903846154</v>
      </c>
      <c r="DR18">
        <v>0.309775036284473</v>
      </c>
      <c r="DS18">
        <v>5.2647342699382399E-2</v>
      </c>
      <c r="DT18">
        <v>1</v>
      </c>
      <c r="DU18">
        <v>1.8836174999999999</v>
      </c>
      <c r="DV18">
        <v>9.3778109792535605E-2</v>
      </c>
      <c r="DW18">
        <v>1.8937938304143299E-2</v>
      </c>
      <c r="DX18">
        <v>1</v>
      </c>
      <c r="DY18">
        <v>2</v>
      </c>
      <c r="DZ18">
        <v>2</v>
      </c>
      <c r="EA18" t="s">
        <v>283</v>
      </c>
      <c r="EB18">
        <v>1.86673</v>
      </c>
      <c r="EC18">
        <v>1.8632500000000001</v>
      </c>
      <c r="ED18">
        <v>1.8688899999999999</v>
      </c>
      <c r="EE18">
        <v>1.8667800000000001</v>
      </c>
      <c r="EF18">
        <v>1.8714900000000001</v>
      </c>
      <c r="EG18">
        <v>1.8640000000000001</v>
      </c>
      <c r="EH18">
        <v>1.86554</v>
      </c>
      <c r="EI18">
        <v>1.8654200000000001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-0.20699999999999999</v>
      </c>
      <c r="EX18">
        <v>0.106</v>
      </c>
      <c r="EY18">
        <v>2</v>
      </c>
      <c r="EZ18">
        <v>381.685</v>
      </c>
      <c r="FA18">
        <v>498.68099999999998</v>
      </c>
      <c r="FB18">
        <v>18.6248</v>
      </c>
      <c r="FC18">
        <v>34.1021</v>
      </c>
      <c r="FD18">
        <v>30.001899999999999</v>
      </c>
      <c r="FE18">
        <v>33.8673</v>
      </c>
      <c r="FF18">
        <v>33.829500000000003</v>
      </c>
      <c r="FG18">
        <v>17.827200000000001</v>
      </c>
      <c r="FH18">
        <v>25.722899999999999</v>
      </c>
      <c r="FI18">
        <v>43.406700000000001</v>
      </c>
      <c r="FJ18">
        <v>18.617999999999999</v>
      </c>
      <c r="FK18">
        <v>300</v>
      </c>
      <c r="FL18">
        <v>16.9102</v>
      </c>
      <c r="FM18">
        <v>100.979</v>
      </c>
      <c r="FN18">
        <v>100.86499999999999</v>
      </c>
    </row>
    <row r="19" spans="1:170" x14ac:dyDescent="0.25">
      <c r="A19">
        <v>3</v>
      </c>
      <c r="B19">
        <v>1592243715.0999999</v>
      </c>
      <c r="C19">
        <v>249.09999990463299</v>
      </c>
      <c r="D19" t="s">
        <v>293</v>
      </c>
      <c r="E19" t="s">
        <v>294</v>
      </c>
      <c r="G19">
        <v>1592243707.0999999</v>
      </c>
      <c r="H19">
        <f t="shared" si="0"/>
        <v>4.167716929943859E-3</v>
      </c>
      <c r="I19">
        <f t="shared" si="1"/>
        <v>11.583629594663057</v>
      </c>
      <c r="J19">
        <f t="shared" si="2"/>
        <v>195.02322580645199</v>
      </c>
      <c r="K19">
        <f t="shared" si="3"/>
        <v>113.49871257986214</v>
      </c>
      <c r="L19">
        <f t="shared" si="4"/>
        <v>11.394737419890225</v>
      </c>
      <c r="M19">
        <f t="shared" si="5"/>
        <v>19.579415469411828</v>
      </c>
      <c r="N19">
        <f t="shared" si="6"/>
        <v>0.24825343702550376</v>
      </c>
      <c r="O19">
        <f t="shared" si="7"/>
        <v>3.4068666207710523</v>
      </c>
      <c r="P19">
        <f t="shared" si="8"/>
        <v>0.2386236519292104</v>
      </c>
      <c r="Q19">
        <f t="shared" si="9"/>
        <v>0.14997385649658981</v>
      </c>
      <c r="R19">
        <f t="shared" si="10"/>
        <v>353.33830760839226</v>
      </c>
      <c r="S19">
        <f t="shared" si="11"/>
        <v>27.053727618840892</v>
      </c>
      <c r="T19">
        <f t="shared" si="12"/>
        <v>27.015322580645201</v>
      </c>
      <c r="U19">
        <f t="shared" si="13"/>
        <v>3.5823819624617261</v>
      </c>
      <c r="V19">
        <f t="shared" si="14"/>
        <v>55.008936593449945</v>
      </c>
      <c r="W19">
        <f t="shared" si="15"/>
        <v>1.8765850812282157</v>
      </c>
      <c r="X19">
        <f t="shared" si="16"/>
        <v>3.4114185756713313</v>
      </c>
      <c r="Y19">
        <f t="shared" si="17"/>
        <v>1.7057968812335105</v>
      </c>
      <c r="Z19">
        <f t="shared" si="18"/>
        <v>-183.79631661052417</v>
      </c>
      <c r="AA19">
        <f t="shared" si="19"/>
        <v>-152.46529150430365</v>
      </c>
      <c r="AB19">
        <f t="shared" si="20"/>
        <v>-9.6195445656936709</v>
      </c>
      <c r="AC19">
        <f t="shared" si="21"/>
        <v>7.4571549278707607</v>
      </c>
      <c r="AD19">
        <v>-4.15542415915333E-2</v>
      </c>
      <c r="AE19">
        <v>4.6648276537997801E-2</v>
      </c>
      <c r="AF19">
        <v>3.4797870340611898</v>
      </c>
      <c r="AG19">
        <v>133</v>
      </c>
      <c r="AH19">
        <v>27</v>
      </c>
      <c r="AI19">
        <f t="shared" si="22"/>
        <v>1</v>
      </c>
      <c r="AJ19">
        <f t="shared" si="23"/>
        <v>0</v>
      </c>
      <c r="AK19">
        <f t="shared" si="24"/>
        <v>53132.236736353982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250.28296153846199</v>
      </c>
      <c r="AT19">
        <v>316.12400000000002</v>
      </c>
      <c r="AU19">
        <f t="shared" si="27"/>
        <v>0.20827598809814507</v>
      </c>
      <c r="AV19">
        <v>0.5</v>
      </c>
      <c r="AW19">
        <f t="shared" si="28"/>
        <v>1849.1858208989679</v>
      </c>
      <c r="AX19">
        <f t="shared" si="29"/>
        <v>11.583629594663057</v>
      </c>
      <c r="AY19">
        <f t="shared" si="30"/>
        <v>192.57050201240602</v>
      </c>
      <c r="AZ19">
        <f t="shared" si="31"/>
        <v>0.41004162923409804</v>
      </c>
      <c r="BA19">
        <f t="shared" si="32"/>
        <v>6.8049567828427429E-3</v>
      </c>
      <c r="BB19">
        <f t="shared" si="33"/>
        <v>-1</v>
      </c>
      <c r="BC19" t="s">
        <v>296</v>
      </c>
      <c r="BD19">
        <v>186.5</v>
      </c>
      <c r="BE19">
        <f t="shared" si="34"/>
        <v>129.62400000000002</v>
      </c>
      <c r="BF19">
        <f t="shared" si="35"/>
        <v>0.50793864146715129</v>
      </c>
      <c r="BG19">
        <f t="shared" si="36"/>
        <v>1.695034852546917</v>
      </c>
      <c r="BH19">
        <f t="shared" si="37"/>
        <v>0.20827598809814513</v>
      </c>
      <c r="BI19" t="e">
        <f t="shared" si="38"/>
        <v>#DIV/0!</v>
      </c>
      <c r="BJ19">
        <v>3645</v>
      </c>
      <c r="BK19">
        <v>300</v>
      </c>
      <c r="BL19">
        <v>300</v>
      </c>
      <c r="BM19">
        <v>300</v>
      </c>
      <c r="BN19">
        <v>9875.6299999999992</v>
      </c>
      <c r="BO19">
        <v>295.92099999999999</v>
      </c>
      <c r="BP19">
        <v>-6.4044599999999998E-3</v>
      </c>
      <c r="BQ19">
        <v>0.181335</v>
      </c>
      <c r="BR19">
        <f t="shared" si="39"/>
        <v>2200.0003225806399</v>
      </c>
      <c r="BS19">
        <f t="shared" si="40"/>
        <v>1849.1858208989679</v>
      </c>
      <c r="BT19">
        <f t="shared" si="41"/>
        <v>0.84053888625336182</v>
      </c>
      <c r="BU19">
        <f t="shared" si="42"/>
        <v>0.19107777250672378</v>
      </c>
      <c r="BV19">
        <v>0.5</v>
      </c>
      <c r="BW19" t="s">
        <v>281</v>
      </c>
      <c r="BX19">
        <v>1592243707.0999999</v>
      </c>
      <c r="BY19">
        <v>195.02322580645199</v>
      </c>
      <c r="BZ19">
        <v>199.981290322581</v>
      </c>
      <c r="CA19">
        <v>18.691961290322599</v>
      </c>
      <c r="CB19">
        <v>17.056203225806499</v>
      </c>
      <c r="CC19">
        <v>500.05122580645201</v>
      </c>
      <c r="CD19">
        <v>100.195322580645</v>
      </c>
      <c r="CE19">
        <v>0.199978483870968</v>
      </c>
      <c r="CF19">
        <v>26.185222580645199</v>
      </c>
      <c r="CG19">
        <v>27.015322580645201</v>
      </c>
      <c r="CH19">
        <v>999.9</v>
      </c>
      <c r="CI19">
        <v>10001.472258064499</v>
      </c>
      <c r="CJ19">
        <v>0</v>
      </c>
      <c r="CK19">
        <v>279.58329032258098</v>
      </c>
      <c r="CL19">
        <v>2200.0003225806399</v>
      </c>
      <c r="CM19">
        <v>0.98199800000000004</v>
      </c>
      <c r="CN19">
        <v>1.8002500000000001E-2</v>
      </c>
      <c r="CO19">
        <v>0</v>
      </c>
      <c r="CP19">
        <v>250.29635483870999</v>
      </c>
      <c r="CQ19">
        <v>5.00054</v>
      </c>
      <c r="CR19">
        <v>6681.4787096774198</v>
      </c>
      <c r="CS19">
        <v>20590.5225806452</v>
      </c>
      <c r="CT19">
        <v>50.399000000000001</v>
      </c>
      <c r="CU19">
        <v>50.933258064516103</v>
      </c>
      <c r="CV19">
        <v>50.590451612903202</v>
      </c>
      <c r="CW19">
        <v>49.912999999999997</v>
      </c>
      <c r="CX19">
        <v>51.52</v>
      </c>
      <c r="CY19">
        <v>2155.48451612903</v>
      </c>
      <c r="CZ19">
        <v>39.518387096774198</v>
      </c>
      <c r="DA19">
        <v>0</v>
      </c>
      <c r="DB19">
        <v>127.299999952316</v>
      </c>
      <c r="DC19">
        <v>250.28296153846199</v>
      </c>
      <c r="DD19">
        <v>-0.48358975581614799</v>
      </c>
      <c r="DE19">
        <v>-38.363418830946301</v>
      </c>
      <c r="DF19">
        <v>6681.2942307692301</v>
      </c>
      <c r="DG19">
        <v>15</v>
      </c>
      <c r="DH19">
        <v>1592243661.5999999</v>
      </c>
      <c r="DI19" t="s">
        <v>297</v>
      </c>
      <c r="DJ19">
        <v>17</v>
      </c>
      <c r="DK19">
        <v>-0.253</v>
      </c>
      <c r="DL19">
        <v>0.107</v>
      </c>
      <c r="DM19">
        <v>200</v>
      </c>
      <c r="DN19">
        <v>17</v>
      </c>
      <c r="DO19">
        <v>0.6</v>
      </c>
      <c r="DP19">
        <v>0.04</v>
      </c>
      <c r="DQ19">
        <v>-4.9605907692307696</v>
      </c>
      <c r="DR19">
        <v>1.81890207461604E-3</v>
      </c>
      <c r="DS19">
        <v>4.0791131334667899E-2</v>
      </c>
      <c r="DT19">
        <v>1</v>
      </c>
      <c r="DU19">
        <v>1.6460415384615401</v>
      </c>
      <c r="DV19">
        <v>-8.32984205583535E-2</v>
      </c>
      <c r="DW19">
        <v>1.6298043226649999E-2</v>
      </c>
      <c r="DX19">
        <v>1</v>
      </c>
      <c r="DY19">
        <v>2</v>
      </c>
      <c r="DZ19">
        <v>2</v>
      </c>
      <c r="EA19" t="s">
        <v>283</v>
      </c>
      <c r="EB19">
        <v>1.86673</v>
      </c>
      <c r="EC19">
        <v>1.8632500000000001</v>
      </c>
      <c r="ED19">
        <v>1.8689</v>
      </c>
      <c r="EE19">
        <v>1.8668</v>
      </c>
      <c r="EF19">
        <v>1.8714900000000001</v>
      </c>
      <c r="EG19">
        <v>1.8640099999999999</v>
      </c>
      <c r="EH19">
        <v>1.86554</v>
      </c>
      <c r="EI19">
        <v>1.8654200000000001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-0.253</v>
      </c>
      <c r="EX19">
        <v>0.107</v>
      </c>
      <c r="EY19">
        <v>2</v>
      </c>
      <c r="EZ19">
        <v>347.91399999999999</v>
      </c>
      <c r="FA19">
        <v>494.76400000000001</v>
      </c>
      <c r="FB19">
        <v>18.215199999999999</v>
      </c>
      <c r="FC19">
        <v>34.4</v>
      </c>
      <c r="FD19">
        <v>30</v>
      </c>
      <c r="FE19">
        <v>34.1449</v>
      </c>
      <c r="FF19">
        <v>34.0991</v>
      </c>
      <c r="FG19">
        <v>13.146699999999999</v>
      </c>
      <c r="FH19">
        <v>23.4117</v>
      </c>
      <c r="FI19">
        <v>42.654800000000002</v>
      </c>
      <c r="FJ19">
        <v>18.220800000000001</v>
      </c>
      <c r="FK19">
        <v>200</v>
      </c>
      <c r="FL19">
        <v>17.092700000000001</v>
      </c>
      <c r="FM19">
        <v>100.934</v>
      </c>
      <c r="FN19">
        <v>100.82899999999999</v>
      </c>
    </row>
    <row r="20" spans="1:170" x14ac:dyDescent="0.25">
      <c r="A20">
        <v>4</v>
      </c>
      <c r="B20">
        <v>1592243839.5999999</v>
      </c>
      <c r="C20">
        <v>373.59999990463302</v>
      </c>
      <c r="D20" t="s">
        <v>298</v>
      </c>
      <c r="E20" t="s">
        <v>299</v>
      </c>
      <c r="G20">
        <v>1592243831.5999999</v>
      </c>
      <c r="H20">
        <f t="shared" si="0"/>
        <v>4.5247456745522571E-3</v>
      </c>
      <c r="I20">
        <f t="shared" si="1"/>
        <v>4.0596710384063037</v>
      </c>
      <c r="J20">
        <f t="shared" si="2"/>
        <v>98.183945161290296</v>
      </c>
      <c r="K20">
        <f t="shared" si="3"/>
        <v>70.920179737984412</v>
      </c>
      <c r="L20">
        <f t="shared" si="4"/>
        <v>7.1194469755794652</v>
      </c>
      <c r="M20">
        <f t="shared" si="5"/>
        <v>9.8563680184050622</v>
      </c>
      <c r="N20">
        <f t="shared" si="6"/>
        <v>0.27052168794033704</v>
      </c>
      <c r="O20">
        <f t="shared" si="7"/>
        <v>3.4048272472407484</v>
      </c>
      <c r="P20">
        <f t="shared" si="8"/>
        <v>0.25912295505937905</v>
      </c>
      <c r="Q20">
        <f t="shared" si="9"/>
        <v>0.16293595357347096</v>
      </c>
      <c r="R20">
        <f t="shared" si="10"/>
        <v>353.33653573110939</v>
      </c>
      <c r="S20">
        <f t="shared" si="11"/>
        <v>26.914975799154082</v>
      </c>
      <c r="T20">
        <f t="shared" si="12"/>
        <v>26.972712903225801</v>
      </c>
      <c r="U20">
        <f t="shared" si="13"/>
        <v>3.5734276035756358</v>
      </c>
      <c r="V20">
        <f t="shared" si="14"/>
        <v>54.947287514200525</v>
      </c>
      <c r="W20">
        <f t="shared" si="15"/>
        <v>1.8680055506330484</v>
      </c>
      <c r="X20">
        <f t="shared" si="16"/>
        <v>3.3996319657276675</v>
      </c>
      <c r="Y20">
        <f t="shared" si="17"/>
        <v>1.7054220529425874</v>
      </c>
      <c r="Z20">
        <f t="shared" si="18"/>
        <v>-199.54128424775453</v>
      </c>
      <c r="AA20">
        <f t="shared" si="19"/>
        <v>-155.30152737017215</v>
      </c>
      <c r="AB20">
        <f t="shared" si="20"/>
        <v>-9.799396650782537</v>
      </c>
      <c r="AC20">
        <f t="shared" si="21"/>
        <v>-11.305672537599804</v>
      </c>
      <c r="AD20">
        <v>-4.1522602845944202E-2</v>
      </c>
      <c r="AE20">
        <v>4.6612759274367602E-2</v>
      </c>
      <c r="AF20">
        <v>3.4776921400757899</v>
      </c>
      <c r="AG20">
        <v>137</v>
      </c>
      <c r="AH20">
        <v>27</v>
      </c>
      <c r="AI20">
        <f t="shared" si="22"/>
        <v>1</v>
      </c>
      <c r="AJ20">
        <f t="shared" si="23"/>
        <v>0</v>
      </c>
      <c r="AK20">
        <f t="shared" si="24"/>
        <v>53103.641070760779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247.53576923076901</v>
      </c>
      <c r="AT20">
        <v>300.39999999999998</v>
      </c>
      <c r="AU20">
        <f t="shared" si="27"/>
        <v>0.17597946327973024</v>
      </c>
      <c r="AV20">
        <v>0.5</v>
      </c>
      <c r="AW20">
        <f t="shared" si="28"/>
        <v>1849.1763530798951</v>
      </c>
      <c r="AX20">
        <f t="shared" si="29"/>
        <v>4.0596710384063037</v>
      </c>
      <c r="AY20">
        <f t="shared" si="30"/>
        <v>162.70853106228444</v>
      </c>
      <c r="AZ20">
        <f t="shared" si="31"/>
        <v>0.37756324900133154</v>
      </c>
      <c r="BA20">
        <f t="shared" si="32"/>
        <v>2.7361755032066955E-3</v>
      </c>
      <c r="BB20">
        <f t="shared" si="33"/>
        <v>-1</v>
      </c>
      <c r="BC20" t="s">
        <v>301</v>
      </c>
      <c r="BD20">
        <v>186.98</v>
      </c>
      <c r="BE20">
        <f t="shared" si="34"/>
        <v>113.41999999999999</v>
      </c>
      <c r="BF20">
        <f t="shared" si="35"/>
        <v>0.46609267121522641</v>
      </c>
      <c r="BG20">
        <f t="shared" si="36"/>
        <v>1.6065889399935822</v>
      </c>
      <c r="BH20">
        <f t="shared" si="37"/>
        <v>0.17597946327973027</v>
      </c>
      <c r="BI20" t="e">
        <f t="shared" si="38"/>
        <v>#DIV/0!</v>
      </c>
      <c r="BJ20">
        <v>3647</v>
      </c>
      <c r="BK20">
        <v>300</v>
      </c>
      <c r="BL20">
        <v>300</v>
      </c>
      <c r="BM20">
        <v>300</v>
      </c>
      <c r="BN20">
        <v>9875.41</v>
      </c>
      <c r="BO20">
        <v>284.33600000000001</v>
      </c>
      <c r="BP20">
        <v>-6.40429E-3</v>
      </c>
      <c r="BQ20">
        <v>0.25628699999999999</v>
      </c>
      <c r="BR20">
        <f t="shared" si="39"/>
        <v>2199.98903225806</v>
      </c>
      <c r="BS20">
        <f t="shared" si="40"/>
        <v>1849.1763530798951</v>
      </c>
      <c r="BT20">
        <f t="shared" si="41"/>
        <v>0.8405388963152729</v>
      </c>
      <c r="BU20">
        <f t="shared" si="42"/>
        <v>0.19107779263054595</v>
      </c>
      <c r="BV20">
        <v>0.5</v>
      </c>
      <c r="BW20" t="s">
        <v>281</v>
      </c>
      <c r="BX20">
        <v>1592243831.5999999</v>
      </c>
      <c r="BY20">
        <v>98.183945161290296</v>
      </c>
      <c r="BZ20">
        <v>99.985270967741897</v>
      </c>
      <c r="CA20">
        <v>18.608087096774199</v>
      </c>
      <c r="CB20">
        <v>16.8321096774194</v>
      </c>
      <c r="CC20">
        <v>500.06816129032302</v>
      </c>
      <c r="CD20">
        <v>100.186709677419</v>
      </c>
      <c r="CE20">
        <v>0.200049096774194</v>
      </c>
      <c r="CF20">
        <v>26.126664516129001</v>
      </c>
      <c r="CG20">
        <v>26.972712903225801</v>
      </c>
      <c r="CH20">
        <v>999.9</v>
      </c>
      <c r="CI20">
        <v>9994.7164516128996</v>
      </c>
      <c r="CJ20">
        <v>0</v>
      </c>
      <c r="CK20">
        <v>278.13422580645198</v>
      </c>
      <c r="CL20">
        <v>2199.98903225806</v>
      </c>
      <c r="CM20">
        <v>0.98199800000000004</v>
      </c>
      <c r="CN20">
        <v>1.8002500000000001E-2</v>
      </c>
      <c r="CO20">
        <v>0</v>
      </c>
      <c r="CP20">
        <v>247.54816129032301</v>
      </c>
      <c r="CQ20">
        <v>5.00054</v>
      </c>
      <c r="CR20">
        <v>6621.0612903225801</v>
      </c>
      <c r="CS20">
        <v>20590.4290322581</v>
      </c>
      <c r="CT20">
        <v>50.437064516128999</v>
      </c>
      <c r="CU20">
        <v>51.041935483870901</v>
      </c>
      <c r="CV20">
        <v>50.691064516129003</v>
      </c>
      <c r="CW20">
        <v>49.850612903225802</v>
      </c>
      <c r="CX20">
        <v>51.554000000000002</v>
      </c>
      <c r="CY20">
        <v>2155.4787096774198</v>
      </c>
      <c r="CZ20">
        <v>39.519032258064499</v>
      </c>
      <c r="DA20">
        <v>0</v>
      </c>
      <c r="DB20">
        <v>123.90000009536701</v>
      </c>
      <c r="DC20">
        <v>247.53576923076901</v>
      </c>
      <c r="DD20">
        <v>-0.48136751901188601</v>
      </c>
      <c r="DE20">
        <v>-1.46940175402795</v>
      </c>
      <c r="DF20">
        <v>6620.98615384615</v>
      </c>
      <c r="DG20">
        <v>15</v>
      </c>
      <c r="DH20">
        <v>1592243792.0999999</v>
      </c>
      <c r="DI20" t="s">
        <v>302</v>
      </c>
      <c r="DJ20">
        <v>18</v>
      </c>
      <c r="DK20">
        <v>-0.247</v>
      </c>
      <c r="DL20">
        <v>0.105</v>
      </c>
      <c r="DM20">
        <v>100</v>
      </c>
      <c r="DN20">
        <v>17</v>
      </c>
      <c r="DO20">
        <v>0.25</v>
      </c>
      <c r="DP20">
        <v>0.04</v>
      </c>
      <c r="DQ20">
        <v>-1.8057117307692301</v>
      </c>
      <c r="DR20">
        <v>-2.9774148382143002E-2</v>
      </c>
      <c r="DS20">
        <v>3.5713302505517297E-2</v>
      </c>
      <c r="DT20">
        <v>1</v>
      </c>
      <c r="DU20">
        <v>1.78538596153846</v>
      </c>
      <c r="DV20">
        <v>-7.1319986339962102E-2</v>
      </c>
      <c r="DW20">
        <v>2.4185683325504699E-2</v>
      </c>
      <c r="DX20">
        <v>1</v>
      </c>
      <c r="DY20">
        <v>2</v>
      </c>
      <c r="DZ20">
        <v>2</v>
      </c>
      <c r="EA20" t="s">
        <v>283</v>
      </c>
      <c r="EB20">
        <v>1.86676</v>
      </c>
      <c r="EC20">
        <v>1.8632500000000001</v>
      </c>
      <c r="ED20">
        <v>1.8689</v>
      </c>
      <c r="EE20">
        <v>1.86683</v>
      </c>
      <c r="EF20">
        <v>1.8714900000000001</v>
      </c>
      <c r="EG20">
        <v>1.8640099999999999</v>
      </c>
      <c r="EH20">
        <v>1.86555</v>
      </c>
      <c r="EI20">
        <v>1.8655200000000001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-0.247</v>
      </c>
      <c r="EX20">
        <v>0.105</v>
      </c>
      <c r="EY20">
        <v>2</v>
      </c>
      <c r="EZ20">
        <v>344.13</v>
      </c>
      <c r="FA20">
        <v>496.58199999999999</v>
      </c>
      <c r="FB20">
        <v>18.543600000000001</v>
      </c>
      <c r="FC20">
        <v>34.365499999999997</v>
      </c>
      <c r="FD20">
        <v>29.997699999999998</v>
      </c>
      <c r="FE20">
        <v>34.189300000000003</v>
      </c>
      <c r="FF20">
        <v>34.146299999999997</v>
      </c>
      <c r="FG20">
        <v>8.2588699999999999</v>
      </c>
      <c r="FH20">
        <v>24.008099999999999</v>
      </c>
      <c r="FI20">
        <v>41.904800000000002</v>
      </c>
      <c r="FJ20">
        <v>18.589200000000002</v>
      </c>
      <c r="FK20">
        <v>100</v>
      </c>
      <c r="FL20">
        <v>16.906700000000001</v>
      </c>
      <c r="FM20">
        <v>100.952</v>
      </c>
      <c r="FN20">
        <v>100.87</v>
      </c>
    </row>
    <row r="21" spans="1:170" x14ac:dyDescent="0.25">
      <c r="A21">
        <v>5</v>
      </c>
      <c r="B21">
        <v>1592243969.5999999</v>
      </c>
      <c r="C21">
        <v>503.59999990463302</v>
      </c>
      <c r="D21" t="s">
        <v>303</v>
      </c>
      <c r="E21" t="s">
        <v>304</v>
      </c>
      <c r="G21">
        <v>1592243961.5999999</v>
      </c>
      <c r="H21">
        <f t="shared" si="0"/>
        <v>4.9855392861692435E-3</v>
      </c>
      <c r="I21">
        <f t="shared" si="1"/>
        <v>4.0231682672133111E-3</v>
      </c>
      <c r="J21">
        <f t="shared" si="2"/>
        <v>49.890593548387102</v>
      </c>
      <c r="K21">
        <f t="shared" si="3"/>
        <v>48.507534520290967</v>
      </c>
      <c r="L21">
        <f t="shared" si="4"/>
        <v>4.8697514013230698</v>
      </c>
      <c r="M21">
        <f t="shared" si="5"/>
        <v>5.0085989784425866</v>
      </c>
      <c r="N21">
        <f t="shared" si="6"/>
        <v>0.30047600407882213</v>
      </c>
      <c r="O21">
        <f t="shared" si="7"/>
        <v>3.4061094977947279</v>
      </c>
      <c r="P21">
        <f t="shared" si="8"/>
        <v>0.28648837602560923</v>
      </c>
      <c r="Q21">
        <f t="shared" si="9"/>
        <v>0.18025769673500702</v>
      </c>
      <c r="R21">
        <f t="shared" si="10"/>
        <v>353.33815914756292</v>
      </c>
      <c r="S21">
        <f t="shared" si="11"/>
        <v>26.902973609025967</v>
      </c>
      <c r="T21">
        <f t="shared" si="12"/>
        <v>26.991625806451601</v>
      </c>
      <c r="U21">
        <f t="shared" si="13"/>
        <v>3.5773997070452155</v>
      </c>
      <c r="V21">
        <f t="shared" si="14"/>
        <v>54.935286810111116</v>
      </c>
      <c r="W21">
        <f t="shared" si="15"/>
        <v>1.8778267745245085</v>
      </c>
      <c r="X21">
        <f t="shared" si="16"/>
        <v>3.4182524267423773</v>
      </c>
      <c r="Y21">
        <f t="shared" si="17"/>
        <v>1.699572932520707</v>
      </c>
      <c r="Z21">
        <f t="shared" si="18"/>
        <v>-219.86228252006364</v>
      </c>
      <c r="AA21">
        <f t="shared" si="19"/>
        <v>-141.86023393088445</v>
      </c>
      <c r="AB21">
        <f t="shared" si="20"/>
        <v>-8.9528793260340276</v>
      </c>
      <c r="AC21">
        <f t="shared" si="21"/>
        <v>-17.337236629419181</v>
      </c>
      <c r="AD21">
        <v>-4.1542494616058197E-2</v>
      </c>
      <c r="AE21">
        <v>4.66350895289354E-2</v>
      </c>
      <c r="AF21">
        <v>3.47900929720109</v>
      </c>
      <c r="AG21">
        <v>134</v>
      </c>
      <c r="AH21">
        <v>27</v>
      </c>
      <c r="AI21">
        <f t="shared" si="22"/>
        <v>1</v>
      </c>
      <c r="AJ21">
        <f t="shared" si="23"/>
        <v>0</v>
      </c>
      <c r="AK21">
        <f t="shared" si="24"/>
        <v>53111.738871528512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246.86496153846201</v>
      </c>
      <c r="AT21">
        <v>289.27499999999998</v>
      </c>
      <c r="AU21">
        <f t="shared" si="27"/>
        <v>0.14660803201637873</v>
      </c>
      <c r="AV21">
        <v>0.5</v>
      </c>
      <c r="AW21">
        <f t="shared" si="28"/>
        <v>1849.1859850676155</v>
      </c>
      <c r="AX21">
        <f t="shared" si="29"/>
        <v>4.0231682672133111E-3</v>
      </c>
      <c r="AY21">
        <f t="shared" si="30"/>
        <v>135.55275905151592</v>
      </c>
      <c r="AZ21">
        <f t="shared" si="31"/>
        <v>0.34913144931293744</v>
      </c>
      <c r="BA21">
        <f t="shared" si="32"/>
        <v>5.4295413029019964E-4</v>
      </c>
      <c r="BB21">
        <f t="shared" si="33"/>
        <v>-1</v>
      </c>
      <c r="BC21" t="s">
        <v>306</v>
      </c>
      <c r="BD21">
        <v>188.28</v>
      </c>
      <c r="BE21">
        <f t="shared" si="34"/>
        <v>100.99499999999998</v>
      </c>
      <c r="BF21">
        <f t="shared" si="35"/>
        <v>0.41992215913201619</v>
      </c>
      <c r="BG21">
        <f t="shared" si="36"/>
        <v>1.5364085404716379</v>
      </c>
      <c r="BH21">
        <f t="shared" si="37"/>
        <v>0.14660803201637876</v>
      </c>
      <c r="BI21" t="e">
        <f t="shared" si="38"/>
        <v>#DIV/0!</v>
      </c>
      <c r="BJ21">
        <v>3649</v>
      </c>
      <c r="BK21">
        <v>300</v>
      </c>
      <c r="BL21">
        <v>300</v>
      </c>
      <c r="BM21">
        <v>300</v>
      </c>
      <c r="BN21">
        <v>9875.48</v>
      </c>
      <c r="BO21">
        <v>278.2</v>
      </c>
      <c r="BP21">
        <v>-6.4042700000000001E-3</v>
      </c>
      <c r="BQ21">
        <v>0.19006300000000001</v>
      </c>
      <c r="BR21">
        <f t="shared" si="39"/>
        <v>2200.0006451612899</v>
      </c>
      <c r="BS21">
        <f t="shared" si="40"/>
        <v>1849.1859850676155</v>
      </c>
      <c r="BT21">
        <f t="shared" si="41"/>
        <v>0.8405388376293158</v>
      </c>
      <c r="BU21">
        <f t="shared" si="42"/>
        <v>0.19107767525863176</v>
      </c>
      <c r="BV21">
        <v>0.5</v>
      </c>
      <c r="BW21" t="s">
        <v>281</v>
      </c>
      <c r="BX21">
        <v>1592243961.5999999</v>
      </c>
      <c r="BY21">
        <v>49.890593548387102</v>
      </c>
      <c r="BZ21">
        <v>49.991683870967698</v>
      </c>
      <c r="CA21">
        <v>18.705009677419302</v>
      </c>
      <c r="CB21">
        <v>16.748319354838699</v>
      </c>
      <c r="CC21">
        <v>500.05712903225799</v>
      </c>
      <c r="CD21">
        <v>100.191677419355</v>
      </c>
      <c r="CE21">
        <v>0.19997203225806501</v>
      </c>
      <c r="CF21">
        <v>26.2190935483871</v>
      </c>
      <c r="CG21">
        <v>26.991625806451601</v>
      </c>
      <c r="CH21">
        <v>999.9</v>
      </c>
      <c r="CI21">
        <v>9999.0087096774205</v>
      </c>
      <c r="CJ21">
        <v>0</v>
      </c>
      <c r="CK21">
        <v>233.49625806451601</v>
      </c>
      <c r="CL21">
        <v>2200.0006451612899</v>
      </c>
      <c r="CM21">
        <v>0.98199819354838702</v>
      </c>
      <c r="CN21">
        <v>1.8002296774193498E-2</v>
      </c>
      <c r="CO21">
        <v>0</v>
      </c>
      <c r="CP21">
        <v>246.875</v>
      </c>
      <c r="CQ21">
        <v>5.00054</v>
      </c>
      <c r="CR21">
        <v>6538.7596774193498</v>
      </c>
      <c r="CS21">
        <v>20590.516129032301</v>
      </c>
      <c r="CT21">
        <v>50.374935483870999</v>
      </c>
      <c r="CU21">
        <v>50.890870967741897</v>
      </c>
      <c r="CV21">
        <v>50.649000000000001</v>
      </c>
      <c r="CW21">
        <v>49.586387096774203</v>
      </c>
      <c r="CX21">
        <v>51.483741935483899</v>
      </c>
      <c r="CY21">
        <v>2155.48903225806</v>
      </c>
      <c r="CZ21">
        <v>39.514838709677399</v>
      </c>
      <c r="DA21">
        <v>0</v>
      </c>
      <c r="DB21">
        <v>129.700000047684</v>
      </c>
      <c r="DC21">
        <v>246.86496153846201</v>
      </c>
      <c r="DD21">
        <v>-0.36871794460512602</v>
      </c>
      <c r="DE21">
        <v>6.2321367590409498</v>
      </c>
      <c r="DF21">
        <v>6538.7880769230796</v>
      </c>
      <c r="DG21">
        <v>15</v>
      </c>
      <c r="DH21">
        <v>1592243920.0999999</v>
      </c>
      <c r="DI21" t="s">
        <v>307</v>
      </c>
      <c r="DJ21">
        <v>19</v>
      </c>
      <c r="DK21">
        <v>-0.186</v>
      </c>
      <c r="DL21">
        <v>0.105</v>
      </c>
      <c r="DM21">
        <v>50</v>
      </c>
      <c r="DN21">
        <v>17</v>
      </c>
      <c r="DO21">
        <v>0.19</v>
      </c>
      <c r="DP21">
        <v>0.04</v>
      </c>
      <c r="DQ21">
        <v>-0.101962903846154</v>
      </c>
      <c r="DR21">
        <v>8.8465718091010101E-2</v>
      </c>
      <c r="DS21">
        <v>4.4403167701462701E-2</v>
      </c>
      <c r="DT21">
        <v>1</v>
      </c>
      <c r="DU21">
        <v>1.94796826923077</v>
      </c>
      <c r="DV21">
        <v>9.1920276615725605E-2</v>
      </c>
      <c r="DW21">
        <v>1.21361948670327E-2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1.8632500000000001</v>
      </c>
      <c r="ED21">
        <v>1.8689</v>
      </c>
      <c r="EE21">
        <v>1.86687</v>
      </c>
      <c r="EF21">
        <v>1.8714900000000001</v>
      </c>
      <c r="EG21">
        <v>1.8640099999999999</v>
      </c>
      <c r="EH21">
        <v>1.86555</v>
      </c>
      <c r="EI21">
        <v>1.8655299999999999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-0.186</v>
      </c>
      <c r="EX21">
        <v>0.105</v>
      </c>
      <c r="EY21">
        <v>2</v>
      </c>
      <c r="EZ21">
        <v>347.31</v>
      </c>
      <c r="FA21">
        <v>497.95100000000002</v>
      </c>
      <c r="FB21">
        <v>19.0166</v>
      </c>
      <c r="FC21">
        <v>34.106099999999998</v>
      </c>
      <c r="FD21">
        <v>29.998999999999999</v>
      </c>
      <c r="FE21">
        <v>34.051499999999997</v>
      </c>
      <c r="FF21">
        <v>34.0261</v>
      </c>
      <c r="FG21">
        <v>5.7971500000000002</v>
      </c>
      <c r="FH21">
        <v>24.130199999999999</v>
      </c>
      <c r="FI21">
        <v>41.532600000000002</v>
      </c>
      <c r="FJ21">
        <v>19.029499999999999</v>
      </c>
      <c r="FK21">
        <v>50</v>
      </c>
      <c r="FL21">
        <v>16.780200000000001</v>
      </c>
      <c r="FM21">
        <v>100.997</v>
      </c>
      <c r="FN21">
        <v>100.93899999999999</v>
      </c>
    </row>
    <row r="22" spans="1:170" x14ac:dyDescent="0.25">
      <c r="A22">
        <v>6</v>
      </c>
      <c r="B22">
        <v>1592244102.5999999</v>
      </c>
      <c r="C22">
        <v>636.59999990463302</v>
      </c>
      <c r="D22" t="s">
        <v>308</v>
      </c>
      <c r="E22" t="s">
        <v>309</v>
      </c>
      <c r="G22">
        <v>1592244094.60323</v>
      </c>
      <c r="H22">
        <f t="shared" si="0"/>
        <v>4.7454241536132686E-3</v>
      </c>
      <c r="I22">
        <f t="shared" si="1"/>
        <v>27.201055603959684</v>
      </c>
      <c r="J22">
        <f t="shared" si="2"/>
        <v>388.41741935483901</v>
      </c>
      <c r="K22">
        <f t="shared" si="3"/>
        <v>221.91875811932971</v>
      </c>
      <c r="L22">
        <f t="shared" si="4"/>
        <v>22.280509290568201</v>
      </c>
      <c r="M22">
        <f t="shared" si="5"/>
        <v>38.996874324163841</v>
      </c>
      <c r="N22">
        <f t="shared" si="6"/>
        <v>0.28628079957589014</v>
      </c>
      <c r="O22">
        <f t="shared" si="7"/>
        <v>3.4068469824567704</v>
      </c>
      <c r="P22">
        <f t="shared" si="8"/>
        <v>0.27355611222767806</v>
      </c>
      <c r="Q22">
        <f t="shared" si="9"/>
        <v>0.17206869659234597</v>
      </c>
      <c r="R22">
        <f t="shared" si="10"/>
        <v>353.33941989939586</v>
      </c>
      <c r="S22">
        <f t="shared" si="11"/>
        <v>27.198913723381366</v>
      </c>
      <c r="T22">
        <f t="shared" si="12"/>
        <v>27.061509677419401</v>
      </c>
      <c r="U22">
        <f t="shared" si="13"/>
        <v>3.592110226862073</v>
      </c>
      <c r="V22">
        <f t="shared" si="14"/>
        <v>54.740634678976051</v>
      </c>
      <c r="W22">
        <f t="shared" si="15"/>
        <v>1.898084588846735</v>
      </c>
      <c r="X22">
        <f t="shared" si="16"/>
        <v>3.4674142891801769</v>
      </c>
      <c r="Y22">
        <f t="shared" si="17"/>
        <v>1.694025638015338</v>
      </c>
      <c r="Z22">
        <f t="shared" si="18"/>
        <v>-209.27320517434515</v>
      </c>
      <c r="AA22">
        <f t="shared" si="19"/>
        <v>-110.29024077622836</v>
      </c>
      <c r="AB22">
        <f t="shared" si="20"/>
        <v>-6.969837583184745</v>
      </c>
      <c r="AC22">
        <f t="shared" si="21"/>
        <v>26.806136365637599</v>
      </c>
      <c r="AD22">
        <v>-4.1553936882578198E-2</v>
      </c>
      <c r="AE22">
        <v>4.6647934475501703E-2</v>
      </c>
      <c r="AF22">
        <v>3.4797668610360799</v>
      </c>
      <c r="AG22">
        <v>130</v>
      </c>
      <c r="AH22">
        <v>26</v>
      </c>
      <c r="AI22">
        <f t="shared" si="22"/>
        <v>1</v>
      </c>
      <c r="AJ22">
        <f t="shared" si="23"/>
        <v>0</v>
      </c>
      <c r="AK22">
        <f t="shared" si="24"/>
        <v>53083.016888366714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251.096230769231</v>
      </c>
      <c r="AT22">
        <v>338.09399999999999</v>
      </c>
      <c r="AU22">
        <f t="shared" si="27"/>
        <v>0.25731828790445554</v>
      </c>
      <c r="AV22">
        <v>0.5</v>
      </c>
      <c r="AW22">
        <f t="shared" si="28"/>
        <v>1849.1937190638982</v>
      </c>
      <c r="AX22">
        <f t="shared" si="29"/>
        <v>27.201055603959684</v>
      </c>
      <c r="AY22">
        <f t="shared" si="30"/>
        <v>237.91568089659754</v>
      </c>
      <c r="AZ22">
        <f t="shared" si="31"/>
        <v>0.46156985926990718</v>
      </c>
      <c r="BA22">
        <f t="shared" si="32"/>
        <v>1.5250460410516463E-2</v>
      </c>
      <c r="BB22">
        <f t="shared" si="33"/>
        <v>-1</v>
      </c>
      <c r="BC22" t="s">
        <v>311</v>
      </c>
      <c r="BD22">
        <v>182.04</v>
      </c>
      <c r="BE22">
        <f t="shared" si="34"/>
        <v>156.054</v>
      </c>
      <c r="BF22">
        <f t="shared" si="35"/>
        <v>0.55748503230144053</v>
      </c>
      <c r="BG22">
        <f t="shared" si="36"/>
        <v>1.8572511535926171</v>
      </c>
      <c r="BH22">
        <f t="shared" si="37"/>
        <v>0.25731828790445554</v>
      </c>
      <c r="BI22" t="e">
        <f t="shared" si="38"/>
        <v>#DIV/0!</v>
      </c>
      <c r="BJ22">
        <v>3651</v>
      </c>
      <c r="BK22">
        <v>300</v>
      </c>
      <c r="BL22">
        <v>300</v>
      </c>
      <c r="BM22">
        <v>300</v>
      </c>
      <c r="BN22">
        <v>9875.44</v>
      </c>
      <c r="BO22">
        <v>308.44600000000003</v>
      </c>
      <c r="BP22">
        <v>-6.4044499999999999E-3</v>
      </c>
      <c r="BQ22">
        <v>-0.159637</v>
      </c>
      <c r="BR22">
        <f t="shared" si="39"/>
        <v>2200.0100000000002</v>
      </c>
      <c r="BS22">
        <f t="shared" si="40"/>
        <v>1849.1937190638982</v>
      </c>
      <c r="BT22">
        <f t="shared" si="41"/>
        <v>0.84053877894368578</v>
      </c>
      <c r="BU22">
        <f t="shared" si="42"/>
        <v>0.19107755788737152</v>
      </c>
      <c r="BV22">
        <v>0.5</v>
      </c>
      <c r="BW22" t="s">
        <v>281</v>
      </c>
      <c r="BX22">
        <v>1592244094.60323</v>
      </c>
      <c r="BY22">
        <v>388.41741935483901</v>
      </c>
      <c r="BZ22">
        <v>400.03361290322601</v>
      </c>
      <c r="CA22">
        <v>18.905338709677402</v>
      </c>
      <c r="CB22">
        <v>17.0432967741935</v>
      </c>
      <c r="CC22">
        <v>500.06503225806398</v>
      </c>
      <c r="CD22">
        <v>100.19941935483899</v>
      </c>
      <c r="CE22">
        <v>0.19997670967741901</v>
      </c>
      <c r="CF22">
        <v>26.4610290322581</v>
      </c>
      <c r="CG22">
        <v>27.061509677419401</v>
      </c>
      <c r="CH22">
        <v>999.9</v>
      </c>
      <c r="CI22">
        <v>10000.99</v>
      </c>
      <c r="CJ22">
        <v>0</v>
      </c>
      <c r="CK22">
        <v>228.59987096774199</v>
      </c>
      <c r="CL22">
        <v>2200.0100000000002</v>
      </c>
      <c r="CM22">
        <v>0.981998451612903</v>
      </c>
      <c r="CN22">
        <v>1.8002025806451601E-2</v>
      </c>
      <c r="CO22">
        <v>0</v>
      </c>
      <c r="CP22">
        <v>251.040290322581</v>
      </c>
      <c r="CQ22">
        <v>5.00054</v>
      </c>
      <c r="CR22">
        <v>6654.9038709677397</v>
      </c>
      <c r="CS22">
        <v>20590.609677419401</v>
      </c>
      <c r="CT22">
        <v>50.366870967741903</v>
      </c>
      <c r="CU22">
        <v>50.880870967741899</v>
      </c>
      <c r="CV22">
        <v>50.634999999999998</v>
      </c>
      <c r="CW22">
        <v>49.512</v>
      </c>
      <c r="CX22">
        <v>51.433064516129001</v>
      </c>
      <c r="CY22">
        <v>2155.4993548387101</v>
      </c>
      <c r="CZ22">
        <v>39.510645161290299</v>
      </c>
      <c r="DA22">
        <v>0</v>
      </c>
      <c r="DB22">
        <v>132.59999990463299</v>
      </c>
      <c r="DC22">
        <v>251.096230769231</v>
      </c>
      <c r="DD22">
        <v>2.4936068328002401</v>
      </c>
      <c r="DE22">
        <v>43.774017073795299</v>
      </c>
      <c r="DF22">
        <v>6655.4396153846101</v>
      </c>
      <c r="DG22">
        <v>15</v>
      </c>
      <c r="DH22">
        <v>1592244056.5999999</v>
      </c>
      <c r="DI22" t="s">
        <v>312</v>
      </c>
      <c r="DJ22">
        <v>20</v>
      </c>
      <c r="DK22">
        <v>-0.127</v>
      </c>
      <c r="DL22">
        <v>0.10299999999999999</v>
      </c>
      <c r="DM22">
        <v>400</v>
      </c>
      <c r="DN22">
        <v>17</v>
      </c>
      <c r="DO22">
        <v>0.37</v>
      </c>
      <c r="DP22">
        <v>7.0000000000000007E-2</v>
      </c>
      <c r="DQ22">
        <v>-11.5993788461539</v>
      </c>
      <c r="DR22">
        <v>7.2747945994325505E-2</v>
      </c>
      <c r="DS22">
        <v>0.16670408413682999</v>
      </c>
      <c r="DT22">
        <v>1</v>
      </c>
      <c r="DU22">
        <v>1.8699419230769201</v>
      </c>
      <c r="DV22">
        <v>-8.9788214447627204E-2</v>
      </c>
      <c r="DW22">
        <v>1.7603698697723699E-2</v>
      </c>
      <c r="DX22">
        <v>1</v>
      </c>
      <c r="DY22">
        <v>2</v>
      </c>
      <c r="DZ22">
        <v>2</v>
      </c>
      <c r="EA22" t="s">
        <v>283</v>
      </c>
      <c r="EB22">
        <v>1.8667499999999999</v>
      </c>
      <c r="EC22">
        <v>1.8632500000000001</v>
      </c>
      <c r="ED22">
        <v>1.8689</v>
      </c>
      <c r="EE22">
        <v>1.8668400000000001</v>
      </c>
      <c r="EF22">
        <v>1.8714900000000001</v>
      </c>
      <c r="EG22">
        <v>1.8640000000000001</v>
      </c>
      <c r="EH22">
        <v>1.86554</v>
      </c>
      <c r="EI22">
        <v>1.86544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-0.127</v>
      </c>
      <c r="EX22">
        <v>0.10299999999999999</v>
      </c>
      <c r="EY22">
        <v>2</v>
      </c>
      <c r="EZ22">
        <v>351.59899999999999</v>
      </c>
      <c r="FA22">
        <v>499.39100000000002</v>
      </c>
      <c r="FB22">
        <v>19.0808</v>
      </c>
      <c r="FC22">
        <v>33.802199999999999</v>
      </c>
      <c r="FD22">
        <v>29.9998</v>
      </c>
      <c r="FE22">
        <v>33.838900000000002</v>
      </c>
      <c r="FF22">
        <v>33.832099999999997</v>
      </c>
      <c r="FG22">
        <v>22.4146</v>
      </c>
      <c r="FH22">
        <v>20.948599999999999</v>
      </c>
      <c r="FI22">
        <v>41.162100000000002</v>
      </c>
      <c r="FJ22">
        <v>19.070499999999999</v>
      </c>
      <c r="FK22">
        <v>400</v>
      </c>
      <c r="FL22">
        <v>17.036899999999999</v>
      </c>
      <c r="FM22">
        <v>101.044</v>
      </c>
      <c r="FN22">
        <v>101.003</v>
      </c>
    </row>
    <row r="23" spans="1:170" x14ac:dyDescent="0.25">
      <c r="A23">
        <v>7</v>
      </c>
      <c r="B23">
        <v>1592244223.0999999</v>
      </c>
      <c r="C23">
        <v>757.09999990463302</v>
      </c>
      <c r="D23" t="s">
        <v>313</v>
      </c>
      <c r="E23" t="s">
        <v>314</v>
      </c>
      <c r="G23">
        <v>1592244215.0999999</v>
      </c>
      <c r="H23">
        <f t="shared" si="0"/>
        <v>5.058264672508193E-3</v>
      </c>
      <c r="I23">
        <f t="shared" si="1"/>
        <v>28.031347471864041</v>
      </c>
      <c r="J23">
        <f t="shared" si="2"/>
        <v>387.93751612903202</v>
      </c>
      <c r="K23">
        <f t="shared" si="3"/>
        <v>229.11922044690394</v>
      </c>
      <c r="L23">
        <f t="shared" si="4"/>
        <v>23.001046701577366</v>
      </c>
      <c r="M23">
        <f t="shared" si="5"/>
        <v>38.944654701483657</v>
      </c>
      <c r="N23">
        <f t="shared" si="6"/>
        <v>0.31103337824140415</v>
      </c>
      <c r="O23">
        <f t="shared" si="7"/>
        <v>3.4046822963070893</v>
      </c>
      <c r="P23">
        <f t="shared" si="8"/>
        <v>0.29606590603029104</v>
      </c>
      <c r="Q23">
        <f t="shared" si="9"/>
        <v>0.18632592353760957</v>
      </c>
      <c r="R23">
        <f t="shared" si="10"/>
        <v>353.33973937587825</v>
      </c>
      <c r="S23">
        <f t="shared" si="11"/>
        <v>27.029146404777514</v>
      </c>
      <c r="T23">
        <f t="shared" si="12"/>
        <v>26.946187096774199</v>
      </c>
      <c r="U23">
        <f t="shared" si="13"/>
        <v>3.5678631185311036</v>
      </c>
      <c r="V23">
        <f t="shared" si="14"/>
        <v>55.10202471378561</v>
      </c>
      <c r="W23">
        <f t="shared" si="15"/>
        <v>1.8994286323511989</v>
      </c>
      <c r="X23">
        <f t="shared" si="16"/>
        <v>3.4471122290284795</v>
      </c>
      <c r="Y23">
        <f t="shared" si="17"/>
        <v>1.6684344861799048</v>
      </c>
      <c r="Z23">
        <f t="shared" si="18"/>
        <v>-223.06947205761131</v>
      </c>
      <c r="AA23">
        <f t="shared" si="19"/>
        <v>-107.32416683334824</v>
      </c>
      <c r="AB23">
        <f t="shared" si="20"/>
        <v>-6.7794127709916223</v>
      </c>
      <c r="AC23">
        <f t="shared" si="21"/>
        <v>16.166687713927104</v>
      </c>
      <c r="AD23">
        <v>-4.1520354411649002E-2</v>
      </c>
      <c r="AE23">
        <v>4.6610235209897599E-2</v>
      </c>
      <c r="AF23">
        <v>3.4775432435338902</v>
      </c>
      <c r="AG23">
        <v>119</v>
      </c>
      <c r="AH23">
        <v>24</v>
      </c>
      <c r="AI23">
        <f t="shared" si="22"/>
        <v>1</v>
      </c>
      <c r="AJ23">
        <f t="shared" si="23"/>
        <v>0</v>
      </c>
      <c r="AK23">
        <f t="shared" si="24"/>
        <v>53059.279704849483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253.70684615384599</v>
      </c>
      <c r="AT23">
        <v>345.71699999999998</v>
      </c>
      <c r="AU23">
        <f t="shared" si="27"/>
        <v>0.26614298355635968</v>
      </c>
      <c r="AV23">
        <v>0.5</v>
      </c>
      <c r="AW23">
        <f t="shared" si="28"/>
        <v>1849.1929158380233</v>
      </c>
      <c r="AX23">
        <f t="shared" si="29"/>
        <v>28.031347471864041</v>
      </c>
      <c r="AY23">
        <f t="shared" si="30"/>
        <v>246.07485989620793</v>
      </c>
      <c r="AZ23">
        <f t="shared" si="31"/>
        <v>0.47853301978207607</v>
      </c>
      <c r="BA23">
        <f t="shared" si="32"/>
        <v>1.5699469332385755E-2</v>
      </c>
      <c r="BB23">
        <f t="shared" si="33"/>
        <v>-1</v>
      </c>
      <c r="BC23" t="s">
        <v>316</v>
      </c>
      <c r="BD23">
        <v>180.28</v>
      </c>
      <c r="BE23">
        <f t="shared" si="34"/>
        <v>165.43699999999998</v>
      </c>
      <c r="BF23">
        <f t="shared" si="35"/>
        <v>0.55616430330672106</v>
      </c>
      <c r="BG23">
        <f t="shared" si="36"/>
        <v>1.9176669625027734</v>
      </c>
      <c r="BH23">
        <f t="shared" si="37"/>
        <v>0.26614298355635968</v>
      </c>
      <c r="BI23" t="e">
        <f t="shared" si="38"/>
        <v>#DIV/0!</v>
      </c>
      <c r="BJ23">
        <v>3653</v>
      </c>
      <c r="BK23">
        <v>300</v>
      </c>
      <c r="BL23">
        <v>300</v>
      </c>
      <c r="BM23">
        <v>300</v>
      </c>
      <c r="BN23">
        <v>9876.18</v>
      </c>
      <c r="BO23">
        <v>313.89999999999998</v>
      </c>
      <c r="BP23">
        <v>-6.4050000000000001E-3</v>
      </c>
      <c r="BQ23">
        <v>-0.58526599999999995</v>
      </c>
      <c r="BR23">
        <f t="shared" si="39"/>
        <v>2200.00870967742</v>
      </c>
      <c r="BS23">
        <f t="shared" si="40"/>
        <v>1849.1929158380233</v>
      </c>
      <c r="BT23">
        <f t="shared" si="41"/>
        <v>0.84053890682512988</v>
      </c>
      <c r="BU23">
        <f t="shared" si="42"/>
        <v>0.19107781365025975</v>
      </c>
      <c r="BV23">
        <v>0.5</v>
      </c>
      <c r="BW23" t="s">
        <v>281</v>
      </c>
      <c r="BX23">
        <v>1592244215.0999999</v>
      </c>
      <c r="BY23">
        <v>387.93751612903202</v>
      </c>
      <c r="BZ23">
        <v>399.93348387096802</v>
      </c>
      <c r="CA23">
        <v>18.920687096774198</v>
      </c>
      <c r="CB23">
        <v>16.935909677419399</v>
      </c>
      <c r="CC23">
        <v>500.06200000000001</v>
      </c>
      <c r="CD23">
        <v>100.18899999999999</v>
      </c>
      <c r="CE23">
        <v>0.19998812903225799</v>
      </c>
      <c r="CF23">
        <v>26.3614838709677</v>
      </c>
      <c r="CG23">
        <v>26.946187096774199</v>
      </c>
      <c r="CH23">
        <v>999.9</v>
      </c>
      <c r="CI23">
        <v>9993.9467741935496</v>
      </c>
      <c r="CJ23">
        <v>0</v>
      </c>
      <c r="CK23">
        <v>258.26606451612901</v>
      </c>
      <c r="CL23">
        <v>2200.00870967742</v>
      </c>
      <c r="CM23">
        <v>0.98199606451612897</v>
      </c>
      <c r="CN23">
        <v>1.8003854838709699E-2</v>
      </c>
      <c r="CO23">
        <v>0</v>
      </c>
      <c r="CP23">
        <v>253.68741935483899</v>
      </c>
      <c r="CQ23">
        <v>5.00054</v>
      </c>
      <c r="CR23">
        <v>6711.0490322580599</v>
      </c>
      <c r="CS23">
        <v>20590.587096774201</v>
      </c>
      <c r="CT23">
        <v>50.2296774193548</v>
      </c>
      <c r="CU23">
        <v>50.814193548387102</v>
      </c>
      <c r="CV23">
        <v>50.554000000000002</v>
      </c>
      <c r="CW23">
        <v>49.383000000000003</v>
      </c>
      <c r="CX23">
        <v>51.358741935483899</v>
      </c>
      <c r="CY23">
        <v>2155.48870967742</v>
      </c>
      <c r="CZ23">
        <v>39.520000000000003</v>
      </c>
      <c r="DA23">
        <v>0</v>
      </c>
      <c r="DB23">
        <v>120</v>
      </c>
      <c r="DC23">
        <v>253.70684615384599</v>
      </c>
      <c r="DD23">
        <v>1.7581538433007</v>
      </c>
      <c r="DE23">
        <v>38.8642734794822</v>
      </c>
      <c r="DF23">
        <v>6711.48692307692</v>
      </c>
      <c r="DG23">
        <v>15</v>
      </c>
      <c r="DH23">
        <v>1592244183.0999999</v>
      </c>
      <c r="DI23" t="s">
        <v>317</v>
      </c>
      <c r="DJ23">
        <v>21</v>
      </c>
      <c r="DK23">
        <v>-8.5000000000000006E-2</v>
      </c>
      <c r="DL23">
        <v>0.107</v>
      </c>
      <c r="DM23">
        <v>400</v>
      </c>
      <c r="DN23">
        <v>17</v>
      </c>
      <c r="DO23">
        <v>0.27</v>
      </c>
      <c r="DP23">
        <v>0.05</v>
      </c>
      <c r="DQ23">
        <v>-12.029928846153799</v>
      </c>
      <c r="DR23">
        <v>2.33694185947107E-2</v>
      </c>
      <c r="DS23">
        <v>0.13991072886849901</v>
      </c>
      <c r="DT23">
        <v>1</v>
      </c>
      <c r="DU23">
        <v>1.99811769230769</v>
      </c>
      <c r="DV23">
        <v>-4.9712661145714099E-2</v>
      </c>
      <c r="DW23">
        <v>2.87574529212987E-2</v>
      </c>
      <c r="DX23">
        <v>1</v>
      </c>
      <c r="DY23">
        <v>2</v>
      </c>
      <c r="DZ23">
        <v>2</v>
      </c>
      <c r="EA23" t="s">
        <v>283</v>
      </c>
      <c r="EB23">
        <v>1.86676</v>
      </c>
      <c r="EC23">
        <v>1.86327</v>
      </c>
      <c r="ED23">
        <v>1.8689</v>
      </c>
      <c r="EE23">
        <v>1.8668899999999999</v>
      </c>
      <c r="EF23">
        <v>1.87151</v>
      </c>
      <c r="EG23">
        <v>1.8640099999999999</v>
      </c>
      <c r="EH23">
        <v>1.86555</v>
      </c>
      <c r="EI23">
        <v>1.86554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-8.5000000000000006E-2</v>
      </c>
      <c r="EX23">
        <v>0.107</v>
      </c>
      <c r="EY23">
        <v>2</v>
      </c>
      <c r="EZ23">
        <v>362.12700000000001</v>
      </c>
      <c r="FA23">
        <v>500.435</v>
      </c>
      <c r="FB23">
        <v>19.248200000000001</v>
      </c>
      <c r="FC23">
        <v>33.5764</v>
      </c>
      <c r="FD23">
        <v>29.997499999999999</v>
      </c>
      <c r="FE23">
        <v>33.645600000000002</v>
      </c>
      <c r="FF23">
        <v>33.641800000000003</v>
      </c>
      <c r="FG23">
        <v>22.413699999999999</v>
      </c>
      <c r="FH23">
        <v>20.907299999999999</v>
      </c>
      <c r="FI23">
        <v>40.789200000000001</v>
      </c>
      <c r="FJ23">
        <v>19.3004</v>
      </c>
      <c r="FK23">
        <v>400</v>
      </c>
      <c r="FL23">
        <v>16.965299999999999</v>
      </c>
      <c r="FM23">
        <v>101.08799999999999</v>
      </c>
      <c r="FN23">
        <v>101.063</v>
      </c>
    </row>
    <row r="24" spans="1:170" x14ac:dyDescent="0.25">
      <c r="A24">
        <v>8</v>
      </c>
      <c r="B24">
        <v>1592244343.5999999</v>
      </c>
      <c r="C24">
        <v>877.59999990463302</v>
      </c>
      <c r="D24" t="s">
        <v>318</v>
      </c>
      <c r="E24" t="s">
        <v>319</v>
      </c>
      <c r="G24">
        <v>1592244335.61935</v>
      </c>
      <c r="H24">
        <f t="shared" si="0"/>
        <v>5.2247787395006432E-3</v>
      </c>
      <c r="I24">
        <f t="shared" si="1"/>
        <v>34.376574713814918</v>
      </c>
      <c r="J24">
        <f t="shared" si="2"/>
        <v>485.238258064516</v>
      </c>
      <c r="K24">
        <f t="shared" si="3"/>
        <v>292.97960138496853</v>
      </c>
      <c r="L24">
        <f t="shared" si="4"/>
        <v>29.41048207322385</v>
      </c>
      <c r="M24">
        <f t="shared" si="5"/>
        <v>48.710186724900787</v>
      </c>
      <c r="N24">
        <f t="shared" si="6"/>
        <v>0.31634249720777241</v>
      </c>
      <c r="O24">
        <f t="shared" si="7"/>
        <v>3.407030539182152</v>
      </c>
      <c r="P24">
        <f t="shared" si="8"/>
        <v>0.30088344987113363</v>
      </c>
      <c r="Q24">
        <f t="shared" si="9"/>
        <v>0.18937811907152408</v>
      </c>
      <c r="R24">
        <f t="shared" si="10"/>
        <v>353.33937899009192</v>
      </c>
      <c r="S24">
        <f t="shared" si="11"/>
        <v>27.190151600018275</v>
      </c>
      <c r="T24">
        <f t="shared" si="12"/>
        <v>27.097348387096801</v>
      </c>
      <c r="U24">
        <f t="shared" si="13"/>
        <v>3.5996747192077319</v>
      </c>
      <c r="V24">
        <f t="shared" si="14"/>
        <v>54.598854717111664</v>
      </c>
      <c r="W24">
        <f t="shared" si="15"/>
        <v>1.9043141265591461</v>
      </c>
      <c r="X24">
        <f t="shared" si="16"/>
        <v>3.4878279707986635</v>
      </c>
      <c r="Y24">
        <f t="shared" si="17"/>
        <v>1.6953605926485857</v>
      </c>
      <c r="Z24">
        <f t="shared" si="18"/>
        <v>-230.41274241197837</v>
      </c>
      <c r="AA24">
        <f t="shared" si="19"/>
        <v>-98.588075177896897</v>
      </c>
      <c r="AB24">
        <f t="shared" si="20"/>
        <v>-6.2342000552801897</v>
      </c>
      <c r="AC24">
        <f t="shared" si="21"/>
        <v>18.104361344936436</v>
      </c>
      <c r="AD24">
        <v>-4.1556784988027999E-2</v>
      </c>
      <c r="AE24">
        <v>4.6651131723376801E-2</v>
      </c>
      <c r="AF24">
        <v>3.4799554156875101</v>
      </c>
      <c r="AG24">
        <v>116</v>
      </c>
      <c r="AH24">
        <v>23</v>
      </c>
      <c r="AI24">
        <f t="shared" si="22"/>
        <v>1</v>
      </c>
      <c r="AJ24">
        <f t="shared" si="23"/>
        <v>0</v>
      </c>
      <c r="AK24">
        <f t="shared" si="24"/>
        <v>53068.526328944085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262.85669230769201</v>
      </c>
      <c r="AT24">
        <v>363.73599999999999</v>
      </c>
      <c r="AU24">
        <f t="shared" si="27"/>
        <v>0.27734210441723661</v>
      </c>
      <c r="AV24">
        <v>0.5</v>
      </c>
      <c r="AW24">
        <f t="shared" si="28"/>
        <v>1849.1910190638262</v>
      </c>
      <c r="AX24">
        <f t="shared" si="29"/>
        <v>34.376574713814918</v>
      </c>
      <c r="AY24">
        <f t="shared" si="30"/>
        <v>256.42926434830792</v>
      </c>
      <c r="AZ24">
        <f t="shared" si="31"/>
        <v>0.49276398266874877</v>
      </c>
      <c r="BA24">
        <f t="shared" si="32"/>
        <v>1.9130838485103992E-2</v>
      </c>
      <c r="BB24">
        <f t="shared" si="33"/>
        <v>-1</v>
      </c>
      <c r="BC24" t="s">
        <v>321</v>
      </c>
      <c r="BD24">
        <v>184.5</v>
      </c>
      <c r="BE24">
        <f t="shared" si="34"/>
        <v>179.23599999999999</v>
      </c>
      <c r="BF24">
        <f t="shared" si="35"/>
        <v>0.56282949682155359</v>
      </c>
      <c r="BG24">
        <f t="shared" si="36"/>
        <v>1.9714688346883469</v>
      </c>
      <c r="BH24">
        <f t="shared" si="37"/>
        <v>0.27734210441723661</v>
      </c>
      <c r="BI24" t="e">
        <f t="shared" si="38"/>
        <v>#DIV/0!</v>
      </c>
      <c r="BJ24">
        <v>3655</v>
      </c>
      <c r="BK24">
        <v>300</v>
      </c>
      <c r="BL24">
        <v>300</v>
      </c>
      <c r="BM24">
        <v>300</v>
      </c>
      <c r="BN24">
        <v>9876.11</v>
      </c>
      <c r="BO24">
        <v>331.83600000000001</v>
      </c>
      <c r="BP24">
        <v>-6.40502E-3</v>
      </c>
      <c r="BQ24">
        <v>5.5542000000000001E-2</v>
      </c>
      <c r="BR24">
        <f t="shared" si="39"/>
        <v>2200.0064516129</v>
      </c>
      <c r="BS24">
        <f t="shared" si="40"/>
        <v>1849.1910190638262</v>
      </c>
      <c r="BT24">
        <f t="shared" si="41"/>
        <v>0.84053890737825832</v>
      </c>
      <c r="BU24">
        <f t="shared" si="42"/>
        <v>0.19107781475651658</v>
      </c>
      <c r="BV24">
        <v>0.5</v>
      </c>
      <c r="BW24" t="s">
        <v>281</v>
      </c>
      <c r="BX24">
        <v>1592244335.61935</v>
      </c>
      <c r="BY24">
        <v>485.238258064516</v>
      </c>
      <c r="BZ24">
        <v>500.00112903225801</v>
      </c>
      <c r="CA24">
        <v>18.970283870967702</v>
      </c>
      <c r="CB24">
        <v>16.9202774193548</v>
      </c>
      <c r="CC24">
        <v>500.06312903225802</v>
      </c>
      <c r="CD24">
        <v>100.184064516129</v>
      </c>
      <c r="CE24">
        <v>0.199996129032258</v>
      </c>
      <c r="CF24">
        <v>26.5606096774194</v>
      </c>
      <c r="CG24">
        <v>27.097348387096801</v>
      </c>
      <c r="CH24">
        <v>999.9</v>
      </c>
      <c r="CI24">
        <v>10003.2083870968</v>
      </c>
      <c r="CJ24">
        <v>0</v>
      </c>
      <c r="CK24">
        <v>233.93612903225801</v>
      </c>
      <c r="CL24">
        <v>2200.0064516129</v>
      </c>
      <c r="CM24">
        <v>0.98199741935483897</v>
      </c>
      <c r="CN24">
        <v>1.8002906451612899E-2</v>
      </c>
      <c r="CO24">
        <v>0</v>
      </c>
      <c r="CP24">
        <v>262.84206451612903</v>
      </c>
      <c r="CQ24">
        <v>5.00054</v>
      </c>
      <c r="CR24">
        <v>6926.90935483871</v>
      </c>
      <c r="CS24">
        <v>20590.587096774201</v>
      </c>
      <c r="CT24">
        <v>50.237806451612897</v>
      </c>
      <c r="CU24">
        <v>50.731645161290302</v>
      </c>
      <c r="CV24">
        <v>50.491870967741903</v>
      </c>
      <c r="CW24">
        <v>49.316064516129003</v>
      </c>
      <c r="CX24">
        <v>51.296129032258101</v>
      </c>
      <c r="CY24">
        <v>2155.4864516129001</v>
      </c>
      <c r="CZ24">
        <v>39.520000000000003</v>
      </c>
      <c r="DA24">
        <v>0</v>
      </c>
      <c r="DB24">
        <v>120</v>
      </c>
      <c r="DC24">
        <v>262.85669230769201</v>
      </c>
      <c r="DD24">
        <v>1.4101196606142301</v>
      </c>
      <c r="DE24">
        <v>34.637264889832899</v>
      </c>
      <c r="DF24">
        <v>6927.2476923076902</v>
      </c>
      <c r="DG24">
        <v>15</v>
      </c>
      <c r="DH24">
        <v>1592244297.0999999</v>
      </c>
      <c r="DI24" t="s">
        <v>322</v>
      </c>
      <c r="DJ24">
        <v>22</v>
      </c>
      <c r="DK24">
        <v>-0.12</v>
      </c>
      <c r="DL24">
        <v>0.106</v>
      </c>
      <c r="DM24">
        <v>500</v>
      </c>
      <c r="DN24">
        <v>17</v>
      </c>
      <c r="DO24">
        <v>0.13</v>
      </c>
      <c r="DP24">
        <v>0.03</v>
      </c>
      <c r="DQ24">
        <v>-14.7622942307692</v>
      </c>
      <c r="DR24">
        <v>-5.6353609795481797E-2</v>
      </c>
      <c r="DS24">
        <v>5.9222632152106103E-2</v>
      </c>
      <c r="DT24">
        <v>1</v>
      </c>
      <c r="DU24">
        <v>2.0435775</v>
      </c>
      <c r="DV24">
        <v>6.0189633853801099E-2</v>
      </c>
      <c r="DW24">
        <v>1.2478711236927301E-2</v>
      </c>
      <c r="DX24">
        <v>1</v>
      </c>
      <c r="DY24">
        <v>2</v>
      </c>
      <c r="DZ24">
        <v>2</v>
      </c>
      <c r="EA24" t="s">
        <v>283</v>
      </c>
      <c r="EB24">
        <v>1.86676</v>
      </c>
      <c r="EC24">
        <v>1.8632500000000001</v>
      </c>
      <c r="ED24">
        <v>1.8689</v>
      </c>
      <c r="EE24">
        <v>1.86687</v>
      </c>
      <c r="EF24">
        <v>1.8714900000000001</v>
      </c>
      <c r="EG24">
        <v>1.8640099999999999</v>
      </c>
      <c r="EH24">
        <v>1.8655600000000001</v>
      </c>
      <c r="EI24">
        <v>1.86548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-0.12</v>
      </c>
      <c r="EX24">
        <v>0.106</v>
      </c>
      <c r="EY24">
        <v>2</v>
      </c>
      <c r="EZ24">
        <v>364.76900000000001</v>
      </c>
      <c r="FA24">
        <v>501.21100000000001</v>
      </c>
      <c r="FB24">
        <v>19.460100000000001</v>
      </c>
      <c r="FC24">
        <v>33.3369</v>
      </c>
      <c r="FD24">
        <v>30.000399999999999</v>
      </c>
      <c r="FE24">
        <v>33.4328</v>
      </c>
      <c r="FF24">
        <v>33.438200000000002</v>
      </c>
      <c r="FG24">
        <v>26.7666</v>
      </c>
      <c r="FH24">
        <v>20.710999999999999</v>
      </c>
      <c r="FI24">
        <v>40.789200000000001</v>
      </c>
      <c r="FJ24">
        <v>19.366499999999998</v>
      </c>
      <c r="FK24">
        <v>500</v>
      </c>
      <c r="FL24">
        <v>16.9618</v>
      </c>
      <c r="FM24">
        <v>101.121</v>
      </c>
      <c r="FN24">
        <v>101.10899999999999</v>
      </c>
    </row>
    <row r="25" spans="1:170" x14ac:dyDescent="0.25">
      <c r="A25">
        <v>9</v>
      </c>
      <c r="B25">
        <v>1592244494.0999999</v>
      </c>
      <c r="C25">
        <v>1028.0999999046301</v>
      </c>
      <c r="D25" t="s">
        <v>323</v>
      </c>
      <c r="E25" t="s">
        <v>324</v>
      </c>
      <c r="G25">
        <v>1592244486.1322601</v>
      </c>
      <c r="H25">
        <f t="shared" si="0"/>
        <v>5.8990717576419931E-3</v>
      </c>
      <c r="I25">
        <f t="shared" si="1"/>
        <v>38.866954525978883</v>
      </c>
      <c r="J25">
        <f t="shared" si="2"/>
        <v>583.13729032258095</v>
      </c>
      <c r="K25">
        <f t="shared" si="3"/>
        <v>393.8898598994644</v>
      </c>
      <c r="L25">
        <f t="shared" si="4"/>
        <v>39.540455039546153</v>
      </c>
      <c r="M25">
        <f t="shared" si="5"/>
        <v>58.537972558541959</v>
      </c>
      <c r="N25">
        <f t="shared" si="6"/>
        <v>0.3711795526783076</v>
      </c>
      <c r="O25">
        <f t="shared" si="7"/>
        <v>3.4082127133446911</v>
      </c>
      <c r="P25">
        <f t="shared" si="8"/>
        <v>0.3500951536327791</v>
      </c>
      <c r="Q25">
        <f t="shared" si="9"/>
        <v>0.22060395254403109</v>
      </c>
      <c r="R25">
        <f t="shared" si="10"/>
        <v>353.34046014744939</v>
      </c>
      <c r="S25">
        <f t="shared" si="11"/>
        <v>26.798845508838571</v>
      </c>
      <c r="T25">
        <f t="shared" si="12"/>
        <v>26.945570967741901</v>
      </c>
      <c r="U25">
        <f t="shared" si="13"/>
        <v>3.5677339592125641</v>
      </c>
      <c r="V25">
        <f t="shared" si="14"/>
        <v>55.90305644805035</v>
      </c>
      <c r="W25">
        <f t="shared" si="15"/>
        <v>1.9225185321638099</v>
      </c>
      <c r="X25">
        <f t="shared" si="16"/>
        <v>3.4390222186695105</v>
      </c>
      <c r="Y25">
        <f t="shared" si="17"/>
        <v>1.6452154270487542</v>
      </c>
      <c r="Z25">
        <f t="shared" si="18"/>
        <v>-260.14906451201188</v>
      </c>
      <c r="AA25">
        <f t="shared" si="19"/>
        <v>-114.63701673478502</v>
      </c>
      <c r="AB25">
        <f t="shared" si="20"/>
        <v>-7.2323843357092716</v>
      </c>
      <c r="AC25">
        <f t="shared" si="21"/>
        <v>-28.678005435056804</v>
      </c>
      <c r="AD25">
        <v>-4.1575129527800299E-2</v>
      </c>
      <c r="AE25">
        <v>4.6671725076341097E-2</v>
      </c>
      <c r="AF25">
        <v>3.4811697813032101</v>
      </c>
      <c r="AG25">
        <v>121</v>
      </c>
      <c r="AH25">
        <v>24</v>
      </c>
      <c r="AI25">
        <f t="shared" si="22"/>
        <v>1</v>
      </c>
      <c r="AJ25">
        <f t="shared" si="23"/>
        <v>0</v>
      </c>
      <c r="AK25">
        <f t="shared" si="24"/>
        <v>53133.38395439733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267.81138461538501</v>
      </c>
      <c r="AT25">
        <v>372.673</v>
      </c>
      <c r="AU25">
        <f t="shared" si="27"/>
        <v>0.28137701251395997</v>
      </c>
      <c r="AV25">
        <v>0.5</v>
      </c>
      <c r="AW25">
        <f t="shared" si="28"/>
        <v>1849.1967093864089</v>
      </c>
      <c r="AX25">
        <f t="shared" si="29"/>
        <v>38.866954525978883</v>
      </c>
      <c r="AY25">
        <f t="shared" si="30"/>
        <v>260.1607228188966</v>
      </c>
      <c r="AZ25">
        <f t="shared" si="31"/>
        <v>0.51040188046893653</v>
      </c>
      <c r="BA25">
        <f t="shared" si="32"/>
        <v>2.155906633600237E-2</v>
      </c>
      <c r="BB25">
        <f t="shared" si="33"/>
        <v>-1</v>
      </c>
      <c r="BC25" t="s">
        <v>326</v>
      </c>
      <c r="BD25">
        <v>182.46</v>
      </c>
      <c r="BE25">
        <f t="shared" si="34"/>
        <v>190.21299999999999</v>
      </c>
      <c r="BF25">
        <f t="shared" si="35"/>
        <v>0.55128521912074879</v>
      </c>
      <c r="BG25">
        <f t="shared" si="36"/>
        <v>2.0424915049873946</v>
      </c>
      <c r="BH25">
        <f t="shared" si="37"/>
        <v>0.28137701251395991</v>
      </c>
      <c r="BI25" t="e">
        <f t="shared" si="38"/>
        <v>#DIV/0!</v>
      </c>
      <c r="BJ25">
        <v>3657</v>
      </c>
      <c r="BK25">
        <v>300</v>
      </c>
      <c r="BL25">
        <v>300</v>
      </c>
      <c r="BM25">
        <v>300</v>
      </c>
      <c r="BN25">
        <v>9876.23</v>
      </c>
      <c r="BO25">
        <v>341.19799999999998</v>
      </c>
      <c r="BP25">
        <v>-6.4051400000000001E-3</v>
      </c>
      <c r="BQ25">
        <v>0.38253799999999999</v>
      </c>
      <c r="BR25">
        <f t="shared" si="39"/>
        <v>2200.01322580645</v>
      </c>
      <c r="BS25">
        <f t="shared" si="40"/>
        <v>1849.1967093864089</v>
      </c>
      <c r="BT25">
        <f t="shared" si="41"/>
        <v>0.84053890571887646</v>
      </c>
      <c r="BU25">
        <f t="shared" si="42"/>
        <v>0.1910778114377529</v>
      </c>
      <c r="BV25">
        <v>0.5</v>
      </c>
      <c r="BW25" t="s">
        <v>281</v>
      </c>
      <c r="BX25">
        <v>1592244486.1322601</v>
      </c>
      <c r="BY25">
        <v>583.13729032258095</v>
      </c>
      <c r="BZ25">
        <v>600.05751612903202</v>
      </c>
      <c r="CA25">
        <v>19.1515387096774</v>
      </c>
      <c r="CB25">
        <v>16.837448387096799</v>
      </c>
      <c r="CC25">
        <v>500.07516129032302</v>
      </c>
      <c r="CD25">
        <v>100.184612903226</v>
      </c>
      <c r="CE25">
        <v>0.19993380645161299</v>
      </c>
      <c r="CF25">
        <v>26.3216741935484</v>
      </c>
      <c r="CG25">
        <v>26.945570967741901</v>
      </c>
      <c r="CH25">
        <v>999.9</v>
      </c>
      <c r="CI25">
        <v>10007.569354838701</v>
      </c>
      <c r="CJ25">
        <v>0</v>
      </c>
      <c r="CK25">
        <v>236.38661290322599</v>
      </c>
      <c r="CL25">
        <v>2200.01322580645</v>
      </c>
      <c r="CM25">
        <v>0.98199722580645199</v>
      </c>
      <c r="CN25">
        <v>1.80030419354839E-2</v>
      </c>
      <c r="CO25">
        <v>0</v>
      </c>
      <c r="CP25">
        <v>267.83358064516102</v>
      </c>
      <c r="CQ25">
        <v>5.00054</v>
      </c>
      <c r="CR25">
        <v>7063.5738709677398</v>
      </c>
      <c r="CS25">
        <v>20590.632258064499</v>
      </c>
      <c r="CT25">
        <v>50.346645161290297</v>
      </c>
      <c r="CU25">
        <v>50.882870967741901</v>
      </c>
      <c r="CV25">
        <v>50.566064516129003</v>
      </c>
      <c r="CW25">
        <v>49.548000000000002</v>
      </c>
      <c r="CX25">
        <v>51.425032258064498</v>
      </c>
      <c r="CY25">
        <v>2155.49322580645</v>
      </c>
      <c r="CZ25">
        <v>39.520000000000003</v>
      </c>
      <c r="DA25">
        <v>0</v>
      </c>
      <c r="DB25">
        <v>150</v>
      </c>
      <c r="DC25">
        <v>267.81138461538501</v>
      </c>
      <c r="DD25">
        <v>0.176410250225608</v>
      </c>
      <c r="DE25">
        <v>4.1989743670184101</v>
      </c>
      <c r="DF25">
        <v>7063.6023076923102</v>
      </c>
      <c r="DG25">
        <v>15</v>
      </c>
      <c r="DH25">
        <v>1592244405.0999999</v>
      </c>
      <c r="DI25" t="s">
        <v>327</v>
      </c>
      <c r="DJ25">
        <v>23</v>
      </c>
      <c r="DK25">
        <v>1.0999999999999999E-2</v>
      </c>
      <c r="DL25">
        <v>0.113</v>
      </c>
      <c r="DM25">
        <v>600</v>
      </c>
      <c r="DN25">
        <v>17</v>
      </c>
      <c r="DO25">
        <v>0.2</v>
      </c>
      <c r="DP25">
        <v>0.03</v>
      </c>
      <c r="DQ25">
        <v>-16.861326923076899</v>
      </c>
      <c r="DR25">
        <v>-0.88228605362961099</v>
      </c>
      <c r="DS25">
        <v>0.15181721311572299</v>
      </c>
      <c r="DT25">
        <v>0</v>
      </c>
      <c r="DU25">
        <v>2.2193957692307702</v>
      </c>
      <c r="DV25">
        <v>1.17901965802706</v>
      </c>
      <c r="DW25">
        <v>0.15188157662045801</v>
      </c>
      <c r="DX25">
        <v>0</v>
      </c>
      <c r="DY25">
        <v>0</v>
      </c>
      <c r="DZ25">
        <v>2</v>
      </c>
      <c r="EA25" t="s">
        <v>328</v>
      </c>
      <c r="EB25">
        <v>1.86676</v>
      </c>
      <c r="EC25">
        <v>1.8632500000000001</v>
      </c>
      <c r="ED25">
        <v>1.8689100000000001</v>
      </c>
      <c r="EE25">
        <v>1.8669100000000001</v>
      </c>
      <c r="EF25">
        <v>1.87151</v>
      </c>
      <c r="EG25">
        <v>1.86402</v>
      </c>
      <c r="EH25">
        <v>1.86557</v>
      </c>
      <c r="EI25">
        <v>1.8655299999999999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1.0999999999999999E-2</v>
      </c>
      <c r="EX25">
        <v>0.113</v>
      </c>
      <c r="EY25">
        <v>2</v>
      </c>
      <c r="EZ25">
        <v>359.69900000000001</v>
      </c>
      <c r="FA25">
        <v>499.78300000000002</v>
      </c>
      <c r="FB25">
        <v>19.198399999999999</v>
      </c>
      <c r="FC25">
        <v>33.316200000000002</v>
      </c>
      <c r="FD25">
        <v>30.000900000000001</v>
      </c>
      <c r="FE25">
        <v>33.340000000000003</v>
      </c>
      <c r="FF25">
        <v>33.3399</v>
      </c>
      <c r="FG25">
        <v>30.982399999999998</v>
      </c>
      <c r="FH25">
        <v>22.922799999999999</v>
      </c>
      <c r="FI25">
        <v>40.789200000000001</v>
      </c>
      <c r="FJ25">
        <v>19.1663</v>
      </c>
      <c r="FK25">
        <v>600</v>
      </c>
      <c r="FL25">
        <v>16.484200000000001</v>
      </c>
      <c r="FM25">
        <v>101.125</v>
      </c>
      <c r="FN25">
        <v>101.113</v>
      </c>
    </row>
    <row r="26" spans="1:170" x14ac:dyDescent="0.25">
      <c r="A26">
        <v>10</v>
      </c>
      <c r="B26">
        <v>1592244620.7</v>
      </c>
      <c r="C26">
        <v>1154.7000000476801</v>
      </c>
      <c r="D26" t="s">
        <v>329</v>
      </c>
      <c r="E26" t="s">
        <v>330</v>
      </c>
      <c r="G26">
        <v>1592244612.6516099</v>
      </c>
      <c r="H26">
        <f t="shared" si="0"/>
        <v>4.7902227542050363E-3</v>
      </c>
      <c r="I26">
        <f t="shared" si="1"/>
        <v>42.34536337727711</v>
      </c>
      <c r="J26">
        <f t="shared" si="2"/>
        <v>681.71912903225802</v>
      </c>
      <c r="K26">
        <f t="shared" si="3"/>
        <v>422.44468040641152</v>
      </c>
      <c r="L26">
        <f t="shared" si="4"/>
        <v>42.409173538969462</v>
      </c>
      <c r="M26">
        <f t="shared" si="5"/>
        <v>68.437706021413902</v>
      </c>
      <c r="N26">
        <f t="shared" si="6"/>
        <v>0.28879755104572463</v>
      </c>
      <c r="O26">
        <f t="shared" si="7"/>
        <v>3.4065548302934028</v>
      </c>
      <c r="P26">
        <f t="shared" si="8"/>
        <v>0.27585252967268625</v>
      </c>
      <c r="Q26">
        <f t="shared" si="9"/>
        <v>0.17352253150241034</v>
      </c>
      <c r="R26">
        <f t="shared" si="10"/>
        <v>353.33868387939077</v>
      </c>
      <c r="S26">
        <f t="shared" si="11"/>
        <v>27.223392986367973</v>
      </c>
      <c r="T26">
        <f t="shared" si="12"/>
        <v>27.0966290322581</v>
      </c>
      <c r="U26">
        <f t="shared" si="13"/>
        <v>3.5995227480244187</v>
      </c>
      <c r="V26">
        <f t="shared" si="14"/>
        <v>54.800079004133039</v>
      </c>
      <c r="W26">
        <f t="shared" si="15"/>
        <v>1.9040214668592459</v>
      </c>
      <c r="X26">
        <f t="shared" si="16"/>
        <v>3.4744867187429489</v>
      </c>
      <c r="Y26">
        <f t="shared" si="17"/>
        <v>1.6955012811651728</v>
      </c>
      <c r="Z26">
        <f t="shared" si="18"/>
        <v>-211.24882346044211</v>
      </c>
      <c r="AA26">
        <f t="shared" si="19"/>
        <v>-110.38386621755407</v>
      </c>
      <c r="AB26">
        <f t="shared" si="20"/>
        <v>-6.9787852358729188</v>
      </c>
      <c r="AC26">
        <f t="shared" si="21"/>
        <v>24.727208965521669</v>
      </c>
      <c r="AD26">
        <v>-4.1549403930988799E-2</v>
      </c>
      <c r="AE26">
        <v>4.6642845840234197E-2</v>
      </c>
      <c r="AF26">
        <v>3.4794667543368898</v>
      </c>
      <c r="AG26">
        <v>114</v>
      </c>
      <c r="AH26">
        <v>23</v>
      </c>
      <c r="AI26">
        <f t="shared" si="22"/>
        <v>1</v>
      </c>
      <c r="AJ26">
        <f t="shared" si="23"/>
        <v>0</v>
      </c>
      <c r="AK26">
        <f t="shared" si="24"/>
        <v>53071.117785601746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267.76150000000001</v>
      </c>
      <c r="AT26">
        <v>373.73599999999999</v>
      </c>
      <c r="AU26">
        <f t="shared" si="27"/>
        <v>0.28355443414602821</v>
      </c>
      <c r="AV26">
        <v>0.5</v>
      </c>
      <c r="AW26">
        <f t="shared" si="28"/>
        <v>1849.1896739026004</v>
      </c>
      <c r="AX26">
        <f t="shared" si="29"/>
        <v>42.34536337727711</v>
      </c>
      <c r="AY26">
        <f t="shared" si="30"/>
        <v>262.17296580606512</v>
      </c>
      <c r="AZ26">
        <f t="shared" si="31"/>
        <v>0.50836954427724379</v>
      </c>
      <c r="BA26">
        <f t="shared" si="32"/>
        <v>2.344019328520227E-2</v>
      </c>
      <c r="BB26">
        <f t="shared" si="33"/>
        <v>-1</v>
      </c>
      <c r="BC26" t="s">
        <v>332</v>
      </c>
      <c r="BD26">
        <v>183.74</v>
      </c>
      <c r="BE26">
        <f t="shared" si="34"/>
        <v>189.99599999999998</v>
      </c>
      <c r="BF26">
        <f t="shared" si="35"/>
        <v>0.5577722688898713</v>
      </c>
      <c r="BG26">
        <f t="shared" si="36"/>
        <v>2.0340481114618481</v>
      </c>
      <c r="BH26">
        <f t="shared" si="37"/>
        <v>0.28355443414602816</v>
      </c>
      <c r="BI26" t="e">
        <f t="shared" si="38"/>
        <v>#DIV/0!</v>
      </c>
      <c r="BJ26">
        <v>3659</v>
      </c>
      <c r="BK26">
        <v>300</v>
      </c>
      <c r="BL26">
        <v>300</v>
      </c>
      <c r="BM26">
        <v>300</v>
      </c>
      <c r="BN26">
        <v>9875.64</v>
      </c>
      <c r="BO26">
        <v>341.44099999999997</v>
      </c>
      <c r="BP26">
        <v>-6.4046099999999998E-3</v>
      </c>
      <c r="BQ26">
        <v>0.77972399999999997</v>
      </c>
      <c r="BR26">
        <f t="shared" si="39"/>
        <v>2200.0051612903198</v>
      </c>
      <c r="BS26">
        <f t="shared" si="40"/>
        <v>1849.1896739026004</v>
      </c>
      <c r="BT26">
        <f t="shared" si="41"/>
        <v>0.84053878892631162</v>
      </c>
      <c r="BU26">
        <f t="shared" si="42"/>
        <v>0.19107757785262305</v>
      </c>
      <c r="BV26">
        <v>0.5</v>
      </c>
      <c r="BW26" t="s">
        <v>281</v>
      </c>
      <c r="BX26">
        <v>1592244612.6516099</v>
      </c>
      <c r="BY26">
        <v>681.71912903225802</v>
      </c>
      <c r="BZ26">
        <v>699.96232258064504</v>
      </c>
      <c r="CA26">
        <v>18.9662677419355</v>
      </c>
      <c r="CB26">
        <v>17.0866419354839</v>
      </c>
      <c r="CC26">
        <v>500.03251612903199</v>
      </c>
      <c r="CD26">
        <v>100.189225806452</v>
      </c>
      <c r="CE26">
        <v>0.200660741935484</v>
      </c>
      <c r="CF26">
        <v>26.495587096774202</v>
      </c>
      <c r="CG26">
        <v>27.0966290322581</v>
      </c>
      <c r="CH26">
        <v>999.9</v>
      </c>
      <c r="CI26">
        <v>10000.9164516129</v>
      </c>
      <c r="CJ26">
        <v>0</v>
      </c>
      <c r="CK26">
        <v>225.140935483871</v>
      </c>
      <c r="CL26">
        <v>2200.0051612903198</v>
      </c>
      <c r="CM26">
        <v>0.981998516129032</v>
      </c>
      <c r="CN26">
        <v>1.8001958064516099E-2</v>
      </c>
      <c r="CO26">
        <v>0</v>
      </c>
      <c r="CP26">
        <v>267.76551612903199</v>
      </c>
      <c r="CQ26">
        <v>5.00054</v>
      </c>
      <c r="CR26">
        <v>7058.8722580645199</v>
      </c>
      <c r="CS26">
        <v>20590.577419354799</v>
      </c>
      <c r="CT26">
        <v>50.499935483870999</v>
      </c>
      <c r="CU26">
        <v>51.027999999999999</v>
      </c>
      <c r="CV26">
        <v>50.703258064516099</v>
      </c>
      <c r="CW26">
        <v>49.864774193548399</v>
      </c>
      <c r="CX26">
        <v>51.566064516129003</v>
      </c>
      <c r="CY26">
        <v>2155.4938709677399</v>
      </c>
      <c r="CZ26">
        <v>39.511290322580599</v>
      </c>
      <c r="DA26">
        <v>0</v>
      </c>
      <c r="DB26">
        <v>126.09999990463299</v>
      </c>
      <c r="DC26">
        <v>267.76150000000001</v>
      </c>
      <c r="DD26">
        <v>-1.7734359001365401</v>
      </c>
      <c r="DE26">
        <v>-75.898803455854704</v>
      </c>
      <c r="DF26">
        <v>7058.3661538461502</v>
      </c>
      <c r="DG26">
        <v>15</v>
      </c>
      <c r="DH26">
        <v>1592244569.7</v>
      </c>
      <c r="DI26" t="s">
        <v>333</v>
      </c>
      <c r="DJ26">
        <v>24</v>
      </c>
      <c r="DK26">
        <v>7.9000000000000001E-2</v>
      </c>
      <c r="DL26">
        <v>0.10299999999999999</v>
      </c>
      <c r="DM26">
        <v>700</v>
      </c>
      <c r="DN26">
        <v>16</v>
      </c>
      <c r="DO26">
        <v>0.22</v>
      </c>
      <c r="DP26">
        <v>0.03</v>
      </c>
      <c r="DQ26">
        <v>-18.284990384615401</v>
      </c>
      <c r="DR26">
        <v>0.45050783734682498</v>
      </c>
      <c r="DS26">
        <v>8.1658748788468793E-2</v>
      </c>
      <c r="DT26">
        <v>1</v>
      </c>
      <c r="DU26">
        <v>1.8699475000000001</v>
      </c>
      <c r="DV26">
        <v>7.2795935744413301E-2</v>
      </c>
      <c r="DW26">
        <v>2.2325632463691701E-2</v>
      </c>
      <c r="DX26">
        <v>1</v>
      </c>
      <c r="DY26">
        <v>2</v>
      </c>
      <c r="DZ26">
        <v>2</v>
      </c>
      <c r="EA26" t="s">
        <v>283</v>
      </c>
      <c r="EB26">
        <v>1.8666499999999999</v>
      </c>
      <c r="EC26">
        <v>1.86324</v>
      </c>
      <c r="ED26">
        <v>1.8688499999999999</v>
      </c>
      <c r="EE26">
        <v>1.86677</v>
      </c>
      <c r="EF26">
        <v>1.87147</v>
      </c>
      <c r="EG26">
        <v>1.86395</v>
      </c>
      <c r="EH26">
        <v>1.8655200000000001</v>
      </c>
      <c r="EI26">
        <v>1.8654200000000001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7.9000000000000001E-2</v>
      </c>
      <c r="EX26">
        <v>0.10299999999999999</v>
      </c>
      <c r="EY26">
        <v>2</v>
      </c>
      <c r="EZ26">
        <v>367.47699999999998</v>
      </c>
      <c r="FA26">
        <v>497.779</v>
      </c>
      <c r="FB26">
        <v>18.510000000000002</v>
      </c>
      <c r="FC26">
        <v>33.463700000000003</v>
      </c>
      <c r="FD26">
        <v>30.001100000000001</v>
      </c>
      <c r="FE26">
        <v>33.412399999999998</v>
      </c>
      <c r="FF26">
        <v>33.404899999999998</v>
      </c>
      <c r="FG26">
        <v>35.106200000000001</v>
      </c>
      <c r="FH26">
        <v>18.558700000000002</v>
      </c>
      <c r="FI26">
        <v>40.415799999999997</v>
      </c>
      <c r="FJ26">
        <v>18.4694</v>
      </c>
      <c r="FK26">
        <v>700</v>
      </c>
      <c r="FL26">
        <v>17.165900000000001</v>
      </c>
      <c r="FM26">
        <v>101.08799999999999</v>
      </c>
      <c r="FN26">
        <v>101.075</v>
      </c>
    </row>
    <row r="27" spans="1:170" x14ac:dyDescent="0.25">
      <c r="A27">
        <v>11</v>
      </c>
      <c r="B27">
        <v>1592244752.2</v>
      </c>
      <c r="C27">
        <v>1286.2000000476801</v>
      </c>
      <c r="D27" t="s">
        <v>334</v>
      </c>
      <c r="E27" t="s">
        <v>335</v>
      </c>
      <c r="G27">
        <v>1592244744.2</v>
      </c>
      <c r="H27">
        <f t="shared" si="0"/>
        <v>5.6162384384925686E-3</v>
      </c>
      <c r="I27">
        <f t="shared" si="1"/>
        <v>43.288496374784529</v>
      </c>
      <c r="J27">
        <f t="shared" si="2"/>
        <v>780.94038709677397</v>
      </c>
      <c r="K27">
        <f t="shared" si="3"/>
        <v>553.34367384758946</v>
      </c>
      <c r="L27">
        <f t="shared" si="4"/>
        <v>55.549889515732517</v>
      </c>
      <c r="M27">
        <f t="shared" si="5"/>
        <v>78.398207609305558</v>
      </c>
      <c r="N27">
        <f t="shared" si="6"/>
        <v>0.34661082765188289</v>
      </c>
      <c r="O27">
        <f t="shared" si="7"/>
        <v>3.4046261043124892</v>
      </c>
      <c r="P27">
        <f t="shared" si="8"/>
        <v>0.32813239090566432</v>
      </c>
      <c r="Q27">
        <f t="shared" si="9"/>
        <v>0.20666082747319681</v>
      </c>
      <c r="R27">
        <f t="shared" si="10"/>
        <v>353.33659887117307</v>
      </c>
      <c r="S27">
        <f t="shared" si="11"/>
        <v>26.814207893872101</v>
      </c>
      <c r="T27">
        <f t="shared" si="12"/>
        <v>26.959196774193501</v>
      </c>
      <c r="U27">
        <f t="shared" si="13"/>
        <v>3.5705912943986022</v>
      </c>
      <c r="V27">
        <f t="shared" si="14"/>
        <v>55.383872179314594</v>
      </c>
      <c r="W27">
        <f t="shared" si="15"/>
        <v>1.8991573717341339</v>
      </c>
      <c r="X27">
        <f t="shared" si="16"/>
        <v>3.4290801581826793</v>
      </c>
      <c r="Y27">
        <f t="shared" si="17"/>
        <v>1.6714339226644683</v>
      </c>
      <c r="Z27">
        <f t="shared" si="18"/>
        <v>-247.67611513752229</v>
      </c>
      <c r="AA27">
        <f t="shared" si="19"/>
        <v>-126.01787179444533</v>
      </c>
      <c r="AB27">
        <f t="shared" si="20"/>
        <v>-7.9573624748216991</v>
      </c>
      <c r="AC27">
        <f t="shared" si="21"/>
        <v>-28.314750535616255</v>
      </c>
      <c r="AD27">
        <v>-4.1519482790408797E-2</v>
      </c>
      <c r="AE27">
        <v>4.6609256738697299E-2</v>
      </c>
      <c r="AF27">
        <v>3.47748552199673</v>
      </c>
      <c r="AG27">
        <v>128</v>
      </c>
      <c r="AH27">
        <v>26</v>
      </c>
      <c r="AI27">
        <f t="shared" si="22"/>
        <v>1</v>
      </c>
      <c r="AJ27">
        <f t="shared" si="23"/>
        <v>0</v>
      </c>
      <c r="AK27">
        <f t="shared" si="24"/>
        <v>53073.973057340234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265.08634615384602</v>
      </c>
      <c r="AT27">
        <v>365.86799999999999</v>
      </c>
      <c r="AU27">
        <f t="shared" si="27"/>
        <v>0.27545905585116481</v>
      </c>
      <c r="AV27">
        <v>0.5</v>
      </c>
      <c r="AW27">
        <f t="shared" si="28"/>
        <v>1849.1763868057583</v>
      </c>
      <c r="AX27">
        <f t="shared" si="29"/>
        <v>43.288496374784529</v>
      </c>
      <c r="AY27">
        <f t="shared" si="30"/>
        <v>254.68619080589127</v>
      </c>
      <c r="AZ27">
        <f t="shared" si="31"/>
        <v>0.50348213016716414</v>
      </c>
      <c r="BA27">
        <f t="shared" si="32"/>
        <v>2.3950390395849615E-2</v>
      </c>
      <c r="BB27">
        <f t="shared" si="33"/>
        <v>-1</v>
      </c>
      <c r="BC27" t="s">
        <v>337</v>
      </c>
      <c r="BD27">
        <v>181.66</v>
      </c>
      <c r="BE27">
        <f t="shared" si="34"/>
        <v>184.208</v>
      </c>
      <c r="BF27">
        <f t="shared" si="35"/>
        <v>0.5471079097875986</v>
      </c>
      <c r="BG27">
        <f t="shared" si="36"/>
        <v>2.0140262027964329</v>
      </c>
      <c r="BH27">
        <f t="shared" si="37"/>
        <v>0.27545905585116481</v>
      </c>
      <c r="BI27" t="e">
        <f t="shared" si="38"/>
        <v>#DIV/0!</v>
      </c>
      <c r="BJ27">
        <v>3661</v>
      </c>
      <c r="BK27">
        <v>300</v>
      </c>
      <c r="BL27">
        <v>300</v>
      </c>
      <c r="BM27">
        <v>300</v>
      </c>
      <c r="BN27">
        <v>9875.94</v>
      </c>
      <c r="BO27">
        <v>336.10399999999998</v>
      </c>
      <c r="BP27">
        <v>-6.4047599999999998E-3</v>
      </c>
      <c r="BQ27">
        <v>1.23749</v>
      </c>
      <c r="BR27">
        <f t="shared" si="39"/>
        <v>2199.98903225806</v>
      </c>
      <c r="BS27">
        <f t="shared" si="40"/>
        <v>1849.1763868057583</v>
      </c>
      <c r="BT27">
        <f t="shared" si="41"/>
        <v>0.84053891164528716</v>
      </c>
      <c r="BU27">
        <f t="shared" si="42"/>
        <v>0.19107782329057416</v>
      </c>
      <c r="BV27">
        <v>0.5</v>
      </c>
      <c r="BW27" t="s">
        <v>281</v>
      </c>
      <c r="BX27">
        <v>1592244744.2</v>
      </c>
      <c r="BY27">
        <v>780.94038709677397</v>
      </c>
      <c r="BZ27">
        <v>800.00751612903196</v>
      </c>
      <c r="CA27">
        <v>18.9178903225806</v>
      </c>
      <c r="CB27">
        <v>16.714200000000002</v>
      </c>
      <c r="CC27">
        <v>500.06945161290298</v>
      </c>
      <c r="CD27">
        <v>100.189483870968</v>
      </c>
      <c r="CE27">
        <v>0.20000667741935499</v>
      </c>
      <c r="CF27">
        <v>26.272638709677398</v>
      </c>
      <c r="CG27">
        <v>26.959196774193501</v>
      </c>
      <c r="CH27">
        <v>999.9</v>
      </c>
      <c r="CI27">
        <v>9993.6887096774208</v>
      </c>
      <c r="CJ27">
        <v>0</v>
      </c>
      <c r="CK27">
        <v>258.21677419354802</v>
      </c>
      <c r="CL27">
        <v>2199.98903225806</v>
      </c>
      <c r="CM27">
        <v>0.98199761290322596</v>
      </c>
      <c r="CN27">
        <v>1.8002770967741898E-2</v>
      </c>
      <c r="CO27">
        <v>0</v>
      </c>
      <c r="CP27">
        <v>265.09816129032299</v>
      </c>
      <c r="CQ27">
        <v>5.00054</v>
      </c>
      <c r="CR27">
        <v>7000.7745161290304</v>
      </c>
      <c r="CS27">
        <v>20590.412903225799</v>
      </c>
      <c r="CT27">
        <v>50.558064516129001</v>
      </c>
      <c r="CU27">
        <v>50.943225806451601</v>
      </c>
      <c r="CV27">
        <v>50.75</v>
      </c>
      <c r="CW27">
        <v>49.876967741935502</v>
      </c>
      <c r="CX27">
        <v>51.628999999999998</v>
      </c>
      <c r="CY27">
        <v>2155.46903225806</v>
      </c>
      <c r="CZ27">
        <v>39.520000000000003</v>
      </c>
      <c r="DA27">
        <v>0</v>
      </c>
      <c r="DB27">
        <v>130.799999952316</v>
      </c>
      <c r="DC27">
        <v>265.08634615384602</v>
      </c>
      <c r="DD27">
        <v>-2.70348718615779</v>
      </c>
      <c r="DE27">
        <v>-50.612307723404498</v>
      </c>
      <c r="DF27">
        <v>7000.3511538461598</v>
      </c>
      <c r="DG27">
        <v>15</v>
      </c>
      <c r="DH27">
        <v>1592244698.2</v>
      </c>
      <c r="DI27" t="s">
        <v>338</v>
      </c>
      <c r="DJ27">
        <v>25</v>
      </c>
      <c r="DK27">
        <v>2.5000000000000001E-2</v>
      </c>
      <c r="DL27">
        <v>0.108</v>
      </c>
      <c r="DM27">
        <v>800</v>
      </c>
      <c r="DN27">
        <v>17</v>
      </c>
      <c r="DO27">
        <v>0.12</v>
      </c>
      <c r="DP27">
        <v>0.04</v>
      </c>
      <c r="DQ27">
        <v>-19.1265596153846</v>
      </c>
      <c r="DR27">
        <v>0.434703150345776</v>
      </c>
      <c r="DS27">
        <v>0.10181820197635701</v>
      </c>
      <c r="DT27">
        <v>1</v>
      </c>
      <c r="DU27">
        <v>2.1964998076923101</v>
      </c>
      <c r="DV27">
        <v>9.3807717920263295E-2</v>
      </c>
      <c r="DW27">
        <v>2.9063569417239699E-2</v>
      </c>
      <c r="DX27">
        <v>1</v>
      </c>
      <c r="DY27">
        <v>2</v>
      </c>
      <c r="DZ27">
        <v>2</v>
      </c>
      <c r="EA27" t="s">
        <v>283</v>
      </c>
      <c r="EB27">
        <v>1.8667400000000001</v>
      </c>
      <c r="EC27">
        <v>1.8632500000000001</v>
      </c>
      <c r="ED27">
        <v>1.8689</v>
      </c>
      <c r="EE27">
        <v>1.86686</v>
      </c>
      <c r="EF27">
        <v>1.8714900000000001</v>
      </c>
      <c r="EG27">
        <v>1.8640099999999999</v>
      </c>
      <c r="EH27">
        <v>1.86554</v>
      </c>
      <c r="EI27">
        <v>1.8654599999999999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2.5000000000000001E-2</v>
      </c>
      <c r="EX27">
        <v>0.108</v>
      </c>
      <c r="EY27">
        <v>2</v>
      </c>
      <c r="EZ27">
        <v>353.43900000000002</v>
      </c>
      <c r="FA27">
        <v>497.14299999999997</v>
      </c>
      <c r="FB27">
        <v>18.6326</v>
      </c>
      <c r="FC27">
        <v>33.560499999999998</v>
      </c>
      <c r="FD27">
        <v>29.9999</v>
      </c>
      <c r="FE27">
        <v>33.468699999999998</v>
      </c>
      <c r="FF27">
        <v>33.4437</v>
      </c>
      <c r="FG27">
        <v>39.098100000000002</v>
      </c>
      <c r="FH27">
        <v>21.002400000000002</v>
      </c>
      <c r="FI27">
        <v>40.5745</v>
      </c>
      <c r="FJ27">
        <v>18.649000000000001</v>
      </c>
      <c r="FK27">
        <v>800</v>
      </c>
      <c r="FL27">
        <v>16.601500000000001</v>
      </c>
      <c r="FM27">
        <v>101.072</v>
      </c>
      <c r="FN27">
        <v>101.065</v>
      </c>
    </row>
    <row r="28" spans="1:170" x14ac:dyDescent="0.25">
      <c r="A28">
        <v>12</v>
      </c>
      <c r="B28">
        <v>1592244882.2</v>
      </c>
      <c r="C28">
        <v>1416.2000000476801</v>
      </c>
      <c r="D28" t="s">
        <v>339</v>
      </c>
      <c r="E28" t="s">
        <v>340</v>
      </c>
      <c r="G28">
        <v>1592244874.2</v>
      </c>
      <c r="H28">
        <f t="shared" si="0"/>
        <v>5.0146076744119654E-3</v>
      </c>
      <c r="I28">
        <f t="shared" si="1"/>
        <v>45.042580642508845</v>
      </c>
      <c r="J28">
        <f t="shared" si="2"/>
        <v>980.06638709677395</v>
      </c>
      <c r="K28">
        <f t="shared" si="3"/>
        <v>708.67541317167695</v>
      </c>
      <c r="L28">
        <f t="shared" si="4"/>
        <v>71.141798176273355</v>
      </c>
      <c r="M28">
        <f t="shared" si="5"/>
        <v>98.385923674337349</v>
      </c>
      <c r="N28">
        <f t="shared" si="6"/>
        <v>0.30275595036094899</v>
      </c>
      <c r="O28">
        <f t="shared" si="7"/>
        <v>3.4064949928394372</v>
      </c>
      <c r="P28">
        <f t="shared" si="8"/>
        <v>0.28856216059204071</v>
      </c>
      <c r="Q28">
        <f t="shared" si="9"/>
        <v>0.18157114337919106</v>
      </c>
      <c r="R28">
        <f t="shared" si="10"/>
        <v>353.33828725835355</v>
      </c>
      <c r="S28">
        <f t="shared" si="11"/>
        <v>26.998931577384578</v>
      </c>
      <c r="T28">
        <f t="shared" si="12"/>
        <v>27.0308903225806</v>
      </c>
      <c r="U28">
        <f t="shared" si="13"/>
        <v>3.5856583815738436</v>
      </c>
      <c r="V28">
        <f t="shared" si="14"/>
        <v>54.919739847088678</v>
      </c>
      <c r="W28">
        <f t="shared" si="15"/>
        <v>1.8887085295087565</v>
      </c>
      <c r="X28">
        <f t="shared" si="16"/>
        <v>3.4390340062925078</v>
      </c>
      <c r="Y28">
        <f t="shared" si="17"/>
        <v>1.6969498520650872</v>
      </c>
      <c r="Z28">
        <f t="shared" si="18"/>
        <v>-221.14419844156768</v>
      </c>
      <c r="AA28">
        <f t="shared" si="19"/>
        <v>-130.23755796007347</v>
      </c>
      <c r="AB28">
        <f t="shared" si="20"/>
        <v>-8.2242735718039484</v>
      </c>
      <c r="AC28">
        <f t="shared" si="21"/>
        <v>-6.2677427150915719</v>
      </c>
      <c r="AD28">
        <v>-4.15484755315308E-2</v>
      </c>
      <c r="AE28">
        <v>4.6641803630510299E-2</v>
      </c>
      <c r="AF28">
        <v>3.4794052877045401</v>
      </c>
      <c r="AG28">
        <v>116</v>
      </c>
      <c r="AH28">
        <v>23</v>
      </c>
      <c r="AI28">
        <f t="shared" si="22"/>
        <v>1</v>
      </c>
      <c r="AJ28">
        <f t="shared" si="23"/>
        <v>0</v>
      </c>
      <c r="AK28">
        <f t="shared" si="24"/>
        <v>53100.756091849624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259.756423076923</v>
      </c>
      <c r="AT28">
        <v>353.91500000000002</v>
      </c>
      <c r="AU28">
        <f t="shared" si="27"/>
        <v>0.26604856229059803</v>
      </c>
      <c r="AV28">
        <v>0.5</v>
      </c>
      <c r="AW28">
        <f t="shared" si="28"/>
        <v>1849.1877577735777</v>
      </c>
      <c r="AX28">
        <f t="shared" si="29"/>
        <v>45.042580642508845</v>
      </c>
      <c r="AY28">
        <f t="shared" si="30"/>
        <v>245.98687218051751</v>
      </c>
      <c r="AZ28">
        <f t="shared" si="31"/>
        <v>0.49558509811677948</v>
      </c>
      <c r="BA28">
        <f t="shared" si="32"/>
        <v>2.4898813248657951E-2</v>
      </c>
      <c r="BB28">
        <f t="shared" si="33"/>
        <v>-1</v>
      </c>
      <c r="BC28" t="s">
        <v>342</v>
      </c>
      <c r="BD28">
        <v>178.52</v>
      </c>
      <c r="BE28">
        <f t="shared" si="34"/>
        <v>175.39500000000001</v>
      </c>
      <c r="BF28">
        <f t="shared" si="35"/>
        <v>0.53683729252873236</v>
      </c>
      <c r="BG28">
        <f t="shared" si="36"/>
        <v>1.9824949585480618</v>
      </c>
      <c r="BH28">
        <f t="shared" si="37"/>
        <v>0.26604856229059809</v>
      </c>
      <c r="BI28" t="e">
        <f t="shared" si="38"/>
        <v>#DIV/0!</v>
      </c>
      <c r="BJ28">
        <v>3663</v>
      </c>
      <c r="BK28">
        <v>300</v>
      </c>
      <c r="BL28">
        <v>300</v>
      </c>
      <c r="BM28">
        <v>300</v>
      </c>
      <c r="BN28">
        <v>9875.6299999999992</v>
      </c>
      <c r="BO28">
        <v>325.68299999999999</v>
      </c>
      <c r="BP28">
        <v>-6.4045100000000004E-3</v>
      </c>
      <c r="BQ28">
        <v>0.93151899999999999</v>
      </c>
      <c r="BR28">
        <f t="shared" si="39"/>
        <v>2200.0029032258099</v>
      </c>
      <c r="BS28">
        <f t="shared" si="40"/>
        <v>1849.1877577735777</v>
      </c>
      <c r="BT28">
        <f t="shared" si="41"/>
        <v>0.84053878068167975</v>
      </c>
      <c r="BU28">
        <f t="shared" si="42"/>
        <v>0.19107756136335927</v>
      </c>
      <c r="BV28">
        <v>0.5</v>
      </c>
      <c r="BW28" t="s">
        <v>281</v>
      </c>
      <c r="BX28">
        <v>1592244874.2</v>
      </c>
      <c r="BY28">
        <v>980.06638709677395</v>
      </c>
      <c r="BZ28">
        <v>1000.04667741935</v>
      </c>
      <c r="CA28">
        <v>18.8142741935484</v>
      </c>
      <c r="CB28">
        <v>16.846425806451599</v>
      </c>
      <c r="CC28">
        <v>500.06509677419302</v>
      </c>
      <c r="CD28">
        <v>100.18696774193501</v>
      </c>
      <c r="CE28">
        <v>0.200031516129032</v>
      </c>
      <c r="CF28">
        <v>26.3217322580645</v>
      </c>
      <c r="CG28">
        <v>27.0308903225806</v>
      </c>
      <c r="CH28">
        <v>999.9</v>
      </c>
      <c r="CI28">
        <v>10000.918387096801</v>
      </c>
      <c r="CJ28">
        <v>0</v>
      </c>
      <c r="CK28">
        <v>238.33651612903199</v>
      </c>
      <c r="CL28">
        <v>2200.0029032258099</v>
      </c>
      <c r="CM28">
        <v>0.98199838709677401</v>
      </c>
      <c r="CN28">
        <v>1.80020935483871E-2</v>
      </c>
      <c r="CO28">
        <v>0</v>
      </c>
      <c r="CP28">
        <v>259.78690322580599</v>
      </c>
      <c r="CQ28">
        <v>5.00054</v>
      </c>
      <c r="CR28">
        <v>6866.8522580645204</v>
      </c>
      <c r="CS28">
        <v>20590.545161290302</v>
      </c>
      <c r="CT28">
        <v>50.650935483871002</v>
      </c>
      <c r="CU28">
        <v>50.917129032258103</v>
      </c>
      <c r="CV28">
        <v>50.8</v>
      </c>
      <c r="CW28">
        <v>49.864774193548399</v>
      </c>
      <c r="CX28">
        <v>51.699322580645202</v>
      </c>
      <c r="CY28">
        <v>2155.4922580645198</v>
      </c>
      <c r="CZ28">
        <v>39.510645161290299</v>
      </c>
      <c r="DA28">
        <v>0</v>
      </c>
      <c r="DB28">
        <v>129.59999990463299</v>
      </c>
      <c r="DC28">
        <v>259.756423076923</v>
      </c>
      <c r="DD28">
        <v>-3.0483760821033301</v>
      </c>
      <c r="DE28">
        <v>-62.142906055136699</v>
      </c>
      <c r="DF28">
        <v>6865.6484615384597</v>
      </c>
      <c r="DG28">
        <v>15</v>
      </c>
      <c r="DH28">
        <v>1592244833.7</v>
      </c>
      <c r="DI28" t="s">
        <v>343</v>
      </c>
      <c r="DJ28">
        <v>26</v>
      </c>
      <c r="DK28">
        <v>0.34699999999999998</v>
      </c>
      <c r="DL28">
        <v>0.106</v>
      </c>
      <c r="DM28">
        <v>1000</v>
      </c>
      <c r="DN28">
        <v>17</v>
      </c>
      <c r="DO28">
        <v>0.3</v>
      </c>
      <c r="DP28">
        <v>0.04</v>
      </c>
      <c r="DQ28">
        <v>-19.9999057692308</v>
      </c>
      <c r="DR28">
        <v>0.15213199009647099</v>
      </c>
      <c r="DS28">
        <v>6.6689981410719607E-2</v>
      </c>
      <c r="DT28">
        <v>1</v>
      </c>
      <c r="DU28">
        <v>1.9590042307692299</v>
      </c>
      <c r="DV28">
        <v>8.7284555621959095E-2</v>
      </c>
      <c r="DW28">
        <v>1.29923510553997E-2</v>
      </c>
      <c r="DX28">
        <v>1</v>
      </c>
      <c r="DY28">
        <v>2</v>
      </c>
      <c r="DZ28">
        <v>2</v>
      </c>
      <c r="EA28" t="s">
        <v>283</v>
      </c>
      <c r="EB28">
        <v>1.86673</v>
      </c>
      <c r="EC28">
        <v>1.8632500000000001</v>
      </c>
      <c r="ED28">
        <v>1.8689</v>
      </c>
      <c r="EE28">
        <v>1.8668499999999999</v>
      </c>
      <c r="EF28">
        <v>1.8714900000000001</v>
      </c>
      <c r="EG28">
        <v>1.86398</v>
      </c>
      <c r="EH28">
        <v>1.86554</v>
      </c>
      <c r="EI28">
        <v>1.86541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0.34699999999999998</v>
      </c>
      <c r="EX28">
        <v>0.106</v>
      </c>
      <c r="EY28">
        <v>2</v>
      </c>
      <c r="EZ28">
        <v>364.85500000000002</v>
      </c>
      <c r="FA28">
        <v>496.93099999999998</v>
      </c>
      <c r="FB28">
        <v>18.391999999999999</v>
      </c>
      <c r="FC28">
        <v>33.551000000000002</v>
      </c>
      <c r="FD28">
        <v>30.000299999999999</v>
      </c>
      <c r="FE28">
        <v>33.462600000000002</v>
      </c>
      <c r="FF28">
        <v>33.4407</v>
      </c>
      <c r="FG28">
        <v>46.807499999999997</v>
      </c>
      <c r="FH28">
        <v>19.418099999999999</v>
      </c>
      <c r="FI28">
        <v>40.585799999999999</v>
      </c>
      <c r="FJ28">
        <v>18.371400000000001</v>
      </c>
      <c r="FK28">
        <v>1000</v>
      </c>
      <c r="FL28">
        <v>16.9361</v>
      </c>
      <c r="FM28">
        <v>101.074</v>
      </c>
      <c r="FN28">
        <v>101.07299999999999</v>
      </c>
    </row>
    <row r="29" spans="1:170" x14ac:dyDescent="0.25">
      <c r="A29">
        <v>13</v>
      </c>
      <c r="B29">
        <v>1592245002.7</v>
      </c>
      <c r="C29">
        <v>1536.7000000476801</v>
      </c>
      <c r="D29" t="s">
        <v>344</v>
      </c>
      <c r="E29" t="s">
        <v>345</v>
      </c>
      <c r="G29">
        <v>1592244994.7</v>
      </c>
      <c r="H29">
        <f t="shared" si="0"/>
        <v>5.1989379161724832E-3</v>
      </c>
      <c r="I29">
        <f t="shared" si="1"/>
        <v>45.056532163170232</v>
      </c>
      <c r="J29">
        <f t="shared" si="2"/>
        <v>1179.60612903226</v>
      </c>
      <c r="K29">
        <f t="shared" si="3"/>
        <v>911.94095092650764</v>
      </c>
      <c r="L29">
        <f t="shared" si="4"/>
        <v>91.536207651751823</v>
      </c>
      <c r="M29">
        <f t="shared" si="5"/>
        <v>118.40313944085382</v>
      </c>
      <c r="N29">
        <f t="shared" si="6"/>
        <v>0.31506811687176295</v>
      </c>
      <c r="O29">
        <f t="shared" si="7"/>
        <v>3.4056953818093412</v>
      </c>
      <c r="P29">
        <f t="shared" si="8"/>
        <v>0.29972442913240155</v>
      </c>
      <c r="Q29">
        <f t="shared" si="9"/>
        <v>0.18864405235390547</v>
      </c>
      <c r="R29">
        <f t="shared" si="10"/>
        <v>353.33695632782553</v>
      </c>
      <c r="S29">
        <f t="shared" si="11"/>
        <v>26.896071324060522</v>
      </c>
      <c r="T29">
        <f t="shared" si="12"/>
        <v>26.966877419354802</v>
      </c>
      <c r="U29">
        <f t="shared" si="13"/>
        <v>3.5722028079178196</v>
      </c>
      <c r="V29">
        <f t="shared" si="14"/>
        <v>54.81814214801657</v>
      </c>
      <c r="W29">
        <f t="shared" si="15"/>
        <v>1.8783952585565775</v>
      </c>
      <c r="X29">
        <f t="shared" si="16"/>
        <v>3.4265941619923028</v>
      </c>
      <c r="Y29">
        <f t="shared" si="17"/>
        <v>1.6938075493612421</v>
      </c>
      <c r="Z29">
        <f t="shared" si="18"/>
        <v>-229.27316210320652</v>
      </c>
      <c r="AA29">
        <f t="shared" si="19"/>
        <v>-129.72249931844013</v>
      </c>
      <c r="AB29">
        <f t="shared" si="20"/>
        <v>-8.1885303756627419</v>
      </c>
      <c r="AC29">
        <f t="shared" si="21"/>
        <v>-13.847235469483877</v>
      </c>
      <c r="AD29">
        <v>-4.1536069992491702E-2</v>
      </c>
      <c r="AE29">
        <v>4.6627877326153998E-2</v>
      </c>
      <c r="AF29">
        <v>3.4785839071270002</v>
      </c>
      <c r="AG29">
        <v>124</v>
      </c>
      <c r="AH29">
        <v>25</v>
      </c>
      <c r="AI29">
        <f t="shared" si="22"/>
        <v>1</v>
      </c>
      <c r="AJ29">
        <f t="shared" si="23"/>
        <v>0</v>
      </c>
      <c r="AK29">
        <f t="shared" si="24"/>
        <v>53096.17987418994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255.773961538462</v>
      </c>
      <c r="AT29">
        <v>345.03100000000001</v>
      </c>
      <c r="AU29">
        <f t="shared" si="27"/>
        <v>0.25869280865063715</v>
      </c>
      <c r="AV29">
        <v>0.5</v>
      </c>
      <c r="AW29">
        <f t="shared" si="28"/>
        <v>1849.1782820153769</v>
      </c>
      <c r="AX29">
        <f t="shared" si="29"/>
        <v>45.056532163170232</v>
      </c>
      <c r="AY29">
        <f t="shared" si="30"/>
        <v>239.18456173515892</v>
      </c>
      <c r="AZ29">
        <f t="shared" si="31"/>
        <v>0.48619109587254478</v>
      </c>
      <c r="BA29">
        <f t="shared" si="32"/>
        <v>2.4906485551503599E-2</v>
      </c>
      <c r="BB29">
        <f t="shared" si="33"/>
        <v>-1</v>
      </c>
      <c r="BC29" t="s">
        <v>347</v>
      </c>
      <c r="BD29">
        <v>177.28</v>
      </c>
      <c r="BE29">
        <f t="shared" si="34"/>
        <v>167.751</v>
      </c>
      <c r="BF29">
        <f t="shared" si="35"/>
        <v>0.53208051493903463</v>
      </c>
      <c r="BG29">
        <f t="shared" si="36"/>
        <v>1.9462488718411552</v>
      </c>
      <c r="BH29">
        <f t="shared" si="37"/>
        <v>0.25869280865063721</v>
      </c>
      <c r="BI29" t="e">
        <f t="shared" si="38"/>
        <v>#DIV/0!</v>
      </c>
      <c r="BJ29">
        <v>3665</v>
      </c>
      <c r="BK29">
        <v>300</v>
      </c>
      <c r="BL29">
        <v>300</v>
      </c>
      <c r="BM29">
        <v>300</v>
      </c>
      <c r="BN29">
        <v>9875.67</v>
      </c>
      <c r="BO29">
        <v>317.86700000000002</v>
      </c>
      <c r="BP29">
        <v>-6.4045600000000001E-3</v>
      </c>
      <c r="BQ29">
        <v>0.33444200000000002</v>
      </c>
      <c r="BR29">
        <f t="shared" si="39"/>
        <v>2199.99129032258</v>
      </c>
      <c r="BS29">
        <f t="shared" si="40"/>
        <v>1849.1782820153769</v>
      </c>
      <c r="BT29">
        <f t="shared" si="41"/>
        <v>0.84053891038097517</v>
      </c>
      <c r="BU29">
        <f t="shared" si="42"/>
        <v>0.1910778207619504</v>
      </c>
      <c r="BV29">
        <v>0.5</v>
      </c>
      <c r="BW29" t="s">
        <v>281</v>
      </c>
      <c r="BX29">
        <v>1592244994.7</v>
      </c>
      <c r="BY29">
        <v>1179.60612903226</v>
      </c>
      <c r="BZ29">
        <v>1200.07870967742</v>
      </c>
      <c r="CA29">
        <v>18.7137483870968</v>
      </c>
      <c r="CB29">
        <v>16.673400000000001</v>
      </c>
      <c r="CC29">
        <v>500.07600000000002</v>
      </c>
      <c r="CD29">
        <v>100.175129032258</v>
      </c>
      <c r="CE29">
        <v>0.200018677419355</v>
      </c>
      <c r="CF29">
        <v>26.260358064516101</v>
      </c>
      <c r="CG29">
        <v>26.966877419354802</v>
      </c>
      <c r="CH29">
        <v>999.9</v>
      </c>
      <c r="CI29">
        <v>9999.1138709677398</v>
      </c>
      <c r="CJ29">
        <v>0</v>
      </c>
      <c r="CK29">
        <v>236.22132258064499</v>
      </c>
      <c r="CL29">
        <v>2199.99129032258</v>
      </c>
      <c r="CM29">
        <v>0.98199770967741995</v>
      </c>
      <c r="CN29">
        <v>1.80027032258065E-2</v>
      </c>
      <c r="CO29">
        <v>0</v>
      </c>
      <c r="CP29">
        <v>255.82680645161301</v>
      </c>
      <c r="CQ29">
        <v>5.00054</v>
      </c>
      <c r="CR29">
        <v>6777.9990322580597</v>
      </c>
      <c r="CS29">
        <v>20590.435483870999</v>
      </c>
      <c r="CT29">
        <v>50.572161290322597</v>
      </c>
      <c r="CU29">
        <v>50.920999999999999</v>
      </c>
      <c r="CV29">
        <v>50.776000000000003</v>
      </c>
      <c r="CW29">
        <v>49.753870967741904</v>
      </c>
      <c r="CX29">
        <v>51.627000000000002</v>
      </c>
      <c r="CY29">
        <v>2155.4741935483898</v>
      </c>
      <c r="CZ29">
        <v>39.520000000000003</v>
      </c>
      <c r="DA29">
        <v>0</v>
      </c>
      <c r="DB29">
        <v>120</v>
      </c>
      <c r="DC29">
        <v>255.773961538462</v>
      </c>
      <c r="DD29">
        <v>-2.8326495634316502</v>
      </c>
      <c r="DE29">
        <v>-57.5883759849388</v>
      </c>
      <c r="DF29">
        <v>6777.4153846153804</v>
      </c>
      <c r="DG29">
        <v>15</v>
      </c>
      <c r="DH29">
        <v>1592244963.2</v>
      </c>
      <c r="DI29" t="s">
        <v>348</v>
      </c>
      <c r="DJ29">
        <v>27</v>
      </c>
      <c r="DK29">
        <v>0.36499999999999999</v>
      </c>
      <c r="DL29">
        <v>0.105</v>
      </c>
      <c r="DM29">
        <v>1200</v>
      </c>
      <c r="DN29">
        <v>17</v>
      </c>
      <c r="DO29">
        <v>0.45</v>
      </c>
      <c r="DP29">
        <v>0.04</v>
      </c>
      <c r="DQ29">
        <v>-20.4711884615385</v>
      </c>
      <c r="DR29">
        <v>0.28326782207801299</v>
      </c>
      <c r="DS29">
        <v>0.13141346619594599</v>
      </c>
      <c r="DT29">
        <v>1</v>
      </c>
      <c r="DU29">
        <v>2.04105173076923</v>
      </c>
      <c r="DV29">
        <v>-1.1945189106127899E-3</v>
      </c>
      <c r="DW29">
        <v>4.3468059543115096E-3</v>
      </c>
      <c r="DX29">
        <v>1</v>
      </c>
      <c r="DY29">
        <v>2</v>
      </c>
      <c r="DZ29">
        <v>2</v>
      </c>
      <c r="EA29" t="s">
        <v>283</v>
      </c>
      <c r="EB29">
        <v>1.86676</v>
      </c>
      <c r="EC29">
        <v>1.8632599999999999</v>
      </c>
      <c r="ED29">
        <v>1.8689</v>
      </c>
      <c r="EE29">
        <v>1.8669100000000001</v>
      </c>
      <c r="EF29">
        <v>1.8714900000000001</v>
      </c>
      <c r="EG29">
        <v>1.8640099999999999</v>
      </c>
      <c r="EH29">
        <v>1.86554</v>
      </c>
      <c r="EI29">
        <v>1.86554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0.36499999999999999</v>
      </c>
      <c r="EX29">
        <v>0.105</v>
      </c>
      <c r="EY29">
        <v>2</v>
      </c>
      <c r="EZ29">
        <v>357.55799999999999</v>
      </c>
      <c r="FA29">
        <v>498.75900000000001</v>
      </c>
      <c r="FB29">
        <v>19.324000000000002</v>
      </c>
      <c r="FC29">
        <v>33.444499999999998</v>
      </c>
      <c r="FD29">
        <v>29.999400000000001</v>
      </c>
      <c r="FE29">
        <v>33.3992</v>
      </c>
      <c r="FF29">
        <v>33.377899999999997</v>
      </c>
      <c r="FG29">
        <v>54.175899999999999</v>
      </c>
      <c r="FH29">
        <v>19.337199999999999</v>
      </c>
      <c r="FI29">
        <v>40.5946</v>
      </c>
      <c r="FJ29">
        <v>19.333400000000001</v>
      </c>
      <c r="FK29">
        <v>1200</v>
      </c>
      <c r="FL29">
        <v>16.7346</v>
      </c>
      <c r="FM29">
        <v>101.093</v>
      </c>
      <c r="FN29">
        <v>101.108</v>
      </c>
    </row>
    <row r="30" spans="1:170" x14ac:dyDescent="0.25">
      <c r="A30">
        <v>14</v>
      </c>
      <c r="B30">
        <v>1592245123.2</v>
      </c>
      <c r="C30">
        <v>1657.2000000476801</v>
      </c>
      <c r="D30" t="s">
        <v>349</v>
      </c>
      <c r="E30" t="s">
        <v>350</v>
      </c>
      <c r="G30">
        <v>1592245115.2</v>
      </c>
      <c r="H30">
        <f t="shared" si="0"/>
        <v>3.9628702743253396E-3</v>
      </c>
      <c r="I30">
        <f t="shared" si="1"/>
        <v>45.934691293959041</v>
      </c>
      <c r="J30">
        <f t="shared" si="2"/>
        <v>1578.9951612903201</v>
      </c>
      <c r="K30">
        <f t="shared" si="3"/>
        <v>1221.3586887452591</v>
      </c>
      <c r="L30">
        <f t="shared" si="4"/>
        <v>122.59207140232499</v>
      </c>
      <c r="M30">
        <f t="shared" si="5"/>
        <v>158.48930321664278</v>
      </c>
      <c r="N30">
        <f t="shared" si="6"/>
        <v>0.23796186833985702</v>
      </c>
      <c r="O30">
        <f t="shared" si="7"/>
        <v>3.4062187789988663</v>
      </c>
      <c r="P30">
        <f t="shared" si="8"/>
        <v>0.22909700751822207</v>
      </c>
      <c r="Q30">
        <f t="shared" si="9"/>
        <v>0.14395458730071661</v>
      </c>
      <c r="R30">
        <f t="shared" si="10"/>
        <v>353.33823577466887</v>
      </c>
      <c r="S30">
        <f t="shared" si="11"/>
        <v>27.231915487618732</v>
      </c>
      <c r="T30">
        <f t="shared" si="12"/>
        <v>27.035154838709701</v>
      </c>
      <c r="U30">
        <f t="shared" si="13"/>
        <v>3.5865563567278436</v>
      </c>
      <c r="V30">
        <f t="shared" si="14"/>
        <v>55.1979331604309</v>
      </c>
      <c r="W30">
        <f t="shared" si="15"/>
        <v>1.8977501723331052</v>
      </c>
      <c r="X30">
        <f t="shared" si="16"/>
        <v>3.4380819419766304</v>
      </c>
      <c r="Y30">
        <f t="shared" si="17"/>
        <v>1.6888061843947384</v>
      </c>
      <c r="Z30">
        <f t="shared" si="18"/>
        <v>-174.76257909774748</v>
      </c>
      <c r="AA30">
        <f t="shared" si="19"/>
        <v>-131.8714290763285</v>
      </c>
      <c r="AB30">
        <f t="shared" si="20"/>
        <v>-8.3281074977239165</v>
      </c>
      <c r="AC30">
        <f t="shared" si="21"/>
        <v>38.376120102868981</v>
      </c>
      <c r="AD30">
        <v>-4.1544190071307101E-2</v>
      </c>
      <c r="AE30">
        <v>4.6636992825982299E-2</v>
      </c>
      <c r="AF30">
        <v>3.47912155363213</v>
      </c>
      <c r="AG30">
        <v>122</v>
      </c>
      <c r="AH30">
        <v>24</v>
      </c>
      <c r="AI30">
        <f t="shared" si="22"/>
        <v>1</v>
      </c>
      <c r="AJ30">
        <f t="shared" si="23"/>
        <v>0</v>
      </c>
      <c r="AK30">
        <f t="shared" si="24"/>
        <v>53096.044204313395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251.77784615384601</v>
      </c>
      <c r="AT30">
        <v>334.45600000000002</v>
      </c>
      <c r="AU30">
        <f t="shared" si="27"/>
        <v>0.24720188558780232</v>
      </c>
      <c r="AV30">
        <v>0.5</v>
      </c>
      <c r="AW30">
        <f t="shared" si="28"/>
        <v>1849.1874868058314</v>
      </c>
      <c r="AX30">
        <f t="shared" si="29"/>
        <v>45.934691293959041</v>
      </c>
      <c r="AY30">
        <f t="shared" si="30"/>
        <v>228.56131677188543</v>
      </c>
      <c r="AZ30">
        <f t="shared" si="31"/>
        <v>0.47167938383524294</v>
      </c>
      <c r="BA30">
        <f t="shared" si="32"/>
        <v>2.5381250754097973E-2</v>
      </c>
      <c r="BB30">
        <f t="shared" si="33"/>
        <v>-1</v>
      </c>
      <c r="BC30" t="s">
        <v>352</v>
      </c>
      <c r="BD30">
        <v>176.7</v>
      </c>
      <c r="BE30">
        <f t="shared" si="34"/>
        <v>157.75600000000003</v>
      </c>
      <c r="BF30">
        <f t="shared" si="35"/>
        <v>0.5240888070574431</v>
      </c>
      <c r="BG30">
        <f t="shared" si="36"/>
        <v>1.8927900396151671</v>
      </c>
      <c r="BH30">
        <f t="shared" si="37"/>
        <v>0.24720188558780229</v>
      </c>
      <c r="BI30" t="e">
        <f t="shared" si="38"/>
        <v>#DIV/0!</v>
      </c>
      <c r="BJ30">
        <v>3667</v>
      </c>
      <c r="BK30">
        <v>300</v>
      </c>
      <c r="BL30">
        <v>300</v>
      </c>
      <c r="BM30">
        <v>300</v>
      </c>
      <c r="BN30">
        <v>9875.58</v>
      </c>
      <c r="BO30">
        <v>309.50299999999999</v>
      </c>
      <c r="BP30">
        <v>-6.40443E-3</v>
      </c>
      <c r="BQ30">
        <v>0.79470799999999997</v>
      </c>
      <c r="BR30">
        <f t="shared" si="39"/>
        <v>2200.0025806451599</v>
      </c>
      <c r="BS30">
        <f t="shared" si="40"/>
        <v>1849.1874868058314</v>
      </c>
      <c r="BT30">
        <f t="shared" si="41"/>
        <v>0.84053878076067956</v>
      </c>
      <c r="BU30">
        <f t="shared" si="42"/>
        <v>0.19107756152135921</v>
      </c>
      <c r="BV30">
        <v>0.5</v>
      </c>
      <c r="BW30" t="s">
        <v>281</v>
      </c>
      <c r="BX30">
        <v>1592245115.2</v>
      </c>
      <c r="BY30">
        <v>1578.9951612903201</v>
      </c>
      <c r="BZ30">
        <v>1599.86967741935</v>
      </c>
      <c r="CA30">
        <v>18.906880645161301</v>
      </c>
      <c r="CB30">
        <v>17.351874193548401</v>
      </c>
      <c r="CC30">
        <v>500.05512903225798</v>
      </c>
      <c r="CD30">
        <v>100.173548387097</v>
      </c>
      <c r="CE30">
        <v>0.199972129032258</v>
      </c>
      <c r="CF30">
        <v>26.3170419354839</v>
      </c>
      <c r="CG30">
        <v>27.035154838709701</v>
      </c>
      <c r="CH30">
        <v>999.9</v>
      </c>
      <c r="CI30">
        <v>10001.2264516129</v>
      </c>
      <c r="CJ30">
        <v>0</v>
      </c>
      <c r="CK30">
        <v>232.451870967742</v>
      </c>
      <c r="CL30">
        <v>2200.0025806451599</v>
      </c>
      <c r="CM30">
        <v>0.98199838709677401</v>
      </c>
      <c r="CN30">
        <v>1.80020935483871E-2</v>
      </c>
      <c r="CO30">
        <v>0</v>
      </c>
      <c r="CP30">
        <v>251.82293548387099</v>
      </c>
      <c r="CQ30">
        <v>5.00054</v>
      </c>
      <c r="CR30">
        <v>6688.4683870967801</v>
      </c>
      <c r="CS30">
        <v>20590.554838709701</v>
      </c>
      <c r="CT30">
        <v>50.662999999999997</v>
      </c>
      <c r="CU30">
        <v>51.015999999999998</v>
      </c>
      <c r="CV30">
        <v>50.832322580645098</v>
      </c>
      <c r="CW30">
        <v>49.800129032258099</v>
      </c>
      <c r="CX30">
        <v>51.689064516129001</v>
      </c>
      <c r="CY30">
        <v>2155.4919354838698</v>
      </c>
      <c r="CZ30">
        <v>39.510645161290299</v>
      </c>
      <c r="DA30">
        <v>0</v>
      </c>
      <c r="DB30">
        <v>120</v>
      </c>
      <c r="DC30">
        <v>251.77784615384601</v>
      </c>
      <c r="DD30">
        <v>-2.2366495760437499</v>
      </c>
      <c r="DE30">
        <v>-55.2205127389458</v>
      </c>
      <c r="DF30">
        <v>6687.8892307692304</v>
      </c>
      <c r="DG30">
        <v>15</v>
      </c>
      <c r="DH30">
        <v>1592245061.2</v>
      </c>
      <c r="DI30" t="s">
        <v>353</v>
      </c>
      <c r="DJ30">
        <v>28</v>
      </c>
      <c r="DK30">
        <v>0.45600000000000002</v>
      </c>
      <c r="DL30">
        <v>0.108</v>
      </c>
      <c r="DM30">
        <v>1601</v>
      </c>
      <c r="DN30">
        <v>17</v>
      </c>
      <c r="DO30">
        <v>0.17</v>
      </c>
      <c r="DP30">
        <v>0.04</v>
      </c>
      <c r="DQ30">
        <v>-20.8862673076923</v>
      </c>
      <c r="DR30">
        <v>0.30906018953299802</v>
      </c>
      <c r="DS30">
        <v>9.1168638587961107E-2</v>
      </c>
      <c r="DT30">
        <v>1</v>
      </c>
      <c r="DU30">
        <v>1.5575869230769199</v>
      </c>
      <c r="DV30">
        <v>2.7488431657141099E-3</v>
      </c>
      <c r="DW30">
        <v>1.1786355628186499E-2</v>
      </c>
      <c r="DX30">
        <v>1</v>
      </c>
      <c r="DY30">
        <v>2</v>
      </c>
      <c r="DZ30">
        <v>2</v>
      </c>
      <c r="EA30" t="s">
        <v>283</v>
      </c>
      <c r="EB30">
        <v>1.8666499999999999</v>
      </c>
      <c r="EC30">
        <v>1.86324</v>
      </c>
      <c r="ED30">
        <v>1.8688499999999999</v>
      </c>
      <c r="EE30">
        <v>1.86677</v>
      </c>
      <c r="EF30">
        <v>1.87147</v>
      </c>
      <c r="EG30">
        <v>1.86395</v>
      </c>
      <c r="EH30">
        <v>1.86554</v>
      </c>
      <c r="EI30">
        <v>1.8653999999999999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0.45600000000000002</v>
      </c>
      <c r="EX30">
        <v>0.108</v>
      </c>
      <c r="EY30">
        <v>2</v>
      </c>
      <c r="EZ30">
        <v>359.20699999999999</v>
      </c>
      <c r="FA30">
        <v>499.71100000000001</v>
      </c>
      <c r="FB30">
        <v>17.978200000000001</v>
      </c>
      <c r="FC30">
        <v>33.368099999999998</v>
      </c>
      <c r="FD30">
        <v>30</v>
      </c>
      <c r="FE30">
        <v>33.340000000000003</v>
      </c>
      <c r="FF30">
        <v>33.331099999999999</v>
      </c>
      <c r="FG30">
        <v>68.165800000000004</v>
      </c>
      <c r="FH30">
        <v>17.023299999999999</v>
      </c>
      <c r="FI30">
        <v>42.056199999999997</v>
      </c>
      <c r="FJ30">
        <v>17.985499999999998</v>
      </c>
      <c r="FK30">
        <v>1600</v>
      </c>
      <c r="FL30">
        <v>17.223600000000001</v>
      </c>
      <c r="FM30">
        <v>101.1</v>
      </c>
      <c r="FN30">
        <v>101.113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2020-06-15T13:21:03Z</dcterms:created>
  <dcterms:modified xsi:type="dcterms:W3CDTF">2024-11-20T08:55:17Z</dcterms:modified>
</cp:coreProperties>
</file>