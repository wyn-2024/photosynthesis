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博士学习资料\past test data\2020_soybean_CO2_curves\0823\"/>
    </mc:Choice>
  </mc:AlternateContent>
  <bookViews>
    <workbookView xWindow="240" yWindow="12" windowWidth="16092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BU31" i="1" l="1"/>
  <c r="BT31" i="1"/>
  <c r="BR31" i="1"/>
  <c r="BS31" i="1" s="1"/>
  <c r="BI31" i="1"/>
  <c r="BH31" i="1"/>
  <c r="BG31" i="1"/>
  <c r="BF31" i="1"/>
  <c r="BE31" i="1"/>
  <c r="BB31" i="1"/>
  <c r="AZ31" i="1"/>
  <c r="AU31" i="1"/>
  <c r="AO31" i="1"/>
  <c r="AP31" i="1" s="1"/>
  <c r="AK31" i="1"/>
  <c r="AJ31" i="1"/>
  <c r="AI31" i="1"/>
  <c r="I31" i="1" s="1"/>
  <c r="AX31" i="1" s="1"/>
  <c r="X31" i="1"/>
  <c r="V31" i="1" s="1"/>
  <c r="W31" i="1"/>
  <c r="O31" i="1"/>
  <c r="BU30" i="1"/>
  <c r="BT30" i="1"/>
  <c r="BR30" i="1"/>
  <c r="BS30" i="1" s="1"/>
  <c r="BI30" i="1"/>
  <c r="BH30" i="1"/>
  <c r="BG30" i="1"/>
  <c r="BF30" i="1"/>
  <c r="BE30" i="1"/>
  <c r="BB30" i="1"/>
  <c r="AZ30" i="1"/>
  <c r="AU30" i="1"/>
  <c r="AO30" i="1"/>
  <c r="AP30" i="1" s="1"/>
  <c r="AK30" i="1"/>
  <c r="AI30" i="1"/>
  <c r="H30" i="1" s="1"/>
  <c r="X30" i="1"/>
  <c r="W30" i="1"/>
  <c r="V30" i="1"/>
  <c r="O30" i="1"/>
  <c r="BU29" i="1"/>
  <c r="BT29" i="1"/>
  <c r="BR29" i="1"/>
  <c r="BS29" i="1" s="1"/>
  <c r="BI29" i="1"/>
  <c r="BH29" i="1"/>
  <c r="BG29" i="1"/>
  <c r="BF29" i="1"/>
  <c r="BE29" i="1"/>
  <c r="AZ29" i="1" s="1"/>
  <c r="BB29" i="1"/>
  <c r="AU29" i="1"/>
  <c r="AO29" i="1"/>
  <c r="AP29" i="1" s="1"/>
  <c r="AK29" i="1"/>
  <c r="AI29" i="1"/>
  <c r="H29" i="1" s="1"/>
  <c r="X29" i="1"/>
  <c r="W29" i="1"/>
  <c r="V29" i="1"/>
  <c r="O29" i="1"/>
  <c r="BU28" i="1"/>
  <c r="BT28" i="1"/>
  <c r="BR28" i="1"/>
  <c r="BS28" i="1" s="1"/>
  <c r="BI28" i="1"/>
  <c r="BH28" i="1"/>
  <c r="BG28" i="1"/>
  <c r="BF28" i="1"/>
  <c r="BE28" i="1"/>
  <c r="BB28" i="1"/>
  <c r="AZ28" i="1"/>
  <c r="AU28" i="1"/>
  <c r="AP28" i="1"/>
  <c r="AO28" i="1"/>
  <c r="AK28" i="1"/>
  <c r="AI28" i="1" s="1"/>
  <c r="X28" i="1"/>
  <c r="W28" i="1"/>
  <c r="V28" i="1"/>
  <c r="O28" i="1"/>
  <c r="BU27" i="1"/>
  <c r="BT27" i="1"/>
  <c r="BR27" i="1"/>
  <c r="BS27" i="1" s="1"/>
  <c r="BI27" i="1"/>
  <c r="BH27" i="1"/>
  <c r="BG27" i="1"/>
  <c r="BF27" i="1"/>
  <c r="BE27" i="1"/>
  <c r="BB27" i="1"/>
  <c r="AZ27" i="1"/>
  <c r="AU27" i="1"/>
  <c r="AO27" i="1"/>
  <c r="AP27" i="1" s="1"/>
  <c r="AK27" i="1"/>
  <c r="AI27" i="1" s="1"/>
  <c r="X27" i="1"/>
  <c r="W27" i="1"/>
  <c r="V27" i="1"/>
  <c r="O27" i="1"/>
  <c r="BU26" i="1"/>
  <c r="BT26" i="1"/>
  <c r="BS26" i="1" s="1"/>
  <c r="BR26" i="1"/>
  <c r="BI26" i="1"/>
  <c r="BH26" i="1"/>
  <c r="BG26" i="1"/>
  <c r="BF26" i="1"/>
  <c r="BE26" i="1"/>
  <c r="BB26" i="1"/>
  <c r="AZ26" i="1"/>
  <c r="AU26" i="1"/>
  <c r="AO26" i="1"/>
  <c r="AP26" i="1" s="1"/>
  <c r="AK26" i="1"/>
  <c r="AI26" i="1"/>
  <c r="H26" i="1" s="1"/>
  <c r="X26" i="1"/>
  <c r="V26" i="1" s="1"/>
  <c r="W26" i="1"/>
  <c r="O26" i="1"/>
  <c r="BU25" i="1"/>
  <c r="BT25" i="1"/>
  <c r="BR25" i="1"/>
  <c r="BS25" i="1" s="1"/>
  <c r="BI25" i="1"/>
  <c r="BH25" i="1"/>
  <c r="BG25" i="1"/>
  <c r="BF25" i="1"/>
  <c r="BE25" i="1"/>
  <c r="AZ25" i="1" s="1"/>
  <c r="BB25" i="1"/>
  <c r="AU25" i="1"/>
  <c r="AO25" i="1"/>
  <c r="AP25" i="1" s="1"/>
  <c r="AK25" i="1"/>
  <c r="AI25" i="1"/>
  <c r="J25" i="1" s="1"/>
  <c r="X25" i="1"/>
  <c r="W25" i="1"/>
  <c r="V25" i="1"/>
  <c r="O25" i="1"/>
  <c r="BU24" i="1"/>
  <c r="BT24" i="1"/>
  <c r="BR24" i="1"/>
  <c r="BS24" i="1" s="1"/>
  <c r="BI24" i="1"/>
  <c r="BH24" i="1"/>
  <c r="BG24" i="1"/>
  <c r="BF24" i="1"/>
  <c r="BE24" i="1"/>
  <c r="AZ24" i="1" s="1"/>
  <c r="BB24" i="1"/>
  <c r="AU24" i="1"/>
  <c r="AO24" i="1"/>
  <c r="AP24" i="1" s="1"/>
  <c r="AK24" i="1"/>
  <c r="AI24" i="1"/>
  <c r="I24" i="1" s="1"/>
  <c r="AX24" i="1" s="1"/>
  <c r="X24" i="1"/>
  <c r="W24" i="1"/>
  <c r="V24" i="1"/>
  <c r="O24" i="1"/>
  <c r="BU23" i="1"/>
  <c r="BT23" i="1"/>
  <c r="BR23" i="1"/>
  <c r="BS23" i="1" s="1"/>
  <c r="BI23" i="1"/>
  <c r="BH23" i="1"/>
  <c r="BG23" i="1"/>
  <c r="BF23" i="1"/>
  <c r="BE23" i="1"/>
  <c r="BB23" i="1"/>
  <c r="AZ23" i="1"/>
  <c r="AU23" i="1"/>
  <c r="AO23" i="1"/>
  <c r="AP23" i="1" s="1"/>
  <c r="AK23" i="1"/>
  <c r="AI23" i="1" s="1"/>
  <c r="X23" i="1"/>
  <c r="W23" i="1"/>
  <c r="V23" i="1"/>
  <c r="O23" i="1"/>
  <c r="BU22" i="1"/>
  <c r="BT22" i="1"/>
  <c r="BR22" i="1"/>
  <c r="BS22" i="1" s="1"/>
  <c r="BI22" i="1"/>
  <c r="BH22" i="1"/>
  <c r="BG22" i="1"/>
  <c r="BF22" i="1"/>
  <c r="BE22" i="1"/>
  <c r="BB22" i="1"/>
  <c r="AZ22" i="1"/>
  <c r="AU22" i="1"/>
  <c r="AO22" i="1"/>
  <c r="AP22" i="1" s="1"/>
  <c r="AK22" i="1"/>
  <c r="AI22" i="1"/>
  <c r="I22" i="1" s="1"/>
  <c r="AX22" i="1" s="1"/>
  <c r="X22" i="1"/>
  <c r="W22" i="1"/>
  <c r="V22" i="1"/>
  <c r="O22" i="1"/>
  <c r="BU21" i="1"/>
  <c r="BT21" i="1"/>
  <c r="BR21" i="1"/>
  <c r="BS21" i="1" s="1"/>
  <c r="BI21" i="1"/>
  <c r="BH21" i="1"/>
  <c r="BG21" i="1"/>
  <c r="BF21" i="1"/>
  <c r="BE21" i="1"/>
  <c r="BB21" i="1"/>
  <c r="AZ21" i="1"/>
  <c r="AU21" i="1"/>
  <c r="AO21" i="1"/>
  <c r="AP21" i="1" s="1"/>
  <c r="AK21" i="1"/>
  <c r="AI21" i="1"/>
  <c r="H21" i="1" s="1"/>
  <c r="X21" i="1"/>
  <c r="W21" i="1"/>
  <c r="V21" i="1" s="1"/>
  <c r="O21" i="1"/>
  <c r="BU20" i="1"/>
  <c r="BT20" i="1"/>
  <c r="BR20" i="1"/>
  <c r="BS20" i="1" s="1"/>
  <c r="BI20" i="1"/>
  <c r="BH20" i="1"/>
  <c r="BG20" i="1"/>
  <c r="BF20" i="1"/>
  <c r="BE20" i="1"/>
  <c r="AZ20" i="1" s="1"/>
  <c r="BB20" i="1"/>
  <c r="AU20" i="1"/>
  <c r="AO20" i="1"/>
  <c r="AP20" i="1" s="1"/>
  <c r="AK20" i="1"/>
  <c r="AI20" i="1"/>
  <c r="J20" i="1" s="1"/>
  <c r="X20" i="1"/>
  <c r="W20" i="1"/>
  <c r="V20" i="1"/>
  <c r="O20" i="1"/>
  <c r="BU19" i="1"/>
  <c r="BT19" i="1"/>
  <c r="BR19" i="1"/>
  <c r="BS19" i="1" s="1"/>
  <c r="BI19" i="1"/>
  <c r="BH19" i="1"/>
  <c r="BG19" i="1"/>
  <c r="BF19" i="1"/>
  <c r="BE19" i="1"/>
  <c r="BB19" i="1"/>
  <c r="AZ19" i="1"/>
  <c r="AU19" i="1"/>
  <c r="AO19" i="1"/>
  <c r="AP19" i="1" s="1"/>
  <c r="AK19" i="1"/>
  <c r="AI19" i="1"/>
  <c r="M19" i="1" s="1"/>
  <c r="X19" i="1"/>
  <c r="W19" i="1"/>
  <c r="V19" i="1"/>
  <c r="O19" i="1"/>
  <c r="BU18" i="1"/>
  <c r="BT18" i="1"/>
  <c r="BR18" i="1"/>
  <c r="BS18" i="1" s="1"/>
  <c r="BI18" i="1"/>
  <c r="BH18" i="1"/>
  <c r="BG18" i="1"/>
  <c r="BF18" i="1"/>
  <c r="BE18" i="1"/>
  <c r="BB18" i="1"/>
  <c r="AZ18" i="1"/>
  <c r="AU18" i="1"/>
  <c r="AP18" i="1"/>
  <c r="AO18" i="1"/>
  <c r="AK18" i="1"/>
  <c r="AI18" i="1" s="1"/>
  <c r="X18" i="1"/>
  <c r="W18" i="1"/>
  <c r="V18" i="1"/>
  <c r="O18" i="1"/>
  <c r="BU17" i="1"/>
  <c r="BT17" i="1"/>
  <c r="BR17" i="1"/>
  <c r="BS17" i="1" s="1"/>
  <c r="BI17" i="1"/>
  <c r="BH17" i="1"/>
  <c r="BG17" i="1"/>
  <c r="BF17" i="1"/>
  <c r="BE17" i="1"/>
  <c r="BB17" i="1"/>
  <c r="AZ17" i="1"/>
  <c r="AU17" i="1"/>
  <c r="AO17" i="1"/>
  <c r="AP17" i="1" s="1"/>
  <c r="AK17" i="1"/>
  <c r="AI17" i="1"/>
  <c r="J17" i="1" s="1"/>
  <c r="X17" i="1"/>
  <c r="W17" i="1"/>
  <c r="V17" i="1"/>
  <c r="O17" i="1"/>
  <c r="AW23" i="1" l="1"/>
  <c r="R23" i="1"/>
  <c r="AY18" i="1"/>
  <c r="AW19" i="1"/>
  <c r="AY19" i="1" s="1"/>
  <c r="R19" i="1"/>
  <c r="BA31" i="1"/>
  <c r="Z30" i="1"/>
  <c r="AY23" i="1"/>
  <c r="I18" i="1"/>
  <c r="AX18" i="1" s="1"/>
  <c r="BA18" i="1" s="1"/>
  <c r="H18" i="1"/>
  <c r="AJ18" i="1"/>
  <c r="M18" i="1"/>
  <c r="J18" i="1"/>
  <c r="Z21" i="1"/>
  <c r="AY25" i="1"/>
  <c r="AW26" i="1"/>
  <c r="AY26" i="1" s="1"/>
  <c r="R26" i="1"/>
  <c r="AY21" i="1"/>
  <c r="R18" i="1"/>
  <c r="AW18" i="1"/>
  <c r="R17" i="1"/>
  <c r="AW17" i="1"/>
  <c r="AW31" i="1"/>
  <c r="R31" i="1"/>
  <c r="R30" i="1"/>
  <c r="AW30" i="1"/>
  <c r="AY30" i="1" s="1"/>
  <c r="J28" i="1"/>
  <c r="I28" i="1"/>
  <c r="AX28" i="1" s="1"/>
  <c r="H28" i="1"/>
  <c r="AJ28" i="1"/>
  <c r="M28" i="1"/>
  <c r="BA24" i="1"/>
  <c r="AJ27" i="1"/>
  <c r="J27" i="1"/>
  <c r="I27" i="1"/>
  <c r="AX27" i="1" s="1"/>
  <c r="BA27" i="1" s="1"/>
  <c r="H27" i="1"/>
  <c r="M27" i="1"/>
  <c r="AY31" i="1"/>
  <c r="AY20" i="1"/>
  <c r="Z26" i="1"/>
  <c r="R27" i="1"/>
  <c r="AW27" i="1"/>
  <c r="AY17" i="1"/>
  <c r="R22" i="1"/>
  <c r="AW22" i="1"/>
  <c r="AY22" i="1" s="1"/>
  <c r="R29" i="1"/>
  <c r="AW29" i="1"/>
  <c r="AY29" i="1" s="1"/>
  <c r="AW25" i="1"/>
  <c r="R25" i="1"/>
  <c r="AY27" i="1"/>
  <c r="R21" i="1"/>
  <c r="AW21" i="1"/>
  <c r="J23" i="1"/>
  <c r="I23" i="1"/>
  <c r="AX23" i="1" s="1"/>
  <c r="BA23" i="1" s="1"/>
  <c r="H23" i="1"/>
  <c r="AJ23" i="1"/>
  <c r="M23" i="1"/>
  <c r="R28" i="1"/>
  <c r="AW28" i="1"/>
  <c r="AY28" i="1" s="1"/>
  <c r="R24" i="1"/>
  <c r="AW24" i="1"/>
  <c r="AY24" i="1" s="1"/>
  <c r="R20" i="1"/>
  <c r="AW20" i="1"/>
  <c r="Z29" i="1"/>
  <c r="AJ22" i="1"/>
  <c r="AJ17" i="1"/>
  <c r="H22" i="1"/>
  <c r="H31" i="1"/>
  <c r="M17" i="1"/>
  <c r="I21" i="1"/>
  <c r="AX21" i="1" s="1"/>
  <c r="J21" i="1"/>
  <c r="AJ30" i="1"/>
  <c r="AJ25" i="1"/>
  <c r="M31" i="1"/>
  <c r="H25" i="1"/>
  <c r="H24" i="1"/>
  <c r="M20" i="1"/>
  <c r="I19" i="1"/>
  <c r="AX19" i="1" s="1"/>
  <c r="BA19" i="1" s="1"/>
  <c r="J24" i="1"/>
  <c r="J31" i="1"/>
  <c r="J26" i="1"/>
  <c r="AJ20" i="1"/>
  <c r="M26" i="1"/>
  <c r="M21" i="1"/>
  <c r="I25" i="1"/>
  <c r="AX25" i="1" s="1"/>
  <c r="AJ19" i="1"/>
  <c r="H19" i="1"/>
  <c r="J29" i="1"/>
  <c r="J19" i="1"/>
  <c r="I17" i="1"/>
  <c r="AX17" i="1" s="1"/>
  <c r="BA17" i="1" s="1"/>
  <c r="J22" i="1"/>
  <c r="AJ21" i="1"/>
  <c r="M22" i="1"/>
  <c r="I26" i="1"/>
  <c r="AX26" i="1" s="1"/>
  <c r="M29" i="1"/>
  <c r="I30" i="1"/>
  <c r="AX30" i="1" s="1"/>
  <c r="BA30" i="1" s="1"/>
  <c r="I20" i="1"/>
  <c r="AX20" i="1" s="1"/>
  <c r="BA20" i="1" s="1"/>
  <c r="AJ24" i="1"/>
  <c r="M30" i="1"/>
  <c r="M25" i="1"/>
  <c r="M24" i="1"/>
  <c r="H17" i="1"/>
  <c r="AJ26" i="1"/>
  <c r="J30" i="1"/>
  <c r="I29" i="1"/>
  <c r="AX29" i="1" s="1"/>
  <c r="BA29" i="1" s="1"/>
  <c r="H20" i="1"/>
  <c r="AJ29" i="1"/>
  <c r="S24" i="1" l="1"/>
  <c r="T24" i="1" s="1"/>
  <c r="S26" i="1"/>
  <c r="T26" i="1" s="1"/>
  <c r="S28" i="1"/>
  <c r="T28" i="1" s="1"/>
  <c r="Z27" i="1"/>
  <c r="P23" i="1"/>
  <c r="N23" i="1" s="1"/>
  <c r="Q23" i="1" s="1"/>
  <c r="K23" i="1" s="1"/>
  <c r="L23" i="1" s="1"/>
  <c r="Z23" i="1"/>
  <c r="P22" i="1"/>
  <c r="N22" i="1" s="1"/>
  <c r="Q22" i="1" s="1"/>
  <c r="K22" i="1" s="1"/>
  <c r="L22" i="1" s="1"/>
  <c r="Z22" i="1"/>
  <c r="S29" i="1"/>
  <c r="T29" i="1" s="1"/>
  <c r="Z24" i="1"/>
  <c r="P24" i="1"/>
  <c r="N24" i="1" s="1"/>
  <c r="Q24" i="1" s="1"/>
  <c r="K24" i="1" s="1"/>
  <c r="L24" i="1" s="1"/>
  <c r="Z28" i="1"/>
  <c r="P28" i="1"/>
  <c r="N28" i="1" s="1"/>
  <c r="Q28" i="1" s="1"/>
  <c r="K28" i="1" s="1"/>
  <c r="L28" i="1" s="1"/>
  <c r="S25" i="1"/>
  <c r="T25" i="1" s="1"/>
  <c r="P25" i="1" s="1"/>
  <c r="N25" i="1" s="1"/>
  <c r="Q25" i="1" s="1"/>
  <c r="K25" i="1" s="1"/>
  <c r="L25" i="1" s="1"/>
  <c r="S31" i="1"/>
  <c r="T31" i="1" s="1"/>
  <c r="P31" i="1" s="1"/>
  <c r="N31" i="1" s="1"/>
  <c r="Q31" i="1" s="1"/>
  <c r="K31" i="1" s="1"/>
  <c r="L31" i="1" s="1"/>
  <c r="BA25" i="1"/>
  <c r="S20" i="1"/>
  <c r="T20" i="1" s="1"/>
  <c r="S18" i="1"/>
  <c r="T18" i="1" s="1"/>
  <c r="P18" i="1"/>
  <c r="N18" i="1" s="1"/>
  <c r="Q18" i="1" s="1"/>
  <c r="K18" i="1" s="1"/>
  <c r="L18" i="1" s="1"/>
  <c r="Z18" i="1"/>
  <c r="Z17" i="1"/>
  <c r="Z25" i="1"/>
  <c r="S21" i="1"/>
  <c r="T21" i="1" s="1"/>
  <c r="BA21" i="1"/>
  <c r="BA28" i="1"/>
  <c r="Z19" i="1"/>
  <c r="S19" i="1"/>
  <c r="T19" i="1" s="1"/>
  <c r="P19" i="1" s="1"/>
  <c r="N19" i="1" s="1"/>
  <c r="Q19" i="1" s="1"/>
  <c r="K19" i="1" s="1"/>
  <c r="L19" i="1" s="1"/>
  <c r="S27" i="1"/>
  <c r="T27" i="1" s="1"/>
  <c r="P27" i="1" s="1"/>
  <c r="N27" i="1" s="1"/>
  <c r="Q27" i="1" s="1"/>
  <c r="K27" i="1" s="1"/>
  <c r="L27" i="1" s="1"/>
  <c r="S17" i="1"/>
  <c r="T17" i="1" s="1"/>
  <c r="P17" i="1" s="1"/>
  <c r="N17" i="1" s="1"/>
  <c r="Q17" i="1" s="1"/>
  <c r="K17" i="1" s="1"/>
  <c r="L17" i="1" s="1"/>
  <c r="BA26" i="1"/>
  <c r="Z31" i="1"/>
  <c r="S30" i="1"/>
  <c r="T30" i="1" s="1"/>
  <c r="S22" i="1"/>
  <c r="T22" i="1" s="1"/>
  <c r="S23" i="1"/>
  <c r="T23" i="1" s="1"/>
  <c r="Z20" i="1"/>
  <c r="BA22" i="1"/>
  <c r="U20" i="1" l="1"/>
  <c r="Y20" i="1" s="1"/>
  <c r="AB20" i="1"/>
  <c r="AA20" i="1"/>
  <c r="U29" i="1"/>
  <c r="Y29" i="1" s="1"/>
  <c r="AA29" i="1"/>
  <c r="AB29" i="1"/>
  <c r="AC29" i="1" s="1"/>
  <c r="P29" i="1"/>
  <c r="N29" i="1" s="1"/>
  <c r="Q29" i="1" s="1"/>
  <c r="K29" i="1" s="1"/>
  <c r="L29" i="1" s="1"/>
  <c r="AB28" i="1"/>
  <c r="U28" i="1"/>
  <c r="Y28" i="1" s="1"/>
  <c r="AA28" i="1"/>
  <c r="P20" i="1"/>
  <c r="N20" i="1" s="1"/>
  <c r="Q20" i="1" s="1"/>
  <c r="K20" i="1" s="1"/>
  <c r="L20" i="1" s="1"/>
  <c r="AB23" i="1"/>
  <c r="U23" i="1"/>
  <c r="Y23" i="1" s="1"/>
  <c r="AA23" i="1"/>
  <c r="AA26" i="1"/>
  <c r="AB26" i="1"/>
  <c r="AC26" i="1" s="1"/>
  <c r="U26" i="1"/>
  <c r="Y26" i="1" s="1"/>
  <c r="P26" i="1"/>
  <c r="N26" i="1" s="1"/>
  <c r="Q26" i="1" s="1"/>
  <c r="K26" i="1" s="1"/>
  <c r="L26" i="1" s="1"/>
  <c r="U30" i="1"/>
  <c r="Y30" i="1" s="1"/>
  <c r="AB30" i="1"/>
  <c r="AC30" i="1" s="1"/>
  <c r="AA30" i="1"/>
  <c r="P30" i="1"/>
  <c r="N30" i="1" s="1"/>
  <c r="Q30" i="1" s="1"/>
  <c r="K30" i="1" s="1"/>
  <c r="L30" i="1" s="1"/>
  <c r="U18" i="1"/>
  <c r="Y18" i="1" s="1"/>
  <c r="AB18" i="1"/>
  <c r="AC18" i="1" s="1"/>
  <c r="AA18" i="1"/>
  <c r="AA31" i="1"/>
  <c r="U31" i="1"/>
  <c r="Y31" i="1" s="1"/>
  <c r="AB31" i="1"/>
  <c r="AC31" i="1" s="1"/>
  <c r="AB17" i="1"/>
  <c r="U17" i="1"/>
  <c r="Y17" i="1" s="1"/>
  <c r="AA17" i="1"/>
  <c r="U27" i="1"/>
  <c r="Y27" i="1" s="1"/>
  <c r="AB27" i="1"/>
  <c r="AC27" i="1" s="1"/>
  <c r="AA27" i="1"/>
  <c r="AB25" i="1"/>
  <c r="AA25" i="1"/>
  <c r="U25" i="1"/>
  <c r="Y25" i="1" s="1"/>
  <c r="AB19" i="1"/>
  <c r="U19" i="1"/>
  <c r="Y19" i="1" s="1"/>
  <c r="AA19" i="1"/>
  <c r="AA21" i="1"/>
  <c r="U21" i="1"/>
  <c r="Y21" i="1" s="1"/>
  <c r="AB21" i="1"/>
  <c r="AC21" i="1" s="1"/>
  <c r="P21" i="1"/>
  <c r="N21" i="1" s="1"/>
  <c r="Q21" i="1" s="1"/>
  <c r="K21" i="1" s="1"/>
  <c r="L21" i="1" s="1"/>
  <c r="AB22" i="1"/>
  <c r="U22" i="1"/>
  <c r="Y22" i="1" s="1"/>
  <c r="AA22" i="1"/>
  <c r="AB24" i="1"/>
  <c r="AC24" i="1" s="1"/>
  <c r="AA24" i="1"/>
  <c r="U24" i="1"/>
  <c r="Y24" i="1" s="1"/>
  <c r="AC23" i="1" l="1"/>
  <c r="AC22" i="1"/>
  <c r="AC19" i="1"/>
  <c r="AC25" i="1"/>
  <c r="AC20" i="1"/>
  <c r="AC28" i="1"/>
  <c r="AC17" i="1"/>
</calcChain>
</file>

<file path=xl/sharedStrings.xml><?xml version="1.0" encoding="utf-8"?>
<sst xmlns="http://schemas.openxmlformats.org/spreadsheetml/2006/main" count="788" uniqueCount="360">
  <si>
    <t>File opened</t>
  </si>
  <si>
    <t>2020-08-23 10:48:38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</si>
  <si>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</si>
  <si>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</si>
  <si>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</si>
  <si>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</si>
  <si>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</si>
  <si>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</si>
  <si>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</si>
  <si>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</si>
  <si>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</si>
  <si>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1.4.0</t>
  </si>
  <si>
    <t>Head cal</t>
  </si>
  <si>
    <t>{"chamberpressurezero": "2.59209", "co2aspan1": "0.992625", "co2aspan2a": "0.164928", "co2aspanconc2": "0", "co2bzero": "0.880288", "h2oaspan1": "1.00223", "flowazero": "0.42932", "tazero": "0.00774765", "h2obzero": "1.01783", "ssa_ref": "36614.9", "h2obspanconc1": "20", "co2bspanconc1": "1002", "h2oaspanconc2": "0", "co2aspan2": "0", "oxygen": "21", "h2obspan2b": "0.0963575", "co2bspanconc2": "0", "co2bspan2": "0", "co2aspan2b": "0.163711", "h2oaspanconc1": "12.19", "co2azero": "0.869071", "h2oaspan2": "0", "h2obspanconc2": "0", "h2oaspan2a": "0.0661155", "co2aspanconc1": "1002", "co2bspan2b": "0.162103", "h2oaspan2b": "0.0662632", "h2obspan1": "0.998578", "co2bspan2a": "0.163389", "tbzero": "0.197721", "h2obspan2": "0", "ssb_ref": "36526.8", "flowbzero": "0.22736", "flowmeterzero": "0.990908", "co2bspan1": "0.992131", "h2obspan2a": "0.0975941", "h2oazero": "1.00263"}</t>
  </si>
  <si>
    <t>Chamber type</t>
  </si>
  <si>
    <t>6800-01A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</si>
  <si>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</si>
  <si>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</si>
  <si>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</si>
  <si>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</si>
  <si>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</si>
  <si>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</si>
  <si>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</si>
  <si>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10:48:38</t>
  </si>
  <si>
    <t>Stability Definition:	CO2_s (Meas): Slp&lt;0.3	H2O_s (Meas): Slp&lt;0.2</t>
  </si>
  <si>
    <t>SysConst</t>
  </si>
  <si>
    <t>AvgTime</t>
  </si>
  <si>
    <t>4</t>
  </si>
  <si>
    <t>Oxygen</t>
  </si>
  <si>
    <t>21</t>
  </si>
  <si>
    <t>Chamber</t>
  </si>
  <si>
    <t>6800-01A 2 cm²</t>
  </si>
  <si>
    <t>Const</t>
  </si>
  <si>
    <t>S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</si>
  <si>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</si>
  <si>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</si>
  <si>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</si>
  <si>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</si>
  <si>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</si>
  <si>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</si>
  <si>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</si>
  <si>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</si>
  <si>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</si>
  <si>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</si>
  <si>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</si>
  <si>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</si>
  <si>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</si>
  <si>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</si>
  <si>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</si>
  <si>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</si>
  <si>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</si>
  <si>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</si>
  <si>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</si>
  <si>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</si>
  <si>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</si>
  <si>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</si>
  <si>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</si>
  <si>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</si>
  <si>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</si>
  <si>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</si>
  <si>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</si>
  <si>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</si>
  <si>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</si>
  <si>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</si>
  <si>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</si>
  <si>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</si>
  <si>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</si>
  <si>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</si>
  <si>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</si>
  <si>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</si>
  <si>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</si>
  <si>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2.94359 76.2785 384.689 618.449 845.034 1049.11 1224.88 1398.33</t>
  </si>
  <si>
    <t>Fs_true</t>
  </si>
  <si>
    <t>0.282282 99.9505 401.086 601.05 800.065 1000.06 1200.05 1401.49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</si>
  <si>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</si>
  <si>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</si>
  <si>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</si>
  <si>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</si>
  <si>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</si>
  <si>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</si>
  <si>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</si>
  <si>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</si>
  <si>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</si>
  <si>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</si>
  <si>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</si>
  <si>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</si>
  <si>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</si>
  <si>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</si>
  <si>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</si>
  <si>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</si>
  <si>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</si>
  <si>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</si>
  <si>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</si>
  <si>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</si>
  <si>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</si>
  <si>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</si>
  <si>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</si>
  <si>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</si>
  <si>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</si>
  <si>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</si>
  <si>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</si>
  <si>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</si>
  <si>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</si>
  <si>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</si>
  <si>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</si>
  <si>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</si>
  <si>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</si>
  <si>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</si>
  <si>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</si>
  <si>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</si>
  <si>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</si>
  <si>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</si>
  <si>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</si>
  <si>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</si>
  <si>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</si>
  <si>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</si>
  <si>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</si>
  <si>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</si>
  <si>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</si>
  <si>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</si>
  <si>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</si>
  <si>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</si>
  <si>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</si>
  <si>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</si>
  <si>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</si>
  <si>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</si>
  <si>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</si>
  <si>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</si>
  <si>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</si>
  <si>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</si>
  <si>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</si>
  <si>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</si>
  <si>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</si>
  <si>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</si>
  <si>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</si>
  <si>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</si>
  <si>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</si>
  <si>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</si>
  <si>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</si>
  <si>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</si>
  <si>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</si>
  <si>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</si>
  <si>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</si>
  <si>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</si>
  <si>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</si>
  <si>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</si>
  <si>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</si>
  <si>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</si>
  <si>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</si>
  <si>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</si>
  <si>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</si>
  <si>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</si>
  <si>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</si>
  <si>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</si>
  <si>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</si>
  <si>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</si>
  <si>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</si>
  <si>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</si>
  <si>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</si>
  <si>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</si>
  <si>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</si>
  <si>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</si>
  <si>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</si>
  <si>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</si>
  <si>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</si>
  <si>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</si>
  <si>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</si>
  <si>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</si>
  <si>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</si>
  <si>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</si>
  <si>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</si>
  <si>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</si>
  <si>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</si>
  <si>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</si>
  <si>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</si>
  <si>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</si>
  <si>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</si>
  <si>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</si>
  <si>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</si>
  <si>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</si>
  <si>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</si>
  <si>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</si>
  <si>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</si>
  <si>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</si>
  <si>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</si>
  <si>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</si>
  <si>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</si>
  <si>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</si>
  <si>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</si>
  <si>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</si>
  <si>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</si>
  <si>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</si>
  <si>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</si>
  <si>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</si>
  <si>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</si>
  <si>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</si>
  <si>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</si>
  <si>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</si>
  <si>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</si>
  <si>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</si>
  <si>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</si>
  <si>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</si>
  <si>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</si>
  <si>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</si>
  <si>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</si>
  <si>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CO2_s:MN</t>
  </si>
  <si>
    <t>CO2_s:SLP</t>
  </si>
  <si>
    <t>CO2_s:SD</t>
  </si>
  <si>
    <t>CO2_s:OK</t>
  </si>
  <si>
    <t>H2O_s:MN</t>
  </si>
  <si>
    <t>H2O_s:SLP</t>
  </si>
  <si>
    <t>H2O_s:SD</t>
  </si>
  <si>
    <t>H2O_s:OK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</si>
  <si>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</si>
  <si>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</si>
  <si>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</si>
  <si>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</si>
  <si>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</si>
  <si>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</si>
  <si>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</si>
  <si>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</si>
  <si>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</si>
  <si>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</si>
  <si>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</si>
  <si>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</si>
  <si>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</si>
  <si>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</si>
  <si>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</si>
  <si>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</si>
  <si>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</si>
  <si>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</si>
  <si>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</si>
  <si>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</si>
  <si>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</si>
  <si>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</si>
  <si>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</si>
  <si>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</si>
  <si>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</si>
  <si>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</si>
  <si>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</si>
  <si>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</si>
  <si>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</si>
  <si>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</si>
  <si>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</si>
  <si>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</si>
  <si>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</si>
  <si>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</si>
  <si>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</si>
  <si>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</si>
  <si>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</si>
  <si>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</si>
  <si>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</si>
  <si>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</si>
  <si>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</si>
  <si>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</si>
  <si>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</si>
  <si>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</si>
  <si>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</si>
  <si>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</si>
  <si>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</si>
  <si>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</si>
  <si>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</si>
  <si>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</si>
  <si>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</si>
  <si>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</si>
  <si>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</si>
  <si>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</si>
  <si>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</si>
  <si>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</si>
  <si>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</si>
  <si>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</si>
  <si>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</si>
  <si>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</si>
  <si>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</si>
  <si>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</si>
  <si>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</si>
  <si>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</si>
  <si>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20200823 10:55:01</t>
  </si>
  <si>
    <t>10:55:01</t>
  </si>
  <si>
    <t>MPF-6503-20200823-10_55_02</t>
  </si>
  <si>
    <t>DARK-6504-20200823-10_55_10</t>
  </si>
  <si>
    <t>0: Broadleaf</t>
  </si>
  <si>
    <t>10:55:31</t>
  </si>
  <si>
    <t>1/2</t>
  </si>
  <si>
    <t>5</t>
  </si>
  <si>
    <t>11111111</t>
  </si>
  <si>
    <t>oooooooo</t>
  </si>
  <si>
    <t>off</t>
  </si>
  <si>
    <t>20200823 10:57:26</t>
  </si>
  <si>
    <t>10:57:26</t>
  </si>
  <si>
    <t>MPF-6505-20200823-10_57_27</t>
  </si>
  <si>
    <t>DARK-6506-20200823-10_57_35</t>
  </si>
  <si>
    <t>10:57:50</t>
  </si>
  <si>
    <t>2/2</t>
  </si>
  <si>
    <t>20200823 10:59:22</t>
  </si>
  <si>
    <t>10:59:22</t>
  </si>
  <si>
    <t>MPF-6507-20200823-10_59_23</t>
  </si>
  <si>
    <t>DARK-6508-20200823-10_59_31</t>
  </si>
  <si>
    <t>10:59:48</t>
  </si>
  <si>
    <t>20200823 11:01:19</t>
  </si>
  <si>
    <t>11:01:19</t>
  </si>
  <si>
    <t>MPF-6509-20200823-11_01_21</t>
  </si>
  <si>
    <t>DARK-6510-20200823-11_01_28</t>
  </si>
  <si>
    <t>11:01:44</t>
  </si>
  <si>
    <t>20200823 11:03:16</t>
  </si>
  <si>
    <t>11:03:16</t>
  </si>
  <si>
    <t>MPF-6511-20200823-11_03_17</t>
  </si>
  <si>
    <t>DARK-6512-20200823-11_03_25</t>
  </si>
  <si>
    <t>11:03:41</t>
  </si>
  <si>
    <t>20200823 11:05:12</t>
  </si>
  <si>
    <t>11:05:12</t>
  </si>
  <si>
    <t>MPF-6513-20200823-11_05_14</t>
  </si>
  <si>
    <t>DARK-6514-20200823-11_05_21</t>
  </si>
  <si>
    <t>11:05:38</t>
  </si>
  <si>
    <t>20200823 11:07:09</t>
  </si>
  <si>
    <t>11:07:09</t>
  </si>
  <si>
    <t>MPF-6515-20200823-11_07_11</t>
  </si>
  <si>
    <t>DARK-6516-20200823-11_07_18</t>
  </si>
  <si>
    <t>11:07:35</t>
  </si>
  <si>
    <t>20200823 11:09:06</t>
  </si>
  <si>
    <t>11:09:06</t>
  </si>
  <si>
    <t>MPF-6517-20200823-11_09_08</t>
  </si>
  <si>
    <t>DARK-6518-20200823-11_09_15</t>
  </si>
  <si>
    <t>11:09:35</t>
  </si>
  <si>
    <t>20200823 11:11:36</t>
  </si>
  <si>
    <t>11:11:36</t>
  </si>
  <si>
    <t>MPF-6519-20200823-11_11_38</t>
  </si>
  <si>
    <t>DARK-6520-20200823-11_11_45</t>
  </si>
  <si>
    <t>11:12:05</t>
  </si>
  <si>
    <t>20200823 11:13:51</t>
  </si>
  <si>
    <t>11:13:51</t>
  </si>
  <si>
    <t>MPF-6521-20200823-11_13_53</t>
  </si>
  <si>
    <t>DARK-6522-20200823-11_14_00</t>
  </si>
  <si>
    <t>11:14:17</t>
  </si>
  <si>
    <t>20200823 11:16:06</t>
  </si>
  <si>
    <t>11:16:06</t>
  </si>
  <si>
    <t>MPF-6523-20200823-11_16_08</t>
  </si>
  <si>
    <t>DARK-6524-20200823-11_16_15</t>
  </si>
  <si>
    <t>11:16:37</t>
  </si>
  <si>
    <t>20200823 11:18:38</t>
  </si>
  <si>
    <t>11:18:38</t>
  </si>
  <si>
    <t>MPF-6525-20200823-11_18_40</t>
  </si>
  <si>
    <t>DARK-6526-20200823-11_18_47</t>
  </si>
  <si>
    <t>11:19:03</t>
  </si>
  <si>
    <t>0/2</t>
  </si>
  <si>
    <t>20200823 11:20:46</t>
  </si>
  <si>
    <t>11:20:46</t>
  </si>
  <si>
    <t>MPF-6527-20200823-11_20_47</t>
  </si>
  <si>
    <t>DARK-6528-20200823-11_20_55</t>
  </si>
  <si>
    <t>11:21:11</t>
  </si>
  <si>
    <t>20200823 11:22:43</t>
  </si>
  <si>
    <t>11:22:43</t>
  </si>
  <si>
    <t>MPF-6529-20200823-11_22_45</t>
  </si>
  <si>
    <t>DARK-6530-20200823-11_22_53</t>
  </si>
  <si>
    <t>11:23:05</t>
  </si>
  <si>
    <t>20200823 11:24:42</t>
  </si>
  <si>
    <t>11:24:42</t>
  </si>
  <si>
    <t>MPF-6531-20200823-11_24_44</t>
  </si>
  <si>
    <t>DARK-6532-20200823-11_24_51</t>
  </si>
  <si>
    <t>11:25:06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</si>
</sst>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N31"/>
  <sheetViews>
    <sheetView tabSelected="1" workbookViewId="0"/>
  </sheetViews>
  <sheetFormatPr defaultRowHeight="14.4" x14ac:dyDescent="0.25"/>
  <sheetData>
    <row r="2" spans="1:170" x14ac:dyDescent="0.25">
      <c r="A2" t="s">
        <v>25</v>
      </c>
      <c r="B2" t="s">
        <v>26</v>
      </c>
      <c r="C2" t="s">
        <v>28</v>
      </c>
      <c r="D2" t="s">
        <v>30</v>
      </c>
    </row>
    <row r="3" spans="1:170" x14ac:dyDescent="0.25">
      <c r="B3" t="s">
        <v>27</v>
      </c>
      <c r="C3" t="s">
        <v>29</v>
      </c>
      <c r="D3" t="s">
        <v>31</v>
      </c>
    </row>
    <row r="4" spans="1:170" x14ac:dyDescent="0.25">
      <c r="A4" t="s">
        <v>32</v>
      </c>
      <c r="B4" t="s">
        <v>33</v>
      </c>
      <c r="C4" t="s">
        <v>34</v>
      </c>
    </row>
    <row r="5" spans="1:170" x14ac:dyDescent="0.25">
      <c r="B5">
        <v>2</v>
      </c>
      <c r="C5">
        <v>2</v>
      </c>
    </row>
    <row r="6" spans="1:17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70" x14ac:dyDescent="0.25">
      <c r="B7">
        <v>0</v>
      </c>
      <c r="C7">
        <v>1</v>
      </c>
      <c r="D7">
        <v>0</v>
      </c>
      <c r="E7">
        <v>0</v>
      </c>
    </row>
    <row r="8" spans="1:170" x14ac:dyDescent="0.2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70" x14ac:dyDescent="0.2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0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7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70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70" x14ac:dyDescent="0.2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0</v>
      </c>
    </row>
    <row r="14" spans="1:170" x14ac:dyDescent="0.2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32</v>
      </c>
      <c r="BW14" t="s">
        <v>32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82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83</v>
      </c>
      <c r="DC14" t="s">
        <v>84</v>
      </c>
      <c r="DD14" t="s">
        <v>84</v>
      </c>
      <c r="DE14" t="s">
        <v>84</v>
      </c>
      <c r="DF14" t="s">
        <v>84</v>
      </c>
      <c r="DG14" t="s">
        <v>84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85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86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87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  <c r="FN14" t="s">
        <v>88</v>
      </c>
    </row>
    <row r="15" spans="1:170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95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197</v>
      </c>
      <c r="DH15" t="s">
        <v>90</v>
      </c>
      <c r="DI15" t="s">
        <v>93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  <c r="FN15" t="s">
        <v>254</v>
      </c>
    </row>
    <row r="16" spans="1:170" x14ac:dyDescent="0.25">
      <c r="B16" t="s">
        <v>255</v>
      </c>
      <c r="C16" t="s">
        <v>255</v>
      </c>
      <c r="G16" t="s">
        <v>255</v>
      </c>
      <c r="H16" t="s">
        <v>256</v>
      </c>
      <c r="I16" t="s">
        <v>257</v>
      </c>
      <c r="J16" t="s">
        <v>258</v>
      </c>
      <c r="K16" t="s">
        <v>258</v>
      </c>
      <c r="L16" t="s">
        <v>168</v>
      </c>
      <c r="M16" t="s">
        <v>168</v>
      </c>
      <c r="N16" t="s">
        <v>256</v>
      </c>
      <c r="O16" t="s">
        <v>256</v>
      </c>
      <c r="P16" t="s">
        <v>256</v>
      </c>
      <c r="Q16" t="s">
        <v>256</v>
      </c>
      <c r="R16" t="s">
        <v>259</v>
      </c>
      <c r="S16" t="s">
        <v>260</v>
      </c>
      <c r="T16" t="s">
        <v>260</v>
      </c>
      <c r="U16" t="s">
        <v>261</v>
      </c>
      <c r="V16" t="s">
        <v>262</v>
      </c>
      <c r="W16" t="s">
        <v>261</v>
      </c>
      <c r="X16" t="s">
        <v>261</v>
      </c>
      <c r="Y16" t="s">
        <v>261</v>
      </c>
      <c r="Z16" t="s">
        <v>259</v>
      </c>
      <c r="AA16" t="s">
        <v>259</v>
      </c>
      <c r="AB16" t="s">
        <v>259</v>
      </c>
      <c r="AC16" t="s">
        <v>259</v>
      </c>
      <c r="AG16" t="s">
        <v>263</v>
      </c>
      <c r="AH16" t="s">
        <v>262</v>
      </c>
      <c r="AJ16" t="s">
        <v>262</v>
      </c>
      <c r="AK16" t="s">
        <v>263</v>
      </c>
      <c r="AQ16" t="s">
        <v>257</v>
      </c>
      <c r="AW16" t="s">
        <v>257</v>
      </c>
      <c r="AX16" t="s">
        <v>257</v>
      </c>
      <c r="AY16" t="s">
        <v>257</v>
      </c>
      <c r="BA16" t="s">
        <v>264</v>
      </c>
      <c r="BK16" t="s">
        <v>265</v>
      </c>
      <c r="BL16" t="s">
        <v>265</v>
      </c>
      <c r="BM16" t="s">
        <v>265</v>
      </c>
      <c r="BN16" t="s">
        <v>257</v>
      </c>
      <c r="BP16" t="s">
        <v>266</v>
      </c>
      <c r="BR16" t="s">
        <v>257</v>
      </c>
      <c r="BS16" t="s">
        <v>257</v>
      </c>
      <c r="BU16" t="s">
        <v>267</v>
      </c>
      <c r="BX16" t="s">
        <v>255</v>
      </c>
      <c r="BY16" t="s">
        <v>258</v>
      </c>
      <c r="BZ16" t="s">
        <v>258</v>
      </c>
      <c r="CA16" t="s">
        <v>268</v>
      </c>
      <c r="CB16" t="s">
        <v>268</v>
      </c>
      <c r="CC16" t="s">
        <v>263</v>
      </c>
      <c r="CD16" t="s">
        <v>261</v>
      </c>
      <c r="CE16" t="s">
        <v>261</v>
      </c>
      <c r="CF16" t="s">
        <v>260</v>
      </c>
      <c r="CG16" t="s">
        <v>260</v>
      </c>
      <c r="CH16" t="s">
        <v>260</v>
      </c>
      <c r="CI16" t="s">
        <v>269</v>
      </c>
      <c r="CJ16" t="s">
        <v>257</v>
      </c>
      <c r="CK16" t="s">
        <v>257</v>
      </c>
      <c r="CL16" t="s">
        <v>257</v>
      </c>
      <c r="CQ16" t="s">
        <v>257</v>
      </c>
      <c r="CT16" t="s">
        <v>260</v>
      </c>
      <c r="CU16" t="s">
        <v>260</v>
      </c>
      <c r="CV16" t="s">
        <v>260</v>
      </c>
      <c r="CW16" t="s">
        <v>260</v>
      </c>
      <c r="CX16" t="s">
        <v>260</v>
      </c>
      <c r="CY16" t="s">
        <v>257</v>
      </c>
      <c r="CZ16" t="s">
        <v>257</v>
      </c>
      <c r="DA16" t="s">
        <v>257</v>
      </c>
      <c r="DB16" t="s">
        <v>255</v>
      </c>
      <c r="DD16" t="s">
        <v>270</v>
      </c>
      <c r="DE16" t="s">
        <v>270</v>
      </c>
      <c r="DG16" t="s">
        <v>255</v>
      </c>
      <c r="DH16" t="s">
        <v>271</v>
      </c>
      <c r="DK16" t="s">
        <v>272</v>
      </c>
      <c r="DL16" t="s">
        <v>273</v>
      </c>
      <c r="DM16" t="s">
        <v>272</v>
      </c>
      <c r="DN16" t="s">
        <v>273</v>
      </c>
      <c r="DO16" t="s">
        <v>262</v>
      </c>
      <c r="DP16" t="s">
        <v>262</v>
      </c>
      <c r="DQ16" t="s">
        <v>258</v>
      </c>
      <c r="DR16" t="s">
        <v>274</v>
      </c>
      <c r="DS16" t="s">
        <v>258</v>
      </c>
      <c r="DU16" t="s">
        <v>268</v>
      </c>
      <c r="DV16" t="s">
        <v>275</v>
      </c>
      <c r="DW16" t="s">
        <v>268</v>
      </c>
      <c r="EB16" t="s">
        <v>276</v>
      </c>
      <c r="EC16" t="s">
        <v>276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T16" t="s">
        <v>276</v>
      </c>
      <c r="EU16" t="s">
        <v>262</v>
      </c>
      <c r="EV16" t="s">
        <v>262</v>
      </c>
      <c r="EW16" t="s">
        <v>272</v>
      </c>
      <c r="EX16" t="s">
        <v>273</v>
      </c>
      <c r="EZ16" t="s">
        <v>263</v>
      </c>
      <c r="FA16" t="s">
        <v>263</v>
      </c>
      <c r="FB16" t="s">
        <v>260</v>
      </c>
      <c r="FC16" t="s">
        <v>260</v>
      </c>
      <c r="FD16" t="s">
        <v>260</v>
      </c>
      <c r="FE16" t="s">
        <v>260</v>
      </c>
      <c r="FF16" t="s">
        <v>260</v>
      </c>
      <c r="FG16" t="s">
        <v>262</v>
      </c>
      <c r="FH16" t="s">
        <v>262</v>
      </c>
      <c r="FI16" t="s">
        <v>262</v>
      </c>
      <c r="FJ16" t="s">
        <v>260</v>
      </c>
      <c r="FK16" t="s">
        <v>258</v>
      </c>
      <c r="FL16" t="s">
        <v>268</v>
      </c>
      <c r="FM16" t="s">
        <v>262</v>
      </c>
      <c r="FN16" t="s">
        <v>262</v>
      </c>
    </row>
    <row r="17" spans="1:170" x14ac:dyDescent="0.25">
      <c r="A17">
        <v>1</v>
      </c>
      <c r="B17">
        <v>1598198101</v>
      </c>
      <c r="C17">
        <v>0</v>
      </c>
      <c r="D17" t="s">
        <v>277</v>
      </c>
      <c r="E17" t="s">
        <v>278</v>
      </c>
      <c r="G17">
        <v>1598198093.0483899</v>
      </c>
      <c r="H17">
        <f t="shared" ref="H17:H31" si="0">CC17*AI17*(CA17-CB17)/(100*$B$5*(1000-AI17*CA17))</f>
        <v>7.3695689625081946E-3</v>
      </c>
      <c r="I17">
        <f t="shared" ref="I17:I31" si="1">CC17*AI17*(BZ17-BY17*(1000-AI17*CB17)/(1000-AI17*CA17))/(100*$B$5)</f>
        <v>31.953421698872955</v>
      </c>
      <c r="J17">
        <f t="shared" ref="J17:J31" si="2">BY17 - IF(AI17&gt;1, I17*$B$5*100/(AK17*CI17), 0)</f>
        <v>386.069419354839</v>
      </c>
      <c r="K17">
        <f t="shared" ref="K17:K31" si="3">((Q17-H17/2)*J17-I17)/(Q17+H17/2)</f>
        <v>263.46932691213209</v>
      </c>
      <c r="L17">
        <f t="shared" ref="L17:L31" si="4">K17*(CD17+CE17)/1000</f>
        <v>26.191043210859899</v>
      </c>
      <c r="M17">
        <f t="shared" ref="M17:M31" si="5">(BY17 - IF(AI17&gt;1, I17*$B$5*100/(AK17*CI17), 0))*(CD17+CE17)/1000</f>
        <v>38.378512456163136</v>
      </c>
      <c r="N17">
        <f t="shared" ref="N17:N31" si="6">2/((1/P17-1/O17)+SIGN(P17)*SQRT((1/P17-1/O17)*(1/P17-1/O17) + 4*BV17/((BV17+1)*(BV17+1))*(2*1/P17*1/O17-1/O17*1/O17)))</f>
        <v>0.47827382891767695</v>
      </c>
      <c r="O17">
        <f t="shared" ref="O17:O31" si="7">AF17+AE17*$B$5+AD17*$B$5*$B$5</f>
        <v>3.3788025955099412</v>
      </c>
      <c r="P17">
        <f t="shared" ref="P17:P31" si="8">H17*(1000-(1000*0.61365*EXP(17.502*T17/(240.97+T17))/(CD17+CE17)+CA17)/2)/(1000*0.61365*EXP(17.502*T17/(240.97+T17))/(CD17+CE17)-CA17)</f>
        <v>0.44359608351112073</v>
      </c>
      <c r="Q17">
        <f t="shared" ref="Q17:Q31" si="9">1/((BV17+1)/(N17/1.6)+1/(O17/1.37)) + BV17/((BV17+1)/(N17/1.6) + BV17/(O17/1.37))</f>
        <v>0.28015339390662841</v>
      </c>
      <c r="R17">
        <f t="shared" ref="R17:R31" si="10">(BS17*BU17)</f>
        <v>321.43935885110085</v>
      </c>
      <c r="S17">
        <f t="shared" ref="S17:S31" si="11">(CF17+(R17+2*0.95*0.0000000567*(((CF17+$B$7)+273)^4-(CF17+273)^4)-44100*H17)/(1.84*29.3*O17+8*0.95*0.0000000567*(CF17+273)^3))</f>
        <v>27.273233691522751</v>
      </c>
      <c r="T17">
        <f t="shared" ref="T17:T31" si="12">($C$7*CG17+$D$7*CH17+$E$7*S17)</f>
        <v>27.114667741935499</v>
      </c>
      <c r="U17">
        <f t="shared" ref="U17:U31" si="13">0.61365*EXP(17.502*T17/(240.97+T17))</f>
        <v>3.6033353038915235</v>
      </c>
      <c r="V17">
        <f t="shared" ref="V17:V31" si="14">(W17/X17*100)</f>
        <v>54.886512538829244</v>
      </c>
      <c r="W17">
        <f t="shared" ref="W17:W31" si="15">CA17*(CD17+CE17)/1000</f>
        <v>1.9983721109628347</v>
      </c>
      <c r="X17">
        <f t="shared" ref="X17:X31" si="16">0.61365*EXP(17.502*CF17/(240.97+CF17))</f>
        <v>3.6409165358230666</v>
      </c>
      <c r="Y17">
        <f t="shared" ref="Y17:Y31" si="17">(U17-CA17*(CD17+CE17)/1000)</f>
        <v>1.6049631929286887</v>
      </c>
      <c r="Z17">
        <f t="shared" ref="Z17:Z31" si="18">(-H17*44100)</f>
        <v>-324.99799124661138</v>
      </c>
      <c r="AA17">
        <f t="shared" ref="AA17:AA31" si="19">2*29.3*O17*0.92*(CF17-T17)</f>
        <v>32.228452029857237</v>
      </c>
      <c r="AB17">
        <f t="shared" ref="AB17:AB31" si="20">2*0.95*0.0000000567*(((CF17+$B$7)+273)^4-(T17+273)^4)</f>
        <v>2.0626879122948392</v>
      </c>
      <c r="AC17">
        <f t="shared" ref="AC17:AC31" si="21">R17+AB17+Z17+AA17</f>
        <v>30.732507546641557</v>
      </c>
      <c r="AD17">
        <v>-4.1119610959580097E-2</v>
      </c>
      <c r="AE17">
        <v>4.6160365577895698E-2</v>
      </c>
      <c r="AF17">
        <v>3.45096030819247</v>
      </c>
      <c r="AG17">
        <v>146</v>
      </c>
      <c r="AH17">
        <v>29</v>
      </c>
      <c r="AI17">
        <f t="shared" ref="AI17:AI31" si="22">IF(AG17*$H$13&gt;=AK17,1,(AK17/(AK17-AG17*$H$13)))</f>
        <v>1</v>
      </c>
      <c r="AJ17">
        <f t="shared" ref="AJ17:AJ31" si="23">(AI17-1)*100</f>
        <v>0</v>
      </c>
      <c r="AK17">
        <f t="shared" ref="AK17:AK31" si="24">MAX(0,($B$13+$C$13*CI17)/(1+$D$13*CI17)*CD17/(CF17+273)*$E$13)</f>
        <v>52384.11389011822</v>
      </c>
      <c r="AL17">
        <v>0</v>
      </c>
      <c r="AM17">
        <v>0</v>
      </c>
      <c r="AN17">
        <v>0</v>
      </c>
      <c r="AO17">
        <f t="shared" ref="AO17:AO31" si="25">AN17-AM17</f>
        <v>0</v>
      </c>
      <c r="AP17" t="e">
        <f t="shared" ref="AP17:AP31" si="26">AO17/AN17</f>
        <v>#DIV/0!</v>
      </c>
      <c r="AQ17">
        <v>-1</v>
      </c>
      <c r="AR17" t="s">
        <v>279</v>
      </c>
      <c r="AS17">
        <v>301.25180769230798</v>
      </c>
      <c r="AT17">
        <v>433.68</v>
      </c>
      <c r="AU17">
        <f t="shared" ref="AU17:AU31" si="27">1-AS17/AT17</f>
        <v>0.30535923332339976</v>
      </c>
      <c r="AV17">
        <v>0.5</v>
      </c>
      <c r="AW17">
        <f t="shared" ref="AW17:AW31" si="28">BS17</f>
        <v>1681.1945609671291</v>
      </c>
      <c r="AX17">
        <f t="shared" ref="AX17:AX31" si="29">I17</f>
        <v>31.953421698872955</v>
      </c>
      <c r="AY17">
        <f t="shared" ref="AY17:AY31" si="30">AU17*AV17*AW17</f>
        <v>256.68414110219607</v>
      </c>
      <c r="AZ17">
        <f t="shared" ref="AZ17:AZ31" si="31">BE17/AT17</f>
        <v>0.5544641210108836</v>
      </c>
      <c r="BA17">
        <f t="shared" ref="BA17:BA31" si="32">(AX17-AQ17)/AW17</f>
        <v>1.9601194569601792E-2</v>
      </c>
      <c r="BB17">
        <f t="shared" ref="BB17:BB31" si="33">(AN17-AT17)/AT17</f>
        <v>-1</v>
      </c>
      <c r="BC17" t="s">
        <v>280</v>
      </c>
      <c r="BD17">
        <v>193.22</v>
      </c>
      <c r="BE17">
        <f t="shared" ref="BE17:BE31" si="34">AT17-BD17</f>
        <v>240.46</v>
      </c>
      <c r="BF17">
        <f t="shared" ref="BF17:BF31" si="35">(AT17-AS17)/(AT17-BD17)</f>
        <v>0.55072857151997012</v>
      </c>
      <c r="BG17">
        <f t="shared" ref="BG17:BG31" si="36">(AN17-AT17)/(AN17-BD17)</f>
        <v>2.2444881482248213</v>
      </c>
      <c r="BH17">
        <f t="shared" ref="BH17:BH31" si="37">(AT17-AS17)/(AT17-AM17)</f>
        <v>0.30535923332339981</v>
      </c>
      <c r="BI17" t="e">
        <f t="shared" ref="BI17:BI31" si="38">(AN17-AT17)/(AN17-AM17)</f>
        <v>#DIV/0!</v>
      </c>
      <c r="BJ17">
        <v>6503</v>
      </c>
      <c r="BK17">
        <v>300</v>
      </c>
      <c r="BL17">
        <v>300</v>
      </c>
      <c r="BM17">
        <v>300</v>
      </c>
      <c r="BN17">
        <v>9862.9599999999991</v>
      </c>
      <c r="BO17">
        <v>397.77600000000001</v>
      </c>
      <c r="BP17">
        <v>-6.5598200000000001E-3</v>
      </c>
      <c r="BQ17">
        <v>1.87042</v>
      </c>
      <c r="BR17">
        <f t="shared" ref="BR17:BR31" si="39">$B$11*CJ17+$C$11*CK17+$F$11*CL17</f>
        <v>1999.9970967741899</v>
      </c>
      <c r="BS17">
        <f t="shared" ref="BS17:BS31" si="40">BR17*BT17</f>
        <v>1681.1945609671291</v>
      </c>
      <c r="BT17">
        <f t="shared" ref="BT17:BT31" si="41">($B$11*$D$9+$C$11*$D$9+$F$11*((CY17+CQ17)/MAX(CY17+CQ17+CZ17, 0.1)*$I$9+CZ17/MAX(CY17+CQ17+CZ17, 0.1)*$J$9))/($B$11+$C$11+$F$11)</f>
        <v>0.84059850070719611</v>
      </c>
      <c r="BU17">
        <f t="shared" ref="BU17:BU31" si="42">($B$11*$K$9+$C$11*$K$9+$F$11*((CY17+CQ17)/MAX(CY17+CQ17+CZ17, 0.1)*$P$9+CZ17/MAX(CY17+CQ17+CZ17, 0.1)*$Q$9))/($B$11+$C$11+$F$11)</f>
        <v>0.19119700141439233</v>
      </c>
      <c r="BV17">
        <v>0.5</v>
      </c>
      <c r="BW17" t="s">
        <v>281</v>
      </c>
      <c r="BX17">
        <v>1598198093.0483899</v>
      </c>
      <c r="BY17">
        <v>386.069419354839</v>
      </c>
      <c r="BZ17">
        <v>399.987032258064</v>
      </c>
      <c r="CA17">
        <v>20.102664516129</v>
      </c>
      <c r="CB17">
        <v>17.214474193548401</v>
      </c>
      <c r="CC17">
        <v>500.06545161290302</v>
      </c>
      <c r="CD17">
        <v>99.208312903225803</v>
      </c>
      <c r="CE17">
        <v>0.20000729032258099</v>
      </c>
      <c r="CF17">
        <v>27.291593548387102</v>
      </c>
      <c r="CG17">
        <v>27.114667741935499</v>
      </c>
      <c r="CH17">
        <v>999.9</v>
      </c>
      <c r="CI17">
        <v>9995.3258064516103</v>
      </c>
      <c r="CJ17">
        <v>0</v>
      </c>
      <c r="CK17">
        <v>144.35064516129</v>
      </c>
      <c r="CL17">
        <v>1999.9970967741899</v>
      </c>
      <c r="CM17">
        <v>0.98000174193548395</v>
      </c>
      <c r="CN17">
        <v>1.9997935483871E-2</v>
      </c>
      <c r="CO17">
        <v>0</v>
      </c>
      <c r="CP17">
        <v>301.257096774194</v>
      </c>
      <c r="CQ17">
        <v>5.00054</v>
      </c>
      <c r="CR17">
        <v>7759.0041935483896</v>
      </c>
      <c r="CS17">
        <v>18703.6161290323</v>
      </c>
      <c r="CT17">
        <v>49.262</v>
      </c>
      <c r="CU17">
        <v>50.155000000000001</v>
      </c>
      <c r="CV17">
        <v>49.5945161290323</v>
      </c>
      <c r="CW17">
        <v>49.2458064516129</v>
      </c>
      <c r="CX17">
        <v>50.658999999999999</v>
      </c>
      <c r="CY17">
        <v>1955.09709677419</v>
      </c>
      <c r="CZ17">
        <v>39.9</v>
      </c>
      <c r="DA17">
        <v>0</v>
      </c>
      <c r="DB17">
        <v>1587482743.3</v>
      </c>
      <c r="DC17">
        <v>301.25180769230798</v>
      </c>
      <c r="DD17">
        <v>-6.2960341820035897</v>
      </c>
      <c r="DE17">
        <v>-177.52205141049899</v>
      </c>
      <c r="DF17">
        <v>7758.1130769230804</v>
      </c>
      <c r="DG17">
        <v>15</v>
      </c>
      <c r="DH17">
        <v>1598198131.0999999</v>
      </c>
      <c r="DI17" t="s">
        <v>282</v>
      </c>
      <c r="DJ17">
        <v>1</v>
      </c>
      <c r="DK17">
        <v>-0.19400000000000001</v>
      </c>
      <c r="DL17">
        <v>0.122</v>
      </c>
      <c r="DM17">
        <v>400</v>
      </c>
      <c r="DN17">
        <v>17</v>
      </c>
      <c r="DO17">
        <v>0.12</v>
      </c>
      <c r="DP17">
        <v>0.04</v>
      </c>
      <c r="DQ17">
        <v>386.400890909091</v>
      </c>
      <c r="DR17">
        <v>0.57340192774068</v>
      </c>
      <c r="DS17">
        <v>7.7892623697281199E-2</v>
      </c>
      <c r="DT17">
        <v>0</v>
      </c>
      <c r="DU17">
        <v>20.112138181818199</v>
      </c>
      <c r="DV17">
        <v>-1.8391618581454602E-2</v>
      </c>
      <c r="DW17">
        <v>8.4943508695023602E-3</v>
      </c>
      <c r="DX17">
        <v>1</v>
      </c>
      <c r="DY17">
        <v>1</v>
      </c>
      <c r="DZ17">
        <v>2</v>
      </c>
      <c r="EA17" t="s">
        <v>283</v>
      </c>
      <c r="EB17">
        <v>1.86676</v>
      </c>
      <c r="EC17">
        <v>1.8632500000000001</v>
      </c>
      <c r="ED17">
        <v>1.8689199999999999</v>
      </c>
      <c r="EE17">
        <v>1.8668800000000001</v>
      </c>
      <c r="EF17">
        <v>1.8715299999999999</v>
      </c>
      <c r="EG17">
        <v>1.8640099999999999</v>
      </c>
      <c r="EH17">
        <v>1.8656299999999999</v>
      </c>
      <c r="EI17">
        <v>1.86554</v>
      </c>
      <c r="EJ17" t="s">
        <v>284</v>
      </c>
      <c r="EK17" t="s">
        <v>19</v>
      </c>
      <c r="EL17" t="s">
        <v>19</v>
      </c>
      <c r="EM17" t="s">
        <v>19</v>
      </c>
      <c r="EN17" t="s">
        <v>285</v>
      </c>
      <c r="EO17" t="s">
        <v>286</v>
      </c>
      <c r="EP17" t="s">
        <v>287</v>
      </c>
      <c r="EQ17" t="s">
        <v>287</v>
      </c>
      <c r="ER17" t="s">
        <v>287</v>
      </c>
      <c r="ES17" t="s">
        <v>287</v>
      </c>
      <c r="ET17">
        <v>0</v>
      </c>
      <c r="EU17">
        <v>0</v>
      </c>
      <c r="EV17">
        <v>0</v>
      </c>
      <c r="EW17">
        <v>-0.19400000000000001</v>
      </c>
      <c r="EX17">
        <v>0.122</v>
      </c>
      <c r="EY17">
        <v>2</v>
      </c>
      <c r="EZ17">
        <v>336.77699999999999</v>
      </c>
      <c r="FA17">
        <v>496.166</v>
      </c>
      <c r="FB17">
        <v>21.497</v>
      </c>
      <c r="FC17">
        <v>32.8904</v>
      </c>
      <c r="FD17">
        <v>30.000699999999998</v>
      </c>
      <c r="FE17">
        <v>32.782800000000002</v>
      </c>
      <c r="FF17">
        <v>32.765999999999998</v>
      </c>
      <c r="FG17">
        <v>22.119599999999998</v>
      </c>
      <c r="FH17">
        <v>41.6295</v>
      </c>
      <c r="FI17">
        <v>0</v>
      </c>
      <c r="FJ17">
        <v>21.4482</v>
      </c>
      <c r="FK17">
        <v>400</v>
      </c>
      <c r="FL17">
        <v>17.241299999999999</v>
      </c>
      <c r="FM17">
        <v>100.989</v>
      </c>
      <c r="FN17">
        <v>101.285</v>
      </c>
    </row>
    <row r="18" spans="1:170" x14ac:dyDescent="0.25">
      <c r="A18">
        <v>2</v>
      </c>
      <c r="B18">
        <v>1598198246.0999999</v>
      </c>
      <c r="C18">
        <v>145.09999990463299</v>
      </c>
      <c r="D18" t="s">
        <v>288</v>
      </c>
      <c r="E18" t="s">
        <v>289</v>
      </c>
      <c r="G18">
        <v>1598198238.0903201</v>
      </c>
      <c r="H18">
        <f t="shared" si="0"/>
        <v>6.7168824429322347E-3</v>
      </c>
      <c r="I18">
        <f t="shared" si="1"/>
        <v>22.307936878451606</v>
      </c>
      <c r="J18">
        <f t="shared" si="2"/>
        <v>290.30661290322598</v>
      </c>
      <c r="K18">
        <f t="shared" si="3"/>
        <v>195.40813586602349</v>
      </c>
      <c r="L18">
        <f t="shared" si="4"/>
        <v>19.425571058554446</v>
      </c>
      <c r="M18">
        <f t="shared" si="5"/>
        <v>28.859452103807815</v>
      </c>
      <c r="N18">
        <f t="shared" si="6"/>
        <v>0.42779845220600499</v>
      </c>
      <c r="O18">
        <f t="shared" si="7"/>
        <v>3.3811547241867381</v>
      </c>
      <c r="P18">
        <f t="shared" si="8"/>
        <v>0.39984262056925846</v>
      </c>
      <c r="Q18">
        <f t="shared" si="9"/>
        <v>0.25226096413757587</v>
      </c>
      <c r="R18">
        <f t="shared" si="10"/>
        <v>321.43884240824866</v>
      </c>
      <c r="S18">
        <f t="shared" si="11"/>
        <v>26.885656528852842</v>
      </c>
      <c r="T18">
        <f t="shared" si="12"/>
        <v>26.957616129032299</v>
      </c>
      <c r="U18">
        <f t="shared" si="13"/>
        <v>3.5702597303011467</v>
      </c>
      <c r="V18">
        <f t="shared" si="14"/>
        <v>55.17490674894524</v>
      </c>
      <c r="W18">
        <f t="shared" si="15"/>
        <v>1.9466238790590855</v>
      </c>
      <c r="X18">
        <f t="shared" si="16"/>
        <v>3.5280963643790813</v>
      </c>
      <c r="Y18">
        <f t="shared" si="17"/>
        <v>1.6236358512420612</v>
      </c>
      <c r="Z18">
        <f t="shared" si="18"/>
        <v>-296.21451573331154</v>
      </c>
      <c r="AA18">
        <f t="shared" si="19"/>
        <v>-36.83152858902141</v>
      </c>
      <c r="AB18">
        <f t="shared" si="20"/>
        <v>-2.3475061762956524</v>
      </c>
      <c r="AC18">
        <f t="shared" si="21"/>
        <v>-13.95470809037996</v>
      </c>
      <c r="AD18">
        <v>-4.11559764488603E-2</v>
      </c>
      <c r="AE18">
        <v>4.6201189025404599E-2</v>
      </c>
      <c r="AF18">
        <v>3.45337625193137</v>
      </c>
      <c r="AG18">
        <v>146</v>
      </c>
      <c r="AH18">
        <v>29</v>
      </c>
      <c r="AI18">
        <f t="shared" si="22"/>
        <v>1</v>
      </c>
      <c r="AJ18">
        <f t="shared" si="23"/>
        <v>0</v>
      </c>
      <c r="AK18">
        <f t="shared" si="24"/>
        <v>52522.344088897815</v>
      </c>
      <c r="AL18">
        <v>0</v>
      </c>
      <c r="AM18">
        <v>0</v>
      </c>
      <c r="AN18">
        <v>0</v>
      </c>
      <c r="AO18">
        <f t="shared" si="25"/>
        <v>0</v>
      </c>
      <c r="AP18" t="e">
        <f t="shared" si="26"/>
        <v>#DIV/0!</v>
      </c>
      <c r="AQ18">
        <v>-1</v>
      </c>
      <c r="AR18" t="s">
        <v>290</v>
      </c>
      <c r="AS18">
        <v>281.52142307692299</v>
      </c>
      <c r="AT18">
        <v>385.791</v>
      </c>
      <c r="AU18">
        <f t="shared" si="27"/>
        <v>0.27027477811321932</v>
      </c>
      <c r="AV18">
        <v>0.5</v>
      </c>
      <c r="AW18">
        <f t="shared" si="28"/>
        <v>1681.1942851475485</v>
      </c>
      <c r="AX18">
        <f t="shared" si="29"/>
        <v>22.307936878451606</v>
      </c>
      <c r="AY18">
        <f t="shared" si="30"/>
        <v>227.19220619173302</v>
      </c>
      <c r="AZ18">
        <f t="shared" si="31"/>
        <v>0.50957902076512929</v>
      </c>
      <c r="BA18">
        <f t="shared" si="32"/>
        <v>1.3863916314946316E-2</v>
      </c>
      <c r="BB18">
        <f t="shared" si="33"/>
        <v>-1</v>
      </c>
      <c r="BC18" t="s">
        <v>291</v>
      </c>
      <c r="BD18">
        <v>189.2</v>
      </c>
      <c r="BE18">
        <f t="shared" si="34"/>
        <v>196.59100000000001</v>
      </c>
      <c r="BF18">
        <f t="shared" si="35"/>
        <v>0.53038835411121066</v>
      </c>
      <c r="BG18">
        <f t="shared" si="36"/>
        <v>2.0390644820295982</v>
      </c>
      <c r="BH18">
        <f t="shared" si="37"/>
        <v>0.27027477811321937</v>
      </c>
      <c r="BI18" t="e">
        <f t="shared" si="38"/>
        <v>#DIV/0!</v>
      </c>
      <c r="BJ18">
        <v>6505</v>
      </c>
      <c r="BK18">
        <v>300</v>
      </c>
      <c r="BL18">
        <v>300</v>
      </c>
      <c r="BM18">
        <v>300</v>
      </c>
      <c r="BN18">
        <v>9862.5</v>
      </c>
      <c r="BO18">
        <v>358.774</v>
      </c>
      <c r="BP18">
        <v>-6.5592999999999997E-3</v>
      </c>
      <c r="BQ18">
        <v>1.65543</v>
      </c>
      <c r="BR18">
        <f t="shared" si="39"/>
        <v>1999.9970967741899</v>
      </c>
      <c r="BS18">
        <f t="shared" si="40"/>
        <v>1681.1942851475485</v>
      </c>
      <c r="BT18">
        <f t="shared" si="41"/>
        <v>0.84059836279720568</v>
      </c>
      <c r="BU18">
        <f t="shared" si="42"/>
        <v>0.19119672559441153</v>
      </c>
      <c r="BV18">
        <v>0.5</v>
      </c>
      <c r="BW18" t="s">
        <v>281</v>
      </c>
      <c r="BX18">
        <v>1598198238.0903201</v>
      </c>
      <c r="BY18">
        <v>290.30661290322598</v>
      </c>
      <c r="BZ18">
        <v>300.008451612903</v>
      </c>
      <c r="CA18">
        <v>19.581722580645199</v>
      </c>
      <c r="CB18">
        <v>16.947938709677398</v>
      </c>
      <c r="CC18">
        <v>500.067935483871</v>
      </c>
      <c r="CD18">
        <v>99.210261290322606</v>
      </c>
      <c r="CE18">
        <v>0.19998574193548399</v>
      </c>
      <c r="CF18">
        <v>26.7555612903226</v>
      </c>
      <c r="CG18">
        <v>26.957616129032299</v>
      </c>
      <c r="CH18">
        <v>999.9</v>
      </c>
      <c r="CI18">
        <v>10003.969032258099</v>
      </c>
      <c r="CJ18">
        <v>0</v>
      </c>
      <c r="CK18">
        <v>142.08883870967699</v>
      </c>
      <c r="CL18">
        <v>1999.9970967741899</v>
      </c>
      <c r="CM18">
        <v>0.98000238709677401</v>
      </c>
      <c r="CN18">
        <v>1.9997264516129001E-2</v>
      </c>
      <c r="CO18">
        <v>0</v>
      </c>
      <c r="CP18">
        <v>281.51574193548402</v>
      </c>
      <c r="CQ18">
        <v>5.00054</v>
      </c>
      <c r="CR18">
        <v>7359.55290322581</v>
      </c>
      <c r="CS18">
        <v>18703.629032258101</v>
      </c>
      <c r="CT18">
        <v>49.420999999999999</v>
      </c>
      <c r="CU18">
        <v>50.388903225806402</v>
      </c>
      <c r="CV18">
        <v>49.768000000000001</v>
      </c>
      <c r="CW18">
        <v>49.513935483871002</v>
      </c>
      <c r="CX18">
        <v>50.787999999999997</v>
      </c>
      <c r="CY18">
        <v>1955.09838709677</v>
      </c>
      <c r="CZ18">
        <v>39.890645161290301</v>
      </c>
      <c r="DA18">
        <v>0</v>
      </c>
      <c r="DB18">
        <v>144.09999990463299</v>
      </c>
      <c r="DC18">
        <v>281.52142307692299</v>
      </c>
      <c r="DD18">
        <v>-3.6424957189054799</v>
      </c>
      <c r="DE18">
        <v>-56.244785992207397</v>
      </c>
      <c r="DF18">
        <v>7359.4438461538502</v>
      </c>
      <c r="DG18">
        <v>15</v>
      </c>
      <c r="DH18">
        <v>1598198270.5999999</v>
      </c>
      <c r="DI18" t="s">
        <v>292</v>
      </c>
      <c r="DJ18">
        <v>2</v>
      </c>
      <c r="DK18">
        <v>-0.314</v>
      </c>
      <c r="DL18">
        <v>0.11700000000000001</v>
      </c>
      <c r="DM18">
        <v>300</v>
      </c>
      <c r="DN18">
        <v>17</v>
      </c>
      <c r="DO18">
        <v>0.16</v>
      </c>
      <c r="DP18">
        <v>0.03</v>
      </c>
      <c r="DQ18">
        <v>290.409381818182</v>
      </c>
      <c r="DR18">
        <v>0.17535865129132999</v>
      </c>
      <c r="DS18">
        <v>2.5578038100249698E-2</v>
      </c>
      <c r="DT18">
        <v>1</v>
      </c>
      <c r="DU18">
        <v>19.6072054545455</v>
      </c>
      <c r="DV18">
        <v>-0.192799614073834</v>
      </c>
      <c r="DW18">
        <v>2.6650624541082399E-2</v>
      </c>
      <c r="DX18">
        <v>1</v>
      </c>
      <c r="DY18">
        <v>2</v>
      </c>
      <c r="DZ18">
        <v>2</v>
      </c>
      <c r="EA18" t="s">
        <v>293</v>
      </c>
      <c r="EB18">
        <v>1.8667800000000001</v>
      </c>
      <c r="EC18">
        <v>1.86327</v>
      </c>
      <c r="ED18">
        <v>1.86896</v>
      </c>
      <c r="EE18">
        <v>1.8669100000000001</v>
      </c>
      <c r="EF18">
        <v>1.87158</v>
      </c>
      <c r="EG18">
        <v>1.8640099999999999</v>
      </c>
      <c r="EH18">
        <v>1.86568</v>
      </c>
      <c r="EI18">
        <v>1.8655600000000001</v>
      </c>
      <c r="EJ18" t="s">
        <v>284</v>
      </c>
      <c r="EK18" t="s">
        <v>19</v>
      </c>
      <c r="EL18" t="s">
        <v>19</v>
      </c>
      <c r="EM18" t="s">
        <v>19</v>
      </c>
      <c r="EN18" t="s">
        <v>285</v>
      </c>
      <c r="EO18" t="s">
        <v>286</v>
      </c>
      <c r="EP18" t="s">
        <v>287</v>
      </c>
      <c r="EQ18" t="s">
        <v>287</v>
      </c>
      <c r="ER18" t="s">
        <v>287</v>
      </c>
      <c r="ES18" t="s">
        <v>287</v>
      </c>
      <c r="ET18">
        <v>0</v>
      </c>
      <c r="EU18">
        <v>100</v>
      </c>
      <c r="EV18">
        <v>100</v>
      </c>
      <c r="EW18">
        <v>-0.314</v>
      </c>
      <c r="EX18">
        <v>0.11700000000000001</v>
      </c>
      <c r="EY18">
        <v>2</v>
      </c>
      <c r="EZ18">
        <v>336.35399999999998</v>
      </c>
      <c r="FA18">
        <v>494.93</v>
      </c>
      <c r="FB18">
        <v>21.7361</v>
      </c>
      <c r="FC18">
        <v>32.947499999999998</v>
      </c>
      <c r="FD18">
        <v>30.0001</v>
      </c>
      <c r="FE18">
        <v>32.877600000000001</v>
      </c>
      <c r="FF18">
        <v>32.867199999999997</v>
      </c>
      <c r="FG18">
        <v>17.637499999999999</v>
      </c>
      <c r="FH18">
        <v>43.476700000000001</v>
      </c>
      <c r="FI18">
        <v>0</v>
      </c>
      <c r="FJ18">
        <v>21.766100000000002</v>
      </c>
      <c r="FK18">
        <v>300</v>
      </c>
      <c r="FL18">
        <v>16.901700000000002</v>
      </c>
      <c r="FM18">
        <v>100.974</v>
      </c>
      <c r="FN18">
        <v>101.277</v>
      </c>
    </row>
    <row r="19" spans="1:170" x14ac:dyDescent="0.25">
      <c r="A19">
        <v>3</v>
      </c>
      <c r="B19">
        <v>1598198362.0999999</v>
      </c>
      <c r="C19">
        <v>261.09999990463302</v>
      </c>
      <c r="D19" t="s">
        <v>294</v>
      </c>
      <c r="E19" t="s">
        <v>295</v>
      </c>
      <c r="G19">
        <v>1598198354.0999999</v>
      </c>
      <c r="H19">
        <f t="shared" si="0"/>
        <v>6.2562917954513929E-3</v>
      </c>
      <c r="I19">
        <f t="shared" si="1"/>
        <v>13.6085726033062</v>
      </c>
      <c r="J19">
        <f t="shared" si="2"/>
        <v>194.05248387096799</v>
      </c>
      <c r="K19">
        <f t="shared" si="3"/>
        <v>131.04324845521415</v>
      </c>
      <c r="L19">
        <f t="shared" si="4"/>
        <v>13.02718388699418</v>
      </c>
      <c r="M19">
        <f t="shared" si="5"/>
        <v>19.291015912040955</v>
      </c>
      <c r="N19">
        <f t="shared" si="6"/>
        <v>0.39177908347330798</v>
      </c>
      <c r="O19">
        <f t="shared" si="7"/>
        <v>3.3798929094815646</v>
      </c>
      <c r="P19">
        <f t="shared" si="8"/>
        <v>0.3681852151204334</v>
      </c>
      <c r="Q19">
        <f t="shared" si="9"/>
        <v>0.2321170759849237</v>
      </c>
      <c r="R19">
        <f t="shared" si="10"/>
        <v>321.44518830247301</v>
      </c>
      <c r="S19">
        <f t="shared" si="11"/>
        <v>26.969276634755158</v>
      </c>
      <c r="T19">
        <f t="shared" si="12"/>
        <v>27.0086612903226</v>
      </c>
      <c r="U19">
        <f t="shared" si="13"/>
        <v>3.5809808121040301</v>
      </c>
      <c r="V19">
        <f t="shared" si="14"/>
        <v>55.017818040371694</v>
      </c>
      <c r="W19">
        <f t="shared" si="15"/>
        <v>1.9386550202154955</v>
      </c>
      <c r="X19">
        <f t="shared" si="16"/>
        <v>3.52368576084374</v>
      </c>
      <c r="Y19">
        <f t="shared" si="17"/>
        <v>1.6423257918885346</v>
      </c>
      <c r="Z19">
        <f t="shared" si="18"/>
        <v>-275.90246817940641</v>
      </c>
      <c r="AA19">
        <f t="shared" si="19"/>
        <v>-49.992644876370306</v>
      </c>
      <c r="AB19">
        <f t="shared" si="20"/>
        <v>-3.1880121772092931</v>
      </c>
      <c r="AC19">
        <f t="shared" si="21"/>
        <v>-7.6379369305130211</v>
      </c>
      <c r="AD19">
        <v>-4.11364665363982E-2</v>
      </c>
      <c r="AE19">
        <v>4.6179287439503697E-2</v>
      </c>
      <c r="AF19">
        <v>3.4520802007481501</v>
      </c>
      <c r="AG19">
        <v>145</v>
      </c>
      <c r="AH19">
        <v>29</v>
      </c>
      <c r="AI19">
        <f t="shared" si="22"/>
        <v>1</v>
      </c>
      <c r="AJ19">
        <f t="shared" si="23"/>
        <v>0</v>
      </c>
      <c r="AK19">
        <f t="shared" si="24"/>
        <v>52502.211412706587</v>
      </c>
      <c r="AL19">
        <v>0</v>
      </c>
      <c r="AM19">
        <v>0</v>
      </c>
      <c r="AN19">
        <v>0</v>
      </c>
      <c r="AO19">
        <f t="shared" si="25"/>
        <v>0</v>
      </c>
      <c r="AP19" t="e">
        <f t="shared" si="26"/>
        <v>#DIV/0!</v>
      </c>
      <c r="AQ19">
        <v>-1</v>
      </c>
      <c r="AR19" t="s">
        <v>296</v>
      </c>
      <c r="AS19">
        <v>276.38457692307702</v>
      </c>
      <c r="AT19">
        <v>363.17899999999997</v>
      </c>
      <c r="AU19">
        <f t="shared" si="27"/>
        <v>0.23898524715614877</v>
      </c>
      <c r="AV19">
        <v>0.5</v>
      </c>
      <c r="AW19">
        <f t="shared" si="28"/>
        <v>1681.2273778683214</v>
      </c>
      <c r="AX19">
        <f t="shared" si="29"/>
        <v>13.6085726033062</v>
      </c>
      <c r="AY19">
        <f t="shared" si="30"/>
        <v>200.89427021277234</v>
      </c>
      <c r="AZ19">
        <f t="shared" si="31"/>
        <v>0.46527745271615373</v>
      </c>
      <c r="BA19">
        <f t="shared" si="32"/>
        <v>8.6892307344107415E-3</v>
      </c>
      <c r="BB19">
        <f t="shared" si="33"/>
        <v>-1</v>
      </c>
      <c r="BC19" t="s">
        <v>297</v>
      </c>
      <c r="BD19">
        <v>194.2</v>
      </c>
      <c r="BE19">
        <f t="shared" si="34"/>
        <v>168.97899999999998</v>
      </c>
      <c r="BF19">
        <f t="shared" si="35"/>
        <v>0.51364029303595693</v>
      </c>
      <c r="BG19">
        <f t="shared" si="36"/>
        <v>1.8701287332646757</v>
      </c>
      <c r="BH19">
        <f t="shared" si="37"/>
        <v>0.23898524715614877</v>
      </c>
      <c r="BI19" t="e">
        <f t="shared" si="38"/>
        <v>#DIV/0!</v>
      </c>
      <c r="BJ19">
        <v>6507</v>
      </c>
      <c r="BK19">
        <v>300</v>
      </c>
      <c r="BL19">
        <v>300</v>
      </c>
      <c r="BM19">
        <v>300</v>
      </c>
      <c r="BN19">
        <v>9862.2199999999993</v>
      </c>
      <c r="BO19">
        <v>339.70600000000002</v>
      </c>
      <c r="BP19">
        <v>-6.55896E-3</v>
      </c>
      <c r="BQ19">
        <v>1.5430900000000001</v>
      </c>
      <c r="BR19">
        <f t="shared" si="39"/>
        <v>2000.0364516129</v>
      </c>
      <c r="BS19">
        <f t="shared" si="40"/>
        <v>1681.2273778683214</v>
      </c>
      <c r="BT19">
        <f t="shared" si="41"/>
        <v>0.84059836835099688</v>
      </c>
      <c r="BU19">
        <f t="shared" si="42"/>
        <v>0.19119673670199389</v>
      </c>
      <c r="BV19">
        <v>0.5</v>
      </c>
      <c r="BW19" t="s">
        <v>281</v>
      </c>
      <c r="BX19">
        <v>1598198354.0999999</v>
      </c>
      <c r="BY19">
        <v>194.05248387096799</v>
      </c>
      <c r="BZ19">
        <v>199.98074193548399</v>
      </c>
      <c r="CA19">
        <v>19.501348387096801</v>
      </c>
      <c r="CB19">
        <v>17.047961290322601</v>
      </c>
      <c r="CC19">
        <v>500.06667741935502</v>
      </c>
      <c r="CD19">
        <v>99.211358064516105</v>
      </c>
      <c r="CE19">
        <v>0.19997400000000001</v>
      </c>
      <c r="CF19">
        <v>26.7343032258064</v>
      </c>
      <c r="CG19">
        <v>27.0086612903226</v>
      </c>
      <c r="CH19">
        <v>999.9</v>
      </c>
      <c r="CI19">
        <v>9999.1161290322598</v>
      </c>
      <c r="CJ19">
        <v>0</v>
      </c>
      <c r="CK19">
        <v>140.422870967742</v>
      </c>
      <c r="CL19">
        <v>2000.0364516129</v>
      </c>
      <c r="CM19">
        <v>0.98000277419354798</v>
      </c>
      <c r="CN19">
        <v>1.9996929032258099E-2</v>
      </c>
      <c r="CO19">
        <v>0</v>
      </c>
      <c r="CP19">
        <v>276.43</v>
      </c>
      <c r="CQ19">
        <v>5.00054</v>
      </c>
      <c r="CR19">
        <v>7271.0809677419402</v>
      </c>
      <c r="CS19">
        <v>18703.987096774199</v>
      </c>
      <c r="CT19">
        <v>49.524000000000001</v>
      </c>
      <c r="CU19">
        <v>50.531999999999996</v>
      </c>
      <c r="CV19">
        <v>49.895000000000003</v>
      </c>
      <c r="CW19">
        <v>49.668999999999997</v>
      </c>
      <c r="CX19">
        <v>50.874935483870999</v>
      </c>
      <c r="CY19">
        <v>1955.1432258064499</v>
      </c>
      <c r="CZ19">
        <v>39.891935483871002</v>
      </c>
      <c r="DA19">
        <v>0</v>
      </c>
      <c r="DB19">
        <v>115.5</v>
      </c>
      <c r="DC19">
        <v>276.38457692307702</v>
      </c>
      <c r="DD19">
        <v>-2.4054358968102099</v>
      </c>
      <c r="DE19">
        <v>-59.8957264812042</v>
      </c>
      <c r="DF19">
        <v>7270.4465384615396</v>
      </c>
      <c r="DG19">
        <v>15</v>
      </c>
      <c r="DH19">
        <v>1598198388.0999999</v>
      </c>
      <c r="DI19" t="s">
        <v>298</v>
      </c>
      <c r="DJ19">
        <v>3</v>
      </c>
      <c r="DK19">
        <v>-0.32300000000000001</v>
      </c>
      <c r="DL19">
        <v>0.11799999999999999</v>
      </c>
      <c r="DM19">
        <v>200</v>
      </c>
      <c r="DN19">
        <v>17</v>
      </c>
      <c r="DO19">
        <v>0.23</v>
      </c>
      <c r="DP19">
        <v>0.04</v>
      </c>
      <c r="DQ19">
        <v>194.076290909091</v>
      </c>
      <c r="DR19">
        <v>-0.134978354978364</v>
      </c>
      <c r="DS19">
        <v>2.5290079066180301E-2</v>
      </c>
      <c r="DT19">
        <v>1</v>
      </c>
      <c r="DU19">
        <v>19.498889090909099</v>
      </c>
      <c r="DV19">
        <v>1.77878787878781E-2</v>
      </c>
      <c r="DW19">
        <v>2.9560214495020702E-3</v>
      </c>
      <c r="DX19">
        <v>1</v>
      </c>
      <c r="DY19">
        <v>2</v>
      </c>
      <c r="DZ19">
        <v>2</v>
      </c>
      <c r="EA19" t="s">
        <v>293</v>
      </c>
      <c r="EB19">
        <v>1.8668100000000001</v>
      </c>
      <c r="EC19">
        <v>1.86334</v>
      </c>
      <c r="ED19">
        <v>1.8689899999999999</v>
      </c>
      <c r="EE19">
        <v>1.8669100000000001</v>
      </c>
      <c r="EF19">
        <v>1.87161</v>
      </c>
      <c r="EG19">
        <v>1.86402</v>
      </c>
      <c r="EH19">
        <v>1.8656699999999999</v>
      </c>
      <c r="EI19">
        <v>1.8655900000000001</v>
      </c>
      <c r="EJ19" t="s">
        <v>284</v>
      </c>
      <c r="EK19" t="s">
        <v>19</v>
      </c>
      <c r="EL19" t="s">
        <v>19</v>
      </c>
      <c r="EM19" t="s">
        <v>19</v>
      </c>
      <c r="EN19" t="s">
        <v>285</v>
      </c>
      <c r="EO19" t="s">
        <v>286</v>
      </c>
      <c r="EP19" t="s">
        <v>287</v>
      </c>
      <c r="EQ19" t="s">
        <v>287</v>
      </c>
      <c r="ER19" t="s">
        <v>287</v>
      </c>
      <c r="ES19" t="s">
        <v>287</v>
      </c>
      <c r="ET19">
        <v>0</v>
      </c>
      <c r="EU19">
        <v>100</v>
      </c>
      <c r="EV19">
        <v>100</v>
      </c>
      <c r="EW19">
        <v>-0.32300000000000001</v>
      </c>
      <c r="EX19">
        <v>0.11799999999999999</v>
      </c>
      <c r="EY19">
        <v>2</v>
      </c>
      <c r="EZ19">
        <v>337.05099999999999</v>
      </c>
      <c r="FA19">
        <v>494.41399999999999</v>
      </c>
      <c r="FB19">
        <v>21.465299999999999</v>
      </c>
      <c r="FC19">
        <v>32.9724</v>
      </c>
      <c r="FD19">
        <v>29.998799999999999</v>
      </c>
      <c r="FE19">
        <v>32.9375</v>
      </c>
      <c r="FF19">
        <v>32.931699999999999</v>
      </c>
      <c r="FG19">
        <v>12.9871</v>
      </c>
      <c r="FH19">
        <v>43.659700000000001</v>
      </c>
      <c r="FI19">
        <v>0</v>
      </c>
      <c r="FJ19">
        <v>21.787500000000001</v>
      </c>
      <c r="FK19">
        <v>200</v>
      </c>
      <c r="FL19">
        <v>16.981100000000001</v>
      </c>
      <c r="FM19">
        <v>100.962</v>
      </c>
      <c r="FN19">
        <v>101.268</v>
      </c>
    </row>
    <row r="20" spans="1:170" x14ac:dyDescent="0.25">
      <c r="A20">
        <v>4</v>
      </c>
      <c r="B20">
        <v>1598198479.5999999</v>
      </c>
      <c r="C20">
        <v>378.59999990463302</v>
      </c>
      <c r="D20" t="s">
        <v>299</v>
      </c>
      <c r="E20" t="s">
        <v>300</v>
      </c>
      <c r="G20">
        <v>1598198471.5999999</v>
      </c>
      <c r="H20">
        <f t="shared" si="0"/>
        <v>6.1524941010882486E-3</v>
      </c>
      <c r="I20">
        <f t="shared" si="1"/>
        <v>4.7832704297919744</v>
      </c>
      <c r="J20">
        <f t="shared" si="2"/>
        <v>97.837622580645103</v>
      </c>
      <c r="K20">
        <f t="shared" si="3"/>
        <v>74.625616964634318</v>
      </c>
      <c r="L20">
        <f t="shared" si="4"/>
        <v>7.4186077665597514</v>
      </c>
      <c r="M20">
        <f t="shared" si="5"/>
        <v>9.7261366305686536</v>
      </c>
      <c r="N20">
        <f t="shared" si="6"/>
        <v>0.38610508608081756</v>
      </c>
      <c r="O20">
        <f t="shared" si="7"/>
        <v>3.3792534886692533</v>
      </c>
      <c r="P20">
        <f t="shared" si="8"/>
        <v>0.36316414112883971</v>
      </c>
      <c r="Q20">
        <f t="shared" si="9"/>
        <v>0.22892506790129141</v>
      </c>
      <c r="R20">
        <f t="shared" si="10"/>
        <v>321.44005373659002</v>
      </c>
      <c r="S20">
        <f t="shared" si="11"/>
        <v>26.972203517777277</v>
      </c>
      <c r="T20">
        <f t="shared" si="12"/>
        <v>27.007203225806499</v>
      </c>
      <c r="U20">
        <f t="shared" si="13"/>
        <v>3.5806741834516771</v>
      </c>
      <c r="V20">
        <f t="shared" si="14"/>
        <v>55.217151299346291</v>
      </c>
      <c r="W20">
        <f t="shared" si="15"/>
        <v>1.9433085012608953</v>
      </c>
      <c r="X20">
        <f t="shared" si="16"/>
        <v>3.5193928979163074</v>
      </c>
      <c r="Y20">
        <f t="shared" si="17"/>
        <v>1.6373656821907818</v>
      </c>
      <c r="Z20">
        <f t="shared" si="18"/>
        <v>-271.32498985799174</v>
      </c>
      <c r="AA20">
        <f t="shared" si="19"/>
        <v>-53.491078153775149</v>
      </c>
      <c r="AB20">
        <f t="shared" si="20"/>
        <v>-3.411373147092418</v>
      </c>
      <c r="AC20">
        <f t="shared" si="21"/>
        <v>-6.7873874222693047</v>
      </c>
      <c r="AD20">
        <v>-4.1126581192462999E-2</v>
      </c>
      <c r="AE20">
        <v>4.6168190274932699E-2</v>
      </c>
      <c r="AF20">
        <v>3.4514234328892401</v>
      </c>
      <c r="AG20">
        <v>146</v>
      </c>
      <c r="AH20">
        <v>29</v>
      </c>
      <c r="AI20">
        <f t="shared" si="22"/>
        <v>1</v>
      </c>
      <c r="AJ20">
        <f t="shared" si="23"/>
        <v>0</v>
      </c>
      <c r="AK20">
        <f t="shared" si="24"/>
        <v>52493.729741809999</v>
      </c>
      <c r="AL20">
        <v>0</v>
      </c>
      <c r="AM20">
        <v>0</v>
      </c>
      <c r="AN20">
        <v>0</v>
      </c>
      <c r="AO20">
        <f t="shared" si="25"/>
        <v>0</v>
      </c>
      <c r="AP20" t="e">
        <f t="shared" si="26"/>
        <v>#DIV/0!</v>
      </c>
      <c r="AQ20">
        <v>-1</v>
      </c>
      <c r="AR20" t="s">
        <v>301</v>
      </c>
      <c r="AS20">
        <v>276.17450000000002</v>
      </c>
      <c r="AT20">
        <v>345.78500000000003</v>
      </c>
      <c r="AU20">
        <f t="shared" si="27"/>
        <v>0.20131150859638214</v>
      </c>
      <c r="AV20">
        <v>0.5</v>
      </c>
      <c r="AW20">
        <f t="shared" si="28"/>
        <v>1681.2005319349439</v>
      </c>
      <c r="AX20">
        <f t="shared" si="29"/>
        <v>4.7832704297919744</v>
      </c>
      <c r="AY20">
        <f t="shared" si="30"/>
        <v>169.22250766843183</v>
      </c>
      <c r="AZ20">
        <f t="shared" si="31"/>
        <v>0.42779472793788048</v>
      </c>
      <c r="BA20">
        <f t="shared" si="32"/>
        <v>3.4399646680671912E-3</v>
      </c>
      <c r="BB20">
        <f t="shared" si="33"/>
        <v>-1</v>
      </c>
      <c r="BC20" t="s">
        <v>302</v>
      </c>
      <c r="BD20">
        <v>197.86</v>
      </c>
      <c r="BE20">
        <f t="shared" si="34"/>
        <v>147.92500000000001</v>
      </c>
      <c r="BF20">
        <f t="shared" si="35"/>
        <v>0.47057968565151259</v>
      </c>
      <c r="BG20">
        <f t="shared" si="36"/>
        <v>1.747624583038512</v>
      </c>
      <c r="BH20">
        <f t="shared" si="37"/>
        <v>0.20131150859638214</v>
      </c>
      <c r="BI20" t="e">
        <f t="shared" si="38"/>
        <v>#DIV/0!</v>
      </c>
      <c r="BJ20">
        <v>6509</v>
      </c>
      <c r="BK20">
        <v>300</v>
      </c>
      <c r="BL20">
        <v>300</v>
      </c>
      <c r="BM20">
        <v>300</v>
      </c>
      <c r="BN20">
        <v>9861.89</v>
      </c>
      <c r="BO20">
        <v>327.71600000000001</v>
      </c>
      <c r="BP20">
        <v>-6.5586400000000001E-3</v>
      </c>
      <c r="BQ20">
        <v>1.59076</v>
      </c>
      <c r="BR20">
        <f t="shared" si="39"/>
        <v>2000.00451612903</v>
      </c>
      <c r="BS20">
        <f t="shared" si="40"/>
        <v>1681.2005319349439</v>
      </c>
      <c r="BT20">
        <f t="shared" si="41"/>
        <v>0.84059836784212616</v>
      </c>
      <c r="BU20">
        <f t="shared" si="42"/>
        <v>0.19119673568425241</v>
      </c>
      <c r="BV20">
        <v>0.5</v>
      </c>
      <c r="BW20" t="s">
        <v>281</v>
      </c>
      <c r="BX20">
        <v>1598198471.5999999</v>
      </c>
      <c r="BY20">
        <v>97.837622580645103</v>
      </c>
      <c r="BZ20">
        <v>99.991387096774204</v>
      </c>
      <c r="CA20">
        <v>19.548222580645199</v>
      </c>
      <c r="CB20">
        <v>17.135693548387099</v>
      </c>
      <c r="CC20">
        <v>500.07470967741898</v>
      </c>
      <c r="CD20">
        <v>99.211006451612903</v>
      </c>
      <c r="CE20">
        <v>0.20000103225806501</v>
      </c>
      <c r="CF20">
        <v>26.7135903225806</v>
      </c>
      <c r="CG20">
        <v>27.007203225806499</v>
      </c>
      <c r="CH20">
        <v>999.9</v>
      </c>
      <c r="CI20">
        <v>9996.7487096774203</v>
      </c>
      <c r="CJ20">
        <v>0</v>
      </c>
      <c r="CK20">
        <v>141.917580645161</v>
      </c>
      <c r="CL20">
        <v>2000.00451612903</v>
      </c>
      <c r="CM20">
        <v>0.98000306451612895</v>
      </c>
      <c r="CN20">
        <v>1.9996677419354798E-2</v>
      </c>
      <c r="CO20">
        <v>0</v>
      </c>
      <c r="CP20">
        <v>276.18138709677402</v>
      </c>
      <c r="CQ20">
        <v>5.00054</v>
      </c>
      <c r="CR20">
        <v>7276.21903225806</v>
      </c>
      <c r="CS20">
        <v>18703.7</v>
      </c>
      <c r="CT20">
        <v>49.6148387096774</v>
      </c>
      <c r="CU20">
        <v>50.667064516129003</v>
      </c>
      <c r="CV20">
        <v>50.012</v>
      </c>
      <c r="CW20">
        <v>49.762</v>
      </c>
      <c r="CX20">
        <v>50.969419354838699</v>
      </c>
      <c r="CY20">
        <v>1955.1132258064499</v>
      </c>
      <c r="CZ20">
        <v>39.891290322580701</v>
      </c>
      <c r="DA20">
        <v>0</v>
      </c>
      <c r="DB20">
        <v>116.60000014305101</v>
      </c>
      <c r="DC20">
        <v>276.17450000000002</v>
      </c>
      <c r="DD20">
        <v>-1.1755555565411999</v>
      </c>
      <c r="DE20">
        <v>-49.339487218304697</v>
      </c>
      <c r="DF20">
        <v>7276.2084615384601</v>
      </c>
      <c r="DG20">
        <v>15</v>
      </c>
      <c r="DH20">
        <v>1598198504.5999999</v>
      </c>
      <c r="DI20" t="s">
        <v>303</v>
      </c>
      <c r="DJ20">
        <v>4</v>
      </c>
      <c r="DK20">
        <v>-0.24199999999999999</v>
      </c>
      <c r="DL20">
        <v>0.121</v>
      </c>
      <c r="DM20">
        <v>100</v>
      </c>
      <c r="DN20">
        <v>17</v>
      </c>
      <c r="DO20">
        <v>0.19</v>
      </c>
      <c r="DP20">
        <v>0.04</v>
      </c>
      <c r="DQ20">
        <v>97.763605454545498</v>
      </c>
      <c r="DR20">
        <v>-5.1300432900459103E-2</v>
      </c>
      <c r="DS20">
        <v>9.76275702828781E-3</v>
      </c>
      <c r="DT20">
        <v>1</v>
      </c>
      <c r="DU20">
        <v>19.54026</v>
      </c>
      <c r="DV20">
        <v>4.9938528138530697E-2</v>
      </c>
      <c r="DW20">
        <v>6.6686948430027503E-3</v>
      </c>
      <c r="DX20">
        <v>1</v>
      </c>
      <c r="DY20">
        <v>2</v>
      </c>
      <c r="DZ20">
        <v>2</v>
      </c>
      <c r="EA20" t="s">
        <v>293</v>
      </c>
      <c r="EB20">
        <v>1.86676</v>
      </c>
      <c r="EC20">
        <v>1.86327</v>
      </c>
      <c r="ED20">
        <v>1.8689499999999999</v>
      </c>
      <c r="EE20">
        <v>1.8668899999999999</v>
      </c>
      <c r="EF20">
        <v>1.87151</v>
      </c>
      <c r="EG20">
        <v>1.8640099999999999</v>
      </c>
      <c r="EH20">
        <v>1.86564</v>
      </c>
      <c r="EI20">
        <v>1.86554</v>
      </c>
      <c r="EJ20" t="s">
        <v>284</v>
      </c>
      <c r="EK20" t="s">
        <v>19</v>
      </c>
      <c r="EL20" t="s">
        <v>19</v>
      </c>
      <c r="EM20" t="s">
        <v>19</v>
      </c>
      <c r="EN20" t="s">
        <v>285</v>
      </c>
      <c r="EO20" t="s">
        <v>286</v>
      </c>
      <c r="EP20" t="s">
        <v>287</v>
      </c>
      <c r="EQ20" t="s">
        <v>287</v>
      </c>
      <c r="ER20" t="s">
        <v>287</v>
      </c>
      <c r="ES20" t="s">
        <v>287</v>
      </c>
      <c r="ET20">
        <v>0</v>
      </c>
      <c r="EU20">
        <v>100</v>
      </c>
      <c r="EV20">
        <v>100</v>
      </c>
      <c r="EW20">
        <v>-0.24199999999999999</v>
      </c>
      <c r="EX20">
        <v>0.121</v>
      </c>
      <c r="EY20">
        <v>2</v>
      </c>
      <c r="EZ20">
        <v>336.75299999999999</v>
      </c>
      <c r="FA20">
        <v>493.87900000000002</v>
      </c>
      <c r="FB20">
        <v>21.466000000000001</v>
      </c>
      <c r="FC20">
        <v>32.994799999999998</v>
      </c>
      <c r="FD20">
        <v>30.0001</v>
      </c>
      <c r="FE20">
        <v>32.984900000000003</v>
      </c>
      <c r="FF20">
        <v>32.984499999999997</v>
      </c>
      <c r="FG20">
        <v>8.1478400000000004</v>
      </c>
      <c r="FH20">
        <v>43.2849</v>
      </c>
      <c r="FI20">
        <v>0</v>
      </c>
      <c r="FJ20">
        <v>21.470199999999998</v>
      </c>
      <c r="FK20">
        <v>100</v>
      </c>
      <c r="FL20">
        <v>17.054099999999998</v>
      </c>
      <c r="FM20">
        <v>100.955</v>
      </c>
      <c r="FN20">
        <v>101.26600000000001</v>
      </c>
    </row>
    <row r="21" spans="1:170" x14ac:dyDescent="0.25">
      <c r="A21">
        <v>5</v>
      </c>
      <c r="B21">
        <v>1598198596.0999999</v>
      </c>
      <c r="C21">
        <v>495.09999990463302</v>
      </c>
      <c r="D21" t="s">
        <v>304</v>
      </c>
      <c r="E21" t="s">
        <v>305</v>
      </c>
      <c r="G21">
        <v>1598198588.0999999</v>
      </c>
      <c r="H21">
        <f t="shared" si="0"/>
        <v>6.2925807119378245E-3</v>
      </c>
      <c r="I21">
        <f t="shared" si="1"/>
        <v>0.36620263581809825</v>
      </c>
      <c r="J21">
        <f t="shared" si="2"/>
        <v>49.7224838709677</v>
      </c>
      <c r="K21">
        <f t="shared" si="3"/>
        <v>46.859802259112719</v>
      </c>
      <c r="L21">
        <f t="shared" si="4"/>
        <v>4.6584472865423319</v>
      </c>
      <c r="M21">
        <f t="shared" si="5"/>
        <v>4.943033450889347</v>
      </c>
      <c r="N21">
        <f t="shared" si="6"/>
        <v>0.39524710758004677</v>
      </c>
      <c r="O21">
        <f t="shared" si="7"/>
        <v>3.3824785969273221</v>
      </c>
      <c r="P21">
        <f t="shared" si="8"/>
        <v>0.37126456528582585</v>
      </c>
      <c r="Q21">
        <f t="shared" si="9"/>
        <v>0.23407372599581494</v>
      </c>
      <c r="R21">
        <f t="shared" si="10"/>
        <v>321.44327908598365</v>
      </c>
      <c r="S21">
        <f t="shared" si="11"/>
        <v>26.958727971374536</v>
      </c>
      <c r="T21">
        <f t="shared" si="12"/>
        <v>26.9976870967742</v>
      </c>
      <c r="U21">
        <f t="shared" si="13"/>
        <v>3.578673519489274</v>
      </c>
      <c r="V21">
        <f t="shared" si="14"/>
        <v>55.077038558350807</v>
      </c>
      <c r="W21">
        <f t="shared" si="15"/>
        <v>1.9404997248455076</v>
      </c>
      <c r="X21">
        <f t="shared" si="16"/>
        <v>3.5232463030663221</v>
      </c>
      <c r="Y21">
        <f t="shared" si="17"/>
        <v>1.6381737946437664</v>
      </c>
      <c r="Z21">
        <f t="shared" si="18"/>
        <v>-277.50280939645808</v>
      </c>
      <c r="AA21">
        <f t="shared" si="19"/>
        <v>-48.416155659979147</v>
      </c>
      <c r="AB21">
        <f t="shared" si="20"/>
        <v>-3.0849177733262407</v>
      </c>
      <c r="AC21">
        <f t="shared" si="21"/>
        <v>-7.5606037437798292</v>
      </c>
      <c r="AD21">
        <v>-4.1176449398435101E-2</v>
      </c>
      <c r="AE21">
        <v>4.6224171704831202E-2</v>
      </c>
      <c r="AF21">
        <v>3.4547360511114</v>
      </c>
      <c r="AG21">
        <v>145</v>
      </c>
      <c r="AH21">
        <v>29</v>
      </c>
      <c r="AI21">
        <f t="shared" si="22"/>
        <v>1</v>
      </c>
      <c r="AJ21">
        <f t="shared" si="23"/>
        <v>0</v>
      </c>
      <c r="AK21">
        <f t="shared" si="24"/>
        <v>52551.545078132018</v>
      </c>
      <c r="AL21">
        <v>0</v>
      </c>
      <c r="AM21">
        <v>0</v>
      </c>
      <c r="AN21">
        <v>0</v>
      </c>
      <c r="AO21">
        <f t="shared" si="25"/>
        <v>0</v>
      </c>
      <c r="AP21" t="e">
        <f t="shared" si="26"/>
        <v>#DIV/0!</v>
      </c>
      <c r="AQ21">
        <v>-1</v>
      </c>
      <c r="AR21" t="s">
        <v>306</v>
      </c>
      <c r="AS21">
        <v>276.01396153846201</v>
      </c>
      <c r="AT21">
        <v>333.33600000000001</v>
      </c>
      <c r="AU21">
        <f t="shared" si="27"/>
        <v>0.17196473966669668</v>
      </c>
      <c r="AV21">
        <v>0.5</v>
      </c>
      <c r="AW21">
        <f t="shared" si="28"/>
        <v>1681.2175932252762</v>
      </c>
      <c r="AX21">
        <f t="shared" si="29"/>
        <v>0.36620263581809825</v>
      </c>
      <c r="AY21">
        <f t="shared" si="30"/>
        <v>144.55507287102748</v>
      </c>
      <c r="AZ21">
        <f t="shared" si="31"/>
        <v>0.40054479564163492</v>
      </c>
      <c r="BA21">
        <f t="shared" si="32"/>
        <v>8.126268969129404E-4</v>
      </c>
      <c r="BB21">
        <f t="shared" si="33"/>
        <v>-1</v>
      </c>
      <c r="BC21" t="s">
        <v>307</v>
      </c>
      <c r="BD21">
        <v>199.82</v>
      </c>
      <c r="BE21">
        <f t="shared" si="34"/>
        <v>133.51600000000002</v>
      </c>
      <c r="BF21">
        <f t="shared" si="35"/>
        <v>0.429327110320396</v>
      </c>
      <c r="BG21">
        <f t="shared" si="36"/>
        <v>1.6681813632269042</v>
      </c>
      <c r="BH21">
        <f t="shared" si="37"/>
        <v>0.17196473966669665</v>
      </c>
      <c r="BI21" t="e">
        <f t="shared" si="38"/>
        <v>#DIV/0!</v>
      </c>
      <c r="BJ21">
        <v>6511</v>
      </c>
      <c r="BK21">
        <v>300</v>
      </c>
      <c r="BL21">
        <v>300</v>
      </c>
      <c r="BM21">
        <v>300</v>
      </c>
      <c r="BN21">
        <v>9861.4599999999991</v>
      </c>
      <c r="BO21">
        <v>321.17200000000003</v>
      </c>
      <c r="BP21">
        <v>-6.5583500000000001E-3</v>
      </c>
      <c r="BQ21">
        <v>1.4729000000000001</v>
      </c>
      <c r="BR21">
        <f t="shared" si="39"/>
        <v>2000.0248387096799</v>
      </c>
      <c r="BS21">
        <f t="shared" si="40"/>
        <v>1681.2175932252762</v>
      </c>
      <c r="BT21">
        <f t="shared" si="41"/>
        <v>0.8405983569233656</v>
      </c>
      <c r="BU21">
        <f t="shared" si="42"/>
        <v>0.19119671384673143</v>
      </c>
      <c r="BV21">
        <v>0.5</v>
      </c>
      <c r="BW21" t="s">
        <v>281</v>
      </c>
      <c r="BX21">
        <v>1598198588.0999999</v>
      </c>
      <c r="BY21">
        <v>49.7224838709677</v>
      </c>
      <c r="BZ21">
        <v>49.9940838709677</v>
      </c>
      <c r="CA21">
        <v>19.519687096774199</v>
      </c>
      <c r="CB21">
        <v>17.052096774193501</v>
      </c>
      <c r="CC21">
        <v>500.06287096774201</v>
      </c>
      <c r="CD21">
        <v>99.212451612903195</v>
      </c>
      <c r="CE21">
        <v>0.19998851612903201</v>
      </c>
      <c r="CF21">
        <v>26.732183870967699</v>
      </c>
      <c r="CG21">
        <v>26.9976870967742</v>
      </c>
      <c r="CH21">
        <v>999.9</v>
      </c>
      <c r="CI21">
        <v>10008.724516128999</v>
      </c>
      <c r="CJ21">
        <v>0</v>
      </c>
      <c r="CK21">
        <v>140.94141935483901</v>
      </c>
      <c r="CL21">
        <v>2000.0248387096799</v>
      </c>
      <c r="CM21">
        <v>0.98000432258064496</v>
      </c>
      <c r="CN21">
        <v>1.9995587096774198E-2</v>
      </c>
      <c r="CO21">
        <v>0</v>
      </c>
      <c r="CP21">
        <v>276.05812903225802</v>
      </c>
      <c r="CQ21">
        <v>5.00054</v>
      </c>
      <c r="CR21">
        <v>7283.0677419354797</v>
      </c>
      <c r="CS21">
        <v>18703.890322580599</v>
      </c>
      <c r="CT21">
        <v>49.7458064516129</v>
      </c>
      <c r="CU21">
        <v>50.862741935483903</v>
      </c>
      <c r="CV21">
        <v>50.152999999999999</v>
      </c>
      <c r="CW21">
        <v>49.909064516129</v>
      </c>
      <c r="CX21">
        <v>51.078258064516099</v>
      </c>
      <c r="CY21">
        <v>1955.13387096774</v>
      </c>
      <c r="CZ21">
        <v>39.890967741935498</v>
      </c>
      <c r="DA21">
        <v>0</v>
      </c>
      <c r="DB21">
        <v>116</v>
      </c>
      <c r="DC21">
        <v>276.01396153846201</v>
      </c>
      <c r="DD21">
        <v>-2.00919658089264</v>
      </c>
      <c r="DE21">
        <v>13.018119796649801</v>
      </c>
      <c r="DF21">
        <v>7283.3515384615403</v>
      </c>
      <c r="DG21">
        <v>15</v>
      </c>
      <c r="DH21">
        <v>1598198621.0999999</v>
      </c>
      <c r="DI21" t="s">
        <v>308</v>
      </c>
      <c r="DJ21">
        <v>5</v>
      </c>
      <c r="DK21">
        <v>-0.24099999999999999</v>
      </c>
      <c r="DL21">
        <v>0.12</v>
      </c>
      <c r="DM21">
        <v>50</v>
      </c>
      <c r="DN21">
        <v>17</v>
      </c>
      <c r="DO21">
        <v>0.23</v>
      </c>
      <c r="DP21">
        <v>0.04</v>
      </c>
      <c r="DQ21">
        <v>49.721356363636403</v>
      </c>
      <c r="DR21">
        <v>-1.41471861470761E-3</v>
      </c>
      <c r="DS21">
        <v>7.3233564991211199E-3</v>
      </c>
      <c r="DT21">
        <v>1</v>
      </c>
      <c r="DU21">
        <v>19.5103309090909</v>
      </c>
      <c r="DV21">
        <v>9.6837229437240796E-2</v>
      </c>
      <c r="DW21">
        <v>1.29531305128392E-2</v>
      </c>
      <c r="DX21">
        <v>1</v>
      </c>
      <c r="DY21">
        <v>2</v>
      </c>
      <c r="DZ21">
        <v>2</v>
      </c>
      <c r="EA21" t="s">
        <v>293</v>
      </c>
      <c r="EB21">
        <v>1.8667899999999999</v>
      </c>
      <c r="EC21">
        <v>1.86328</v>
      </c>
      <c r="ED21">
        <v>1.86904</v>
      </c>
      <c r="EE21">
        <v>1.8669199999999999</v>
      </c>
      <c r="EF21">
        <v>1.8716200000000001</v>
      </c>
      <c r="EG21">
        <v>1.86402</v>
      </c>
      <c r="EH21">
        <v>1.86568</v>
      </c>
      <c r="EI21">
        <v>1.86554</v>
      </c>
      <c r="EJ21" t="s">
        <v>284</v>
      </c>
      <c r="EK21" t="s">
        <v>19</v>
      </c>
      <c r="EL21" t="s">
        <v>19</v>
      </c>
      <c r="EM21" t="s">
        <v>19</v>
      </c>
      <c r="EN21" t="s">
        <v>285</v>
      </c>
      <c r="EO21" t="s">
        <v>286</v>
      </c>
      <c r="EP21" t="s">
        <v>287</v>
      </c>
      <c r="EQ21" t="s">
        <v>287</v>
      </c>
      <c r="ER21" t="s">
        <v>287</v>
      </c>
      <c r="ES21" t="s">
        <v>287</v>
      </c>
      <c r="ET21">
        <v>0</v>
      </c>
      <c r="EU21">
        <v>100</v>
      </c>
      <c r="EV21">
        <v>100</v>
      </c>
      <c r="EW21">
        <v>-0.24099999999999999</v>
      </c>
      <c r="EX21">
        <v>0.12</v>
      </c>
      <c r="EY21">
        <v>2</v>
      </c>
      <c r="EZ21">
        <v>337.75599999999997</v>
      </c>
      <c r="FA21">
        <v>492.99299999999999</v>
      </c>
      <c r="FB21">
        <v>21.6996</v>
      </c>
      <c r="FC21">
        <v>33.027099999999997</v>
      </c>
      <c r="FD21">
        <v>29.999700000000001</v>
      </c>
      <c r="FE21">
        <v>33.034799999999997</v>
      </c>
      <c r="FF21">
        <v>33.035800000000002</v>
      </c>
      <c r="FG21">
        <v>5.7035400000000003</v>
      </c>
      <c r="FH21">
        <v>43.896700000000003</v>
      </c>
      <c r="FI21">
        <v>0</v>
      </c>
      <c r="FJ21">
        <v>21.8154</v>
      </c>
      <c r="FK21">
        <v>50</v>
      </c>
      <c r="FL21">
        <v>17.055700000000002</v>
      </c>
      <c r="FM21">
        <v>100.943</v>
      </c>
      <c r="FN21">
        <v>101.261</v>
      </c>
    </row>
    <row r="22" spans="1:170" x14ac:dyDescent="0.25">
      <c r="A22">
        <v>6</v>
      </c>
      <c r="B22">
        <v>1598198712.5999999</v>
      </c>
      <c r="C22">
        <v>611.59999990463302</v>
      </c>
      <c r="D22" t="s">
        <v>309</v>
      </c>
      <c r="E22" t="s">
        <v>310</v>
      </c>
      <c r="G22">
        <v>1598198704.5999999</v>
      </c>
      <c r="H22">
        <f t="shared" si="0"/>
        <v>6.4505654628922698E-3</v>
      </c>
      <c r="I22">
        <f t="shared" si="1"/>
        <v>30.51297481092471</v>
      </c>
      <c r="J22">
        <f t="shared" si="2"/>
        <v>386.802419354839</v>
      </c>
      <c r="K22">
        <f t="shared" si="3"/>
        <v>251.56011265835323</v>
      </c>
      <c r="L22">
        <f t="shared" si="4"/>
        <v>25.008453269155734</v>
      </c>
      <c r="M22">
        <f t="shared" si="5"/>
        <v>38.45335465392057</v>
      </c>
      <c r="N22">
        <f t="shared" si="6"/>
        <v>0.40735058076755787</v>
      </c>
      <c r="O22">
        <f t="shared" si="7"/>
        <v>3.378406190025657</v>
      </c>
      <c r="P22">
        <f t="shared" si="8"/>
        <v>0.38189882761237998</v>
      </c>
      <c r="Q22">
        <f t="shared" si="9"/>
        <v>0.24084086745819638</v>
      </c>
      <c r="R22">
        <f t="shared" si="10"/>
        <v>321.44126834786607</v>
      </c>
      <c r="S22">
        <f t="shared" si="11"/>
        <v>27.099122032324644</v>
      </c>
      <c r="T22">
        <f t="shared" si="12"/>
        <v>27.0188967741935</v>
      </c>
      <c r="U22">
        <f t="shared" si="13"/>
        <v>3.5831339634002179</v>
      </c>
      <c r="V22">
        <f t="shared" si="14"/>
        <v>54.796001595997836</v>
      </c>
      <c r="W22">
        <f t="shared" si="15"/>
        <v>1.9506999143648913</v>
      </c>
      <c r="X22">
        <f t="shared" si="16"/>
        <v>3.5599311218856626</v>
      </c>
      <c r="Y22">
        <f t="shared" si="17"/>
        <v>1.6324340490353266</v>
      </c>
      <c r="Z22">
        <f t="shared" si="18"/>
        <v>-284.46993691354908</v>
      </c>
      <c r="AA22">
        <f t="shared" si="19"/>
        <v>-20.141374089882117</v>
      </c>
      <c r="AB22">
        <f t="shared" si="20"/>
        <v>-1.2861574763175811</v>
      </c>
      <c r="AC22">
        <f t="shared" si="21"/>
        <v>15.543799868117322</v>
      </c>
      <c r="AD22">
        <v>-4.1113483380590302E-2</v>
      </c>
      <c r="AE22">
        <v>4.61534868336742E-2</v>
      </c>
      <c r="AF22">
        <v>3.4505531498806699</v>
      </c>
      <c r="AG22">
        <v>145</v>
      </c>
      <c r="AH22">
        <v>29</v>
      </c>
      <c r="AI22">
        <f t="shared" si="22"/>
        <v>1</v>
      </c>
      <c r="AJ22">
        <f t="shared" si="23"/>
        <v>0</v>
      </c>
      <c r="AK22">
        <f t="shared" si="24"/>
        <v>52443.672777775842</v>
      </c>
      <c r="AL22">
        <v>0</v>
      </c>
      <c r="AM22">
        <v>0</v>
      </c>
      <c r="AN22">
        <v>0</v>
      </c>
      <c r="AO22">
        <f t="shared" si="25"/>
        <v>0</v>
      </c>
      <c r="AP22" t="e">
        <f t="shared" si="26"/>
        <v>#DIV/0!</v>
      </c>
      <c r="AQ22">
        <v>-1</v>
      </c>
      <c r="AR22" t="s">
        <v>311</v>
      </c>
      <c r="AS22">
        <v>267.294884615385</v>
      </c>
      <c r="AT22">
        <v>375.00599999999997</v>
      </c>
      <c r="AU22">
        <f t="shared" si="27"/>
        <v>0.28722504542491312</v>
      </c>
      <c r="AV22">
        <v>0.5</v>
      </c>
      <c r="AW22">
        <f t="shared" si="28"/>
        <v>1681.2072674188273</v>
      </c>
      <c r="AX22">
        <f t="shared" si="29"/>
        <v>30.51297481092471</v>
      </c>
      <c r="AY22">
        <f t="shared" si="30"/>
        <v>241.44241687653337</v>
      </c>
      <c r="AZ22">
        <f t="shared" si="31"/>
        <v>0.51446110195570194</v>
      </c>
      <c r="BA22">
        <f t="shared" si="32"/>
        <v>1.874425326468334E-2</v>
      </c>
      <c r="BB22">
        <f t="shared" si="33"/>
        <v>-1</v>
      </c>
      <c r="BC22" t="s">
        <v>312</v>
      </c>
      <c r="BD22">
        <v>182.08</v>
      </c>
      <c r="BE22">
        <f t="shared" si="34"/>
        <v>192.92599999999996</v>
      </c>
      <c r="BF22">
        <f t="shared" si="35"/>
        <v>0.55830274501422816</v>
      </c>
      <c r="BG22">
        <f t="shared" si="36"/>
        <v>2.0595672231985938</v>
      </c>
      <c r="BH22">
        <f t="shared" si="37"/>
        <v>0.28722504542491312</v>
      </c>
      <c r="BI22" t="e">
        <f t="shared" si="38"/>
        <v>#DIV/0!</v>
      </c>
      <c r="BJ22">
        <v>6513</v>
      </c>
      <c r="BK22">
        <v>300</v>
      </c>
      <c r="BL22">
        <v>300</v>
      </c>
      <c r="BM22">
        <v>300</v>
      </c>
      <c r="BN22">
        <v>9861.0300000000007</v>
      </c>
      <c r="BO22">
        <v>342.36099999999999</v>
      </c>
      <c r="BP22">
        <v>-6.5578700000000004E-3</v>
      </c>
      <c r="BQ22">
        <v>1.1523699999999999</v>
      </c>
      <c r="BR22">
        <f t="shared" si="39"/>
        <v>2000.0125806451599</v>
      </c>
      <c r="BS22">
        <f t="shared" si="40"/>
        <v>1681.2072674188273</v>
      </c>
      <c r="BT22">
        <f t="shared" si="41"/>
        <v>0.84059834607465667</v>
      </c>
      <c r="BU22">
        <f t="shared" si="42"/>
        <v>0.19119669214931348</v>
      </c>
      <c r="BV22">
        <v>0.5</v>
      </c>
      <c r="BW22" t="s">
        <v>281</v>
      </c>
      <c r="BX22">
        <v>1598198704.5999999</v>
      </c>
      <c r="BY22">
        <v>386.802419354839</v>
      </c>
      <c r="BZ22">
        <v>400.00406451612901</v>
      </c>
      <c r="CA22">
        <v>19.622096774193601</v>
      </c>
      <c r="CB22">
        <v>17.092803225806499</v>
      </c>
      <c r="CC22">
        <v>500.05993548387102</v>
      </c>
      <c r="CD22">
        <v>99.213429032258105</v>
      </c>
      <c r="CE22">
        <v>0.199999451612903</v>
      </c>
      <c r="CF22">
        <v>26.908312903225799</v>
      </c>
      <c r="CG22">
        <v>27.0188967741935</v>
      </c>
      <c r="CH22">
        <v>999.9</v>
      </c>
      <c r="CI22">
        <v>9993.32096774194</v>
      </c>
      <c r="CJ22">
        <v>0</v>
      </c>
      <c r="CK22">
        <v>141.76064516129</v>
      </c>
      <c r="CL22">
        <v>2000.0125806451599</v>
      </c>
      <c r="CM22">
        <v>0.98000548387096797</v>
      </c>
      <c r="CN22">
        <v>1.9994596774193501E-2</v>
      </c>
      <c r="CO22">
        <v>0</v>
      </c>
      <c r="CP22">
        <v>267.26461290322601</v>
      </c>
      <c r="CQ22">
        <v>5.00054</v>
      </c>
      <c r="CR22">
        <v>7116.2419354838703</v>
      </c>
      <c r="CS22">
        <v>18703.770967741901</v>
      </c>
      <c r="CT22">
        <v>49.850677419354803</v>
      </c>
      <c r="CU22">
        <v>51.033999999999999</v>
      </c>
      <c r="CV22">
        <v>50.292000000000002</v>
      </c>
      <c r="CW22">
        <v>50.064225806451603</v>
      </c>
      <c r="CX22">
        <v>51.201225806451603</v>
      </c>
      <c r="CY22">
        <v>1955.12258064516</v>
      </c>
      <c r="CZ22">
        <v>39.89</v>
      </c>
      <c r="DA22">
        <v>0</v>
      </c>
      <c r="DB22">
        <v>115.90000009536701</v>
      </c>
      <c r="DC22">
        <v>267.294884615385</v>
      </c>
      <c r="DD22">
        <v>-0.68420512225404195</v>
      </c>
      <c r="DE22">
        <v>21.118290497933</v>
      </c>
      <c r="DF22">
        <v>7116.3426923076904</v>
      </c>
      <c r="DG22">
        <v>15</v>
      </c>
      <c r="DH22">
        <v>1598198738.0999999</v>
      </c>
      <c r="DI22" t="s">
        <v>313</v>
      </c>
      <c r="DJ22">
        <v>6</v>
      </c>
      <c r="DK22">
        <v>-0.17499999999999999</v>
      </c>
      <c r="DL22">
        <v>0.11899999999999999</v>
      </c>
      <c r="DM22">
        <v>400</v>
      </c>
      <c r="DN22">
        <v>17</v>
      </c>
      <c r="DO22">
        <v>0.05</v>
      </c>
      <c r="DP22">
        <v>0.04</v>
      </c>
      <c r="DQ22">
        <v>386.732909090909</v>
      </c>
      <c r="DR22">
        <v>5.1861471861561897E-2</v>
      </c>
      <c r="DS22">
        <v>2.0564994730475999E-2</v>
      </c>
      <c r="DT22">
        <v>1</v>
      </c>
      <c r="DU22">
        <v>19.610301818181799</v>
      </c>
      <c r="DV22">
        <v>0.12590735930736199</v>
      </c>
      <c r="DW22">
        <v>1.69519158574973E-2</v>
      </c>
      <c r="DX22">
        <v>1</v>
      </c>
      <c r="DY22">
        <v>2</v>
      </c>
      <c r="DZ22">
        <v>2</v>
      </c>
      <c r="EA22" t="s">
        <v>293</v>
      </c>
      <c r="EB22">
        <v>1.86676</v>
      </c>
      <c r="EC22">
        <v>1.8632500000000001</v>
      </c>
      <c r="ED22">
        <v>1.86903</v>
      </c>
      <c r="EE22">
        <v>1.8669</v>
      </c>
      <c r="EF22">
        <v>1.8715900000000001</v>
      </c>
      <c r="EG22">
        <v>1.8640099999999999</v>
      </c>
      <c r="EH22">
        <v>1.8656699999999999</v>
      </c>
      <c r="EI22">
        <v>1.86554</v>
      </c>
      <c r="EJ22" t="s">
        <v>284</v>
      </c>
      <c r="EK22" t="s">
        <v>19</v>
      </c>
      <c r="EL22" t="s">
        <v>19</v>
      </c>
      <c r="EM22" t="s">
        <v>19</v>
      </c>
      <c r="EN22" t="s">
        <v>285</v>
      </c>
      <c r="EO22" t="s">
        <v>286</v>
      </c>
      <c r="EP22" t="s">
        <v>287</v>
      </c>
      <c r="EQ22" t="s">
        <v>287</v>
      </c>
      <c r="ER22" t="s">
        <v>287</v>
      </c>
      <c r="ES22" t="s">
        <v>287</v>
      </c>
      <c r="ET22">
        <v>0</v>
      </c>
      <c r="EU22">
        <v>100</v>
      </c>
      <c r="EV22">
        <v>100</v>
      </c>
      <c r="EW22">
        <v>-0.17499999999999999</v>
      </c>
      <c r="EX22">
        <v>0.11899999999999999</v>
      </c>
      <c r="EY22">
        <v>2</v>
      </c>
      <c r="EZ22">
        <v>337.33499999999998</v>
      </c>
      <c r="FA22">
        <v>492.94400000000002</v>
      </c>
      <c r="FB22">
        <v>21.985700000000001</v>
      </c>
      <c r="FC22">
        <v>33.068399999999997</v>
      </c>
      <c r="FD22">
        <v>30.000399999999999</v>
      </c>
      <c r="FE22">
        <v>33.083399999999997</v>
      </c>
      <c r="FF22">
        <v>33.085900000000002</v>
      </c>
      <c r="FG22">
        <v>22.116599999999998</v>
      </c>
      <c r="FH22">
        <v>44.222299999999997</v>
      </c>
      <c r="FI22">
        <v>0</v>
      </c>
      <c r="FJ22">
        <v>21.98</v>
      </c>
      <c r="FK22">
        <v>400</v>
      </c>
      <c r="FL22">
        <v>17.1556</v>
      </c>
      <c r="FM22">
        <v>100.931</v>
      </c>
      <c r="FN22">
        <v>101.254</v>
      </c>
    </row>
    <row r="23" spans="1:170" x14ac:dyDescent="0.25">
      <c r="A23">
        <v>7</v>
      </c>
      <c r="B23">
        <v>1598198829.5999999</v>
      </c>
      <c r="C23">
        <v>728.59999990463302</v>
      </c>
      <c r="D23" t="s">
        <v>314</v>
      </c>
      <c r="E23" t="s">
        <v>315</v>
      </c>
      <c r="G23">
        <v>1598198821.5999999</v>
      </c>
      <c r="H23">
        <f t="shared" si="0"/>
        <v>6.4350868228644463E-3</v>
      </c>
      <c r="I23">
        <f t="shared" si="1"/>
        <v>30.81943367603477</v>
      </c>
      <c r="J23">
        <f t="shared" si="2"/>
        <v>386.68316129032303</v>
      </c>
      <c r="K23">
        <f t="shared" si="3"/>
        <v>251.25083822626291</v>
      </c>
      <c r="L23">
        <f t="shared" si="4"/>
        <v>24.977955846171223</v>
      </c>
      <c r="M23">
        <f t="shared" si="5"/>
        <v>38.441881417603952</v>
      </c>
      <c r="N23">
        <f t="shared" si="6"/>
        <v>0.41068646166809419</v>
      </c>
      <c r="O23">
        <f t="shared" si="7"/>
        <v>3.3817133274777009</v>
      </c>
      <c r="P23">
        <f t="shared" si="8"/>
        <v>0.38485391438007138</v>
      </c>
      <c r="Q23">
        <f t="shared" si="9"/>
        <v>0.24271911807611354</v>
      </c>
      <c r="R23">
        <f t="shared" si="10"/>
        <v>321.43984981522715</v>
      </c>
      <c r="S23">
        <f t="shared" si="11"/>
        <v>27.096920939005486</v>
      </c>
      <c r="T23">
        <f t="shared" si="12"/>
        <v>27.022258064516102</v>
      </c>
      <c r="U23">
        <f t="shared" si="13"/>
        <v>3.5838412957836159</v>
      </c>
      <c r="V23">
        <f t="shared" si="14"/>
        <v>55.298916507777605</v>
      </c>
      <c r="W23">
        <f t="shared" si="15"/>
        <v>1.9679626005638258</v>
      </c>
      <c r="X23">
        <f t="shared" si="16"/>
        <v>3.5587724404817922</v>
      </c>
      <c r="Y23">
        <f t="shared" si="17"/>
        <v>1.6158786952197901</v>
      </c>
      <c r="Z23">
        <f t="shared" si="18"/>
        <v>-283.78732888832207</v>
      </c>
      <c r="AA23">
        <f t="shared" si="19"/>
        <v>-21.78369344148507</v>
      </c>
      <c r="AB23">
        <f t="shared" si="20"/>
        <v>-1.3896547498450005</v>
      </c>
      <c r="AC23">
        <f t="shared" si="21"/>
        <v>14.479172735574991</v>
      </c>
      <c r="AD23">
        <v>-4.1164614497222703E-2</v>
      </c>
      <c r="AE23">
        <v>4.62108859914259E-2</v>
      </c>
      <c r="AF23">
        <v>3.4539500134837402</v>
      </c>
      <c r="AG23">
        <v>145</v>
      </c>
      <c r="AH23">
        <v>29</v>
      </c>
      <c r="AI23">
        <f t="shared" si="22"/>
        <v>1</v>
      </c>
      <c r="AJ23">
        <f t="shared" si="23"/>
        <v>0</v>
      </c>
      <c r="AK23">
        <f t="shared" si="24"/>
        <v>52507.219667593003</v>
      </c>
      <c r="AL23">
        <v>0</v>
      </c>
      <c r="AM23">
        <v>0</v>
      </c>
      <c r="AN23">
        <v>0</v>
      </c>
      <c r="AO23">
        <f t="shared" si="25"/>
        <v>0</v>
      </c>
      <c r="AP23" t="e">
        <f t="shared" si="26"/>
        <v>#DIV/0!</v>
      </c>
      <c r="AQ23">
        <v>-1</v>
      </c>
      <c r="AR23" t="s">
        <v>316</v>
      </c>
      <c r="AS23">
        <v>268.03638461538497</v>
      </c>
      <c r="AT23">
        <v>376.27100000000002</v>
      </c>
      <c r="AU23">
        <f t="shared" si="27"/>
        <v>0.28765069693017808</v>
      </c>
      <c r="AV23">
        <v>0.5</v>
      </c>
      <c r="AW23">
        <f t="shared" si="28"/>
        <v>1681.1977448381226</v>
      </c>
      <c r="AX23">
        <f t="shared" si="29"/>
        <v>30.81943367603477</v>
      </c>
      <c r="AY23">
        <f t="shared" si="30"/>
        <v>241.79885149006483</v>
      </c>
      <c r="AZ23">
        <f t="shared" si="31"/>
        <v>0.51168174002248379</v>
      </c>
      <c r="BA23">
        <f t="shared" si="32"/>
        <v>1.8926645466740478E-2</v>
      </c>
      <c r="BB23">
        <f t="shared" si="33"/>
        <v>-1</v>
      </c>
      <c r="BC23" t="s">
        <v>317</v>
      </c>
      <c r="BD23">
        <v>183.74</v>
      </c>
      <c r="BE23">
        <f t="shared" si="34"/>
        <v>192.53100000000001</v>
      </c>
      <c r="BF23">
        <f t="shared" si="35"/>
        <v>0.56216721143408088</v>
      </c>
      <c r="BG23">
        <f t="shared" si="36"/>
        <v>2.0478447806683358</v>
      </c>
      <c r="BH23">
        <f t="shared" si="37"/>
        <v>0.28765069693017808</v>
      </c>
      <c r="BI23" t="e">
        <f t="shared" si="38"/>
        <v>#DIV/0!</v>
      </c>
      <c r="BJ23">
        <v>6515</v>
      </c>
      <c r="BK23">
        <v>300</v>
      </c>
      <c r="BL23">
        <v>300</v>
      </c>
      <c r="BM23">
        <v>300</v>
      </c>
      <c r="BN23">
        <v>9860.6299999999992</v>
      </c>
      <c r="BO23">
        <v>347.40199999999999</v>
      </c>
      <c r="BP23">
        <v>-6.5576999999999996E-3</v>
      </c>
      <c r="BQ23">
        <v>1.3092699999999999</v>
      </c>
      <c r="BR23">
        <f t="shared" si="39"/>
        <v>2000.00096774194</v>
      </c>
      <c r="BS23">
        <f t="shared" si="40"/>
        <v>1681.1977448381226</v>
      </c>
      <c r="BT23">
        <f t="shared" si="41"/>
        <v>0.84059846567786634</v>
      </c>
      <c r="BU23">
        <f t="shared" si="42"/>
        <v>0.19119693135573271</v>
      </c>
      <c r="BV23">
        <v>0.5</v>
      </c>
      <c r="BW23" t="s">
        <v>281</v>
      </c>
      <c r="BX23">
        <v>1598198821.5999999</v>
      </c>
      <c r="BY23">
        <v>386.68316129032303</v>
      </c>
      <c r="BZ23">
        <v>400.00448387096799</v>
      </c>
      <c r="CA23">
        <v>19.795545161290299</v>
      </c>
      <c r="CB23">
        <v>17.272803225806499</v>
      </c>
      <c r="CC23">
        <v>500.06706451612899</v>
      </c>
      <c r="CD23">
        <v>99.214435483871</v>
      </c>
      <c r="CE23">
        <v>0.19998248387096801</v>
      </c>
      <c r="CF23">
        <v>26.902774193548399</v>
      </c>
      <c r="CG23">
        <v>27.022258064516102</v>
      </c>
      <c r="CH23">
        <v>999.9</v>
      </c>
      <c r="CI23">
        <v>10005.6477419355</v>
      </c>
      <c r="CJ23">
        <v>0</v>
      </c>
      <c r="CK23">
        <v>142.665516129032</v>
      </c>
      <c r="CL23">
        <v>2000.00096774194</v>
      </c>
      <c r="CM23">
        <v>0.98000258064516099</v>
      </c>
      <c r="CN23">
        <v>1.9997622580645202E-2</v>
      </c>
      <c r="CO23">
        <v>0</v>
      </c>
      <c r="CP23">
        <v>268.018741935484</v>
      </c>
      <c r="CQ23">
        <v>5.00054</v>
      </c>
      <c r="CR23">
        <v>7133.3529032258102</v>
      </c>
      <c r="CS23">
        <v>18703.654838709699</v>
      </c>
      <c r="CT23">
        <v>49.973580645161299</v>
      </c>
      <c r="CU23">
        <v>51.120870967741901</v>
      </c>
      <c r="CV23">
        <v>50.414999999999999</v>
      </c>
      <c r="CW23">
        <v>50.195258064516104</v>
      </c>
      <c r="CX23">
        <v>51.320129032258002</v>
      </c>
      <c r="CY23">
        <v>1955.1032258064499</v>
      </c>
      <c r="CZ23">
        <v>39.8977419354839</v>
      </c>
      <c r="DA23">
        <v>0</v>
      </c>
      <c r="DB23">
        <v>116.60000014305101</v>
      </c>
      <c r="DC23">
        <v>268.03638461538497</v>
      </c>
      <c r="DD23">
        <v>2.00588033769121</v>
      </c>
      <c r="DE23">
        <v>24.981880306884399</v>
      </c>
      <c r="DF23">
        <v>7133.5853846153896</v>
      </c>
      <c r="DG23">
        <v>15</v>
      </c>
      <c r="DH23">
        <v>1598198855.0999999</v>
      </c>
      <c r="DI23" t="s">
        <v>318</v>
      </c>
      <c r="DJ23">
        <v>7</v>
      </c>
      <c r="DK23">
        <v>-0.159</v>
      </c>
      <c r="DL23">
        <v>0.122</v>
      </c>
      <c r="DM23">
        <v>400</v>
      </c>
      <c r="DN23">
        <v>17</v>
      </c>
      <c r="DO23">
        <v>0.13</v>
      </c>
      <c r="DP23">
        <v>0.04</v>
      </c>
      <c r="DQ23">
        <v>386.67894545454499</v>
      </c>
      <c r="DR23">
        <v>-0.108467532467544</v>
      </c>
      <c r="DS23">
        <v>2.22166343755105E-2</v>
      </c>
      <c r="DT23">
        <v>1</v>
      </c>
      <c r="DU23">
        <v>19.796189090909099</v>
      </c>
      <c r="DV23">
        <v>-4.5707359307361299E-2</v>
      </c>
      <c r="DW23">
        <v>1.1705688946790299E-2</v>
      </c>
      <c r="DX23">
        <v>1</v>
      </c>
      <c r="DY23">
        <v>2</v>
      </c>
      <c r="DZ23">
        <v>2</v>
      </c>
      <c r="EA23" t="s">
        <v>293</v>
      </c>
      <c r="EB23">
        <v>1.86676</v>
      </c>
      <c r="EC23">
        <v>1.8632500000000001</v>
      </c>
      <c r="ED23">
        <v>1.8689499999999999</v>
      </c>
      <c r="EE23">
        <v>1.86687</v>
      </c>
      <c r="EF23">
        <v>1.8715200000000001</v>
      </c>
      <c r="EG23">
        <v>1.8640099999999999</v>
      </c>
      <c r="EH23">
        <v>1.86558</v>
      </c>
      <c r="EI23">
        <v>1.86554</v>
      </c>
      <c r="EJ23" t="s">
        <v>284</v>
      </c>
      <c r="EK23" t="s">
        <v>19</v>
      </c>
      <c r="EL23" t="s">
        <v>19</v>
      </c>
      <c r="EM23" t="s">
        <v>19</v>
      </c>
      <c r="EN23" t="s">
        <v>285</v>
      </c>
      <c r="EO23" t="s">
        <v>286</v>
      </c>
      <c r="EP23" t="s">
        <v>287</v>
      </c>
      <c r="EQ23" t="s">
        <v>287</v>
      </c>
      <c r="ER23" t="s">
        <v>287</v>
      </c>
      <c r="ES23" t="s">
        <v>287</v>
      </c>
      <c r="ET23">
        <v>0</v>
      </c>
      <c r="EU23">
        <v>100</v>
      </c>
      <c r="EV23">
        <v>100</v>
      </c>
      <c r="EW23">
        <v>-0.159</v>
      </c>
      <c r="EX23">
        <v>0.122</v>
      </c>
      <c r="EY23">
        <v>2</v>
      </c>
      <c r="EZ23">
        <v>337.971</v>
      </c>
      <c r="FA23">
        <v>492.44400000000002</v>
      </c>
      <c r="FB23">
        <v>21.289000000000001</v>
      </c>
      <c r="FC23">
        <v>33.115000000000002</v>
      </c>
      <c r="FD23">
        <v>30.0001</v>
      </c>
      <c r="FE23">
        <v>33.130600000000001</v>
      </c>
      <c r="FF23">
        <v>33.133800000000001</v>
      </c>
      <c r="FG23">
        <v>22.114000000000001</v>
      </c>
      <c r="FH23">
        <v>44.106699999999996</v>
      </c>
      <c r="FI23">
        <v>0</v>
      </c>
      <c r="FJ23">
        <v>21.2973</v>
      </c>
      <c r="FK23">
        <v>400</v>
      </c>
      <c r="FL23">
        <v>17.1816</v>
      </c>
      <c r="FM23">
        <v>100.92100000000001</v>
      </c>
      <c r="FN23">
        <v>101.25</v>
      </c>
    </row>
    <row r="24" spans="1:170" x14ac:dyDescent="0.25">
      <c r="A24">
        <v>8</v>
      </c>
      <c r="B24">
        <v>1598198946.5999999</v>
      </c>
      <c r="C24">
        <v>845.59999990463302</v>
      </c>
      <c r="D24" t="s">
        <v>319</v>
      </c>
      <c r="E24" t="s">
        <v>320</v>
      </c>
      <c r="G24">
        <v>1598198938.5999999</v>
      </c>
      <c r="H24">
        <f t="shared" si="0"/>
        <v>6.4250533393074172E-3</v>
      </c>
      <c r="I24">
        <f t="shared" si="1"/>
        <v>37.705206787839394</v>
      </c>
      <c r="J24">
        <f t="shared" si="2"/>
        <v>483.69164516129001</v>
      </c>
      <c r="K24">
        <f t="shared" si="3"/>
        <v>315.49906098027077</v>
      </c>
      <c r="L24">
        <f t="shared" si="4"/>
        <v>31.365300880370729</v>
      </c>
      <c r="M24">
        <f t="shared" si="5"/>
        <v>48.086146236593962</v>
      </c>
      <c r="N24">
        <f t="shared" si="6"/>
        <v>0.4048335369158208</v>
      </c>
      <c r="O24">
        <f t="shared" si="7"/>
        <v>3.3813792334897017</v>
      </c>
      <c r="P24">
        <f t="shared" si="8"/>
        <v>0.3797055706767456</v>
      </c>
      <c r="Q24">
        <f t="shared" si="9"/>
        <v>0.23944354289791181</v>
      </c>
      <c r="R24">
        <f t="shared" si="10"/>
        <v>321.43709817301908</v>
      </c>
      <c r="S24">
        <f t="shared" si="11"/>
        <v>27.016251778288829</v>
      </c>
      <c r="T24">
        <f t="shared" si="12"/>
        <v>26.974470967741901</v>
      </c>
      <c r="U24">
        <f t="shared" si="13"/>
        <v>3.5737966713532208</v>
      </c>
      <c r="V24">
        <f t="shared" si="14"/>
        <v>54.729407369638551</v>
      </c>
      <c r="W24">
        <f t="shared" si="15"/>
        <v>1.9382178100832854</v>
      </c>
      <c r="X24">
        <f t="shared" si="16"/>
        <v>3.54145587031977</v>
      </c>
      <c r="Y24">
        <f t="shared" si="17"/>
        <v>1.6355788612699353</v>
      </c>
      <c r="Z24">
        <f t="shared" si="18"/>
        <v>-283.34485226345708</v>
      </c>
      <c r="AA24">
        <f t="shared" si="19"/>
        <v>-28.194276441517989</v>
      </c>
      <c r="AB24">
        <f t="shared" si="20"/>
        <v>-1.7976092030627993</v>
      </c>
      <c r="AC24">
        <f t="shared" si="21"/>
        <v>8.1003602649812159</v>
      </c>
      <c r="AD24">
        <v>-4.1159448106287098E-2</v>
      </c>
      <c r="AE24">
        <v>4.6205086265000098E-2</v>
      </c>
      <c r="AF24">
        <v>3.4536068533848501</v>
      </c>
      <c r="AG24">
        <v>145</v>
      </c>
      <c r="AH24">
        <v>29</v>
      </c>
      <c r="AI24">
        <f t="shared" si="22"/>
        <v>1</v>
      </c>
      <c r="AJ24">
        <f t="shared" si="23"/>
        <v>0</v>
      </c>
      <c r="AK24">
        <f t="shared" si="24"/>
        <v>52515.437055807983</v>
      </c>
      <c r="AL24">
        <v>0</v>
      </c>
      <c r="AM24">
        <v>0</v>
      </c>
      <c r="AN24">
        <v>0</v>
      </c>
      <c r="AO24">
        <f t="shared" si="25"/>
        <v>0</v>
      </c>
      <c r="AP24" t="e">
        <f t="shared" si="26"/>
        <v>#DIV/0!</v>
      </c>
      <c r="AQ24">
        <v>-1</v>
      </c>
      <c r="AR24" t="s">
        <v>321</v>
      </c>
      <c r="AS24">
        <v>275.16915384615402</v>
      </c>
      <c r="AT24">
        <v>402.43799999999999</v>
      </c>
      <c r="AU24">
        <f t="shared" si="27"/>
        <v>0.31624460452006509</v>
      </c>
      <c r="AV24">
        <v>0.5</v>
      </c>
      <c r="AW24">
        <f t="shared" si="28"/>
        <v>1681.1853190317249</v>
      </c>
      <c r="AX24">
        <f t="shared" si="29"/>
        <v>37.705206787839394</v>
      </c>
      <c r="AY24">
        <f t="shared" si="30"/>
        <v>265.83289317106363</v>
      </c>
      <c r="AZ24">
        <f t="shared" si="31"/>
        <v>0.54924733747807108</v>
      </c>
      <c r="BA24">
        <f t="shared" si="32"/>
        <v>2.3022570057970513E-2</v>
      </c>
      <c r="BB24">
        <f t="shared" si="33"/>
        <v>-1</v>
      </c>
      <c r="BC24" t="s">
        <v>322</v>
      </c>
      <c r="BD24">
        <v>181.4</v>
      </c>
      <c r="BE24">
        <f t="shared" si="34"/>
        <v>221.03799999999998</v>
      </c>
      <c r="BF24">
        <f t="shared" si="35"/>
        <v>0.57577812934357886</v>
      </c>
      <c r="BG24">
        <f t="shared" si="36"/>
        <v>2.2185115766262404</v>
      </c>
      <c r="BH24">
        <f t="shared" si="37"/>
        <v>0.31624460452006514</v>
      </c>
      <c r="BI24" t="e">
        <f t="shared" si="38"/>
        <v>#DIV/0!</v>
      </c>
      <c r="BJ24">
        <v>6517</v>
      </c>
      <c r="BK24">
        <v>300</v>
      </c>
      <c r="BL24">
        <v>300</v>
      </c>
      <c r="BM24">
        <v>300</v>
      </c>
      <c r="BN24">
        <v>9860.52</v>
      </c>
      <c r="BO24">
        <v>365.87400000000002</v>
      </c>
      <c r="BP24">
        <v>-6.5576300000000001E-3</v>
      </c>
      <c r="BQ24">
        <v>1.6073299999999999</v>
      </c>
      <c r="BR24">
        <f t="shared" si="39"/>
        <v>1999.9864516129001</v>
      </c>
      <c r="BS24">
        <f t="shared" si="40"/>
        <v>1681.1853190317249</v>
      </c>
      <c r="BT24">
        <f t="shared" si="41"/>
        <v>0.84059835389180948</v>
      </c>
      <c r="BU24">
        <f t="shared" si="42"/>
        <v>0.19119670778361905</v>
      </c>
      <c r="BV24">
        <v>0.5</v>
      </c>
      <c r="BW24" t="s">
        <v>281</v>
      </c>
      <c r="BX24">
        <v>1598198938.5999999</v>
      </c>
      <c r="BY24">
        <v>483.69164516129001</v>
      </c>
      <c r="BZ24">
        <v>500.01503225806402</v>
      </c>
      <c r="CA24">
        <v>19.496254838709699</v>
      </c>
      <c r="CB24">
        <v>16.976616129032301</v>
      </c>
      <c r="CC24">
        <v>500.05493548387102</v>
      </c>
      <c r="CD24">
        <v>99.214870967741902</v>
      </c>
      <c r="CE24">
        <v>0.20000774193548401</v>
      </c>
      <c r="CF24">
        <v>26.8198096774194</v>
      </c>
      <c r="CG24">
        <v>26.974470967741901</v>
      </c>
      <c r="CH24">
        <v>999.9</v>
      </c>
      <c r="CI24">
        <v>10004.3480645161</v>
      </c>
      <c r="CJ24">
        <v>0</v>
      </c>
      <c r="CK24">
        <v>143.024258064516</v>
      </c>
      <c r="CL24">
        <v>1999.9864516129001</v>
      </c>
      <c r="CM24">
        <v>0.98000606451612904</v>
      </c>
      <c r="CN24">
        <v>1.9994112903225801E-2</v>
      </c>
      <c r="CO24">
        <v>0</v>
      </c>
      <c r="CP24">
        <v>275.19667741935501</v>
      </c>
      <c r="CQ24">
        <v>5.00054</v>
      </c>
      <c r="CR24">
        <v>7297.4616129032202</v>
      </c>
      <c r="CS24">
        <v>18703.545161290302</v>
      </c>
      <c r="CT24">
        <v>50.043999999999997</v>
      </c>
      <c r="CU24">
        <v>51.211387096774203</v>
      </c>
      <c r="CV24">
        <v>50.487806451612897</v>
      </c>
      <c r="CW24">
        <v>50.269935483871002</v>
      </c>
      <c r="CX24">
        <v>51.378999999999998</v>
      </c>
      <c r="CY24">
        <v>1955.0964516129</v>
      </c>
      <c r="CZ24">
        <v>39.89</v>
      </c>
      <c r="DA24">
        <v>0</v>
      </c>
      <c r="DB24">
        <v>116.5</v>
      </c>
      <c r="DC24">
        <v>275.16915384615402</v>
      </c>
      <c r="DD24">
        <v>-0.59480341706274897</v>
      </c>
      <c r="DE24">
        <v>-8.3258119963496107</v>
      </c>
      <c r="DF24">
        <v>7297.4650000000001</v>
      </c>
      <c r="DG24">
        <v>15</v>
      </c>
      <c r="DH24">
        <v>1598198975.0999999</v>
      </c>
      <c r="DI24" t="s">
        <v>323</v>
      </c>
      <c r="DJ24">
        <v>8</v>
      </c>
      <c r="DK24">
        <v>-0.14099999999999999</v>
      </c>
      <c r="DL24">
        <v>0.11700000000000001</v>
      </c>
      <c r="DM24">
        <v>500</v>
      </c>
      <c r="DN24">
        <v>17</v>
      </c>
      <c r="DO24">
        <v>0.17</v>
      </c>
      <c r="DP24">
        <v>0.04</v>
      </c>
      <c r="DQ24">
        <v>483.64752727272702</v>
      </c>
      <c r="DR24">
        <v>0.26119448780573001</v>
      </c>
      <c r="DS24">
        <v>3.6829264325316698E-2</v>
      </c>
      <c r="DT24">
        <v>1</v>
      </c>
      <c r="DU24">
        <v>19.501327272727298</v>
      </c>
      <c r="DV24">
        <v>5.3708879487756797E-4</v>
      </c>
      <c r="DW24">
        <v>1.6916322989087001E-3</v>
      </c>
      <c r="DX24">
        <v>1</v>
      </c>
      <c r="DY24">
        <v>2</v>
      </c>
      <c r="DZ24">
        <v>2</v>
      </c>
      <c r="EA24" t="s">
        <v>293</v>
      </c>
      <c r="EB24">
        <v>1.86676</v>
      </c>
      <c r="EC24">
        <v>1.8632599999999999</v>
      </c>
      <c r="ED24">
        <v>1.86893</v>
      </c>
      <c r="EE24">
        <v>1.8669</v>
      </c>
      <c r="EF24">
        <v>1.87158</v>
      </c>
      <c r="EG24">
        <v>1.86402</v>
      </c>
      <c r="EH24">
        <v>1.86561</v>
      </c>
      <c r="EI24">
        <v>1.86554</v>
      </c>
      <c r="EJ24" t="s">
        <v>284</v>
      </c>
      <c r="EK24" t="s">
        <v>19</v>
      </c>
      <c r="EL24" t="s">
        <v>19</v>
      </c>
      <c r="EM24" t="s">
        <v>19</v>
      </c>
      <c r="EN24" t="s">
        <v>285</v>
      </c>
      <c r="EO24" t="s">
        <v>286</v>
      </c>
      <c r="EP24" t="s">
        <v>287</v>
      </c>
      <c r="EQ24" t="s">
        <v>287</v>
      </c>
      <c r="ER24" t="s">
        <v>287</v>
      </c>
      <c r="ES24" t="s">
        <v>287</v>
      </c>
      <c r="ET24">
        <v>0</v>
      </c>
      <c r="EU24">
        <v>100</v>
      </c>
      <c r="EV24">
        <v>100</v>
      </c>
      <c r="EW24">
        <v>-0.14099999999999999</v>
      </c>
      <c r="EX24">
        <v>0.11700000000000001</v>
      </c>
      <c r="EY24">
        <v>2</v>
      </c>
      <c r="EZ24">
        <v>337.24900000000002</v>
      </c>
      <c r="FA24">
        <v>491.721</v>
      </c>
      <c r="FB24">
        <v>21.934000000000001</v>
      </c>
      <c r="FC24">
        <v>33.165900000000001</v>
      </c>
      <c r="FD24">
        <v>30.0001</v>
      </c>
      <c r="FE24">
        <v>33.176600000000001</v>
      </c>
      <c r="FF24">
        <v>33.1798</v>
      </c>
      <c r="FG24">
        <v>26.404</v>
      </c>
      <c r="FH24">
        <v>45.509599999999999</v>
      </c>
      <c r="FI24">
        <v>0</v>
      </c>
      <c r="FJ24">
        <v>21.939599999999999</v>
      </c>
      <c r="FK24">
        <v>500</v>
      </c>
      <c r="FL24">
        <v>17.033200000000001</v>
      </c>
      <c r="FM24">
        <v>100.91500000000001</v>
      </c>
      <c r="FN24">
        <v>101.246</v>
      </c>
    </row>
    <row r="25" spans="1:170" x14ac:dyDescent="0.25">
      <c r="A25">
        <v>9</v>
      </c>
      <c r="B25">
        <v>1598199096.5999999</v>
      </c>
      <c r="C25">
        <v>995.59999990463302</v>
      </c>
      <c r="D25" t="s">
        <v>324</v>
      </c>
      <c r="E25" t="s">
        <v>325</v>
      </c>
      <c r="G25">
        <v>1598199088.5999999</v>
      </c>
      <c r="H25">
        <f t="shared" si="0"/>
        <v>5.7562281129050138E-3</v>
      </c>
      <c r="I25">
        <f t="shared" si="1"/>
        <v>42.227437184771233</v>
      </c>
      <c r="J25">
        <f t="shared" si="2"/>
        <v>581.81538709677397</v>
      </c>
      <c r="K25">
        <f t="shared" si="3"/>
        <v>372.36116009557503</v>
      </c>
      <c r="L25">
        <f t="shared" si="4"/>
        <v>37.016036522321791</v>
      </c>
      <c r="M25">
        <f t="shared" si="5"/>
        <v>57.837663875832639</v>
      </c>
      <c r="N25">
        <f t="shared" si="6"/>
        <v>0.36091542318257908</v>
      </c>
      <c r="O25">
        <f t="shared" si="7"/>
        <v>3.3831686678947039</v>
      </c>
      <c r="P25">
        <f t="shared" si="8"/>
        <v>0.34080833808189187</v>
      </c>
      <c r="Q25">
        <f t="shared" si="9"/>
        <v>0.21471835045527826</v>
      </c>
      <c r="R25">
        <f t="shared" si="10"/>
        <v>321.43646138642538</v>
      </c>
      <c r="S25">
        <f t="shared" si="11"/>
        <v>26.907584924256589</v>
      </c>
      <c r="T25">
        <f t="shared" si="12"/>
        <v>26.964877419354799</v>
      </c>
      <c r="U25">
        <f t="shared" si="13"/>
        <v>3.5717831170636645</v>
      </c>
      <c r="V25">
        <f t="shared" si="14"/>
        <v>55.607096342823148</v>
      </c>
      <c r="W25">
        <f t="shared" si="15"/>
        <v>1.9393139687074668</v>
      </c>
      <c r="X25">
        <f t="shared" si="16"/>
        <v>3.4875296432516594</v>
      </c>
      <c r="Y25">
        <f t="shared" si="17"/>
        <v>1.6324691483561977</v>
      </c>
      <c r="Z25">
        <f t="shared" si="18"/>
        <v>-253.84965977911111</v>
      </c>
      <c r="AA25">
        <f t="shared" si="19"/>
        <v>-74.000528202617957</v>
      </c>
      <c r="AB25">
        <f t="shared" si="20"/>
        <v>-4.709256939996898</v>
      </c>
      <c r="AC25">
        <f t="shared" si="21"/>
        <v>-11.122983535300605</v>
      </c>
      <c r="AD25">
        <v>-4.1187122384189097E-2</v>
      </c>
      <c r="AE25">
        <v>4.6236153066345001E-2</v>
      </c>
      <c r="AF25">
        <v>3.4554448512987701</v>
      </c>
      <c r="AG25">
        <v>145</v>
      </c>
      <c r="AH25">
        <v>29</v>
      </c>
      <c r="AI25">
        <f t="shared" si="22"/>
        <v>1</v>
      </c>
      <c r="AJ25">
        <f t="shared" si="23"/>
        <v>0</v>
      </c>
      <c r="AK25">
        <f t="shared" si="24"/>
        <v>52594.892501216287</v>
      </c>
      <c r="AL25">
        <v>0</v>
      </c>
      <c r="AM25">
        <v>0</v>
      </c>
      <c r="AN25">
        <v>0</v>
      </c>
      <c r="AO25">
        <f t="shared" si="25"/>
        <v>0</v>
      </c>
      <c r="AP25" t="e">
        <f t="shared" si="26"/>
        <v>#DIV/0!</v>
      </c>
      <c r="AQ25">
        <v>-1</v>
      </c>
      <c r="AR25" t="s">
        <v>326</v>
      </c>
      <c r="AS25">
        <v>279.53107692307702</v>
      </c>
      <c r="AT25">
        <v>417.53100000000001</v>
      </c>
      <c r="AU25">
        <f t="shared" si="27"/>
        <v>0.33051419673490823</v>
      </c>
      <c r="AV25">
        <v>0.5</v>
      </c>
      <c r="AW25">
        <f t="shared" si="28"/>
        <v>1681.1805964510395</v>
      </c>
      <c r="AX25">
        <f t="shared" si="29"/>
        <v>42.227437184771233</v>
      </c>
      <c r="AY25">
        <f t="shared" si="30"/>
        <v>277.82702720116464</v>
      </c>
      <c r="AZ25">
        <f t="shared" si="31"/>
        <v>0.56070327712193824</v>
      </c>
      <c r="BA25">
        <f t="shared" si="32"/>
        <v>2.5712548239031578E-2</v>
      </c>
      <c r="BB25">
        <f t="shared" si="33"/>
        <v>-1</v>
      </c>
      <c r="BC25" t="s">
        <v>327</v>
      </c>
      <c r="BD25">
        <v>183.42</v>
      </c>
      <c r="BE25">
        <f t="shared" si="34"/>
        <v>234.11100000000002</v>
      </c>
      <c r="BF25">
        <f t="shared" si="35"/>
        <v>0.58946364364307091</v>
      </c>
      <c r="BG25">
        <f t="shared" si="36"/>
        <v>2.276365718024207</v>
      </c>
      <c r="BH25">
        <f t="shared" si="37"/>
        <v>0.33051419673490828</v>
      </c>
      <c r="BI25" t="e">
        <f t="shared" si="38"/>
        <v>#DIV/0!</v>
      </c>
      <c r="BJ25">
        <v>6519</v>
      </c>
      <c r="BK25">
        <v>300</v>
      </c>
      <c r="BL25">
        <v>300</v>
      </c>
      <c r="BM25">
        <v>300</v>
      </c>
      <c r="BN25">
        <v>9860.1200000000008</v>
      </c>
      <c r="BO25">
        <v>379.21600000000001</v>
      </c>
      <c r="BP25">
        <v>-6.55735E-3</v>
      </c>
      <c r="BQ25">
        <v>1.6168800000000001</v>
      </c>
      <c r="BR25">
        <f t="shared" si="39"/>
        <v>1999.9806451612901</v>
      </c>
      <c r="BS25">
        <f t="shared" si="40"/>
        <v>1681.1805964510395</v>
      </c>
      <c r="BT25">
        <f t="shared" si="41"/>
        <v>0.84059843304906545</v>
      </c>
      <c r="BU25">
        <f t="shared" si="42"/>
        <v>0.19119686609813097</v>
      </c>
      <c r="BV25">
        <v>0.5</v>
      </c>
      <c r="BW25" t="s">
        <v>281</v>
      </c>
      <c r="BX25">
        <v>1598199088.5999999</v>
      </c>
      <c r="BY25">
        <v>581.81538709677397</v>
      </c>
      <c r="BZ25">
        <v>600.04380645161302</v>
      </c>
      <c r="CA25">
        <v>19.508441935483901</v>
      </c>
      <c r="CB25">
        <v>17.251138709677399</v>
      </c>
      <c r="CC25">
        <v>500.05980645161299</v>
      </c>
      <c r="CD25">
        <v>99.209000000000003</v>
      </c>
      <c r="CE25">
        <v>0.199962290322581</v>
      </c>
      <c r="CF25">
        <v>26.559158064516101</v>
      </c>
      <c r="CG25">
        <v>26.964877419354799</v>
      </c>
      <c r="CH25">
        <v>999.9</v>
      </c>
      <c r="CI25">
        <v>10011.667096774199</v>
      </c>
      <c r="CJ25">
        <v>0</v>
      </c>
      <c r="CK25">
        <v>140.87748387096801</v>
      </c>
      <c r="CL25">
        <v>1999.9806451612901</v>
      </c>
      <c r="CM25">
        <v>0.98000370967741901</v>
      </c>
      <c r="CN25">
        <v>1.9996564516128999E-2</v>
      </c>
      <c r="CO25">
        <v>0</v>
      </c>
      <c r="CP25">
        <v>279.545419354839</v>
      </c>
      <c r="CQ25">
        <v>5.00054</v>
      </c>
      <c r="CR25">
        <v>7398.7845161290297</v>
      </c>
      <c r="CS25">
        <v>18703.470967741901</v>
      </c>
      <c r="CT25">
        <v>50.233741935483899</v>
      </c>
      <c r="CU25">
        <v>51.425064516128998</v>
      </c>
      <c r="CV25">
        <v>50.645000000000003</v>
      </c>
      <c r="CW25">
        <v>50.4695161290323</v>
      </c>
      <c r="CX25">
        <v>51.546064516129</v>
      </c>
      <c r="CY25">
        <v>1955.0854838709699</v>
      </c>
      <c r="CZ25">
        <v>39.895161290322598</v>
      </c>
      <c r="DA25">
        <v>0</v>
      </c>
      <c r="DB25">
        <v>149.5</v>
      </c>
      <c r="DC25">
        <v>279.53107692307702</v>
      </c>
      <c r="DD25">
        <v>-1.64314530551315</v>
      </c>
      <c r="DE25">
        <v>-24.036581252028899</v>
      </c>
      <c r="DF25">
        <v>7399.0434615384602</v>
      </c>
      <c r="DG25">
        <v>15</v>
      </c>
      <c r="DH25">
        <v>1598199125.0999999</v>
      </c>
      <c r="DI25" t="s">
        <v>328</v>
      </c>
      <c r="DJ25">
        <v>9</v>
      </c>
      <c r="DK25">
        <v>-0.161</v>
      </c>
      <c r="DL25">
        <v>0.11799999999999999</v>
      </c>
      <c r="DM25">
        <v>600</v>
      </c>
      <c r="DN25">
        <v>17</v>
      </c>
      <c r="DO25">
        <v>0.15</v>
      </c>
      <c r="DP25">
        <v>0.04</v>
      </c>
      <c r="DQ25">
        <v>581.80938181818203</v>
      </c>
      <c r="DR25">
        <v>0.26498701298678201</v>
      </c>
      <c r="DS25">
        <v>4.1272703243885503E-2</v>
      </c>
      <c r="DT25">
        <v>1</v>
      </c>
      <c r="DU25">
        <v>19.539214545454499</v>
      </c>
      <c r="DV25">
        <v>-0.266738528138524</v>
      </c>
      <c r="DW25">
        <v>4.1753455679225199E-2</v>
      </c>
      <c r="DX25">
        <v>0</v>
      </c>
      <c r="DY25">
        <v>1</v>
      </c>
      <c r="DZ25">
        <v>2</v>
      </c>
      <c r="EA25" t="s">
        <v>283</v>
      </c>
      <c r="EB25">
        <v>1.86676</v>
      </c>
      <c r="EC25">
        <v>1.86331</v>
      </c>
      <c r="ED25">
        <v>1.8690199999999999</v>
      </c>
      <c r="EE25">
        <v>1.8669100000000001</v>
      </c>
      <c r="EF25">
        <v>1.87157</v>
      </c>
      <c r="EG25">
        <v>1.86402</v>
      </c>
      <c r="EH25">
        <v>1.8656600000000001</v>
      </c>
      <c r="EI25">
        <v>1.86554</v>
      </c>
      <c r="EJ25" t="s">
        <v>284</v>
      </c>
      <c r="EK25" t="s">
        <v>19</v>
      </c>
      <c r="EL25" t="s">
        <v>19</v>
      </c>
      <c r="EM25" t="s">
        <v>19</v>
      </c>
      <c r="EN25" t="s">
        <v>285</v>
      </c>
      <c r="EO25" t="s">
        <v>286</v>
      </c>
      <c r="EP25" t="s">
        <v>287</v>
      </c>
      <c r="EQ25" t="s">
        <v>287</v>
      </c>
      <c r="ER25" t="s">
        <v>287</v>
      </c>
      <c r="ES25" t="s">
        <v>287</v>
      </c>
      <c r="ET25">
        <v>0</v>
      </c>
      <c r="EU25">
        <v>100</v>
      </c>
      <c r="EV25">
        <v>100</v>
      </c>
      <c r="EW25">
        <v>-0.161</v>
      </c>
      <c r="EX25">
        <v>0.11799999999999999</v>
      </c>
      <c r="EY25">
        <v>2</v>
      </c>
      <c r="EZ25">
        <v>337.65699999999998</v>
      </c>
      <c r="FA25">
        <v>490.30900000000003</v>
      </c>
      <c r="FB25">
        <v>21.42</v>
      </c>
      <c r="FC25">
        <v>33.278100000000002</v>
      </c>
      <c r="FD25">
        <v>29.997299999999999</v>
      </c>
      <c r="FE25">
        <v>33.267000000000003</v>
      </c>
      <c r="FF25">
        <v>33.268799999999999</v>
      </c>
      <c r="FG25">
        <v>30.5595</v>
      </c>
      <c r="FH25">
        <v>45.929299999999998</v>
      </c>
      <c r="FI25">
        <v>0</v>
      </c>
      <c r="FJ25">
        <v>21.4163</v>
      </c>
      <c r="FK25">
        <v>600</v>
      </c>
      <c r="FL25">
        <v>17.002199999999998</v>
      </c>
      <c r="FM25">
        <v>100.9</v>
      </c>
      <c r="FN25">
        <v>101.23099999999999</v>
      </c>
    </row>
    <row r="26" spans="1:170" x14ac:dyDescent="0.25">
      <c r="A26">
        <v>10</v>
      </c>
      <c r="B26">
        <v>1598199231.5999999</v>
      </c>
      <c r="C26">
        <v>1130.5999999046301</v>
      </c>
      <c r="D26" t="s">
        <v>329</v>
      </c>
      <c r="E26" t="s">
        <v>330</v>
      </c>
      <c r="G26">
        <v>1598199223.60323</v>
      </c>
      <c r="H26">
        <f t="shared" si="0"/>
        <v>5.0803072468193116E-3</v>
      </c>
      <c r="I26">
        <f t="shared" si="1"/>
        <v>45.662907625777478</v>
      </c>
      <c r="J26">
        <f t="shared" si="2"/>
        <v>680.39867741935495</v>
      </c>
      <c r="K26">
        <f t="shared" si="3"/>
        <v>422.23590299749623</v>
      </c>
      <c r="L26">
        <f t="shared" si="4"/>
        <v>41.974463598457945</v>
      </c>
      <c r="M26">
        <f t="shared" si="5"/>
        <v>67.638420406771985</v>
      </c>
      <c r="N26">
        <f t="shared" si="6"/>
        <v>0.31355261156379066</v>
      </c>
      <c r="O26">
        <f t="shared" si="7"/>
        <v>3.3845647483220445</v>
      </c>
      <c r="P26">
        <f t="shared" si="8"/>
        <v>0.29826242539805298</v>
      </c>
      <c r="Q26">
        <f t="shared" si="9"/>
        <v>0.18772562759697653</v>
      </c>
      <c r="R26">
        <f t="shared" si="10"/>
        <v>321.44070116484079</v>
      </c>
      <c r="S26">
        <f t="shared" si="11"/>
        <v>26.88535236301859</v>
      </c>
      <c r="T26">
        <f t="shared" si="12"/>
        <v>26.9602</v>
      </c>
      <c r="U26">
        <f t="shared" si="13"/>
        <v>3.5708017500451525</v>
      </c>
      <c r="V26">
        <f t="shared" si="14"/>
        <v>55.75291121096194</v>
      </c>
      <c r="W26">
        <f t="shared" si="15"/>
        <v>1.9243498950174993</v>
      </c>
      <c r="X26">
        <f t="shared" si="16"/>
        <v>3.4515684530553097</v>
      </c>
      <c r="Y26">
        <f t="shared" si="17"/>
        <v>1.6464518550276532</v>
      </c>
      <c r="Z26">
        <f t="shared" si="18"/>
        <v>-224.04154958473163</v>
      </c>
      <c r="AA26">
        <f t="shared" si="19"/>
        <v>-105.25204029756722</v>
      </c>
      <c r="AB26">
        <f t="shared" si="20"/>
        <v>-6.6892416775268515</v>
      </c>
      <c r="AC26">
        <f t="shared" si="21"/>
        <v>-14.542130394984923</v>
      </c>
      <c r="AD26">
        <v>-4.1208717856510098E-2</v>
      </c>
      <c r="AE26">
        <v>4.62603958758925E-2</v>
      </c>
      <c r="AF26">
        <v>3.4568788279963001</v>
      </c>
      <c r="AG26">
        <v>146</v>
      </c>
      <c r="AH26">
        <v>29</v>
      </c>
      <c r="AI26">
        <f t="shared" si="22"/>
        <v>1</v>
      </c>
      <c r="AJ26">
        <f t="shared" si="23"/>
        <v>0</v>
      </c>
      <c r="AK26">
        <f t="shared" si="24"/>
        <v>52652.251066122168</v>
      </c>
      <c r="AL26">
        <v>0</v>
      </c>
      <c r="AM26">
        <v>0</v>
      </c>
      <c r="AN26">
        <v>0</v>
      </c>
      <c r="AO26">
        <f t="shared" si="25"/>
        <v>0</v>
      </c>
      <c r="AP26" t="e">
        <f t="shared" si="26"/>
        <v>#DIV/0!</v>
      </c>
      <c r="AQ26">
        <v>-1</v>
      </c>
      <c r="AR26" t="s">
        <v>331</v>
      </c>
      <c r="AS26">
        <v>283.09811538461503</v>
      </c>
      <c r="AT26">
        <v>428.584</v>
      </c>
      <c r="AU26">
        <f t="shared" si="27"/>
        <v>0.3394571066941019</v>
      </c>
      <c r="AV26">
        <v>0.5</v>
      </c>
      <c r="AW26">
        <f t="shared" si="28"/>
        <v>1681.2028254832962</v>
      </c>
      <c r="AX26">
        <f t="shared" si="29"/>
        <v>45.662907625777478</v>
      </c>
      <c r="AY26">
        <f t="shared" si="30"/>
        <v>285.34812345225441</v>
      </c>
      <c r="AZ26">
        <f t="shared" si="31"/>
        <v>0.56601273029324473</v>
      </c>
      <c r="BA26">
        <f t="shared" si="32"/>
        <v>2.7755668095765462E-2</v>
      </c>
      <c r="BB26">
        <f t="shared" si="33"/>
        <v>-1</v>
      </c>
      <c r="BC26" t="s">
        <v>332</v>
      </c>
      <c r="BD26">
        <v>186</v>
      </c>
      <c r="BE26">
        <f t="shared" si="34"/>
        <v>242.584</v>
      </c>
      <c r="BF26">
        <f t="shared" si="35"/>
        <v>0.59973404929997431</v>
      </c>
      <c r="BG26">
        <f t="shared" si="36"/>
        <v>2.3042150537634409</v>
      </c>
      <c r="BH26">
        <f t="shared" si="37"/>
        <v>0.3394571066941019</v>
      </c>
      <c r="BI26" t="e">
        <f t="shared" si="38"/>
        <v>#DIV/0!</v>
      </c>
      <c r="BJ26">
        <v>6521</v>
      </c>
      <c r="BK26">
        <v>300</v>
      </c>
      <c r="BL26">
        <v>300</v>
      </c>
      <c r="BM26">
        <v>300</v>
      </c>
      <c r="BN26">
        <v>9860.1200000000008</v>
      </c>
      <c r="BO26">
        <v>389.44600000000003</v>
      </c>
      <c r="BP26">
        <v>-6.5571400000000004E-3</v>
      </c>
      <c r="BQ26">
        <v>1.5681799999999999</v>
      </c>
      <c r="BR26">
        <f t="shared" si="39"/>
        <v>2000.0070967741899</v>
      </c>
      <c r="BS26">
        <f t="shared" si="40"/>
        <v>1681.2028254832962</v>
      </c>
      <c r="BT26">
        <f t="shared" si="41"/>
        <v>0.84059842997302714</v>
      </c>
      <c r="BU26">
        <f t="shared" si="42"/>
        <v>0.19119685994605443</v>
      </c>
      <c r="BV26">
        <v>0.5</v>
      </c>
      <c r="BW26" t="s">
        <v>281</v>
      </c>
      <c r="BX26">
        <v>1598199223.60323</v>
      </c>
      <c r="BY26">
        <v>680.39867741935495</v>
      </c>
      <c r="BZ26">
        <v>700.04370967741897</v>
      </c>
      <c r="CA26">
        <v>19.357712903225799</v>
      </c>
      <c r="CB26">
        <v>17.365209677419401</v>
      </c>
      <c r="CC26">
        <v>500.070870967742</v>
      </c>
      <c r="CD26">
        <v>99.210022580645202</v>
      </c>
      <c r="CE26">
        <v>0.199959612903226</v>
      </c>
      <c r="CF26">
        <v>26.383377419354801</v>
      </c>
      <c r="CG26">
        <v>26.9602</v>
      </c>
      <c r="CH26">
        <v>999.9</v>
      </c>
      <c r="CI26">
        <v>10016.8132258065</v>
      </c>
      <c r="CJ26">
        <v>0</v>
      </c>
      <c r="CK26">
        <v>137.90041935483899</v>
      </c>
      <c r="CL26">
        <v>2000.0070967741899</v>
      </c>
      <c r="CM26">
        <v>0.98000364516129002</v>
      </c>
      <c r="CN26">
        <v>1.9996629032258101E-2</v>
      </c>
      <c r="CO26">
        <v>0</v>
      </c>
      <c r="CP26">
        <v>283.115096774194</v>
      </c>
      <c r="CQ26">
        <v>5.00054</v>
      </c>
      <c r="CR26">
        <v>7483.7435483871004</v>
      </c>
      <c r="CS26">
        <v>18703.732258064501</v>
      </c>
      <c r="CT26">
        <v>50.362741935483903</v>
      </c>
      <c r="CU26">
        <v>51.588419354838699</v>
      </c>
      <c r="CV26">
        <v>50.808</v>
      </c>
      <c r="CW26">
        <v>50.612709677419403</v>
      </c>
      <c r="CX26">
        <v>51.662999999999997</v>
      </c>
      <c r="CY26">
        <v>1955.11161290323</v>
      </c>
      <c r="CZ26">
        <v>39.895483870967801</v>
      </c>
      <c r="DA26">
        <v>0</v>
      </c>
      <c r="DB26">
        <v>134.60000014305101</v>
      </c>
      <c r="DC26">
        <v>283.09811538461503</v>
      </c>
      <c r="DD26">
        <v>-9.3982918489954506E-2</v>
      </c>
      <c r="DE26">
        <v>-40.675897576222802</v>
      </c>
      <c r="DF26">
        <v>7483.3249999999998</v>
      </c>
      <c r="DG26">
        <v>15</v>
      </c>
      <c r="DH26">
        <v>1598199257.5999999</v>
      </c>
      <c r="DI26" t="s">
        <v>333</v>
      </c>
      <c r="DJ26">
        <v>10</v>
      </c>
      <c r="DK26">
        <v>-0.03</v>
      </c>
      <c r="DL26">
        <v>0.11700000000000001</v>
      </c>
      <c r="DM26">
        <v>700</v>
      </c>
      <c r="DN26">
        <v>17</v>
      </c>
      <c r="DO26">
        <v>0.11</v>
      </c>
      <c r="DP26">
        <v>0.03</v>
      </c>
      <c r="DQ26">
        <v>680.22781818181795</v>
      </c>
      <c r="DR26">
        <v>0.294611181138004</v>
      </c>
      <c r="DS26">
        <v>5.2658450382570901E-2</v>
      </c>
      <c r="DT26">
        <v>1</v>
      </c>
      <c r="DU26">
        <v>19.3511145454545</v>
      </c>
      <c r="DV26">
        <v>8.4271487754213698E-2</v>
      </c>
      <c r="DW26">
        <v>1.46227272444685E-2</v>
      </c>
      <c r="DX26">
        <v>1</v>
      </c>
      <c r="DY26">
        <v>2</v>
      </c>
      <c r="DZ26">
        <v>2</v>
      </c>
      <c r="EA26" t="s">
        <v>293</v>
      </c>
      <c r="EB26">
        <v>1.86677</v>
      </c>
      <c r="EC26">
        <v>1.86328</v>
      </c>
      <c r="ED26">
        <v>1.8689899999999999</v>
      </c>
      <c r="EE26">
        <v>1.8669100000000001</v>
      </c>
      <c r="EF26">
        <v>1.8715900000000001</v>
      </c>
      <c r="EG26">
        <v>1.86402</v>
      </c>
      <c r="EH26">
        <v>1.8656600000000001</v>
      </c>
      <c r="EI26">
        <v>1.86555</v>
      </c>
      <c r="EJ26" t="s">
        <v>284</v>
      </c>
      <c r="EK26" t="s">
        <v>19</v>
      </c>
      <c r="EL26" t="s">
        <v>19</v>
      </c>
      <c r="EM26" t="s">
        <v>19</v>
      </c>
      <c r="EN26" t="s">
        <v>285</v>
      </c>
      <c r="EO26" t="s">
        <v>286</v>
      </c>
      <c r="EP26" t="s">
        <v>287</v>
      </c>
      <c r="EQ26" t="s">
        <v>287</v>
      </c>
      <c r="ER26" t="s">
        <v>287</v>
      </c>
      <c r="ES26" t="s">
        <v>287</v>
      </c>
      <c r="ET26">
        <v>0</v>
      </c>
      <c r="EU26">
        <v>100</v>
      </c>
      <c r="EV26">
        <v>100</v>
      </c>
      <c r="EW26">
        <v>-0.03</v>
      </c>
      <c r="EX26">
        <v>0.11700000000000001</v>
      </c>
      <c r="EY26">
        <v>2</v>
      </c>
      <c r="EZ26">
        <v>336.79199999999997</v>
      </c>
      <c r="FA26">
        <v>489.32299999999998</v>
      </c>
      <c r="FB26">
        <v>21.1035</v>
      </c>
      <c r="FC26">
        <v>33.423499999999997</v>
      </c>
      <c r="FD26">
        <v>29.997199999999999</v>
      </c>
      <c r="FE26">
        <v>33.383200000000002</v>
      </c>
      <c r="FF26">
        <v>33.378399999999999</v>
      </c>
      <c r="FG26">
        <v>34.597799999999999</v>
      </c>
      <c r="FH26">
        <v>46.102600000000002</v>
      </c>
      <c r="FI26">
        <v>0</v>
      </c>
      <c r="FJ26">
        <v>21.132000000000001</v>
      </c>
      <c r="FK26">
        <v>700</v>
      </c>
      <c r="FL26">
        <v>17.013100000000001</v>
      </c>
      <c r="FM26">
        <v>100.873</v>
      </c>
      <c r="FN26">
        <v>101.206</v>
      </c>
    </row>
    <row r="27" spans="1:170" x14ac:dyDescent="0.25">
      <c r="A27">
        <v>11</v>
      </c>
      <c r="B27">
        <v>1598199366.7</v>
      </c>
      <c r="C27">
        <v>1265.7000000476801</v>
      </c>
      <c r="D27" t="s">
        <v>334</v>
      </c>
      <c r="E27" t="s">
        <v>335</v>
      </c>
      <c r="G27">
        <v>1598199358.64516</v>
      </c>
      <c r="H27">
        <f t="shared" si="0"/>
        <v>4.6267925154742833E-3</v>
      </c>
      <c r="I27">
        <f t="shared" si="1"/>
        <v>48.164274834849437</v>
      </c>
      <c r="J27">
        <f t="shared" si="2"/>
        <v>779.27645161290297</v>
      </c>
      <c r="K27">
        <f t="shared" si="3"/>
        <v>470.69586671560563</v>
      </c>
      <c r="L27">
        <f t="shared" si="4"/>
        <v>46.79150423009618</v>
      </c>
      <c r="M27">
        <f t="shared" si="5"/>
        <v>77.46725637616602</v>
      </c>
      <c r="N27">
        <f t="shared" si="6"/>
        <v>0.27494506344110398</v>
      </c>
      <c r="O27">
        <f t="shared" si="7"/>
        <v>3.3781982903990806</v>
      </c>
      <c r="P27">
        <f t="shared" si="8"/>
        <v>0.26309078410066022</v>
      </c>
      <c r="Q27">
        <f t="shared" si="9"/>
        <v>0.1654542074814532</v>
      </c>
      <c r="R27">
        <f t="shared" si="10"/>
        <v>321.43890044670172</v>
      </c>
      <c r="S27">
        <f t="shared" si="11"/>
        <v>27.023843141675435</v>
      </c>
      <c r="T27">
        <f t="shared" si="12"/>
        <v>27.091787096774201</v>
      </c>
      <c r="U27">
        <f t="shared" si="13"/>
        <v>3.5984999845514478</v>
      </c>
      <c r="V27">
        <f t="shared" si="14"/>
        <v>54.895381610919401</v>
      </c>
      <c r="W27">
        <f t="shared" si="15"/>
        <v>1.8985969393906947</v>
      </c>
      <c r="X27">
        <f t="shared" si="16"/>
        <v>3.4585731689549624</v>
      </c>
      <c r="Y27">
        <f t="shared" si="17"/>
        <v>1.6999030451607531</v>
      </c>
      <c r="Z27">
        <f t="shared" si="18"/>
        <v>-204.0415499324159</v>
      </c>
      <c r="AA27">
        <f t="shared" si="19"/>
        <v>-122.76076229961016</v>
      </c>
      <c r="AB27">
        <f t="shared" si="20"/>
        <v>-7.8232008447918124</v>
      </c>
      <c r="AC27">
        <f t="shared" si="21"/>
        <v>-13.186612630116159</v>
      </c>
      <c r="AD27">
        <v>-4.1110269826693503E-2</v>
      </c>
      <c r="AE27">
        <v>4.6149879337902301E-2</v>
      </c>
      <c r="AF27">
        <v>3.4503396110300502</v>
      </c>
      <c r="AG27">
        <v>144</v>
      </c>
      <c r="AH27">
        <v>29</v>
      </c>
      <c r="AI27">
        <f t="shared" si="22"/>
        <v>1</v>
      </c>
      <c r="AJ27">
        <f t="shared" si="23"/>
        <v>0</v>
      </c>
      <c r="AK27">
        <f t="shared" si="24"/>
        <v>52525.567752841423</v>
      </c>
      <c r="AL27">
        <v>0</v>
      </c>
      <c r="AM27">
        <v>0</v>
      </c>
      <c r="AN27">
        <v>0</v>
      </c>
      <c r="AO27">
        <f t="shared" si="25"/>
        <v>0</v>
      </c>
      <c r="AP27" t="e">
        <f t="shared" si="26"/>
        <v>#DIV/0!</v>
      </c>
      <c r="AQ27">
        <v>-1</v>
      </c>
      <c r="AR27" t="s">
        <v>336</v>
      </c>
      <c r="AS27">
        <v>284.17226923076902</v>
      </c>
      <c r="AT27">
        <v>434.149</v>
      </c>
      <c r="AU27">
        <f t="shared" si="27"/>
        <v>0.34544990491566485</v>
      </c>
      <c r="AV27">
        <v>0.5</v>
      </c>
      <c r="AW27">
        <f t="shared" si="28"/>
        <v>1681.1945596160613</v>
      </c>
      <c r="AX27">
        <f t="shared" si="29"/>
        <v>48.164274834849437</v>
      </c>
      <c r="AY27">
        <f t="shared" si="30"/>
        <v>290.38425038205071</v>
      </c>
      <c r="AZ27">
        <f t="shared" si="31"/>
        <v>0.57774865311218038</v>
      </c>
      <c r="BA27">
        <f t="shared" si="32"/>
        <v>2.9243655681396689E-2</v>
      </c>
      <c r="BB27">
        <f t="shared" si="33"/>
        <v>-1</v>
      </c>
      <c r="BC27" t="s">
        <v>337</v>
      </c>
      <c r="BD27">
        <v>183.32</v>
      </c>
      <c r="BE27">
        <f t="shared" si="34"/>
        <v>250.82900000000001</v>
      </c>
      <c r="BF27">
        <f t="shared" si="35"/>
        <v>0.59792420640847344</v>
      </c>
      <c r="BG27">
        <f t="shared" si="36"/>
        <v>2.3682576914684703</v>
      </c>
      <c r="BH27">
        <f t="shared" si="37"/>
        <v>0.34544990491566485</v>
      </c>
      <c r="BI27" t="e">
        <f t="shared" si="38"/>
        <v>#DIV/0!</v>
      </c>
      <c r="BJ27">
        <v>6523</v>
      </c>
      <c r="BK27">
        <v>300</v>
      </c>
      <c r="BL27">
        <v>300</v>
      </c>
      <c r="BM27">
        <v>300</v>
      </c>
      <c r="BN27">
        <v>9859.91</v>
      </c>
      <c r="BO27">
        <v>394.07400000000001</v>
      </c>
      <c r="BP27">
        <v>-6.5568700000000002E-3</v>
      </c>
      <c r="BQ27">
        <v>2.7109100000000002</v>
      </c>
      <c r="BR27">
        <f t="shared" si="39"/>
        <v>1999.9974193548401</v>
      </c>
      <c r="BS27">
        <f t="shared" si="40"/>
        <v>1681.1945596160613</v>
      </c>
      <c r="BT27">
        <f t="shared" si="41"/>
        <v>0.84059836445108094</v>
      </c>
      <c r="BU27">
        <f t="shared" si="42"/>
        <v>0.19119672890216202</v>
      </c>
      <c r="BV27">
        <v>0.5</v>
      </c>
      <c r="BW27" t="s">
        <v>281</v>
      </c>
      <c r="BX27">
        <v>1598199358.64516</v>
      </c>
      <c r="BY27">
        <v>779.27645161290297</v>
      </c>
      <c r="BZ27">
        <v>799.98177419354795</v>
      </c>
      <c r="CA27">
        <v>19.098803225806499</v>
      </c>
      <c r="CB27">
        <v>17.283661290322598</v>
      </c>
      <c r="CC27">
        <v>500.06296774193601</v>
      </c>
      <c r="CD27">
        <v>99.209212903225804</v>
      </c>
      <c r="CE27">
        <v>0.19999703225806501</v>
      </c>
      <c r="CF27">
        <v>26.4177419354839</v>
      </c>
      <c r="CG27">
        <v>27.091787096774201</v>
      </c>
      <c r="CH27">
        <v>999.9</v>
      </c>
      <c r="CI27">
        <v>9992.96451612903</v>
      </c>
      <c r="CJ27">
        <v>0</v>
      </c>
      <c r="CK27">
        <v>143.300193548387</v>
      </c>
      <c r="CL27">
        <v>1999.9974193548401</v>
      </c>
      <c r="CM27">
        <v>0.98000429032258096</v>
      </c>
      <c r="CN27">
        <v>1.9996054838709702E-2</v>
      </c>
      <c r="CO27">
        <v>0</v>
      </c>
      <c r="CP27">
        <v>284.19309677419398</v>
      </c>
      <c r="CQ27">
        <v>5.00054</v>
      </c>
      <c r="CR27">
        <v>7521.6441935483899</v>
      </c>
      <c r="CS27">
        <v>18703.635483870999</v>
      </c>
      <c r="CT27">
        <v>50.4431612903226</v>
      </c>
      <c r="CU27">
        <v>51.679000000000002</v>
      </c>
      <c r="CV27">
        <v>50.883000000000003</v>
      </c>
      <c r="CW27">
        <v>50.689290322580597</v>
      </c>
      <c r="CX27">
        <v>51.721548387096803</v>
      </c>
      <c r="CY27">
        <v>1955.1087096774199</v>
      </c>
      <c r="CZ27">
        <v>39.890967741935498</v>
      </c>
      <c r="DA27">
        <v>0</v>
      </c>
      <c r="DB27">
        <v>134.60000014305101</v>
      </c>
      <c r="DC27">
        <v>284.17226923076902</v>
      </c>
      <c r="DD27">
        <v>-1.85309401040217</v>
      </c>
      <c r="DE27">
        <v>-33.291282149497903</v>
      </c>
      <c r="DF27">
        <v>7521.7411538461502</v>
      </c>
      <c r="DG27">
        <v>15</v>
      </c>
      <c r="DH27">
        <v>1598199397.0999999</v>
      </c>
      <c r="DI27" t="s">
        <v>338</v>
      </c>
      <c r="DJ27">
        <v>11</v>
      </c>
      <c r="DK27">
        <v>-0.123</v>
      </c>
      <c r="DL27">
        <v>0.121</v>
      </c>
      <c r="DM27">
        <v>800</v>
      </c>
      <c r="DN27">
        <v>17</v>
      </c>
      <c r="DO27">
        <v>0.12</v>
      </c>
      <c r="DP27">
        <v>0.05</v>
      </c>
      <c r="DQ27">
        <v>779.32749090909101</v>
      </c>
      <c r="DR27">
        <v>0.29978183396249902</v>
      </c>
      <c r="DS27">
        <v>5.0865552811406603E-2</v>
      </c>
      <c r="DT27">
        <v>1</v>
      </c>
      <c r="DU27">
        <v>19.107738181818199</v>
      </c>
      <c r="DV27">
        <v>-0.117893045287171</v>
      </c>
      <c r="DW27">
        <v>1.63896806880993E-2</v>
      </c>
      <c r="DX27">
        <v>1</v>
      </c>
      <c r="DY27">
        <v>2</v>
      </c>
      <c r="DZ27">
        <v>2</v>
      </c>
      <c r="EA27" t="s">
        <v>293</v>
      </c>
      <c r="EB27">
        <v>1.86676</v>
      </c>
      <c r="EC27">
        <v>1.8632500000000001</v>
      </c>
      <c r="ED27">
        <v>1.8689</v>
      </c>
      <c r="EE27">
        <v>1.86683</v>
      </c>
      <c r="EF27">
        <v>1.87151</v>
      </c>
      <c r="EG27">
        <v>1.8640000000000001</v>
      </c>
      <c r="EH27">
        <v>1.8655600000000001</v>
      </c>
      <c r="EI27">
        <v>1.8655299999999999</v>
      </c>
      <c r="EJ27" t="s">
        <v>284</v>
      </c>
      <c r="EK27" t="s">
        <v>19</v>
      </c>
      <c r="EL27" t="s">
        <v>19</v>
      </c>
      <c r="EM27" t="s">
        <v>19</v>
      </c>
      <c r="EN27" t="s">
        <v>285</v>
      </c>
      <c r="EO27" t="s">
        <v>286</v>
      </c>
      <c r="EP27" t="s">
        <v>287</v>
      </c>
      <c r="EQ27" t="s">
        <v>287</v>
      </c>
      <c r="ER27" t="s">
        <v>287</v>
      </c>
      <c r="ES27" t="s">
        <v>287</v>
      </c>
      <c r="ET27">
        <v>0</v>
      </c>
      <c r="EU27">
        <v>100</v>
      </c>
      <c r="EV27">
        <v>100</v>
      </c>
      <c r="EW27">
        <v>-0.123</v>
      </c>
      <c r="EX27">
        <v>0.121</v>
      </c>
      <c r="EY27">
        <v>2</v>
      </c>
      <c r="EZ27">
        <v>338.28399999999999</v>
      </c>
      <c r="FA27">
        <v>488.65100000000001</v>
      </c>
      <c r="FB27">
        <v>20.438400000000001</v>
      </c>
      <c r="FC27">
        <v>33.500700000000002</v>
      </c>
      <c r="FD27">
        <v>30.000699999999998</v>
      </c>
      <c r="FE27">
        <v>33.470100000000002</v>
      </c>
      <c r="FF27">
        <v>33.466500000000003</v>
      </c>
      <c r="FG27">
        <v>38.535499999999999</v>
      </c>
      <c r="FH27">
        <v>46.005000000000003</v>
      </c>
      <c r="FI27">
        <v>0</v>
      </c>
      <c r="FJ27">
        <v>20.320900000000002</v>
      </c>
      <c r="FK27">
        <v>800</v>
      </c>
      <c r="FL27">
        <v>17.351500000000001</v>
      </c>
      <c r="FM27">
        <v>100.85</v>
      </c>
      <c r="FN27">
        <v>101.18600000000001</v>
      </c>
    </row>
    <row r="28" spans="1:170" x14ac:dyDescent="0.25">
      <c r="A28">
        <v>12</v>
      </c>
      <c r="B28">
        <v>1598199518.7</v>
      </c>
      <c r="C28">
        <v>1417.7000000476801</v>
      </c>
      <c r="D28" t="s">
        <v>339</v>
      </c>
      <c r="E28" t="s">
        <v>340</v>
      </c>
      <c r="G28">
        <v>1598199510.64516</v>
      </c>
      <c r="H28">
        <f t="shared" si="0"/>
        <v>4.4458977335416023E-3</v>
      </c>
      <c r="I28">
        <f t="shared" si="1"/>
        <v>51.358070888705448</v>
      </c>
      <c r="J28">
        <f t="shared" si="2"/>
        <v>977.735064516129</v>
      </c>
      <c r="K28">
        <f t="shared" si="3"/>
        <v>628.3843387281172</v>
      </c>
      <c r="L28">
        <f t="shared" si="4"/>
        <v>62.468696663078461</v>
      </c>
      <c r="M28">
        <f t="shared" si="5"/>
        <v>97.198213573779142</v>
      </c>
      <c r="N28">
        <f t="shared" si="6"/>
        <v>0.26077494072213081</v>
      </c>
      <c r="O28">
        <f t="shared" si="7"/>
        <v>3.3797794782444819</v>
      </c>
      <c r="P28">
        <f t="shared" si="8"/>
        <v>0.25009030931529413</v>
      </c>
      <c r="Q28">
        <f t="shared" si="9"/>
        <v>0.15722993582494146</v>
      </c>
      <c r="R28">
        <f t="shared" si="10"/>
        <v>321.44000978166406</v>
      </c>
      <c r="S28">
        <f t="shared" si="11"/>
        <v>26.618226167592386</v>
      </c>
      <c r="T28">
        <f t="shared" si="12"/>
        <v>26.9671709677419</v>
      </c>
      <c r="U28">
        <f t="shared" si="13"/>
        <v>3.5722644113272279</v>
      </c>
      <c r="V28">
        <f t="shared" si="14"/>
        <v>55.016851691424186</v>
      </c>
      <c r="W28">
        <f t="shared" si="15"/>
        <v>1.853232452606794</v>
      </c>
      <c r="X28">
        <f t="shared" si="16"/>
        <v>3.3684814663716369</v>
      </c>
      <c r="Y28">
        <f t="shared" si="17"/>
        <v>1.7190319587204339</v>
      </c>
      <c r="Z28">
        <f t="shared" si="18"/>
        <v>-196.06409004918467</v>
      </c>
      <c r="AA28">
        <f t="shared" si="19"/>
        <v>-181.50475182418359</v>
      </c>
      <c r="AB28">
        <f t="shared" si="20"/>
        <v>-11.528375961961334</v>
      </c>
      <c r="AC28">
        <f t="shared" si="21"/>
        <v>-67.657208053665528</v>
      </c>
      <c r="AD28">
        <v>-4.11347128464149E-2</v>
      </c>
      <c r="AE28">
        <v>4.6177318768865702E-2</v>
      </c>
      <c r="AF28">
        <v>3.4519636920924102</v>
      </c>
      <c r="AG28">
        <v>145</v>
      </c>
      <c r="AH28">
        <v>29</v>
      </c>
      <c r="AI28">
        <f t="shared" si="22"/>
        <v>1</v>
      </c>
      <c r="AJ28">
        <f t="shared" si="23"/>
        <v>0</v>
      </c>
      <c r="AK28">
        <f t="shared" si="24"/>
        <v>52634.099601537782</v>
      </c>
      <c r="AL28">
        <v>0</v>
      </c>
      <c r="AM28">
        <v>0</v>
      </c>
      <c r="AN28">
        <v>0</v>
      </c>
      <c r="AO28">
        <f t="shared" si="25"/>
        <v>0</v>
      </c>
      <c r="AP28" t="e">
        <f t="shared" si="26"/>
        <v>#DIV/0!</v>
      </c>
      <c r="AQ28">
        <v>-1</v>
      </c>
      <c r="AR28" t="s">
        <v>341</v>
      </c>
      <c r="AS28">
        <v>283.94907692307697</v>
      </c>
      <c r="AT28">
        <v>432.5</v>
      </c>
      <c r="AU28">
        <f t="shared" si="27"/>
        <v>0.34347034237438845</v>
      </c>
      <c r="AV28">
        <v>0.5</v>
      </c>
      <c r="AW28">
        <f t="shared" si="28"/>
        <v>1681.1992911017958</v>
      </c>
      <c r="AX28">
        <f t="shared" si="29"/>
        <v>51.358070888705448</v>
      </c>
      <c r="AY28">
        <f t="shared" si="30"/>
        <v>288.72104805715645</v>
      </c>
      <c r="AZ28">
        <f t="shared" si="31"/>
        <v>0.57979190751445087</v>
      </c>
      <c r="BA28">
        <f t="shared" si="32"/>
        <v>3.1143286322939088E-2</v>
      </c>
      <c r="BB28">
        <f t="shared" si="33"/>
        <v>-1</v>
      </c>
      <c r="BC28" t="s">
        <v>342</v>
      </c>
      <c r="BD28">
        <v>181.74</v>
      </c>
      <c r="BE28">
        <f t="shared" si="34"/>
        <v>250.76</v>
      </c>
      <c r="BF28">
        <f t="shared" si="35"/>
        <v>0.59240278783268074</v>
      </c>
      <c r="BG28">
        <f t="shared" si="36"/>
        <v>2.3797733025200833</v>
      </c>
      <c r="BH28">
        <f t="shared" si="37"/>
        <v>0.3434703423743885</v>
      </c>
      <c r="BI28" t="e">
        <f t="shared" si="38"/>
        <v>#DIV/0!</v>
      </c>
      <c r="BJ28">
        <v>6525</v>
      </c>
      <c r="BK28">
        <v>300</v>
      </c>
      <c r="BL28">
        <v>300</v>
      </c>
      <c r="BM28">
        <v>300</v>
      </c>
      <c r="BN28">
        <v>9859.94</v>
      </c>
      <c r="BO28">
        <v>391.327</v>
      </c>
      <c r="BP28">
        <v>-6.5570200000000002E-3</v>
      </c>
      <c r="BQ28">
        <v>1.34656</v>
      </c>
      <c r="BR28">
        <f t="shared" si="39"/>
        <v>2000.0029032258101</v>
      </c>
      <c r="BS28">
        <f t="shared" si="40"/>
        <v>1681.1992911017958</v>
      </c>
      <c r="BT28">
        <f t="shared" si="41"/>
        <v>0.84059842532737572</v>
      </c>
      <c r="BU28">
        <f t="shared" si="42"/>
        <v>0.19119685065475145</v>
      </c>
      <c r="BV28">
        <v>0.5</v>
      </c>
      <c r="BW28" t="s">
        <v>281</v>
      </c>
      <c r="BX28">
        <v>1598199510.64516</v>
      </c>
      <c r="BY28">
        <v>977.735064516129</v>
      </c>
      <c r="BZ28">
        <v>1000.01383870968</v>
      </c>
      <c r="CA28">
        <v>18.642012903225801</v>
      </c>
      <c r="CB28">
        <v>16.897058064516099</v>
      </c>
      <c r="CC28">
        <v>500.07222580645202</v>
      </c>
      <c r="CD28">
        <v>99.211587096774196</v>
      </c>
      <c r="CE28">
        <v>0.20001948387096799</v>
      </c>
      <c r="CF28">
        <v>25.971045161290299</v>
      </c>
      <c r="CG28">
        <v>26.9671709677419</v>
      </c>
      <c r="CH28">
        <v>999.9</v>
      </c>
      <c r="CI28">
        <v>9998.6667741935507</v>
      </c>
      <c r="CJ28">
        <v>0</v>
      </c>
      <c r="CK28">
        <v>144.77641935483899</v>
      </c>
      <c r="CL28">
        <v>2000.0029032258101</v>
      </c>
      <c r="CM28">
        <v>0.98000438709677395</v>
      </c>
      <c r="CN28">
        <v>1.9995951612903198E-2</v>
      </c>
      <c r="CO28">
        <v>0</v>
      </c>
      <c r="CP28">
        <v>283.94267741935499</v>
      </c>
      <c r="CQ28">
        <v>5.00054</v>
      </c>
      <c r="CR28">
        <v>7543.2561290322601</v>
      </c>
      <c r="CS28">
        <v>18703.674193548399</v>
      </c>
      <c r="CT28">
        <v>50.5842903225806</v>
      </c>
      <c r="CU28">
        <v>51.842483870967698</v>
      </c>
      <c r="CV28">
        <v>51.042000000000002</v>
      </c>
      <c r="CW28">
        <v>50.862677419354803</v>
      </c>
      <c r="CX28">
        <v>51.820193548387103</v>
      </c>
      <c r="CY28">
        <v>1955.1112903225801</v>
      </c>
      <c r="CZ28">
        <v>39.895161290322598</v>
      </c>
      <c r="DA28">
        <v>0</v>
      </c>
      <c r="DB28">
        <v>151.40000009536701</v>
      </c>
      <c r="DC28">
        <v>283.94907692307697</v>
      </c>
      <c r="DD28">
        <v>-1.22707692657901</v>
      </c>
      <c r="DE28">
        <v>-98.430085252479103</v>
      </c>
      <c r="DF28">
        <v>7541.9161538461503</v>
      </c>
      <c r="DG28">
        <v>15</v>
      </c>
      <c r="DH28">
        <v>1598199543.0999999</v>
      </c>
      <c r="DI28" t="s">
        <v>343</v>
      </c>
      <c r="DJ28">
        <v>12</v>
      </c>
      <c r="DK28">
        <v>0.248</v>
      </c>
      <c r="DL28">
        <v>0.115</v>
      </c>
      <c r="DM28">
        <v>1000</v>
      </c>
      <c r="DN28">
        <v>17</v>
      </c>
      <c r="DO28">
        <v>0.11</v>
      </c>
      <c r="DP28">
        <v>0.05</v>
      </c>
      <c r="DQ28">
        <v>977.29016363636401</v>
      </c>
      <c r="DR28">
        <v>0.62604032368729201</v>
      </c>
      <c r="DS28">
        <v>9.0676400384977596E-2</v>
      </c>
      <c r="DT28">
        <v>0</v>
      </c>
      <c r="DU28">
        <v>18.683499999999999</v>
      </c>
      <c r="DV28">
        <v>-0.30182676238919098</v>
      </c>
      <c r="DW28">
        <v>4.0686893131907903E-2</v>
      </c>
      <c r="DX28">
        <v>0</v>
      </c>
      <c r="DY28">
        <v>0</v>
      </c>
      <c r="DZ28">
        <v>2</v>
      </c>
      <c r="EA28" t="s">
        <v>344</v>
      </c>
      <c r="EB28">
        <v>1.86676</v>
      </c>
      <c r="EC28">
        <v>1.8632500000000001</v>
      </c>
      <c r="ED28">
        <v>1.86893</v>
      </c>
      <c r="EE28">
        <v>1.8668800000000001</v>
      </c>
      <c r="EF28">
        <v>1.8715299999999999</v>
      </c>
      <c r="EG28">
        <v>1.8640099999999999</v>
      </c>
      <c r="EH28">
        <v>1.86555</v>
      </c>
      <c r="EI28">
        <v>1.86554</v>
      </c>
      <c r="EJ28" t="s">
        <v>284</v>
      </c>
      <c r="EK28" t="s">
        <v>19</v>
      </c>
      <c r="EL28" t="s">
        <v>19</v>
      </c>
      <c r="EM28" t="s">
        <v>19</v>
      </c>
      <c r="EN28" t="s">
        <v>285</v>
      </c>
      <c r="EO28" t="s">
        <v>286</v>
      </c>
      <c r="EP28" t="s">
        <v>287</v>
      </c>
      <c r="EQ28" t="s">
        <v>287</v>
      </c>
      <c r="ER28" t="s">
        <v>287</v>
      </c>
      <c r="ES28" t="s">
        <v>287</v>
      </c>
      <c r="ET28">
        <v>0</v>
      </c>
      <c r="EU28">
        <v>100</v>
      </c>
      <c r="EV28">
        <v>100</v>
      </c>
      <c r="EW28">
        <v>0.248</v>
      </c>
      <c r="EX28">
        <v>0.115</v>
      </c>
      <c r="EY28">
        <v>2</v>
      </c>
      <c r="EZ28">
        <v>337.44400000000002</v>
      </c>
      <c r="FA28">
        <v>487.41500000000002</v>
      </c>
      <c r="FB28">
        <v>20.63</v>
      </c>
      <c r="FC28">
        <v>33.675600000000003</v>
      </c>
      <c r="FD28">
        <v>30.000599999999999</v>
      </c>
      <c r="FE28">
        <v>33.609099999999998</v>
      </c>
      <c r="FF28">
        <v>33.601999999999997</v>
      </c>
      <c r="FG28">
        <v>46.116199999999999</v>
      </c>
      <c r="FH28">
        <v>48.446399999999997</v>
      </c>
      <c r="FI28">
        <v>0</v>
      </c>
      <c r="FJ28">
        <v>20.644300000000001</v>
      </c>
      <c r="FK28">
        <v>1000</v>
      </c>
      <c r="FL28">
        <v>16.9147</v>
      </c>
      <c r="FM28">
        <v>100.82</v>
      </c>
      <c r="FN28">
        <v>101.155</v>
      </c>
    </row>
    <row r="29" spans="1:170" x14ac:dyDescent="0.25">
      <c r="A29">
        <v>13</v>
      </c>
      <c r="B29">
        <v>1598199646.2</v>
      </c>
      <c r="C29">
        <v>1545.2000000476801</v>
      </c>
      <c r="D29" t="s">
        <v>345</v>
      </c>
      <c r="E29" t="s">
        <v>346</v>
      </c>
      <c r="G29">
        <v>1598199638.2</v>
      </c>
      <c r="H29">
        <f t="shared" si="0"/>
        <v>3.8299183276243841E-3</v>
      </c>
      <c r="I29">
        <f t="shared" si="1"/>
        <v>53.27886880208839</v>
      </c>
      <c r="J29">
        <f t="shared" si="2"/>
        <v>1176.9301290322601</v>
      </c>
      <c r="K29">
        <f t="shared" si="3"/>
        <v>757.47318597603214</v>
      </c>
      <c r="L29">
        <f t="shared" si="4"/>
        <v>75.302582290797915</v>
      </c>
      <c r="M29">
        <f t="shared" si="5"/>
        <v>117.00200024608588</v>
      </c>
      <c r="N29">
        <f t="shared" si="6"/>
        <v>0.22420101152406396</v>
      </c>
      <c r="O29">
        <f t="shared" si="7"/>
        <v>3.3801892851635027</v>
      </c>
      <c r="P29">
        <f t="shared" si="8"/>
        <v>0.21625507721746637</v>
      </c>
      <c r="Q29">
        <f t="shared" si="9"/>
        <v>0.13584987231701068</v>
      </c>
      <c r="R29">
        <f t="shared" si="10"/>
        <v>321.43981760196044</v>
      </c>
      <c r="S29">
        <f t="shared" si="11"/>
        <v>26.702390208690037</v>
      </c>
      <c r="T29">
        <f t="shared" si="12"/>
        <v>26.986732258064499</v>
      </c>
      <c r="U29">
        <f t="shared" si="13"/>
        <v>3.5763715905660782</v>
      </c>
      <c r="V29">
        <f t="shared" si="14"/>
        <v>55.518010586092473</v>
      </c>
      <c r="W29">
        <f t="shared" si="15"/>
        <v>1.8639252244324958</v>
      </c>
      <c r="X29">
        <f t="shared" si="16"/>
        <v>3.3573343222413992</v>
      </c>
      <c r="Y29">
        <f t="shared" si="17"/>
        <v>1.7124463661335825</v>
      </c>
      <c r="Z29">
        <f t="shared" si="18"/>
        <v>-168.89939824823534</v>
      </c>
      <c r="AA29">
        <f t="shared" si="19"/>
        <v>-195.2953268879499</v>
      </c>
      <c r="AB29">
        <f t="shared" si="20"/>
        <v>-12.40053042057982</v>
      </c>
      <c r="AC29">
        <f t="shared" si="21"/>
        <v>-55.155437954804597</v>
      </c>
      <c r="AD29">
        <v>-4.1141048741382698E-2</v>
      </c>
      <c r="AE29">
        <v>4.6184431366021898E-2</v>
      </c>
      <c r="AF29">
        <v>3.4523846173969899</v>
      </c>
      <c r="AG29">
        <v>145</v>
      </c>
      <c r="AH29">
        <v>29</v>
      </c>
      <c r="AI29">
        <f t="shared" si="22"/>
        <v>1</v>
      </c>
      <c r="AJ29">
        <f t="shared" si="23"/>
        <v>0</v>
      </c>
      <c r="AK29">
        <f t="shared" si="24"/>
        <v>52651.764873002772</v>
      </c>
      <c r="AL29">
        <v>0</v>
      </c>
      <c r="AM29">
        <v>0</v>
      </c>
      <c r="AN29">
        <v>0</v>
      </c>
      <c r="AO29">
        <f t="shared" si="25"/>
        <v>0</v>
      </c>
      <c r="AP29" t="e">
        <f t="shared" si="26"/>
        <v>#DIV/0!</v>
      </c>
      <c r="AQ29">
        <v>-1</v>
      </c>
      <c r="AR29" t="s">
        <v>347</v>
      </c>
      <c r="AS29">
        <v>281.259538461538</v>
      </c>
      <c r="AT29">
        <v>421.24799999999999</v>
      </c>
      <c r="AU29">
        <f t="shared" si="27"/>
        <v>0.3323184004160542</v>
      </c>
      <c r="AV29">
        <v>0.5</v>
      </c>
      <c r="AW29">
        <f t="shared" si="28"/>
        <v>1681.1943190315644</v>
      </c>
      <c r="AX29">
        <f t="shared" si="29"/>
        <v>53.27886880208839</v>
      </c>
      <c r="AY29">
        <f t="shared" si="30"/>
        <v>279.34590344456348</v>
      </c>
      <c r="AZ29">
        <f t="shared" si="31"/>
        <v>0.57003950167122452</v>
      </c>
      <c r="BA29">
        <f t="shared" si="32"/>
        <v>3.2285898297202908E-2</v>
      </c>
      <c r="BB29">
        <f t="shared" si="33"/>
        <v>-1</v>
      </c>
      <c r="BC29" t="s">
        <v>348</v>
      </c>
      <c r="BD29">
        <v>181.12</v>
      </c>
      <c r="BE29">
        <f t="shared" si="34"/>
        <v>240.12799999999999</v>
      </c>
      <c r="BF29">
        <f t="shared" si="35"/>
        <v>0.58297433676398425</v>
      </c>
      <c r="BG29">
        <f t="shared" si="36"/>
        <v>2.3257950530035334</v>
      </c>
      <c r="BH29">
        <f t="shared" si="37"/>
        <v>0.3323184004160542</v>
      </c>
      <c r="BI29" t="e">
        <f t="shared" si="38"/>
        <v>#DIV/0!</v>
      </c>
      <c r="BJ29">
        <v>6527</v>
      </c>
      <c r="BK29">
        <v>300</v>
      </c>
      <c r="BL29">
        <v>300</v>
      </c>
      <c r="BM29">
        <v>300</v>
      </c>
      <c r="BN29">
        <v>9859.74</v>
      </c>
      <c r="BO29">
        <v>384.49599999999998</v>
      </c>
      <c r="BP29">
        <v>-6.5568199999999997E-3</v>
      </c>
      <c r="BQ29">
        <v>1.5778799999999999</v>
      </c>
      <c r="BR29">
        <f t="shared" si="39"/>
        <v>1999.9964516129</v>
      </c>
      <c r="BS29">
        <f t="shared" si="40"/>
        <v>1681.1943190315644</v>
      </c>
      <c r="BT29">
        <f t="shared" si="41"/>
        <v>0.8405986509004868</v>
      </c>
      <c r="BU29">
        <f t="shared" si="42"/>
        <v>0.19119730180097366</v>
      </c>
      <c r="BV29">
        <v>0.5</v>
      </c>
      <c r="BW29" t="s">
        <v>281</v>
      </c>
      <c r="BX29">
        <v>1598199638.2</v>
      </c>
      <c r="BY29">
        <v>1176.9301290322601</v>
      </c>
      <c r="BZ29">
        <v>1200.0425806451599</v>
      </c>
      <c r="CA29">
        <v>18.749335483871</v>
      </c>
      <c r="CB29">
        <v>17.2462290322581</v>
      </c>
      <c r="CC29">
        <v>500.04574193548399</v>
      </c>
      <c r="CD29">
        <v>99.212896774193595</v>
      </c>
      <c r="CE29">
        <v>0.199971806451613</v>
      </c>
      <c r="CF29">
        <v>25.915051612903198</v>
      </c>
      <c r="CG29">
        <v>26.986732258064499</v>
      </c>
      <c r="CH29">
        <v>999.9</v>
      </c>
      <c r="CI29">
        <v>10000.074838709699</v>
      </c>
      <c r="CJ29">
        <v>0</v>
      </c>
      <c r="CK29">
        <v>127.622</v>
      </c>
      <c r="CL29">
        <v>1999.9964516129</v>
      </c>
      <c r="CM29">
        <v>0.97999400000000003</v>
      </c>
      <c r="CN29">
        <v>2.0006300000000001E-2</v>
      </c>
      <c r="CO29">
        <v>0</v>
      </c>
      <c r="CP29">
        <v>281.24693548387103</v>
      </c>
      <c r="CQ29">
        <v>5.00054</v>
      </c>
      <c r="CR29">
        <v>7469.5890322580699</v>
      </c>
      <c r="CS29">
        <v>18703.564516129001</v>
      </c>
      <c r="CT29">
        <v>50.640999999999998</v>
      </c>
      <c r="CU29">
        <v>51.933064516129001</v>
      </c>
      <c r="CV29">
        <v>51.128935483870997</v>
      </c>
      <c r="CW29">
        <v>50.9270322580645</v>
      </c>
      <c r="CX29">
        <v>51.890999999999998</v>
      </c>
      <c r="CY29">
        <v>1955.0864516129</v>
      </c>
      <c r="CZ29">
        <v>39.909999999999997</v>
      </c>
      <c r="DA29">
        <v>0</v>
      </c>
      <c r="DB29">
        <v>126.80000019073501</v>
      </c>
      <c r="DC29">
        <v>281.259538461538</v>
      </c>
      <c r="DD29">
        <v>-0.96499144411788396</v>
      </c>
      <c r="DE29">
        <v>-33.224957282953099</v>
      </c>
      <c r="DF29">
        <v>7469.2111538461504</v>
      </c>
      <c r="DG29">
        <v>15</v>
      </c>
      <c r="DH29">
        <v>1598199671.7</v>
      </c>
      <c r="DI29" t="s">
        <v>349</v>
      </c>
      <c r="DJ29">
        <v>13</v>
      </c>
      <c r="DK29">
        <v>0.21199999999999999</v>
      </c>
      <c r="DL29">
        <v>0.121</v>
      </c>
      <c r="DM29">
        <v>1200</v>
      </c>
      <c r="DN29">
        <v>17</v>
      </c>
      <c r="DO29">
        <v>7.0000000000000007E-2</v>
      </c>
      <c r="DP29">
        <v>0.06</v>
      </c>
      <c r="DQ29">
        <v>1176.92654545455</v>
      </c>
      <c r="DR29">
        <v>0.27852813852837099</v>
      </c>
      <c r="DS29">
        <v>5.9519841819771997E-2</v>
      </c>
      <c r="DT29">
        <v>1</v>
      </c>
      <c r="DU29">
        <v>18.755749090909099</v>
      </c>
      <c r="DV29">
        <v>-0.126975757575752</v>
      </c>
      <c r="DW29">
        <v>1.8252619963643399E-2</v>
      </c>
      <c r="DX29">
        <v>1</v>
      </c>
      <c r="DY29">
        <v>2</v>
      </c>
      <c r="DZ29">
        <v>2</v>
      </c>
      <c r="EA29" t="s">
        <v>293</v>
      </c>
      <c r="EB29">
        <v>1.86676</v>
      </c>
      <c r="EC29">
        <v>1.8632599999999999</v>
      </c>
      <c r="ED29">
        <v>1.86903</v>
      </c>
      <c r="EE29">
        <v>1.8669100000000001</v>
      </c>
      <c r="EF29">
        <v>1.8716200000000001</v>
      </c>
      <c r="EG29">
        <v>1.8640099999999999</v>
      </c>
      <c r="EH29">
        <v>1.8656600000000001</v>
      </c>
      <c r="EI29">
        <v>1.86554</v>
      </c>
      <c r="EJ29" t="s">
        <v>284</v>
      </c>
      <c r="EK29" t="s">
        <v>19</v>
      </c>
      <c r="EL29" t="s">
        <v>19</v>
      </c>
      <c r="EM29" t="s">
        <v>19</v>
      </c>
      <c r="EN29" t="s">
        <v>285</v>
      </c>
      <c r="EO29" t="s">
        <v>286</v>
      </c>
      <c r="EP29" t="s">
        <v>287</v>
      </c>
      <c r="EQ29" t="s">
        <v>287</v>
      </c>
      <c r="ER29" t="s">
        <v>287</v>
      </c>
      <c r="ES29" t="s">
        <v>287</v>
      </c>
      <c r="ET29">
        <v>0</v>
      </c>
      <c r="EU29">
        <v>100</v>
      </c>
      <c r="EV29">
        <v>100</v>
      </c>
      <c r="EW29">
        <v>0.21199999999999999</v>
      </c>
      <c r="EX29">
        <v>0.121</v>
      </c>
      <c r="EY29">
        <v>2</v>
      </c>
      <c r="EZ29">
        <v>337.34699999999998</v>
      </c>
      <c r="FA29">
        <v>487.01</v>
      </c>
      <c r="FB29">
        <v>20.152799999999999</v>
      </c>
      <c r="FC29">
        <v>33.795000000000002</v>
      </c>
      <c r="FD29">
        <v>29.994399999999999</v>
      </c>
      <c r="FE29">
        <v>33.726700000000001</v>
      </c>
      <c r="FF29">
        <v>33.717300000000002</v>
      </c>
      <c r="FG29">
        <v>53.404699999999998</v>
      </c>
      <c r="FH29">
        <v>46.841700000000003</v>
      </c>
      <c r="FI29">
        <v>0</v>
      </c>
      <c r="FJ29">
        <v>20.283200000000001</v>
      </c>
      <c r="FK29">
        <v>1200</v>
      </c>
      <c r="FL29">
        <v>17.044</v>
      </c>
      <c r="FM29">
        <v>100.803</v>
      </c>
      <c r="FN29">
        <v>101.137</v>
      </c>
    </row>
    <row r="30" spans="1:170" x14ac:dyDescent="0.25">
      <c r="A30">
        <v>14</v>
      </c>
      <c r="B30">
        <v>1598199763.7</v>
      </c>
      <c r="C30">
        <v>1662.7000000476801</v>
      </c>
      <c r="D30" t="s">
        <v>350</v>
      </c>
      <c r="E30" t="s">
        <v>351</v>
      </c>
      <c r="G30">
        <v>1598199755.7</v>
      </c>
      <c r="H30">
        <f t="shared" si="0"/>
        <v>3.8256176911602487E-3</v>
      </c>
      <c r="I30">
        <f t="shared" si="1"/>
        <v>54.387455479709914</v>
      </c>
      <c r="J30">
        <f t="shared" si="2"/>
        <v>1575.8549677419401</v>
      </c>
      <c r="K30">
        <f t="shared" si="3"/>
        <v>1135.6666063423304</v>
      </c>
      <c r="L30">
        <f t="shared" si="4"/>
        <v>112.89801559852435</v>
      </c>
      <c r="M30">
        <f t="shared" si="5"/>
        <v>156.65768257652979</v>
      </c>
      <c r="N30">
        <f t="shared" si="6"/>
        <v>0.22332877819336186</v>
      </c>
      <c r="O30">
        <f t="shared" si="7"/>
        <v>3.3804412858329789</v>
      </c>
      <c r="P30">
        <f t="shared" si="8"/>
        <v>0.21544394517903309</v>
      </c>
      <c r="Q30">
        <f t="shared" si="9"/>
        <v>0.13533769439559851</v>
      </c>
      <c r="R30">
        <f t="shared" si="10"/>
        <v>321.43900794139188</v>
      </c>
      <c r="S30">
        <f t="shared" si="11"/>
        <v>26.803153044606731</v>
      </c>
      <c r="T30">
        <f t="shared" si="12"/>
        <v>26.931593548387099</v>
      </c>
      <c r="U30">
        <f t="shared" si="13"/>
        <v>3.5648049648844418</v>
      </c>
      <c r="V30">
        <f t="shared" si="14"/>
        <v>54.708031324480579</v>
      </c>
      <c r="W30">
        <f t="shared" si="15"/>
        <v>1.8476231513353849</v>
      </c>
      <c r="X30">
        <f t="shared" si="16"/>
        <v>3.3772429871893714</v>
      </c>
      <c r="Y30">
        <f t="shared" si="17"/>
        <v>1.7171818135490569</v>
      </c>
      <c r="Z30">
        <f t="shared" si="18"/>
        <v>-168.70974018016696</v>
      </c>
      <c r="AA30">
        <f t="shared" si="19"/>
        <v>-167.056411224887</v>
      </c>
      <c r="AB30">
        <f t="shared" si="20"/>
        <v>-10.609041781374756</v>
      </c>
      <c r="AC30">
        <f t="shared" si="21"/>
        <v>-24.936185245036825</v>
      </c>
      <c r="AD30">
        <v>-4.1144945014795098E-2</v>
      </c>
      <c r="AE30">
        <v>4.6188805274259601E-2</v>
      </c>
      <c r="AF30">
        <v>3.4526434553436398</v>
      </c>
      <c r="AG30">
        <v>145</v>
      </c>
      <c r="AH30">
        <v>29</v>
      </c>
      <c r="AI30">
        <f t="shared" si="22"/>
        <v>1</v>
      </c>
      <c r="AJ30">
        <f t="shared" si="23"/>
        <v>0</v>
      </c>
      <c r="AK30">
        <f t="shared" si="24"/>
        <v>52638.920927823863</v>
      </c>
      <c r="AL30">
        <v>0</v>
      </c>
      <c r="AM30">
        <v>0</v>
      </c>
      <c r="AN30">
        <v>0</v>
      </c>
      <c r="AO30">
        <f t="shared" si="25"/>
        <v>0</v>
      </c>
      <c r="AP30" t="e">
        <f t="shared" si="26"/>
        <v>#DIV/0!</v>
      </c>
      <c r="AQ30">
        <v>-1</v>
      </c>
      <c r="AR30" t="s">
        <v>352</v>
      </c>
      <c r="AS30">
        <v>278.34665384615403</v>
      </c>
      <c r="AT30">
        <v>409.26100000000002</v>
      </c>
      <c r="AU30">
        <f t="shared" si="27"/>
        <v>0.31987984722181195</v>
      </c>
      <c r="AV30">
        <v>0.5</v>
      </c>
      <c r="AW30">
        <f t="shared" si="28"/>
        <v>1681.1931561968859</v>
      </c>
      <c r="AX30">
        <f t="shared" si="29"/>
        <v>54.387455479709914</v>
      </c>
      <c r="AY30">
        <f t="shared" si="30"/>
        <v>268.88990497730782</v>
      </c>
      <c r="AZ30">
        <f t="shared" si="31"/>
        <v>0.56326158612719024</v>
      </c>
      <c r="BA30">
        <f t="shared" si="32"/>
        <v>3.294532533370808E-2</v>
      </c>
      <c r="BB30">
        <f t="shared" si="33"/>
        <v>-1</v>
      </c>
      <c r="BC30" t="s">
        <v>353</v>
      </c>
      <c r="BD30">
        <v>178.74</v>
      </c>
      <c r="BE30">
        <f t="shared" si="34"/>
        <v>230.52100000000002</v>
      </c>
      <c r="BF30">
        <f t="shared" si="35"/>
        <v>0.56790637796055887</v>
      </c>
      <c r="BG30">
        <f t="shared" si="36"/>
        <v>2.2897001230838088</v>
      </c>
      <c r="BH30">
        <f t="shared" si="37"/>
        <v>0.31987984722181195</v>
      </c>
      <c r="BI30" t="e">
        <f t="shared" si="38"/>
        <v>#DIV/0!</v>
      </c>
      <c r="BJ30">
        <v>6529</v>
      </c>
      <c r="BK30">
        <v>300</v>
      </c>
      <c r="BL30">
        <v>300</v>
      </c>
      <c r="BM30">
        <v>300</v>
      </c>
      <c r="BN30">
        <v>9859.5</v>
      </c>
      <c r="BO30">
        <v>373.596</v>
      </c>
      <c r="BP30">
        <v>-6.5565900000000002E-3</v>
      </c>
      <c r="BQ30">
        <v>0.85888699999999996</v>
      </c>
      <c r="BR30">
        <f t="shared" si="39"/>
        <v>1999.99548387097</v>
      </c>
      <c r="BS30">
        <f t="shared" si="40"/>
        <v>1681.1931561968859</v>
      </c>
      <c r="BT30">
        <f t="shared" si="41"/>
        <v>0.8405984762240335</v>
      </c>
      <c r="BU30">
        <f t="shared" si="42"/>
        <v>0.19119695244806711</v>
      </c>
      <c r="BV30">
        <v>0.5</v>
      </c>
      <c r="BW30" t="s">
        <v>281</v>
      </c>
      <c r="BX30">
        <v>1598199755.7</v>
      </c>
      <c r="BY30">
        <v>1575.8549677419401</v>
      </c>
      <c r="BZ30">
        <v>1600.0183870967701</v>
      </c>
      <c r="CA30">
        <v>18.5856580645161</v>
      </c>
      <c r="CB30">
        <v>17.084038709677401</v>
      </c>
      <c r="CC30">
        <v>500.06229032258102</v>
      </c>
      <c r="CD30">
        <v>99.211248387096802</v>
      </c>
      <c r="CE30">
        <v>0.19998283870967701</v>
      </c>
      <c r="CF30">
        <v>26.0149419354839</v>
      </c>
      <c r="CG30">
        <v>26.931593548387099</v>
      </c>
      <c r="CH30">
        <v>999.9</v>
      </c>
      <c r="CI30">
        <v>10001.1880645161</v>
      </c>
      <c r="CJ30">
        <v>0</v>
      </c>
      <c r="CK30">
        <v>127.631064516129</v>
      </c>
      <c r="CL30">
        <v>1999.99548387097</v>
      </c>
      <c r="CM30">
        <v>0.98000074193548403</v>
      </c>
      <c r="CN30">
        <v>1.99996193548387E-2</v>
      </c>
      <c r="CO30">
        <v>0</v>
      </c>
      <c r="CP30">
        <v>278.36306451612899</v>
      </c>
      <c r="CQ30">
        <v>5.00054</v>
      </c>
      <c r="CR30">
        <v>7405.4248387096804</v>
      </c>
      <c r="CS30">
        <v>18703.587096774201</v>
      </c>
      <c r="CT30">
        <v>50.657064516128997</v>
      </c>
      <c r="CU30">
        <v>51.929000000000002</v>
      </c>
      <c r="CV30">
        <v>51.125</v>
      </c>
      <c r="CW30">
        <v>50.903064516129</v>
      </c>
      <c r="CX30">
        <v>51.874935483870999</v>
      </c>
      <c r="CY30">
        <v>1955.09967741935</v>
      </c>
      <c r="CZ30">
        <v>39.898387096774201</v>
      </c>
      <c r="DA30">
        <v>0</v>
      </c>
      <c r="DB30">
        <v>116.700000047684</v>
      </c>
      <c r="DC30">
        <v>278.34665384615403</v>
      </c>
      <c r="DD30">
        <v>-4.5503931657075398</v>
      </c>
      <c r="DE30">
        <v>-365.396239680463</v>
      </c>
      <c r="DF30">
        <v>7404.10461538462</v>
      </c>
      <c r="DG30">
        <v>15</v>
      </c>
      <c r="DH30">
        <v>1598199785.2</v>
      </c>
      <c r="DI30" t="s">
        <v>354</v>
      </c>
      <c r="DJ30">
        <v>14</v>
      </c>
      <c r="DK30">
        <v>0.16600000000000001</v>
      </c>
      <c r="DL30">
        <v>0.11799999999999999</v>
      </c>
      <c r="DM30">
        <v>1600</v>
      </c>
      <c r="DN30">
        <v>17</v>
      </c>
      <c r="DO30">
        <v>0.19</v>
      </c>
      <c r="DP30">
        <v>0.04</v>
      </c>
      <c r="DQ30">
        <v>1575.8736363636399</v>
      </c>
      <c r="DR30">
        <v>0.27341991342015698</v>
      </c>
      <c r="DS30">
        <v>4.4776764931041997E-2</v>
      </c>
      <c r="DT30">
        <v>1</v>
      </c>
      <c r="DU30">
        <v>18.567998181818201</v>
      </c>
      <c r="DV30">
        <v>0.19221471861471801</v>
      </c>
      <c r="DW30">
        <v>2.6507340258941602E-2</v>
      </c>
      <c r="DX30">
        <v>1</v>
      </c>
      <c r="DY30">
        <v>2</v>
      </c>
      <c r="DZ30">
        <v>2</v>
      </c>
      <c r="EA30" t="s">
        <v>293</v>
      </c>
      <c r="EB30">
        <v>1.86676</v>
      </c>
      <c r="EC30">
        <v>1.8632599999999999</v>
      </c>
      <c r="ED30">
        <v>1.8689800000000001</v>
      </c>
      <c r="EE30">
        <v>1.8669100000000001</v>
      </c>
      <c r="EF30">
        <v>1.8715900000000001</v>
      </c>
      <c r="EG30">
        <v>1.8640099999999999</v>
      </c>
      <c r="EH30">
        <v>1.86557</v>
      </c>
      <c r="EI30">
        <v>1.86554</v>
      </c>
      <c r="EJ30" t="s">
        <v>284</v>
      </c>
      <c r="EK30" t="s">
        <v>19</v>
      </c>
      <c r="EL30" t="s">
        <v>19</v>
      </c>
      <c r="EM30" t="s">
        <v>19</v>
      </c>
      <c r="EN30" t="s">
        <v>285</v>
      </c>
      <c r="EO30" t="s">
        <v>286</v>
      </c>
      <c r="EP30" t="s">
        <v>287</v>
      </c>
      <c r="EQ30" t="s">
        <v>287</v>
      </c>
      <c r="ER30" t="s">
        <v>287</v>
      </c>
      <c r="ES30" t="s">
        <v>287</v>
      </c>
      <c r="ET30">
        <v>0</v>
      </c>
      <c r="EU30">
        <v>100</v>
      </c>
      <c r="EV30">
        <v>100</v>
      </c>
      <c r="EW30">
        <v>0.16600000000000001</v>
      </c>
      <c r="EX30">
        <v>0.11799999999999999</v>
      </c>
      <c r="EY30">
        <v>2</v>
      </c>
      <c r="EZ30">
        <v>337.41899999999998</v>
      </c>
      <c r="FA30">
        <v>487.32900000000001</v>
      </c>
      <c r="FB30">
        <v>21.2501</v>
      </c>
      <c r="FC30">
        <v>33.829500000000003</v>
      </c>
      <c r="FD30">
        <v>29.9999</v>
      </c>
      <c r="FE30">
        <v>33.79</v>
      </c>
      <c r="FF30">
        <v>33.7819</v>
      </c>
      <c r="FG30">
        <v>67.115200000000002</v>
      </c>
      <c r="FH30">
        <v>48.6068</v>
      </c>
      <c r="FI30">
        <v>0</v>
      </c>
      <c r="FJ30">
        <v>21.248200000000001</v>
      </c>
      <c r="FK30">
        <v>1600</v>
      </c>
      <c r="FL30">
        <v>17.161300000000001</v>
      </c>
      <c r="FM30">
        <v>100.79900000000001</v>
      </c>
      <c r="FN30">
        <v>101.137</v>
      </c>
    </row>
    <row r="31" spans="1:170" x14ac:dyDescent="0.25">
      <c r="A31">
        <v>15</v>
      </c>
      <c r="B31">
        <v>1598199882.7</v>
      </c>
      <c r="C31">
        <v>1781.7000000476801</v>
      </c>
      <c r="D31" t="s">
        <v>355</v>
      </c>
      <c r="E31" t="s">
        <v>356</v>
      </c>
      <c r="G31">
        <v>1598199874.7</v>
      </c>
      <c r="H31">
        <f t="shared" si="0"/>
        <v>3.0560030754742686E-3</v>
      </c>
      <c r="I31">
        <f t="shared" si="1"/>
        <v>55.084104291716748</v>
      </c>
      <c r="J31">
        <f t="shared" si="2"/>
        <v>1775.80167741935</v>
      </c>
      <c r="K31">
        <f t="shared" si="3"/>
        <v>1227.8977167142268</v>
      </c>
      <c r="L31">
        <f t="shared" si="4"/>
        <v>122.06297251692448</v>
      </c>
      <c r="M31">
        <f t="shared" si="5"/>
        <v>176.52906133450674</v>
      </c>
      <c r="N31">
        <f t="shared" si="6"/>
        <v>0.17862732717177238</v>
      </c>
      <c r="O31">
        <f t="shared" si="7"/>
        <v>3.3841762689213666</v>
      </c>
      <c r="P31">
        <f t="shared" si="8"/>
        <v>0.1735498264403047</v>
      </c>
      <c r="Q31">
        <f t="shared" si="9"/>
        <v>0.10891281294637113</v>
      </c>
      <c r="R31">
        <f t="shared" si="10"/>
        <v>321.44040204194221</v>
      </c>
      <c r="S31">
        <f t="shared" si="11"/>
        <v>26.925197326263866</v>
      </c>
      <c r="T31">
        <f t="shared" si="12"/>
        <v>26.983664516129</v>
      </c>
      <c r="U31">
        <f t="shared" si="13"/>
        <v>3.5757272008298338</v>
      </c>
      <c r="V31">
        <f t="shared" si="14"/>
        <v>55.638155685953294</v>
      </c>
      <c r="W31">
        <f t="shared" si="15"/>
        <v>1.8732454953666144</v>
      </c>
      <c r="X31">
        <f t="shared" si="16"/>
        <v>3.3668360718857255</v>
      </c>
      <c r="Y31">
        <f t="shared" si="17"/>
        <v>1.7024817054632193</v>
      </c>
      <c r="Z31">
        <f t="shared" si="18"/>
        <v>-134.76973562841525</v>
      </c>
      <c r="AA31">
        <f t="shared" si="19"/>
        <v>-186.25615984217612</v>
      </c>
      <c r="AB31">
        <f t="shared" si="20"/>
        <v>-11.815283518968707</v>
      </c>
      <c r="AC31">
        <f t="shared" si="21"/>
        <v>-11.400776947617885</v>
      </c>
      <c r="AD31">
        <v>-4.1202708204942498E-2</v>
      </c>
      <c r="AE31">
        <v>4.6253649515533499E-2</v>
      </c>
      <c r="AF31">
        <v>3.4564798027100698</v>
      </c>
      <c r="AG31">
        <v>145</v>
      </c>
      <c r="AH31">
        <v>29</v>
      </c>
      <c r="AI31">
        <f t="shared" si="22"/>
        <v>1</v>
      </c>
      <c r="AJ31">
        <f t="shared" si="23"/>
        <v>0</v>
      </c>
      <c r="AK31">
        <f t="shared" si="24"/>
        <v>52718.910691171128</v>
      </c>
      <c r="AL31">
        <v>0</v>
      </c>
      <c r="AM31">
        <v>0</v>
      </c>
      <c r="AN31">
        <v>0</v>
      </c>
      <c r="AO31">
        <f t="shared" si="25"/>
        <v>0</v>
      </c>
      <c r="AP31" t="e">
        <f t="shared" si="26"/>
        <v>#DIV/0!</v>
      </c>
      <c r="AQ31">
        <v>-1</v>
      </c>
      <c r="AR31" t="s">
        <v>357</v>
      </c>
      <c r="AS31">
        <v>276.081730769231</v>
      </c>
      <c r="AT31">
        <v>402.166</v>
      </c>
      <c r="AU31">
        <f t="shared" si="27"/>
        <v>0.31351300018094264</v>
      </c>
      <c r="AV31">
        <v>0.5</v>
      </c>
      <c r="AW31">
        <f t="shared" si="28"/>
        <v>1681.1973093541458</v>
      </c>
      <c r="AX31">
        <f t="shared" si="29"/>
        <v>55.084104291716748</v>
      </c>
      <c r="AY31">
        <f t="shared" si="30"/>
        <v>263.53860617587327</v>
      </c>
      <c r="AZ31">
        <f t="shared" si="31"/>
        <v>0.55605396776455496</v>
      </c>
      <c r="BA31">
        <f t="shared" si="32"/>
        <v>3.3359620539282327E-2</v>
      </c>
      <c r="BB31">
        <f t="shared" si="33"/>
        <v>-1</v>
      </c>
      <c r="BC31" t="s">
        <v>358</v>
      </c>
      <c r="BD31">
        <v>178.54</v>
      </c>
      <c r="BE31">
        <f t="shared" si="34"/>
        <v>223.626</v>
      </c>
      <c r="BF31">
        <f t="shared" si="35"/>
        <v>0.563817575911428</v>
      </c>
      <c r="BG31">
        <f t="shared" si="36"/>
        <v>2.2525260445838469</v>
      </c>
      <c r="BH31">
        <f t="shared" si="37"/>
        <v>0.31351300018094269</v>
      </c>
      <c r="BI31" t="e">
        <f t="shared" si="38"/>
        <v>#DIV/0!</v>
      </c>
      <c r="BJ31">
        <v>6531</v>
      </c>
      <c r="BK31">
        <v>300</v>
      </c>
      <c r="BL31">
        <v>300</v>
      </c>
      <c r="BM31">
        <v>300</v>
      </c>
      <c r="BN31">
        <v>9859.4599999999991</v>
      </c>
      <c r="BO31">
        <v>368.12</v>
      </c>
      <c r="BP31">
        <v>-6.5565399999999996E-3</v>
      </c>
      <c r="BQ31">
        <v>0.92449999999999999</v>
      </c>
      <c r="BR31">
        <f t="shared" si="39"/>
        <v>2000</v>
      </c>
      <c r="BS31">
        <f t="shared" si="40"/>
        <v>1681.1973093541458</v>
      </c>
      <c r="BT31">
        <f t="shared" si="41"/>
        <v>0.84059865467707284</v>
      </c>
      <c r="BU31">
        <f t="shared" si="42"/>
        <v>0.19119730935414583</v>
      </c>
      <c r="BV31">
        <v>0.5</v>
      </c>
      <c r="BW31" t="s">
        <v>281</v>
      </c>
      <c r="BX31">
        <v>1598199874.7</v>
      </c>
      <c r="BY31">
        <v>1775.80167741935</v>
      </c>
      <c r="BZ31">
        <v>1800.00322580645</v>
      </c>
      <c r="CA31">
        <v>18.8439935483871</v>
      </c>
      <c r="CB31">
        <v>17.6447677419355</v>
      </c>
      <c r="CC31">
        <v>500.05858064516099</v>
      </c>
      <c r="CD31">
        <v>99.208170967741907</v>
      </c>
      <c r="CE31">
        <v>0.19992374193548401</v>
      </c>
      <c r="CF31">
        <v>25.962790322580599</v>
      </c>
      <c r="CG31">
        <v>26.983664516129</v>
      </c>
      <c r="CH31">
        <v>999.9</v>
      </c>
      <c r="CI31">
        <v>10015.5393548387</v>
      </c>
      <c r="CJ31">
        <v>0</v>
      </c>
      <c r="CK31">
        <v>146.40816129032299</v>
      </c>
      <c r="CL31">
        <v>2000</v>
      </c>
      <c r="CM31">
        <v>0.97999412903225802</v>
      </c>
      <c r="CN31">
        <v>2.00061322580645E-2</v>
      </c>
      <c r="CO31">
        <v>0</v>
      </c>
      <c r="CP31">
        <v>276.096</v>
      </c>
      <c r="CQ31">
        <v>5.00054</v>
      </c>
      <c r="CR31">
        <v>7343.8564516128999</v>
      </c>
      <c r="CS31">
        <v>18703.599999999999</v>
      </c>
      <c r="CT31">
        <v>50.703258064516099</v>
      </c>
      <c r="CU31">
        <v>51.973580645161299</v>
      </c>
      <c r="CV31">
        <v>51.179000000000002</v>
      </c>
      <c r="CW31">
        <v>50.923032258064502</v>
      </c>
      <c r="CX31">
        <v>51.917000000000002</v>
      </c>
      <c r="CY31">
        <v>1955.08967741935</v>
      </c>
      <c r="CZ31">
        <v>39.9103225806452</v>
      </c>
      <c r="DA31">
        <v>0</v>
      </c>
      <c r="DB31">
        <v>118.39999985694899</v>
      </c>
      <c r="DC31">
        <v>276.081730769231</v>
      </c>
      <c r="DD31">
        <v>0.12912821268959801</v>
      </c>
      <c r="DE31">
        <v>18.187008472033099</v>
      </c>
      <c r="DF31">
        <v>7344.3065384615402</v>
      </c>
      <c r="DG31">
        <v>15</v>
      </c>
      <c r="DH31">
        <v>1598199906.7</v>
      </c>
      <c r="DI31" t="s">
        <v>359</v>
      </c>
      <c r="DJ31">
        <v>15</v>
      </c>
      <c r="DK31">
        <v>0.45800000000000002</v>
      </c>
      <c r="DL31">
        <v>0.125</v>
      </c>
      <c r="DM31">
        <v>1800</v>
      </c>
      <c r="DN31">
        <v>17</v>
      </c>
      <c r="DO31">
        <v>0.23</v>
      </c>
      <c r="DP31">
        <v>0.08</v>
      </c>
      <c r="DQ31">
        <v>1775.48181818182</v>
      </c>
      <c r="DR31">
        <v>0.292727272726726</v>
      </c>
      <c r="DS31">
        <v>5.6184465956999399E-2</v>
      </c>
      <c r="DT31">
        <v>1</v>
      </c>
      <c r="DU31">
        <v>18.8335309090909</v>
      </c>
      <c r="DV31">
        <v>3.3451082251079199E-2</v>
      </c>
      <c r="DW31">
        <v>5.6365325487886904E-3</v>
      </c>
      <c r="DX31">
        <v>1</v>
      </c>
      <c r="DY31">
        <v>2</v>
      </c>
      <c r="DZ31">
        <v>2</v>
      </c>
      <c r="EA31" t="s">
        <v>293</v>
      </c>
      <c r="EB31">
        <v>1.8667899999999999</v>
      </c>
      <c r="EC31">
        <v>1.86331</v>
      </c>
      <c r="ED31">
        <v>1.8690500000000001</v>
      </c>
      <c r="EE31">
        <v>1.8669100000000001</v>
      </c>
      <c r="EF31">
        <v>1.87164</v>
      </c>
      <c r="EG31">
        <v>1.8640600000000001</v>
      </c>
      <c r="EH31">
        <v>1.8656600000000001</v>
      </c>
      <c r="EI31">
        <v>1.8655600000000001</v>
      </c>
      <c r="EJ31" t="s">
        <v>284</v>
      </c>
      <c r="EK31" t="s">
        <v>19</v>
      </c>
      <c r="EL31" t="s">
        <v>19</v>
      </c>
      <c r="EM31" t="s">
        <v>19</v>
      </c>
      <c r="EN31" t="s">
        <v>285</v>
      </c>
      <c r="EO31" t="s">
        <v>286</v>
      </c>
      <c r="EP31" t="s">
        <v>287</v>
      </c>
      <c r="EQ31" t="s">
        <v>287</v>
      </c>
      <c r="ER31" t="s">
        <v>287</v>
      </c>
      <c r="ES31" t="s">
        <v>287</v>
      </c>
      <c r="ET31">
        <v>0</v>
      </c>
      <c r="EU31">
        <v>100</v>
      </c>
      <c r="EV31">
        <v>100</v>
      </c>
      <c r="EW31">
        <v>0.45800000000000002</v>
      </c>
      <c r="EX31">
        <v>0.125</v>
      </c>
      <c r="EY31">
        <v>2</v>
      </c>
      <c r="EZ31">
        <v>337.09</v>
      </c>
      <c r="FA31">
        <v>487.42500000000001</v>
      </c>
      <c r="FB31">
        <v>19.834700000000002</v>
      </c>
      <c r="FC31">
        <v>33.847799999999999</v>
      </c>
      <c r="FD31">
        <v>29.991700000000002</v>
      </c>
      <c r="FE31">
        <v>33.831800000000001</v>
      </c>
      <c r="FF31">
        <v>33.830100000000002</v>
      </c>
      <c r="FG31">
        <v>73.597899999999996</v>
      </c>
      <c r="FH31">
        <v>47.607100000000003</v>
      </c>
      <c r="FI31">
        <v>0</v>
      </c>
      <c r="FJ31">
        <v>20.449200000000001</v>
      </c>
      <c r="FK31">
        <v>1800</v>
      </c>
      <c r="FL31">
        <v>17.3887</v>
      </c>
      <c r="FM31">
        <v>100.79</v>
      </c>
      <c r="FN31">
        <v>101.13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2020-08-23T11:25:14Z</dcterms:created>
  <dcterms:modified xsi:type="dcterms:W3CDTF">2024-11-20T09:07:27Z</dcterms:modified>
</cp:coreProperties>
</file>