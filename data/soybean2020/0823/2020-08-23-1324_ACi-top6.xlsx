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823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1" i="1" l="1"/>
  <c r="BT31" i="1"/>
  <c r="BR31" i="1"/>
  <c r="BS31" i="1" s="1"/>
  <c r="BI31" i="1"/>
  <c r="BH31" i="1"/>
  <c r="BG31" i="1"/>
  <c r="BF31" i="1"/>
  <c r="BE31" i="1"/>
  <c r="AZ31" i="1" s="1"/>
  <c r="BB31" i="1"/>
  <c r="AU31" i="1"/>
  <c r="AP31" i="1"/>
  <c r="AO31" i="1"/>
  <c r="AK31" i="1"/>
  <c r="AI31" i="1"/>
  <c r="M31" i="1" s="1"/>
  <c r="X31" i="1"/>
  <c r="W31" i="1"/>
  <c r="V31" i="1"/>
  <c r="O31" i="1"/>
  <c r="BU30" i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/>
  <c r="X30" i="1"/>
  <c r="W30" i="1"/>
  <c r="V30" i="1"/>
  <c r="O30" i="1"/>
  <c r="BU29" i="1"/>
  <c r="BT29" i="1"/>
  <c r="BR29" i="1"/>
  <c r="BS29" i="1" s="1"/>
  <c r="BI29" i="1"/>
  <c r="BH29" i="1"/>
  <c r="BG29" i="1"/>
  <c r="BF29" i="1"/>
  <c r="BE29" i="1"/>
  <c r="AZ29" i="1" s="1"/>
  <c r="BB29" i="1"/>
  <c r="AU29" i="1"/>
  <c r="AO29" i="1"/>
  <c r="AP29" i="1" s="1"/>
  <c r="AK29" i="1"/>
  <c r="AI29" i="1" s="1"/>
  <c r="X29" i="1"/>
  <c r="W29" i="1"/>
  <c r="V29" i="1"/>
  <c r="O29" i="1"/>
  <c r="BU28" i="1"/>
  <c r="BT28" i="1"/>
  <c r="BR28" i="1"/>
  <c r="BS28" i="1" s="1"/>
  <c r="R28" i="1" s="1"/>
  <c r="BI28" i="1"/>
  <c r="BH28" i="1"/>
  <c r="BG28" i="1"/>
  <c r="BF28" i="1"/>
  <c r="BE28" i="1"/>
  <c r="AZ28" i="1" s="1"/>
  <c r="BB28" i="1"/>
  <c r="AW28" i="1"/>
  <c r="AY28" i="1" s="1"/>
  <c r="AU28" i="1"/>
  <c r="AO28" i="1"/>
  <c r="AP28" i="1" s="1"/>
  <c r="AK28" i="1"/>
  <c r="AI28" i="1"/>
  <c r="I28" i="1" s="1"/>
  <c r="AX28" i="1" s="1"/>
  <c r="BA28" i="1" s="1"/>
  <c r="X28" i="1"/>
  <c r="W28" i="1"/>
  <c r="V28" i="1"/>
  <c r="O28" i="1"/>
  <c r="M28" i="1"/>
  <c r="BU27" i="1"/>
  <c r="BT27" i="1"/>
  <c r="BR27" i="1"/>
  <c r="BS27" i="1" s="1"/>
  <c r="R27" i="1" s="1"/>
  <c r="BI27" i="1"/>
  <c r="BH27" i="1"/>
  <c r="BG27" i="1"/>
  <c r="BF27" i="1"/>
  <c r="BE27" i="1"/>
  <c r="BB27" i="1"/>
  <c r="AZ27" i="1"/>
  <c r="AX27" i="1"/>
  <c r="AW27" i="1"/>
  <c r="AU27" i="1"/>
  <c r="AY27" i="1" s="1"/>
  <c r="AP27" i="1"/>
  <c r="AO27" i="1"/>
  <c r="AK27" i="1"/>
  <c r="AI27" i="1" s="1"/>
  <c r="AJ27" i="1"/>
  <c r="X27" i="1"/>
  <c r="W27" i="1"/>
  <c r="V27" i="1"/>
  <c r="O27" i="1"/>
  <c r="M27" i="1"/>
  <c r="J27" i="1"/>
  <c r="I27" i="1"/>
  <c r="H27" i="1"/>
  <c r="BU26" i="1"/>
  <c r="BT26" i="1"/>
  <c r="BR26" i="1"/>
  <c r="BS26" i="1" s="1"/>
  <c r="BI26" i="1"/>
  <c r="BH26" i="1"/>
  <c r="BG26" i="1"/>
  <c r="BF26" i="1"/>
  <c r="BE26" i="1"/>
  <c r="AZ26" i="1" s="1"/>
  <c r="BB26" i="1"/>
  <c r="AU26" i="1"/>
  <c r="AO26" i="1"/>
  <c r="AP26" i="1" s="1"/>
  <c r="AK26" i="1"/>
  <c r="AI26" i="1"/>
  <c r="M26" i="1" s="1"/>
  <c r="X26" i="1"/>
  <c r="W26" i="1"/>
  <c r="V26" i="1"/>
  <c r="O26" i="1"/>
  <c r="J26" i="1"/>
  <c r="I26" i="1"/>
  <c r="AX26" i="1" s="1"/>
  <c r="H26" i="1"/>
  <c r="Z26" i="1" s="1"/>
  <c r="BU25" i="1"/>
  <c r="BT25" i="1"/>
  <c r="BR25" i="1"/>
  <c r="BS25" i="1" s="1"/>
  <c r="BI25" i="1"/>
  <c r="BH25" i="1"/>
  <c r="BG25" i="1"/>
  <c r="BF25" i="1"/>
  <c r="BE25" i="1"/>
  <c r="BB25" i="1"/>
  <c r="AZ25" i="1"/>
  <c r="AU25" i="1"/>
  <c r="AP25" i="1"/>
  <c r="AO25" i="1"/>
  <c r="AK25" i="1"/>
  <c r="AI25" i="1"/>
  <c r="M25" i="1" s="1"/>
  <c r="X25" i="1"/>
  <c r="W25" i="1"/>
  <c r="V25" i="1"/>
  <c r="O25" i="1"/>
  <c r="BU24" i="1"/>
  <c r="BT24" i="1"/>
  <c r="BR24" i="1"/>
  <c r="BS24" i="1" s="1"/>
  <c r="BI24" i="1"/>
  <c r="BH24" i="1"/>
  <c r="BG24" i="1"/>
  <c r="BF24" i="1"/>
  <c r="BE24" i="1"/>
  <c r="AZ24" i="1" s="1"/>
  <c r="BB24" i="1"/>
  <c r="AU24" i="1"/>
  <c r="AO24" i="1"/>
  <c r="AP24" i="1" s="1"/>
  <c r="AK24" i="1"/>
  <c r="AI24" i="1"/>
  <c r="X24" i="1"/>
  <c r="V24" i="1" s="1"/>
  <c r="W24" i="1"/>
  <c r="O24" i="1"/>
  <c r="BU23" i="1"/>
  <c r="BT23" i="1"/>
  <c r="BS23" i="1" s="1"/>
  <c r="AW23" i="1" s="1"/>
  <c r="BR23" i="1"/>
  <c r="BI23" i="1"/>
  <c r="BH23" i="1"/>
  <c r="BG23" i="1"/>
  <c r="BF23" i="1"/>
  <c r="BE23" i="1"/>
  <c r="BB23" i="1"/>
  <c r="AZ23" i="1"/>
  <c r="AU23" i="1"/>
  <c r="AY23" i="1" s="1"/>
  <c r="AO23" i="1"/>
  <c r="AP23" i="1" s="1"/>
  <c r="AK23" i="1"/>
  <c r="AI23" i="1"/>
  <c r="J23" i="1" s="1"/>
  <c r="X23" i="1"/>
  <c r="W23" i="1"/>
  <c r="V23" i="1"/>
  <c r="O23" i="1"/>
  <c r="M23" i="1"/>
  <c r="BU22" i="1"/>
  <c r="BT22" i="1"/>
  <c r="BR22" i="1"/>
  <c r="BS22" i="1" s="1"/>
  <c r="R22" i="1" s="1"/>
  <c r="BI22" i="1"/>
  <c r="BH22" i="1"/>
  <c r="BG22" i="1"/>
  <c r="BF22" i="1"/>
  <c r="BE22" i="1"/>
  <c r="BB22" i="1"/>
  <c r="AZ22" i="1"/>
  <c r="AW22" i="1"/>
  <c r="AU22" i="1"/>
  <c r="AY22" i="1" s="1"/>
  <c r="AO22" i="1"/>
  <c r="AP22" i="1" s="1"/>
  <c r="AK22" i="1"/>
  <c r="AI22" i="1"/>
  <c r="M22" i="1" s="1"/>
  <c r="X22" i="1"/>
  <c r="W22" i="1"/>
  <c r="V22" i="1"/>
  <c r="O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 s="1"/>
  <c r="X21" i="1"/>
  <c r="W21" i="1"/>
  <c r="V21" i="1"/>
  <c r="O21" i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P20" i="1"/>
  <c r="AO20" i="1"/>
  <c r="AK20" i="1"/>
  <c r="AI20" i="1"/>
  <c r="M20" i="1" s="1"/>
  <c r="X20" i="1"/>
  <c r="W20" i="1"/>
  <c r="V20" i="1"/>
  <c r="O20" i="1"/>
  <c r="J20" i="1"/>
  <c r="BU19" i="1"/>
  <c r="BT19" i="1"/>
  <c r="BR19" i="1"/>
  <c r="BS19" i="1" s="1"/>
  <c r="AW19" i="1" s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/>
  <c r="J19" i="1" s="1"/>
  <c r="X19" i="1"/>
  <c r="W19" i="1"/>
  <c r="V19" i="1"/>
  <c r="O19" i="1"/>
  <c r="BU18" i="1"/>
  <c r="BT18" i="1"/>
  <c r="BS18" i="1"/>
  <c r="AW18" i="1" s="1"/>
  <c r="BR18" i="1"/>
  <c r="BI18" i="1"/>
  <c r="BH18" i="1"/>
  <c r="BG18" i="1"/>
  <c r="BF18" i="1"/>
  <c r="BE18" i="1"/>
  <c r="BB18" i="1"/>
  <c r="AZ18" i="1"/>
  <c r="AU18" i="1"/>
  <c r="AY18" i="1" s="1"/>
  <c r="AP18" i="1"/>
  <c r="AO18" i="1"/>
  <c r="AK18" i="1"/>
  <c r="AI18" i="1"/>
  <c r="I18" i="1" s="1"/>
  <c r="AX18" i="1" s="1"/>
  <c r="BA18" i="1" s="1"/>
  <c r="X18" i="1"/>
  <c r="W18" i="1"/>
  <c r="V18" i="1" s="1"/>
  <c r="O18" i="1"/>
  <c r="M18" i="1"/>
  <c r="J18" i="1"/>
  <c r="BU17" i="1"/>
  <c r="BT17" i="1"/>
  <c r="BR17" i="1"/>
  <c r="BS17" i="1" s="1"/>
  <c r="R17" i="1" s="1"/>
  <c r="BI17" i="1"/>
  <c r="BH17" i="1"/>
  <c r="BG17" i="1"/>
  <c r="BF17" i="1"/>
  <c r="BE17" i="1"/>
  <c r="BB17" i="1"/>
  <c r="AZ17" i="1"/>
  <c r="AW17" i="1"/>
  <c r="AU17" i="1"/>
  <c r="AY17" i="1" s="1"/>
  <c r="AO17" i="1"/>
  <c r="AP17" i="1" s="1"/>
  <c r="AK17" i="1"/>
  <c r="AI17" i="1"/>
  <c r="AJ17" i="1" s="1"/>
  <c r="X17" i="1"/>
  <c r="W17" i="1"/>
  <c r="V17" i="1"/>
  <c r="O17" i="1"/>
  <c r="R30" i="1" l="1"/>
  <c r="AW30" i="1"/>
  <c r="AY30" i="1" s="1"/>
  <c r="R25" i="1"/>
  <c r="AW25" i="1"/>
  <c r="AW24" i="1"/>
  <c r="R24" i="1"/>
  <c r="AW20" i="1"/>
  <c r="AY20" i="1" s="1"/>
  <c r="R20" i="1"/>
  <c r="AW29" i="1"/>
  <c r="AY29" i="1" s="1"/>
  <c r="R29" i="1"/>
  <c r="M21" i="1"/>
  <c r="J21" i="1"/>
  <c r="I21" i="1"/>
  <c r="AX21" i="1" s="1"/>
  <c r="BA21" i="1" s="1"/>
  <c r="AJ21" i="1"/>
  <c r="H21" i="1"/>
  <c r="S28" i="1"/>
  <c r="T28" i="1" s="1"/>
  <c r="AJ22" i="1"/>
  <c r="BA27" i="1"/>
  <c r="M30" i="1"/>
  <c r="J30" i="1"/>
  <c r="I30" i="1"/>
  <c r="AX30" i="1" s="1"/>
  <c r="BA30" i="1" s="1"/>
  <c r="H30" i="1"/>
  <c r="AJ30" i="1"/>
  <c r="R19" i="1"/>
  <c r="Z27" i="1"/>
  <c r="AJ31" i="1"/>
  <c r="R21" i="1"/>
  <c r="AW21" i="1"/>
  <c r="AY21" i="1" s="1"/>
  <c r="S27" i="1"/>
  <c r="T27" i="1" s="1"/>
  <c r="R18" i="1"/>
  <c r="R26" i="1"/>
  <c r="AW26" i="1"/>
  <c r="BA26" i="1" s="1"/>
  <c r="M29" i="1"/>
  <c r="J29" i="1"/>
  <c r="I29" i="1"/>
  <c r="AX29" i="1" s="1"/>
  <c r="BA29" i="1" s="1"/>
  <c r="AJ29" i="1"/>
  <c r="H29" i="1"/>
  <c r="H22" i="1"/>
  <c r="S22" i="1" s="1"/>
  <c r="T22" i="1" s="1"/>
  <c r="H17" i="1"/>
  <c r="J22" i="1"/>
  <c r="AY19" i="1"/>
  <c r="H31" i="1"/>
  <c r="R31" i="1"/>
  <c r="AW31" i="1"/>
  <c r="AY31" i="1" s="1"/>
  <c r="R23" i="1"/>
  <c r="M24" i="1"/>
  <c r="J24" i="1"/>
  <c r="H24" i="1"/>
  <c r="AJ24" i="1"/>
  <c r="I24" i="1"/>
  <c r="AX24" i="1" s="1"/>
  <c r="BA24" i="1" s="1"/>
  <c r="I22" i="1"/>
  <c r="AX22" i="1" s="1"/>
  <c r="BA22" i="1" s="1"/>
  <c r="I17" i="1"/>
  <c r="AX17" i="1" s="1"/>
  <c r="BA17" i="1" s="1"/>
  <c r="J17" i="1"/>
  <c r="AA27" i="1"/>
  <c r="M17" i="1"/>
  <c r="AY25" i="1"/>
  <c r="AJ26" i="1"/>
  <c r="I31" i="1"/>
  <c r="AX31" i="1" s="1"/>
  <c r="AY24" i="1"/>
  <c r="J31" i="1"/>
  <c r="AJ25" i="1"/>
  <c r="H25" i="1"/>
  <c r="H20" i="1"/>
  <c r="I25" i="1"/>
  <c r="AX25" i="1" s="1"/>
  <c r="BA25" i="1" s="1"/>
  <c r="AJ20" i="1"/>
  <c r="I20" i="1"/>
  <c r="AX20" i="1" s="1"/>
  <c r="BA20" i="1" s="1"/>
  <c r="J25" i="1"/>
  <c r="AJ19" i="1"/>
  <c r="H19" i="1"/>
  <c r="AJ28" i="1"/>
  <c r="H23" i="1"/>
  <c r="M19" i="1"/>
  <c r="I23" i="1"/>
  <c r="AX23" i="1" s="1"/>
  <c r="BA23" i="1" s="1"/>
  <c r="J28" i="1"/>
  <c r="I19" i="1"/>
  <c r="AX19" i="1" s="1"/>
  <c r="BA19" i="1" s="1"/>
  <c r="AJ23" i="1"/>
  <c r="H28" i="1"/>
  <c r="AJ18" i="1"/>
  <c r="H18" i="1"/>
  <c r="U22" i="1" l="1"/>
  <c r="Y22" i="1" s="1"/>
  <c r="AB22" i="1"/>
  <c r="AA22" i="1"/>
  <c r="AB28" i="1"/>
  <c r="U28" i="1"/>
  <c r="Y28" i="1" s="1"/>
  <c r="S23" i="1"/>
  <c r="T23" i="1" s="1"/>
  <c r="AY26" i="1"/>
  <c r="Z31" i="1"/>
  <c r="P31" i="1"/>
  <c r="N31" i="1" s="1"/>
  <c r="Q31" i="1" s="1"/>
  <c r="K31" i="1" s="1"/>
  <c r="L31" i="1" s="1"/>
  <c r="Z18" i="1"/>
  <c r="S25" i="1"/>
  <c r="T25" i="1" s="1"/>
  <c r="Z23" i="1"/>
  <c r="P23" i="1"/>
  <c r="N23" i="1" s="1"/>
  <c r="Q23" i="1" s="1"/>
  <c r="K23" i="1" s="1"/>
  <c r="L23" i="1" s="1"/>
  <c r="AB27" i="1"/>
  <c r="AC27" i="1" s="1"/>
  <c r="U27" i="1"/>
  <c r="Y27" i="1" s="1"/>
  <c r="S29" i="1"/>
  <c r="T29" i="1" s="1"/>
  <c r="P27" i="1"/>
  <c r="N27" i="1" s="1"/>
  <c r="Q27" i="1" s="1"/>
  <c r="K27" i="1" s="1"/>
  <c r="L27" i="1" s="1"/>
  <c r="S19" i="1"/>
  <c r="T19" i="1" s="1"/>
  <c r="P19" i="1" s="1"/>
  <c r="N19" i="1" s="1"/>
  <c r="Q19" i="1" s="1"/>
  <c r="K19" i="1" s="1"/>
  <c r="L19" i="1" s="1"/>
  <c r="Z17" i="1"/>
  <c r="Z22" i="1"/>
  <c r="P22" i="1"/>
  <c r="N22" i="1" s="1"/>
  <c r="Q22" i="1" s="1"/>
  <c r="K22" i="1" s="1"/>
  <c r="L22" i="1" s="1"/>
  <c r="Z29" i="1"/>
  <c r="AA28" i="1"/>
  <c r="S17" i="1"/>
  <c r="T17" i="1" s="1"/>
  <c r="Z19" i="1"/>
  <c r="Z21" i="1"/>
  <c r="S26" i="1"/>
  <c r="T26" i="1" s="1"/>
  <c r="S18" i="1"/>
  <c r="T18" i="1" s="1"/>
  <c r="Z24" i="1"/>
  <c r="P24" i="1"/>
  <c r="N24" i="1" s="1"/>
  <c r="Q24" i="1" s="1"/>
  <c r="K24" i="1" s="1"/>
  <c r="L24" i="1" s="1"/>
  <c r="Z20" i="1"/>
  <c r="P25" i="1"/>
  <c r="N25" i="1" s="1"/>
  <c r="Q25" i="1" s="1"/>
  <c r="K25" i="1" s="1"/>
  <c r="L25" i="1" s="1"/>
  <c r="Z25" i="1"/>
  <c r="S21" i="1"/>
  <c r="T21" i="1" s="1"/>
  <c r="S20" i="1"/>
  <c r="T20" i="1" s="1"/>
  <c r="S31" i="1"/>
  <c r="T31" i="1" s="1"/>
  <c r="S24" i="1"/>
  <c r="T24" i="1" s="1"/>
  <c r="Z28" i="1"/>
  <c r="P28" i="1"/>
  <c r="N28" i="1" s="1"/>
  <c r="Q28" i="1" s="1"/>
  <c r="K28" i="1" s="1"/>
  <c r="L28" i="1" s="1"/>
  <c r="BA31" i="1"/>
  <c r="Z30" i="1"/>
  <c r="S30" i="1"/>
  <c r="T30" i="1" s="1"/>
  <c r="P30" i="1" s="1"/>
  <c r="N30" i="1" s="1"/>
  <c r="Q30" i="1" s="1"/>
  <c r="K30" i="1" s="1"/>
  <c r="L30" i="1" s="1"/>
  <c r="U21" i="1" l="1"/>
  <c r="Y21" i="1" s="1"/>
  <c r="AB21" i="1"/>
  <c r="AA21" i="1"/>
  <c r="AB29" i="1"/>
  <c r="AA29" i="1"/>
  <c r="U29" i="1"/>
  <c r="Y29" i="1" s="1"/>
  <c r="AB18" i="1"/>
  <c r="U18" i="1"/>
  <c r="Y18" i="1" s="1"/>
  <c r="AA18" i="1"/>
  <c r="AB20" i="1"/>
  <c r="AA20" i="1"/>
  <c r="U20" i="1"/>
  <c r="Y20" i="1" s="1"/>
  <c r="U30" i="1"/>
  <c r="Y30" i="1" s="1"/>
  <c r="AB30" i="1"/>
  <c r="AA30" i="1"/>
  <c r="P21" i="1"/>
  <c r="N21" i="1" s="1"/>
  <c r="Q21" i="1" s="1"/>
  <c r="K21" i="1" s="1"/>
  <c r="L21" i="1" s="1"/>
  <c r="AC22" i="1"/>
  <c r="AB19" i="1"/>
  <c r="U19" i="1"/>
  <c r="Y19" i="1" s="1"/>
  <c r="AA19" i="1"/>
  <c r="P20" i="1"/>
  <c r="N20" i="1" s="1"/>
  <c r="Q20" i="1" s="1"/>
  <c r="K20" i="1" s="1"/>
  <c r="L20" i="1" s="1"/>
  <c r="U25" i="1"/>
  <c r="Y25" i="1" s="1"/>
  <c r="AB25" i="1"/>
  <c r="AA25" i="1"/>
  <c r="U26" i="1"/>
  <c r="Y26" i="1" s="1"/>
  <c r="AB26" i="1"/>
  <c r="AA26" i="1"/>
  <c r="P26" i="1"/>
  <c r="N26" i="1" s="1"/>
  <c r="Q26" i="1" s="1"/>
  <c r="K26" i="1" s="1"/>
  <c r="L26" i="1" s="1"/>
  <c r="P18" i="1"/>
  <c r="N18" i="1" s="1"/>
  <c r="Q18" i="1" s="1"/>
  <c r="K18" i="1" s="1"/>
  <c r="L18" i="1" s="1"/>
  <c r="AB17" i="1"/>
  <c r="U17" i="1"/>
  <c r="Y17" i="1" s="1"/>
  <c r="AA17" i="1"/>
  <c r="AB23" i="1"/>
  <c r="U23" i="1"/>
  <c r="Y23" i="1" s="1"/>
  <c r="AA23" i="1"/>
  <c r="AB24" i="1"/>
  <c r="AA24" i="1"/>
  <c r="U24" i="1"/>
  <c r="Y24" i="1" s="1"/>
  <c r="P29" i="1"/>
  <c r="N29" i="1" s="1"/>
  <c r="Q29" i="1" s="1"/>
  <c r="K29" i="1" s="1"/>
  <c r="L29" i="1" s="1"/>
  <c r="AC28" i="1"/>
  <c r="U31" i="1"/>
  <c r="Y31" i="1" s="1"/>
  <c r="AA31" i="1"/>
  <c r="AB31" i="1"/>
  <c r="AC31" i="1" s="1"/>
  <c r="P17" i="1"/>
  <c r="N17" i="1" s="1"/>
  <c r="Q17" i="1" s="1"/>
  <c r="K17" i="1" s="1"/>
  <c r="L17" i="1" s="1"/>
  <c r="AC23" i="1" l="1"/>
  <c r="AC25" i="1"/>
  <c r="AC18" i="1"/>
  <c r="AC17" i="1"/>
  <c r="AC21" i="1"/>
  <c r="AC19" i="1"/>
  <c r="AC30" i="1"/>
  <c r="AC24" i="1"/>
  <c r="AC20" i="1"/>
  <c r="AC29" i="1"/>
  <c r="AC26" i="1"/>
</calcChain>
</file>

<file path=xl/sharedStrings.xml><?xml version="1.0" encoding="utf-8"?>
<sst xmlns="http://schemas.openxmlformats.org/spreadsheetml/2006/main" count="788" uniqueCount="360">
  <si>
    <t>File opened</t>
  </si>
  <si>
    <t>2020-08-23 13:24:23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</si>
  <si>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</si>
  <si>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</si>
  <si>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</si>
  <si>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</si>
  <si>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</si>
  <si>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</si>
  <si>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</si>
  <si>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</si>
  <si>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</si>
  <si>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</si>
  <si>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</si>
  <si>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{"chamberpressurezero": "2.59209", "co2aspan1": "0.992625", "co2aspan2a": "0.164928", "co2aspanconc2": "0", "co2bzero": "0.880288", "h2oaspan1": "1.00223", "flowazero": "0.42932", "tazero": "0.00774765", "h2obzero": "1.01783", "ssa_ref": "36614.9", "h2obspanconc1": "20", "co2bspanconc1": "1002", "h2oaspanconc2": "0", "co2aspan2": "0", "oxygen": "21", "h2obspan2b": "0.0963575", "co2bspanconc2": "0", "co2bspan2": "0", "co2aspan2b": "0.163711", "h2oaspanconc1": "12.19", "co2azero": "0.869071", "h2oaspan2": "0", "h2obspanconc2": "0", "h2oaspan2a": "0.0661155", "co2aspanconc1": "1002", "co2bspan2b": "0.162103", "h2oaspan2b": "0.0662632", "h2obspan1": "0.998578", "co2bspan2a": "0.163389", "tbzero": "0.197721", "h2obspan2": "0", "ssb_ref": "36526.8", "flowbzero": "0.22736", "flowmeterzero": "0.990908", "co2bspan1": "0.992131", "h2obspan2a": "0.0975941", "h2oazero": "1.00263"}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</si>
  <si>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</si>
  <si>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</si>
  <si>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</si>
  <si>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</si>
  <si>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</si>
  <si>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</si>
  <si>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</si>
  <si>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</si>
  <si>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</si>
  <si>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13:24:23</t>
  </si>
  <si>
    <t>Stability Definition:	CO2_s (Meas): Slp&lt;0.3	H2O_s (Meas): Slp&lt;0.2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</si>
  <si>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</si>
  <si>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</si>
  <si>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</si>
  <si>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</si>
  <si>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</si>
  <si>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</si>
  <si>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</si>
  <si>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</si>
  <si>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</si>
  <si>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</si>
  <si>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</si>
  <si>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</si>
  <si>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</si>
  <si>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</si>
  <si>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</si>
  <si>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</si>
  <si>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</si>
  <si>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</si>
  <si>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</si>
  <si>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</si>
  <si>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</si>
  <si>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</si>
  <si>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</si>
  <si>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</si>
  <si>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</si>
  <si>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</si>
  <si>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</si>
  <si>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</si>
  <si>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</si>
  <si>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</si>
  <si>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</si>
  <si>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</si>
  <si>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</si>
  <si>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</si>
  <si>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</si>
  <si>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</si>
  <si>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</si>
  <si>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</si>
  <si>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</si>
  <si>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</si>
  <si>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</si>
  <si>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</si>
  <si>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</si>
  <si>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</si>
  <si>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</si>
  <si>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</si>
  <si>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2.94359 76.2785 384.689 618.449 845.034 1049.11 1224.88 1398.33</t>
  </si>
  <si>
    <t>Fs_true</t>
  </si>
  <si>
    <t>0.282282 99.9505 401.086 601.05 800.065 1000.06 1200.05 1401.49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</si>
  <si>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</si>
  <si>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</si>
  <si>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</si>
  <si>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</si>
  <si>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</si>
  <si>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</si>
  <si>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</si>
  <si>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</si>
  <si>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</si>
  <si>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</si>
  <si>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</si>
  <si>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</si>
  <si>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</si>
  <si>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</si>
  <si>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</si>
  <si>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</si>
  <si>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</si>
  <si>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</si>
  <si>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</si>
  <si>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</si>
  <si>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</si>
  <si>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</si>
  <si>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</si>
  <si>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</si>
  <si>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</si>
  <si>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</si>
  <si>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</si>
  <si>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</si>
  <si>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</si>
  <si>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</si>
  <si>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</si>
  <si>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</si>
  <si>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</si>
  <si>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</si>
  <si>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</si>
  <si>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</si>
  <si>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</si>
  <si>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</si>
  <si>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</si>
  <si>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</si>
  <si>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</si>
  <si>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</si>
  <si>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</si>
  <si>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</si>
  <si>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</si>
  <si>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</si>
  <si>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</si>
  <si>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</si>
  <si>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</si>
  <si>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</si>
  <si>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</si>
  <si>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</si>
  <si>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</si>
  <si>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</si>
  <si>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</si>
  <si>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</si>
  <si>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</si>
  <si>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</si>
  <si>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</si>
  <si>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</si>
  <si>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</si>
  <si>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</si>
  <si>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</si>
  <si>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</si>
  <si>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</si>
  <si>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</si>
  <si>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</si>
  <si>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</si>
  <si>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</si>
  <si>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</si>
  <si>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</si>
  <si>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</si>
  <si>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</si>
  <si>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</si>
  <si>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</si>
  <si>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</si>
  <si>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</si>
  <si>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</si>
  <si>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</si>
  <si>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</si>
  <si>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</si>
  <si>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</si>
  <si>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</si>
  <si>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</si>
  <si>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</si>
  <si>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</si>
  <si>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</si>
  <si>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</si>
  <si>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</si>
  <si>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</si>
  <si>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</si>
  <si>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</si>
  <si>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</si>
  <si>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</si>
  <si>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</si>
  <si>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</si>
  <si>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</si>
  <si>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</si>
  <si>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</si>
  <si>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</si>
  <si>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</si>
  <si>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</si>
  <si>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</si>
  <si>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</si>
  <si>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</si>
  <si>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</si>
  <si>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</si>
  <si>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</si>
  <si>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</si>
  <si>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</si>
  <si>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</si>
  <si>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</si>
  <si>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</si>
  <si>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</si>
  <si>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</si>
  <si>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</si>
  <si>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</si>
  <si>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</si>
  <si>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</si>
  <si>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</si>
  <si>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</si>
  <si>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</si>
  <si>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</si>
  <si>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</si>
  <si>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</si>
  <si>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</si>
  <si>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</si>
  <si>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</si>
  <si>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</si>
  <si>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</si>
  <si>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</si>
  <si>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</si>
  <si>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</si>
  <si>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</si>
  <si>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</si>
  <si>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</si>
  <si>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</si>
  <si>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</si>
  <si>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</si>
  <si>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</si>
  <si>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</si>
  <si>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</si>
  <si>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</si>
  <si>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</si>
  <si>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</si>
  <si>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</si>
  <si>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</si>
  <si>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</si>
  <si>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</si>
  <si>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</si>
  <si>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</si>
  <si>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</si>
  <si>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</si>
  <si>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</si>
  <si>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</si>
  <si>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</si>
  <si>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</si>
  <si>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</si>
  <si>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</si>
  <si>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</si>
  <si>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</si>
  <si>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</si>
  <si>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</si>
  <si>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</si>
  <si>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</si>
  <si>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</si>
  <si>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</si>
  <si>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</si>
  <si>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</si>
  <si>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</si>
  <si>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</si>
  <si>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</si>
  <si>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</si>
  <si>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</si>
  <si>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</si>
  <si>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</si>
  <si>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</si>
  <si>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</si>
  <si>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</si>
  <si>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</si>
  <si>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</si>
  <si>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</si>
  <si>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</si>
  <si>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</si>
  <si>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</si>
  <si>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</si>
  <si>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</si>
  <si>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</si>
  <si>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</si>
  <si>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</si>
  <si>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</si>
  <si>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</si>
  <si>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</si>
  <si>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</si>
  <si>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</si>
  <si>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</si>
  <si>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</si>
  <si>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</si>
  <si>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</si>
  <si>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</si>
  <si>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</si>
  <si>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</si>
  <si>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</si>
  <si>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20200823 13:28:19</t>
  </si>
  <si>
    <t>13:28:19</t>
  </si>
  <si>
    <t>MPF-6623-20200823-13_28_21</t>
  </si>
  <si>
    <t>DARK-6624-20200823-13_28_29</t>
  </si>
  <si>
    <t>0: Broadleaf</t>
  </si>
  <si>
    <t>13:28:44</t>
  </si>
  <si>
    <t>1/2</t>
  </si>
  <si>
    <t>5</t>
  </si>
  <si>
    <t>11111111</t>
  </si>
  <si>
    <t>oooooooo</t>
  </si>
  <si>
    <t>off</t>
  </si>
  <si>
    <t>20200823 13:30:16</t>
  </si>
  <si>
    <t>13:30:16</t>
  </si>
  <si>
    <t>MPF-6625-20200823-13_30_18</t>
  </si>
  <si>
    <t>DARK-6626-20200823-13_30_26</t>
  </si>
  <si>
    <t>13:30:40</t>
  </si>
  <si>
    <t>2/2</t>
  </si>
  <si>
    <t>20200823 13:32:12</t>
  </si>
  <si>
    <t>13:32:12</t>
  </si>
  <si>
    <t>MPF-6627-20200823-13_32_14</t>
  </si>
  <si>
    <t>DARK-6628-20200823-13_32_22</t>
  </si>
  <si>
    <t>13:32:33</t>
  </si>
  <si>
    <t>20200823 13:34:05</t>
  </si>
  <si>
    <t>13:34:05</t>
  </si>
  <si>
    <t>MPF-6629-20200823-13_34_06</t>
  </si>
  <si>
    <t>DARK-6630-20200823-13_34_14</t>
  </si>
  <si>
    <t>13:34:31</t>
  </si>
  <si>
    <t>20200823 13:36:33</t>
  </si>
  <si>
    <t>13:36:33</t>
  </si>
  <si>
    <t>MPF-6631-20200823-13_36_34</t>
  </si>
  <si>
    <t>DARK-6632-20200823-13_36_42</t>
  </si>
  <si>
    <t>13:36:57</t>
  </si>
  <si>
    <t>20200823 13:38:36</t>
  </si>
  <si>
    <t>13:38:36</t>
  </si>
  <si>
    <t>MPF-6633-20200823-13_38_38</t>
  </si>
  <si>
    <t>DARK-6634-20200823-13_38_45</t>
  </si>
  <si>
    <t>13:38:58</t>
  </si>
  <si>
    <t>20200823 13:40:41</t>
  </si>
  <si>
    <t>13:40:41</t>
  </si>
  <si>
    <t>MPF-6635-20200823-13_40_43</t>
  </si>
  <si>
    <t>DARK-6636-20200823-13_40_50</t>
  </si>
  <si>
    <t>13:41:12</t>
  </si>
  <si>
    <t>20200823 13:42:50</t>
  </si>
  <si>
    <t>13:42:50</t>
  </si>
  <si>
    <t>MPF-6637-20200823-13_42_52</t>
  </si>
  <si>
    <t>DARK-6638-20200823-13_42_59</t>
  </si>
  <si>
    <t>13:43:13</t>
  </si>
  <si>
    <t>20200823 13:45:05</t>
  </si>
  <si>
    <t>13:45:05</t>
  </si>
  <si>
    <t>MPF-6639-20200823-13_45_06</t>
  </si>
  <si>
    <t>DARK-6640-20200823-13_45_14</t>
  </si>
  <si>
    <t>13:45:35</t>
  </si>
  <si>
    <t>20200823 13:47:37</t>
  </si>
  <si>
    <t>13:47:37</t>
  </si>
  <si>
    <t>MPF-6641-20200823-13_47_38</t>
  </si>
  <si>
    <t>DARK-6642-20200823-13_47_46</t>
  </si>
  <si>
    <t>13:48:02</t>
  </si>
  <si>
    <t>20200823 13:50:03</t>
  </si>
  <si>
    <t>13:50:03</t>
  </si>
  <si>
    <t>MPF-6643-20200823-13_50_05</t>
  </si>
  <si>
    <t>DARK-6644-20200823-13_50_12</t>
  </si>
  <si>
    <t>13:50:29</t>
  </si>
  <si>
    <t>20200823 13:52:31</t>
  </si>
  <si>
    <t>13:52:31</t>
  </si>
  <si>
    <t>MPF-6645-20200823-13_52_32</t>
  </si>
  <si>
    <t>DARK-6646-20200823-13_52_40</t>
  </si>
  <si>
    <t>13:53:04</t>
  </si>
  <si>
    <t>20200823 13:55:05</t>
  </si>
  <si>
    <t>13:55:05</t>
  </si>
  <si>
    <t>MPF-6647-20200823-13_55_07</t>
  </si>
  <si>
    <t>DARK-6648-20200823-13_55_14</t>
  </si>
  <si>
    <t>13:55:35</t>
  </si>
  <si>
    <t>0/2</t>
  </si>
  <si>
    <t>20200823 13:57:36</t>
  </si>
  <si>
    <t>13:57:36</t>
  </si>
  <si>
    <t>MPF-6649-20200823-13_57_38</t>
  </si>
  <si>
    <t>DARK-6650-20200823-13_57_46</t>
  </si>
  <si>
    <t>13:58:07</t>
  </si>
  <si>
    <t>20200823 13:59:38</t>
  </si>
  <si>
    <t>13:59:38</t>
  </si>
  <si>
    <t>MPF-6651-20200823-13_59_40</t>
  </si>
  <si>
    <t>DARK-6652-20200823-13_59_47</t>
  </si>
  <si>
    <t>14:00:04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</si>
</sst>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1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1598207299.9000001</v>
      </c>
      <c r="C17">
        <v>0</v>
      </c>
      <c r="D17" t="s">
        <v>277</v>
      </c>
      <c r="E17" t="s">
        <v>278</v>
      </c>
      <c r="G17">
        <v>1598207291.9000001</v>
      </c>
      <c r="H17">
        <f t="shared" ref="H17:H31" si="0">CC17*AI17*(CA17-CB17)/(100*$B$5*(1000-AI17*CA17))</f>
        <v>5.6116971120897755E-3</v>
      </c>
      <c r="I17">
        <f t="shared" ref="I17:I31" si="1">CC17*AI17*(BZ17-BY17*(1000-AI17*CB17)/(1000-AI17*CA17))/(100*$B$5)</f>
        <v>28.049625569816598</v>
      </c>
      <c r="J17">
        <f t="shared" ref="J17:J31" si="2">BY17 - IF(AI17&gt;1, I17*$B$5*100/(AK17*CI17), 0)</f>
        <v>387.883225806452</v>
      </c>
      <c r="K17">
        <f t="shared" ref="K17:K31" si="3">((Q17-H17/2)*J17-I17)/(Q17+H17/2)</f>
        <v>237.97320392447398</v>
      </c>
      <c r="L17">
        <f t="shared" ref="L17:L31" si="4">K17*(CD17+CE17)/1000</f>
        <v>23.646319769690386</v>
      </c>
      <c r="M17">
        <f t="shared" ref="M17:M31" si="5">(BY17 - IF(AI17&gt;1, I17*$B$5*100/(AK17*CI17), 0))*(CD17+CE17)/1000</f>
        <v>38.542199875702501</v>
      </c>
      <c r="N17">
        <f t="shared" ref="N17:N31" si="6">2/((1/P17-1/O17)+SIGN(P17)*SQRT((1/P17-1/O17)*(1/P17-1/O17) + 4*BV17/((BV17+1)*(BV17+1))*(2*1/P17*1/O17-1/O17*1/O17)))</f>
        <v>0.33297025600930208</v>
      </c>
      <c r="O17">
        <f t="shared" ref="O17:O31" si="7">AF17+AE17*$B$5+AD17*$B$5*$B$5</f>
        <v>3.3803448479262408</v>
      </c>
      <c r="P17">
        <f t="shared" ref="P17:P31" si="8">H17*(1000-(1000*0.61365*EXP(17.502*T17/(240.97+T17))/(CD17+CE17)+CA17)/2)/(1000*0.61365*EXP(17.502*T17/(240.97+T17))/(CD17+CE17)-CA17)</f>
        <v>0.31576314353350776</v>
      </c>
      <c r="Q17">
        <f t="shared" ref="Q17:Q31" si="9">1/((BV17+1)/(N17/1.6)+1/(O17/1.37)) + BV17/((BV17+1)/(N17/1.6) + BV17/(O17/1.37))</f>
        <v>0.19882382482029187</v>
      </c>
      <c r="R17">
        <f t="shared" ref="R17:R31" si="10">(BS17*BU17)</f>
        <v>321.43833378038187</v>
      </c>
      <c r="S17">
        <f t="shared" ref="S17:S31" si="11">(CF17+(R17+2*0.95*0.0000000567*(((CF17+$B$7)+273)^4-(CF17+273)^4)-44100*H17)/(1.84*29.3*O17+8*0.95*0.0000000567*(CF17+273)^3))</f>
        <v>26.927004210027466</v>
      </c>
      <c r="T17">
        <f t="shared" ref="T17:T31" si="12">($C$7*CG17+$D$7*CH17+$E$7*S17)</f>
        <v>27.1638967741935</v>
      </c>
      <c r="U17">
        <f t="shared" ref="U17:U31" si="13">0.61365*EXP(17.502*T17/(240.97+T17))</f>
        <v>3.6137580049584761</v>
      </c>
      <c r="V17">
        <f t="shared" ref="V17:V31" si="14">(W17/X17*100)</f>
        <v>54.432611286187495</v>
      </c>
      <c r="W17">
        <f t="shared" ref="W17:W31" si="15">CA17*(CD17+CE17)/1000</f>
        <v>1.8968157050596097</v>
      </c>
      <c r="X17">
        <f t="shared" ref="X17:X31" si="16">0.61365*EXP(17.502*CF17/(240.97+CF17))</f>
        <v>3.484704592044686</v>
      </c>
      <c r="Y17">
        <f t="shared" ref="Y17:Y31" si="17">(U17-CA17*(CD17+CE17)/1000)</f>
        <v>1.7169422998988664</v>
      </c>
      <c r="Z17">
        <f t="shared" ref="Z17:Z31" si="18">(-H17*44100)</f>
        <v>-247.4758426431591</v>
      </c>
      <c r="AA17">
        <f t="shared" ref="AA17:AA31" si="19">2*29.3*O17*0.92*(CF17-T17)</f>
        <v>-112.71438854245085</v>
      </c>
      <c r="AB17">
        <f t="shared" ref="AB17:AB31" si="20">2*0.95*0.0000000567*(((CF17+$B$7)+273)^4-(T17+273)^4)</f>
        <v>-7.1855893319489308</v>
      </c>
      <c r="AC17">
        <f t="shared" ref="AC17:AC31" si="21">R17+AB17+Z17+AA17</f>
        <v>-45.937486737176982</v>
      </c>
      <c r="AD17">
        <v>-4.1143453938097999E-2</v>
      </c>
      <c r="AE17">
        <v>4.6187131410041597E-2</v>
      </c>
      <c r="AF17">
        <v>3.45254440085855</v>
      </c>
      <c r="AG17">
        <v>153</v>
      </c>
      <c r="AH17">
        <v>31</v>
      </c>
      <c r="AI17">
        <f t="shared" ref="AI17:AI31" si="22">IF(AG17*$H$13&gt;=AK17,1,(AK17/(AK17-AG17*$H$13)))</f>
        <v>1</v>
      </c>
      <c r="AJ17">
        <f t="shared" ref="AJ17:AJ31" si="23">(AI17-1)*100</f>
        <v>0</v>
      </c>
      <c r="AK17">
        <f t="shared" ref="AK17:AK31" si="24">MAX(0,($B$13+$C$13*CI17)/(1+$D$13*CI17)*CD17/(CF17+273)*$E$13)</f>
        <v>52542.88374599778</v>
      </c>
      <c r="AL17">
        <v>0</v>
      </c>
      <c r="AM17">
        <v>0</v>
      </c>
      <c r="AN17">
        <v>0</v>
      </c>
      <c r="AO17">
        <f t="shared" ref="AO17:AO31" si="25">AN17-AM17</f>
        <v>0</v>
      </c>
      <c r="AP17" t="e">
        <f t="shared" ref="AP17:AP31" si="26">AO17/AN17</f>
        <v>#DIV/0!</v>
      </c>
      <c r="AQ17">
        <v>-1</v>
      </c>
      <c r="AR17" t="s">
        <v>279</v>
      </c>
      <c r="AS17">
        <v>306.15123076923101</v>
      </c>
      <c r="AT17">
        <v>424.13400000000001</v>
      </c>
      <c r="AU17">
        <f t="shared" ref="AU17:AU31" si="27">1-AS17/AT17</f>
        <v>0.27817333491483587</v>
      </c>
      <c r="AV17">
        <v>0.5</v>
      </c>
      <c r="AW17">
        <f t="shared" ref="AW17:AW31" si="28">BS17</f>
        <v>1681.1918222575375</v>
      </c>
      <c r="AX17">
        <f t="shared" ref="AX17:AX31" si="29">I17</f>
        <v>28.049625569816598</v>
      </c>
      <c r="AY17">
        <f t="shared" ref="AY17:AY31" si="30">AU17*AV17*AW17</f>
        <v>233.83136791446461</v>
      </c>
      <c r="AZ17">
        <f t="shared" ref="AZ17:AZ31" si="31">BE17/AT17</f>
        <v>0.53085581443600371</v>
      </c>
      <c r="BA17">
        <f t="shared" ref="BA17:BA31" si="32">(AX17-AQ17)/AW17</f>
        <v>1.7279185626068647E-2</v>
      </c>
      <c r="BB17">
        <f t="shared" ref="BB17:BB31" si="33">(AN17-AT17)/AT17</f>
        <v>-1</v>
      </c>
      <c r="BC17" t="s">
        <v>280</v>
      </c>
      <c r="BD17">
        <v>198.98</v>
      </c>
      <c r="BE17">
        <f t="shared" ref="BE17:BE31" si="34">AT17-BD17</f>
        <v>225.15400000000002</v>
      </c>
      <c r="BF17">
        <f t="shared" ref="BF17:BF31" si="35">(AT17-AS17)/(AT17-BD17)</f>
        <v>0.52400920805657014</v>
      </c>
      <c r="BG17">
        <f t="shared" ref="BG17:BG31" si="36">(AN17-AT17)/(AN17-BD17)</f>
        <v>2.1315408583777264</v>
      </c>
      <c r="BH17">
        <f t="shared" ref="BH17:BH31" si="37">(AT17-AS17)/(AT17-AM17)</f>
        <v>0.27817333491483587</v>
      </c>
      <c r="BI17" t="e">
        <f t="shared" ref="BI17:BI31" si="38">(AN17-AT17)/(AN17-AM17)</f>
        <v>#DIV/0!</v>
      </c>
      <c r="BJ17">
        <v>6623</v>
      </c>
      <c r="BK17">
        <v>300</v>
      </c>
      <c r="BL17">
        <v>300</v>
      </c>
      <c r="BM17">
        <v>300</v>
      </c>
      <c r="BN17">
        <v>9875.1</v>
      </c>
      <c r="BO17">
        <v>392.20800000000003</v>
      </c>
      <c r="BP17">
        <v>-6.5687200000000001E-3</v>
      </c>
      <c r="BQ17">
        <v>1.5537700000000001</v>
      </c>
      <c r="BR17">
        <f t="shared" ref="BR17:BR31" si="39">$B$11*CJ17+$C$11*CK17+$F$11*CL17</f>
        <v>1999.9941935483901</v>
      </c>
      <c r="BS17">
        <f t="shared" ref="BS17:BS31" si="40">BR17*BT17</f>
        <v>1681.1918222575375</v>
      </c>
      <c r="BT17">
        <f t="shared" ref="BT17:BT31" si="41">($B$11*$D$9+$C$11*$D$9+$F$11*((CY17+CQ17)/MAX(CY17+CQ17+CZ17, 0.1)*$I$9+CZ17/MAX(CY17+CQ17+CZ17, 0.1)*$J$9))/($B$11+$C$11+$F$11)</f>
        <v>0.8405983515755947</v>
      </c>
      <c r="BU17">
        <f t="shared" ref="BU17:BU31" si="42">($B$11*$K$9+$C$11*$K$9+$F$11*((CY17+CQ17)/MAX(CY17+CQ17+CZ17, 0.1)*$P$9+CZ17/MAX(CY17+CQ17+CZ17, 0.1)*$Q$9))/($B$11+$C$11+$F$11)</f>
        <v>0.19119670315118958</v>
      </c>
      <c r="BV17">
        <v>0.5</v>
      </c>
      <c r="BW17" t="s">
        <v>281</v>
      </c>
      <c r="BX17">
        <v>1598207291.9000001</v>
      </c>
      <c r="BY17">
        <v>387.883225806452</v>
      </c>
      <c r="BZ17">
        <v>399.97261290322598</v>
      </c>
      <c r="CA17">
        <v>19.089283870967702</v>
      </c>
      <c r="CB17">
        <v>16.887661290322601</v>
      </c>
      <c r="CC17">
        <v>500.04700000000003</v>
      </c>
      <c r="CD17">
        <v>99.1654870967742</v>
      </c>
      <c r="CE17">
        <v>0.19998506451612899</v>
      </c>
      <c r="CF17">
        <v>26.545406451612902</v>
      </c>
      <c r="CG17">
        <v>27.1638967741935</v>
      </c>
      <c r="CH17">
        <v>999.9</v>
      </c>
      <c r="CI17">
        <v>10005.440645161299</v>
      </c>
      <c r="CJ17">
        <v>0</v>
      </c>
      <c r="CK17">
        <v>169.318903225806</v>
      </c>
      <c r="CL17">
        <v>1999.9941935483901</v>
      </c>
      <c r="CM17">
        <v>0.98000670967741899</v>
      </c>
      <c r="CN17">
        <v>1.99933516129032E-2</v>
      </c>
      <c r="CO17">
        <v>0</v>
      </c>
      <c r="CP17">
        <v>306.22506451612901</v>
      </c>
      <c r="CQ17">
        <v>5.00054</v>
      </c>
      <c r="CR17">
        <v>8030.4467741935496</v>
      </c>
      <c r="CS17">
        <v>18703.619354838698</v>
      </c>
      <c r="CT17">
        <v>47.374870967741899</v>
      </c>
      <c r="CU17">
        <v>48.941129032257997</v>
      </c>
      <c r="CV17">
        <v>47.674999999999997</v>
      </c>
      <c r="CW17">
        <v>48.29</v>
      </c>
      <c r="CX17">
        <v>48.840451612903202</v>
      </c>
      <c r="CY17">
        <v>1955.10419354839</v>
      </c>
      <c r="CZ17">
        <v>39.89</v>
      </c>
      <c r="DA17">
        <v>0</v>
      </c>
      <c r="DB17">
        <v>466.299999952316</v>
      </c>
      <c r="DC17">
        <v>306.15123076923101</v>
      </c>
      <c r="DD17">
        <v>-11.748854708123799</v>
      </c>
      <c r="DE17">
        <v>-190.49606842885001</v>
      </c>
      <c r="DF17">
        <v>8028.7803846153802</v>
      </c>
      <c r="DG17">
        <v>15</v>
      </c>
      <c r="DH17">
        <v>1598207324.9000001</v>
      </c>
      <c r="DI17" t="s">
        <v>282</v>
      </c>
      <c r="DJ17">
        <v>61</v>
      </c>
      <c r="DK17">
        <v>-0.28000000000000003</v>
      </c>
      <c r="DL17">
        <v>0.115</v>
      </c>
      <c r="DM17">
        <v>400</v>
      </c>
      <c r="DN17">
        <v>17</v>
      </c>
      <c r="DO17">
        <v>0.11</v>
      </c>
      <c r="DP17">
        <v>0.04</v>
      </c>
      <c r="DQ17">
        <v>388.20280000000002</v>
      </c>
      <c r="DR17">
        <v>0.67136796536799204</v>
      </c>
      <c r="DS17">
        <v>8.93992881810175E-2</v>
      </c>
      <c r="DT17">
        <v>0</v>
      </c>
      <c r="DU17">
        <v>19.0841345454545</v>
      </c>
      <c r="DV17">
        <v>5.34588744588744E-2</v>
      </c>
      <c r="DW17">
        <v>8.06136054796594E-3</v>
      </c>
      <c r="DX17">
        <v>1</v>
      </c>
      <c r="DY17">
        <v>1</v>
      </c>
      <c r="DZ17">
        <v>2</v>
      </c>
      <c r="EA17" t="s">
        <v>283</v>
      </c>
      <c r="EB17">
        <v>1.86663</v>
      </c>
      <c r="EC17">
        <v>1.8631599999999999</v>
      </c>
      <c r="ED17">
        <v>1.8688199999999999</v>
      </c>
      <c r="EE17">
        <v>1.86676</v>
      </c>
      <c r="EF17">
        <v>1.87148</v>
      </c>
      <c r="EG17">
        <v>1.86389</v>
      </c>
      <c r="EH17">
        <v>1.8654299999999999</v>
      </c>
      <c r="EI17">
        <v>1.86537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-0.28000000000000003</v>
      </c>
      <c r="EX17">
        <v>0.115</v>
      </c>
      <c r="EY17">
        <v>2</v>
      </c>
      <c r="EZ17">
        <v>329.839</v>
      </c>
      <c r="FA17">
        <v>465.77199999999999</v>
      </c>
      <c r="FB17">
        <v>20.767099999999999</v>
      </c>
      <c r="FC17">
        <v>35.526600000000002</v>
      </c>
      <c r="FD17">
        <v>30.001100000000001</v>
      </c>
      <c r="FE17">
        <v>35.442599999999999</v>
      </c>
      <c r="FF17">
        <v>35.435200000000002</v>
      </c>
      <c r="FG17">
        <v>21.984999999999999</v>
      </c>
      <c r="FH17">
        <v>55.446100000000001</v>
      </c>
      <c r="FI17">
        <v>0</v>
      </c>
      <c r="FJ17">
        <v>20.561499999999999</v>
      </c>
      <c r="FK17">
        <v>400</v>
      </c>
      <c r="FL17">
        <v>17.049499999999998</v>
      </c>
      <c r="FM17">
        <v>100.45099999999999</v>
      </c>
      <c r="FN17">
        <v>100.911</v>
      </c>
    </row>
    <row r="18" spans="1:170" x14ac:dyDescent="0.25">
      <c r="A18">
        <v>2</v>
      </c>
      <c r="B18">
        <v>1598207416.9000001</v>
      </c>
      <c r="C18">
        <v>117</v>
      </c>
      <c r="D18" t="s">
        <v>288</v>
      </c>
      <c r="E18" t="s">
        <v>289</v>
      </c>
      <c r="G18">
        <v>1598207408.90645</v>
      </c>
      <c r="H18">
        <f t="shared" si="0"/>
        <v>4.7164209072404215E-3</v>
      </c>
      <c r="I18">
        <f t="shared" si="1"/>
        <v>18.774407340186098</v>
      </c>
      <c r="J18">
        <f t="shared" si="2"/>
        <v>291.93280645161298</v>
      </c>
      <c r="K18">
        <f t="shared" si="3"/>
        <v>171.56381041813972</v>
      </c>
      <c r="L18">
        <f t="shared" si="4"/>
        <v>17.048647192865658</v>
      </c>
      <c r="M18">
        <f t="shared" si="5"/>
        <v>29.009960836650041</v>
      </c>
      <c r="N18">
        <f t="shared" si="6"/>
        <v>0.27425670811872155</v>
      </c>
      <c r="O18">
        <f t="shared" si="7"/>
        <v>3.3776953509534104</v>
      </c>
      <c r="P18">
        <f t="shared" si="8"/>
        <v>0.2624586673275443</v>
      </c>
      <c r="Q18">
        <f t="shared" si="9"/>
        <v>0.16505437913415053</v>
      </c>
      <c r="R18">
        <f t="shared" si="10"/>
        <v>321.43679891033429</v>
      </c>
      <c r="S18">
        <f t="shared" si="11"/>
        <v>26.691655645775917</v>
      </c>
      <c r="T18">
        <f t="shared" si="12"/>
        <v>27.162812903225799</v>
      </c>
      <c r="U18">
        <f t="shared" si="13"/>
        <v>3.6135282463369305</v>
      </c>
      <c r="V18">
        <f t="shared" si="14"/>
        <v>55.28395500807656</v>
      </c>
      <c r="W18">
        <f t="shared" si="15"/>
        <v>1.8771318949564162</v>
      </c>
      <c r="X18">
        <f t="shared" si="16"/>
        <v>3.3954370570668866</v>
      </c>
      <c r="Y18">
        <f t="shared" si="17"/>
        <v>1.7363963513805143</v>
      </c>
      <c r="Z18">
        <f t="shared" si="18"/>
        <v>-207.99416200930258</v>
      </c>
      <c r="AA18">
        <f t="shared" si="19"/>
        <v>-192.48378967004044</v>
      </c>
      <c r="AB18">
        <f t="shared" si="20"/>
        <v>-12.253518474553026</v>
      </c>
      <c r="AC18">
        <f t="shared" si="21"/>
        <v>-91.294671243561737</v>
      </c>
      <c r="AD18">
        <v>-4.1102496138268899E-2</v>
      </c>
      <c r="AE18">
        <v>4.6141152691633103E-2</v>
      </c>
      <c r="AF18">
        <v>3.4498230301232198</v>
      </c>
      <c r="AG18">
        <v>153</v>
      </c>
      <c r="AH18">
        <v>31</v>
      </c>
      <c r="AI18">
        <f t="shared" si="22"/>
        <v>1</v>
      </c>
      <c r="AJ18">
        <f t="shared" si="23"/>
        <v>0</v>
      </c>
      <c r="AK18">
        <f t="shared" si="24"/>
        <v>52570.011312187627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287.64911538461502</v>
      </c>
      <c r="AT18">
        <v>384.96800000000002</v>
      </c>
      <c r="AU18">
        <f t="shared" si="27"/>
        <v>0.25279733540290361</v>
      </c>
      <c r="AV18">
        <v>0.5</v>
      </c>
      <c r="AW18">
        <f t="shared" si="28"/>
        <v>1681.1783419984411</v>
      </c>
      <c r="AX18">
        <f t="shared" si="29"/>
        <v>18.774407340186098</v>
      </c>
      <c r="AY18">
        <f t="shared" si="30"/>
        <v>212.49870259713865</v>
      </c>
      <c r="AZ18">
        <f t="shared" si="31"/>
        <v>0.47917749007709737</v>
      </c>
      <c r="BA18">
        <f t="shared" si="32"/>
        <v>1.1762230601115153E-2</v>
      </c>
      <c r="BB18">
        <f t="shared" si="33"/>
        <v>-1</v>
      </c>
      <c r="BC18" t="s">
        <v>291</v>
      </c>
      <c r="BD18">
        <v>200.5</v>
      </c>
      <c r="BE18">
        <f t="shared" si="34"/>
        <v>184.46800000000002</v>
      </c>
      <c r="BF18">
        <f t="shared" si="35"/>
        <v>0.52756513116304726</v>
      </c>
      <c r="BG18">
        <f t="shared" si="36"/>
        <v>1.9200399002493767</v>
      </c>
      <c r="BH18">
        <f t="shared" si="37"/>
        <v>0.25279733540290361</v>
      </c>
      <c r="BI18" t="e">
        <f t="shared" si="38"/>
        <v>#DIV/0!</v>
      </c>
      <c r="BJ18">
        <v>6625</v>
      </c>
      <c r="BK18">
        <v>300</v>
      </c>
      <c r="BL18">
        <v>300</v>
      </c>
      <c r="BM18">
        <v>300</v>
      </c>
      <c r="BN18">
        <v>9874.15</v>
      </c>
      <c r="BO18">
        <v>357.56799999999998</v>
      </c>
      <c r="BP18">
        <v>-6.5680299999999999E-3</v>
      </c>
      <c r="BQ18">
        <v>1.7246699999999999</v>
      </c>
      <c r="BR18">
        <f t="shared" si="39"/>
        <v>1999.9774193548401</v>
      </c>
      <c r="BS18">
        <f t="shared" si="40"/>
        <v>1681.1783419984411</v>
      </c>
      <c r="BT18">
        <f t="shared" si="41"/>
        <v>0.84059866162927055</v>
      </c>
      <c r="BU18">
        <f t="shared" si="42"/>
        <v>0.19119732325854122</v>
      </c>
      <c r="BV18">
        <v>0.5</v>
      </c>
      <c r="BW18" t="s">
        <v>281</v>
      </c>
      <c r="BX18">
        <v>1598207408.90645</v>
      </c>
      <c r="BY18">
        <v>291.93280645161298</v>
      </c>
      <c r="BZ18">
        <v>299.99258064516101</v>
      </c>
      <c r="CA18">
        <v>18.889938709677399</v>
      </c>
      <c r="CB18">
        <v>17.0391774193548</v>
      </c>
      <c r="CC18">
        <v>500.045903225806</v>
      </c>
      <c r="CD18">
        <v>99.172064516129097</v>
      </c>
      <c r="CE18">
        <v>0.19998341935483899</v>
      </c>
      <c r="CF18">
        <v>26.1057806451613</v>
      </c>
      <c r="CG18">
        <v>27.162812903225799</v>
      </c>
      <c r="CH18">
        <v>999.9</v>
      </c>
      <c r="CI18">
        <v>9994.8174193548402</v>
      </c>
      <c r="CJ18">
        <v>0</v>
      </c>
      <c r="CK18">
        <v>114.603396774194</v>
      </c>
      <c r="CL18">
        <v>1999.9774193548401</v>
      </c>
      <c r="CM18">
        <v>0.97999425806451601</v>
      </c>
      <c r="CN18">
        <v>2.0005909677419401E-2</v>
      </c>
      <c r="CO18">
        <v>0</v>
      </c>
      <c r="CP18">
        <v>287.72941935483902</v>
      </c>
      <c r="CQ18">
        <v>5.00054</v>
      </c>
      <c r="CR18">
        <v>7074.9129032258097</v>
      </c>
      <c r="CS18">
        <v>18703.3870967742</v>
      </c>
      <c r="CT18">
        <v>47.515870967741897</v>
      </c>
      <c r="CU18">
        <v>49.138935483871002</v>
      </c>
      <c r="CV18">
        <v>47.826290322580597</v>
      </c>
      <c r="CW18">
        <v>48.433258064516103</v>
      </c>
      <c r="CX18">
        <v>48.959419354838701</v>
      </c>
      <c r="CY18">
        <v>1955.0664516129</v>
      </c>
      <c r="CZ18">
        <v>39.9103225806452</v>
      </c>
      <c r="DA18">
        <v>0</v>
      </c>
      <c r="DB18">
        <v>116.59999990463299</v>
      </c>
      <c r="DC18">
        <v>287.64911538461502</v>
      </c>
      <c r="DD18">
        <v>-5.1132649532724903</v>
      </c>
      <c r="DE18">
        <v>-6284.2987929143901</v>
      </c>
      <c r="DF18">
        <v>7017.0630769230802</v>
      </c>
      <c r="DG18">
        <v>15</v>
      </c>
      <c r="DH18">
        <v>1598207440.9000001</v>
      </c>
      <c r="DI18" t="s">
        <v>292</v>
      </c>
      <c r="DJ18">
        <v>62</v>
      </c>
      <c r="DK18">
        <v>-0.34</v>
      </c>
      <c r="DL18">
        <v>0.114</v>
      </c>
      <c r="DM18">
        <v>300</v>
      </c>
      <c r="DN18">
        <v>17</v>
      </c>
      <c r="DO18">
        <v>0.38</v>
      </c>
      <c r="DP18">
        <v>0.05</v>
      </c>
      <c r="DQ18">
        <v>291.96596363636399</v>
      </c>
      <c r="DR18">
        <v>0.28048437311248903</v>
      </c>
      <c r="DS18">
        <v>3.8183272699568498E-2</v>
      </c>
      <c r="DT18">
        <v>1</v>
      </c>
      <c r="DU18">
        <v>18.901569090909099</v>
      </c>
      <c r="DV18">
        <v>-0.106553304752574</v>
      </c>
      <c r="DW18">
        <v>1.41137956073582E-2</v>
      </c>
      <c r="DX18">
        <v>1</v>
      </c>
      <c r="DY18">
        <v>2</v>
      </c>
      <c r="DZ18">
        <v>2</v>
      </c>
      <c r="EA18" t="s">
        <v>293</v>
      </c>
      <c r="EB18">
        <v>1.8666499999999999</v>
      </c>
      <c r="EC18">
        <v>1.86317</v>
      </c>
      <c r="ED18">
        <v>1.86879</v>
      </c>
      <c r="EE18">
        <v>1.86676</v>
      </c>
      <c r="EF18">
        <v>1.8714599999999999</v>
      </c>
      <c r="EG18">
        <v>1.86388</v>
      </c>
      <c r="EH18">
        <v>1.8655200000000001</v>
      </c>
      <c r="EI18">
        <v>1.86537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-0.34</v>
      </c>
      <c r="EX18">
        <v>0.114</v>
      </c>
      <c r="EY18">
        <v>2</v>
      </c>
      <c r="EZ18">
        <v>329.55700000000002</v>
      </c>
      <c r="FA18">
        <v>464.495</v>
      </c>
      <c r="FB18">
        <v>20.2834</v>
      </c>
      <c r="FC18">
        <v>35.723500000000001</v>
      </c>
      <c r="FD18">
        <v>30.000800000000002</v>
      </c>
      <c r="FE18">
        <v>35.596200000000003</v>
      </c>
      <c r="FF18">
        <v>35.584299999999999</v>
      </c>
      <c r="FG18">
        <v>17.496700000000001</v>
      </c>
      <c r="FH18">
        <v>55.706299999999999</v>
      </c>
      <c r="FI18">
        <v>0</v>
      </c>
      <c r="FJ18">
        <v>17.166699999999999</v>
      </c>
      <c r="FK18">
        <v>300</v>
      </c>
      <c r="FL18">
        <v>17.039300000000001</v>
      </c>
      <c r="FM18">
        <v>100.422</v>
      </c>
      <c r="FN18">
        <v>100.877</v>
      </c>
    </row>
    <row r="19" spans="1:170" x14ac:dyDescent="0.25">
      <c r="A19">
        <v>3</v>
      </c>
      <c r="B19">
        <v>1598207532.4000001</v>
      </c>
      <c r="C19">
        <v>232.5</v>
      </c>
      <c r="D19" t="s">
        <v>294</v>
      </c>
      <c r="E19" t="s">
        <v>295</v>
      </c>
      <c r="G19">
        <v>1598207524.4000001</v>
      </c>
      <c r="H19">
        <f t="shared" si="0"/>
        <v>4.5196937595762534E-3</v>
      </c>
      <c r="I19">
        <f t="shared" si="1"/>
        <v>11.125854790154641</v>
      </c>
      <c r="J19">
        <f t="shared" si="2"/>
        <v>195.169064516129</v>
      </c>
      <c r="K19">
        <f t="shared" si="3"/>
        <v>120.92841480681142</v>
      </c>
      <c r="L19">
        <f t="shared" si="4"/>
        <v>12.017447435582024</v>
      </c>
      <c r="M19">
        <f t="shared" si="5"/>
        <v>19.395226321466573</v>
      </c>
      <c r="N19">
        <f t="shared" si="6"/>
        <v>0.2646475476930249</v>
      </c>
      <c r="O19">
        <f t="shared" si="7"/>
        <v>3.3812044927936333</v>
      </c>
      <c r="P19">
        <f t="shared" si="8"/>
        <v>0.25365484086896617</v>
      </c>
      <c r="Q19">
        <f t="shared" si="9"/>
        <v>0.15948387761786348</v>
      </c>
      <c r="R19">
        <f t="shared" si="10"/>
        <v>321.44220684552738</v>
      </c>
      <c r="S19">
        <f t="shared" si="11"/>
        <v>26.776377585390797</v>
      </c>
      <c r="T19">
        <f t="shared" si="12"/>
        <v>26.958016129032298</v>
      </c>
      <c r="U19">
        <f t="shared" si="13"/>
        <v>3.5703436337773837</v>
      </c>
      <c r="V19">
        <f t="shared" si="14"/>
        <v>54.292716770645896</v>
      </c>
      <c r="W19">
        <f t="shared" si="15"/>
        <v>1.8478961801076916</v>
      </c>
      <c r="X19">
        <f t="shared" si="16"/>
        <v>3.4035802406314324</v>
      </c>
      <c r="Y19">
        <f t="shared" si="17"/>
        <v>1.7224474536696921</v>
      </c>
      <c r="Z19">
        <f t="shared" si="18"/>
        <v>-199.31849479731278</v>
      </c>
      <c r="AA19">
        <f t="shared" si="19"/>
        <v>-147.96570112371401</v>
      </c>
      <c r="AB19">
        <f t="shared" si="20"/>
        <v>-9.40197262169095</v>
      </c>
      <c r="AC19">
        <f t="shared" si="21"/>
        <v>-35.243961697190372</v>
      </c>
      <c r="AD19">
        <v>-4.1156746027448197E-2</v>
      </c>
      <c r="AE19">
        <v>4.6202052944788199E-2</v>
      </c>
      <c r="AF19">
        <v>3.4534273710138499</v>
      </c>
      <c r="AG19">
        <v>153</v>
      </c>
      <c r="AH19">
        <v>31</v>
      </c>
      <c r="AI19">
        <f t="shared" si="22"/>
        <v>1</v>
      </c>
      <c r="AJ19">
        <f t="shared" si="23"/>
        <v>0</v>
      </c>
      <c r="AK19">
        <f t="shared" si="24"/>
        <v>52629.525190190674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296</v>
      </c>
      <c r="AS19">
        <v>282.09515384615401</v>
      </c>
      <c r="AT19">
        <v>359.61099999999999</v>
      </c>
      <c r="AU19">
        <f t="shared" si="27"/>
        <v>0.21555471371522561</v>
      </c>
      <c r="AV19">
        <v>0.5</v>
      </c>
      <c r="AW19">
        <f t="shared" si="28"/>
        <v>1681.2065512896274</v>
      </c>
      <c r="AX19">
        <f t="shared" si="29"/>
        <v>11.125854790154641</v>
      </c>
      <c r="AY19">
        <f t="shared" si="30"/>
        <v>181.1959984296987</v>
      </c>
      <c r="AZ19">
        <f t="shared" si="31"/>
        <v>0.4373920708765861</v>
      </c>
      <c r="BA19">
        <f t="shared" si="32"/>
        <v>7.2125907318485562E-3</v>
      </c>
      <c r="BB19">
        <f t="shared" si="33"/>
        <v>-1</v>
      </c>
      <c r="BC19" t="s">
        <v>297</v>
      </c>
      <c r="BD19">
        <v>202.32</v>
      </c>
      <c r="BE19">
        <f t="shared" si="34"/>
        <v>157.291</v>
      </c>
      <c r="BF19">
        <f t="shared" si="35"/>
        <v>0.49281806431293579</v>
      </c>
      <c r="BG19">
        <f t="shared" si="36"/>
        <v>1.7774367338869119</v>
      </c>
      <c r="BH19">
        <f t="shared" si="37"/>
        <v>0.21555471371522558</v>
      </c>
      <c r="BI19" t="e">
        <f t="shared" si="38"/>
        <v>#DIV/0!</v>
      </c>
      <c r="BJ19">
        <v>6627</v>
      </c>
      <c r="BK19">
        <v>300</v>
      </c>
      <c r="BL19">
        <v>300</v>
      </c>
      <c r="BM19">
        <v>300</v>
      </c>
      <c r="BN19">
        <v>9874.2999999999993</v>
      </c>
      <c r="BO19">
        <v>341.697</v>
      </c>
      <c r="BP19">
        <v>-6.5679600000000003E-3</v>
      </c>
      <c r="BQ19">
        <v>2.3804599999999998</v>
      </c>
      <c r="BR19">
        <f t="shared" si="39"/>
        <v>2000.01096774194</v>
      </c>
      <c r="BS19">
        <f t="shared" si="40"/>
        <v>1681.2065512896274</v>
      </c>
      <c r="BT19">
        <f t="shared" si="41"/>
        <v>0.84059866591019228</v>
      </c>
      <c r="BU19">
        <f t="shared" si="42"/>
        <v>0.19119733182038462</v>
      </c>
      <c r="BV19">
        <v>0.5</v>
      </c>
      <c r="BW19" t="s">
        <v>281</v>
      </c>
      <c r="BX19">
        <v>1598207524.4000001</v>
      </c>
      <c r="BY19">
        <v>195.169064516129</v>
      </c>
      <c r="BZ19">
        <v>199.971709677419</v>
      </c>
      <c r="CA19">
        <v>18.594893548387098</v>
      </c>
      <c r="CB19">
        <v>16.820832258064499</v>
      </c>
      <c r="CC19">
        <v>500.05606451612903</v>
      </c>
      <c r="CD19">
        <v>99.1765677419355</v>
      </c>
      <c r="CE19">
        <v>0.199972129032258</v>
      </c>
      <c r="CF19">
        <v>26.1463</v>
      </c>
      <c r="CG19">
        <v>26.958016129032298</v>
      </c>
      <c r="CH19">
        <v>999.9</v>
      </c>
      <c r="CI19">
        <v>10007.554838709701</v>
      </c>
      <c r="CJ19">
        <v>0</v>
      </c>
      <c r="CK19">
        <v>75.108035483871006</v>
      </c>
      <c r="CL19">
        <v>2000.01096774194</v>
      </c>
      <c r="CM19">
        <v>0.97999367741935495</v>
      </c>
      <c r="CN19">
        <v>2.0006412903225801E-2</v>
      </c>
      <c r="CO19">
        <v>0</v>
      </c>
      <c r="CP19">
        <v>282.10796774193602</v>
      </c>
      <c r="CQ19">
        <v>5.00054</v>
      </c>
      <c r="CR19">
        <v>6813.3422580645201</v>
      </c>
      <c r="CS19">
        <v>18703.703225806501</v>
      </c>
      <c r="CT19">
        <v>47.53</v>
      </c>
      <c r="CU19">
        <v>49.139000000000003</v>
      </c>
      <c r="CV19">
        <v>47.846548387096803</v>
      </c>
      <c r="CW19">
        <v>48.384870967741897</v>
      </c>
      <c r="CX19">
        <v>48.963419354838699</v>
      </c>
      <c r="CY19">
        <v>1955.09967741936</v>
      </c>
      <c r="CZ19">
        <v>39.911290322580697</v>
      </c>
      <c r="DA19">
        <v>0</v>
      </c>
      <c r="DB19">
        <v>114.799999952316</v>
      </c>
      <c r="DC19">
        <v>282.09515384615401</v>
      </c>
      <c r="DD19">
        <v>-2.5757948782646598</v>
      </c>
      <c r="DE19">
        <v>3823.0844431445398</v>
      </c>
      <c r="DF19">
        <v>6832.1376923076896</v>
      </c>
      <c r="DG19">
        <v>15</v>
      </c>
      <c r="DH19">
        <v>1598207553.4000001</v>
      </c>
      <c r="DI19" t="s">
        <v>298</v>
      </c>
      <c r="DJ19">
        <v>63</v>
      </c>
      <c r="DK19">
        <v>-0.34300000000000003</v>
      </c>
      <c r="DL19">
        <v>0.113</v>
      </c>
      <c r="DM19">
        <v>200</v>
      </c>
      <c r="DN19">
        <v>17</v>
      </c>
      <c r="DO19">
        <v>0.51</v>
      </c>
      <c r="DP19">
        <v>0.05</v>
      </c>
      <c r="DQ19">
        <v>195.18881818181799</v>
      </c>
      <c r="DR19">
        <v>-0.15548418285917101</v>
      </c>
      <c r="DS19">
        <v>2.3508676084367901E-2</v>
      </c>
      <c r="DT19">
        <v>1</v>
      </c>
      <c r="DU19">
        <v>18.591530909090899</v>
      </c>
      <c r="DV19">
        <v>3.1800877304367398E-2</v>
      </c>
      <c r="DW19">
        <v>3.3748674709210197E-2</v>
      </c>
      <c r="DX19">
        <v>1</v>
      </c>
      <c r="DY19">
        <v>2</v>
      </c>
      <c r="DZ19">
        <v>2</v>
      </c>
      <c r="EA19" t="s">
        <v>293</v>
      </c>
      <c r="EB19">
        <v>1.86676</v>
      </c>
      <c r="EC19">
        <v>1.8632500000000001</v>
      </c>
      <c r="ED19">
        <v>1.8689</v>
      </c>
      <c r="EE19">
        <v>1.8668800000000001</v>
      </c>
      <c r="EF19">
        <v>1.8715299999999999</v>
      </c>
      <c r="EG19">
        <v>1.8640099999999999</v>
      </c>
      <c r="EH19">
        <v>1.86554</v>
      </c>
      <c r="EI19">
        <v>1.86541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-0.34300000000000003</v>
      </c>
      <c r="EX19">
        <v>0.113</v>
      </c>
      <c r="EY19">
        <v>2</v>
      </c>
      <c r="EZ19">
        <v>329.32600000000002</v>
      </c>
      <c r="FA19">
        <v>463.596</v>
      </c>
      <c r="FB19">
        <v>22.270199999999999</v>
      </c>
      <c r="FC19">
        <v>35.846299999999999</v>
      </c>
      <c r="FD19">
        <v>30</v>
      </c>
      <c r="FE19">
        <v>35.725099999999998</v>
      </c>
      <c r="FF19">
        <v>35.704999999999998</v>
      </c>
      <c r="FG19">
        <v>12.8338</v>
      </c>
      <c r="FH19">
        <v>56.257199999999997</v>
      </c>
      <c r="FI19">
        <v>0</v>
      </c>
      <c r="FJ19">
        <v>22.2821</v>
      </c>
      <c r="FK19">
        <v>200</v>
      </c>
      <c r="FL19">
        <v>16.991399999999999</v>
      </c>
      <c r="FM19">
        <v>100.398</v>
      </c>
      <c r="FN19">
        <v>100.855</v>
      </c>
    </row>
    <row r="20" spans="1:170" x14ac:dyDescent="0.25">
      <c r="A20">
        <v>4</v>
      </c>
      <c r="B20">
        <v>1598207645</v>
      </c>
      <c r="C20">
        <v>345.09999990463302</v>
      </c>
      <c r="D20" t="s">
        <v>299</v>
      </c>
      <c r="E20" t="s">
        <v>300</v>
      </c>
      <c r="G20">
        <v>1598207637.0225799</v>
      </c>
      <c r="H20">
        <f t="shared" si="0"/>
        <v>4.3310139029082212E-3</v>
      </c>
      <c r="I20">
        <f t="shared" si="1"/>
        <v>3.8870164095571527</v>
      </c>
      <c r="J20">
        <f t="shared" si="2"/>
        <v>98.289812903225794</v>
      </c>
      <c r="K20">
        <f t="shared" si="3"/>
        <v>71.153278369203704</v>
      </c>
      <c r="L20">
        <f t="shared" si="4"/>
        <v>7.0707142172430624</v>
      </c>
      <c r="M20">
        <f t="shared" si="5"/>
        <v>9.7673528674090928</v>
      </c>
      <c r="N20">
        <f t="shared" si="6"/>
        <v>0.2599729450703096</v>
      </c>
      <c r="O20">
        <f t="shared" si="7"/>
        <v>3.3782469826696793</v>
      </c>
      <c r="P20">
        <f t="shared" si="8"/>
        <v>0.24934788720778181</v>
      </c>
      <c r="Q20">
        <f t="shared" si="9"/>
        <v>0.15676086407607215</v>
      </c>
      <c r="R20">
        <f t="shared" si="10"/>
        <v>321.44277028937563</v>
      </c>
      <c r="S20">
        <f t="shared" si="11"/>
        <v>26.9908664216183</v>
      </c>
      <c r="T20">
        <f t="shared" si="12"/>
        <v>27.061470967741901</v>
      </c>
      <c r="U20">
        <f t="shared" si="13"/>
        <v>3.592102063900926</v>
      </c>
      <c r="V20">
        <f t="shared" si="14"/>
        <v>55.6658338110147</v>
      </c>
      <c r="W20">
        <f t="shared" si="15"/>
        <v>1.9138741543345805</v>
      </c>
      <c r="X20">
        <f t="shared" si="16"/>
        <v>3.4381487230249279</v>
      </c>
      <c r="Y20">
        <f t="shared" si="17"/>
        <v>1.6782279095663455</v>
      </c>
      <c r="Z20">
        <f t="shared" si="18"/>
        <v>-190.99771311825256</v>
      </c>
      <c r="AA20">
        <f t="shared" si="19"/>
        <v>-135.52148299442058</v>
      </c>
      <c r="AB20">
        <f t="shared" si="20"/>
        <v>-8.6306372410382792</v>
      </c>
      <c r="AC20">
        <f t="shared" si="21"/>
        <v>-13.707063064335813</v>
      </c>
      <c r="AD20">
        <v>-4.11110224667455E-2</v>
      </c>
      <c r="AE20">
        <v>4.6150724242295597E-2</v>
      </c>
      <c r="AF20">
        <v>3.4503896240520699</v>
      </c>
      <c r="AG20">
        <v>152</v>
      </c>
      <c r="AH20">
        <v>30</v>
      </c>
      <c r="AI20">
        <f t="shared" si="22"/>
        <v>1</v>
      </c>
      <c r="AJ20">
        <f t="shared" si="23"/>
        <v>0</v>
      </c>
      <c r="AK20">
        <f t="shared" si="24"/>
        <v>52543.322370774258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301</v>
      </c>
      <c r="AS20">
        <v>280.51326923076903</v>
      </c>
      <c r="AT20">
        <v>347.18900000000002</v>
      </c>
      <c r="AU20">
        <f t="shared" si="27"/>
        <v>0.1920444794311772</v>
      </c>
      <c r="AV20">
        <v>0.5</v>
      </c>
      <c r="AW20">
        <f t="shared" si="28"/>
        <v>1681.2097738702792</v>
      </c>
      <c r="AX20">
        <f t="shared" si="29"/>
        <v>3.8870164095571527</v>
      </c>
      <c r="AY20">
        <f t="shared" si="30"/>
        <v>161.43352791876245</v>
      </c>
      <c r="AZ20">
        <f t="shared" si="31"/>
        <v>0.40787294528340473</v>
      </c>
      <c r="BA20">
        <f t="shared" si="32"/>
        <v>2.9068451097014805E-3</v>
      </c>
      <c r="BB20">
        <f t="shared" si="33"/>
        <v>-1</v>
      </c>
      <c r="BC20" t="s">
        <v>302</v>
      </c>
      <c r="BD20">
        <v>205.58</v>
      </c>
      <c r="BE20">
        <f t="shared" si="34"/>
        <v>141.60900000000001</v>
      </c>
      <c r="BF20">
        <f t="shared" si="35"/>
        <v>0.47084387834975877</v>
      </c>
      <c r="BG20">
        <f t="shared" si="36"/>
        <v>1.6888267341181049</v>
      </c>
      <c r="BH20">
        <f t="shared" si="37"/>
        <v>0.19204447943117722</v>
      </c>
      <c r="BI20" t="e">
        <f t="shared" si="38"/>
        <v>#DIV/0!</v>
      </c>
      <c r="BJ20">
        <v>6629</v>
      </c>
      <c r="BK20">
        <v>300</v>
      </c>
      <c r="BL20">
        <v>300</v>
      </c>
      <c r="BM20">
        <v>300</v>
      </c>
      <c r="BN20">
        <v>9874.33</v>
      </c>
      <c r="BO20">
        <v>331.26499999999999</v>
      </c>
      <c r="BP20">
        <v>-6.5679900000000001E-3</v>
      </c>
      <c r="BQ20">
        <v>1.59805</v>
      </c>
      <c r="BR20">
        <f t="shared" si="39"/>
        <v>2000.0148387096799</v>
      </c>
      <c r="BS20">
        <f t="shared" si="40"/>
        <v>1681.2097738702792</v>
      </c>
      <c r="BT20">
        <f t="shared" si="41"/>
        <v>0.84059865023547553</v>
      </c>
      <c r="BU20">
        <f t="shared" si="42"/>
        <v>0.19119730047095118</v>
      </c>
      <c r="BV20">
        <v>0.5</v>
      </c>
      <c r="BW20" t="s">
        <v>281</v>
      </c>
      <c r="BX20">
        <v>1598207637.0225799</v>
      </c>
      <c r="BY20">
        <v>98.289812903225794</v>
      </c>
      <c r="BZ20">
        <v>100.01475483871</v>
      </c>
      <c r="CA20">
        <v>19.259499999999999</v>
      </c>
      <c r="CB20">
        <v>17.560600000000001</v>
      </c>
      <c r="CC20">
        <v>500.04129032258101</v>
      </c>
      <c r="CD20">
        <v>99.173000000000002</v>
      </c>
      <c r="CE20">
        <v>0.199992774193548</v>
      </c>
      <c r="CF20">
        <v>26.317370967741901</v>
      </c>
      <c r="CG20">
        <v>27.061470967741901</v>
      </c>
      <c r="CH20">
        <v>999.9</v>
      </c>
      <c r="CI20">
        <v>9996.7964516128995</v>
      </c>
      <c r="CJ20">
        <v>0</v>
      </c>
      <c r="CK20">
        <v>142.01509677419401</v>
      </c>
      <c r="CL20">
        <v>2000.0148387096799</v>
      </c>
      <c r="CM20">
        <v>0.97999387096774204</v>
      </c>
      <c r="CN20">
        <v>2.0006245161290299E-2</v>
      </c>
      <c r="CO20">
        <v>0</v>
      </c>
      <c r="CP20">
        <v>280.52735483870998</v>
      </c>
      <c r="CQ20">
        <v>5.00054</v>
      </c>
      <c r="CR20">
        <v>7513.9274193548399</v>
      </c>
      <c r="CS20">
        <v>18703.7387096774</v>
      </c>
      <c r="CT20">
        <v>47.429064516129003</v>
      </c>
      <c r="CU20">
        <v>49.058</v>
      </c>
      <c r="CV20">
        <v>47.77</v>
      </c>
      <c r="CW20">
        <v>48.296064516129</v>
      </c>
      <c r="CX20">
        <v>48.911032258064502</v>
      </c>
      <c r="CY20">
        <v>1955.1045161290299</v>
      </c>
      <c r="CZ20">
        <v>39.9103225806452</v>
      </c>
      <c r="DA20">
        <v>0</v>
      </c>
      <c r="DB20">
        <v>112</v>
      </c>
      <c r="DC20">
        <v>280.51326923076903</v>
      </c>
      <c r="DD20">
        <v>-1.2045470099319799</v>
      </c>
      <c r="DE20">
        <v>-53.006837704629397</v>
      </c>
      <c r="DF20">
        <v>7513.3080769230701</v>
      </c>
      <c r="DG20">
        <v>15</v>
      </c>
      <c r="DH20">
        <v>1598207671.5999999</v>
      </c>
      <c r="DI20" t="s">
        <v>303</v>
      </c>
      <c r="DJ20">
        <v>64</v>
      </c>
      <c r="DK20">
        <v>-0.26200000000000001</v>
      </c>
      <c r="DL20">
        <v>0.12</v>
      </c>
      <c r="DM20">
        <v>100</v>
      </c>
      <c r="DN20">
        <v>17</v>
      </c>
      <c r="DO20">
        <v>0.56000000000000005</v>
      </c>
      <c r="DP20">
        <v>0.04</v>
      </c>
      <c r="DQ20">
        <v>98.211132727272698</v>
      </c>
      <c r="DR20">
        <v>-1.4640924703321701E-2</v>
      </c>
      <c r="DS20">
        <v>7.5706863996585303E-3</v>
      </c>
      <c r="DT20">
        <v>1</v>
      </c>
      <c r="DU20">
        <v>19.243556363636401</v>
      </c>
      <c r="DV20">
        <v>8.3649625424633306E-2</v>
      </c>
      <c r="DW20">
        <v>1.1490609029453799E-2</v>
      </c>
      <c r="DX20">
        <v>1</v>
      </c>
      <c r="DY20">
        <v>2</v>
      </c>
      <c r="DZ20">
        <v>2</v>
      </c>
      <c r="EA20" t="s">
        <v>293</v>
      </c>
      <c r="EB20">
        <v>1.8666199999999999</v>
      </c>
      <c r="EC20">
        <v>1.86314</v>
      </c>
      <c r="ED20">
        <v>1.86886</v>
      </c>
      <c r="EE20">
        <v>1.86676</v>
      </c>
      <c r="EF20">
        <v>1.8714500000000001</v>
      </c>
      <c r="EG20">
        <v>1.86389</v>
      </c>
      <c r="EH20">
        <v>1.8654299999999999</v>
      </c>
      <c r="EI20">
        <v>1.8653900000000001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-0.26200000000000001</v>
      </c>
      <c r="EX20">
        <v>0.12</v>
      </c>
      <c r="EY20">
        <v>2</v>
      </c>
      <c r="EZ20">
        <v>329.87799999999999</v>
      </c>
      <c r="FA20">
        <v>464.68599999999998</v>
      </c>
      <c r="FB20">
        <v>20.241900000000001</v>
      </c>
      <c r="FC20">
        <v>35.776899999999998</v>
      </c>
      <c r="FD20">
        <v>29.9999</v>
      </c>
      <c r="FE20">
        <v>35.734999999999999</v>
      </c>
      <c r="FF20">
        <v>35.727499999999999</v>
      </c>
      <c r="FG20">
        <v>7.97912</v>
      </c>
      <c r="FH20">
        <v>54.839700000000001</v>
      </c>
      <c r="FI20">
        <v>0</v>
      </c>
      <c r="FJ20">
        <v>19.6706</v>
      </c>
      <c r="FK20">
        <v>100</v>
      </c>
      <c r="FL20">
        <v>17.294799999999999</v>
      </c>
      <c r="FM20">
        <v>100.408</v>
      </c>
      <c r="FN20">
        <v>100.874</v>
      </c>
    </row>
    <row r="21" spans="1:170" x14ac:dyDescent="0.25">
      <c r="A21">
        <v>5</v>
      </c>
      <c r="B21">
        <v>1598207793</v>
      </c>
      <c r="C21">
        <v>493.09999990463302</v>
      </c>
      <c r="D21" t="s">
        <v>304</v>
      </c>
      <c r="E21" t="s">
        <v>305</v>
      </c>
      <c r="G21">
        <v>1598207785.06774</v>
      </c>
      <c r="H21">
        <f t="shared" si="0"/>
        <v>5.010644297766125E-3</v>
      </c>
      <c r="I21">
        <f t="shared" si="1"/>
        <v>0.46638794805197897</v>
      </c>
      <c r="J21">
        <f t="shared" si="2"/>
        <v>49.712667741935498</v>
      </c>
      <c r="K21">
        <f t="shared" si="3"/>
        <v>45.849397448831283</v>
      </c>
      <c r="L21">
        <f t="shared" si="4"/>
        <v>4.5562715867971191</v>
      </c>
      <c r="M21">
        <f t="shared" si="5"/>
        <v>4.9401830370671549</v>
      </c>
      <c r="N21">
        <f t="shared" si="6"/>
        <v>0.30481372549244562</v>
      </c>
      <c r="O21">
        <f t="shared" si="7"/>
        <v>3.3792371987542271</v>
      </c>
      <c r="P21">
        <f t="shared" si="8"/>
        <v>0.29032117416612468</v>
      </c>
      <c r="Q21">
        <f t="shared" si="9"/>
        <v>0.18269539872145152</v>
      </c>
      <c r="R21">
        <f t="shared" si="10"/>
        <v>321.44091723992619</v>
      </c>
      <c r="S21">
        <f t="shared" si="11"/>
        <v>26.847142227619926</v>
      </c>
      <c r="T21">
        <f t="shared" si="12"/>
        <v>26.968019354838699</v>
      </c>
      <c r="U21">
        <f t="shared" si="13"/>
        <v>3.5724424571632474</v>
      </c>
      <c r="V21">
        <f t="shared" si="14"/>
        <v>55.359582911273542</v>
      </c>
      <c r="W21">
        <f t="shared" si="15"/>
        <v>1.9046010482568836</v>
      </c>
      <c r="X21">
        <f t="shared" si="16"/>
        <v>3.440417987450239</v>
      </c>
      <c r="Y21">
        <f t="shared" si="17"/>
        <v>1.6678414089063638</v>
      </c>
      <c r="Z21">
        <f t="shared" si="18"/>
        <v>-220.96941353148611</v>
      </c>
      <c r="AA21">
        <f t="shared" si="19"/>
        <v>-116.49973909351577</v>
      </c>
      <c r="AB21">
        <f t="shared" si="20"/>
        <v>-7.4140133220778521</v>
      </c>
      <c r="AC21">
        <f t="shared" si="21"/>
        <v>-23.442248707153524</v>
      </c>
      <c r="AD21">
        <v>-4.1126329363912403E-2</v>
      </c>
      <c r="AE21">
        <v>4.61679075753232E-2</v>
      </c>
      <c r="AF21">
        <v>3.4514067010592302</v>
      </c>
      <c r="AG21">
        <v>152</v>
      </c>
      <c r="AH21">
        <v>30</v>
      </c>
      <c r="AI21">
        <f t="shared" si="22"/>
        <v>1</v>
      </c>
      <c r="AJ21">
        <f t="shared" si="23"/>
        <v>0</v>
      </c>
      <c r="AK21">
        <f t="shared" si="24"/>
        <v>52560.162009085165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306</v>
      </c>
      <c r="AS21">
        <v>278.64988461538502</v>
      </c>
      <c r="AT21">
        <v>334.67599999999999</v>
      </c>
      <c r="AU21">
        <f t="shared" si="27"/>
        <v>0.16740404266997022</v>
      </c>
      <c r="AV21">
        <v>0.5</v>
      </c>
      <c r="AW21">
        <f t="shared" si="28"/>
        <v>1681.2000192246783</v>
      </c>
      <c r="AX21">
        <f t="shared" si="29"/>
        <v>0.46638794805197897</v>
      </c>
      <c r="AY21">
        <f t="shared" si="30"/>
        <v>140.71983987752139</v>
      </c>
      <c r="AZ21">
        <f t="shared" si="31"/>
        <v>0.37856314764130083</v>
      </c>
      <c r="BA21">
        <f t="shared" si="32"/>
        <v>8.7222693985468521E-4</v>
      </c>
      <c r="BB21">
        <f t="shared" si="33"/>
        <v>-1</v>
      </c>
      <c r="BC21" t="s">
        <v>307</v>
      </c>
      <c r="BD21">
        <v>207.98</v>
      </c>
      <c r="BE21">
        <f t="shared" si="34"/>
        <v>126.696</v>
      </c>
      <c r="BF21">
        <f t="shared" si="35"/>
        <v>0.4422090309450572</v>
      </c>
      <c r="BG21">
        <f t="shared" si="36"/>
        <v>1.6091739590345226</v>
      </c>
      <c r="BH21">
        <f t="shared" si="37"/>
        <v>0.16740404266997028</v>
      </c>
      <c r="BI21" t="e">
        <f t="shared" si="38"/>
        <v>#DIV/0!</v>
      </c>
      <c r="BJ21">
        <v>6631</v>
      </c>
      <c r="BK21">
        <v>300</v>
      </c>
      <c r="BL21">
        <v>300</v>
      </c>
      <c r="BM21">
        <v>300</v>
      </c>
      <c r="BN21">
        <v>9873.81</v>
      </c>
      <c r="BO21">
        <v>322.24200000000002</v>
      </c>
      <c r="BP21">
        <v>-6.5676600000000003E-3</v>
      </c>
      <c r="BQ21">
        <v>1.96323</v>
      </c>
      <c r="BR21">
        <f t="shared" si="39"/>
        <v>2000.00322580645</v>
      </c>
      <c r="BS21">
        <f t="shared" si="40"/>
        <v>1681.2000192246783</v>
      </c>
      <c r="BT21">
        <f t="shared" si="41"/>
        <v>0.84059865380805943</v>
      </c>
      <c r="BU21">
        <f t="shared" si="42"/>
        <v>0.19119730761611911</v>
      </c>
      <c r="BV21">
        <v>0.5</v>
      </c>
      <c r="BW21" t="s">
        <v>281</v>
      </c>
      <c r="BX21">
        <v>1598207785.06774</v>
      </c>
      <c r="BY21">
        <v>49.712667741935498</v>
      </c>
      <c r="BZ21">
        <v>49.998829032258101</v>
      </c>
      <c r="CA21">
        <v>19.165848387096801</v>
      </c>
      <c r="CB21">
        <v>17.200216129032299</v>
      </c>
      <c r="CC21">
        <v>500.05396774193503</v>
      </c>
      <c r="CD21">
        <v>99.174754838709703</v>
      </c>
      <c r="CE21">
        <v>0.199977225806452</v>
      </c>
      <c r="CF21">
        <v>26.328548387096799</v>
      </c>
      <c r="CG21">
        <v>26.968019354838699</v>
      </c>
      <c r="CH21">
        <v>999.9</v>
      </c>
      <c r="CI21">
        <v>10000.341612903199</v>
      </c>
      <c r="CJ21">
        <v>0</v>
      </c>
      <c r="CK21">
        <v>144.979806451613</v>
      </c>
      <c r="CL21">
        <v>2000.00322580645</v>
      </c>
      <c r="CM21">
        <v>0.97999483870967796</v>
      </c>
      <c r="CN21">
        <v>2.00054064516129E-2</v>
      </c>
      <c r="CO21">
        <v>0</v>
      </c>
      <c r="CP21">
        <v>278.66735483871003</v>
      </c>
      <c r="CQ21">
        <v>5.00054</v>
      </c>
      <c r="CR21">
        <v>7446.41</v>
      </c>
      <c r="CS21">
        <v>18703.641935483902</v>
      </c>
      <c r="CT21">
        <v>47.533999999999999</v>
      </c>
      <c r="CU21">
        <v>49.164999999999999</v>
      </c>
      <c r="CV21">
        <v>47.842483870967698</v>
      </c>
      <c r="CW21">
        <v>48.4371935483871</v>
      </c>
      <c r="CX21">
        <v>48.947161290322597</v>
      </c>
      <c r="CY21">
        <v>1955.0925806451601</v>
      </c>
      <c r="CZ21">
        <v>39.9103225806452</v>
      </c>
      <c r="DA21">
        <v>0</v>
      </c>
      <c r="DB21">
        <v>147.19999980926499</v>
      </c>
      <c r="DC21">
        <v>278.64988461538502</v>
      </c>
      <c r="DD21">
        <v>-2.04598290361429</v>
      </c>
      <c r="DE21">
        <v>8.8331623972778708</v>
      </c>
      <c r="DF21">
        <v>7446.2403846153802</v>
      </c>
      <c r="DG21">
        <v>15</v>
      </c>
      <c r="DH21">
        <v>1598207817.5</v>
      </c>
      <c r="DI21" t="s">
        <v>308</v>
      </c>
      <c r="DJ21">
        <v>65</v>
      </c>
      <c r="DK21">
        <v>-0.307</v>
      </c>
      <c r="DL21">
        <v>0.11799999999999999</v>
      </c>
      <c r="DM21">
        <v>50</v>
      </c>
      <c r="DN21">
        <v>17</v>
      </c>
      <c r="DO21">
        <v>0.33</v>
      </c>
      <c r="DP21">
        <v>0.05</v>
      </c>
      <c r="DQ21">
        <v>49.755754545454501</v>
      </c>
      <c r="DR21">
        <v>2.05920770091086E-2</v>
      </c>
      <c r="DS21">
        <v>6.2538953150470897E-3</v>
      </c>
      <c r="DT21">
        <v>1</v>
      </c>
      <c r="DU21">
        <v>19.129829090909102</v>
      </c>
      <c r="DV21">
        <v>0.354710423831894</v>
      </c>
      <c r="DW21">
        <v>4.84067676437809E-2</v>
      </c>
      <c r="DX21">
        <v>0</v>
      </c>
      <c r="DY21">
        <v>1</v>
      </c>
      <c r="DZ21">
        <v>2</v>
      </c>
      <c r="EA21" t="s">
        <v>283</v>
      </c>
      <c r="EB21">
        <v>1.8667400000000001</v>
      </c>
      <c r="EC21">
        <v>1.8632500000000001</v>
      </c>
      <c r="ED21">
        <v>1.8689</v>
      </c>
      <c r="EE21">
        <v>1.8667899999999999</v>
      </c>
      <c r="EF21">
        <v>1.8714900000000001</v>
      </c>
      <c r="EG21">
        <v>1.86399</v>
      </c>
      <c r="EH21">
        <v>1.8655299999999999</v>
      </c>
      <c r="EI21">
        <v>1.8653900000000001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-0.307</v>
      </c>
      <c r="EX21">
        <v>0.11799999999999999</v>
      </c>
      <c r="EY21">
        <v>2</v>
      </c>
      <c r="EZ21">
        <v>330.26900000000001</v>
      </c>
      <c r="FA21">
        <v>462.91300000000001</v>
      </c>
      <c r="FB21">
        <v>21.116299999999999</v>
      </c>
      <c r="FC21">
        <v>35.810600000000001</v>
      </c>
      <c r="FD21">
        <v>30.0001</v>
      </c>
      <c r="FE21">
        <v>35.781199999999998</v>
      </c>
      <c r="FF21">
        <v>35.777000000000001</v>
      </c>
      <c r="FG21">
        <v>5.5360199999999997</v>
      </c>
      <c r="FH21">
        <v>55.78</v>
      </c>
      <c r="FI21">
        <v>0</v>
      </c>
      <c r="FJ21">
        <v>21.1374</v>
      </c>
      <c r="FK21">
        <v>50</v>
      </c>
      <c r="FL21">
        <v>17.034400000000002</v>
      </c>
      <c r="FM21">
        <v>100.402</v>
      </c>
      <c r="FN21">
        <v>100.867</v>
      </c>
    </row>
    <row r="22" spans="1:170" x14ac:dyDescent="0.25">
      <c r="A22">
        <v>6</v>
      </c>
      <c r="B22">
        <v>1598207916.5</v>
      </c>
      <c r="C22">
        <v>616.59999990463302</v>
      </c>
      <c r="D22" t="s">
        <v>309</v>
      </c>
      <c r="E22" t="s">
        <v>310</v>
      </c>
      <c r="G22">
        <v>1598207908.53548</v>
      </c>
      <c r="H22">
        <f t="shared" si="0"/>
        <v>5.7388527033927338E-3</v>
      </c>
      <c r="I22">
        <f t="shared" si="1"/>
        <v>28.705264096144759</v>
      </c>
      <c r="J22">
        <f t="shared" si="2"/>
        <v>387.66093548387101</v>
      </c>
      <c r="K22">
        <f t="shared" si="3"/>
        <v>242.82188829146804</v>
      </c>
      <c r="L22">
        <f t="shared" si="4"/>
        <v>24.130127652986662</v>
      </c>
      <c r="M22">
        <f t="shared" si="5"/>
        <v>38.523330516537762</v>
      </c>
      <c r="N22">
        <f t="shared" si="6"/>
        <v>0.35380486841024861</v>
      </c>
      <c r="O22">
        <f t="shared" si="7"/>
        <v>3.3800434116770872</v>
      </c>
      <c r="P22">
        <f t="shared" si="8"/>
        <v>0.33444262273807168</v>
      </c>
      <c r="Q22">
        <f t="shared" si="9"/>
        <v>0.21067791259661212</v>
      </c>
      <c r="R22">
        <f t="shared" si="10"/>
        <v>321.44172249663472</v>
      </c>
      <c r="S22">
        <f t="shared" si="11"/>
        <v>27.008216042118551</v>
      </c>
      <c r="T22">
        <f t="shared" si="12"/>
        <v>27.019035483871001</v>
      </c>
      <c r="U22">
        <f t="shared" si="13"/>
        <v>3.5831631503295762</v>
      </c>
      <c r="V22">
        <f t="shared" si="14"/>
        <v>54.890609197434657</v>
      </c>
      <c r="W22">
        <f t="shared" si="15"/>
        <v>1.9252239174884598</v>
      </c>
      <c r="X22">
        <f t="shared" si="16"/>
        <v>3.5073830398997217</v>
      </c>
      <c r="Y22">
        <f t="shared" si="17"/>
        <v>1.6579392328411164</v>
      </c>
      <c r="Z22">
        <f t="shared" si="18"/>
        <v>-253.08340421961955</v>
      </c>
      <c r="AA22">
        <f t="shared" si="19"/>
        <v>-66.240514765943416</v>
      </c>
      <c r="AB22">
        <f t="shared" si="20"/>
        <v>-4.2225002040449411</v>
      </c>
      <c r="AC22">
        <f t="shared" si="21"/>
        <v>-2.1046966929731781</v>
      </c>
      <c r="AD22">
        <v>-4.1138793398167901E-2</v>
      </c>
      <c r="AE22">
        <v>4.6181899545684399E-2</v>
      </c>
      <c r="AF22">
        <v>3.4522347861783902</v>
      </c>
      <c r="AG22">
        <v>152</v>
      </c>
      <c r="AH22">
        <v>30</v>
      </c>
      <c r="AI22">
        <f t="shared" si="22"/>
        <v>1</v>
      </c>
      <c r="AJ22">
        <f t="shared" si="23"/>
        <v>0</v>
      </c>
      <c r="AK22">
        <f t="shared" si="24"/>
        <v>52518.049248430943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311</v>
      </c>
      <c r="AS22">
        <v>270.12957692307702</v>
      </c>
      <c r="AT22">
        <v>371.92700000000002</v>
      </c>
      <c r="AU22">
        <f t="shared" si="27"/>
        <v>0.27370269724145591</v>
      </c>
      <c r="AV22">
        <v>0.5</v>
      </c>
      <c r="AW22">
        <f t="shared" si="28"/>
        <v>1681.2043448380171</v>
      </c>
      <c r="AX22">
        <f t="shared" si="29"/>
        <v>28.705264096144759</v>
      </c>
      <c r="AY22">
        <f t="shared" si="30"/>
        <v>230.07508189811</v>
      </c>
      <c r="AZ22">
        <f t="shared" si="31"/>
        <v>0.50076224635479549</v>
      </c>
      <c r="BA22">
        <f t="shared" si="32"/>
        <v>1.7669038381534066E-2</v>
      </c>
      <c r="BB22">
        <f t="shared" si="33"/>
        <v>-1</v>
      </c>
      <c r="BC22" t="s">
        <v>312</v>
      </c>
      <c r="BD22">
        <v>185.68</v>
      </c>
      <c r="BE22">
        <f t="shared" si="34"/>
        <v>186.24700000000001</v>
      </c>
      <c r="BF22">
        <f t="shared" si="35"/>
        <v>0.54657214922615127</v>
      </c>
      <c r="BG22">
        <f t="shared" si="36"/>
        <v>2.0030536406721242</v>
      </c>
      <c r="BH22">
        <f t="shared" si="37"/>
        <v>0.27370269724145596</v>
      </c>
      <c r="BI22" t="e">
        <f t="shared" si="38"/>
        <v>#DIV/0!</v>
      </c>
      <c r="BJ22">
        <v>6633</v>
      </c>
      <c r="BK22">
        <v>300</v>
      </c>
      <c r="BL22">
        <v>300</v>
      </c>
      <c r="BM22">
        <v>300</v>
      </c>
      <c r="BN22">
        <v>9873.23</v>
      </c>
      <c r="BO22">
        <v>342.226</v>
      </c>
      <c r="BP22">
        <v>-6.5672500000000002E-3</v>
      </c>
      <c r="BQ22">
        <v>0.84616100000000005</v>
      </c>
      <c r="BR22">
        <f t="shared" si="39"/>
        <v>2000.0083870967701</v>
      </c>
      <c r="BS22">
        <f t="shared" si="40"/>
        <v>1681.2043448380171</v>
      </c>
      <c r="BT22">
        <f t="shared" si="41"/>
        <v>0.84059864732790857</v>
      </c>
      <c r="BU22">
        <f t="shared" si="42"/>
        <v>0.19119729465581736</v>
      </c>
      <c r="BV22">
        <v>0.5</v>
      </c>
      <c r="BW22" t="s">
        <v>281</v>
      </c>
      <c r="BX22">
        <v>1598207908.53548</v>
      </c>
      <c r="BY22">
        <v>387.66093548387101</v>
      </c>
      <c r="BZ22">
        <v>400.03174193548398</v>
      </c>
      <c r="CA22">
        <v>19.373561290322598</v>
      </c>
      <c r="CB22">
        <v>17.122709677419401</v>
      </c>
      <c r="CC22">
        <v>500.04812903225798</v>
      </c>
      <c r="CD22">
        <v>99.173787096774205</v>
      </c>
      <c r="CE22">
        <v>0.19998774193548399</v>
      </c>
      <c r="CF22">
        <v>26.6555258064516</v>
      </c>
      <c r="CG22">
        <v>27.019035483871001</v>
      </c>
      <c r="CH22">
        <v>999.9</v>
      </c>
      <c r="CI22">
        <v>10003.469999999999</v>
      </c>
      <c r="CJ22">
        <v>0</v>
      </c>
      <c r="CK22">
        <v>140.86951612903201</v>
      </c>
      <c r="CL22">
        <v>2000.0083870967701</v>
      </c>
      <c r="CM22">
        <v>0.97999632258064495</v>
      </c>
      <c r="CN22">
        <v>2.00039806451613E-2</v>
      </c>
      <c r="CO22">
        <v>0</v>
      </c>
      <c r="CP22">
        <v>270.115580645161</v>
      </c>
      <c r="CQ22">
        <v>5.00054</v>
      </c>
      <c r="CR22">
        <v>7304.8845161290301</v>
      </c>
      <c r="CS22">
        <v>18703.674193548399</v>
      </c>
      <c r="CT22">
        <v>47.662999999999997</v>
      </c>
      <c r="CU22">
        <v>49.308</v>
      </c>
      <c r="CV22">
        <v>47.983741935483899</v>
      </c>
      <c r="CW22">
        <v>48.570258064516104</v>
      </c>
      <c r="CX22">
        <v>49.106645161290302</v>
      </c>
      <c r="CY22">
        <v>1955.09838709677</v>
      </c>
      <c r="CZ22">
        <v>39.909999999999997</v>
      </c>
      <c r="DA22">
        <v>0</v>
      </c>
      <c r="DB22">
        <v>123.09999990463299</v>
      </c>
      <c r="DC22">
        <v>270.12957692307702</v>
      </c>
      <c r="DD22">
        <v>-0.41747008408636599</v>
      </c>
      <c r="DE22">
        <v>-26.959316305721</v>
      </c>
      <c r="DF22">
        <v>7303.9292307692303</v>
      </c>
      <c r="DG22">
        <v>15</v>
      </c>
      <c r="DH22">
        <v>1598207938.5</v>
      </c>
      <c r="DI22" t="s">
        <v>313</v>
      </c>
      <c r="DJ22">
        <v>66</v>
      </c>
      <c r="DK22">
        <v>-0.20100000000000001</v>
      </c>
      <c r="DL22">
        <v>0.113</v>
      </c>
      <c r="DM22">
        <v>400</v>
      </c>
      <c r="DN22">
        <v>17</v>
      </c>
      <c r="DO22">
        <v>0.21</v>
      </c>
      <c r="DP22">
        <v>0.04</v>
      </c>
      <c r="DQ22">
        <v>387.58474545454499</v>
      </c>
      <c r="DR22">
        <v>-0.26863708342383702</v>
      </c>
      <c r="DS22">
        <v>3.7242311314767101E-2</v>
      </c>
      <c r="DT22">
        <v>1</v>
      </c>
      <c r="DU22">
        <v>19.357949090909099</v>
      </c>
      <c r="DV22">
        <v>0.194124224179128</v>
      </c>
      <c r="DW22">
        <v>2.59856804814237E-2</v>
      </c>
      <c r="DX22">
        <v>1</v>
      </c>
      <c r="DY22">
        <v>2</v>
      </c>
      <c r="DZ22">
        <v>2</v>
      </c>
      <c r="EA22" t="s">
        <v>293</v>
      </c>
      <c r="EB22">
        <v>1.86676</v>
      </c>
      <c r="EC22">
        <v>1.8632500000000001</v>
      </c>
      <c r="ED22">
        <v>1.8689</v>
      </c>
      <c r="EE22">
        <v>1.8667899999999999</v>
      </c>
      <c r="EF22">
        <v>1.8714900000000001</v>
      </c>
      <c r="EG22">
        <v>1.86398</v>
      </c>
      <c r="EH22">
        <v>1.86554</v>
      </c>
      <c r="EI22">
        <v>1.8653900000000001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-0.20100000000000001</v>
      </c>
      <c r="EX22">
        <v>0.113</v>
      </c>
      <c r="EY22">
        <v>2</v>
      </c>
      <c r="EZ22">
        <v>330.048</v>
      </c>
      <c r="FA22">
        <v>464.50299999999999</v>
      </c>
      <c r="FB22">
        <v>21.701799999999999</v>
      </c>
      <c r="FC22">
        <v>35.852899999999998</v>
      </c>
      <c r="FD22">
        <v>30.000399999999999</v>
      </c>
      <c r="FE22">
        <v>35.837499999999999</v>
      </c>
      <c r="FF22">
        <v>35.8369</v>
      </c>
      <c r="FG22">
        <v>21.9907</v>
      </c>
      <c r="FH22">
        <v>56.062800000000003</v>
      </c>
      <c r="FI22">
        <v>0</v>
      </c>
      <c r="FJ22">
        <v>21.6812</v>
      </c>
      <c r="FK22">
        <v>400</v>
      </c>
      <c r="FL22">
        <v>17.075399999999998</v>
      </c>
      <c r="FM22">
        <v>100.39</v>
      </c>
      <c r="FN22">
        <v>100.85299999999999</v>
      </c>
    </row>
    <row r="23" spans="1:170" x14ac:dyDescent="0.25">
      <c r="A23">
        <v>7</v>
      </c>
      <c r="B23">
        <v>1598208041.5</v>
      </c>
      <c r="C23">
        <v>741.59999990463302</v>
      </c>
      <c r="D23" t="s">
        <v>314</v>
      </c>
      <c r="E23" t="s">
        <v>315</v>
      </c>
      <c r="G23">
        <v>1598208033.5451601</v>
      </c>
      <c r="H23">
        <f t="shared" si="0"/>
        <v>6.1107567931248715E-3</v>
      </c>
      <c r="I23">
        <f t="shared" si="1"/>
        <v>29.813057977315271</v>
      </c>
      <c r="J23">
        <f t="shared" si="2"/>
        <v>387.13341935483902</v>
      </c>
      <c r="K23">
        <f t="shared" si="3"/>
        <v>247.76227185565259</v>
      </c>
      <c r="L23">
        <f t="shared" si="4"/>
        <v>24.621189592289014</v>
      </c>
      <c r="M23">
        <f t="shared" si="5"/>
        <v>38.471092648842934</v>
      </c>
      <c r="N23">
        <f t="shared" si="6"/>
        <v>0.38415779663615773</v>
      </c>
      <c r="O23">
        <f t="shared" si="7"/>
        <v>3.3794172050165656</v>
      </c>
      <c r="P23">
        <f t="shared" si="8"/>
        <v>0.36144139473987025</v>
      </c>
      <c r="Q23">
        <f t="shared" si="9"/>
        <v>0.22782982795270268</v>
      </c>
      <c r="R23">
        <f t="shared" si="10"/>
        <v>321.43930276556216</v>
      </c>
      <c r="S23">
        <f t="shared" si="11"/>
        <v>26.913657940066123</v>
      </c>
      <c r="T23">
        <f t="shared" si="12"/>
        <v>26.990658064516101</v>
      </c>
      <c r="U23">
        <f t="shared" si="13"/>
        <v>3.5771963675681189</v>
      </c>
      <c r="V23">
        <f t="shared" si="14"/>
        <v>55.45231407211466</v>
      </c>
      <c r="W23">
        <f t="shared" si="15"/>
        <v>1.9437830621459695</v>
      </c>
      <c r="X23">
        <f t="shared" si="16"/>
        <v>3.505323618448307</v>
      </c>
      <c r="Y23">
        <f t="shared" si="17"/>
        <v>1.6334133054221494</v>
      </c>
      <c r="Z23">
        <f t="shared" si="18"/>
        <v>-269.48437457680683</v>
      </c>
      <c r="AA23">
        <f t="shared" si="19"/>
        <v>-62.875337963861291</v>
      </c>
      <c r="AB23">
        <f t="shared" si="20"/>
        <v>-4.0079605417745974</v>
      </c>
      <c r="AC23">
        <f t="shared" si="21"/>
        <v>-14.928370316880553</v>
      </c>
      <c r="AD23">
        <v>-4.1129112141342697E-2</v>
      </c>
      <c r="AE23">
        <v>4.6171031486773401E-2</v>
      </c>
      <c r="AF23">
        <v>3.4515915906083898</v>
      </c>
      <c r="AG23">
        <v>153</v>
      </c>
      <c r="AH23">
        <v>31</v>
      </c>
      <c r="AI23">
        <f t="shared" si="22"/>
        <v>1</v>
      </c>
      <c r="AJ23">
        <f t="shared" si="23"/>
        <v>0</v>
      </c>
      <c r="AK23">
        <f t="shared" si="24"/>
        <v>52507.953474812588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316</v>
      </c>
      <c r="AS23">
        <v>270.724307692308</v>
      </c>
      <c r="AT23">
        <v>375.97399999999999</v>
      </c>
      <c r="AU23">
        <f t="shared" si="27"/>
        <v>0.27993875190223794</v>
      </c>
      <c r="AV23">
        <v>0.5</v>
      </c>
      <c r="AW23">
        <f t="shared" si="28"/>
        <v>1681.1916093541458</v>
      </c>
      <c r="AX23">
        <f t="shared" si="29"/>
        <v>29.813057977315271</v>
      </c>
      <c r="AY23">
        <f t="shared" si="30"/>
        <v>235.31534041555719</v>
      </c>
      <c r="AZ23">
        <f t="shared" si="31"/>
        <v>0.50996611467814257</v>
      </c>
      <c r="BA23">
        <f t="shared" si="32"/>
        <v>1.8328105973091643E-2</v>
      </c>
      <c r="BB23">
        <f t="shared" si="33"/>
        <v>-1</v>
      </c>
      <c r="BC23" t="s">
        <v>317</v>
      </c>
      <c r="BD23">
        <v>184.24</v>
      </c>
      <c r="BE23">
        <f t="shared" si="34"/>
        <v>191.73399999999998</v>
      </c>
      <c r="BF23">
        <f t="shared" si="35"/>
        <v>0.54893598583293524</v>
      </c>
      <c r="BG23">
        <f t="shared" si="36"/>
        <v>2.0406752062527138</v>
      </c>
      <c r="BH23">
        <f t="shared" si="37"/>
        <v>0.27993875190223788</v>
      </c>
      <c r="BI23" t="e">
        <f t="shared" si="38"/>
        <v>#DIV/0!</v>
      </c>
      <c r="BJ23">
        <v>6635</v>
      </c>
      <c r="BK23">
        <v>300</v>
      </c>
      <c r="BL23">
        <v>300</v>
      </c>
      <c r="BM23">
        <v>300</v>
      </c>
      <c r="BN23">
        <v>9872.76</v>
      </c>
      <c r="BO23">
        <v>347.00799999999998</v>
      </c>
      <c r="BP23">
        <v>-6.5668999999999996E-3</v>
      </c>
      <c r="BQ23">
        <v>0.74731400000000003</v>
      </c>
      <c r="BR23">
        <f t="shared" si="39"/>
        <v>1999.99322580645</v>
      </c>
      <c r="BS23">
        <f t="shared" si="40"/>
        <v>1681.1916093541458</v>
      </c>
      <c r="BT23">
        <f t="shared" si="41"/>
        <v>0.84059865186605576</v>
      </c>
      <c r="BU23">
        <f t="shared" si="42"/>
        <v>0.19119730373211161</v>
      </c>
      <c r="BV23">
        <v>0.5</v>
      </c>
      <c r="BW23" t="s">
        <v>281</v>
      </c>
      <c r="BX23">
        <v>1598208033.5451601</v>
      </c>
      <c r="BY23">
        <v>387.13341935483902</v>
      </c>
      <c r="BZ23">
        <v>400.00345161290301</v>
      </c>
      <c r="CA23">
        <v>19.5602290322581</v>
      </c>
      <c r="CB23">
        <v>17.164009677419401</v>
      </c>
      <c r="CC23">
        <v>500.056806451613</v>
      </c>
      <c r="CD23">
        <v>99.174241935483906</v>
      </c>
      <c r="CE23">
        <v>0.20000664516128999</v>
      </c>
      <c r="CF23">
        <v>26.645551612903201</v>
      </c>
      <c r="CG23">
        <v>26.990658064516101</v>
      </c>
      <c r="CH23">
        <v>999.9</v>
      </c>
      <c r="CI23">
        <v>10001.07</v>
      </c>
      <c r="CJ23">
        <v>0</v>
      </c>
      <c r="CK23">
        <v>157.39180645161301</v>
      </c>
      <c r="CL23">
        <v>1999.99322580645</v>
      </c>
      <c r="CM23">
        <v>0.97999677419354803</v>
      </c>
      <c r="CN23">
        <v>2.0003393548387101E-2</v>
      </c>
      <c r="CO23">
        <v>0</v>
      </c>
      <c r="CP23">
        <v>270.69245161290303</v>
      </c>
      <c r="CQ23">
        <v>5.00054</v>
      </c>
      <c r="CR23">
        <v>7354.5190322580602</v>
      </c>
      <c r="CS23">
        <v>18703.548387096798</v>
      </c>
      <c r="CT23">
        <v>47.777935483870998</v>
      </c>
      <c r="CU23">
        <v>49.415064516129</v>
      </c>
      <c r="CV23">
        <v>48.098516129032198</v>
      </c>
      <c r="CW23">
        <v>48.699387096774203</v>
      </c>
      <c r="CX23">
        <v>49.223516129032198</v>
      </c>
      <c r="CY23">
        <v>1955.0832258064499</v>
      </c>
      <c r="CZ23">
        <v>39.909999999999997</v>
      </c>
      <c r="DA23">
        <v>0</v>
      </c>
      <c r="DB23">
        <v>124.39999985694899</v>
      </c>
      <c r="DC23">
        <v>270.724307692308</v>
      </c>
      <c r="DD23">
        <v>1.2685812012190301</v>
      </c>
      <c r="DE23">
        <v>17.779487405613398</v>
      </c>
      <c r="DF23">
        <v>7354.8273076923097</v>
      </c>
      <c r="DG23">
        <v>15</v>
      </c>
      <c r="DH23">
        <v>1598208072.0999999</v>
      </c>
      <c r="DI23" t="s">
        <v>318</v>
      </c>
      <c r="DJ23">
        <v>67</v>
      </c>
      <c r="DK23">
        <v>-0.27800000000000002</v>
      </c>
      <c r="DL23">
        <v>0.112</v>
      </c>
      <c r="DM23">
        <v>400</v>
      </c>
      <c r="DN23">
        <v>17</v>
      </c>
      <c r="DO23">
        <v>0.19</v>
      </c>
      <c r="DP23">
        <v>0.04</v>
      </c>
      <c r="DQ23">
        <v>387.20212727272701</v>
      </c>
      <c r="DR23">
        <v>6.4598666446641695E-2</v>
      </c>
      <c r="DS23">
        <v>1.7138000886340699E-2</v>
      </c>
      <c r="DT23">
        <v>1</v>
      </c>
      <c r="DU23">
        <v>19.540530909090901</v>
      </c>
      <c r="DV23">
        <v>0.186803401975706</v>
      </c>
      <c r="DW23">
        <v>2.6521537544399999E-2</v>
      </c>
      <c r="DX23">
        <v>1</v>
      </c>
      <c r="DY23">
        <v>2</v>
      </c>
      <c r="DZ23">
        <v>2</v>
      </c>
      <c r="EA23" t="s">
        <v>293</v>
      </c>
      <c r="EB23">
        <v>1.86676</v>
      </c>
      <c r="EC23">
        <v>1.8632500000000001</v>
      </c>
      <c r="ED23">
        <v>1.8689</v>
      </c>
      <c r="EE23">
        <v>1.8668</v>
      </c>
      <c r="EF23">
        <v>1.8714900000000001</v>
      </c>
      <c r="EG23">
        <v>1.8639699999999999</v>
      </c>
      <c r="EH23">
        <v>1.86554</v>
      </c>
      <c r="EI23">
        <v>1.8653900000000001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-0.27800000000000002</v>
      </c>
      <c r="EX23">
        <v>0.112</v>
      </c>
      <c r="EY23">
        <v>2</v>
      </c>
      <c r="EZ23">
        <v>329.78800000000001</v>
      </c>
      <c r="FA23">
        <v>464.60399999999998</v>
      </c>
      <c r="FB23">
        <v>21.798300000000001</v>
      </c>
      <c r="FC23">
        <v>35.886099999999999</v>
      </c>
      <c r="FD23">
        <v>30.000599999999999</v>
      </c>
      <c r="FE23">
        <v>35.879899999999999</v>
      </c>
      <c r="FF23">
        <v>35.878900000000002</v>
      </c>
      <c r="FG23">
        <v>21.985399999999998</v>
      </c>
      <c r="FH23">
        <v>56.505899999999997</v>
      </c>
      <c r="FI23">
        <v>0</v>
      </c>
      <c r="FJ23">
        <v>21.7927</v>
      </c>
      <c r="FK23">
        <v>400</v>
      </c>
      <c r="FL23">
        <v>16.982800000000001</v>
      </c>
      <c r="FM23">
        <v>100.386</v>
      </c>
      <c r="FN23">
        <v>100.85</v>
      </c>
    </row>
    <row r="24" spans="1:170" x14ac:dyDescent="0.25">
      <c r="A24">
        <v>8</v>
      </c>
      <c r="B24">
        <v>1598208170.5999999</v>
      </c>
      <c r="C24">
        <v>870.69999980926502</v>
      </c>
      <c r="D24" t="s">
        <v>319</v>
      </c>
      <c r="E24" t="s">
        <v>320</v>
      </c>
      <c r="G24">
        <v>1598208162.5999999</v>
      </c>
      <c r="H24">
        <f t="shared" si="0"/>
        <v>5.53822724812975E-3</v>
      </c>
      <c r="I24">
        <f t="shared" si="1"/>
        <v>35.808885525006957</v>
      </c>
      <c r="J24">
        <f t="shared" si="2"/>
        <v>484.60199999999998</v>
      </c>
      <c r="K24">
        <f t="shared" si="3"/>
        <v>297.39275744796925</v>
      </c>
      <c r="L24">
        <f t="shared" si="4"/>
        <v>29.552815090668133</v>
      </c>
      <c r="M24">
        <f t="shared" si="5"/>
        <v>48.156362049514833</v>
      </c>
      <c r="N24">
        <f t="shared" si="6"/>
        <v>0.34003730767642132</v>
      </c>
      <c r="O24">
        <f t="shared" si="7"/>
        <v>3.3773662075643847</v>
      </c>
      <c r="P24">
        <f t="shared" si="8"/>
        <v>0.32209822876610311</v>
      </c>
      <c r="Q24">
        <f t="shared" si="9"/>
        <v>0.20284424713298704</v>
      </c>
      <c r="R24">
        <f t="shared" si="10"/>
        <v>321.44215410349631</v>
      </c>
      <c r="S24">
        <f t="shared" si="11"/>
        <v>26.914980765907451</v>
      </c>
      <c r="T24">
        <f t="shared" si="12"/>
        <v>27.0087096774194</v>
      </c>
      <c r="U24">
        <f t="shared" si="13"/>
        <v>3.5809909882265858</v>
      </c>
      <c r="V24">
        <f t="shared" si="14"/>
        <v>55.182125176722572</v>
      </c>
      <c r="W24">
        <f t="shared" si="15"/>
        <v>1.9196391882840256</v>
      </c>
      <c r="X24">
        <f t="shared" si="16"/>
        <v>3.4787337061345824</v>
      </c>
      <c r="Y24">
        <f t="shared" si="17"/>
        <v>1.6613517999425602</v>
      </c>
      <c r="Z24">
        <f t="shared" si="18"/>
        <v>-244.23582164252198</v>
      </c>
      <c r="AA24">
        <f t="shared" si="19"/>
        <v>-89.656471182040747</v>
      </c>
      <c r="AB24">
        <f t="shared" si="20"/>
        <v>-5.7154040301542306</v>
      </c>
      <c r="AC24">
        <f t="shared" si="21"/>
        <v>-18.165542751220642</v>
      </c>
      <c r="AD24">
        <v>-4.10974090106348E-2</v>
      </c>
      <c r="AE24">
        <v>4.6135441945207002E-2</v>
      </c>
      <c r="AF24">
        <v>3.4494849597165098</v>
      </c>
      <c r="AG24">
        <v>153</v>
      </c>
      <c r="AH24">
        <v>31</v>
      </c>
      <c r="AI24">
        <f t="shared" si="22"/>
        <v>1</v>
      </c>
      <c r="AJ24">
        <f t="shared" si="23"/>
        <v>0</v>
      </c>
      <c r="AK24">
        <f t="shared" si="24"/>
        <v>52491.743913237835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275.57526923076898</v>
      </c>
      <c r="AT24">
        <v>397.55099999999999</v>
      </c>
      <c r="AU24">
        <f t="shared" si="27"/>
        <v>0.30681781902002769</v>
      </c>
      <c r="AV24">
        <v>0.5</v>
      </c>
      <c r="AW24">
        <f t="shared" si="28"/>
        <v>1681.2084708941256</v>
      </c>
      <c r="AX24">
        <f t="shared" si="29"/>
        <v>35.808885525006957</v>
      </c>
      <c r="AY24">
        <f t="shared" si="30"/>
        <v>257.91235817886565</v>
      </c>
      <c r="AZ24">
        <f t="shared" si="31"/>
        <v>0.53943016116171261</v>
      </c>
      <c r="BA24">
        <f t="shared" si="32"/>
        <v>2.1894301725371809E-2</v>
      </c>
      <c r="BB24">
        <f t="shared" si="33"/>
        <v>-1</v>
      </c>
      <c r="BC24" t="s">
        <v>322</v>
      </c>
      <c r="BD24">
        <v>183.1</v>
      </c>
      <c r="BE24">
        <f t="shared" si="34"/>
        <v>214.45099999999999</v>
      </c>
      <c r="BF24">
        <f t="shared" si="35"/>
        <v>0.56878135690312015</v>
      </c>
      <c r="BG24">
        <f t="shared" si="36"/>
        <v>2.1712233752048062</v>
      </c>
      <c r="BH24">
        <f t="shared" si="37"/>
        <v>0.30681781902002764</v>
      </c>
      <c r="BI24" t="e">
        <f t="shared" si="38"/>
        <v>#DIV/0!</v>
      </c>
      <c r="BJ24">
        <v>6637</v>
      </c>
      <c r="BK24">
        <v>300</v>
      </c>
      <c r="BL24">
        <v>300</v>
      </c>
      <c r="BM24">
        <v>300</v>
      </c>
      <c r="BN24">
        <v>9872.4699999999993</v>
      </c>
      <c r="BO24">
        <v>362.56799999999998</v>
      </c>
      <c r="BP24">
        <v>-6.5666700000000001E-3</v>
      </c>
      <c r="BQ24">
        <v>0.89074699999999996</v>
      </c>
      <c r="BR24">
        <f t="shared" si="39"/>
        <v>2000.0135483870999</v>
      </c>
      <c r="BS24">
        <f t="shared" si="40"/>
        <v>1681.2084708941256</v>
      </c>
      <c r="BT24">
        <f t="shared" si="41"/>
        <v>0.84059854106984777</v>
      </c>
      <c r="BU24">
        <f t="shared" si="42"/>
        <v>0.19119708213969566</v>
      </c>
      <c r="BV24">
        <v>0.5</v>
      </c>
      <c r="BW24" t="s">
        <v>281</v>
      </c>
      <c r="BX24">
        <v>1598208162.5999999</v>
      </c>
      <c r="BY24">
        <v>484.60199999999998</v>
      </c>
      <c r="BZ24">
        <v>499.99725806451602</v>
      </c>
      <c r="CA24">
        <v>19.317509677419402</v>
      </c>
      <c r="CB24">
        <v>17.145270967741901</v>
      </c>
      <c r="CC24">
        <v>500.05945161290299</v>
      </c>
      <c r="CD24">
        <v>99.172993548387097</v>
      </c>
      <c r="CE24">
        <v>0.20002193548387101</v>
      </c>
      <c r="CF24">
        <v>26.5163096774194</v>
      </c>
      <c r="CG24">
        <v>27.0087096774194</v>
      </c>
      <c r="CH24">
        <v>999.9</v>
      </c>
      <c r="CI24">
        <v>9993.4867741935504</v>
      </c>
      <c r="CJ24">
        <v>0</v>
      </c>
      <c r="CK24">
        <v>153.52296774193599</v>
      </c>
      <c r="CL24">
        <v>2000.0135483870999</v>
      </c>
      <c r="CM24">
        <v>0.97999748387096697</v>
      </c>
      <c r="CN24">
        <v>2.0002470967741898E-2</v>
      </c>
      <c r="CO24">
        <v>0</v>
      </c>
      <c r="CP24">
        <v>275.58309677419402</v>
      </c>
      <c r="CQ24">
        <v>5.00054</v>
      </c>
      <c r="CR24">
        <v>7509.6990322580596</v>
      </c>
      <c r="CS24">
        <v>18703.748387096799</v>
      </c>
      <c r="CT24">
        <v>47.8606451612903</v>
      </c>
      <c r="CU24">
        <v>49.527999999999999</v>
      </c>
      <c r="CV24">
        <v>48.203258064516099</v>
      </c>
      <c r="CW24">
        <v>48.8061935483871</v>
      </c>
      <c r="CX24">
        <v>49.324322580645202</v>
      </c>
      <c r="CY24">
        <v>1955.1048387096801</v>
      </c>
      <c r="CZ24">
        <v>39.902903225806497</v>
      </c>
      <c r="DA24">
        <v>0</v>
      </c>
      <c r="DB24">
        <v>128.5</v>
      </c>
      <c r="DC24">
        <v>275.57526923076898</v>
      </c>
      <c r="DD24">
        <v>-1.39470085462767</v>
      </c>
      <c r="DE24">
        <v>33.058119568061997</v>
      </c>
      <c r="DF24">
        <v>7508.4865384615396</v>
      </c>
      <c r="DG24">
        <v>15</v>
      </c>
      <c r="DH24">
        <v>1598208193.0999999</v>
      </c>
      <c r="DI24" t="s">
        <v>323</v>
      </c>
      <c r="DJ24">
        <v>68</v>
      </c>
      <c r="DK24">
        <v>-0.23599999999999999</v>
      </c>
      <c r="DL24">
        <v>0.114</v>
      </c>
      <c r="DM24">
        <v>500</v>
      </c>
      <c r="DN24">
        <v>17</v>
      </c>
      <c r="DO24">
        <v>0.15</v>
      </c>
      <c r="DP24">
        <v>0.04</v>
      </c>
      <c r="DQ24">
        <v>484.52820000000003</v>
      </c>
      <c r="DR24">
        <v>0.28509956709955597</v>
      </c>
      <c r="DS24">
        <v>4.4146203378403998E-2</v>
      </c>
      <c r="DT24">
        <v>1</v>
      </c>
      <c r="DU24">
        <v>19.327750909090899</v>
      </c>
      <c r="DV24">
        <v>-0.112317748917747</v>
      </c>
      <c r="DW24">
        <v>1.4881933803071601E-2</v>
      </c>
      <c r="DX24">
        <v>1</v>
      </c>
      <c r="DY24">
        <v>2</v>
      </c>
      <c r="DZ24">
        <v>2</v>
      </c>
      <c r="EA24" t="s">
        <v>293</v>
      </c>
      <c r="EB24">
        <v>1.8666400000000001</v>
      </c>
      <c r="EC24">
        <v>1.8631500000000001</v>
      </c>
      <c r="ED24">
        <v>1.8688199999999999</v>
      </c>
      <c r="EE24">
        <v>1.86676</v>
      </c>
      <c r="EF24">
        <v>1.8714599999999999</v>
      </c>
      <c r="EG24">
        <v>1.8638600000000001</v>
      </c>
      <c r="EH24">
        <v>1.8654500000000001</v>
      </c>
      <c r="EI24">
        <v>1.8653900000000001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-0.23599999999999999</v>
      </c>
      <c r="EX24">
        <v>0.114</v>
      </c>
      <c r="EY24">
        <v>2</v>
      </c>
      <c r="EZ24">
        <v>329.815</v>
      </c>
      <c r="FA24">
        <v>464.839</v>
      </c>
      <c r="FB24">
        <v>20.645</v>
      </c>
      <c r="FC24">
        <v>35.909700000000001</v>
      </c>
      <c r="FD24">
        <v>30.000299999999999</v>
      </c>
      <c r="FE24">
        <v>35.910400000000003</v>
      </c>
      <c r="FF24">
        <v>35.911799999999999</v>
      </c>
      <c r="FG24">
        <v>26.292200000000001</v>
      </c>
      <c r="FH24">
        <v>56.200699999999998</v>
      </c>
      <c r="FI24">
        <v>0</v>
      </c>
      <c r="FJ24">
        <v>20.654599999999999</v>
      </c>
      <c r="FK24">
        <v>500</v>
      </c>
      <c r="FL24">
        <v>17.1812</v>
      </c>
      <c r="FM24">
        <v>100.381</v>
      </c>
      <c r="FN24">
        <v>100.845</v>
      </c>
    </row>
    <row r="25" spans="1:170" x14ac:dyDescent="0.25">
      <c r="A25">
        <v>9</v>
      </c>
      <c r="B25">
        <v>1598208305.0999999</v>
      </c>
      <c r="C25">
        <v>1005.19999980927</v>
      </c>
      <c r="D25" t="s">
        <v>324</v>
      </c>
      <c r="E25" t="s">
        <v>325</v>
      </c>
      <c r="G25">
        <v>1598208297.0999999</v>
      </c>
      <c r="H25">
        <f t="shared" si="0"/>
        <v>5.1263228246398547E-3</v>
      </c>
      <c r="I25">
        <f t="shared" si="1"/>
        <v>39.790229532796729</v>
      </c>
      <c r="J25">
        <f t="shared" si="2"/>
        <v>582.91548387096805</v>
      </c>
      <c r="K25">
        <f t="shared" si="3"/>
        <v>358.76358175043225</v>
      </c>
      <c r="L25">
        <f t="shared" si="4"/>
        <v>35.650422295958563</v>
      </c>
      <c r="M25">
        <f t="shared" si="5"/>
        <v>57.92445002767618</v>
      </c>
      <c r="N25">
        <f t="shared" si="6"/>
        <v>0.31455680109933509</v>
      </c>
      <c r="O25">
        <f t="shared" si="7"/>
        <v>3.3764873681000549</v>
      </c>
      <c r="P25">
        <f t="shared" si="8"/>
        <v>0.29913623457939348</v>
      </c>
      <c r="Q25">
        <f t="shared" si="9"/>
        <v>0.18828260914731032</v>
      </c>
      <c r="R25">
        <f t="shared" si="10"/>
        <v>321.43879867647399</v>
      </c>
      <c r="S25">
        <f t="shared" si="11"/>
        <v>26.550446824677977</v>
      </c>
      <c r="T25">
        <f t="shared" si="12"/>
        <v>26.784490322580599</v>
      </c>
      <c r="U25">
        <f t="shared" si="13"/>
        <v>3.5341062753247461</v>
      </c>
      <c r="V25">
        <f t="shared" si="14"/>
        <v>55.453894726447807</v>
      </c>
      <c r="W25">
        <f t="shared" si="15"/>
        <v>1.8775602468454358</v>
      </c>
      <c r="X25">
        <f t="shared" si="16"/>
        <v>3.3858041100762666</v>
      </c>
      <c r="Y25">
        <f t="shared" si="17"/>
        <v>1.6565460284793103</v>
      </c>
      <c r="Z25">
        <f t="shared" si="18"/>
        <v>-226.0708365666176</v>
      </c>
      <c r="AA25">
        <f t="shared" si="19"/>
        <v>-132.29291224617302</v>
      </c>
      <c r="AB25">
        <f t="shared" si="20"/>
        <v>-8.4067970433711476</v>
      </c>
      <c r="AC25">
        <f t="shared" si="21"/>
        <v>-45.331747179687795</v>
      </c>
      <c r="AD25">
        <v>-4.1083827054982799E-2</v>
      </c>
      <c r="AE25">
        <v>4.6120195010143E-2</v>
      </c>
      <c r="AF25">
        <v>3.4485822862997</v>
      </c>
      <c r="AG25">
        <v>153</v>
      </c>
      <c r="AH25">
        <v>31</v>
      </c>
      <c r="AI25">
        <f t="shared" si="22"/>
        <v>1</v>
      </c>
      <c r="AJ25">
        <f t="shared" si="23"/>
        <v>0</v>
      </c>
      <c r="AK25">
        <f t="shared" si="24"/>
        <v>52555.507390643812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279.06657692307698</v>
      </c>
      <c r="AT25">
        <v>410.96899999999999</v>
      </c>
      <c r="AU25">
        <f t="shared" si="27"/>
        <v>0.3209546780339223</v>
      </c>
      <c r="AV25">
        <v>0.5</v>
      </c>
      <c r="AW25">
        <f t="shared" si="28"/>
        <v>1681.1915836040873</v>
      </c>
      <c r="AX25">
        <f t="shared" si="29"/>
        <v>39.790229532796729</v>
      </c>
      <c r="AY25">
        <f t="shared" si="30"/>
        <v>269.79315171449491</v>
      </c>
      <c r="AZ25">
        <f t="shared" si="31"/>
        <v>0.54731378765794991</v>
      </c>
      <c r="BA25">
        <f t="shared" si="32"/>
        <v>2.4262689589101962E-2</v>
      </c>
      <c r="BB25">
        <f t="shared" si="33"/>
        <v>-1</v>
      </c>
      <c r="BC25" t="s">
        <v>327</v>
      </c>
      <c r="BD25">
        <v>186.04</v>
      </c>
      <c r="BE25">
        <f t="shared" si="34"/>
        <v>224.929</v>
      </c>
      <c r="BF25">
        <f t="shared" si="35"/>
        <v>0.58641803892305133</v>
      </c>
      <c r="BG25">
        <f t="shared" si="36"/>
        <v>2.209035691249194</v>
      </c>
      <c r="BH25">
        <f t="shared" si="37"/>
        <v>0.3209546780339223</v>
      </c>
      <c r="BI25" t="e">
        <f t="shared" si="38"/>
        <v>#DIV/0!</v>
      </c>
      <c r="BJ25">
        <v>6639</v>
      </c>
      <c r="BK25">
        <v>300</v>
      </c>
      <c r="BL25">
        <v>300</v>
      </c>
      <c r="BM25">
        <v>300</v>
      </c>
      <c r="BN25">
        <v>9872.18</v>
      </c>
      <c r="BO25">
        <v>373.68200000000002</v>
      </c>
      <c r="BP25">
        <v>-6.5664800000000004E-3</v>
      </c>
      <c r="BQ25">
        <v>1.0706500000000001</v>
      </c>
      <c r="BR25">
        <f t="shared" si="39"/>
        <v>1999.9935483871</v>
      </c>
      <c r="BS25">
        <f t="shared" si="40"/>
        <v>1681.1915836040873</v>
      </c>
      <c r="BT25">
        <f t="shared" si="41"/>
        <v>0.84059850341011788</v>
      </c>
      <c r="BU25">
        <f t="shared" si="42"/>
        <v>0.19119700682023597</v>
      </c>
      <c r="BV25">
        <v>0.5</v>
      </c>
      <c r="BW25" t="s">
        <v>281</v>
      </c>
      <c r="BX25">
        <v>1598208297.0999999</v>
      </c>
      <c r="BY25">
        <v>582.91548387096805</v>
      </c>
      <c r="BZ25">
        <v>600.02525806451604</v>
      </c>
      <c r="CA25">
        <v>18.8945935483871</v>
      </c>
      <c r="CB25">
        <v>16.882996774193501</v>
      </c>
      <c r="CC25">
        <v>500.04683870967699</v>
      </c>
      <c r="CD25">
        <v>99.170251612903201</v>
      </c>
      <c r="CE25">
        <v>0.19998580645161301</v>
      </c>
      <c r="CF25">
        <v>26.057738709677398</v>
      </c>
      <c r="CG25">
        <v>26.784490322580599</v>
      </c>
      <c r="CH25">
        <v>999.9</v>
      </c>
      <c r="CI25">
        <v>9990.4603225806495</v>
      </c>
      <c r="CJ25">
        <v>0</v>
      </c>
      <c r="CK25">
        <v>157.55525806451601</v>
      </c>
      <c r="CL25">
        <v>1999.9935483871</v>
      </c>
      <c r="CM25">
        <v>0.97999767741935495</v>
      </c>
      <c r="CN25">
        <v>2.0002219354838702E-2</v>
      </c>
      <c r="CO25">
        <v>0</v>
      </c>
      <c r="CP25">
        <v>279.078225806452</v>
      </c>
      <c r="CQ25">
        <v>5.00054</v>
      </c>
      <c r="CR25">
        <v>7691.89806451613</v>
      </c>
      <c r="CS25">
        <v>18703.561290322599</v>
      </c>
      <c r="CT25">
        <v>47.957322580645098</v>
      </c>
      <c r="CU25">
        <v>49.683</v>
      </c>
      <c r="CV25">
        <v>48.316064516129003</v>
      </c>
      <c r="CW25">
        <v>48.920999999999999</v>
      </c>
      <c r="CX25">
        <v>49.381</v>
      </c>
      <c r="CY25">
        <v>1955.0880645161301</v>
      </c>
      <c r="CZ25">
        <v>39.9</v>
      </c>
      <c r="DA25">
        <v>0</v>
      </c>
      <c r="DB25">
        <v>133.89999985694899</v>
      </c>
      <c r="DC25">
        <v>279.06657692307698</v>
      </c>
      <c r="DD25">
        <v>-2.3231794812136202</v>
      </c>
      <c r="DE25">
        <v>92.849230789443595</v>
      </c>
      <c r="DF25">
        <v>7692.31</v>
      </c>
      <c r="DG25">
        <v>15</v>
      </c>
      <c r="DH25">
        <v>1598208335.5999999</v>
      </c>
      <c r="DI25" t="s">
        <v>328</v>
      </c>
      <c r="DJ25">
        <v>69</v>
      </c>
      <c r="DK25">
        <v>-0.17699999999999999</v>
      </c>
      <c r="DL25">
        <v>0.11</v>
      </c>
      <c r="DM25">
        <v>600</v>
      </c>
      <c r="DN25">
        <v>17</v>
      </c>
      <c r="DO25">
        <v>0.12</v>
      </c>
      <c r="DP25">
        <v>0.04</v>
      </c>
      <c r="DQ25">
        <v>582.82083636363598</v>
      </c>
      <c r="DR25">
        <v>0.29523809523835898</v>
      </c>
      <c r="DS25">
        <v>4.6517548452702701E-2</v>
      </c>
      <c r="DT25">
        <v>1</v>
      </c>
      <c r="DU25">
        <v>18.9190672727273</v>
      </c>
      <c r="DV25">
        <v>-0.17748484848485599</v>
      </c>
      <c r="DW25">
        <v>2.4053917122282199E-2</v>
      </c>
      <c r="DX25">
        <v>1</v>
      </c>
      <c r="DY25">
        <v>2</v>
      </c>
      <c r="DZ25">
        <v>2</v>
      </c>
      <c r="EA25" t="s">
        <v>293</v>
      </c>
      <c r="EB25">
        <v>1.86676</v>
      </c>
      <c r="EC25">
        <v>1.8632500000000001</v>
      </c>
      <c r="ED25">
        <v>1.8689</v>
      </c>
      <c r="EE25">
        <v>1.8668499999999999</v>
      </c>
      <c r="EF25">
        <v>1.87151</v>
      </c>
      <c r="EG25">
        <v>1.8640099999999999</v>
      </c>
      <c r="EH25">
        <v>1.86554</v>
      </c>
      <c r="EI25">
        <v>1.86541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-0.17699999999999999</v>
      </c>
      <c r="EX25">
        <v>0.11</v>
      </c>
      <c r="EY25">
        <v>2</v>
      </c>
      <c r="EZ25">
        <v>329.81099999999998</v>
      </c>
      <c r="FA25">
        <v>463.81900000000002</v>
      </c>
      <c r="FB25">
        <v>21.12</v>
      </c>
      <c r="FC25">
        <v>36.054299999999998</v>
      </c>
      <c r="FD25">
        <v>29.9954</v>
      </c>
      <c r="FE25">
        <v>35.997599999999998</v>
      </c>
      <c r="FF25">
        <v>35.993899999999996</v>
      </c>
      <c r="FG25">
        <v>30.441500000000001</v>
      </c>
      <c r="FH25">
        <v>57.373800000000003</v>
      </c>
      <c r="FI25">
        <v>0</v>
      </c>
      <c r="FJ25">
        <v>21.480799999999999</v>
      </c>
      <c r="FK25">
        <v>600</v>
      </c>
      <c r="FL25">
        <v>16.7395</v>
      </c>
      <c r="FM25">
        <v>100.367</v>
      </c>
      <c r="FN25">
        <v>100.827</v>
      </c>
    </row>
    <row r="26" spans="1:170" x14ac:dyDescent="0.25">
      <c r="A26">
        <v>10</v>
      </c>
      <c r="B26">
        <v>1598208457.0999999</v>
      </c>
      <c r="C26">
        <v>1157.1999998092699</v>
      </c>
      <c r="D26" t="s">
        <v>329</v>
      </c>
      <c r="E26" t="s">
        <v>330</v>
      </c>
      <c r="G26">
        <v>1598208449.0999999</v>
      </c>
      <c r="H26">
        <f t="shared" si="0"/>
        <v>4.6504492936949244E-3</v>
      </c>
      <c r="I26">
        <f t="shared" si="1"/>
        <v>43.242228206614037</v>
      </c>
      <c r="J26">
        <f t="shared" si="2"/>
        <v>681.49941935483901</v>
      </c>
      <c r="K26">
        <f t="shared" si="3"/>
        <v>410.96729225341005</v>
      </c>
      <c r="L26">
        <f t="shared" si="4"/>
        <v>40.835169238013407</v>
      </c>
      <c r="M26">
        <f t="shared" si="5"/>
        <v>67.716201871857862</v>
      </c>
      <c r="N26">
        <f t="shared" si="6"/>
        <v>0.28146560776386137</v>
      </c>
      <c r="O26">
        <f t="shared" si="7"/>
        <v>3.3791251078964746</v>
      </c>
      <c r="P26">
        <f t="shared" si="8"/>
        <v>0.26905927618345216</v>
      </c>
      <c r="Q26">
        <f t="shared" si="9"/>
        <v>0.1692311342864686</v>
      </c>
      <c r="R26">
        <f t="shared" si="10"/>
        <v>321.44028555662135</v>
      </c>
      <c r="S26">
        <f t="shared" si="11"/>
        <v>26.81107394159217</v>
      </c>
      <c r="T26">
        <f t="shared" si="12"/>
        <v>26.947812903225799</v>
      </c>
      <c r="U26">
        <f t="shared" si="13"/>
        <v>3.5682039564337411</v>
      </c>
      <c r="V26">
        <f t="shared" si="14"/>
        <v>55.5548410781618</v>
      </c>
      <c r="W26">
        <f t="shared" si="15"/>
        <v>1.8980332435782561</v>
      </c>
      <c r="X26">
        <f t="shared" si="16"/>
        <v>3.4165037767057158</v>
      </c>
      <c r="Y26">
        <f t="shared" si="17"/>
        <v>1.670170712855485</v>
      </c>
      <c r="Z26">
        <f t="shared" si="18"/>
        <v>-205.08481385194617</v>
      </c>
      <c r="AA26">
        <f t="shared" si="19"/>
        <v>-134.33260868784959</v>
      </c>
      <c r="AB26">
        <f t="shared" si="20"/>
        <v>-8.5432610378903693</v>
      </c>
      <c r="AC26">
        <f t="shared" si="21"/>
        <v>-26.520398021064779</v>
      </c>
      <c r="AD26">
        <v>-4.1124596547129598E-2</v>
      </c>
      <c r="AE26">
        <v>4.61659623366815E-2</v>
      </c>
      <c r="AF26">
        <v>3.4512915694116302</v>
      </c>
      <c r="AG26">
        <v>153</v>
      </c>
      <c r="AH26">
        <v>31</v>
      </c>
      <c r="AI26">
        <f t="shared" si="22"/>
        <v>1</v>
      </c>
      <c r="AJ26">
        <f t="shared" si="23"/>
        <v>0</v>
      </c>
      <c r="AK26">
        <f t="shared" si="24"/>
        <v>52578.543451174257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280.38896153846201</v>
      </c>
      <c r="AT26">
        <v>416.255</v>
      </c>
      <c r="AU26">
        <f t="shared" si="27"/>
        <v>0.32640097647244593</v>
      </c>
      <c r="AV26">
        <v>0.5</v>
      </c>
      <c r="AW26">
        <f t="shared" si="28"/>
        <v>1681.1994383864908</v>
      </c>
      <c r="AX26">
        <f t="shared" si="29"/>
        <v>43.242228206614037</v>
      </c>
      <c r="AY26">
        <f t="shared" si="30"/>
        <v>274.37256916713915</v>
      </c>
      <c r="AZ26">
        <f t="shared" si="31"/>
        <v>0.56406529651295478</v>
      </c>
      <c r="BA26">
        <f t="shared" si="32"/>
        <v>2.6315871393030526E-2</v>
      </c>
      <c r="BB26">
        <f t="shared" si="33"/>
        <v>-1</v>
      </c>
      <c r="BC26" t="s">
        <v>332</v>
      </c>
      <c r="BD26">
        <v>181.46</v>
      </c>
      <c r="BE26">
        <f t="shared" si="34"/>
        <v>234.79499999999999</v>
      </c>
      <c r="BF26">
        <f t="shared" si="35"/>
        <v>0.57865814204535015</v>
      </c>
      <c r="BG26">
        <f t="shared" si="36"/>
        <v>2.293921525405048</v>
      </c>
      <c r="BH26">
        <f t="shared" si="37"/>
        <v>0.32640097647244593</v>
      </c>
      <c r="BI26" t="e">
        <f t="shared" si="38"/>
        <v>#DIV/0!</v>
      </c>
      <c r="BJ26">
        <v>6641</v>
      </c>
      <c r="BK26">
        <v>300</v>
      </c>
      <c r="BL26">
        <v>300</v>
      </c>
      <c r="BM26">
        <v>300</v>
      </c>
      <c r="BN26">
        <v>9872.0400000000009</v>
      </c>
      <c r="BO26">
        <v>381.23500000000001</v>
      </c>
      <c r="BP26">
        <v>-6.5664299999999998E-3</v>
      </c>
      <c r="BQ26">
        <v>1.8042899999999999</v>
      </c>
      <c r="BR26">
        <f t="shared" si="39"/>
        <v>2000.0029032258101</v>
      </c>
      <c r="BS26">
        <f t="shared" si="40"/>
        <v>1681.1994383864908</v>
      </c>
      <c r="BT26">
        <f t="shared" si="41"/>
        <v>0.84059849896961636</v>
      </c>
      <c r="BU26">
        <f t="shared" si="42"/>
        <v>0.19119699793923287</v>
      </c>
      <c r="BV26">
        <v>0.5</v>
      </c>
      <c r="BW26" t="s">
        <v>281</v>
      </c>
      <c r="BX26">
        <v>1598208449.0999999</v>
      </c>
      <c r="BY26">
        <v>681.49941935483901</v>
      </c>
      <c r="BZ26">
        <v>700.06177419354901</v>
      </c>
      <c r="CA26">
        <v>19.101906451612901</v>
      </c>
      <c r="CB26">
        <v>17.277480645161301</v>
      </c>
      <c r="CC26">
        <v>500.06054838709701</v>
      </c>
      <c r="CD26">
        <v>99.163577419354795</v>
      </c>
      <c r="CE26">
        <v>0.19997293548387099</v>
      </c>
      <c r="CF26">
        <v>26.2104322580645</v>
      </c>
      <c r="CG26">
        <v>26.947812903225799</v>
      </c>
      <c r="CH26">
        <v>999.9</v>
      </c>
      <c r="CI26">
        <v>10001.0474193548</v>
      </c>
      <c r="CJ26">
        <v>0</v>
      </c>
      <c r="CK26">
        <v>85.198735483871005</v>
      </c>
      <c r="CL26">
        <v>2000.0029032258101</v>
      </c>
      <c r="CM26">
        <v>0.97999809677419303</v>
      </c>
      <c r="CN26">
        <v>2.0001716129032201E-2</v>
      </c>
      <c r="CO26">
        <v>0</v>
      </c>
      <c r="CP26">
        <v>280.39790322580598</v>
      </c>
      <c r="CQ26">
        <v>5.00054</v>
      </c>
      <c r="CR26">
        <v>7016</v>
      </c>
      <c r="CS26">
        <v>18703.654838709699</v>
      </c>
      <c r="CT26">
        <v>48.029935483871</v>
      </c>
      <c r="CU26">
        <v>49.737806451612897</v>
      </c>
      <c r="CV26">
        <v>48.396999999999998</v>
      </c>
      <c r="CW26">
        <v>49.007870967741901</v>
      </c>
      <c r="CX26">
        <v>49.465451612903202</v>
      </c>
      <c r="CY26">
        <v>1955.10290322581</v>
      </c>
      <c r="CZ26">
        <v>39.9</v>
      </c>
      <c r="DA26">
        <v>0</v>
      </c>
      <c r="DB26">
        <v>151.5</v>
      </c>
      <c r="DC26">
        <v>280.38896153846201</v>
      </c>
      <c r="DD26">
        <v>-1.8661538504571</v>
      </c>
      <c r="DE26">
        <v>121.80683800838401</v>
      </c>
      <c r="DF26">
        <v>7016.0757692307698</v>
      </c>
      <c r="DG26">
        <v>15</v>
      </c>
      <c r="DH26">
        <v>1598208482.0999999</v>
      </c>
      <c r="DI26" t="s">
        <v>333</v>
      </c>
      <c r="DJ26">
        <v>70</v>
      </c>
      <c r="DK26">
        <v>-0.216</v>
      </c>
      <c r="DL26">
        <v>0.111</v>
      </c>
      <c r="DM26">
        <v>700</v>
      </c>
      <c r="DN26">
        <v>17</v>
      </c>
      <c r="DO26">
        <v>0.17</v>
      </c>
      <c r="DP26">
        <v>0.05</v>
      </c>
      <c r="DQ26">
        <v>681.51361818181795</v>
      </c>
      <c r="DR26">
        <v>0.29978354978356297</v>
      </c>
      <c r="DS26">
        <v>4.5872348933691201E-2</v>
      </c>
      <c r="DT26">
        <v>1</v>
      </c>
      <c r="DU26">
        <v>19.104185454545501</v>
      </c>
      <c r="DV26">
        <v>-6.8753246753242805E-2</v>
      </c>
      <c r="DW26">
        <v>1.7203333907143199E-2</v>
      </c>
      <c r="DX26">
        <v>1</v>
      </c>
      <c r="DY26">
        <v>2</v>
      </c>
      <c r="DZ26">
        <v>2</v>
      </c>
      <c r="EA26" t="s">
        <v>293</v>
      </c>
      <c r="EB26">
        <v>1.8667499999999999</v>
      </c>
      <c r="EC26">
        <v>1.8632500000000001</v>
      </c>
      <c r="ED26">
        <v>1.8689</v>
      </c>
      <c r="EE26">
        <v>1.8668</v>
      </c>
      <c r="EF26">
        <v>1.8714900000000001</v>
      </c>
      <c r="EG26">
        <v>1.86398</v>
      </c>
      <c r="EH26">
        <v>1.86554</v>
      </c>
      <c r="EI26">
        <v>1.8653900000000001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-0.216</v>
      </c>
      <c r="EX26">
        <v>0.111</v>
      </c>
      <c r="EY26">
        <v>2</v>
      </c>
      <c r="EZ26">
        <v>329.32</v>
      </c>
      <c r="FA26">
        <v>463.53899999999999</v>
      </c>
      <c r="FB26">
        <v>21.303100000000001</v>
      </c>
      <c r="FC26">
        <v>36.154000000000003</v>
      </c>
      <c r="FD26">
        <v>29.9998</v>
      </c>
      <c r="FE26">
        <v>36.097799999999999</v>
      </c>
      <c r="FF26">
        <v>36.090400000000002</v>
      </c>
      <c r="FG26">
        <v>34.4953</v>
      </c>
      <c r="FH26">
        <v>56.508499999999998</v>
      </c>
      <c r="FI26">
        <v>0</v>
      </c>
      <c r="FJ26">
        <v>21.3018</v>
      </c>
      <c r="FK26">
        <v>700</v>
      </c>
      <c r="FL26">
        <v>17.1143</v>
      </c>
      <c r="FM26">
        <v>100.34699999999999</v>
      </c>
      <c r="FN26">
        <v>100.807</v>
      </c>
    </row>
    <row r="27" spans="1:170" x14ac:dyDescent="0.25">
      <c r="A27">
        <v>11</v>
      </c>
      <c r="B27">
        <v>1598208603.5999999</v>
      </c>
      <c r="C27">
        <v>1303.6999998092699</v>
      </c>
      <c r="D27" t="s">
        <v>334</v>
      </c>
      <c r="E27" t="s">
        <v>335</v>
      </c>
      <c r="G27">
        <v>1598208595.60323</v>
      </c>
      <c r="H27">
        <f t="shared" si="0"/>
        <v>4.0399762071055183E-3</v>
      </c>
      <c r="I27">
        <f t="shared" si="1"/>
        <v>45.040525721738774</v>
      </c>
      <c r="J27">
        <f t="shared" si="2"/>
        <v>780.80819354838695</v>
      </c>
      <c r="K27">
        <f t="shared" si="3"/>
        <v>454.76907775129155</v>
      </c>
      <c r="L27">
        <f t="shared" si="4"/>
        <v>45.187297946183257</v>
      </c>
      <c r="M27">
        <f t="shared" si="5"/>
        <v>77.583578582684055</v>
      </c>
      <c r="N27">
        <f t="shared" si="6"/>
        <v>0.2411786023810428</v>
      </c>
      <c r="O27">
        <f t="shared" si="7"/>
        <v>3.379162260013465</v>
      </c>
      <c r="P27">
        <f t="shared" si="8"/>
        <v>0.23200749231804912</v>
      </c>
      <c r="Q27">
        <f t="shared" si="9"/>
        <v>0.14579961362785596</v>
      </c>
      <c r="R27">
        <f t="shared" si="10"/>
        <v>321.44388480950914</v>
      </c>
      <c r="S27">
        <f t="shared" si="11"/>
        <v>26.911695254466505</v>
      </c>
      <c r="T27">
        <f t="shared" si="12"/>
        <v>26.9639290322581</v>
      </c>
      <c r="U27">
        <f t="shared" si="13"/>
        <v>3.5715841174136127</v>
      </c>
      <c r="V27">
        <f t="shared" si="14"/>
        <v>55.41311519241183</v>
      </c>
      <c r="W27">
        <f t="shared" si="15"/>
        <v>1.8889025477994694</v>
      </c>
      <c r="X27">
        <f t="shared" si="16"/>
        <v>3.4087644075605628</v>
      </c>
      <c r="Y27">
        <f t="shared" si="17"/>
        <v>1.6826815696141433</v>
      </c>
      <c r="Z27">
        <f t="shared" si="18"/>
        <v>-178.16295073335337</v>
      </c>
      <c r="AA27">
        <f t="shared" si="19"/>
        <v>-144.26216602068695</v>
      </c>
      <c r="AB27">
        <f t="shared" si="20"/>
        <v>-9.173637751292576</v>
      </c>
      <c r="AC27">
        <f t="shared" si="21"/>
        <v>-10.154869695823749</v>
      </c>
      <c r="AD27">
        <v>-4.1125170880250903E-2</v>
      </c>
      <c r="AE27">
        <v>4.6166607075924397E-2</v>
      </c>
      <c r="AF27">
        <v>3.4513297293826199</v>
      </c>
      <c r="AG27">
        <v>152</v>
      </c>
      <c r="AH27">
        <v>30</v>
      </c>
      <c r="AI27">
        <f t="shared" si="22"/>
        <v>1</v>
      </c>
      <c r="AJ27">
        <f t="shared" si="23"/>
        <v>0</v>
      </c>
      <c r="AK27">
        <f t="shared" si="24"/>
        <v>52585.9847552672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336</v>
      </c>
      <c r="AS27">
        <v>280.721269230769</v>
      </c>
      <c r="AT27">
        <v>421.66899999999998</v>
      </c>
      <c r="AU27">
        <f t="shared" si="27"/>
        <v>0.33426154345999115</v>
      </c>
      <c r="AV27">
        <v>0.5</v>
      </c>
      <c r="AW27">
        <f t="shared" si="28"/>
        <v>1681.2157254831834</v>
      </c>
      <c r="AX27">
        <f t="shared" si="29"/>
        <v>45.040525721738774</v>
      </c>
      <c r="AY27">
        <f t="shared" si="30"/>
        <v>280.98288164460882</v>
      </c>
      <c r="AZ27">
        <f t="shared" si="31"/>
        <v>0.56330676431039517</v>
      </c>
      <c r="BA27">
        <f t="shared" si="32"/>
        <v>2.7385257598935838E-2</v>
      </c>
      <c r="BB27">
        <f t="shared" si="33"/>
        <v>-1</v>
      </c>
      <c r="BC27" t="s">
        <v>337</v>
      </c>
      <c r="BD27">
        <v>184.14</v>
      </c>
      <c r="BE27">
        <f t="shared" si="34"/>
        <v>237.529</v>
      </c>
      <c r="BF27">
        <f t="shared" si="35"/>
        <v>0.59339167330823184</v>
      </c>
      <c r="BG27">
        <f t="shared" si="36"/>
        <v>2.2899370044531335</v>
      </c>
      <c r="BH27">
        <f t="shared" si="37"/>
        <v>0.3342615434599911</v>
      </c>
      <c r="BI27" t="e">
        <f t="shared" si="38"/>
        <v>#DIV/0!</v>
      </c>
      <c r="BJ27">
        <v>6643</v>
      </c>
      <c r="BK27">
        <v>300</v>
      </c>
      <c r="BL27">
        <v>300</v>
      </c>
      <c r="BM27">
        <v>300</v>
      </c>
      <c r="BN27">
        <v>9872.9500000000007</v>
      </c>
      <c r="BO27">
        <v>383.96199999999999</v>
      </c>
      <c r="BP27">
        <v>-6.5670499999999996E-3</v>
      </c>
      <c r="BQ27">
        <v>1.9952399999999999</v>
      </c>
      <c r="BR27">
        <f t="shared" si="39"/>
        <v>2000.02193548387</v>
      </c>
      <c r="BS27">
        <f t="shared" si="40"/>
        <v>1681.2157254831834</v>
      </c>
      <c r="BT27">
        <f t="shared" si="41"/>
        <v>0.84059864327260136</v>
      </c>
      <c r="BU27">
        <f t="shared" si="42"/>
        <v>0.19119728654520277</v>
      </c>
      <c r="BV27">
        <v>0.5</v>
      </c>
      <c r="BW27" t="s">
        <v>281</v>
      </c>
      <c r="BX27">
        <v>1598208595.60323</v>
      </c>
      <c r="BY27">
        <v>780.80819354838695</v>
      </c>
      <c r="BZ27">
        <v>800.08403225806398</v>
      </c>
      <c r="CA27">
        <v>19.0100870967742</v>
      </c>
      <c r="CB27">
        <v>17.4249935483871</v>
      </c>
      <c r="CC27">
        <v>500.05577419354802</v>
      </c>
      <c r="CD27">
        <v>99.163193548387099</v>
      </c>
      <c r="CE27">
        <v>0.19997812903225801</v>
      </c>
      <c r="CF27">
        <v>26.1720516129032</v>
      </c>
      <c r="CG27">
        <v>26.9639290322581</v>
      </c>
      <c r="CH27">
        <v>999.9</v>
      </c>
      <c r="CI27">
        <v>10001.225806451601</v>
      </c>
      <c r="CJ27">
        <v>0</v>
      </c>
      <c r="CK27">
        <v>89.980432258064496</v>
      </c>
      <c r="CL27">
        <v>2000.02193548387</v>
      </c>
      <c r="CM27">
        <v>0.97999664516129004</v>
      </c>
      <c r="CN27">
        <v>2.0003561290322599E-2</v>
      </c>
      <c r="CO27">
        <v>0</v>
      </c>
      <c r="CP27">
        <v>280.70474193548398</v>
      </c>
      <c r="CQ27">
        <v>5.00054</v>
      </c>
      <c r="CR27">
        <v>7132.3612903225803</v>
      </c>
      <c r="CS27">
        <v>18703.829032258102</v>
      </c>
      <c r="CT27">
        <v>47.836451612903197</v>
      </c>
      <c r="CU27">
        <v>49.469516129032201</v>
      </c>
      <c r="CV27">
        <v>48.2195161290323</v>
      </c>
      <c r="CW27">
        <v>48.662999999999997</v>
      </c>
      <c r="CX27">
        <v>49.265935483870997</v>
      </c>
      <c r="CY27">
        <v>1955.11193548387</v>
      </c>
      <c r="CZ27">
        <v>39.909999999999997</v>
      </c>
      <c r="DA27">
        <v>0</v>
      </c>
      <c r="DB27">
        <v>145.89999985694899</v>
      </c>
      <c r="DC27">
        <v>280.721269230769</v>
      </c>
      <c r="DD27">
        <v>-1.7018461501406801</v>
      </c>
      <c r="DE27">
        <v>199.677607303244</v>
      </c>
      <c r="DF27">
        <v>7132.8065384615402</v>
      </c>
      <c r="DG27">
        <v>15</v>
      </c>
      <c r="DH27">
        <v>1598208629.5999999</v>
      </c>
      <c r="DI27" t="s">
        <v>338</v>
      </c>
      <c r="DJ27">
        <v>71</v>
      </c>
      <c r="DK27">
        <v>-0.28299999999999997</v>
      </c>
      <c r="DL27">
        <v>0.11799999999999999</v>
      </c>
      <c r="DM27">
        <v>800</v>
      </c>
      <c r="DN27">
        <v>17</v>
      </c>
      <c r="DO27">
        <v>0.11</v>
      </c>
      <c r="DP27">
        <v>0.06</v>
      </c>
      <c r="DQ27">
        <v>780.82878181818205</v>
      </c>
      <c r="DR27">
        <v>0.40348915607583902</v>
      </c>
      <c r="DS27">
        <v>5.7588411368667797E-2</v>
      </c>
      <c r="DT27">
        <v>0</v>
      </c>
      <c r="DU27">
        <v>19.013660000000002</v>
      </c>
      <c r="DV27">
        <v>-9.7348214733048902E-2</v>
      </c>
      <c r="DW27">
        <v>1.9503590345462798E-2</v>
      </c>
      <c r="DX27">
        <v>1</v>
      </c>
      <c r="DY27">
        <v>1</v>
      </c>
      <c r="DZ27">
        <v>2</v>
      </c>
      <c r="EA27" t="s">
        <v>283</v>
      </c>
      <c r="EB27">
        <v>1.8667499999999999</v>
      </c>
      <c r="EC27">
        <v>1.8632500000000001</v>
      </c>
      <c r="ED27">
        <v>1.8689</v>
      </c>
      <c r="EE27">
        <v>1.8667800000000001</v>
      </c>
      <c r="EF27">
        <v>1.8714900000000001</v>
      </c>
      <c r="EG27">
        <v>1.8639699999999999</v>
      </c>
      <c r="EH27">
        <v>1.86554</v>
      </c>
      <c r="EI27">
        <v>1.8653900000000001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-0.28299999999999997</v>
      </c>
      <c r="EX27">
        <v>0.11799999999999999</v>
      </c>
      <c r="EY27">
        <v>2</v>
      </c>
      <c r="EZ27">
        <v>330.048</v>
      </c>
      <c r="FA27">
        <v>464.54700000000003</v>
      </c>
      <c r="FB27">
        <v>21.4283</v>
      </c>
      <c r="FC27">
        <v>36.051499999999997</v>
      </c>
      <c r="FD27">
        <v>29.9999</v>
      </c>
      <c r="FE27">
        <v>36.056899999999999</v>
      </c>
      <c r="FF27">
        <v>36.052300000000002</v>
      </c>
      <c r="FG27">
        <v>38.4405</v>
      </c>
      <c r="FH27">
        <v>55.359699999999997</v>
      </c>
      <c r="FI27">
        <v>0</v>
      </c>
      <c r="FJ27">
        <v>21.4255</v>
      </c>
      <c r="FK27">
        <v>800</v>
      </c>
      <c r="FL27">
        <v>17.371200000000002</v>
      </c>
      <c r="FM27">
        <v>100.358</v>
      </c>
      <c r="FN27">
        <v>100.83</v>
      </c>
    </row>
    <row r="28" spans="1:170" x14ac:dyDescent="0.25">
      <c r="A28">
        <v>12</v>
      </c>
      <c r="B28">
        <v>1598208751.0999999</v>
      </c>
      <c r="C28">
        <v>1451.1999998092699</v>
      </c>
      <c r="D28" t="s">
        <v>339</v>
      </c>
      <c r="E28" t="s">
        <v>340</v>
      </c>
      <c r="G28">
        <v>1598208743.0999999</v>
      </c>
      <c r="H28">
        <f t="shared" si="0"/>
        <v>3.5610803197281852E-3</v>
      </c>
      <c r="I28">
        <f t="shared" si="1"/>
        <v>48.096110533255562</v>
      </c>
      <c r="J28">
        <f t="shared" si="2"/>
        <v>979.449677419355</v>
      </c>
      <c r="K28">
        <f t="shared" si="3"/>
        <v>580.54142570294221</v>
      </c>
      <c r="L28">
        <f t="shared" si="4"/>
        <v>57.683040490396444</v>
      </c>
      <c r="M28">
        <f t="shared" si="5"/>
        <v>97.318869764507923</v>
      </c>
      <c r="N28">
        <f t="shared" si="6"/>
        <v>0.21007604651067627</v>
      </c>
      <c r="O28">
        <f t="shared" si="7"/>
        <v>3.3770924637682103</v>
      </c>
      <c r="P28">
        <f t="shared" si="8"/>
        <v>0.20307679802323089</v>
      </c>
      <c r="Q28">
        <f t="shared" si="9"/>
        <v>0.12753242662315761</v>
      </c>
      <c r="R28">
        <f t="shared" si="10"/>
        <v>321.43982047815075</v>
      </c>
      <c r="S28">
        <f t="shared" si="11"/>
        <v>27.035710204025449</v>
      </c>
      <c r="T28">
        <f t="shared" si="12"/>
        <v>27.005525806451601</v>
      </c>
      <c r="U28">
        <f t="shared" si="13"/>
        <v>3.5803214531757703</v>
      </c>
      <c r="V28">
        <f t="shared" si="14"/>
        <v>55.277372643611486</v>
      </c>
      <c r="W28">
        <f t="shared" si="15"/>
        <v>1.8858942536706618</v>
      </c>
      <c r="X28">
        <f t="shared" si="16"/>
        <v>3.411693001093854</v>
      </c>
      <c r="Y28">
        <f t="shared" si="17"/>
        <v>1.6944271995051086</v>
      </c>
      <c r="Z28">
        <f t="shared" si="18"/>
        <v>-157.04364210001296</v>
      </c>
      <c r="AA28">
        <f t="shared" si="19"/>
        <v>-149.1013259314721</v>
      </c>
      <c r="AB28">
        <f t="shared" si="20"/>
        <v>-9.4898389782749231</v>
      </c>
      <c r="AC28">
        <f t="shared" si="21"/>
        <v>5.8050134683907686</v>
      </c>
      <c r="AD28">
        <v>-4.10931782890743E-2</v>
      </c>
      <c r="AE28">
        <v>4.6130692589623802E-2</v>
      </c>
      <c r="AF28">
        <v>3.4492037917452598</v>
      </c>
      <c r="AG28">
        <v>151</v>
      </c>
      <c r="AH28">
        <v>30</v>
      </c>
      <c r="AI28">
        <f t="shared" si="22"/>
        <v>1</v>
      </c>
      <c r="AJ28">
        <f t="shared" si="23"/>
        <v>0</v>
      </c>
      <c r="AK28">
        <f t="shared" si="24"/>
        <v>52544.140685871535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341</v>
      </c>
      <c r="AS28">
        <v>280.77415384615398</v>
      </c>
      <c r="AT28">
        <v>422.495</v>
      </c>
      <c r="AU28">
        <f t="shared" si="27"/>
        <v>0.33543792507330505</v>
      </c>
      <c r="AV28">
        <v>0.5</v>
      </c>
      <c r="AW28">
        <f t="shared" si="28"/>
        <v>1681.1940770960766</v>
      </c>
      <c r="AX28">
        <f t="shared" si="29"/>
        <v>48.096110533255562</v>
      </c>
      <c r="AY28">
        <f t="shared" si="30"/>
        <v>281.96812643331901</v>
      </c>
      <c r="AZ28">
        <f t="shared" si="31"/>
        <v>0.56638540101066293</v>
      </c>
      <c r="BA28">
        <f t="shared" si="32"/>
        <v>2.9203118903475548E-2</v>
      </c>
      <c r="BB28">
        <f t="shared" si="33"/>
        <v>-1</v>
      </c>
      <c r="BC28" t="s">
        <v>342</v>
      </c>
      <c r="BD28">
        <v>183.2</v>
      </c>
      <c r="BE28">
        <f t="shared" si="34"/>
        <v>239.29500000000002</v>
      </c>
      <c r="BF28">
        <f t="shared" si="35"/>
        <v>0.5922432401589921</v>
      </c>
      <c r="BG28">
        <f t="shared" si="36"/>
        <v>2.3061954148471617</v>
      </c>
      <c r="BH28">
        <f t="shared" si="37"/>
        <v>0.33543792507330505</v>
      </c>
      <c r="BI28" t="e">
        <f t="shared" si="38"/>
        <v>#DIV/0!</v>
      </c>
      <c r="BJ28">
        <v>6645</v>
      </c>
      <c r="BK28">
        <v>300</v>
      </c>
      <c r="BL28">
        <v>300</v>
      </c>
      <c r="BM28">
        <v>300</v>
      </c>
      <c r="BN28">
        <v>9874.02</v>
      </c>
      <c r="BO28">
        <v>384.149</v>
      </c>
      <c r="BP28">
        <v>-6.5678999999999998E-3</v>
      </c>
      <c r="BQ28">
        <v>1.5506599999999999</v>
      </c>
      <c r="BR28">
        <f t="shared" si="39"/>
        <v>1999.9961290322599</v>
      </c>
      <c r="BS28">
        <f t="shared" si="40"/>
        <v>1681.1940770960766</v>
      </c>
      <c r="BT28">
        <f t="shared" si="41"/>
        <v>0.84059866551319662</v>
      </c>
      <c r="BU28">
        <f t="shared" si="42"/>
        <v>0.19119733102639355</v>
      </c>
      <c r="BV28">
        <v>0.5</v>
      </c>
      <c r="BW28" t="s">
        <v>281</v>
      </c>
      <c r="BX28">
        <v>1598208743.0999999</v>
      </c>
      <c r="BY28">
        <v>979.449677419355</v>
      </c>
      <c r="BZ28">
        <v>1000.08138709677</v>
      </c>
      <c r="CA28">
        <v>18.980270967741902</v>
      </c>
      <c r="CB28">
        <v>17.5830032258065</v>
      </c>
      <c r="CC28">
        <v>500.045903225806</v>
      </c>
      <c r="CD28">
        <v>99.160774193548406</v>
      </c>
      <c r="CE28">
        <v>0.19999135483871</v>
      </c>
      <c r="CF28">
        <v>26.186583870967699</v>
      </c>
      <c r="CG28">
        <v>27.005525806451601</v>
      </c>
      <c r="CH28">
        <v>999.9</v>
      </c>
      <c r="CI28">
        <v>9993.6893548387106</v>
      </c>
      <c r="CJ28">
        <v>0</v>
      </c>
      <c r="CK28">
        <v>84.068612903225798</v>
      </c>
      <c r="CL28">
        <v>1999.9961290322599</v>
      </c>
      <c r="CM28">
        <v>0.97999425806451601</v>
      </c>
      <c r="CN28">
        <v>2.0005909677419401E-2</v>
      </c>
      <c r="CO28">
        <v>0</v>
      </c>
      <c r="CP28">
        <v>280.82464516128999</v>
      </c>
      <c r="CQ28">
        <v>5.00054</v>
      </c>
      <c r="CR28">
        <v>7131.9019354838701</v>
      </c>
      <c r="CS28">
        <v>18703.567741935502</v>
      </c>
      <c r="CT28">
        <v>47.539967741935499</v>
      </c>
      <c r="CU28">
        <v>49.162999999999997</v>
      </c>
      <c r="CV28">
        <v>47.937129032257999</v>
      </c>
      <c r="CW28">
        <v>48.3223548387097</v>
      </c>
      <c r="CX28">
        <v>48.987612903225802</v>
      </c>
      <c r="CY28">
        <v>1955.08516129032</v>
      </c>
      <c r="CZ28">
        <v>39.910967741935501</v>
      </c>
      <c r="DA28">
        <v>0</v>
      </c>
      <c r="DB28">
        <v>147.09999990463299</v>
      </c>
      <c r="DC28">
        <v>280.77415384615398</v>
      </c>
      <c r="DD28">
        <v>-2.93688887213768</v>
      </c>
      <c r="DE28">
        <v>157.12717919954301</v>
      </c>
      <c r="DF28">
        <v>7133.9596153846196</v>
      </c>
      <c r="DG28">
        <v>15</v>
      </c>
      <c r="DH28">
        <v>1598208784.2</v>
      </c>
      <c r="DI28" t="s">
        <v>343</v>
      </c>
      <c r="DJ28">
        <v>72</v>
      </c>
      <c r="DK28">
        <v>0.189</v>
      </c>
      <c r="DL28">
        <v>0.121</v>
      </c>
      <c r="DM28">
        <v>1000</v>
      </c>
      <c r="DN28">
        <v>17</v>
      </c>
      <c r="DO28">
        <v>0.32</v>
      </c>
      <c r="DP28">
        <v>0.08</v>
      </c>
      <c r="DQ28">
        <v>978.90489090909102</v>
      </c>
      <c r="DR28">
        <v>0.67829771156806196</v>
      </c>
      <c r="DS28">
        <v>9.82082523337314E-2</v>
      </c>
      <c r="DT28">
        <v>0</v>
      </c>
      <c r="DU28">
        <v>18.9772909090909</v>
      </c>
      <c r="DV28">
        <v>-7.8600590851118802E-3</v>
      </c>
      <c r="DW28">
        <v>2.1836485504163599E-2</v>
      </c>
      <c r="DX28">
        <v>1</v>
      </c>
      <c r="DY28">
        <v>1</v>
      </c>
      <c r="DZ28">
        <v>2</v>
      </c>
      <c r="EA28" t="s">
        <v>283</v>
      </c>
      <c r="EB28">
        <v>1.8667499999999999</v>
      </c>
      <c r="EC28">
        <v>1.8632500000000001</v>
      </c>
      <c r="ED28">
        <v>1.8689</v>
      </c>
      <c r="EE28">
        <v>1.8667899999999999</v>
      </c>
      <c r="EF28">
        <v>1.8714900000000001</v>
      </c>
      <c r="EG28">
        <v>1.8640099999999999</v>
      </c>
      <c r="EH28">
        <v>1.86554</v>
      </c>
      <c r="EI28">
        <v>1.8653900000000001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0.189</v>
      </c>
      <c r="EX28">
        <v>0.121</v>
      </c>
      <c r="EY28">
        <v>2</v>
      </c>
      <c r="EZ28">
        <v>331.65699999999998</v>
      </c>
      <c r="FA28">
        <v>466.596</v>
      </c>
      <c r="FB28">
        <v>21.5076</v>
      </c>
      <c r="FC28">
        <v>35.793500000000002</v>
      </c>
      <c r="FD28">
        <v>30.0001</v>
      </c>
      <c r="FE28">
        <v>35.884399999999999</v>
      </c>
      <c r="FF28">
        <v>35.891199999999998</v>
      </c>
      <c r="FG28">
        <v>46.046199999999999</v>
      </c>
      <c r="FH28">
        <v>54.871000000000002</v>
      </c>
      <c r="FI28">
        <v>0</v>
      </c>
      <c r="FJ28">
        <v>21.491800000000001</v>
      </c>
      <c r="FK28">
        <v>1000</v>
      </c>
      <c r="FL28">
        <v>17.5244</v>
      </c>
      <c r="FM28">
        <v>100.404</v>
      </c>
      <c r="FN28">
        <v>100.889</v>
      </c>
    </row>
    <row r="29" spans="1:170" x14ac:dyDescent="0.25">
      <c r="A29">
        <v>13</v>
      </c>
      <c r="B29">
        <v>1598208905.5999999</v>
      </c>
      <c r="C29">
        <v>1605.6999998092699</v>
      </c>
      <c r="D29" t="s">
        <v>344</v>
      </c>
      <c r="E29" t="s">
        <v>345</v>
      </c>
      <c r="G29">
        <v>1598208897.6064501</v>
      </c>
      <c r="H29">
        <f t="shared" si="0"/>
        <v>2.8855302696166275E-3</v>
      </c>
      <c r="I29">
        <f t="shared" si="1"/>
        <v>49.193167465546864</v>
      </c>
      <c r="J29">
        <f t="shared" si="2"/>
        <v>1178.9710967741901</v>
      </c>
      <c r="K29">
        <f t="shared" si="3"/>
        <v>666.17545092626631</v>
      </c>
      <c r="L29">
        <f t="shared" si="4"/>
        <v>66.187458740204661</v>
      </c>
      <c r="M29">
        <f t="shared" si="5"/>
        <v>117.13595977626683</v>
      </c>
      <c r="N29">
        <f t="shared" si="6"/>
        <v>0.16555980270092538</v>
      </c>
      <c r="O29">
        <f t="shared" si="7"/>
        <v>3.3796074809182142</v>
      </c>
      <c r="P29">
        <f t="shared" si="8"/>
        <v>0.16118248981530781</v>
      </c>
      <c r="Q29">
        <f t="shared" si="9"/>
        <v>0.10112270061778053</v>
      </c>
      <c r="R29">
        <f t="shared" si="10"/>
        <v>321.44116538058603</v>
      </c>
      <c r="S29">
        <f t="shared" si="11"/>
        <v>26.738894742094224</v>
      </c>
      <c r="T29">
        <f t="shared" si="12"/>
        <v>27.013035483871001</v>
      </c>
      <c r="U29">
        <f t="shared" si="13"/>
        <v>3.581900835591779</v>
      </c>
      <c r="V29">
        <f t="shared" si="14"/>
        <v>55.746228439068702</v>
      </c>
      <c r="W29">
        <f t="shared" si="15"/>
        <v>1.8518713716669111</v>
      </c>
      <c r="X29">
        <f t="shared" si="16"/>
        <v>3.3219671061532505</v>
      </c>
      <c r="Y29">
        <f t="shared" si="17"/>
        <v>1.7300294639248679</v>
      </c>
      <c r="Z29">
        <f t="shared" si="18"/>
        <v>-127.25188489009328</v>
      </c>
      <c r="AA29">
        <f t="shared" si="19"/>
        <v>-232.62005195800839</v>
      </c>
      <c r="AB29">
        <f t="shared" si="20"/>
        <v>-14.761797703527527</v>
      </c>
      <c r="AC29">
        <f t="shared" si="21"/>
        <v>-53.192569171043147</v>
      </c>
      <c r="AD29">
        <v>-4.1132053752756102E-2</v>
      </c>
      <c r="AE29">
        <v>4.61743337032842E-2</v>
      </c>
      <c r="AF29">
        <v>3.4517870285226699</v>
      </c>
      <c r="AG29">
        <v>149</v>
      </c>
      <c r="AH29">
        <v>30</v>
      </c>
      <c r="AI29">
        <f t="shared" si="22"/>
        <v>1</v>
      </c>
      <c r="AJ29">
        <f t="shared" si="23"/>
        <v>0</v>
      </c>
      <c r="AK29">
        <f t="shared" si="24"/>
        <v>52670.9479966164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346</v>
      </c>
      <c r="AS29">
        <v>279.36599999999999</v>
      </c>
      <c r="AT29">
        <v>414.73200000000003</v>
      </c>
      <c r="AU29">
        <f t="shared" si="27"/>
        <v>0.32639391221318836</v>
      </c>
      <c r="AV29">
        <v>0.5</v>
      </c>
      <c r="AW29">
        <f t="shared" si="28"/>
        <v>1681.2067254833439</v>
      </c>
      <c r="AX29">
        <f t="shared" si="29"/>
        <v>49.193167465546864</v>
      </c>
      <c r="AY29">
        <f t="shared" si="30"/>
        <v>274.3678201848162</v>
      </c>
      <c r="AZ29">
        <f t="shared" si="31"/>
        <v>0.56381470443563553</v>
      </c>
      <c r="BA29">
        <f t="shared" si="32"/>
        <v>2.9855440562264239E-2</v>
      </c>
      <c r="BB29">
        <f t="shared" si="33"/>
        <v>-1</v>
      </c>
      <c r="BC29" t="s">
        <v>347</v>
      </c>
      <c r="BD29">
        <v>180.9</v>
      </c>
      <c r="BE29">
        <f t="shared" si="34"/>
        <v>233.83200000000002</v>
      </c>
      <c r="BF29">
        <f t="shared" si="35"/>
        <v>0.57890280201170086</v>
      </c>
      <c r="BG29">
        <f t="shared" si="36"/>
        <v>2.292603648424544</v>
      </c>
      <c r="BH29">
        <f t="shared" si="37"/>
        <v>0.32639391221318836</v>
      </c>
      <c r="BI29" t="e">
        <f t="shared" si="38"/>
        <v>#DIV/0!</v>
      </c>
      <c r="BJ29">
        <v>6647</v>
      </c>
      <c r="BK29">
        <v>300</v>
      </c>
      <c r="BL29">
        <v>300</v>
      </c>
      <c r="BM29">
        <v>300</v>
      </c>
      <c r="BN29">
        <v>9875.0499999999993</v>
      </c>
      <c r="BO29">
        <v>378.07499999999999</v>
      </c>
      <c r="BP29">
        <v>-6.5687899999999997E-3</v>
      </c>
      <c r="BQ29">
        <v>1.75763</v>
      </c>
      <c r="BR29">
        <f t="shared" si="39"/>
        <v>2000.01193548387</v>
      </c>
      <c r="BS29">
        <f t="shared" si="40"/>
        <v>1681.2067254833439</v>
      </c>
      <c r="BT29">
        <f t="shared" si="41"/>
        <v>0.84059834626767038</v>
      </c>
      <c r="BU29">
        <f t="shared" si="42"/>
        <v>0.1911966925353408</v>
      </c>
      <c r="BV29">
        <v>0.5</v>
      </c>
      <c r="BW29" t="s">
        <v>281</v>
      </c>
      <c r="BX29">
        <v>1598208897.6064501</v>
      </c>
      <c r="BY29">
        <v>1178.9710967741901</v>
      </c>
      <c r="BZ29">
        <v>1200.00677419355</v>
      </c>
      <c r="CA29">
        <v>18.6390483870968</v>
      </c>
      <c r="CB29">
        <v>17.506477419354798</v>
      </c>
      <c r="CC29">
        <v>500.05638709677402</v>
      </c>
      <c r="CD29">
        <v>99.154387096774201</v>
      </c>
      <c r="CE29">
        <v>0.20000767741935499</v>
      </c>
      <c r="CF29">
        <v>25.7363161290323</v>
      </c>
      <c r="CG29">
        <v>27.013035483871001</v>
      </c>
      <c r="CH29">
        <v>999.9</v>
      </c>
      <c r="CI29">
        <v>10003.7880645161</v>
      </c>
      <c r="CJ29">
        <v>0</v>
      </c>
      <c r="CK29">
        <v>68.013983870967706</v>
      </c>
      <c r="CL29">
        <v>2000.01193548387</v>
      </c>
      <c r="CM29">
        <v>0.98000680645161298</v>
      </c>
      <c r="CN29">
        <v>1.9993267741935501E-2</v>
      </c>
      <c r="CO29">
        <v>0</v>
      </c>
      <c r="CP29">
        <v>279.36603225806499</v>
      </c>
      <c r="CQ29">
        <v>5.00054</v>
      </c>
      <c r="CR29">
        <v>6952.4835483871002</v>
      </c>
      <c r="CS29">
        <v>18703.7806451613</v>
      </c>
      <c r="CT29">
        <v>47.298096774193503</v>
      </c>
      <c r="CU29">
        <v>48.929000000000002</v>
      </c>
      <c r="CV29">
        <v>47.701225806451603</v>
      </c>
      <c r="CW29">
        <v>48.0401290322581</v>
      </c>
      <c r="CX29">
        <v>48.771999999999998</v>
      </c>
      <c r="CY29">
        <v>1955.1219354838699</v>
      </c>
      <c r="CZ29">
        <v>39.89</v>
      </c>
      <c r="DA29">
        <v>0</v>
      </c>
      <c r="DB29">
        <v>153.799999952316</v>
      </c>
      <c r="DC29">
        <v>279.36599999999999</v>
      </c>
      <c r="DD29">
        <v>-0.671658117793837</v>
      </c>
      <c r="DE29">
        <v>-115.07726499045</v>
      </c>
      <c r="DF29">
        <v>6951.2480769230797</v>
      </c>
      <c r="DG29">
        <v>15</v>
      </c>
      <c r="DH29">
        <v>1598208935.0999999</v>
      </c>
      <c r="DI29" t="s">
        <v>348</v>
      </c>
      <c r="DJ29">
        <v>73</v>
      </c>
      <c r="DK29">
        <v>0.153</v>
      </c>
      <c r="DL29">
        <v>0.11899999999999999</v>
      </c>
      <c r="DM29">
        <v>1200</v>
      </c>
      <c r="DN29">
        <v>17</v>
      </c>
      <c r="DO29">
        <v>0.28000000000000003</v>
      </c>
      <c r="DP29">
        <v>0.06</v>
      </c>
      <c r="DQ29">
        <v>1178.94036363636</v>
      </c>
      <c r="DR29">
        <v>0.63427894865622103</v>
      </c>
      <c r="DS29">
        <v>9.4541258648137894E-2</v>
      </c>
      <c r="DT29">
        <v>0</v>
      </c>
      <c r="DU29">
        <v>18.6886872727273</v>
      </c>
      <c r="DV29">
        <v>-0.43746629804918702</v>
      </c>
      <c r="DW29">
        <v>5.82325152987275E-2</v>
      </c>
      <c r="DX29">
        <v>0</v>
      </c>
      <c r="DY29">
        <v>0</v>
      </c>
      <c r="DZ29">
        <v>2</v>
      </c>
      <c r="EA29" t="s">
        <v>349</v>
      </c>
      <c r="EB29">
        <v>1.8666100000000001</v>
      </c>
      <c r="EC29">
        <v>1.86313</v>
      </c>
      <c r="ED29">
        <v>1.8688</v>
      </c>
      <c r="EE29">
        <v>1.86676</v>
      </c>
      <c r="EF29">
        <v>1.8713900000000001</v>
      </c>
      <c r="EG29">
        <v>1.8638600000000001</v>
      </c>
      <c r="EH29">
        <v>1.8654200000000001</v>
      </c>
      <c r="EI29">
        <v>1.86534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0.153</v>
      </c>
      <c r="EX29">
        <v>0.11899999999999999</v>
      </c>
      <c r="EY29">
        <v>2</v>
      </c>
      <c r="EZ29">
        <v>333.09800000000001</v>
      </c>
      <c r="FA29">
        <v>467.798</v>
      </c>
      <c r="FB29">
        <v>19.709900000000001</v>
      </c>
      <c r="FC29">
        <v>35.558500000000002</v>
      </c>
      <c r="FD29">
        <v>29.999400000000001</v>
      </c>
      <c r="FE29">
        <v>35.677</v>
      </c>
      <c r="FF29">
        <v>35.692</v>
      </c>
      <c r="FG29">
        <v>53.313299999999998</v>
      </c>
      <c r="FH29">
        <v>55.606999999999999</v>
      </c>
      <c r="FI29">
        <v>0</v>
      </c>
      <c r="FJ29">
        <v>20.7136</v>
      </c>
      <c r="FK29">
        <v>1200</v>
      </c>
      <c r="FL29">
        <v>17.246200000000002</v>
      </c>
      <c r="FM29">
        <v>100.443</v>
      </c>
      <c r="FN29">
        <v>100.938</v>
      </c>
    </row>
    <row r="30" spans="1:170" x14ac:dyDescent="0.25">
      <c r="A30">
        <v>14</v>
      </c>
      <c r="B30">
        <v>1598209056.5999999</v>
      </c>
      <c r="C30">
        <v>1756.6999998092699</v>
      </c>
      <c r="D30" t="s">
        <v>350</v>
      </c>
      <c r="E30" t="s">
        <v>351</v>
      </c>
      <c r="G30">
        <v>1598209048.60323</v>
      </c>
      <c r="H30">
        <f t="shared" si="0"/>
        <v>2.3751128052470591E-3</v>
      </c>
      <c r="I30">
        <f t="shared" si="1"/>
        <v>51.483509210318736</v>
      </c>
      <c r="J30">
        <f t="shared" si="2"/>
        <v>1577.8757419354799</v>
      </c>
      <c r="K30">
        <f t="shared" si="3"/>
        <v>932.02352123753303</v>
      </c>
      <c r="L30">
        <f t="shared" si="4"/>
        <v>92.5908577751118</v>
      </c>
      <c r="M30">
        <f t="shared" si="5"/>
        <v>156.75234055720054</v>
      </c>
      <c r="N30">
        <f t="shared" si="6"/>
        <v>0.13753599805534666</v>
      </c>
      <c r="O30">
        <f t="shared" si="7"/>
        <v>3.3778471557263883</v>
      </c>
      <c r="P30">
        <f t="shared" si="8"/>
        <v>0.13449896041508105</v>
      </c>
      <c r="Q30">
        <f t="shared" si="9"/>
        <v>8.4329130418383733E-2</v>
      </c>
      <c r="R30">
        <f t="shared" si="10"/>
        <v>321.43970859488621</v>
      </c>
      <c r="S30">
        <f t="shared" si="11"/>
        <v>27.218139410639697</v>
      </c>
      <c r="T30">
        <f t="shared" si="12"/>
        <v>26.999738709677398</v>
      </c>
      <c r="U30">
        <f t="shared" si="13"/>
        <v>3.579104766546104</v>
      </c>
      <c r="V30">
        <f t="shared" si="14"/>
        <v>55.182241970962842</v>
      </c>
      <c r="W30">
        <f t="shared" si="15"/>
        <v>1.8729325965910002</v>
      </c>
      <c r="X30">
        <f t="shared" si="16"/>
        <v>3.3940857234045443</v>
      </c>
      <c r="Y30">
        <f t="shared" si="17"/>
        <v>1.7061721699551038</v>
      </c>
      <c r="Z30">
        <f t="shared" si="18"/>
        <v>-104.7424747113953</v>
      </c>
      <c r="AA30">
        <f t="shared" si="19"/>
        <v>-164.02155849973431</v>
      </c>
      <c r="AB30">
        <f t="shared" si="20"/>
        <v>-10.432261465769448</v>
      </c>
      <c r="AC30">
        <f t="shared" si="21"/>
        <v>42.243413917987169</v>
      </c>
      <c r="AD30">
        <v>-4.1104842455647703E-2</v>
      </c>
      <c r="AE30">
        <v>4.6143786638439502E-2</v>
      </c>
      <c r="AF30">
        <v>3.4499789522721001</v>
      </c>
      <c r="AG30">
        <v>149</v>
      </c>
      <c r="AH30">
        <v>30</v>
      </c>
      <c r="AI30">
        <f t="shared" si="22"/>
        <v>1</v>
      </c>
      <c r="AJ30">
        <f t="shared" si="23"/>
        <v>0</v>
      </c>
      <c r="AK30">
        <f t="shared" si="24"/>
        <v>52573.464356158613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352</v>
      </c>
      <c r="AS30">
        <v>277.12869230769201</v>
      </c>
      <c r="AT30">
        <v>401.22300000000001</v>
      </c>
      <c r="AU30">
        <f t="shared" si="27"/>
        <v>0.30929011470505929</v>
      </c>
      <c r="AV30">
        <v>0.5</v>
      </c>
      <c r="AW30">
        <f t="shared" si="28"/>
        <v>1681.1988867736593</v>
      </c>
      <c r="AX30">
        <f t="shared" si="29"/>
        <v>51.483509210318736</v>
      </c>
      <c r="AY30">
        <f t="shared" si="30"/>
        <v>259.98909826612152</v>
      </c>
      <c r="AZ30">
        <f t="shared" si="31"/>
        <v>0.55142152867607297</v>
      </c>
      <c r="BA30">
        <f t="shared" si="32"/>
        <v>3.1217906235376076E-2</v>
      </c>
      <c r="BB30">
        <f t="shared" si="33"/>
        <v>-1</v>
      </c>
      <c r="BC30" t="s">
        <v>353</v>
      </c>
      <c r="BD30">
        <v>179.98</v>
      </c>
      <c r="BE30">
        <f t="shared" si="34"/>
        <v>221.24300000000002</v>
      </c>
      <c r="BF30">
        <f t="shared" si="35"/>
        <v>0.56089597271917302</v>
      </c>
      <c r="BG30">
        <f t="shared" si="36"/>
        <v>2.2292643627069677</v>
      </c>
      <c r="BH30">
        <f t="shared" si="37"/>
        <v>0.30929011470505929</v>
      </c>
      <c r="BI30" t="e">
        <f t="shared" si="38"/>
        <v>#DIV/0!</v>
      </c>
      <c r="BJ30">
        <v>6649</v>
      </c>
      <c r="BK30">
        <v>300</v>
      </c>
      <c r="BL30">
        <v>300</v>
      </c>
      <c r="BM30">
        <v>300</v>
      </c>
      <c r="BN30">
        <v>9876.07</v>
      </c>
      <c r="BO30">
        <v>368.399</v>
      </c>
      <c r="BP30">
        <v>-6.5695399999999996E-3</v>
      </c>
      <c r="BQ30">
        <v>1.53522</v>
      </c>
      <c r="BR30">
        <f t="shared" si="39"/>
        <v>2000.0025806451599</v>
      </c>
      <c r="BS30">
        <f t="shared" si="40"/>
        <v>1681.1988867736593</v>
      </c>
      <c r="BT30">
        <f t="shared" si="41"/>
        <v>0.84059835874378663</v>
      </c>
      <c r="BU30">
        <f t="shared" si="42"/>
        <v>0.19119671748757339</v>
      </c>
      <c r="BV30">
        <v>0.5</v>
      </c>
      <c r="BW30" t="s">
        <v>281</v>
      </c>
      <c r="BX30">
        <v>1598209048.60323</v>
      </c>
      <c r="BY30">
        <v>1577.8757419354799</v>
      </c>
      <c r="BZ30">
        <v>1599.96548387097</v>
      </c>
      <c r="CA30">
        <v>18.8530193548387</v>
      </c>
      <c r="CB30">
        <v>17.920999999999999</v>
      </c>
      <c r="CC30">
        <v>500.061451612903</v>
      </c>
      <c r="CD30">
        <v>99.143912903225797</v>
      </c>
      <c r="CE30">
        <v>0.19999383870967699</v>
      </c>
      <c r="CF30">
        <v>26.099048387096801</v>
      </c>
      <c r="CG30">
        <v>26.999738709677398</v>
      </c>
      <c r="CH30">
        <v>999.9</v>
      </c>
      <c r="CI30">
        <v>9998.2261290322604</v>
      </c>
      <c r="CJ30">
        <v>0</v>
      </c>
      <c r="CK30">
        <v>48.850232258064501</v>
      </c>
      <c r="CL30">
        <v>2000.0025806451599</v>
      </c>
      <c r="CM30">
        <v>0.98000419354838697</v>
      </c>
      <c r="CN30">
        <v>1.99955322580645E-2</v>
      </c>
      <c r="CO30">
        <v>0</v>
      </c>
      <c r="CP30">
        <v>277.099774193548</v>
      </c>
      <c r="CQ30">
        <v>5.00054</v>
      </c>
      <c r="CR30">
        <v>6893.4019354838701</v>
      </c>
      <c r="CS30">
        <v>18703.664516129</v>
      </c>
      <c r="CT30">
        <v>46.9958064516129</v>
      </c>
      <c r="CU30">
        <v>48.608741935483899</v>
      </c>
      <c r="CV30">
        <v>47.417000000000002</v>
      </c>
      <c r="CW30">
        <v>47.723580645161299</v>
      </c>
      <c r="CX30">
        <v>48.491806451612902</v>
      </c>
      <c r="CY30">
        <v>1955.11193548387</v>
      </c>
      <c r="CZ30">
        <v>39.890645161290301</v>
      </c>
      <c r="DA30">
        <v>0</v>
      </c>
      <c r="DB30">
        <v>150.59999990463299</v>
      </c>
      <c r="DC30">
        <v>277.12869230769201</v>
      </c>
      <c r="DD30">
        <v>-0.20929914936493499</v>
      </c>
      <c r="DE30">
        <v>-151.574358555104</v>
      </c>
      <c r="DF30">
        <v>6894.1296153846197</v>
      </c>
      <c r="DG30">
        <v>15</v>
      </c>
      <c r="DH30">
        <v>1598209087.0999999</v>
      </c>
      <c r="DI30" t="s">
        <v>354</v>
      </c>
      <c r="DJ30">
        <v>74</v>
      </c>
      <c r="DK30">
        <v>5.0999999999999997E-2</v>
      </c>
      <c r="DL30">
        <v>0.13</v>
      </c>
      <c r="DM30">
        <v>1600</v>
      </c>
      <c r="DN30">
        <v>18</v>
      </c>
      <c r="DO30">
        <v>0.3</v>
      </c>
      <c r="DP30">
        <v>0.1</v>
      </c>
      <c r="DQ30">
        <v>1577.97381818182</v>
      </c>
      <c r="DR30">
        <v>0.14211556306229101</v>
      </c>
      <c r="DS30">
        <v>7.3842360572187599E-2</v>
      </c>
      <c r="DT30">
        <v>1</v>
      </c>
      <c r="DU30">
        <v>18.793638181818199</v>
      </c>
      <c r="DV30">
        <v>0.44595833110262201</v>
      </c>
      <c r="DW30">
        <v>5.9436867930784197E-2</v>
      </c>
      <c r="DX30">
        <v>0</v>
      </c>
      <c r="DY30">
        <v>1</v>
      </c>
      <c r="DZ30">
        <v>2</v>
      </c>
      <c r="EA30" t="s">
        <v>283</v>
      </c>
      <c r="EB30">
        <v>1.8667400000000001</v>
      </c>
      <c r="EC30">
        <v>1.86324</v>
      </c>
      <c r="ED30">
        <v>1.8689</v>
      </c>
      <c r="EE30">
        <v>1.8668100000000001</v>
      </c>
      <c r="EF30">
        <v>1.8714900000000001</v>
      </c>
      <c r="EG30">
        <v>1.86398</v>
      </c>
      <c r="EH30">
        <v>1.86554</v>
      </c>
      <c r="EI30">
        <v>1.8654200000000001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5.0999999999999997E-2</v>
      </c>
      <c r="EX30">
        <v>0.13</v>
      </c>
      <c r="EY30">
        <v>2</v>
      </c>
      <c r="EZ30">
        <v>333.75599999999997</v>
      </c>
      <c r="FA30">
        <v>469.61200000000002</v>
      </c>
      <c r="FB30">
        <v>20.8901</v>
      </c>
      <c r="FC30">
        <v>35.3001</v>
      </c>
      <c r="FD30">
        <v>29.997499999999999</v>
      </c>
      <c r="FE30">
        <v>35.451099999999997</v>
      </c>
      <c r="FF30">
        <v>35.469299999999997</v>
      </c>
      <c r="FG30">
        <v>67.058099999999996</v>
      </c>
      <c r="FH30">
        <v>52.931699999999999</v>
      </c>
      <c r="FI30">
        <v>0</v>
      </c>
      <c r="FJ30">
        <v>21.201899999999998</v>
      </c>
      <c r="FK30">
        <v>1600</v>
      </c>
      <c r="FL30">
        <v>17.856200000000001</v>
      </c>
      <c r="FM30">
        <v>100.492</v>
      </c>
      <c r="FN30">
        <v>100.999</v>
      </c>
    </row>
    <row r="31" spans="1:170" x14ac:dyDescent="0.25">
      <c r="A31">
        <v>15</v>
      </c>
      <c r="B31">
        <v>1598209178.7</v>
      </c>
      <c r="C31">
        <v>1878.7999999523199</v>
      </c>
      <c r="D31" t="s">
        <v>355</v>
      </c>
      <c r="E31" t="s">
        <v>356</v>
      </c>
      <c r="G31">
        <v>1598209170.6677401</v>
      </c>
      <c r="H31">
        <f t="shared" si="0"/>
        <v>2.4781180109116883E-3</v>
      </c>
      <c r="I31">
        <f t="shared" si="1"/>
        <v>51.725779764316222</v>
      </c>
      <c r="J31">
        <f t="shared" si="2"/>
        <v>1777.4776774193499</v>
      </c>
      <c r="K31">
        <f t="shared" si="3"/>
        <v>1143.6485973840929</v>
      </c>
      <c r="L31">
        <f t="shared" si="4"/>
        <v>113.60415224507592</v>
      </c>
      <c r="M31">
        <f t="shared" si="5"/>
        <v>176.56546349958427</v>
      </c>
      <c r="N31">
        <f t="shared" si="6"/>
        <v>0.142509351470965</v>
      </c>
      <c r="O31">
        <f t="shared" si="7"/>
        <v>3.3781627879014171</v>
      </c>
      <c r="P31">
        <f t="shared" si="8"/>
        <v>0.13925180144642646</v>
      </c>
      <c r="Q31">
        <f t="shared" si="9"/>
        <v>8.7318851918417054E-2</v>
      </c>
      <c r="R31">
        <f t="shared" si="10"/>
        <v>321.43956938774335</v>
      </c>
      <c r="S31">
        <f t="shared" si="11"/>
        <v>27.129919277233149</v>
      </c>
      <c r="T31">
        <f t="shared" si="12"/>
        <v>27.006070967741898</v>
      </c>
      <c r="U31">
        <f t="shared" si="13"/>
        <v>3.5804360871882839</v>
      </c>
      <c r="V31">
        <f t="shared" si="14"/>
        <v>55.04377550270376</v>
      </c>
      <c r="W31">
        <f t="shared" si="15"/>
        <v>1.8610968966134125</v>
      </c>
      <c r="X31">
        <f t="shared" si="16"/>
        <v>3.3811214430994019</v>
      </c>
      <c r="Y31">
        <f t="shared" si="17"/>
        <v>1.7193391905748714</v>
      </c>
      <c r="Z31">
        <f t="shared" si="18"/>
        <v>-109.28500428120546</v>
      </c>
      <c r="AA31">
        <f t="shared" si="19"/>
        <v>-176.9747042822714</v>
      </c>
      <c r="AB31">
        <f t="shared" si="20"/>
        <v>-11.251783093952971</v>
      </c>
      <c r="AC31">
        <f t="shared" si="21"/>
        <v>23.928077730313532</v>
      </c>
      <c r="AD31">
        <v>-4.1109721065004101E-2</v>
      </c>
      <c r="AE31">
        <v>4.6149263304831802E-2</v>
      </c>
      <c r="AF31">
        <v>3.4503031455517701</v>
      </c>
      <c r="AG31">
        <v>0</v>
      </c>
      <c r="AH31">
        <v>0</v>
      </c>
      <c r="AI31">
        <f t="shared" si="22"/>
        <v>1</v>
      </c>
      <c r="AJ31">
        <f t="shared" si="23"/>
        <v>0</v>
      </c>
      <c r="AK31">
        <f t="shared" si="24"/>
        <v>52590.63013444531</v>
      </c>
      <c r="AL31">
        <v>0</v>
      </c>
      <c r="AM31">
        <v>0</v>
      </c>
      <c r="AN31">
        <v>0</v>
      </c>
      <c r="AO31">
        <f t="shared" si="25"/>
        <v>0</v>
      </c>
      <c r="AP31" t="e">
        <f t="shared" si="26"/>
        <v>#DIV/0!</v>
      </c>
      <c r="AQ31">
        <v>-1</v>
      </c>
      <c r="AR31" t="s">
        <v>357</v>
      </c>
      <c r="AS31">
        <v>276.04757692307697</v>
      </c>
      <c r="AT31">
        <v>391.23899999999998</v>
      </c>
      <c r="AU31">
        <f t="shared" si="27"/>
        <v>0.29442725054742247</v>
      </c>
      <c r="AV31">
        <v>0.5</v>
      </c>
      <c r="AW31">
        <f t="shared" si="28"/>
        <v>1681.1983254833422</v>
      </c>
      <c r="AX31">
        <f t="shared" si="29"/>
        <v>51.725779764316222</v>
      </c>
      <c r="AY31">
        <f t="shared" si="30"/>
        <v>247.49530029849555</v>
      </c>
      <c r="AZ31">
        <f t="shared" si="31"/>
        <v>0.53910525279943977</v>
      </c>
      <c r="BA31">
        <f t="shared" si="32"/>
        <v>3.1362022531849498E-2</v>
      </c>
      <c r="BB31">
        <f t="shared" si="33"/>
        <v>-1</v>
      </c>
      <c r="BC31" t="s">
        <v>358</v>
      </c>
      <c r="BD31">
        <v>180.32</v>
      </c>
      <c r="BE31">
        <f t="shared" si="34"/>
        <v>210.91899999999998</v>
      </c>
      <c r="BF31">
        <f t="shared" si="35"/>
        <v>0.54614057091548418</v>
      </c>
      <c r="BG31">
        <f t="shared" si="36"/>
        <v>2.1696927684117124</v>
      </c>
      <c r="BH31">
        <f t="shared" si="37"/>
        <v>0.29442725054742241</v>
      </c>
      <c r="BI31" t="e">
        <f t="shared" si="38"/>
        <v>#DIV/0!</v>
      </c>
      <c r="BJ31">
        <v>6651</v>
      </c>
      <c r="BK31">
        <v>300</v>
      </c>
      <c r="BL31">
        <v>300</v>
      </c>
      <c r="BM31">
        <v>300</v>
      </c>
      <c r="BN31">
        <v>9876.4599999999991</v>
      </c>
      <c r="BO31">
        <v>363.30200000000002</v>
      </c>
      <c r="BP31">
        <v>-6.5700200000000002E-3</v>
      </c>
      <c r="BQ31">
        <v>2.0889600000000002</v>
      </c>
      <c r="BR31">
        <f t="shared" si="39"/>
        <v>2000.0019354838701</v>
      </c>
      <c r="BS31">
        <f t="shared" si="40"/>
        <v>1681.1983254833422</v>
      </c>
      <c r="BT31">
        <f t="shared" si="41"/>
        <v>0.84059834925939803</v>
      </c>
      <c r="BU31">
        <f t="shared" si="42"/>
        <v>0.19119669851879606</v>
      </c>
      <c r="BV31">
        <v>0.5</v>
      </c>
      <c r="BW31" t="s">
        <v>281</v>
      </c>
      <c r="BX31">
        <v>1598209170.6677401</v>
      </c>
      <c r="BY31">
        <v>1777.4776774193499</v>
      </c>
      <c r="BZ31">
        <v>1799.9274193548399</v>
      </c>
      <c r="CA31">
        <v>18.735590322580599</v>
      </c>
      <c r="CB31">
        <v>17.763022580645199</v>
      </c>
      <c r="CC31">
        <v>500.05545161290303</v>
      </c>
      <c r="CD31">
        <v>99.134848387096795</v>
      </c>
      <c r="CE31">
        <v>0.19999319354838699</v>
      </c>
      <c r="CF31">
        <v>26.034341935483901</v>
      </c>
      <c r="CG31">
        <v>27.006070967741898</v>
      </c>
      <c r="CH31">
        <v>999.9</v>
      </c>
      <c r="CI31">
        <v>10000.327096774199</v>
      </c>
      <c r="CJ31">
        <v>0</v>
      </c>
      <c r="CK31">
        <v>65.198454838709694</v>
      </c>
      <c r="CL31">
        <v>2000.0019354838701</v>
      </c>
      <c r="CM31">
        <v>0.980003806451613</v>
      </c>
      <c r="CN31">
        <v>1.9995951612903198E-2</v>
      </c>
      <c r="CO31">
        <v>0</v>
      </c>
      <c r="CP31">
        <v>276.055580645161</v>
      </c>
      <c r="CQ31">
        <v>5.00054</v>
      </c>
      <c r="CR31">
        <v>6956.8570967741898</v>
      </c>
      <c r="CS31">
        <v>18703.664516129</v>
      </c>
      <c r="CT31">
        <v>46.872838709677403</v>
      </c>
      <c r="CU31">
        <v>48.395000000000003</v>
      </c>
      <c r="CV31">
        <v>47.245870967741901</v>
      </c>
      <c r="CW31">
        <v>47.586387096774203</v>
      </c>
      <c r="CX31">
        <v>48.332322580645098</v>
      </c>
      <c r="CY31">
        <v>1955.11193548387</v>
      </c>
      <c r="CZ31">
        <v>39.89</v>
      </c>
      <c r="DA31">
        <v>0</v>
      </c>
      <c r="DB31">
        <v>121.39999985694899</v>
      </c>
      <c r="DC31">
        <v>276.04757692307697</v>
      </c>
      <c r="DD31">
        <v>-0.70847862942793705</v>
      </c>
      <c r="DE31">
        <v>-369.578119794175</v>
      </c>
      <c r="DF31">
        <v>6953.5838461538497</v>
      </c>
      <c r="DG31">
        <v>15</v>
      </c>
      <c r="DH31">
        <v>1598209204.2</v>
      </c>
      <c r="DI31" t="s">
        <v>359</v>
      </c>
      <c r="DJ31">
        <v>75</v>
      </c>
      <c r="DK31">
        <v>0.26900000000000002</v>
      </c>
      <c r="DL31">
        <v>0.13100000000000001</v>
      </c>
      <c r="DM31">
        <v>1800</v>
      </c>
      <c r="DN31">
        <v>18</v>
      </c>
      <c r="DO31">
        <v>0.41</v>
      </c>
      <c r="DP31">
        <v>0.12</v>
      </c>
      <c r="DQ31">
        <v>1777.2343636363601</v>
      </c>
      <c r="DR31">
        <v>0.28872487584740097</v>
      </c>
      <c r="DS31">
        <v>5.3521911786829003E-2</v>
      </c>
      <c r="DT31">
        <v>1</v>
      </c>
      <c r="DU31">
        <v>18.735721818181801</v>
      </c>
      <c r="DV31">
        <v>-1.4269089087146299E-2</v>
      </c>
      <c r="DW31">
        <v>3.4092756313589198E-3</v>
      </c>
      <c r="DX31">
        <v>1</v>
      </c>
      <c r="DY31">
        <v>2</v>
      </c>
      <c r="DZ31">
        <v>2</v>
      </c>
      <c r="EA31" t="s">
        <v>293</v>
      </c>
      <c r="EB31">
        <v>1.8667499999999999</v>
      </c>
      <c r="EC31">
        <v>1.86321</v>
      </c>
      <c r="ED31">
        <v>1.8689100000000001</v>
      </c>
      <c r="EE31">
        <v>1.86676</v>
      </c>
      <c r="EF31">
        <v>1.8714900000000001</v>
      </c>
      <c r="EG31">
        <v>1.86395</v>
      </c>
      <c r="EH31">
        <v>1.86554</v>
      </c>
      <c r="EI31">
        <v>1.8653900000000001</v>
      </c>
      <c r="EJ31" t="s">
        <v>284</v>
      </c>
      <c r="EK31" t="s">
        <v>19</v>
      </c>
      <c r="EL31" t="s">
        <v>19</v>
      </c>
      <c r="EM31" t="s">
        <v>19</v>
      </c>
      <c r="EN31" t="s">
        <v>285</v>
      </c>
      <c r="EO31" t="s">
        <v>286</v>
      </c>
      <c r="EP31" t="s">
        <v>287</v>
      </c>
      <c r="EQ31" t="s">
        <v>287</v>
      </c>
      <c r="ER31" t="s">
        <v>287</v>
      </c>
      <c r="ES31" t="s">
        <v>287</v>
      </c>
      <c r="ET31">
        <v>0</v>
      </c>
      <c r="EU31">
        <v>100</v>
      </c>
      <c r="EV31">
        <v>100</v>
      </c>
      <c r="EW31">
        <v>0.26900000000000002</v>
      </c>
      <c r="EX31">
        <v>0.13100000000000001</v>
      </c>
      <c r="EY31">
        <v>2</v>
      </c>
      <c r="EZ31">
        <v>512.76900000000001</v>
      </c>
      <c r="FA31">
        <v>478.24900000000002</v>
      </c>
      <c r="FB31">
        <v>21.101500000000001</v>
      </c>
      <c r="FC31">
        <v>35.087400000000002</v>
      </c>
      <c r="FD31">
        <v>29.999300000000002</v>
      </c>
      <c r="FE31">
        <v>35.256500000000003</v>
      </c>
      <c r="FF31">
        <v>35.279299999999999</v>
      </c>
      <c r="FG31">
        <v>73.535399999999996</v>
      </c>
      <c r="FH31">
        <v>52.718800000000002</v>
      </c>
      <c r="FI31">
        <v>0</v>
      </c>
      <c r="FJ31">
        <v>21.103999999999999</v>
      </c>
      <c r="FK31">
        <v>1800</v>
      </c>
      <c r="FL31">
        <v>17.852399999999999</v>
      </c>
      <c r="FM31">
        <v>100.52500000000001</v>
      </c>
      <c r="FN31">
        <v>101.039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2020-08-23T14:00:17Z</dcterms:created>
  <dcterms:modified xsi:type="dcterms:W3CDTF">2024-11-20T09:08:12Z</dcterms:modified>
</cp:coreProperties>
</file>