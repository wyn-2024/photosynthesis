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23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AZ31" i="1" s="1"/>
  <c r="BB31" i="1"/>
  <c r="AU31" i="1"/>
  <c r="AO31" i="1"/>
  <c r="AP31" i="1" s="1"/>
  <c r="AK31" i="1"/>
  <c r="AI31" i="1"/>
  <c r="H31" i="1" s="1"/>
  <c r="X31" i="1"/>
  <c r="W31" i="1"/>
  <c r="V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BB28" i="1"/>
  <c r="AZ28" i="1"/>
  <c r="AU28" i="1"/>
  <c r="AP28" i="1"/>
  <c r="AO28" i="1"/>
  <c r="AK28" i="1"/>
  <c r="AI28" i="1"/>
  <c r="J28" i="1" s="1"/>
  <c r="X28" i="1"/>
  <c r="W28" i="1"/>
  <c r="V28" i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X27" i="1"/>
  <c r="W27" i="1"/>
  <c r="V27" i="1"/>
  <c r="O27" i="1"/>
  <c r="BU26" i="1"/>
  <c r="R26" i="1" s="1"/>
  <c r="BT26" i="1"/>
  <c r="BS26" i="1"/>
  <c r="BR26" i="1"/>
  <c r="BI26" i="1"/>
  <c r="BH26" i="1"/>
  <c r="BG26" i="1"/>
  <c r="BF26" i="1"/>
  <c r="BE26" i="1"/>
  <c r="AZ26" i="1" s="1"/>
  <c r="BB26" i="1"/>
  <c r="AW26" i="1"/>
  <c r="AU26" i="1"/>
  <c r="AY26" i="1" s="1"/>
  <c r="AO26" i="1"/>
  <c r="AP26" i="1" s="1"/>
  <c r="AK26" i="1"/>
  <c r="AI26" i="1"/>
  <c r="H26" i="1" s="1"/>
  <c r="X26" i="1"/>
  <c r="V26" i="1" s="1"/>
  <c r="W26" i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AJ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I22" i="1" s="1"/>
  <c r="AX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AZ21" i="1" s="1"/>
  <c r="BB21" i="1"/>
  <c r="AU21" i="1"/>
  <c r="AO21" i="1"/>
  <c r="AP21" i="1" s="1"/>
  <c r="AK21" i="1"/>
  <c r="AI21" i="1"/>
  <c r="AJ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O17" i="1"/>
  <c r="AP17" i="1" s="1"/>
  <c r="AK17" i="1"/>
  <c r="AI17" i="1"/>
  <c r="I17" i="1" s="1"/>
  <c r="AX17" i="1" s="1"/>
  <c r="X17" i="1"/>
  <c r="W17" i="1"/>
  <c r="V17" i="1"/>
  <c r="O17" i="1"/>
  <c r="R22" i="1" l="1"/>
  <c r="AW22" i="1"/>
  <c r="AW29" i="1"/>
  <c r="R29" i="1"/>
  <c r="BA22" i="1"/>
  <c r="AY31" i="1"/>
  <c r="AW24" i="1"/>
  <c r="AY24" i="1" s="1"/>
  <c r="R24" i="1"/>
  <c r="R20" i="1"/>
  <c r="AW20" i="1"/>
  <c r="AY20" i="1" s="1"/>
  <c r="AW19" i="1"/>
  <c r="AY19" i="1" s="1"/>
  <c r="R19" i="1"/>
  <c r="H24" i="1"/>
  <c r="AJ24" i="1"/>
  <c r="M24" i="1"/>
  <c r="I24" i="1"/>
  <c r="AX24" i="1" s="1"/>
  <c r="BA24" i="1" s="1"/>
  <c r="J24" i="1"/>
  <c r="Z31" i="1"/>
  <c r="Z26" i="1"/>
  <c r="I18" i="1"/>
  <c r="AX18" i="1" s="1"/>
  <c r="H18" i="1"/>
  <c r="J18" i="1"/>
  <c r="AJ18" i="1"/>
  <c r="M18" i="1"/>
  <c r="R31" i="1"/>
  <c r="AW31" i="1"/>
  <c r="J29" i="1"/>
  <c r="H29" i="1"/>
  <c r="M29" i="1"/>
  <c r="I29" i="1"/>
  <c r="AX29" i="1" s="1"/>
  <c r="BA29" i="1" s="1"/>
  <c r="AJ29" i="1"/>
  <c r="R30" i="1"/>
  <c r="AW30" i="1"/>
  <c r="AY30" i="1" s="1"/>
  <c r="S26" i="1"/>
  <c r="T26" i="1" s="1"/>
  <c r="P26" i="1" s="1"/>
  <c r="N26" i="1" s="1"/>
  <c r="Q26" i="1" s="1"/>
  <c r="K26" i="1" s="1"/>
  <c r="L26" i="1" s="1"/>
  <c r="J27" i="1"/>
  <c r="M27" i="1"/>
  <c r="I27" i="1"/>
  <c r="AX27" i="1" s="1"/>
  <c r="AJ27" i="1"/>
  <c r="H27" i="1"/>
  <c r="R17" i="1"/>
  <c r="AW17" i="1"/>
  <c r="AY22" i="1"/>
  <c r="AW27" i="1"/>
  <c r="AY27" i="1" s="1"/>
  <c r="R27" i="1"/>
  <c r="AW23" i="1"/>
  <c r="AY23" i="1" s="1"/>
  <c r="R23" i="1"/>
  <c r="BA17" i="1"/>
  <c r="AY29" i="1"/>
  <c r="AY17" i="1"/>
  <c r="R18" i="1"/>
  <c r="AW18" i="1"/>
  <c r="AY18" i="1" s="1"/>
  <c r="R25" i="1"/>
  <c r="AW25" i="1"/>
  <c r="AY25" i="1" s="1"/>
  <c r="R21" i="1"/>
  <c r="AW21" i="1"/>
  <c r="AY21" i="1" s="1"/>
  <c r="AW28" i="1"/>
  <c r="AY28" i="1" s="1"/>
  <c r="R28" i="1"/>
  <c r="AJ22" i="1"/>
  <c r="H17" i="1"/>
  <c r="H30" i="1"/>
  <c r="H25" i="1"/>
  <c r="M26" i="1"/>
  <c r="I30" i="1"/>
  <c r="AX30" i="1" s="1"/>
  <c r="I31" i="1"/>
  <c r="AX31" i="1" s="1"/>
  <c r="M22" i="1"/>
  <c r="I26" i="1"/>
  <c r="AX26" i="1" s="1"/>
  <c r="BA26" i="1" s="1"/>
  <c r="J31" i="1"/>
  <c r="H20" i="1"/>
  <c r="M21" i="1"/>
  <c r="I25" i="1"/>
  <c r="AX25" i="1" s="1"/>
  <c r="J30" i="1"/>
  <c r="I20" i="1"/>
  <c r="AX20" i="1" s="1"/>
  <c r="BA20" i="1" s="1"/>
  <c r="J25" i="1"/>
  <c r="J20" i="1"/>
  <c r="AJ31" i="1"/>
  <c r="J17" i="1"/>
  <c r="M17" i="1"/>
  <c r="H22" i="1"/>
  <c r="AJ17" i="1"/>
  <c r="AJ26" i="1"/>
  <c r="H21" i="1"/>
  <c r="I21" i="1"/>
  <c r="AX21" i="1" s="1"/>
  <c r="J26" i="1"/>
  <c r="J21" i="1"/>
  <c r="M31" i="1"/>
  <c r="M25" i="1"/>
  <c r="H19" i="1"/>
  <c r="AJ28" i="1"/>
  <c r="AJ23" i="1"/>
  <c r="H28" i="1"/>
  <c r="J22" i="1"/>
  <c r="AJ30" i="1"/>
  <c r="I19" i="1"/>
  <c r="AX19" i="1" s="1"/>
  <c r="J19" i="1"/>
  <c r="H23" i="1"/>
  <c r="I28" i="1"/>
  <c r="AX28" i="1" s="1"/>
  <c r="AJ19" i="1"/>
  <c r="I23" i="1"/>
  <c r="AX23" i="1" s="1"/>
  <c r="BA23" i="1" s="1"/>
  <c r="AJ20" i="1"/>
  <c r="S28" i="1" l="1"/>
  <c r="T28" i="1" s="1"/>
  <c r="Z22" i="1"/>
  <c r="S30" i="1"/>
  <c r="T30" i="1" s="1"/>
  <c r="S24" i="1"/>
  <c r="T24" i="1" s="1"/>
  <c r="S23" i="1"/>
  <c r="T23" i="1" s="1"/>
  <c r="Z20" i="1"/>
  <c r="S27" i="1"/>
  <c r="T27" i="1" s="1"/>
  <c r="P28" i="1"/>
  <c r="N28" i="1" s="1"/>
  <c r="Q28" i="1" s="1"/>
  <c r="K28" i="1" s="1"/>
  <c r="L28" i="1" s="1"/>
  <c r="Z28" i="1"/>
  <c r="Z25" i="1"/>
  <c r="P25" i="1"/>
  <c r="N25" i="1" s="1"/>
  <c r="Q25" i="1" s="1"/>
  <c r="K25" i="1" s="1"/>
  <c r="L25" i="1" s="1"/>
  <c r="BA18" i="1"/>
  <c r="P24" i="1"/>
  <c r="N24" i="1" s="1"/>
  <c r="Q24" i="1" s="1"/>
  <c r="K24" i="1" s="1"/>
  <c r="L24" i="1" s="1"/>
  <c r="Z24" i="1"/>
  <c r="S20" i="1"/>
  <c r="T20" i="1" s="1"/>
  <c r="BA19" i="1"/>
  <c r="BA30" i="1"/>
  <c r="Z27" i="1"/>
  <c r="S29" i="1"/>
  <c r="T29" i="1" s="1"/>
  <c r="S18" i="1"/>
  <c r="T18" i="1" s="1"/>
  <c r="Z23" i="1"/>
  <c r="BA25" i="1"/>
  <c r="P29" i="1"/>
  <c r="N29" i="1" s="1"/>
  <c r="Q29" i="1" s="1"/>
  <c r="K29" i="1" s="1"/>
  <c r="L29" i="1" s="1"/>
  <c r="Z29" i="1"/>
  <c r="BA31" i="1"/>
  <c r="Z30" i="1"/>
  <c r="P30" i="1"/>
  <c r="N30" i="1" s="1"/>
  <c r="Q30" i="1" s="1"/>
  <c r="K30" i="1" s="1"/>
  <c r="L30" i="1" s="1"/>
  <c r="P17" i="1"/>
  <c r="N17" i="1" s="1"/>
  <c r="Q17" i="1" s="1"/>
  <c r="K17" i="1" s="1"/>
  <c r="L17" i="1" s="1"/>
  <c r="Z17" i="1"/>
  <c r="U26" i="1"/>
  <c r="Y26" i="1" s="1"/>
  <c r="AB26" i="1"/>
  <c r="AC26" i="1" s="1"/>
  <c r="AA26" i="1"/>
  <c r="S31" i="1"/>
  <c r="T31" i="1" s="1"/>
  <c r="BA21" i="1"/>
  <c r="BA27" i="1"/>
  <c r="S21" i="1"/>
  <c r="T21" i="1" s="1"/>
  <c r="S25" i="1"/>
  <c r="T25" i="1" s="1"/>
  <c r="S19" i="1"/>
  <c r="T19" i="1" s="1"/>
  <c r="BA28" i="1"/>
  <c r="P19" i="1"/>
  <c r="N19" i="1" s="1"/>
  <c r="Q19" i="1" s="1"/>
  <c r="K19" i="1" s="1"/>
  <c r="L19" i="1" s="1"/>
  <c r="Z19" i="1"/>
  <c r="Z18" i="1"/>
  <c r="P18" i="1"/>
  <c r="N18" i="1" s="1"/>
  <c r="Q18" i="1" s="1"/>
  <c r="K18" i="1" s="1"/>
  <c r="L18" i="1" s="1"/>
  <c r="S17" i="1"/>
  <c r="T17" i="1" s="1"/>
  <c r="Z21" i="1"/>
  <c r="P21" i="1"/>
  <c r="N21" i="1" s="1"/>
  <c r="Q21" i="1" s="1"/>
  <c r="K21" i="1" s="1"/>
  <c r="L21" i="1" s="1"/>
  <c r="S22" i="1"/>
  <c r="T22" i="1" s="1"/>
  <c r="P22" i="1" s="1"/>
  <c r="N22" i="1" s="1"/>
  <c r="Q22" i="1" s="1"/>
  <c r="K22" i="1" s="1"/>
  <c r="L22" i="1" s="1"/>
  <c r="AB20" i="1" l="1"/>
  <c r="U20" i="1"/>
  <c r="Y20" i="1" s="1"/>
  <c r="AA20" i="1"/>
  <c r="AB17" i="1"/>
  <c r="U17" i="1"/>
  <c r="Y17" i="1" s="1"/>
  <c r="AA17" i="1"/>
  <c r="AB23" i="1"/>
  <c r="U23" i="1"/>
  <c r="Y23" i="1" s="1"/>
  <c r="AA23" i="1"/>
  <c r="P23" i="1"/>
  <c r="N23" i="1" s="1"/>
  <c r="Q23" i="1" s="1"/>
  <c r="K23" i="1" s="1"/>
  <c r="L23" i="1" s="1"/>
  <c r="U19" i="1"/>
  <c r="Y19" i="1" s="1"/>
  <c r="AB19" i="1"/>
  <c r="AA19" i="1"/>
  <c r="U30" i="1"/>
  <c r="Y30" i="1" s="1"/>
  <c r="AB30" i="1"/>
  <c r="AA30" i="1"/>
  <c r="AB27" i="1"/>
  <c r="U27" i="1"/>
  <c r="Y27" i="1" s="1"/>
  <c r="AA27" i="1"/>
  <c r="P20" i="1"/>
  <c r="N20" i="1" s="1"/>
  <c r="Q20" i="1" s="1"/>
  <c r="K20" i="1" s="1"/>
  <c r="L20" i="1" s="1"/>
  <c r="AA29" i="1"/>
  <c r="AB29" i="1"/>
  <c r="AC29" i="1" s="1"/>
  <c r="U29" i="1"/>
  <c r="Y29" i="1" s="1"/>
  <c r="U24" i="1"/>
  <c r="Y24" i="1" s="1"/>
  <c r="AB24" i="1"/>
  <c r="AA24" i="1"/>
  <c r="AB25" i="1"/>
  <c r="U25" i="1"/>
  <c r="Y25" i="1" s="1"/>
  <c r="AA25" i="1"/>
  <c r="P27" i="1"/>
  <c r="N27" i="1" s="1"/>
  <c r="Q27" i="1" s="1"/>
  <c r="K27" i="1" s="1"/>
  <c r="L27" i="1" s="1"/>
  <c r="U22" i="1"/>
  <c r="Y22" i="1" s="1"/>
  <c r="AB22" i="1"/>
  <c r="AC22" i="1" s="1"/>
  <c r="AA22" i="1"/>
  <c r="U18" i="1"/>
  <c r="Y18" i="1" s="1"/>
  <c r="AB18" i="1"/>
  <c r="AC18" i="1" s="1"/>
  <c r="AA18" i="1"/>
  <c r="U31" i="1"/>
  <c r="Y31" i="1" s="1"/>
  <c r="AA31" i="1"/>
  <c r="AB31" i="1"/>
  <c r="AC31" i="1" s="1"/>
  <c r="P31" i="1"/>
  <c r="N31" i="1" s="1"/>
  <c r="Q31" i="1" s="1"/>
  <c r="K31" i="1" s="1"/>
  <c r="L31" i="1" s="1"/>
  <c r="U21" i="1"/>
  <c r="Y21" i="1" s="1"/>
  <c r="AB21" i="1"/>
  <c r="AA21" i="1"/>
  <c r="AB28" i="1"/>
  <c r="U28" i="1"/>
  <c r="Y28" i="1" s="1"/>
  <c r="AA28" i="1"/>
  <c r="AC28" i="1" l="1"/>
  <c r="AC17" i="1"/>
  <c r="AC25" i="1"/>
  <c r="AC23" i="1"/>
  <c r="AC21" i="1"/>
  <c r="AC27" i="1"/>
  <c r="AC30" i="1"/>
  <c r="AC19" i="1"/>
  <c r="AC24" i="1"/>
  <c r="AC20" i="1"/>
</calcChain>
</file>

<file path=xl/sharedStrings.xml><?xml version="1.0" encoding="utf-8"?>
<sst xmlns="http://schemas.openxmlformats.org/spreadsheetml/2006/main" count="788" uniqueCount="360">
  <si>
    <t>File opened</t>
  </si>
  <si>
    <t>2020-08-23 12:48:24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</si>
  <si>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</si>
  <si>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</si>
  <si>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</si>
  <si>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</si>
  <si>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</si>
  <si>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</si>
  <si>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</si>
  <si>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</si>
  <si>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</si>
  <si>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</si>
  <si>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</si>
  <si>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{"chamberpressurezero": "2.59209", "co2aspan1": "0.992625", "co2aspan2a": "0.164928", "co2aspanconc2": "0", "co2bzero": "0.880288", "h2oaspan1": "1.00223", "flowazero": "0.42932", "tazero": "0.00774765", "h2obzero": "1.01783", "ssa_ref": "36614.9", "h2obspanconc1": "20", "co2bspanconc1": "1002", "h2oaspanconc2": "0", "co2aspan2": "0", "oxygen": "21", "h2obspan2b": "0.0963575", "co2bspanconc2": "0", "co2bspan2": "0", "co2aspan2b": "0.163711", "h2oaspanconc1": "12.19", "co2azero": "0.869071", "h2oaspan2": "0", "h2obspanconc2": "0", "h2oaspan2a": "0.0661155", "co2aspanconc1": "1002", "co2bspan2b": "0.162103", "h2oaspan2b": "0.0662632", "h2obspan1": "0.998578", "co2bspan2a": "0.163389", "tbzero": "0.197721", "h2obspan2": "0", "ssb_ref": "36526.8", "flowbzero": "0.22736", "flowmeterzero": "0.990908", "co2bspan1": "0.992131", "h2obspan2a": "0.0975941", "h2oazero": "1.00263"}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</si>
  <si>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</si>
  <si>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</si>
  <si>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</si>
  <si>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</si>
  <si>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</si>
  <si>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</si>
  <si>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</si>
  <si>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</si>
  <si>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</si>
  <si>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12:48:24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</si>
  <si>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</si>
  <si>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</si>
  <si>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</si>
  <si>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</si>
  <si>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</si>
  <si>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</si>
  <si>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</si>
  <si>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</si>
  <si>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</si>
  <si>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</si>
  <si>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</si>
  <si>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</si>
  <si>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</si>
  <si>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</si>
  <si>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</si>
  <si>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</si>
  <si>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</si>
  <si>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</si>
  <si>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</si>
  <si>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</si>
  <si>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</si>
  <si>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</si>
  <si>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</si>
  <si>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</si>
  <si>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</si>
  <si>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</si>
  <si>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</si>
  <si>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</si>
  <si>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</si>
  <si>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</si>
  <si>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</si>
  <si>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</si>
  <si>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</si>
  <si>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</si>
  <si>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</si>
  <si>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</si>
  <si>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</si>
  <si>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</si>
  <si>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</si>
  <si>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</si>
  <si>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</si>
  <si>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</si>
  <si>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</si>
  <si>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</si>
  <si>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</si>
  <si>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</si>
  <si>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</si>
  <si>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2.94359 76.2785 384.689 618.449 845.034 1049.11 1224.88 1398.33</t>
  </si>
  <si>
    <t>Fs_true</t>
  </si>
  <si>
    <t>0.282282 99.9505 401.086 601.05 800.065 1000.06 1200.05 1401.49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</si>
  <si>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</si>
  <si>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</si>
  <si>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</si>
  <si>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</si>
  <si>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</si>
  <si>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</si>
  <si>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</si>
  <si>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</si>
  <si>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</si>
  <si>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</si>
  <si>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</si>
  <si>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</si>
  <si>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</si>
  <si>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</si>
  <si>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</si>
  <si>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</si>
  <si>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</si>
  <si>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</si>
  <si>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</si>
  <si>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</si>
  <si>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</si>
  <si>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</si>
  <si>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</si>
  <si>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</si>
  <si>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</si>
  <si>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</si>
  <si>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</si>
  <si>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</si>
  <si>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</si>
  <si>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</si>
  <si>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</si>
  <si>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</si>
  <si>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</si>
  <si>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</si>
  <si>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</si>
  <si>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</si>
  <si>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</si>
  <si>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</si>
  <si>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</si>
  <si>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</si>
  <si>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</si>
  <si>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</si>
  <si>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</si>
  <si>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</si>
  <si>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</si>
  <si>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</si>
  <si>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</si>
  <si>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</si>
  <si>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</si>
  <si>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</si>
  <si>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</si>
  <si>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</si>
  <si>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</si>
  <si>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</si>
  <si>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</si>
  <si>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</si>
  <si>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</si>
  <si>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</si>
  <si>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</si>
  <si>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</si>
  <si>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</si>
  <si>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</si>
  <si>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</si>
  <si>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</si>
  <si>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</si>
  <si>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</si>
  <si>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</si>
  <si>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</si>
  <si>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</si>
  <si>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</si>
  <si>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</si>
  <si>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</si>
  <si>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</si>
  <si>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</si>
  <si>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</si>
  <si>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</si>
  <si>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</si>
  <si>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</si>
  <si>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</si>
  <si>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</si>
  <si>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</si>
  <si>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</si>
  <si>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</si>
  <si>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</si>
  <si>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</si>
  <si>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</si>
  <si>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</si>
  <si>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</si>
  <si>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</si>
  <si>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</si>
  <si>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</si>
  <si>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</si>
  <si>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</si>
  <si>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</si>
  <si>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</si>
  <si>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</si>
  <si>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</si>
  <si>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</si>
  <si>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</si>
  <si>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</si>
  <si>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</si>
  <si>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</si>
  <si>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</si>
  <si>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</si>
  <si>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</si>
  <si>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</si>
  <si>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</si>
  <si>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</si>
  <si>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</si>
  <si>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</si>
  <si>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</si>
  <si>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</si>
  <si>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</si>
  <si>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</si>
  <si>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</si>
  <si>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</si>
  <si>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</si>
  <si>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</si>
  <si>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</si>
  <si>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</si>
  <si>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</si>
  <si>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</si>
  <si>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</si>
  <si>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</si>
  <si>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</si>
  <si>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</si>
  <si>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</si>
  <si>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</si>
  <si>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</si>
  <si>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</si>
  <si>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</si>
  <si>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</si>
  <si>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</si>
  <si>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</si>
  <si>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</si>
  <si>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</si>
  <si>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</si>
  <si>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</si>
  <si>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</si>
  <si>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</si>
  <si>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</si>
  <si>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</si>
  <si>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</si>
  <si>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</si>
  <si>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</si>
  <si>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</si>
  <si>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</si>
  <si>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</si>
  <si>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</si>
  <si>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</si>
  <si>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</si>
  <si>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</si>
  <si>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</si>
  <si>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</si>
  <si>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</si>
  <si>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</si>
  <si>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</si>
  <si>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</si>
  <si>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</si>
  <si>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</si>
  <si>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</si>
  <si>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</si>
  <si>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</si>
  <si>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</si>
  <si>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</si>
  <si>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</si>
  <si>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</si>
  <si>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</si>
  <si>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</si>
  <si>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</si>
  <si>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</si>
  <si>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</si>
  <si>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</si>
  <si>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</si>
  <si>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</si>
  <si>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</si>
  <si>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</si>
  <si>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</si>
  <si>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</si>
  <si>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</si>
  <si>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</si>
  <si>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</si>
  <si>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</si>
  <si>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</si>
  <si>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</si>
  <si>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</si>
  <si>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</si>
  <si>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</si>
  <si>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</si>
  <si>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</si>
  <si>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</si>
  <si>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</si>
  <si>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</si>
  <si>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</si>
  <si>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</si>
  <si>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</si>
  <si>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</si>
  <si>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</si>
  <si>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</si>
  <si>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</si>
  <si>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</si>
  <si>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</si>
  <si>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</si>
  <si>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20200823 12:50:03</t>
  </si>
  <si>
    <t>12:50:03</t>
  </si>
  <si>
    <t>MPF-6593-20200823-12_50_05</t>
  </si>
  <si>
    <t>DARK-6594-20200823-12_50_13</t>
  </si>
  <si>
    <t>0: Broadleaf</t>
  </si>
  <si>
    <t>12:50:34</t>
  </si>
  <si>
    <t>2/2</t>
  </si>
  <si>
    <t>5</t>
  </si>
  <si>
    <t>11111111</t>
  </si>
  <si>
    <t>oooooooo</t>
  </si>
  <si>
    <t>off</t>
  </si>
  <si>
    <t>20200823 12:52:12</t>
  </si>
  <si>
    <t>12:52:12</t>
  </si>
  <si>
    <t>MPF-6595-20200823-12_52_13</t>
  </si>
  <si>
    <t>DARK-6596-20200823-12_52_21</t>
  </si>
  <si>
    <t>12:52:42</t>
  </si>
  <si>
    <t>20200823 12:54:14</t>
  </si>
  <si>
    <t>12:54:14</t>
  </si>
  <si>
    <t>MPF-6597-20200823-12_54_16</t>
  </si>
  <si>
    <t>DARK-6598-20200823-12_54_23</t>
  </si>
  <si>
    <t>12:54:40</t>
  </si>
  <si>
    <t>20200823 12:56:12</t>
  </si>
  <si>
    <t>12:56:12</t>
  </si>
  <si>
    <t>MPF-6599-20200823-12_56_13</t>
  </si>
  <si>
    <t>DARK-6600-20200823-12_56_21</t>
  </si>
  <si>
    <t>12:56:36</t>
  </si>
  <si>
    <t>20200823 12:58:08</t>
  </si>
  <si>
    <t>12:58:08</t>
  </si>
  <si>
    <t>MPF-6601-20200823-12_58_10</t>
  </si>
  <si>
    <t>DARK-6602-20200823-12_58_17</t>
  </si>
  <si>
    <t>12:58:35</t>
  </si>
  <si>
    <t>20200823 13:00:07</t>
  </si>
  <si>
    <t>13:00:07</t>
  </si>
  <si>
    <t>MPF-6603-20200823-13_00_08</t>
  </si>
  <si>
    <t>DARK-6604-20200823-13_00_16</t>
  </si>
  <si>
    <t>13:00:33</t>
  </si>
  <si>
    <t>20200823 13:02:06</t>
  </si>
  <si>
    <t>13:02:06</t>
  </si>
  <si>
    <t>MPF-6605-20200823-13_02_07</t>
  </si>
  <si>
    <t>DARK-6606-20200823-13_02_15</t>
  </si>
  <si>
    <t>13:02:33</t>
  </si>
  <si>
    <t>20200823 13:04:34</t>
  </si>
  <si>
    <t>13:04:34</t>
  </si>
  <si>
    <t>MPF-6607-20200823-13_04_36</t>
  </si>
  <si>
    <t>DARK-6608-20200823-13_04_44</t>
  </si>
  <si>
    <t>13:05:00</t>
  </si>
  <si>
    <t>0/2</t>
  </si>
  <si>
    <t>20200823 13:06:31</t>
  </si>
  <si>
    <t>13:06:31</t>
  </si>
  <si>
    <t>MPF-6609-20200823-13_06_33</t>
  </si>
  <si>
    <t>DARK-6610-20200823-13_06_41</t>
  </si>
  <si>
    <t>13:07:00</t>
  </si>
  <si>
    <t>20200823 13:09:01</t>
  </si>
  <si>
    <t>13:09:01</t>
  </si>
  <si>
    <t>MPF-6611-20200823-13_09_03</t>
  </si>
  <si>
    <t>DARK-6612-20200823-13_09_11</t>
  </si>
  <si>
    <t>13:09:29</t>
  </si>
  <si>
    <t>1/2</t>
  </si>
  <si>
    <t>20200823 13:11:30</t>
  </si>
  <si>
    <t>13:11:30</t>
  </si>
  <si>
    <t>MPF-6613-20200823-13_11_32</t>
  </si>
  <si>
    <t>DARK-6614-20200823-13_11_40</t>
  </si>
  <si>
    <t>13:11:58</t>
  </si>
  <si>
    <t>20200823 13:13:37</t>
  </si>
  <si>
    <t>13:13:37</t>
  </si>
  <si>
    <t>MPF-6615-20200823-13_13_38</t>
  </si>
  <si>
    <t>DARK-6616-20200823-13_13_46</t>
  </si>
  <si>
    <t>13:14:17</t>
  </si>
  <si>
    <t>20200823 13:16:05</t>
  </si>
  <si>
    <t>13:16:05</t>
  </si>
  <si>
    <t>MPF-6617-20200823-13_16_07</t>
  </si>
  <si>
    <t>DARK-6618-20200823-13_16_15</t>
  </si>
  <si>
    <t>13:16:30</t>
  </si>
  <si>
    <t>20200823 13:18:32</t>
  </si>
  <si>
    <t>13:18:32</t>
  </si>
  <si>
    <t>MPF-6619-20200823-13_18_33</t>
  </si>
  <si>
    <t>DARK-6620-20200823-13_18_41</t>
  </si>
  <si>
    <t>13:18:58</t>
  </si>
  <si>
    <t>20200823 13:20:32</t>
  </si>
  <si>
    <t>13:20:32</t>
  </si>
  <si>
    <t>MPF-6621-20200823-13_20_34</t>
  </si>
  <si>
    <t>DARK-6622-20200823-13_20_42</t>
  </si>
  <si>
    <t>13:20:58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</si>
</sst>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1598205003.7</v>
      </c>
      <c r="C17">
        <v>0</v>
      </c>
      <c r="D17" t="s">
        <v>277</v>
      </c>
      <c r="E17" t="s">
        <v>278</v>
      </c>
      <c r="G17">
        <v>1598204995.7387099</v>
      </c>
      <c r="H17">
        <f t="shared" ref="H17:H31" si="0">CC17*AI17*(CA17-CB17)/(100*$B$5*(1000-AI17*CA17))</f>
        <v>9.4137104547424109E-3</v>
      </c>
      <c r="I17">
        <f t="shared" ref="I17:I31" si="1">CC17*AI17*(BZ17-BY17*(1000-AI17*CB17)/(1000-AI17*CA17))/(100*$B$5)</f>
        <v>33.469219426288447</v>
      </c>
      <c r="J17">
        <f t="shared" ref="J17:J31" si="2">BY17 - IF(AI17&gt;1, I17*$B$5*100/(AK17*CI17), 0)</f>
        <v>385.12322580645201</v>
      </c>
      <c r="K17">
        <f t="shared" ref="K17:K31" si="3">((Q17-H17/2)*J17-I17)/(Q17+H17/2)</f>
        <v>283.39126266707649</v>
      </c>
      <c r="L17">
        <f t="shared" ref="L17:L31" si="4">K17*(CD17+CE17)/1000</f>
        <v>28.157336201848974</v>
      </c>
      <c r="M17">
        <f t="shared" ref="M17:M31" si="5">(BY17 - IF(AI17&gt;1, I17*$B$5*100/(AK17*CI17), 0))*(CD17+CE17)/1000</f>
        <v>38.2652734107483</v>
      </c>
      <c r="N17">
        <f t="shared" ref="N17:N31" si="6">2/((1/P17-1/O17)+SIGN(P17)*SQRT((1/P17-1/O17)*(1/P17-1/O17) + 4*BV17/((BV17+1)*(BV17+1))*(2*1/P17*1/O17-1/O17*1/O17)))</f>
        <v>0.62632351536749598</v>
      </c>
      <c r="O17">
        <f t="shared" ref="O17:O31" si="7">AF17+AE17*$B$5+AD17*$B$5*$B$5</f>
        <v>3.3788892836305395</v>
      </c>
      <c r="P17">
        <f t="shared" ref="P17:P31" si="8">H17*(1000-(1000*0.61365*EXP(17.502*T17/(240.97+T17))/(CD17+CE17)+CA17)/2)/(1000*0.61365*EXP(17.502*T17/(240.97+T17))/(CD17+CE17)-CA17)</f>
        <v>0.56825056123063189</v>
      </c>
      <c r="Q17">
        <f t="shared" ref="Q17:Q31" si="9">1/((BV17+1)/(N17/1.6)+1/(O17/1.37)) + BV17/((BV17+1)/(N17/1.6) + BV17/(O17/1.37))</f>
        <v>0.35992444469757051</v>
      </c>
      <c r="R17">
        <f t="shared" ref="R17:R31" si="10">(BS17*BU17)</f>
        <v>321.4381882454291</v>
      </c>
      <c r="S17">
        <f t="shared" ref="S17:S31" si="11">(CF17+(R17+2*0.95*0.0000000567*(((CF17+$B$7)+273)^4-(CF17+273)^4)-44100*H17)/(1.84*29.3*O17+8*0.95*0.0000000567*(CF17+273)^3))</f>
        <v>26.779748892902262</v>
      </c>
      <c r="T17">
        <f t="shared" ref="T17:T31" si="12">($C$7*CG17+$D$7*CH17+$E$7*S17)</f>
        <v>27.047425806451599</v>
      </c>
      <c r="U17">
        <f t="shared" ref="U17:U31" si="13">0.61365*EXP(17.502*T17/(240.97+T17))</f>
        <v>3.589141338065974</v>
      </c>
      <c r="V17">
        <f t="shared" ref="V17:V31" si="14">(W17/X17*100)</f>
        <v>54.730067759042846</v>
      </c>
      <c r="W17">
        <f t="shared" ref="W17:W31" si="15">CA17*(CD17+CE17)/1000</f>
        <v>1.9893626808743941</v>
      </c>
      <c r="X17">
        <f t="shared" ref="X17:X31" si="16">0.61365*EXP(17.502*CF17/(240.97+CF17))</f>
        <v>3.6348624482484753</v>
      </c>
      <c r="Y17">
        <f t="shared" ref="Y17:Y31" si="17">(U17-CA17*(CD17+CE17)/1000)</f>
        <v>1.59977865719158</v>
      </c>
      <c r="Z17">
        <f t="shared" ref="Z17:Z31" si="18">(-H17*44100)</f>
        <v>-415.14463105414035</v>
      </c>
      <c r="AA17">
        <f t="shared" ref="AA17:AA31" si="19">2*29.3*O17*0.92*(CF17-T17)</f>
        <v>39.306005168591426</v>
      </c>
      <c r="AB17">
        <f t="shared" ref="AB17:AB31" si="20">2*0.95*0.0000000567*(((CF17+$B$7)+273)^4-(T17+273)^4)</f>
        <v>2.5143996895458174</v>
      </c>
      <c r="AC17">
        <f t="shared" ref="AC17:AC31" si="21">R17+AB17+Z17+AA17</f>
        <v>-51.886037950573993</v>
      </c>
      <c r="AD17">
        <v>-4.11209510149717E-2</v>
      </c>
      <c r="AE17">
        <v>4.6161869907468102E-2</v>
      </c>
      <c r="AF17">
        <v>3.45104934787549</v>
      </c>
      <c r="AG17">
        <v>149</v>
      </c>
      <c r="AH17">
        <v>30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52389.631449005501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339.90346153846201</v>
      </c>
      <c r="AT17">
        <v>479.36799999999999</v>
      </c>
      <c r="AU17">
        <f t="shared" ref="AU17:AU31" si="27">1-AS17/AT17</f>
        <v>0.29093418513863667</v>
      </c>
      <c r="AV17">
        <v>0.5</v>
      </c>
      <c r="AW17">
        <f t="shared" ref="AW17:AW31" si="28">BS17</f>
        <v>1681.1856577412418</v>
      </c>
      <c r="AX17">
        <f t="shared" ref="AX17:AX31" si="29">I17</f>
        <v>33.469219426288447</v>
      </c>
      <c r="AY17">
        <f t="shared" ref="AY17:AY31" si="30">AU17*AV17*AW17</f>
        <v>244.55718970085556</v>
      </c>
      <c r="AZ17">
        <f t="shared" ref="AZ17:AZ31" si="31">BE17/AT17</f>
        <v>0.5753158325128086</v>
      </c>
      <c r="BA17">
        <f t="shared" ref="BA17:BA31" si="32">(AX17-AQ17)/AW17</f>
        <v>2.0502922605585151E-2</v>
      </c>
      <c r="BB17">
        <f t="shared" ref="BB17:BB31" si="33">(AN17-AT17)/AT17</f>
        <v>-1</v>
      </c>
      <c r="BC17" t="s">
        <v>280</v>
      </c>
      <c r="BD17">
        <v>203.58</v>
      </c>
      <c r="BE17">
        <f t="shared" ref="BE17:BE31" si="34">AT17-BD17</f>
        <v>275.78800000000001</v>
      </c>
      <c r="BF17">
        <f t="shared" ref="BF17:BF31" si="35">(AT17-AS17)/(AT17-BD17)</f>
        <v>0.5056947309583375</v>
      </c>
      <c r="BG17">
        <f t="shared" ref="BG17:BG31" si="36">(AN17-AT17)/(AN17-BD17)</f>
        <v>2.3546910305530995</v>
      </c>
      <c r="BH17">
        <f t="shared" ref="BH17:BH31" si="37">(AT17-AS17)/(AT17-AM17)</f>
        <v>0.29093418513863667</v>
      </c>
      <c r="BI17" t="e">
        <f t="shared" ref="BI17:BI31" si="38">(AN17-AT17)/(AN17-AM17)</f>
        <v>#DIV/0!</v>
      </c>
      <c r="BJ17">
        <v>6593</v>
      </c>
      <c r="BK17">
        <v>300</v>
      </c>
      <c r="BL17">
        <v>300</v>
      </c>
      <c r="BM17">
        <v>300</v>
      </c>
      <c r="BN17">
        <v>9875.0499999999993</v>
      </c>
      <c r="BO17">
        <v>442.7</v>
      </c>
      <c r="BP17">
        <v>-6.5687699999999998E-3</v>
      </c>
      <c r="BQ17">
        <v>1.04599</v>
      </c>
      <c r="BR17">
        <f t="shared" ref="BR17:BR31" si="39">$B$11*CJ17+$C$11*CK17+$F$11*CL17</f>
        <v>1999.9861290322599</v>
      </c>
      <c r="BS17">
        <f t="shared" ref="BS17:BS31" si="40">BR17*BT17</f>
        <v>1681.1856577412418</v>
      </c>
      <c r="BT17">
        <f t="shared" ref="BT17:BT31" si="41">($B$11*$D$9+$C$11*$D$9+$F$11*((CY17+CQ17)/MAX(CY17+CQ17+CZ17, 0.1)*$I$9+CZ17/MAX(CY17+CQ17+CZ17, 0.1)*$J$9))/($B$11+$C$11+$F$11)</f>
        <v>0.84059865882906037</v>
      </c>
      <c r="BU17">
        <f t="shared" ref="BU17:BU31" si="42">($B$11*$K$9+$C$11*$K$9+$F$11*((CY17+CQ17)/MAX(CY17+CQ17+CZ17, 0.1)*$P$9+CZ17/MAX(CY17+CQ17+CZ17, 0.1)*$Q$9))/($B$11+$C$11+$F$11)</f>
        <v>0.1911973176581209</v>
      </c>
      <c r="BV17">
        <v>0.5</v>
      </c>
      <c r="BW17" t="s">
        <v>281</v>
      </c>
      <c r="BX17">
        <v>1598204995.7387099</v>
      </c>
      <c r="BY17">
        <v>385.12322580645201</v>
      </c>
      <c r="BZ17">
        <v>399.95970967741903</v>
      </c>
      <c r="CA17">
        <v>20.022064516128999</v>
      </c>
      <c r="CB17">
        <v>16.3323161290323</v>
      </c>
      <c r="CC17">
        <v>500.04648387096802</v>
      </c>
      <c r="CD17">
        <v>99.158525806451607</v>
      </c>
      <c r="CE17">
        <v>0.19999335483871</v>
      </c>
      <c r="CF17">
        <v>27.263200000000001</v>
      </c>
      <c r="CG17">
        <v>27.047425806451599</v>
      </c>
      <c r="CH17">
        <v>999.9</v>
      </c>
      <c r="CI17">
        <v>10000.6703225806</v>
      </c>
      <c r="CJ17">
        <v>0</v>
      </c>
      <c r="CK17">
        <v>164.40606451612899</v>
      </c>
      <c r="CL17">
        <v>1999.9861290322599</v>
      </c>
      <c r="CM17">
        <v>0.97999387096774204</v>
      </c>
      <c r="CN17">
        <v>2.0006245161290299E-2</v>
      </c>
      <c r="CO17">
        <v>0</v>
      </c>
      <c r="CP17">
        <v>340.13245161290303</v>
      </c>
      <c r="CQ17">
        <v>5.00054</v>
      </c>
      <c r="CR17">
        <v>8332.4416129032306</v>
      </c>
      <c r="CS17">
        <v>18703.470967741901</v>
      </c>
      <c r="CT17">
        <v>47.691225806451598</v>
      </c>
      <c r="CU17">
        <v>48.856645161290302</v>
      </c>
      <c r="CV17">
        <v>47.951258064516097</v>
      </c>
      <c r="CW17">
        <v>48.350645161290302</v>
      </c>
      <c r="CX17">
        <v>49.277999999999999</v>
      </c>
      <c r="CY17">
        <v>1955.0758064516101</v>
      </c>
      <c r="CZ17">
        <v>39.9103225806452</v>
      </c>
      <c r="DA17">
        <v>0</v>
      </c>
      <c r="DB17">
        <v>429.10000014305098</v>
      </c>
      <c r="DC17">
        <v>339.90346153846201</v>
      </c>
      <c r="DD17">
        <v>-18.816546996934701</v>
      </c>
      <c r="DE17">
        <v>-388.78393159525399</v>
      </c>
      <c r="DF17">
        <v>8327.6450000000004</v>
      </c>
      <c r="DG17">
        <v>15</v>
      </c>
      <c r="DH17">
        <v>1598205034.2</v>
      </c>
      <c r="DI17" t="s">
        <v>282</v>
      </c>
      <c r="DJ17">
        <v>46</v>
      </c>
      <c r="DK17">
        <v>-0.27700000000000002</v>
      </c>
      <c r="DL17">
        <v>0.107</v>
      </c>
      <c r="DM17">
        <v>400</v>
      </c>
      <c r="DN17">
        <v>16</v>
      </c>
      <c r="DO17">
        <v>0.14000000000000001</v>
      </c>
      <c r="DP17">
        <v>0.02</v>
      </c>
      <c r="DQ17">
        <v>385.64423636363603</v>
      </c>
      <c r="DR17">
        <v>-1.6334194061792599E-2</v>
      </c>
      <c r="DS17">
        <v>2.06582263045379E-2</v>
      </c>
      <c r="DT17">
        <v>1</v>
      </c>
      <c r="DU17">
        <v>20.040436363636399</v>
      </c>
      <c r="DV17">
        <v>-5.9555852575513497E-2</v>
      </c>
      <c r="DW17">
        <v>1.17974167224148E-2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1.86328</v>
      </c>
      <c r="ED17">
        <v>1.86896</v>
      </c>
      <c r="EE17">
        <v>1.8669100000000001</v>
      </c>
      <c r="EF17">
        <v>1.8715599999999999</v>
      </c>
      <c r="EG17">
        <v>1.8640099999999999</v>
      </c>
      <c r="EH17">
        <v>1.86558</v>
      </c>
      <c r="EI17">
        <v>1.86554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-0.27700000000000002</v>
      </c>
      <c r="EX17">
        <v>0.107</v>
      </c>
      <c r="EY17">
        <v>2</v>
      </c>
      <c r="EZ17">
        <v>333.70299999999997</v>
      </c>
      <c r="FA17">
        <v>471.81099999999998</v>
      </c>
      <c r="FB17">
        <v>23.005199999999999</v>
      </c>
      <c r="FC17">
        <v>34.390300000000003</v>
      </c>
      <c r="FD17">
        <v>30.000399999999999</v>
      </c>
      <c r="FE17">
        <v>34.471200000000003</v>
      </c>
      <c r="FF17">
        <v>34.481499999999997</v>
      </c>
      <c r="FG17">
        <v>21.9954</v>
      </c>
      <c r="FH17">
        <v>55.676099999999998</v>
      </c>
      <c r="FI17">
        <v>0</v>
      </c>
      <c r="FJ17">
        <v>22.943300000000001</v>
      </c>
      <c r="FK17">
        <v>400</v>
      </c>
      <c r="FL17">
        <v>16.4621</v>
      </c>
      <c r="FM17">
        <v>100.65900000000001</v>
      </c>
      <c r="FN17">
        <v>101.13200000000001</v>
      </c>
    </row>
    <row r="18" spans="1:170" x14ac:dyDescent="0.25">
      <c r="A18">
        <v>2</v>
      </c>
      <c r="B18">
        <v>1598205132.3</v>
      </c>
      <c r="C18">
        <v>128.59999990463299</v>
      </c>
      <c r="D18" t="s">
        <v>288</v>
      </c>
      <c r="E18" t="s">
        <v>289</v>
      </c>
      <c r="G18">
        <v>1598205124.2451601</v>
      </c>
      <c r="H18">
        <f t="shared" si="0"/>
        <v>8.5927318549602477E-3</v>
      </c>
      <c r="I18">
        <f t="shared" si="1"/>
        <v>24.328249835217083</v>
      </c>
      <c r="J18">
        <f t="shared" si="2"/>
        <v>289.321387096774</v>
      </c>
      <c r="K18">
        <f t="shared" si="3"/>
        <v>208.90569895879622</v>
      </c>
      <c r="L18">
        <f t="shared" si="4"/>
        <v>20.756620309724418</v>
      </c>
      <c r="M18">
        <f t="shared" si="5"/>
        <v>28.746626872228166</v>
      </c>
      <c r="N18">
        <f t="shared" si="6"/>
        <v>0.56850917523863909</v>
      </c>
      <c r="O18">
        <f t="shared" si="7"/>
        <v>3.3811428297989901</v>
      </c>
      <c r="P18">
        <f t="shared" si="8"/>
        <v>0.52024966315027898</v>
      </c>
      <c r="Q18">
        <f t="shared" si="9"/>
        <v>0.32914990003540806</v>
      </c>
      <c r="R18">
        <f t="shared" si="10"/>
        <v>321.43580935611647</v>
      </c>
      <c r="S18">
        <f t="shared" si="11"/>
        <v>26.463587434817601</v>
      </c>
      <c r="T18">
        <f t="shared" si="12"/>
        <v>26.943719354838699</v>
      </c>
      <c r="U18">
        <f t="shared" si="13"/>
        <v>3.5673458295944083</v>
      </c>
      <c r="V18">
        <f t="shared" si="14"/>
        <v>55.879776720015897</v>
      </c>
      <c r="W18">
        <f t="shared" si="15"/>
        <v>1.9720264181650102</v>
      </c>
      <c r="X18">
        <f t="shared" si="16"/>
        <v>3.5290520719969858</v>
      </c>
      <c r="Y18">
        <f t="shared" si="17"/>
        <v>1.595319411429398</v>
      </c>
      <c r="Z18">
        <f t="shared" si="18"/>
        <v>-378.93947480374692</v>
      </c>
      <c r="AA18">
        <f t="shared" si="19"/>
        <v>-33.459141834866962</v>
      </c>
      <c r="AB18">
        <f t="shared" si="20"/>
        <v>-2.1324709654609921</v>
      </c>
      <c r="AC18">
        <f t="shared" si="21"/>
        <v>-93.09527824795839</v>
      </c>
      <c r="AD18">
        <v>-4.1155792525112499E-2</v>
      </c>
      <c r="AE18">
        <v>4.6200982554885001E-2</v>
      </c>
      <c r="AF18">
        <v>3.4533640347896699</v>
      </c>
      <c r="AG18">
        <v>148</v>
      </c>
      <c r="AH18">
        <v>30</v>
      </c>
      <c r="AI18">
        <f t="shared" si="22"/>
        <v>1</v>
      </c>
      <c r="AJ18">
        <f t="shared" si="23"/>
        <v>0</v>
      </c>
      <c r="AK18">
        <f t="shared" si="24"/>
        <v>52520.194797177806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297.99849999999998</v>
      </c>
      <c r="AT18">
        <v>408.41500000000002</v>
      </c>
      <c r="AU18">
        <f t="shared" si="27"/>
        <v>0.27035368436516782</v>
      </c>
      <c r="AV18">
        <v>0.5</v>
      </c>
      <c r="AW18">
        <f t="shared" si="28"/>
        <v>1681.1756222574415</v>
      </c>
      <c r="AX18">
        <f t="shared" si="29"/>
        <v>24.328249835217083</v>
      </c>
      <c r="AY18">
        <f t="shared" si="30"/>
        <v>227.25601177110147</v>
      </c>
      <c r="AZ18">
        <f t="shared" si="31"/>
        <v>0.52122228615501398</v>
      </c>
      <c r="BA18">
        <f t="shared" si="32"/>
        <v>1.5065796517562471E-2</v>
      </c>
      <c r="BB18">
        <f t="shared" si="33"/>
        <v>-1</v>
      </c>
      <c r="BC18" t="s">
        <v>291</v>
      </c>
      <c r="BD18">
        <v>195.54</v>
      </c>
      <c r="BE18">
        <f t="shared" si="34"/>
        <v>212.87500000000003</v>
      </c>
      <c r="BF18">
        <f t="shared" si="35"/>
        <v>0.5186917204932473</v>
      </c>
      <c r="BG18">
        <f t="shared" si="36"/>
        <v>2.088651938222359</v>
      </c>
      <c r="BH18">
        <f t="shared" si="37"/>
        <v>0.27035368436516788</v>
      </c>
      <c r="BI18" t="e">
        <f t="shared" si="38"/>
        <v>#DIV/0!</v>
      </c>
      <c r="BJ18">
        <v>6595</v>
      </c>
      <c r="BK18">
        <v>300</v>
      </c>
      <c r="BL18">
        <v>300</v>
      </c>
      <c r="BM18">
        <v>300</v>
      </c>
      <c r="BN18">
        <v>9871.92</v>
      </c>
      <c r="BO18">
        <v>377.63799999999998</v>
      </c>
      <c r="BP18">
        <v>-6.5660600000000003E-3</v>
      </c>
      <c r="BQ18">
        <v>1.3756699999999999</v>
      </c>
      <c r="BR18">
        <f t="shared" si="39"/>
        <v>1999.97451612903</v>
      </c>
      <c r="BS18">
        <f t="shared" si="40"/>
        <v>1681.1756222574415</v>
      </c>
      <c r="BT18">
        <f t="shared" si="41"/>
        <v>0.84059852198085661</v>
      </c>
      <c r="BU18">
        <f t="shared" si="42"/>
        <v>0.19119704396171314</v>
      </c>
      <c r="BV18">
        <v>0.5</v>
      </c>
      <c r="BW18" t="s">
        <v>281</v>
      </c>
      <c r="BX18">
        <v>1598205124.2451601</v>
      </c>
      <c r="BY18">
        <v>289.321387096774</v>
      </c>
      <c r="BZ18">
        <v>300.04622580645201</v>
      </c>
      <c r="CA18">
        <v>19.8475258064516</v>
      </c>
      <c r="CB18">
        <v>16.478929032258101</v>
      </c>
      <c r="CC18">
        <v>500.04129032258101</v>
      </c>
      <c r="CD18">
        <v>99.158819354838698</v>
      </c>
      <c r="CE18">
        <v>0.199984225806452</v>
      </c>
      <c r="CF18">
        <v>26.760164516128999</v>
      </c>
      <c r="CG18">
        <v>26.943719354838699</v>
      </c>
      <c r="CH18">
        <v>999.9</v>
      </c>
      <c r="CI18">
        <v>10009.114193548399</v>
      </c>
      <c r="CJ18">
        <v>0</v>
      </c>
      <c r="CK18">
        <v>167.82964516128999</v>
      </c>
      <c r="CL18">
        <v>1999.97451612903</v>
      </c>
      <c r="CM18">
        <v>0.97999896774193496</v>
      </c>
      <c r="CN18">
        <v>2.00009612903226E-2</v>
      </c>
      <c r="CO18">
        <v>0</v>
      </c>
      <c r="CP18">
        <v>298.10383870967701</v>
      </c>
      <c r="CQ18">
        <v>5.00054</v>
      </c>
      <c r="CR18">
        <v>7491.3483870967702</v>
      </c>
      <c r="CS18">
        <v>18703.400000000001</v>
      </c>
      <c r="CT18">
        <v>48.406999999999996</v>
      </c>
      <c r="CU18">
        <v>49.531999999999996</v>
      </c>
      <c r="CV18">
        <v>48.656999999999996</v>
      </c>
      <c r="CW18">
        <v>49.0179677419355</v>
      </c>
      <c r="CX18">
        <v>49.917000000000002</v>
      </c>
      <c r="CY18">
        <v>1955.0735483870999</v>
      </c>
      <c r="CZ18">
        <v>39.900967741935503</v>
      </c>
      <c r="DA18">
        <v>0</v>
      </c>
      <c r="DB18">
        <v>128.10000014305101</v>
      </c>
      <c r="DC18">
        <v>297.99849999999998</v>
      </c>
      <c r="DD18">
        <v>-9.4406495811591196</v>
      </c>
      <c r="DE18">
        <v>-174.11247867755199</v>
      </c>
      <c r="DF18">
        <v>7489.50730769231</v>
      </c>
      <c r="DG18">
        <v>15</v>
      </c>
      <c r="DH18">
        <v>1598205162.8</v>
      </c>
      <c r="DI18" t="s">
        <v>292</v>
      </c>
      <c r="DJ18">
        <v>47</v>
      </c>
      <c r="DK18">
        <v>-0.33900000000000002</v>
      </c>
      <c r="DL18">
        <v>0.106</v>
      </c>
      <c r="DM18">
        <v>300</v>
      </c>
      <c r="DN18">
        <v>16</v>
      </c>
      <c r="DO18">
        <v>0.2</v>
      </c>
      <c r="DP18">
        <v>0.03</v>
      </c>
      <c r="DQ18">
        <v>289.34983636363597</v>
      </c>
      <c r="DR18">
        <v>0.29772291167224701</v>
      </c>
      <c r="DS18">
        <v>4.4545283858673797E-2</v>
      </c>
      <c r="DT18">
        <v>1</v>
      </c>
      <c r="DU18">
        <v>19.862550909090899</v>
      </c>
      <c r="DV18">
        <v>-0.107132168442517</v>
      </c>
      <c r="DW18">
        <v>1.7028327977784901E-2</v>
      </c>
      <c r="DX18">
        <v>1</v>
      </c>
      <c r="DY18">
        <v>2</v>
      </c>
      <c r="DZ18">
        <v>2</v>
      </c>
      <c r="EA18" t="s">
        <v>283</v>
      </c>
      <c r="EB18">
        <v>1.86676</v>
      </c>
      <c r="EC18">
        <v>1.86331</v>
      </c>
      <c r="ED18">
        <v>1.86894</v>
      </c>
      <c r="EE18">
        <v>1.8669100000000001</v>
      </c>
      <c r="EF18">
        <v>1.87155</v>
      </c>
      <c r="EG18">
        <v>1.8640099999999999</v>
      </c>
      <c r="EH18">
        <v>1.86561</v>
      </c>
      <c r="EI18">
        <v>1.8655299999999999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-0.33900000000000002</v>
      </c>
      <c r="EX18">
        <v>0.106</v>
      </c>
      <c r="EY18">
        <v>2</v>
      </c>
      <c r="EZ18">
        <v>334.09699999999998</v>
      </c>
      <c r="FA18">
        <v>471.22699999999998</v>
      </c>
      <c r="FB18">
        <v>22.1099</v>
      </c>
      <c r="FC18">
        <v>34.379199999999997</v>
      </c>
      <c r="FD18">
        <v>29.999300000000002</v>
      </c>
      <c r="FE18">
        <v>34.426099999999998</v>
      </c>
      <c r="FF18">
        <v>34.432600000000001</v>
      </c>
      <c r="FG18">
        <v>17.517900000000001</v>
      </c>
      <c r="FH18">
        <v>56.521299999999997</v>
      </c>
      <c r="FI18">
        <v>0</v>
      </c>
      <c r="FJ18">
        <v>22.084599999999998</v>
      </c>
      <c r="FK18">
        <v>300</v>
      </c>
      <c r="FL18">
        <v>16.217099999999999</v>
      </c>
      <c r="FM18">
        <v>100.669</v>
      </c>
      <c r="FN18">
        <v>101.142</v>
      </c>
    </row>
    <row r="19" spans="1:170" x14ac:dyDescent="0.25">
      <c r="A19">
        <v>3</v>
      </c>
      <c r="B19">
        <v>1598205254.3</v>
      </c>
      <c r="C19">
        <v>250.59999990463299</v>
      </c>
      <c r="D19" t="s">
        <v>293</v>
      </c>
      <c r="E19" t="s">
        <v>294</v>
      </c>
      <c r="G19">
        <v>1598205246.3</v>
      </c>
      <c r="H19">
        <f t="shared" si="0"/>
        <v>7.4286973995285636E-3</v>
      </c>
      <c r="I19">
        <f t="shared" si="1"/>
        <v>14.654094036842917</v>
      </c>
      <c r="J19">
        <f t="shared" si="2"/>
        <v>193.54961290322601</v>
      </c>
      <c r="K19">
        <f t="shared" si="3"/>
        <v>135.9813355379942</v>
      </c>
      <c r="L19">
        <f t="shared" si="4"/>
        <v>13.511098392933693</v>
      </c>
      <c r="M19">
        <f t="shared" si="5"/>
        <v>19.231079423536368</v>
      </c>
      <c r="N19">
        <f t="shared" si="6"/>
        <v>0.47038263365751454</v>
      </c>
      <c r="O19">
        <f t="shared" si="7"/>
        <v>3.3783509097905728</v>
      </c>
      <c r="P19">
        <f t="shared" si="8"/>
        <v>0.43679255954512308</v>
      </c>
      <c r="Q19">
        <f t="shared" si="9"/>
        <v>0.27581313204808838</v>
      </c>
      <c r="R19">
        <f t="shared" si="10"/>
        <v>321.43959148313121</v>
      </c>
      <c r="S19">
        <f t="shared" si="11"/>
        <v>26.679999012610224</v>
      </c>
      <c r="T19">
        <f t="shared" si="12"/>
        <v>27.040822580645202</v>
      </c>
      <c r="U19">
        <f t="shared" si="13"/>
        <v>3.587750111637618</v>
      </c>
      <c r="V19">
        <f t="shared" si="14"/>
        <v>55.269418331897811</v>
      </c>
      <c r="W19">
        <f t="shared" si="15"/>
        <v>1.9449459768034734</v>
      </c>
      <c r="X19">
        <f t="shared" si="16"/>
        <v>3.5190274034076103</v>
      </c>
      <c r="Y19">
        <f t="shared" si="17"/>
        <v>1.6428041348341447</v>
      </c>
      <c r="Z19">
        <f t="shared" si="18"/>
        <v>-327.60555531920966</v>
      </c>
      <c r="AA19">
        <f t="shared" si="19"/>
        <v>-59.921384719891847</v>
      </c>
      <c r="AB19">
        <f t="shared" si="20"/>
        <v>-3.8230938368204384</v>
      </c>
      <c r="AC19">
        <f t="shared" si="21"/>
        <v>-69.910442392790713</v>
      </c>
      <c r="AD19">
        <v>-4.1112628892231197E-2</v>
      </c>
      <c r="AE19">
        <v>4.6152527595633902E-2</v>
      </c>
      <c r="AF19">
        <v>3.4504963701682301</v>
      </c>
      <c r="AG19">
        <v>147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52475.854865304085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284.03138461538498</v>
      </c>
      <c r="AT19">
        <v>365.02800000000002</v>
      </c>
      <c r="AU19">
        <f t="shared" si="27"/>
        <v>0.221891513485582</v>
      </c>
      <c r="AV19">
        <v>0.5</v>
      </c>
      <c r="AW19">
        <f t="shared" si="28"/>
        <v>1681.1983372839538</v>
      </c>
      <c r="AX19">
        <f t="shared" si="29"/>
        <v>14.654094036842917</v>
      </c>
      <c r="AY19">
        <f t="shared" si="30"/>
        <v>186.52182176469023</v>
      </c>
      <c r="AZ19">
        <f t="shared" si="31"/>
        <v>0.45768543782942678</v>
      </c>
      <c r="BA19">
        <f t="shared" si="32"/>
        <v>9.3112714244844904E-3</v>
      </c>
      <c r="BB19">
        <f t="shared" si="33"/>
        <v>-1</v>
      </c>
      <c r="BC19" t="s">
        <v>296</v>
      </c>
      <c r="BD19">
        <v>197.96</v>
      </c>
      <c r="BE19">
        <f t="shared" si="34"/>
        <v>167.06800000000001</v>
      </c>
      <c r="BF19">
        <f t="shared" si="35"/>
        <v>0.48481226437507502</v>
      </c>
      <c r="BG19">
        <f t="shared" si="36"/>
        <v>1.8439482723782583</v>
      </c>
      <c r="BH19">
        <f t="shared" si="37"/>
        <v>0.22189151348558203</v>
      </c>
      <c r="BI19" t="e">
        <f t="shared" si="38"/>
        <v>#DIV/0!</v>
      </c>
      <c r="BJ19">
        <v>6597</v>
      </c>
      <c r="BK19">
        <v>300</v>
      </c>
      <c r="BL19">
        <v>300</v>
      </c>
      <c r="BM19">
        <v>300</v>
      </c>
      <c r="BN19">
        <v>9869.84</v>
      </c>
      <c r="BO19">
        <v>347.108</v>
      </c>
      <c r="BP19">
        <v>-6.5644099999999997E-3</v>
      </c>
      <c r="BQ19">
        <v>2.2266499999999998</v>
      </c>
      <c r="BR19">
        <f t="shared" si="39"/>
        <v>2000.0019354838701</v>
      </c>
      <c r="BS19">
        <f t="shared" si="40"/>
        <v>1681.1983372839538</v>
      </c>
      <c r="BT19">
        <f t="shared" si="41"/>
        <v>0.84059835515969816</v>
      </c>
      <c r="BU19">
        <f t="shared" si="42"/>
        <v>0.19119671031939653</v>
      </c>
      <c r="BV19">
        <v>0.5</v>
      </c>
      <c r="BW19" t="s">
        <v>281</v>
      </c>
      <c r="BX19">
        <v>1598205246.3</v>
      </c>
      <c r="BY19">
        <v>193.54961290322601</v>
      </c>
      <c r="BZ19">
        <v>199.98558064516101</v>
      </c>
      <c r="CA19">
        <v>19.5747483870968</v>
      </c>
      <c r="CB19">
        <v>16.661796774193601</v>
      </c>
      <c r="CC19">
        <v>500.06203225806502</v>
      </c>
      <c r="CD19">
        <v>99.159977419354803</v>
      </c>
      <c r="CE19">
        <v>0.19997032258064501</v>
      </c>
      <c r="CF19">
        <v>26.7118258064516</v>
      </c>
      <c r="CG19">
        <v>27.040822580645202</v>
      </c>
      <c r="CH19">
        <v>999.9</v>
      </c>
      <c r="CI19">
        <v>9998.5</v>
      </c>
      <c r="CJ19">
        <v>0</v>
      </c>
      <c r="CK19">
        <v>175.35719354838699</v>
      </c>
      <c r="CL19">
        <v>2000.0019354838701</v>
      </c>
      <c r="CM19">
        <v>0.98000280645161297</v>
      </c>
      <c r="CN19">
        <v>1.99968516129032E-2</v>
      </c>
      <c r="CO19">
        <v>0</v>
      </c>
      <c r="CP19">
        <v>284.04509677419401</v>
      </c>
      <c r="CQ19">
        <v>5.00054</v>
      </c>
      <c r="CR19">
        <v>7226.02</v>
      </c>
      <c r="CS19">
        <v>18703.664516129</v>
      </c>
      <c r="CT19">
        <v>48.943290322580602</v>
      </c>
      <c r="CU19">
        <v>50.076290322580597</v>
      </c>
      <c r="CV19">
        <v>49.221548387096803</v>
      </c>
      <c r="CW19">
        <v>49.481677419354803</v>
      </c>
      <c r="CX19">
        <v>50.384999999999998</v>
      </c>
      <c r="CY19">
        <v>1955.1080645161301</v>
      </c>
      <c r="CZ19">
        <v>39.890322580645197</v>
      </c>
      <c r="DA19">
        <v>0</v>
      </c>
      <c r="DB19">
        <v>121.299999952316</v>
      </c>
      <c r="DC19">
        <v>284.03138461538498</v>
      </c>
      <c r="DD19">
        <v>-3.3708034205059199</v>
      </c>
      <c r="DE19">
        <v>-53.5719657246133</v>
      </c>
      <c r="DF19">
        <v>7226.1061538461499</v>
      </c>
      <c r="DG19">
        <v>15</v>
      </c>
      <c r="DH19">
        <v>1598205280.8</v>
      </c>
      <c r="DI19" t="s">
        <v>297</v>
      </c>
      <c r="DJ19">
        <v>48</v>
      </c>
      <c r="DK19">
        <v>-0.27700000000000002</v>
      </c>
      <c r="DL19">
        <v>0.112</v>
      </c>
      <c r="DM19">
        <v>200</v>
      </c>
      <c r="DN19">
        <v>17</v>
      </c>
      <c r="DO19">
        <v>0.28000000000000003</v>
      </c>
      <c r="DP19">
        <v>0.03</v>
      </c>
      <c r="DQ19">
        <v>193.478509090909</v>
      </c>
      <c r="DR19">
        <v>9.2398268398207001E-2</v>
      </c>
      <c r="DS19">
        <v>1.8513751868934E-2</v>
      </c>
      <c r="DT19">
        <v>1</v>
      </c>
      <c r="DU19">
        <v>19.563079999999999</v>
      </c>
      <c r="DV19">
        <v>3.7293506493502403E-2</v>
      </c>
      <c r="DW19">
        <v>8.6195000909669896E-3</v>
      </c>
      <c r="DX19">
        <v>1</v>
      </c>
      <c r="DY19">
        <v>2</v>
      </c>
      <c r="DZ19">
        <v>2</v>
      </c>
      <c r="EA19" t="s">
        <v>283</v>
      </c>
      <c r="EB19">
        <v>1.8667400000000001</v>
      </c>
      <c r="EC19">
        <v>1.8632500000000001</v>
      </c>
      <c r="ED19">
        <v>1.8689</v>
      </c>
      <c r="EE19">
        <v>1.86683</v>
      </c>
      <c r="EF19">
        <v>1.8714900000000001</v>
      </c>
      <c r="EG19">
        <v>1.86399</v>
      </c>
      <c r="EH19">
        <v>1.86554</v>
      </c>
      <c r="EI19">
        <v>1.8654299999999999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-0.27700000000000002</v>
      </c>
      <c r="EX19">
        <v>0.112</v>
      </c>
      <c r="EY19">
        <v>2</v>
      </c>
      <c r="EZ19">
        <v>335.50299999999999</v>
      </c>
      <c r="FA19">
        <v>469.48099999999999</v>
      </c>
      <c r="FB19">
        <v>21.023199999999999</v>
      </c>
      <c r="FC19">
        <v>34.402799999999999</v>
      </c>
      <c r="FD19">
        <v>30</v>
      </c>
      <c r="FE19">
        <v>34.423000000000002</v>
      </c>
      <c r="FF19">
        <v>34.426400000000001</v>
      </c>
      <c r="FG19">
        <v>12.865</v>
      </c>
      <c r="FH19">
        <v>54.832900000000002</v>
      </c>
      <c r="FI19">
        <v>0</v>
      </c>
      <c r="FJ19">
        <v>21.026599999999998</v>
      </c>
      <c r="FK19">
        <v>200</v>
      </c>
      <c r="FL19">
        <v>16.644600000000001</v>
      </c>
      <c r="FM19">
        <v>100.65300000000001</v>
      </c>
      <c r="FN19">
        <v>101.124</v>
      </c>
    </row>
    <row r="20" spans="1:170" x14ac:dyDescent="0.25">
      <c r="A20">
        <v>4</v>
      </c>
      <c r="B20">
        <v>1598205372.3</v>
      </c>
      <c r="C20">
        <v>368.59999990463302</v>
      </c>
      <c r="D20" t="s">
        <v>298</v>
      </c>
      <c r="E20" t="s">
        <v>299</v>
      </c>
      <c r="G20">
        <v>1598205364.3</v>
      </c>
      <c r="H20">
        <f t="shared" si="0"/>
        <v>7.1994004105826528E-3</v>
      </c>
      <c r="I20">
        <f t="shared" si="1"/>
        <v>5.0302196627580473</v>
      </c>
      <c r="J20">
        <f t="shared" si="2"/>
        <v>97.704074193548394</v>
      </c>
      <c r="K20">
        <f t="shared" si="3"/>
        <v>76.075289161121233</v>
      </c>
      <c r="L20">
        <f t="shared" si="4"/>
        <v>7.5587163160486908</v>
      </c>
      <c r="M20">
        <f t="shared" si="5"/>
        <v>9.7077170247369899</v>
      </c>
      <c r="N20">
        <f t="shared" si="6"/>
        <v>0.4444304695255899</v>
      </c>
      <c r="O20">
        <f t="shared" si="7"/>
        <v>3.3803789998992091</v>
      </c>
      <c r="P20">
        <f t="shared" si="8"/>
        <v>0.41433421314458818</v>
      </c>
      <c r="Q20">
        <f t="shared" si="9"/>
        <v>0.26149287924503256</v>
      </c>
      <c r="R20">
        <f t="shared" si="10"/>
        <v>321.4370470507842</v>
      </c>
      <c r="S20">
        <f t="shared" si="11"/>
        <v>26.64778332397275</v>
      </c>
      <c r="T20">
        <f t="shared" si="12"/>
        <v>27.0658580645161</v>
      </c>
      <c r="U20">
        <f t="shared" si="13"/>
        <v>3.5930273025749582</v>
      </c>
      <c r="V20">
        <f t="shared" si="14"/>
        <v>54.673554408746902</v>
      </c>
      <c r="W20">
        <f t="shared" si="15"/>
        <v>1.9144417764026771</v>
      </c>
      <c r="X20">
        <f t="shared" si="16"/>
        <v>3.50158645638813</v>
      </c>
      <c r="Y20">
        <f t="shared" si="17"/>
        <v>1.6785855261722811</v>
      </c>
      <c r="Z20">
        <f t="shared" si="18"/>
        <v>-317.49355810669499</v>
      </c>
      <c r="AA20">
        <f t="shared" si="19"/>
        <v>-79.898855258227854</v>
      </c>
      <c r="AB20">
        <f t="shared" si="20"/>
        <v>-5.0931233941529577</v>
      </c>
      <c r="AC20">
        <f t="shared" si="21"/>
        <v>-81.048489708291584</v>
      </c>
      <c r="AD20">
        <v>-4.1143981977357198E-2</v>
      </c>
      <c r="AE20">
        <v>4.61877241803689E-2</v>
      </c>
      <c r="AF20">
        <v>3.4525794794479001</v>
      </c>
      <c r="AG20">
        <v>148</v>
      </c>
      <c r="AH20">
        <v>30</v>
      </c>
      <c r="AI20">
        <f t="shared" si="22"/>
        <v>1</v>
      </c>
      <c r="AJ20">
        <f t="shared" si="23"/>
        <v>0</v>
      </c>
      <c r="AK20">
        <f t="shared" si="24"/>
        <v>52528.99068964045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281.30707692307698</v>
      </c>
      <c r="AT20">
        <v>346.21199999999999</v>
      </c>
      <c r="AU20">
        <f t="shared" si="27"/>
        <v>0.18747161587964312</v>
      </c>
      <c r="AV20">
        <v>0.5</v>
      </c>
      <c r="AW20">
        <f t="shared" si="28"/>
        <v>1681.1850482570044</v>
      </c>
      <c r="AX20">
        <f t="shared" si="29"/>
        <v>5.0302196627580473</v>
      </c>
      <c r="AY20">
        <f t="shared" si="30"/>
        <v>157.58723879471819</v>
      </c>
      <c r="AZ20">
        <f t="shared" si="31"/>
        <v>0.40360241701616351</v>
      </c>
      <c r="BA20">
        <f t="shared" si="32"/>
        <v>3.5868863270048556E-3</v>
      </c>
      <c r="BB20">
        <f t="shared" si="33"/>
        <v>-1</v>
      </c>
      <c r="BC20" t="s">
        <v>301</v>
      </c>
      <c r="BD20">
        <v>206.48</v>
      </c>
      <c r="BE20">
        <f t="shared" si="34"/>
        <v>139.732</v>
      </c>
      <c r="BF20">
        <f t="shared" si="35"/>
        <v>0.46449577102541301</v>
      </c>
      <c r="BG20">
        <f t="shared" si="36"/>
        <v>1.6767338240991865</v>
      </c>
      <c r="BH20">
        <f t="shared" si="37"/>
        <v>0.18747161587964314</v>
      </c>
      <c r="BI20" t="e">
        <f t="shared" si="38"/>
        <v>#DIV/0!</v>
      </c>
      <c r="BJ20">
        <v>6599</v>
      </c>
      <c r="BK20">
        <v>300</v>
      </c>
      <c r="BL20">
        <v>300</v>
      </c>
      <c r="BM20">
        <v>300</v>
      </c>
      <c r="BN20">
        <v>9868.27</v>
      </c>
      <c r="BO20">
        <v>331.35</v>
      </c>
      <c r="BP20">
        <v>-6.5630200000000001E-3</v>
      </c>
      <c r="BQ20">
        <v>1.2927200000000001</v>
      </c>
      <c r="BR20">
        <f t="shared" si="39"/>
        <v>1999.9861290322599</v>
      </c>
      <c r="BS20">
        <f t="shared" si="40"/>
        <v>1681.1850482570044</v>
      </c>
      <c r="BT20">
        <f t="shared" si="41"/>
        <v>0.84059835408482819</v>
      </c>
      <c r="BU20">
        <f t="shared" si="42"/>
        <v>0.19119670816965642</v>
      </c>
      <c r="BV20">
        <v>0.5</v>
      </c>
      <c r="BW20" t="s">
        <v>281</v>
      </c>
      <c r="BX20">
        <v>1598205364.3</v>
      </c>
      <c r="BY20">
        <v>97.704074193548394</v>
      </c>
      <c r="BZ20">
        <v>99.997283870967706</v>
      </c>
      <c r="CA20">
        <v>19.268048387096801</v>
      </c>
      <c r="CB20">
        <v>16.444074193548399</v>
      </c>
      <c r="CC20">
        <v>500.05287096774202</v>
      </c>
      <c r="CD20">
        <v>99.158383870967796</v>
      </c>
      <c r="CE20">
        <v>0.19998070967741899</v>
      </c>
      <c r="CF20">
        <v>26.627438709677399</v>
      </c>
      <c r="CG20">
        <v>27.0658580645161</v>
      </c>
      <c r="CH20">
        <v>999.9</v>
      </c>
      <c r="CI20">
        <v>10006.2858064516</v>
      </c>
      <c r="CJ20">
        <v>0</v>
      </c>
      <c r="CK20">
        <v>174.244838709677</v>
      </c>
      <c r="CL20">
        <v>1999.9861290322599</v>
      </c>
      <c r="CM20">
        <v>0.98000551612903197</v>
      </c>
      <c r="CN20">
        <v>1.9994503225806499E-2</v>
      </c>
      <c r="CO20">
        <v>0</v>
      </c>
      <c r="CP20">
        <v>281.33083870967698</v>
      </c>
      <c r="CQ20">
        <v>5.00054</v>
      </c>
      <c r="CR20">
        <v>7182.8041935483898</v>
      </c>
      <c r="CS20">
        <v>18703.532258064501</v>
      </c>
      <c r="CT20">
        <v>49.387</v>
      </c>
      <c r="CU20">
        <v>50.463419354838699</v>
      </c>
      <c r="CV20">
        <v>49.668999999999997</v>
      </c>
      <c r="CW20">
        <v>49.842548387096798</v>
      </c>
      <c r="CX20">
        <v>50.737677419354803</v>
      </c>
      <c r="CY20">
        <v>1955.0958064516101</v>
      </c>
      <c r="CZ20">
        <v>39.89</v>
      </c>
      <c r="DA20">
        <v>0</v>
      </c>
      <c r="DB20">
        <v>117.299999952316</v>
      </c>
      <c r="DC20">
        <v>281.30707692307698</v>
      </c>
      <c r="DD20">
        <v>-2.0911453051926201</v>
      </c>
      <c r="DE20">
        <v>-43.254359077719798</v>
      </c>
      <c r="DF20">
        <v>7182.6742307692302</v>
      </c>
      <c r="DG20">
        <v>15</v>
      </c>
      <c r="DH20">
        <v>1598205396.8</v>
      </c>
      <c r="DI20" t="s">
        <v>302</v>
      </c>
      <c r="DJ20">
        <v>49</v>
      </c>
      <c r="DK20">
        <v>-0.20599999999999999</v>
      </c>
      <c r="DL20">
        <v>0.11</v>
      </c>
      <c r="DM20">
        <v>100</v>
      </c>
      <c r="DN20">
        <v>17</v>
      </c>
      <c r="DO20">
        <v>1.1499999999999999</v>
      </c>
      <c r="DP20">
        <v>0.03</v>
      </c>
      <c r="DQ20">
        <v>97.623334545454597</v>
      </c>
      <c r="DR20">
        <v>9.4330735930727896E-2</v>
      </c>
      <c r="DS20">
        <v>1.49067918404723E-2</v>
      </c>
      <c r="DT20">
        <v>1</v>
      </c>
      <c r="DU20">
        <v>19.265954545454498</v>
      </c>
      <c r="DV20">
        <v>4.3277922077922103E-2</v>
      </c>
      <c r="DW20">
        <v>6.9189809596978697E-3</v>
      </c>
      <c r="DX20">
        <v>1</v>
      </c>
      <c r="DY20">
        <v>2</v>
      </c>
      <c r="DZ20">
        <v>2</v>
      </c>
      <c r="EA20" t="s">
        <v>283</v>
      </c>
      <c r="EB20">
        <v>1.86676</v>
      </c>
      <c r="EC20">
        <v>1.8632500000000001</v>
      </c>
      <c r="ED20">
        <v>1.8689</v>
      </c>
      <c r="EE20">
        <v>1.8668199999999999</v>
      </c>
      <c r="EF20">
        <v>1.8714999999999999</v>
      </c>
      <c r="EG20">
        <v>1.8640000000000001</v>
      </c>
      <c r="EH20">
        <v>1.86555</v>
      </c>
      <c r="EI20">
        <v>1.8654599999999999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-0.20599999999999999</v>
      </c>
      <c r="EX20">
        <v>0.11</v>
      </c>
      <c r="EY20">
        <v>2</v>
      </c>
      <c r="EZ20">
        <v>334.39299999999997</v>
      </c>
      <c r="FA20">
        <v>470.26499999999999</v>
      </c>
      <c r="FB20">
        <v>21.2852</v>
      </c>
      <c r="FC20">
        <v>34.402799999999999</v>
      </c>
      <c r="FD20">
        <v>30</v>
      </c>
      <c r="FE20">
        <v>34.413600000000002</v>
      </c>
      <c r="FF20">
        <v>34.414099999999998</v>
      </c>
      <c r="FG20">
        <v>8.0162399999999998</v>
      </c>
      <c r="FH20">
        <v>55.245800000000003</v>
      </c>
      <c r="FI20">
        <v>0</v>
      </c>
      <c r="FJ20">
        <v>21.291699999999999</v>
      </c>
      <c r="FK20">
        <v>100</v>
      </c>
      <c r="FL20">
        <v>16.560700000000001</v>
      </c>
      <c r="FM20">
        <v>100.651</v>
      </c>
      <c r="FN20">
        <v>101.125</v>
      </c>
    </row>
    <row r="21" spans="1:170" x14ac:dyDescent="0.25">
      <c r="A21">
        <v>5</v>
      </c>
      <c r="B21">
        <v>1598205488.3</v>
      </c>
      <c r="C21">
        <v>484.59999990463302</v>
      </c>
      <c r="D21" t="s">
        <v>303</v>
      </c>
      <c r="E21" t="s">
        <v>304</v>
      </c>
      <c r="G21">
        <v>1598205480.3</v>
      </c>
      <c r="H21">
        <f t="shared" si="0"/>
        <v>7.1760403174775831E-3</v>
      </c>
      <c r="I21">
        <f t="shared" si="1"/>
        <v>0.48341156411616409</v>
      </c>
      <c r="J21">
        <f t="shared" si="2"/>
        <v>49.6652967741935</v>
      </c>
      <c r="K21">
        <f t="shared" si="3"/>
        <v>46.530170034519202</v>
      </c>
      <c r="L21">
        <f t="shared" si="4"/>
        <v>4.6232660570199249</v>
      </c>
      <c r="M21">
        <f t="shared" si="5"/>
        <v>4.9347741608854117</v>
      </c>
      <c r="N21">
        <f t="shared" si="6"/>
        <v>0.44948517062096849</v>
      </c>
      <c r="O21">
        <f t="shared" si="7"/>
        <v>3.3786554206692561</v>
      </c>
      <c r="P21">
        <f t="shared" si="8"/>
        <v>0.41871128610285907</v>
      </c>
      <c r="Q21">
        <f t="shared" si="9"/>
        <v>0.26428368197044216</v>
      </c>
      <c r="R21">
        <f t="shared" si="10"/>
        <v>321.44220396933673</v>
      </c>
      <c r="S21">
        <f t="shared" si="11"/>
        <v>26.698536288740588</v>
      </c>
      <c r="T21">
        <f t="shared" si="12"/>
        <v>26.995274193548401</v>
      </c>
      <c r="U21">
        <f t="shared" si="13"/>
        <v>3.578166387597848</v>
      </c>
      <c r="V21">
        <f t="shared" si="14"/>
        <v>54.754833260508676</v>
      </c>
      <c r="W21">
        <f t="shared" si="15"/>
        <v>1.9224204195536201</v>
      </c>
      <c r="X21">
        <f t="shared" si="16"/>
        <v>3.5109602295878868</v>
      </c>
      <c r="Y21">
        <f t="shared" si="17"/>
        <v>1.6557459680442279</v>
      </c>
      <c r="Z21">
        <f t="shared" si="18"/>
        <v>-316.4633780007614</v>
      </c>
      <c r="AA21">
        <f t="shared" si="19"/>
        <v>-58.7316462926361</v>
      </c>
      <c r="AB21">
        <f t="shared" si="20"/>
        <v>-3.7452644430760507</v>
      </c>
      <c r="AC21">
        <f t="shared" si="21"/>
        <v>-57.498084767136817</v>
      </c>
      <c r="AD21">
        <v>-4.11173359144891E-2</v>
      </c>
      <c r="AE21">
        <v>4.61578116404762E-2</v>
      </c>
      <c r="AF21">
        <v>3.45080914104626</v>
      </c>
      <c r="AG21">
        <v>149</v>
      </c>
      <c r="AH21">
        <v>30</v>
      </c>
      <c r="AI21">
        <f t="shared" si="22"/>
        <v>1</v>
      </c>
      <c r="AJ21">
        <f t="shared" si="23"/>
        <v>0</v>
      </c>
      <c r="AK21">
        <f t="shared" si="24"/>
        <v>52488.459184648469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279.97419230769202</v>
      </c>
      <c r="AT21">
        <v>335.55200000000002</v>
      </c>
      <c r="AU21">
        <f t="shared" si="27"/>
        <v>0.165630983252396</v>
      </c>
      <c r="AV21">
        <v>0.5</v>
      </c>
      <c r="AW21">
        <f t="shared" si="28"/>
        <v>1681.2067932251146</v>
      </c>
      <c r="AX21">
        <f t="shared" si="29"/>
        <v>0.48341156411616409</v>
      </c>
      <c r="AY21">
        <f t="shared" si="30"/>
        <v>139.22996710624167</v>
      </c>
      <c r="AZ21">
        <f t="shared" si="31"/>
        <v>0.3754768262445165</v>
      </c>
      <c r="BA21">
        <f t="shared" si="32"/>
        <v>8.8234925655426757E-4</v>
      </c>
      <c r="BB21">
        <f t="shared" si="33"/>
        <v>-1</v>
      </c>
      <c r="BC21" t="s">
        <v>306</v>
      </c>
      <c r="BD21">
        <v>209.56</v>
      </c>
      <c r="BE21">
        <f t="shared" si="34"/>
        <v>125.99200000000002</v>
      </c>
      <c r="BF21">
        <f t="shared" si="35"/>
        <v>0.44112171957194102</v>
      </c>
      <c r="BG21">
        <f t="shared" si="36"/>
        <v>1.6012216071769423</v>
      </c>
      <c r="BH21">
        <f t="shared" si="37"/>
        <v>0.16563098325239603</v>
      </c>
      <c r="BI21" t="e">
        <f t="shared" si="38"/>
        <v>#DIV/0!</v>
      </c>
      <c r="BJ21">
        <v>6601</v>
      </c>
      <c r="BK21">
        <v>300</v>
      </c>
      <c r="BL21">
        <v>300</v>
      </c>
      <c r="BM21">
        <v>300</v>
      </c>
      <c r="BN21">
        <v>9866.6299999999992</v>
      </c>
      <c r="BO21">
        <v>321.411</v>
      </c>
      <c r="BP21">
        <v>-6.5616499999999996E-3</v>
      </c>
      <c r="BQ21">
        <v>1.48248</v>
      </c>
      <c r="BR21">
        <f t="shared" si="39"/>
        <v>2000.01129032258</v>
      </c>
      <c r="BS21">
        <f t="shared" si="40"/>
        <v>1681.2067932251146</v>
      </c>
      <c r="BT21">
        <f t="shared" si="41"/>
        <v>0.84059865129759059</v>
      </c>
      <c r="BU21">
        <f t="shared" si="42"/>
        <v>0.19119730259518136</v>
      </c>
      <c r="BV21">
        <v>0.5</v>
      </c>
      <c r="BW21" t="s">
        <v>281</v>
      </c>
      <c r="BX21">
        <v>1598205480.3</v>
      </c>
      <c r="BY21">
        <v>49.6652967741935</v>
      </c>
      <c r="BZ21">
        <v>50.001183870967701</v>
      </c>
      <c r="CA21">
        <v>19.347912903225801</v>
      </c>
      <c r="CB21">
        <v>16.533348387096801</v>
      </c>
      <c r="CC21">
        <v>500.05596774193498</v>
      </c>
      <c r="CD21">
        <v>99.160622580645196</v>
      </c>
      <c r="CE21">
        <v>0.199986967741935</v>
      </c>
      <c r="CF21">
        <v>26.6728387096774</v>
      </c>
      <c r="CG21">
        <v>26.995274193548401</v>
      </c>
      <c r="CH21">
        <v>999.9</v>
      </c>
      <c r="CI21">
        <v>9999.5796774193495</v>
      </c>
      <c r="CJ21">
        <v>0</v>
      </c>
      <c r="CK21">
        <v>149.89087096774199</v>
      </c>
      <c r="CL21">
        <v>2000.01129032258</v>
      </c>
      <c r="CM21">
        <v>0.97999490322580596</v>
      </c>
      <c r="CN21">
        <v>2.0005383870967699E-2</v>
      </c>
      <c r="CO21">
        <v>0</v>
      </c>
      <c r="CP21">
        <v>279.97735483871003</v>
      </c>
      <c r="CQ21">
        <v>5.00054</v>
      </c>
      <c r="CR21">
        <v>6997.5651612903202</v>
      </c>
      <c r="CS21">
        <v>18703.7096774194</v>
      </c>
      <c r="CT21">
        <v>49.771935483870998</v>
      </c>
      <c r="CU21">
        <v>50.868870967741898</v>
      </c>
      <c r="CV21">
        <v>50.072225806451598</v>
      </c>
      <c r="CW21">
        <v>50.189322580645197</v>
      </c>
      <c r="CX21">
        <v>51.118870967741898</v>
      </c>
      <c r="CY21">
        <v>1955.1009677419299</v>
      </c>
      <c r="CZ21">
        <v>39.9103225806452</v>
      </c>
      <c r="DA21">
        <v>0</v>
      </c>
      <c r="DB21">
        <v>115.299999952316</v>
      </c>
      <c r="DC21">
        <v>279.97419230769202</v>
      </c>
      <c r="DD21">
        <v>-2.5307692307665102</v>
      </c>
      <c r="DE21">
        <v>834.84649528172099</v>
      </c>
      <c r="DF21">
        <v>7001.6684615384602</v>
      </c>
      <c r="DG21">
        <v>15</v>
      </c>
      <c r="DH21">
        <v>1598205515.8</v>
      </c>
      <c r="DI21" t="s">
        <v>307</v>
      </c>
      <c r="DJ21">
        <v>50</v>
      </c>
      <c r="DK21">
        <v>-0.27700000000000002</v>
      </c>
      <c r="DL21">
        <v>0.112</v>
      </c>
      <c r="DM21">
        <v>50</v>
      </c>
      <c r="DN21">
        <v>17</v>
      </c>
      <c r="DO21">
        <v>0.48</v>
      </c>
      <c r="DP21">
        <v>0.03</v>
      </c>
      <c r="DQ21">
        <v>49.7294490909091</v>
      </c>
      <c r="DR21">
        <v>5.91619047619256E-2</v>
      </c>
      <c r="DS21">
        <v>1.16550710419003E-2</v>
      </c>
      <c r="DT21">
        <v>1</v>
      </c>
      <c r="DU21">
        <v>19.339790909090901</v>
      </c>
      <c r="DV21">
        <v>5.3316017316023298E-2</v>
      </c>
      <c r="DW21">
        <v>7.5254543258144197E-3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1.86327</v>
      </c>
      <c r="ED21">
        <v>1.86893</v>
      </c>
      <c r="EE21">
        <v>1.8668800000000001</v>
      </c>
      <c r="EF21">
        <v>1.8715299999999999</v>
      </c>
      <c r="EG21">
        <v>1.8640099999999999</v>
      </c>
      <c r="EH21">
        <v>1.8655900000000001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-0.27700000000000002</v>
      </c>
      <c r="EX21">
        <v>0.112</v>
      </c>
      <c r="EY21">
        <v>2</v>
      </c>
      <c r="EZ21">
        <v>333.72800000000001</v>
      </c>
      <c r="FA21">
        <v>470.42899999999997</v>
      </c>
      <c r="FB21">
        <v>21.813500000000001</v>
      </c>
      <c r="FC21">
        <v>34.396500000000003</v>
      </c>
      <c r="FD21">
        <v>30.0002</v>
      </c>
      <c r="FE21">
        <v>34.413600000000002</v>
      </c>
      <c r="FF21">
        <v>34.414099999999998</v>
      </c>
      <c r="FG21">
        <v>5.56778</v>
      </c>
      <c r="FH21">
        <v>55.451999999999998</v>
      </c>
      <c r="FI21">
        <v>0</v>
      </c>
      <c r="FJ21">
        <v>21.822700000000001</v>
      </c>
      <c r="FK21">
        <v>50</v>
      </c>
      <c r="FL21">
        <v>16.578499999999998</v>
      </c>
      <c r="FM21">
        <v>100.65</v>
      </c>
      <c r="FN21">
        <v>101.127</v>
      </c>
    </row>
    <row r="22" spans="1:170" x14ac:dyDescent="0.25">
      <c r="A22">
        <v>6</v>
      </c>
      <c r="B22">
        <v>1598205607.3</v>
      </c>
      <c r="C22">
        <v>603.59999990463302</v>
      </c>
      <c r="D22" t="s">
        <v>308</v>
      </c>
      <c r="E22" t="s">
        <v>309</v>
      </c>
      <c r="G22">
        <v>1598205599.3</v>
      </c>
      <c r="H22">
        <f t="shared" si="0"/>
        <v>7.2059522298145492E-3</v>
      </c>
      <c r="I22">
        <f t="shared" si="1"/>
        <v>31.202796262919829</v>
      </c>
      <c r="J22">
        <f t="shared" si="2"/>
        <v>386.41496774193502</v>
      </c>
      <c r="K22">
        <f t="shared" si="3"/>
        <v>261.0300391233045</v>
      </c>
      <c r="L22">
        <f t="shared" si="4"/>
        <v>25.93594472097282</v>
      </c>
      <c r="M22">
        <f t="shared" si="5"/>
        <v>38.394191244698639</v>
      </c>
      <c r="N22">
        <f t="shared" si="6"/>
        <v>0.45523404076173335</v>
      </c>
      <c r="O22">
        <f t="shared" si="7"/>
        <v>3.3783303207783093</v>
      </c>
      <c r="P22">
        <f t="shared" si="8"/>
        <v>0.42369472852275719</v>
      </c>
      <c r="Q22">
        <f t="shared" si="9"/>
        <v>0.2674605754282684</v>
      </c>
      <c r="R22">
        <f t="shared" si="10"/>
        <v>321.44297353505311</v>
      </c>
      <c r="S22">
        <f t="shared" si="11"/>
        <v>26.862502556659738</v>
      </c>
      <c r="T22">
        <f t="shared" si="12"/>
        <v>26.997558064516099</v>
      </c>
      <c r="U22">
        <f t="shared" si="13"/>
        <v>3.578646398548988</v>
      </c>
      <c r="V22">
        <f t="shared" si="14"/>
        <v>54.581354299878207</v>
      </c>
      <c r="W22">
        <f t="shared" si="15"/>
        <v>1.9356818425137412</v>
      </c>
      <c r="X22">
        <f t="shared" si="16"/>
        <v>3.5464159278254854</v>
      </c>
      <c r="Y22">
        <f t="shared" si="17"/>
        <v>1.6429645560352468</v>
      </c>
      <c r="Z22">
        <f t="shared" si="18"/>
        <v>-317.78249333482159</v>
      </c>
      <c r="AA22">
        <f t="shared" si="19"/>
        <v>-28.039011425690433</v>
      </c>
      <c r="AB22">
        <f t="shared" si="20"/>
        <v>-1.7897428727503428</v>
      </c>
      <c r="AC22">
        <f t="shared" si="21"/>
        <v>-26.168274098209281</v>
      </c>
      <c r="AD22">
        <v>-4.1112310641361498E-2</v>
      </c>
      <c r="AE22">
        <v>4.6152170331152403E-2</v>
      </c>
      <c r="AF22">
        <v>3.4504752226814501</v>
      </c>
      <c r="AG22">
        <v>148</v>
      </c>
      <c r="AH22">
        <v>30</v>
      </c>
      <c r="AI22">
        <f t="shared" si="22"/>
        <v>1</v>
      </c>
      <c r="AJ22">
        <f t="shared" si="23"/>
        <v>0</v>
      </c>
      <c r="AK22">
        <f t="shared" si="24"/>
        <v>52452.402374808968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271.11307692307702</v>
      </c>
      <c r="AT22">
        <v>377.51499999999999</v>
      </c>
      <c r="AU22">
        <f t="shared" si="27"/>
        <v>0.2818481996130564</v>
      </c>
      <c r="AV22">
        <v>0.5</v>
      </c>
      <c r="AW22">
        <f t="shared" si="28"/>
        <v>1681.2132910210735</v>
      </c>
      <c r="AX22">
        <f t="shared" si="29"/>
        <v>31.202796262919829</v>
      </c>
      <c r="AY22">
        <f t="shared" si="30"/>
        <v>236.92346961991549</v>
      </c>
      <c r="AZ22">
        <f t="shared" si="31"/>
        <v>0.51662847833860903</v>
      </c>
      <c r="BA22">
        <f t="shared" si="32"/>
        <v>1.9154497787345997E-2</v>
      </c>
      <c r="BB22">
        <f t="shared" si="33"/>
        <v>-1</v>
      </c>
      <c r="BC22" t="s">
        <v>311</v>
      </c>
      <c r="BD22">
        <v>182.48</v>
      </c>
      <c r="BE22">
        <f t="shared" si="34"/>
        <v>195.035</v>
      </c>
      <c r="BF22">
        <f t="shared" si="35"/>
        <v>0.54555296781051077</v>
      </c>
      <c r="BG22">
        <f t="shared" si="36"/>
        <v>2.068802060499781</v>
      </c>
      <c r="BH22">
        <f t="shared" si="37"/>
        <v>0.28184819961305635</v>
      </c>
      <c r="BI22" t="e">
        <f t="shared" si="38"/>
        <v>#DIV/0!</v>
      </c>
      <c r="BJ22">
        <v>6603</v>
      </c>
      <c r="BK22">
        <v>300</v>
      </c>
      <c r="BL22">
        <v>300</v>
      </c>
      <c r="BM22">
        <v>300</v>
      </c>
      <c r="BN22">
        <v>9865</v>
      </c>
      <c r="BO22">
        <v>346.25900000000001</v>
      </c>
      <c r="BP22">
        <v>-6.5604900000000004E-3</v>
      </c>
      <c r="BQ22">
        <v>0.60879499999999998</v>
      </c>
      <c r="BR22">
        <f t="shared" si="39"/>
        <v>2000.0193548387099</v>
      </c>
      <c r="BS22">
        <f t="shared" si="40"/>
        <v>1681.2132910210735</v>
      </c>
      <c r="BT22">
        <f t="shared" si="41"/>
        <v>0.8405985106862397</v>
      </c>
      <c r="BU22">
        <f t="shared" si="42"/>
        <v>0.19119702137247968</v>
      </c>
      <c r="BV22">
        <v>0.5</v>
      </c>
      <c r="BW22" t="s">
        <v>281</v>
      </c>
      <c r="BX22">
        <v>1598205599.3</v>
      </c>
      <c r="BY22">
        <v>386.41496774193502</v>
      </c>
      <c r="BZ22">
        <v>400.00825806451599</v>
      </c>
      <c r="CA22">
        <v>19.4815</v>
      </c>
      <c r="CB22">
        <v>16.655609677419399</v>
      </c>
      <c r="CC22">
        <v>500.05970967741899</v>
      </c>
      <c r="CD22">
        <v>99.160003225806406</v>
      </c>
      <c r="CE22">
        <v>0.19999690322580599</v>
      </c>
      <c r="CF22">
        <v>26.843609677419401</v>
      </c>
      <c r="CG22">
        <v>26.997558064516099</v>
      </c>
      <c r="CH22">
        <v>999.9</v>
      </c>
      <c r="CI22">
        <v>9998.42</v>
      </c>
      <c r="CJ22">
        <v>0</v>
      </c>
      <c r="CK22">
        <v>174.28693548387099</v>
      </c>
      <c r="CL22">
        <v>2000.0193548387099</v>
      </c>
      <c r="CM22">
        <v>0.97999758064516096</v>
      </c>
      <c r="CN22">
        <v>2.00022967741935E-2</v>
      </c>
      <c r="CO22">
        <v>0</v>
      </c>
      <c r="CP22">
        <v>271.12738709677399</v>
      </c>
      <c r="CQ22">
        <v>5.00054</v>
      </c>
      <c r="CR22">
        <v>6999.2367741935504</v>
      </c>
      <c r="CS22">
        <v>18703.8</v>
      </c>
      <c r="CT22">
        <v>50.179064516129003</v>
      </c>
      <c r="CU22">
        <v>51.340451612903202</v>
      </c>
      <c r="CV22">
        <v>50.509967741935498</v>
      </c>
      <c r="CW22">
        <v>50.614774193548399</v>
      </c>
      <c r="CX22">
        <v>51.503935483870997</v>
      </c>
      <c r="CY22">
        <v>1955.1112903225801</v>
      </c>
      <c r="CZ22">
        <v>39.900967741935503</v>
      </c>
      <c r="DA22">
        <v>0</v>
      </c>
      <c r="DB22">
        <v>118.5</v>
      </c>
      <c r="DC22">
        <v>271.11307692307702</v>
      </c>
      <c r="DD22">
        <v>-0.31336753035755399</v>
      </c>
      <c r="DE22">
        <v>-5.0420512691388097</v>
      </c>
      <c r="DF22">
        <v>6999.0676923076899</v>
      </c>
      <c r="DG22">
        <v>15</v>
      </c>
      <c r="DH22">
        <v>1598205633.3</v>
      </c>
      <c r="DI22" t="s">
        <v>312</v>
      </c>
      <c r="DJ22">
        <v>51</v>
      </c>
      <c r="DK22">
        <v>-0.219</v>
      </c>
      <c r="DL22">
        <v>0.111</v>
      </c>
      <c r="DM22">
        <v>400</v>
      </c>
      <c r="DN22">
        <v>17</v>
      </c>
      <c r="DO22">
        <v>0.16</v>
      </c>
      <c r="DP22">
        <v>0.04</v>
      </c>
      <c r="DQ22">
        <v>386.34739999999999</v>
      </c>
      <c r="DR22">
        <v>6.2155844156123997E-2</v>
      </c>
      <c r="DS22">
        <v>1.94324938744833E-2</v>
      </c>
      <c r="DT22">
        <v>1</v>
      </c>
      <c r="DU22">
        <v>19.479996363636399</v>
      </c>
      <c r="DV22">
        <v>2.6287445887448E-2</v>
      </c>
      <c r="DW22">
        <v>3.6173301875764398E-3</v>
      </c>
      <c r="DX22">
        <v>1</v>
      </c>
      <c r="DY22">
        <v>2</v>
      </c>
      <c r="DZ22">
        <v>2</v>
      </c>
      <c r="EA22" t="s">
        <v>283</v>
      </c>
      <c r="EB22">
        <v>1.86676</v>
      </c>
      <c r="EC22">
        <v>1.8632500000000001</v>
      </c>
      <c r="ED22">
        <v>1.86894</v>
      </c>
      <c r="EE22">
        <v>1.8668899999999999</v>
      </c>
      <c r="EF22">
        <v>1.8715200000000001</v>
      </c>
      <c r="EG22">
        <v>1.8640000000000001</v>
      </c>
      <c r="EH22">
        <v>1.8655600000000001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-0.219</v>
      </c>
      <c r="EX22">
        <v>0.111</v>
      </c>
      <c r="EY22">
        <v>2</v>
      </c>
      <c r="EZ22">
        <v>334.589</v>
      </c>
      <c r="FA22">
        <v>471.16399999999999</v>
      </c>
      <c r="FB22">
        <v>22.029800000000002</v>
      </c>
      <c r="FC22">
        <v>34.446199999999997</v>
      </c>
      <c r="FD22">
        <v>30.001000000000001</v>
      </c>
      <c r="FE22">
        <v>34.451500000000003</v>
      </c>
      <c r="FF22">
        <v>34.453800000000001</v>
      </c>
      <c r="FG22">
        <v>22.022200000000002</v>
      </c>
      <c r="FH22">
        <v>55.292999999999999</v>
      </c>
      <c r="FI22">
        <v>0</v>
      </c>
      <c r="FJ22">
        <v>22.0382</v>
      </c>
      <c r="FK22">
        <v>400</v>
      </c>
      <c r="FL22">
        <v>16.758400000000002</v>
      </c>
      <c r="FM22">
        <v>100.637</v>
      </c>
      <c r="FN22">
        <v>101.113</v>
      </c>
    </row>
    <row r="23" spans="1:170" x14ac:dyDescent="0.25">
      <c r="A23">
        <v>7</v>
      </c>
      <c r="B23">
        <v>1598205726.3</v>
      </c>
      <c r="C23">
        <v>722.59999990463302</v>
      </c>
      <c r="D23" t="s">
        <v>313</v>
      </c>
      <c r="E23" t="s">
        <v>314</v>
      </c>
      <c r="G23">
        <v>1598205718.3</v>
      </c>
      <c r="H23">
        <f t="shared" si="0"/>
        <v>7.1203138468514358E-3</v>
      </c>
      <c r="I23">
        <f t="shared" si="1"/>
        <v>31.661145486081473</v>
      </c>
      <c r="J23">
        <f t="shared" si="2"/>
        <v>386.26312903225801</v>
      </c>
      <c r="K23">
        <f t="shared" si="3"/>
        <v>260.63864210204969</v>
      </c>
      <c r="L23">
        <f t="shared" si="4"/>
        <v>25.895137523569403</v>
      </c>
      <c r="M23">
        <f t="shared" si="5"/>
        <v>38.376262114879609</v>
      </c>
      <c r="N23">
        <f t="shared" si="6"/>
        <v>0.46048636194887366</v>
      </c>
      <c r="O23">
        <f t="shared" si="7"/>
        <v>3.3789017469819842</v>
      </c>
      <c r="P23">
        <f t="shared" si="8"/>
        <v>0.42824774635141155</v>
      </c>
      <c r="Q23">
        <f t="shared" si="9"/>
        <v>0.27036303299873959</v>
      </c>
      <c r="R23">
        <f t="shared" si="10"/>
        <v>321.43760840734279</v>
      </c>
      <c r="S23">
        <f t="shared" si="11"/>
        <v>26.942140509812823</v>
      </c>
      <c r="T23">
        <f t="shared" si="12"/>
        <v>26.994780645161299</v>
      </c>
      <c r="U23">
        <f t="shared" si="13"/>
        <v>3.5780626638031841</v>
      </c>
      <c r="V23">
        <f t="shared" si="14"/>
        <v>55.417645670993629</v>
      </c>
      <c r="W23">
        <f t="shared" si="15"/>
        <v>1.9723056895554296</v>
      </c>
      <c r="X23">
        <f t="shared" si="16"/>
        <v>3.5589849869565318</v>
      </c>
      <c r="Y23">
        <f t="shared" si="17"/>
        <v>1.6057569742477544</v>
      </c>
      <c r="Z23">
        <f t="shared" si="18"/>
        <v>-314.00584064614833</v>
      </c>
      <c r="AA23">
        <f t="shared" si="19"/>
        <v>-16.575102068350688</v>
      </c>
      <c r="AB23">
        <f t="shared" si="20"/>
        <v>-1.0581210666701857</v>
      </c>
      <c r="AC23">
        <f t="shared" si="21"/>
        <v>-10.20145537382642</v>
      </c>
      <c r="AD23">
        <v>-4.1121143679097999E-2</v>
      </c>
      <c r="AE23">
        <v>4.6162086189828103E-2</v>
      </c>
      <c r="AF23">
        <v>3.4510621493187199</v>
      </c>
      <c r="AG23">
        <v>149</v>
      </c>
      <c r="AH23">
        <v>30</v>
      </c>
      <c r="AI23">
        <f t="shared" si="22"/>
        <v>1</v>
      </c>
      <c r="AJ23">
        <f t="shared" si="23"/>
        <v>0</v>
      </c>
      <c r="AK23">
        <f t="shared" si="24"/>
        <v>52452.524256322577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270.930461538462</v>
      </c>
      <c r="AT23">
        <v>380.2</v>
      </c>
      <c r="AU23">
        <f t="shared" si="27"/>
        <v>0.28740015376522354</v>
      </c>
      <c r="AV23">
        <v>0.5</v>
      </c>
      <c r="AW23">
        <f t="shared" si="28"/>
        <v>1681.1853480639058</v>
      </c>
      <c r="AX23">
        <f t="shared" si="29"/>
        <v>31.661145486081473</v>
      </c>
      <c r="AY23">
        <f t="shared" si="30"/>
        <v>241.58646377070369</v>
      </c>
      <c r="AZ23">
        <f t="shared" si="31"/>
        <v>0.51525512887953706</v>
      </c>
      <c r="BA23">
        <f t="shared" si="32"/>
        <v>1.9427450711306072E-2</v>
      </c>
      <c r="BB23">
        <f t="shared" si="33"/>
        <v>-1</v>
      </c>
      <c r="BC23" t="s">
        <v>316</v>
      </c>
      <c r="BD23">
        <v>184.3</v>
      </c>
      <c r="BE23">
        <f t="shared" si="34"/>
        <v>195.89999999999998</v>
      </c>
      <c r="BF23">
        <f t="shared" si="35"/>
        <v>0.55778222798130683</v>
      </c>
      <c r="BG23">
        <f t="shared" si="36"/>
        <v>2.0629408572978836</v>
      </c>
      <c r="BH23">
        <f t="shared" si="37"/>
        <v>0.28740015376522354</v>
      </c>
      <c r="BI23" t="e">
        <f t="shared" si="38"/>
        <v>#DIV/0!</v>
      </c>
      <c r="BJ23">
        <v>6605</v>
      </c>
      <c r="BK23">
        <v>300</v>
      </c>
      <c r="BL23">
        <v>300</v>
      </c>
      <c r="BM23">
        <v>300</v>
      </c>
      <c r="BN23">
        <v>9863.41</v>
      </c>
      <c r="BO23">
        <v>350.70100000000002</v>
      </c>
      <c r="BP23">
        <v>-6.5592300000000001E-3</v>
      </c>
      <c r="BQ23">
        <v>0.91879299999999997</v>
      </c>
      <c r="BR23">
        <f t="shared" si="39"/>
        <v>1999.9861290322599</v>
      </c>
      <c r="BS23">
        <f t="shared" si="40"/>
        <v>1681.1853480639058</v>
      </c>
      <c r="BT23">
        <f t="shared" si="41"/>
        <v>0.84059850398931857</v>
      </c>
      <c r="BU23">
        <f t="shared" si="42"/>
        <v>0.19119700797863734</v>
      </c>
      <c r="BV23">
        <v>0.5</v>
      </c>
      <c r="BW23" t="s">
        <v>281</v>
      </c>
      <c r="BX23">
        <v>1598205718.3</v>
      </c>
      <c r="BY23">
        <v>386.26312903225801</v>
      </c>
      <c r="BZ23">
        <v>400.02612903225798</v>
      </c>
      <c r="CA23">
        <v>19.851567741935501</v>
      </c>
      <c r="CB23">
        <v>17.0603032258065</v>
      </c>
      <c r="CC23">
        <v>500.05754838709697</v>
      </c>
      <c r="CD23">
        <v>99.1526322580645</v>
      </c>
      <c r="CE23">
        <v>0.20000906451612899</v>
      </c>
      <c r="CF23">
        <v>26.903790322580601</v>
      </c>
      <c r="CG23">
        <v>26.994780645161299</v>
      </c>
      <c r="CH23">
        <v>999.9</v>
      </c>
      <c r="CI23">
        <v>10001.311612903201</v>
      </c>
      <c r="CJ23">
        <v>0</v>
      </c>
      <c r="CK23">
        <v>172.33403225806401</v>
      </c>
      <c r="CL23">
        <v>1999.9861290322599</v>
      </c>
      <c r="CM23">
        <v>0.98000045161290295</v>
      </c>
      <c r="CN23">
        <v>1.99996129032258E-2</v>
      </c>
      <c r="CO23">
        <v>0</v>
      </c>
      <c r="CP23">
        <v>270.92987096774198</v>
      </c>
      <c r="CQ23">
        <v>5.00054</v>
      </c>
      <c r="CR23">
        <v>7024.0283870967696</v>
      </c>
      <c r="CS23">
        <v>18703.493548387101</v>
      </c>
      <c r="CT23">
        <v>50.548000000000002</v>
      </c>
      <c r="CU23">
        <v>51.723580645161299</v>
      </c>
      <c r="CV23">
        <v>50.899000000000001</v>
      </c>
      <c r="CW23">
        <v>50.985709677419401</v>
      </c>
      <c r="CX23">
        <v>51.8648387096774</v>
      </c>
      <c r="CY23">
        <v>1955.08612903226</v>
      </c>
      <c r="CZ23">
        <v>39.9</v>
      </c>
      <c r="DA23">
        <v>0</v>
      </c>
      <c r="DB23">
        <v>118.40000009536701</v>
      </c>
      <c r="DC23">
        <v>270.930461538462</v>
      </c>
      <c r="DD23">
        <v>-0.41353846056455501</v>
      </c>
      <c r="DE23">
        <v>4.4858120648645903</v>
      </c>
      <c r="DF23">
        <v>7023.9626923076903</v>
      </c>
      <c r="DG23">
        <v>15</v>
      </c>
      <c r="DH23">
        <v>1598205753.3</v>
      </c>
      <c r="DI23" t="s">
        <v>317</v>
      </c>
      <c r="DJ23">
        <v>52</v>
      </c>
      <c r="DK23">
        <v>-0.221</v>
      </c>
      <c r="DL23">
        <v>0.113</v>
      </c>
      <c r="DM23">
        <v>400</v>
      </c>
      <c r="DN23">
        <v>17</v>
      </c>
      <c r="DO23">
        <v>0.1</v>
      </c>
      <c r="DP23">
        <v>0.03</v>
      </c>
      <c r="DQ23">
        <v>386.24561818181797</v>
      </c>
      <c r="DR23">
        <v>0.14862337662337299</v>
      </c>
      <c r="DS23">
        <v>2.4221321117855299E-2</v>
      </c>
      <c r="DT23">
        <v>1</v>
      </c>
      <c r="DU23">
        <v>19.827747272727301</v>
      </c>
      <c r="DV23">
        <v>0.18629177489177801</v>
      </c>
      <c r="DW23">
        <v>2.7622512916726301E-2</v>
      </c>
      <c r="DX23">
        <v>1</v>
      </c>
      <c r="DY23">
        <v>2</v>
      </c>
      <c r="DZ23">
        <v>2</v>
      </c>
      <c r="EA23" t="s">
        <v>283</v>
      </c>
      <c r="EB23">
        <v>1.86676</v>
      </c>
      <c r="EC23">
        <v>1.8632500000000001</v>
      </c>
      <c r="ED23">
        <v>1.86893</v>
      </c>
      <c r="EE23">
        <v>1.8668800000000001</v>
      </c>
      <c r="EF23">
        <v>1.87154</v>
      </c>
      <c r="EG23">
        <v>1.8640099999999999</v>
      </c>
      <c r="EH23">
        <v>1.86561</v>
      </c>
      <c r="EI23">
        <v>1.86554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-0.221</v>
      </c>
      <c r="EX23">
        <v>0.113</v>
      </c>
      <c r="EY23">
        <v>2</v>
      </c>
      <c r="EZ23">
        <v>333.43299999999999</v>
      </c>
      <c r="FA23">
        <v>470.96899999999999</v>
      </c>
      <c r="FB23">
        <v>22.077999999999999</v>
      </c>
      <c r="FC23">
        <v>34.5229</v>
      </c>
      <c r="FD23">
        <v>30.001200000000001</v>
      </c>
      <c r="FE23">
        <v>34.513300000000001</v>
      </c>
      <c r="FF23">
        <v>34.511200000000002</v>
      </c>
      <c r="FG23">
        <v>22.021699999999999</v>
      </c>
      <c r="FH23">
        <v>54.831800000000001</v>
      </c>
      <c r="FI23">
        <v>0</v>
      </c>
      <c r="FJ23">
        <v>22.0458</v>
      </c>
      <c r="FK23">
        <v>400</v>
      </c>
      <c r="FL23">
        <v>16.8643</v>
      </c>
      <c r="FM23">
        <v>100.625</v>
      </c>
      <c r="FN23">
        <v>101.1</v>
      </c>
    </row>
    <row r="24" spans="1:170" x14ac:dyDescent="0.25">
      <c r="A24">
        <v>8</v>
      </c>
      <c r="B24">
        <v>1598205874.8</v>
      </c>
      <c r="C24">
        <v>871.09999990463302</v>
      </c>
      <c r="D24" t="s">
        <v>318</v>
      </c>
      <c r="E24" t="s">
        <v>319</v>
      </c>
      <c r="G24">
        <v>1598205866.8</v>
      </c>
      <c r="H24">
        <f t="shared" si="0"/>
        <v>6.8341772627170507E-3</v>
      </c>
      <c r="I24">
        <f t="shared" si="1"/>
        <v>38.324254151659623</v>
      </c>
      <c r="J24">
        <f t="shared" si="2"/>
        <v>483.51364516129001</v>
      </c>
      <c r="K24">
        <f t="shared" si="3"/>
        <v>320.51412586680635</v>
      </c>
      <c r="L24">
        <f t="shared" si="4"/>
        <v>31.842077914853753</v>
      </c>
      <c r="M24">
        <f t="shared" si="5"/>
        <v>48.035571351132212</v>
      </c>
      <c r="N24">
        <f t="shared" si="6"/>
        <v>0.42730342037466285</v>
      </c>
      <c r="O24">
        <f t="shared" si="7"/>
        <v>3.3784891083379089</v>
      </c>
      <c r="P24">
        <f t="shared" si="8"/>
        <v>0.39938952204686934</v>
      </c>
      <c r="Q24">
        <f t="shared" si="9"/>
        <v>0.25197429099857616</v>
      </c>
      <c r="R24">
        <f t="shared" si="10"/>
        <v>321.43967264242332</v>
      </c>
      <c r="S24">
        <f t="shared" si="11"/>
        <v>26.788521595496277</v>
      </c>
      <c r="T24">
        <f t="shared" si="12"/>
        <v>27.018264516129001</v>
      </c>
      <c r="U24">
        <f t="shared" si="13"/>
        <v>3.5830009279325421</v>
      </c>
      <c r="V24">
        <f t="shared" si="14"/>
        <v>54.93673612100951</v>
      </c>
      <c r="W24">
        <f t="shared" si="15"/>
        <v>1.9301906326874332</v>
      </c>
      <c r="X24">
        <f t="shared" si="16"/>
        <v>3.5134789013234964</v>
      </c>
      <c r="Y24">
        <f t="shared" si="17"/>
        <v>1.6528102952451089</v>
      </c>
      <c r="Z24">
        <f t="shared" si="18"/>
        <v>-301.38721728582192</v>
      </c>
      <c r="AA24">
        <f t="shared" si="19"/>
        <v>-60.697641849573124</v>
      </c>
      <c r="AB24">
        <f t="shared" si="20"/>
        <v>-3.8715059528170306</v>
      </c>
      <c r="AC24">
        <f t="shared" si="21"/>
        <v>-44.516692445788742</v>
      </c>
      <c r="AD24">
        <v>-4.1114765093323603E-2</v>
      </c>
      <c r="AE24">
        <v>4.6154925668501601E-2</v>
      </c>
      <c r="AF24">
        <v>3.4506383173741999</v>
      </c>
      <c r="AG24">
        <v>149</v>
      </c>
      <c r="AH24">
        <v>30</v>
      </c>
      <c r="AI24">
        <f t="shared" si="22"/>
        <v>1</v>
      </c>
      <c r="AJ24">
        <f t="shared" si="23"/>
        <v>0</v>
      </c>
      <c r="AK24">
        <f t="shared" si="24"/>
        <v>52482.881325904636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278.90973076923098</v>
      </c>
      <c r="AT24">
        <v>405.30900000000003</v>
      </c>
      <c r="AU24">
        <f t="shared" si="27"/>
        <v>0.3118590241785133</v>
      </c>
      <c r="AV24">
        <v>0.5</v>
      </c>
      <c r="AW24">
        <f t="shared" si="28"/>
        <v>1681.1942416122306</v>
      </c>
      <c r="AX24">
        <f t="shared" si="29"/>
        <v>38.324254151659623</v>
      </c>
      <c r="AY24">
        <f t="shared" si="30"/>
        <v>262.14779782186298</v>
      </c>
      <c r="AZ24">
        <f t="shared" si="31"/>
        <v>0.54286729384247578</v>
      </c>
      <c r="BA24">
        <f t="shared" si="32"/>
        <v>2.3390666692950646E-2</v>
      </c>
      <c r="BB24">
        <f t="shared" si="33"/>
        <v>-1</v>
      </c>
      <c r="BC24" t="s">
        <v>321</v>
      </c>
      <c r="BD24">
        <v>185.28</v>
      </c>
      <c r="BE24">
        <f t="shared" si="34"/>
        <v>220.02900000000002</v>
      </c>
      <c r="BF24">
        <f t="shared" si="35"/>
        <v>0.57446640774974678</v>
      </c>
      <c r="BG24">
        <f t="shared" si="36"/>
        <v>2.1875485751295338</v>
      </c>
      <c r="BH24">
        <f t="shared" si="37"/>
        <v>0.3118590241785133</v>
      </c>
      <c r="BI24" t="e">
        <f t="shared" si="38"/>
        <v>#DIV/0!</v>
      </c>
      <c r="BJ24">
        <v>6607</v>
      </c>
      <c r="BK24">
        <v>300</v>
      </c>
      <c r="BL24">
        <v>300</v>
      </c>
      <c r="BM24">
        <v>300</v>
      </c>
      <c r="BN24">
        <v>9866.07</v>
      </c>
      <c r="BO24">
        <v>371.25799999999998</v>
      </c>
      <c r="BP24">
        <v>-6.5610900000000003E-3</v>
      </c>
      <c r="BQ24">
        <v>0.79318200000000005</v>
      </c>
      <c r="BR24">
        <f t="shared" si="39"/>
        <v>1999.9964516129</v>
      </c>
      <c r="BS24">
        <f t="shared" si="40"/>
        <v>1681.1942416122306</v>
      </c>
      <c r="BT24">
        <f t="shared" si="41"/>
        <v>0.84059861219075116</v>
      </c>
      <c r="BU24">
        <f t="shared" si="42"/>
        <v>0.19119722438150233</v>
      </c>
      <c r="BV24">
        <v>0.5</v>
      </c>
      <c r="BW24" t="s">
        <v>281</v>
      </c>
      <c r="BX24">
        <v>1598205866.8</v>
      </c>
      <c r="BY24">
        <v>483.51364516129001</v>
      </c>
      <c r="BZ24">
        <v>500.163064516129</v>
      </c>
      <c r="CA24">
        <v>19.428799999999999</v>
      </c>
      <c r="CB24">
        <v>16.748570967741902</v>
      </c>
      <c r="CC24">
        <v>500.06154838709699</v>
      </c>
      <c r="CD24">
        <v>99.146896774193607</v>
      </c>
      <c r="CE24">
        <v>0.19998170967741899</v>
      </c>
      <c r="CF24">
        <v>26.685019354838701</v>
      </c>
      <c r="CG24">
        <v>27.018264516129001</v>
      </c>
      <c r="CH24">
        <v>999.9</v>
      </c>
      <c r="CI24">
        <v>10000.3387096774</v>
      </c>
      <c r="CJ24">
        <v>0</v>
      </c>
      <c r="CK24">
        <v>172.963419354839</v>
      </c>
      <c r="CL24">
        <v>1999.9964516129</v>
      </c>
      <c r="CM24">
        <v>0.97999535483870903</v>
      </c>
      <c r="CN24">
        <v>2.0004783870967699E-2</v>
      </c>
      <c r="CO24">
        <v>0</v>
      </c>
      <c r="CP24">
        <v>278.91196774193497</v>
      </c>
      <c r="CQ24">
        <v>5.00054</v>
      </c>
      <c r="CR24">
        <v>7191.0180645161299</v>
      </c>
      <c r="CS24">
        <v>18703.561290322599</v>
      </c>
      <c r="CT24">
        <v>50.082419354838699</v>
      </c>
      <c r="CU24">
        <v>51.324258064516101</v>
      </c>
      <c r="CV24">
        <v>50.423096774193503</v>
      </c>
      <c r="CW24">
        <v>50.292000000000002</v>
      </c>
      <c r="CX24">
        <v>51.326354838709698</v>
      </c>
      <c r="CY24">
        <v>1955.0890322580699</v>
      </c>
      <c r="CZ24">
        <v>39.907419354838702</v>
      </c>
      <c r="DA24">
        <v>0</v>
      </c>
      <c r="DB24">
        <v>147.799999952316</v>
      </c>
      <c r="DC24">
        <v>278.90973076923098</v>
      </c>
      <c r="DD24">
        <v>-0.88646152953686896</v>
      </c>
      <c r="DE24">
        <v>-24.984957160583999</v>
      </c>
      <c r="DF24">
        <v>7191.2950000000001</v>
      </c>
      <c r="DG24">
        <v>15</v>
      </c>
      <c r="DH24">
        <v>1598205900.3</v>
      </c>
      <c r="DI24" t="s">
        <v>322</v>
      </c>
      <c r="DJ24">
        <v>53</v>
      </c>
      <c r="DK24">
        <v>-0.29299999999999998</v>
      </c>
      <c r="DL24">
        <v>0.111</v>
      </c>
      <c r="DM24">
        <v>500</v>
      </c>
      <c r="DN24">
        <v>17</v>
      </c>
      <c r="DO24">
        <v>0.36</v>
      </c>
      <c r="DP24">
        <v>0.03</v>
      </c>
      <c r="DQ24">
        <v>483.509945454545</v>
      </c>
      <c r="DR24">
        <v>0.51142857142866405</v>
      </c>
      <c r="DS24">
        <v>9.9818638846442098E-2</v>
      </c>
      <c r="DT24">
        <v>0</v>
      </c>
      <c r="DU24">
        <v>19.466994545454501</v>
      </c>
      <c r="DV24">
        <v>-0.33754632034632598</v>
      </c>
      <c r="DW24">
        <v>4.68197721177393E-2</v>
      </c>
      <c r="DX24">
        <v>0</v>
      </c>
      <c r="DY24">
        <v>0</v>
      </c>
      <c r="DZ24">
        <v>2</v>
      </c>
      <c r="EA24" t="s">
        <v>323</v>
      </c>
      <c r="EB24">
        <v>1.86676</v>
      </c>
      <c r="EC24">
        <v>1.8632500000000001</v>
      </c>
      <c r="ED24">
        <v>1.8689100000000001</v>
      </c>
      <c r="EE24">
        <v>1.8668499999999999</v>
      </c>
      <c r="EF24">
        <v>1.8714900000000001</v>
      </c>
      <c r="EG24">
        <v>1.8640099999999999</v>
      </c>
      <c r="EH24">
        <v>1.86554</v>
      </c>
      <c r="EI24">
        <v>1.8654599999999999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-0.29299999999999998</v>
      </c>
      <c r="EX24">
        <v>0.111</v>
      </c>
      <c r="EY24">
        <v>2</v>
      </c>
      <c r="EZ24">
        <v>333.661</v>
      </c>
      <c r="FA24">
        <v>470.28399999999999</v>
      </c>
      <c r="FB24">
        <v>21.4207</v>
      </c>
      <c r="FC24">
        <v>34.645099999999999</v>
      </c>
      <c r="FD24">
        <v>30.000399999999999</v>
      </c>
      <c r="FE24">
        <v>34.601500000000001</v>
      </c>
      <c r="FF24">
        <v>34.596400000000003</v>
      </c>
      <c r="FG24">
        <v>26.3233</v>
      </c>
      <c r="FH24">
        <v>55.028300000000002</v>
      </c>
      <c r="FI24">
        <v>0</v>
      </c>
      <c r="FJ24">
        <v>21.4251</v>
      </c>
      <c r="FK24">
        <v>500</v>
      </c>
      <c r="FL24">
        <v>16.895800000000001</v>
      </c>
      <c r="FM24">
        <v>100.604</v>
      </c>
      <c r="FN24">
        <v>101.075</v>
      </c>
    </row>
    <row r="25" spans="1:170" x14ac:dyDescent="0.25">
      <c r="A25">
        <v>9</v>
      </c>
      <c r="B25">
        <v>1598205991.8</v>
      </c>
      <c r="C25">
        <v>988.09999990463302</v>
      </c>
      <c r="D25" t="s">
        <v>324</v>
      </c>
      <c r="E25" t="s">
        <v>325</v>
      </c>
      <c r="G25">
        <v>1598205983.8</v>
      </c>
      <c r="H25">
        <f t="shared" si="0"/>
        <v>6.3384104913736467E-3</v>
      </c>
      <c r="I25">
        <f t="shared" si="1"/>
        <v>43.276090253911569</v>
      </c>
      <c r="J25">
        <f t="shared" si="2"/>
        <v>581.21687096774201</v>
      </c>
      <c r="K25">
        <f t="shared" si="3"/>
        <v>382.19945245950765</v>
      </c>
      <c r="L25">
        <f t="shared" si="4"/>
        <v>37.970634052650482</v>
      </c>
      <c r="M25">
        <f t="shared" si="5"/>
        <v>57.74255554455781</v>
      </c>
      <c r="N25">
        <f t="shared" si="6"/>
        <v>0.39298882446652111</v>
      </c>
      <c r="O25">
        <f t="shared" si="7"/>
        <v>3.3781905390262765</v>
      </c>
      <c r="P25">
        <f t="shared" si="8"/>
        <v>0.36924257502899438</v>
      </c>
      <c r="Q25">
        <f t="shared" si="9"/>
        <v>0.2327904495353538</v>
      </c>
      <c r="R25">
        <f t="shared" si="10"/>
        <v>321.43998125686375</v>
      </c>
      <c r="S25">
        <f t="shared" si="11"/>
        <v>26.892972027636922</v>
      </c>
      <c r="T25">
        <f t="shared" si="12"/>
        <v>27.0076580645161</v>
      </c>
      <c r="U25">
        <f t="shared" si="13"/>
        <v>3.5807698328502999</v>
      </c>
      <c r="V25">
        <f t="shared" si="14"/>
        <v>54.747958742445121</v>
      </c>
      <c r="W25">
        <f t="shared" si="15"/>
        <v>1.9226047662257588</v>
      </c>
      <c r="X25">
        <f t="shared" si="16"/>
        <v>3.5117378079252428</v>
      </c>
      <c r="Y25">
        <f t="shared" si="17"/>
        <v>1.6581650666245411</v>
      </c>
      <c r="Z25">
        <f t="shared" si="18"/>
        <v>-279.52390266957781</v>
      </c>
      <c r="AA25">
        <f t="shared" si="19"/>
        <v>-60.29395276101382</v>
      </c>
      <c r="AB25">
        <f t="shared" si="20"/>
        <v>-3.8457310968640344</v>
      </c>
      <c r="AC25">
        <f t="shared" si="21"/>
        <v>-22.223605270591911</v>
      </c>
      <c r="AD25">
        <v>-4.1110150013594797E-2</v>
      </c>
      <c r="AE25">
        <v>4.61497448372028E-2</v>
      </c>
      <c r="AF25">
        <v>3.4503316494062499</v>
      </c>
      <c r="AG25">
        <v>149</v>
      </c>
      <c r="AH25">
        <v>30</v>
      </c>
      <c r="AI25">
        <f t="shared" si="22"/>
        <v>1</v>
      </c>
      <c r="AJ25">
        <f t="shared" si="23"/>
        <v>0</v>
      </c>
      <c r="AK25">
        <f t="shared" si="24"/>
        <v>52478.723056352705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284.82065384615402</v>
      </c>
      <c r="AT25">
        <v>420.63099999999997</v>
      </c>
      <c r="AU25">
        <f t="shared" si="27"/>
        <v>0.32287288895456101</v>
      </c>
      <c r="AV25">
        <v>0.5</v>
      </c>
      <c r="AW25">
        <f t="shared" si="28"/>
        <v>1681.2004932252767</v>
      </c>
      <c r="AX25">
        <f t="shared" si="29"/>
        <v>43.276090253911569</v>
      </c>
      <c r="AY25">
        <f t="shared" si="30"/>
        <v>271.407030079739</v>
      </c>
      <c r="AZ25">
        <f t="shared" si="31"/>
        <v>0.55533472330855305</v>
      </c>
      <c r="BA25">
        <f t="shared" si="32"/>
        <v>2.6335996469386405E-2</v>
      </c>
      <c r="BB25">
        <f t="shared" si="33"/>
        <v>-1</v>
      </c>
      <c r="BC25" t="s">
        <v>327</v>
      </c>
      <c r="BD25">
        <v>187.04</v>
      </c>
      <c r="BE25">
        <f t="shared" si="34"/>
        <v>233.59099999999998</v>
      </c>
      <c r="BF25">
        <f t="shared" si="35"/>
        <v>0.58140230639813162</v>
      </c>
      <c r="BG25">
        <f t="shared" si="36"/>
        <v>2.2488825919589392</v>
      </c>
      <c r="BH25">
        <f t="shared" si="37"/>
        <v>0.32287288895456107</v>
      </c>
      <c r="BI25" t="e">
        <f t="shared" si="38"/>
        <v>#DIV/0!</v>
      </c>
      <c r="BJ25">
        <v>6609</v>
      </c>
      <c r="BK25">
        <v>300</v>
      </c>
      <c r="BL25">
        <v>300</v>
      </c>
      <c r="BM25">
        <v>300</v>
      </c>
      <c r="BN25">
        <v>9868.5300000000007</v>
      </c>
      <c r="BO25">
        <v>386.42200000000003</v>
      </c>
      <c r="BP25">
        <v>-6.5631500000000002E-3</v>
      </c>
      <c r="BQ25">
        <v>1.38788</v>
      </c>
      <c r="BR25">
        <f t="shared" si="39"/>
        <v>2000.00451612903</v>
      </c>
      <c r="BS25">
        <f t="shared" si="40"/>
        <v>1681.2004932252767</v>
      </c>
      <c r="BT25">
        <f t="shared" si="41"/>
        <v>0.84059834848733628</v>
      </c>
      <c r="BU25">
        <f t="shared" si="42"/>
        <v>0.19119669697467284</v>
      </c>
      <c r="BV25">
        <v>0.5</v>
      </c>
      <c r="BW25" t="s">
        <v>281</v>
      </c>
      <c r="BX25">
        <v>1598205983.8</v>
      </c>
      <c r="BY25">
        <v>581.21687096774201</v>
      </c>
      <c r="BZ25">
        <v>599.99883870967699</v>
      </c>
      <c r="CA25">
        <v>19.3522838709677</v>
      </c>
      <c r="CB25">
        <v>16.866258064516099</v>
      </c>
      <c r="CC25">
        <v>500.054967741935</v>
      </c>
      <c r="CD25">
        <v>99.147719354838699</v>
      </c>
      <c r="CE25">
        <v>0.199974129032258</v>
      </c>
      <c r="CF25">
        <v>26.676600000000001</v>
      </c>
      <c r="CG25">
        <v>27.0076580645161</v>
      </c>
      <c r="CH25">
        <v>999.9</v>
      </c>
      <c r="CI25">
        <v>9999.1332258064504</v>
      </c>
      <c r="CJ25">
        <v>0</v>
      </c>
      <c r="CK25">
        <v>174.07054838709701</v>
      </c>
      <c r="CL25">
        <v>2000.00451612903</v>
      </c>
      <c r="CM25">
        <v>0.98000329032258104</v>
      </c>
      <c r="CN25">
        <v>1.99963580645161E-2</v>
      </c>
      <c r="CO25">
        <v>0</v>
      </c>
      <c r="CP25">
        <v>284.84838709677399</v>
      </c>
      <c r="CQ25">
        <v>5.00054</v>
      </c>
      <c r="CR25">
        <v>7307.46903225807</v>
      </c>
      <c r="CS25">
        <v>18703.690322580602</v>
      </c>
      <c r="CT25">
        <v>49.433129032258002</v>
      </c>
      <c r="CU25">
        <v>50.749806451612898</v>
      </c>
      <c r="CV25">
        <v>49.781999999999996</v>
      </c>
      <c r="CW25">
        <v>49.824387096774203</v>
      </c>
      <c r="CX25">
        <v>50.707387096774198</v>
      </c>
      <c r="CY25">
        <v>1955.1145161290301</v>
      </c>
      <c r="CZ25">
        <v>39.89</v>
      </c>
      <c r="DA25">
        <v>0</v>
      </c>
      <c r="DB25">
        <v>116.40000009536701</v>
      </c>
      <c r="DC25">
        <v>284.82065384615402</v>
      </c>
      <c r="DD25">
        <v>-1.5611965964064201</v>
      </c>
      <c r="DE25">
        <v>-46.850598263674698</v>
      </c>
      <c r="DF25">
        <v>7306.88153846154</v>
      </c>
      <c r="DG25">
        <v>15</v>
      </c>
      <c r="DH25">
        <v>1598206020.3</v>
      </c>
      <c r="DI25" t="s">
        <v>328</v>
      </c>
      <c r="DJ25">
        <v>54</v>
      </c>
      <c r="DK25">
        <v>-0.19400000000000001</v>
      </c>
      <c r="DL25">
        <v>0.113</v>
      </c>
      <c r="DM25">
        <v>600</v>
      </c>
      <c r="DN25">
        <v>17</v>
      </c>
      <c r="DO25">
        <v>0.25</v>
      </c>
      <c r="DP25">
        <v>0.03</v>
      </c>
      <c r="DQ25">
        <v>581.087036363636</v>
      </c>
      <c r="DR25">
        <v>0.27749783549771001</v>
      </c>
      <c r="DS25">
        <v>4.3108304889111701E-2</v>
      </c>
      <c r="DT25">
        <v>1</v>
      </c>
      <c r="DU25">
        <v>19.359000000000002</v>
      </c>
      <c r="DV25">
        <v>-7.8768831168841397E-2</v>
      </c>
      <c r="DW25">
        <v>1.0449323597073699E-2</v>
      </c>
      <c r="DX25">
        <v>1</v>
      </c>
      <c r="DY25">
        <v>2</v>
      </c>
      <c r="DZ25">
        <v>2</v>
      </c>
      <c r="EA25" t="s">
        <v>283</v>
      </c>
      <c r="EB25">
        <v>1.86676</v>
      </c>
      <c r="EC25">
        <v>1.8632500000000001</v>
      </c>
      <c r="ED25">
        <v>1.8689</v>
      </c>
      <c r="EE25">
        <v>1.8668499999999999</v>
      </c>
      <c r="EF25">
        <v>1.87151</v>
      </c>
      <c r="EG25">
        <v>1.8640099999999999</v>
      </c>
      <c r="EH25">
        <v>1.86554</v>
      </c>
      <c r="EI25">
        <v>1.8654900000000001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-0.19400000000000001</v>
      </c>
      <c r="EX25">
        <v>0.113</v>
      </c>
      <c r="EY25">
        <v>2</v>
      </c>
      <c r="EZ25">
        <v>333.78899999999999</v>
      </c>
      <c r="FA25">
        <v>469.95699999999999</v>
      </c>
      <c r="FB25">
        <v>21.633800000000001</v>
      </c>
      <c r="FC25">
        <v>34.707299999999996</v>
      </c>
      <c r="FD25">
        <v>30.000900000000001</v>
      </c>
      <c r="FE25">
        <v>34.6614</v>
      </c>
      <c r="FF25">
        <v>34.653500000000001</v>
      </c>
      <c r="FG25">
        <v>30.4847</v>
      </c>
      <c r="FH25">
        <v>55.512999999999998</v>
      </c>
      <c r="FI25">
        <v>0</v>
      </c>
      <c r="FJ25">
        <v>21.617100000000001</v>
      </c>
      <c r="FK25">
        <v>600</v>
      </c>
      <c r="FL25">
        <v>16.922999999999998</v>
      </c>
      <c r="FM25">
        <v>100.596</v>
      </c>
      <c r="FN25">
        <v>101.066</v>
      </c>
    </row>
    <row r="26" spans="1:170" x14ac:dyDescent="0.25">
      <c r="A26">
        <v>10</v>
      </c>
      <c r="B26">
        <v>1598206141.8</v>
      </c>
      <c r="C26">
        <v>1138.0999999046301</v>
      </c>
      <c r="D26" t="s">
        <v>329</v>
      </c>
      <c r="E26" t="s">
        <v>330</v>
      </c>
      <c r="G26">
        <v>1598206133.8</v>
      </c>
      <c r="H26">
        <f t="shared" si="0"/>
        <v>5.9025060880943609E-3</v>
      </c>
      <c r="I26">
        <f t="shared" si="1"/>
        <v>46.184237410051857</v>
      </c>
      <c r="J26">
        <f t="shared" si="2"/>
        <v>679.94122580645205</v>
      </c>
      <c r="K26">
        <f t="shared" si="3"/>
        <v>451.68688769309148</v>
      </c>
      <c r="L26">
        <f t="shared" si="4"/>
        <v>44.874046185476715</v>
      </c>
      <c r="M26">
        <f t="shared" si="5"/>
        <v>67.550586039992012</v>
      </c>
      <c r="N26">
        <f t="shared" si="6"/>
        <v>0.3649289140207993</v>
      </c>
      <c r="O26">
        <f t="shared" si="7"/>
        <v>3.3760663721616333</v>
      </c>
      <c r="P26">
        <f t="shared" si="8"/>
        <v>0.34434521150693581</v>
      </c>
      <c r="Q26">
        <f t="shared" si="9"/>
        <v>0.21696831146381579</v>
      </c>
      <c r="R26">
        <f t="shared" si="10"/>
        <v>321.44159364372922</v>
      </c>
      <c r="S26">
        <f t="shared" si="11"/>
        <v>26.693094060394412</v>
      </c>
      <c r="T26">
        <f t="shared" si="12"/>
        <v>26.9629032258065</v>
      </c>
      <c r="U26">
        <f t="shared" si="13"/>
        <v>3.5713688837899937</v>
      </c>
      <c r="V26">
        <f t="shared" si="14"/>
        <v>55.515200865112682</v>
      </c>
      <c r="W26">
        <f t="shared" si="15"/>
        <v>1.9154512289668</v>
      </c>
      <c r="X26">
        <f t="shared" si="16"/>
        <v>3.4503184697482085</v>
      </c>
      <c r="Y26">
        <f t="shared" si="17"/>
        <v>1.6559176548231938</v>
      </c>
      <c r="Z26">
        <f t="shared" si="18"/>
        <v>-260.30051848496129</v>
      </c>
      <c r="AA26">
        <f t="shared" si="19"/>
        <v>-106.5970857061876</v>
      </c>
      <c r="AB26">
        <f t="shared" si="20"/>
        <v>-6.7916624027424994</v>
      </c>
      <c r="AC26">
        <f t="shared" si="21"/>
        <v>-52.247672950162141</v>
      </c>
      <c r="AD26">
        <v>-4.1077321366157798E-2</v>
      </c>
      <c r="AE26">
        <v>4.6112891804507297E-2</v>
      </c>
      <c r="AF26">
        <v>3.44814987401725</v>
      </c>
      <c r="AG26">
        <v>149</v>
      </c>
      <c r="AH26">
        <v>30</v>
      </c>
      <c r="AI26">
        <f t="shared" si="22"/>
        <v>1</v>
      </c>
      <c r="AJ26">
        <f t="shared" si="23"/>
        <v>0</v>
      </c>
      <c r="AK26">
        <f t="shared" si="24"/>
        <v>52490.958953050431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286.74157692307699</v>
      </c>
      <c r="AT26">
        <v>432.17899999999997</v>
      </c>
      <c r="AU26">
        <f t="shared" si="27"/>
        <v>0.33652126335829136</v>
      </c>
      <c r="AV26">
        <v>0.5</v>
      </c>
      <c r="AW26">
        <f t="shared" si="28"/>
        <v>1681.2059803219624</v>
      </c>
      <c r="AX26">
        <f t="shared" si="29"/>
        <v>46.184237410051857</v>
      </c>
      <c r="AY26">
        <f t="shared" si="30"/>
        <v>282.88078023173074</v>
      </c>
      <c r="AZ26">
        <f t="shared" si="31"/>
        <v>0.57295472477839038</v>
      </c>
      <c r="BA26">
        <f t="shared" si="32"/>
        <v>2.8065708760455249E-2</v>
      </c>
      <c r="BB26">
        <f t="shared" si="33"/>
        <v>-1</v>
      </c>
      <c r="BC26" t="s">
        <v>332</v>
      </c>
      <c r="BD26">
        <v>184.56</v>
      </c>
      <c r="BE26">
        <f t="shared" si="34"/>
        <v>247.61899999999997</v>
      </c>
      <c r="BF26">
        <f t="shared" si="35"/>
        <v>0.58734355229979529</v>
      </c>
      <c r="BG26">
        <f t="shared" si="36"/>
        <v>2.3416720849588208</v>
      </c>
      <c r="BH26">
        <f t="shared" si="37"/>
        <v>0.33652126335829136</v>
      </c>
      <c r="BI26" t="e">
        <f t="shared" si="38"/>
        <v>#DIV/0!</v>
      </c>
      <c r="BJ26">
        <v>6611</v>
      </c>
      <c r="BK26">
        <v>300</v>
      </c>
      <c r="BL26">
        <v>300</v>
      </c>
      <c r="BM26">
        <v>300</v>
      </c>
      <c r="BN26">
        <v>9870.86</v>
      </c>
      <c r="BO26">
        <v>393.142</v>
      </c>
      <c r="BP26">
        <v>-6.5650300000000003E-3</v>
      </c>
      <c r="BQ26">
        <v>1.3398699999999999</v>
      </c>
      <c r="BR26">
        <f t="shared" si="39"/>
        <v>2000.0106451612901</v>
      </c>
      <c r="BS26">
        <f t="shared" si="40"/>
        <v>1681.2059803219624</v>
      </c>
      <c r="BT26">
        <f t="shared" si="41"/>
        <v>0.84059851600758961</v>
      </c>
      <c r="BU26">
        <f t="shared" si="42"/>
        <v>0.19119703201517935</v>
      </c>
      <c r="BV26">
        <v>0.5</v>
      </c>
      <c r="BW26" t="s">
        <v>281</v>
      </c>
      <c r="BX26">
        <v>1598206133.8</v>
      </c>
      <c r="BY26">
        <v>679.94122580645205</v>
      </c>
      <c r="BZ26">
        <v>700.018129032258</v>
      </c>
      <c r="CA26">
        <v>19.280280645161302</v>
      </c>
      <c r="CB26">
        <v>16.965045161290298</v>
      </c>
      <c r="CC26">
        <v>500.05316129032298</v>
      </c>
      <c r="CD26">
        <v>99.147716129032204</v>
      </c>
      <c r="CE26">
        <v>0.19996787096774199</v>
      </c>
      <c r="CF26">
        <v>26.3772387096774</v>
      </c>
      <c r="CG26">
        <v>26.9629032258065</v>
      </c>
      <c r="CH26">
        <v>999.9</v>
      </c>
      <c r="CI26">
        <v>9991.1487096774199</v>
      </c>
      <c r="CJ26">
        <v>0</v>
      </c>
      <c r="CK26">
        <v>165.696838709677</v>
      </c>
      <c r="CL26">
        <v>2000.0106451612901</v>
      </c>
      <c r="CM26">
        <v>0.97999935483870904</v>
      </c>
      <c r="CN26">
        <v>2.0000625806451601E-2</v>
      </c>
      <c r="CO26">
        <v>0</v>
      </c>
      <c r="CP26">
        <v>286.74029032258102</v>
      </c>
      <c r="CQ26">
        <v>5.00054</v>
      </c>
      <c r="CR26">
        <v>7333.69</v>
      </c>
      <c r="CS26">
        <v>18703.729032258099</v>
      </c>
      <c r="CT26">
        <v>48.8283225806451</v>
      </c>
      <c r="CU26">
        <v>50.277999999999999</v>
      </c>
      <c r="CV26">
        <v>49.211387096774203</v>
      </c>
      <c r="CW26">
        <v>49.406999999999996</v>
      </c>
      <c r="CX26">
        <v>50.181258064516101</v>
      </c>
      <c r="CY26">
        <v>1955.10935483871</v>
      </c>
      <c r="CZ26">
        <v>39.901290322580699</v>
      </c>
      <c r="DA26">
        <v>0</v>
      </c>
      <c r="DB26">
        <v>149.40000009536701</v>
      </c>
      <c r="DC26">
        <v>286.74157692307699</v>
      </c>
      <c r="DD26">
        <v>-1.14519658592383</v>
      </c>
      <c r="DE26">
        <v>-34.335384658783802</v>
      </c>
      <c r="DF26">
        <v>7333.4096153846203</v>
      </c>
      <c r="DG26">
        <v>15</v>
      </c>
      <c r="DH26">
        <v>1598206169.3</v>
      </c>
      <c r="DI26" t="s">
        <v>333</v>
      </c>
      <c r="DJ26">
        <v>55</v>
      </c>
      <c r="DK26">
        <v>-0.12</v>
      </c>
      <c r="DL26">
        <v>0.112</v>
      </c>
      <c r="DM26">
        <v>700</v>
      </c>
      <c r="DN26">
        <v>17</v>
      </c>
      <c r="DO26">
        <v>0.28000000000000003</v>
      </c>
      <c r="DP26">
        <v>0.04</v>
      </c>
      <c r="DQ26">
        <v>679.85301818181802</v>
      </c>
      <c r="DR26">
        <v>0.16145802467567599</v>
      </c>
      <c r="DS26">
        <v>3.4659114456020698E-2</v>
      </c>
      <c r="DT26">
        <v>1</v>
      </c>
      <c r="DU26">
        <v>19.308789090909102</v>
      </c>
      <c r="DV26">
        <v>-0.295834583475031</v>
      </c>
      <c r="DW26">
        <v>4.0128741333260498E-2</v>
      </c>
      <c r="DX26">
        <v>0</v>
      </c>
      <c r="DY26">
        <v>1</v>
      </c>
      <c r="DZ26">
        <v>2</v>
      </c>
      <c r="EA26" t="s">
        <v>334</v>
      </c>
      <c r="EB26">
        <v>1.86676</v>
      </c>
      <c r="EC26">
        <v>1.8632599999999999</v>
      </c>
      <c r="ED26">
        <v>1.8689199999999999</v>
      </c>
      <c r="EE26">
        <v>1.8668499999999999</v>
      </c>
      <c r="EF26">
        <v>1.8715200000000001</v>
      </c>
      <c r="EG26">
        <v>1.8640099999999999</v>
      </c>
      <c r="EH26">
        <v>1.86555</v>
      </c>
      <c r="EI26">
        <v>1.8655200000000001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-0.12</v>
      </c>
      <c r="EX26">
        <v>0.112</v>
      </c>
      <c r="EY26">
        <v>2</v>
      </c>
      <c r="EZ26">
        <v>333.55700000000002</v>
      </c>
      <c r="FA26">
        <v>470.13600000000002</v>
      </c>
      <c r="FB26">
        <v>21.413599999999999</v>
      </c>
      <c r="FC26">
        <v>34.758699999999997</v>
      </c>
      <c r="FD26">
        <v>30.001200000000001</v>
      </c>
      <c r="FE26">
        <v>34.712600000000002</v>
      </c>
      <c r="FF26">
        <v>34.704999999999998</v>
      </c>
      <c r="FG26">
        <v>34.526899999999998</v>
      </c>
      <c r="FH26">
        <v>55.615000000000002</v>
      </c>
      <c r="FI26">
        <v>0</v>
      </c>
      <c r="FJ26">
        <v>21.381399999999999</v>
      </c>
      <c r="FK26">
        <v>700</v>
      </c>
      <c r="FL26">
        <v>16.8658</v>
      </c>
      <c r="FM26">
        <v>100.593</v>
      </c>
      <c r="FN26">
        <v>101.062</v>
      </c>
    </row>
    <row r="27" spans="1:170" x14ac:dyDescent="0.25">
      <c r="A27">
        <v>11</v>
      </c>
      <c r="B27">
        <v>1598206290.8</v>
      </c>
      <c r="C27">
        <v>1287.0999999046301</v>
      </c>
      <c r="D27" t="s">
        <v>335</v>
      </c>
      <c r="E27" t="s">
        <v>336</v>
      </c>
      <c r="G27">
        <v>1598206282.8</v>
      </c>
      <c r="H27">
        <f t="shared" si="0"/>
        <v>5.4207049626005897E-3</v>
      </c>
      <c r="I27">
        <f t="shared" si="1"/>
        <v>48.044548371445579</v>
      </c>
      <c r="J27">
        <f t="shared" si="2"/>
        <v>779.13229032258096</v>
      </c>
      <c r="K27">
        <f t="shared" si="3"/>
        <v>515.56678025817553</v>
      </c>
      <c r="L27">
        <f t="shared" si="4"/>
        <v>51.222445977732086</v>
      </c>
      <c r="M27">
        <f t="shared" si="5"/>
        <v>77.408132522755224</v>
      </c>
      <c r="N27">
        <f t="shared" si="6"/>
        <v>0.32733684771584537</v>
      </c>
      <c r="O27">
        <f t="shared" si="7"/>
        <v>3.3778782413536863</v>
      </c>
      <c r="P27">
        <f t="shared" si="8"/>
        <v>0.31067992996322558</v>
      </c>
      <c r="Q27">
        <f t="shared" si="9"/>
        <v>0.19560085535218014</v>
      </c>
      <c r="R27">
        <f t="shared" si="10"/>
        <v>321.44110469295686</v>
      </c>
      <c r="S27">
        <f t="shared" si="11"/>
        <v>26.552782262838107</v>
      </c>
      <c r="T27">
        <f t="shared" si="12"/>
        <v>26.9086741935484</v>
      </c>
      <c r="U27">
        <f t="shared" si="13"/>
        <v>3.560006714174647</v>
      </c>
      <c r="V27">
        <f t="shared" si="14"/>
        <v>55.119596040012944</v>
      </c>
      <c r="W27">
        <f t="shared" si="15"/>
        <v>1.873935591635197</v>
      </c>
      <c r="X27">
        <f t="shared" si="16"/>
        <v>3.3997629269177732</v>
      </c>
      <c r="Y27">
        <f t="shared" si="17"/>
        <v>1.68607112253945</v>
      </c>
      <c r="Z27">
        <f t="shared" si="18"/>
        <v>-239.05308885068601</v>
      </c>
      <c r="AA27">
        <f t="shared" si="19"/>
        <v>-142.29168860947303</v>
      </c>
      <c r="AB27">
        <f t="shared" si="20"/>
        <v>-9.0472428768076316</v>
      </c>
      <c r="AC27">
        <f t="shared" si="21"/>
        <v>-68.950915644009797</v>
      </c>
      <c r="AD27">
        <v>-4.1105322925593497E-2</v>
      </c>
      <c r="AE27">
        <v>4.6144326008045203E-2</v>
      </c>
      <c r="AF27">
        <v>3.4500108810399701</v>
      </c>
      <c r="AG27">
        <v>149</v>
      </c>
      <c r="AH27">
        <v>30</v>
      </c>
      <c r="AI27">
        <f t="shared" si="22"/>
        <v>1</v>
      </c>
      <c r="AJ27">
        <f t="shared" si="23"/>
        <v>0</v>
      </c>
      <c r="AK27">
        <f t="shared" si="24"/>
        <v>52569.254404794367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287.65715384615402</v>
      </c>
      <c r="AT27">
        <v>436.45400000000001</v>
      </c>
      <c r="AU27">
        <f t="shared" si="27"/>
        <v>0.3409221731358768</v>
      </c>
      <c r="AV27">
        <v>0.5</v>
      </c>
      <c r="AW27">
        <f t="shared" si="28"/>
        <v>1681.2010932251148</v>
      </c>
      <c r="AX27">
        <f t="shared" si="29"/>
        <v>48.044548371445579</v>
      </c>
      <c r="AY27">
        <f t="shared" si="30"/>
        <v>286.57936509035898</v>
      </c>
      <c r="AZ27">
        <f t="shared" si="31"/>
        <v>0.57310506949185946</v>
      </c>
      <c r="BA27">
        <f t="shared" si="32"/>
        <v>2.9172327194578178E-2</v>
      </c>
      <c r="BB27">
        <f t="shared" si="33"/>
        <v>-1</v>
      </c>
      <c r="BC27" t="s">
        <v>338</v>
      </c>
      <c r="BD27">
        <v>186.32</v>
      </c>
      <c r="BE27">
        <f t="shared" si="34"/>
        <v>250.13400000000001</v>
      </c>
      <c r="BF27">
        <f t="shared" si="35"/>
        <v>0.59486853508058068</v>
      </c>
      <c r="BG27">
        <f t="shared" si="36"/>
        <v>2.3424967797337914</v>
      </c>
      <c r="BH27">
        <f t="shared" si="37"/>
        <v>0.34092217313587686</v>
      </c>
      <c r="BI27" t="e">
        <f t="shared" si="38"/>
        <v>#DIV/0!</v>
      </c>
      <c r="BJ27">
        <v>6613</v>
      </c>
      <c r="BK27">
        <v>300</v>
      </c>
      <c r="BL27">
        <v>300</v>
      </c>
      <c r="BM27">
        <v>300</v>
      </c>
      <c r="BN27">
        <v>9872.36</v>
      </c>
      <c r="BO27">
        <v>397.01</v>
      </c>
      <c r="BP27">
        <v>-6.5663700000000002E-3</v>
      </c>
      <c r="BQ27">
        <v>1.49396</v>
      </c>
      <c r="BR27">
        <f t="shared" si="39"/>
        <v>2000.00451612903</v>
      </c>
      <c r="BS27">
        <f t="shared" si="40"/>
        <v>1681.2010932251148</v>
      </c>
      <c r="BT27">
        <f t="shared" si="41"/>
        <v>0.84059864848657795</v>
      </c>
      <c r="BU27">
        <f t="shared" si="42"/>
        <v>0.19119729697315602</v>
      </c>
      <c r="BV27">
        <v>0.5</v>
      </c>
      <c r="BW27" t="s">
        <v>281</v>
      </c>
      <c r="BX27">
        <v>1598206282.8</v>
      </c>
      <c r="BY27">
        <v>779.13229032258096</v>
      </c>
      <c r="BZ27">
        <v>800.03745161290306</v>
      </c>
      <c r="CA27">
        <v>18.8616322580645</v>
      </c>
      <c r="CB27">
        <v>16.734454838709699</v>
      </c>
      <c r="CC27">
        <v>500.04870967741903</v>
      </c>
      <c r="CD27">
        <v>99.151716129032195</v>
      </c>
      <c r="CE27">
        <v>0.20000306451612901</v>
      </c>
      <c r="CF27">
        <v>26.127316129032302</v>
      </c>
      <c r="CG27">
        <v>26.9086741935484</v>
      </c>
      <c r="CH27">
        <v>999.9</v>
      </c>
      <c r="CI27">
        <v>9997.5561290322603</v>
      </c>
      <c r="CJ27">
        <v>0</v>
      </c>
      <c r="CK27">
        <v>167.35329032258099</v>
      </c>
      <c r="CL27">
        <v>2000.00451612903</v>
      </c>
      <c r="CM27">
        <v>0.97999696774193501</v>
      </c>
      <c r="CN27">
        <v>2.0003141935483901E-2</v>
      </c>
      <c r="CO27">
        <v>0</v>
      </c>
      <c r="CP27">
        <v>287.67822580645202</v>
      </c>
      <c r="CQ27">
        <v>5.00054</v>
      </c>
      <c r="CR27">
        <v>7369.7990322580699</v>
      </c>
      <c r="CS27">
        <v>18703.664516129</v>
      </c>
      <c r="CT27">
        <v>48.513806451612901</v>
      </c>
      <c r="CU27">
        <v>50.045999999999999</v>
      </c>
      <c r="CV27">
        <v>48.884935483870997</v>
      </c>
      <c r="CW27">
        <v>49.201290322580597</v>
      </c>
      <c r="CX27">
        <v>49.866741935483901</v>
      </c>
      <c r="CY27">
        <v>1955.0945161290299</v>
      </c>
      <c r="CZ27">
        <v>39.909999999999997</v>
      </c>
      <c r="DA27">
        <v>0</v>
      </c>
      <c r="DB27">
        <v>148.40000009536701</v>
      </c>
      <c r="DC27">
        <v>287.65715384615402</v>
      </c>
      <c r="DD27">
        <v>-1.63076923413188</v>
      </c>
      <c r="DE27">
        <v>-26.423589806368302</v>
      </c>
      <c r="DF27">
        <v>7369.29653846154</v>
      </c>
      <c r="DG27">
        <v>15</v>
      </c>
      <c r="DH27">
        <v>1598206318.3</v>
      </c>
      <c r="DI27" t="s">
        <v>339</v>
      </c>
      <c r="DJ27">
        <v>56</v>
      </c>
      <c r="DK27">
        <v>-0.191</v>
      </c>
      <c r="DL27">
        <v>0.109</v>
      </c>
      <c r="DM27">
        <v>800</v>
      </c>
      <c r="DN27">
        <v>17</v>
      </c>
      <c r="DO27">
        <v>0.16</v>
      </c>
      <c r="DP27">
        <v>0.04</v>
      </c>
      <c r="DQ27">
        <v>779.21587272727299</v>
      </c>
      <c r="DR27">
        <v>-0.104354978354641</v>
      </c>
      <c r="DS27">
        <v>3.1377498912700599E-2</v>
      </c>
      <c r="DT27">
        <v>1</v>
      </c>
      <c r="DU27">
        <v>18.9385981818182</v>
      </c>
      <c r="DV27">
        <v>-0.73896709956707296</v>
      </c>
      <c r="DW27">
        <v>9.79248329372336E-2</v>
      </c>
      <c r="DX27">
        <v>0</v>
      </c>
      <c r="DY27">
        <v>1</v>
      </c>
      <c r="DZ27">
        <v>2</v>
      </c>
      <c r="EA27" t="s">
        <v>334</v>
      </c>
      <c r="EB27">
        <v>1.86676</v>
      </c>
      <c r="EC27">
        <v>1.8632500000000001</v>
      </c>
      <c r="ED27">
        <v>1.8689</v>
      </c>
      <c r="EE27">
        <v>1.8668800000000001</v>
      </c>
      <c r="EF27">
        <v>1.87151</v>
      </c>
      <c r="EG27">
        <v>1.8640099999999999</v>
      </c>
      <c r="EH27">
        <v>1.86554</v>
      </c>
      <c r="EI27">
        <v>1.8655200000000001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-0.191</v>
      </c>
      <c r="EX27">
        <v>0.109</v>
      </c>
      <c r="EY27">
        <v>2</v>
      </c>
      <c r="EZ27">
        <v>333.49400000000003</v>
      </c>
      <c r="FA27">
        <v>469.31900000000002</v>
      </c>
      <c r="FB27">
        <v>21.5824</v>
      </c>
      <c r="FC27">
        <v>34.896900000000002</v>
      </c>
      <c r="FD27">
        <v>30.000499999999999</v>
      </c>
      <c r="FE27">
        <v>34.811500000000002</v>
      </c>
      <c r="FF27">
        <v>34.799900000000001</v>
      </c>
      <c r="FG27">
        <v>38.4651</v>
      </c>
      <c r="FH27">
        <v>56.545499999999997</v>
      </c>
      <c r="FI27">
        <v>0</v>
      </c>
      <c r="FJ27">
        <v>21.640699999999999</v>
      </c>
      <c r="FK27">
        <v>800</v>
      </c>
      <c r="FL27">
        <v>16.753699999999998</v>
      </c>
      <c r="FM27">
        <v>100.57</v>
      </c>
      <c r="FN27">
        <v>101.04</v>
      </c>
    </row>
    <row r="28" spans="1:170" x14ac:dyDescent="0.25">
      <c r="A28">
        <v>12</v>
      </c>
      <c r="B28">
        <v>1598206417.4000001</v>
      </c>
      <c r="C28">
        <v>1413.7000000476801</v>
      </c>
      <c r="D28" t="s">
        <v>340</v>
      </c>
      <c r="E28" t="s">
        <v>341</v>
      </c>
      <c r="G28">
        <v>1598206409.3580599</v>
      </c>
      <c r="H28">
        <f t="shared" si="0"/>
        <v>4.3238749087199579E-3</v>
      </c>
      <c r="I28">
        <f t="shared" si="1"/>
        <v>52.453196526137432</v>
      </c>
      <c r="J28">
        <f t="shared" si="2"/>
        <v>977.32335483870997</v>
      </c>
      <c r="K28">
        <f t="shared" si="3"/>
        <v>616.04275237273805</v>
      </c>
      <c r="L28">
        <f t="shared" si="4"/>
        <v>61.207776549033788</v>
      </c>
      <c r="M28">
        <f t="shared" si="5"/>
        <v>97.103308640056412</v>
      </c>
      <c r="N28">
        <f t="shared" si="6"/>
        <v>0.25646840477936528</v>
      </c>
      <c r="O28">
        <f t="shared" si="7"/>
        <v>3.3787501348464306</v>
      </c>
      <c r="P28">
        <f t="shared" si="8"/>
        <v>0.24612322042858176</v>
      </c>
      <c r="Q28">
        <f t="shared" si="9"/>
        <v>0.15472171495033554</v>
      </c>
      <c r="R28">
        <f t="shared" si="10"/>
        <v>321.44254623487359</v>
      </c>
      <c r="S28">
        <f t="shared" si="11"/>
        <v>26.902555055440875</v>
      </c>
      <c r="T28">
        <f t="shared" si="12"/>
        <v>27.035048387096801</v>
      </c>
      <c r="U28">
        <f t="shared" si="13"/>
        <v>3.5865339389230528</v>
      </c>
      <c r="V28">
        <f t="shared" si="14"/>
        <v>55.239023356278807</v>
      </c>
      <c r="W28">
        <f t="shared" si="15"/>
        <v>1.8891464659608397</v>
      </c>
      <c r="X28">
        <f t="shared" si="16"/>
        <v>3.4199490707434963</v>
      </c>
      <c r="Y28">
        <f t="shared" si="17"/>
        <v>1.6973874729622132</v>
      </c>
      <c r="Z28">
        <f t="shared" si="18"/>
        <v>-190.68288347455015</v>
      </c>
      <c r="AA28">
        <f t="shared" si="19"/>
        <v>-147.10029480028348</v>
      </c>
      <c r="AB28">
        <f t="shared" si="20"/>
        <v>-9.3611859670595301</v>
      </c>
      <c r="AC28">
        <f t="shared" si="21"/>
        <v>-25.701818007019597</v>
      </c>
      <c r="AD28">
        <v>-4.1118800011708097E-2</v>
      </c>
      <c r="AE28">
        <v>4.6159455217866498E-2</v>
      </c>
      <c r="AF28">
        <v>3.4509064244575298</v>
      </c>
      <c r="AG28">
        <v>149</v>
      </c>
      <c r="AH28">
        <v>30</v>
      </c>
      <c r="AI28">
        <f t="shared" si="22"/>
        <v>1</v>
      </c>
      <c r="AJ28">
        <f t="shared" si="23"/>
        <v>0</v>
      </c>
      <c r="AK28">
        <f t="shared" si="24"/>
        <v>52568.281765226267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286.78638461538497</v>
      </c>
      <c r="AT28">
        <v>435.834</v>
      </c>
      <c r="AU28">
        <f t="shared" si="27"/>
        <v>0.34198253322277528</v>
      </c>
      <c r="AV28">
        <v>0.5</v>
      </c>
      <c r="AW28">
        <f t="shared" si="28"/>
        <v>1681.2086803218949</v>
      </c>
      <c r="AX28">
        <f t="shared" si="29"/>
        <v>52.453196526137432</v>
      </c>
      <c r="AY28">
        <f t="shared" si="30"/>
        <v>287.4720016863003</v>
      </c>
      <c r="AZ28">
        <f t="shared" si="31"/>
        <v>0.57690313284415629</v>
      </c>
      <c r="BA28">
        <f t="shared" si="32"/>
        <v>3.1794504246732143E-2</v>
      </c>
      <c r="BB28">
        <f t="shared" si="33"/>
        <v>-1</v>
      </c>
      <c r="BC28" t="s">
        <v>343</v>
      </c>
      <c r="BD28">
        <v>184.4</v>
      </c>
      <c r="BE28">
        <f t="shared" si="34"/>
        <v>251.434</v>
      </c>
      <c r="BF28">
        <f t="shared" si="35"/>
        <v>0.59279021685458222</v>
      </c>
      <c r="BG28">
        <f t="shared" si="36"/>
        <v>2.3635249457700649</v>
      </c>
      <c r="BH28">
        <f t="shared" si="37"/>
        <v>0.34198253322277522</v>
      </c>
      <c r="BI28" t="e">
        <f t="shared" si="38"/>
        <v>#DIV/0!</v>
      </c>
      <c r="BJ28">
        <v>6615</v>
      </c>
      <c r="BK28">
        <v>300</v>
      </c>
      <c r="BL28">
        <v>300</v>
      </c>
      <c r="BM28">
        <v>300</v>
      </c>
      <c r="BN28">
        <v>9873.2999999999993</v>
      </c>
      <c r="BO28">
        <v>396.83600000000001</v>
      </c>
      <c r="BP28">
        <v>-6.5669999999999999E-3</v>
      </c>
      <c r="BQ28">
        <v>1.7629999999999999</v>
      </c>
      <c r="BR28">
        <f t="shared" si="39"/>
        <v>2000.0135483870999</v>
      </c>
      <c r="BS28">
        <f t="shared" si="40"/>
        <v>1681.2086803218949</v>
      </c>
      <c r="BT28">
        <f t="shared" si="41"/>
        <v>0.84059864578302312</v>
      </c>
      <c r="BU28">
        <f t="shared" si="42"/>
        <v>0.19119729156604648</v>
      </c>
      <c r="BV28">
        <v>0.5</v>
      </c>
      <c r="BW28" t="s">
        <v>281</v>
      </c>
      <c r="BX28">
        <v>1598206409.3580599</v>
      </c>
      <c r="BY28">
        <v>977.32335483870997</v>
      </c>
      <c r="BZ28">
        <v>999.99254838709703</v>
      </c>
      <c r="CA28">
        <v>19.013841935483899</v>
      </c>
      <c r="CB28">
        <v>17.3173580645161</v>
      </c>
      <c r="CC28">
        <v>500.053258064516</v>
      </c>
      <c r="CD28">
        <v>99.156370967741907</v>
      </c>
      <c r="CE28">
        <v>0.20000699999999999</v>
      </c>
      <c r="CF28">
        <v>26.227493548387098</v>
      </c>
      <c r="CG28">
        <v>27.035048387096801</v>
      </c>
      <c r="CH28">
        <v>999.9</v>
      </c>
      <c r="CI28">
        <v>10000.364516129001</v>
      </c>
      <c r="CJ28">
        <v>0</v>
      </c>
      <c r="CK28">
        <v>161.34029032258101</v>
      </c>
      <c r="CL28">
        <v>2000.0135483870999</v>
      </c>
      <c r="CM28">
        <v>0.97999606451612897</v>
      </c>
      <c r="CN28">
        <v>2.00043161290323E-2</v>
      </c>
      <c r="CO28">
        <v>0</v>
      </c>
      <c r="CP28">
        <v>286.81129032258099</v>
      </c>
      <c r="CQ28">
        <v>5.00054</v>
      </c>
      <c r="CR28">
        <v>7353.0777419354899</v>
      </c>
      <c r="CS28">
        <v>18703.7580645161</v>
      </c>
      <c r="CT28">
        <v>48.267935483871</v>
      </c>
      <c r="CU28">
        <v>49.814032258064501</v>
      </c>
      <c r="CV28">
        <v>48.627000000000002</v>
      </c>
      <c r="CW28">
        <v>49.031999999999996</v>
      </c>
      <c r="CX28">
        <v>49.655000000000001</v>
      </c>
      <c r="CY28">
        <v>1955.1035483871001</v>
      </c>
      <c r="CZ28">
        <v>39.909999999999997</v>
      </c>
      <c r="DA28">
        <v>0</v>
      </c>
      <c r="DB28">
        <v>126.10000014305101</v>
      </c>
      <c r="DC28">
        <v>286.78638461538497</v>
      </c>
      <c r="DD28">
        <v>-1.29764101952676</v>
      </c>
      <c r="DE28">
        <v>-36.391453126385301</v>
      </c>
      <c r="DF28">
        <v>7352.7503846153804</v>
      </c>
      <c r="DG28">
        <v>15</v>
      </c>
      <c r="DH28">
        <v>1598206457.3</v>
      </c>
      <c r="DI28" t="s">
        <v>344</v>
      </c>
      <c r="DJ28">
        <v>57</v>
      </c>
      <c r="DK28">
        <v>0.11600000000000001</v>
      </c>
      <c r="DL28">
        <v>0.11799999999999999</v>
      </c>
      <c r="DM28">
        <v>1000</v>
      </c>
      <c r="DN28">
        <v>17</v>
      </c>
      <c r="DO28">
        <v>0.13</v>
      </c>
      <c r="DP28">
        <v>0.04</v>
      </c>
      <c r="DQ28">
        <v>976.98230909090898</v>
      </c>
      <c r="DR28">
        <v>0.29642527207021602</v>
      </c>
      <c r="DS28">
        <v>4.5762975398844302E-2</v>
      </c>
      <c r="DT28">
        <v>1</v>
      </c>
      <c r="DU28">
        <v>19.017676363636401</v>
      </c>
      <c r="DV28">
        <v>-0.118292086623331</v>
      </c>
      <c r="DW28">
        <v>1.5994612316042201E-2</v>
      </c>
      <c r="DX28">
        <v>1</v>
      </c>
      <c r="DY28">
        <v>2</v>
      </c>
      <c r="DZ28">
        <v>2</v>
      </c>
      <c r="EA28" t="s">
        <v>283</v>
      </c>
      <c r="EB28">
        <v>1.8666199999999999</v>
      </c>
      <c r="EC28">
        <v>1.86311</v>
      </c>
      <c r="ED28">
        <v>1.86877</v>
      </c>
      <c r="EE28">
        <v>1.86676</v>
      </c>
      <c r="EF28">
        <v>1.8714500000000001</v>
      </c>
      <c r="EG28">
        <v>1.8638699999999999</v>
      </c>
      <c r="EH28">
        <v>1.8654599999999999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0.11600000000000001</v>
      </c>
      <c r="EX28">
        <v>0.11799999999999999</v>
      </c>
      <c r="EY28">
        <v>2</v>
      </c>
      <c r="EZ28">
        <v>333.41</v>
      </c>
      <c r="FA28">
        <v>470.11599999999999</v>
      </c>
      <c r="FB28">
        <v>20.0061</v>
      </c>
      <c r="FC28">
        <v>34.948599999999999</v>
      </c>
      <c r="FD28">
        <v>30.000299999999999</v>
      </c>
      <c r="FE28">
        <v>34.8767</v>
      </c>
      <c r="FF28">
        <v>34.865699999999997</v>
      </c>
      <c r="FG28">
        <v>46.079300000000003</v>
      </c>
      <c r="FH28">
        <v>54.444099999999999</v>
      </c>
      <c r="FI28">
        <v>0</v>
      </c>
      <c r="FJ28">
        <v>19.874500000000001</v>
      </c>
      <c r="FK28">
        <v>1000</v>
      </c>
      <c r="FL28">
        <v>17.301200000000001</v>
      </c>
      <c r="FM28">
        <v>100.557</v>
      </c>
      <c r="FN28">
        <v>101.024</v>
      </c>
    </row>
    <row r="29" spans="1:170" x14ac:dyDescent="0.25">
      <c r="A29">
        <v>13</v>
      </c>
      <c r="B29">
        <v>1598206565.8</v>
      </c>
      <c r="C29">
        <v>1562.0999999046301</v>
      </c>
      <c r="D29" t="s">
        <v>345</v>
      </c>
      <c r="E29" t="s">
        <v>346</v>
      </c>
      <c r="G29">
        <v>1598206557.8580599</v>
      </c>
      <c r="H29">
        <f t="shared" si="0"/>
        <v>4.235197488450128E-3</v>
      </c>
      <c r="I29">
        <f t="shared" si="1"/>
        <v>52.97146790752911</v>
      </c>
      <c r="J29">
        <f t="shared" si="2"/>
        <v>1176.8185161290301</v>
      </c>
      <c r="K29">
        <f t="shared" si="3"/>
        <v>794.97682345889177</v>
      </c>
      <c r="L29">
        <f t="shared" si="4"/>
        <v>78.985196818206404</v>
      </c>
      <c r="M29">
        <f t="shared" si="5"/>
        <v>116.9232100520067</v>
      </c>
      <c r="N29">
        <f t="shared" si="6"/>
        <v>0.24779229803002786</v>
      </c>
      <c r="O29">
        <f t="shared" si="7"/>
        <v>3.3775574933999999</v>
      </c>
      <c r="P29">
        <f t="shared" si="8"/>
        <v>0.23811774782730882</v>
      </c>
      <c r="Q29">
        <f t="shared" si="9"/>
        <v>0.14966133960619349</v>
      </c>
      <c r="R29">
        <f t="shared" si="10"/>
        <v>321.44243090003022</v>
      </c>
      <c r="S29">
        <f t="shared" si="11"/>
        <v>26.750472135787223</v>
      </c>
      <c r="T29">
        <f t="shared" si="12"/>
        <v>26.992625806451599</v>
      </c>
      <c r="U29">
        <f t="shared" si="13"/>
        <v>3.5776098351046088</v>
      </c>
      <c r="V29">
        <f t="shared" si="14"/>
        <v>54.909184536474697</v>
      </c>
      <c r="W29">
        <f t="shared" si="15"/>
        <v>1.8588074260298815</v>
      </c>
      <c r="X29">
        <f t="shared" si="16"/>
        <v>3.3852395400174369</v>
      </c>
      <c r="Y29">
        <f t="shared" si="17"/>
        <v>1.7188024090747274</v>
      </c>
      <c r="Z29">
        <f t="shared" si="18"/>
        <v>-186.77220924065065</v>
      </c>
      <c r="AA29">
        <f t="shared" si="19"/>
        <v>-170.74779256595411</v>
      </c>
      <c r="AB29">
        <f t="shared" si="20"/>
        <v>-10.858216851784425</v>
      </c>
      <c r="AC29">
        <f t="shared" si="21"/>
        <v>-46.935787758358998</v>
      </c>
      <c r="AD29">
        <v>-4.1100365432086998E-2</v>
      </c>
      <c r="AE29">
        <v>4.6138760787283899E-2</v>
      </c>
      <c r="AF29">
        <v>3.44968143355378</v>
      </c>
      <c r="AG29">
        <v>148</v>
      </c>
      <c r="AH29">
        <v>30</v>
      </c>
      <c r="AI29">
        <f t="shared" si="22"/>
        <v>1</v>
      </c>
      <c r="AJ29">
        <f t="shared" si="23"/>
        <v>0</v>
      </c>
      <c r="AK29">
        <f t="shared" si="24"/>
        <v>52575.976204751016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282.442038461538</v>
      </c>
      <c r="AT29">
        <v>423.28</v>
      </c>
      <c r="AU29">
        <f t="shared" si="27"/>
        <v>0.33273001686463333</v>
      </c>
      <c r="AV29">
        <v>0.5</v>
      </c>
      <c r="AW29">
        <f t="shared" si="28"/>
        <v>1681.2076448380117</v>
      </c>
      <c r="AX29">
        <f t="shared" si="29"/>
        <v>52.97146790752911</v>
      </c>
      <c r="AY29">
        <f t="shared" si="30"/>
        <v>279.69412400995105</v>
      </c>
      <c r="AZ29">
        <f t="shared" si="31"/>
        <v>0.56789831789831791</v>
      </c>
      <c r="BA29">
        <f t="shared" si="32"/>
        <v>3.2102797101383265E-2</v>
      </c>
      <c r="BB29">
        <f t="shared" si="33"/>
        <v>-1</v>
      </c>
      <c r="BC29" t="s">
        <v>348</v>
      </c>
      <c r="BD29">
        <v>182.9</v>
      </c>
      <c r="BE29">
        <f t="shared" si="34"/>
        <v>240.37999999999997</v>
      </c>
      <c r="BF29">
        <f t="shared" si="35"/>
        <v>0.58589716922565105</v>
      </c>
      <c r="BG29">
        <f t="shared" si="36"/>
        <v>2.3142700929469653</v>
      </c>
      <c r="BH29">
        <f t="shared" si="37"/>
        <v>0.33273001686463327</v>
      </c>
      <c r="BI29" t="e">
        <f t="shared" si="38"/>
        <v>#DIV/0!</v>
      </c>
      <c r="BJ29">
        <v>6617</v>
      </c>
      <c r="BK29">
        <v>300</v>
      </c>
      <c r="BL29">
        <v>300</v>
      </c>
      <c r="BM29">
        <v>300</v>
      </c>
      <c r="BN29">
        <v>9874.1200000000008</v>
      </c>
      <c r="BO29">
        <v>386.64600000000002</v>
      </c>
      <c r="BP29">
        <v>-6.5676900000000002E-3</v>
      </c>
      <c r="BQ29">
        <v>1.21936</v>
      </c>
      <c r="BR29">
        <f t="shared" si="39"/>
        <v>2000.01225806452</v>
      </c>
      <c r="BS29">
        <f t="shared" si="40"/>
        <v>1681.2076448380117</v>
      </c>
      <c r="BT29">
        <f t="shared" si="41"/>
        <v>0.84059867036263747</v>
      </c>
      <c r="BU29">
        <f t="shared" si="42"/>
        <v>0.19119734072527486</v>
      </c>
      <c r="BV29">
        <v>0.5</v>
      </c>
      <c r="BW29" t="s">
        <v>281</v>
      </c>
      <c r="BX29">
        <v>1598206557.8580599</v>
      </c>
      <c r="BY29">
        <v>1176.8185161290301</v>
      </c>
      <c r="BZ29">
        <v>1199.99774193548</v>
      </c>
      <c r="CA29">
        <v>18.708680645161301</v>
      </c>
      <c r="CB29">
        <v>17.046509677419401</v>
      </c>
      <c r="CC29">
        <v>500.064387096774</v>
      </c>
      <c r="CD29">
        <v>99.155345161290299</v>
      </c>
      <c r="CE29">
        <v>0.200000161290323</v>
      </c>
      <c r="CF29">
        <v>26.054919354838699</v>
      </c>
      <c r="CG29">
        <v>26.992625806451599</v>
      </c>
      <c r="CH29">
        <v>999.9</v>
      </c>
      <c r="CI29">
        <v>9995.9845161290305</v>
      </c>
      <c r="CJ29">
        <v>0</v>
      </c>
      <c r="CK29">
        <v>147.75370967741901</v>
      </c>
      <c r="CL29">
        <v>2000.01225806452</v>
      </c>
      <c r="CM29">
        <v>0.97999396774193503</v>
      </c>
      <c r="CN29">
        <v>2.0006161290322601E-2</v>
      </c>
      <c r="CO29">
        <v>0</v>
      </c>
      <c r="CP29">
        <v>282.43496774193602</v>
      </c>
      <c r="CQ29">
        <v>5.00054</v>
      </c>
      <c r="CR29">
        <v>7256.1690322580698</v>
      </c>
      <c r="CS29">
        <v>18703.6967741935</v>
      </c>
      <c r="CT29">
        <v>48.066193548387098</v>
      </c>
      <c r="CU29">
        <v>49.612806451612897</v>
      </c>
      <c r="CV29">
        <v>48.420999999999999</v>
      </c>
      <c r="CW29">
        <v>48.8343548387097</v>
      </c>
      <c r="CX29">
        <v>49.429000000000002</v>
      </c>
      <c r="CY29">
        <v>1955.10064516129</v>
      </c>
      <c r="CZ29">
        <v>39.911612903225802</v>
      </c>
      <c r="DA29">
        <v>0</v>
      </c>
      <c r="DB29">
        <v>147.700000047684</v>
      </c>
      <c r="DC29">
        <v>282.442038461538</v>
      </c>
      <c r="DD29">
        <v>-1.91039315677321</v>
      </c>
      <c r="DE29">
        <v>-77.949743609011605</v>
      </c>
      <c r="DF29">
        <v>7256.0911538461596</v>
      </c>
      <c r="DG29">
        <v>15</v>
      </c>
      <c r="DH29">
        <v>1598206590.8</v>
      </c>
      <c r="DI29" t="s">
        <v>349</v>
      </c>
      <c r="DJ29">
        <v>58</v>
      </c>
      <c r="DK29">
        <v>0.19</v>
      </c>
      <c r="DL29">
        <v>0.11600000000000001</v>
      </c>
      <c r="DM29">
        <v>1200</v>
      </c>
      <c r="DN29">
        <v>17</v>
      </c>
      <c r="DO29">
        <v>0.21</v>
      </c>
      <c r="DP29">
        <v>0.05</v>
      </c>
      <c r="DQ29">
        <v>1176.7176363636399</v>
      </c>
      <c r="DR29">
        <v>0.24306175001899599</v>
      </c>
      <c r="DS29">
        <v>7.0915151256156203E-2</v>
      </c>
      <c r="DT29">
        <v>1</v>
      </c>
      <c r="DU29">
        <v>18.7305127272727</v>
      </c>
      <c r="DV29">
        <v>-0.17106885940359501</v>
      </c>
      <c r="DW29">
        <v>2.3589227545605201E-2</v>
      </c>
      <c r="DX29">
        <v>1</v>
      </c>
      <c r="DY29">
        <v>2</v>
      </c>
      <c r="DZ29">
        <v>2</v>
      </c>
      <c r="EA29" t="s">
        <v>283</v>
      </c>
      <c r="EB29">
        <v>1.8667400000000001</v>
      </c>
      <c r="EC29">
        <v>1.8632500000000001</v>
      </c>
      <c r="ED29">
        <v>1.8689</v>
      </c>
      <c r="EE29">
        <v>1.8667899999999999</v>
      </c>
      <c r="EF29">
        <v>1.8714900000000001</v>
      </c>
      <c r="EG29">
        <v>1.8640099999999999</v>
      </c>
      <c r="EH29">
        <v>1.86554</v>
      </c>
      <c r="EI29">
        <v>1.8653999999999999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0.19</v>
      </c>
      <c r="EX29">
        <v>0.11600000000000001</v>
      </c>
      <c r="EY29">
        <v>2</v>
      </c>
      <c r="EZ29">
        <v>334.55</v>
      </c>
      <c r="FA29">
        <v>468.29899999999998</v>
      </c>
      <c r="FB29">
        <v>20.808700000000002</v>
      </c>
      <c r="FC29">
        <v>35.034999999999997</v>
      </c>
      <c r="FD29">
        <v>30.000299999999999</v>
      </c>
      <c r="FE29">
        <v>34.955500000000001</v>
      </c>
      <c r="FF29">
        <v>34.941899999999997</v>
      </c>
      <c r="FG29">
        <v>53.334699999999998</v>
      </c>
      <c r="FH29">
        <v>55.768700000000003</v>
      </c>
      <c r="FI29">
        <v>0</v>
      </c>
      <c r="FJ29">
        <v>20.817699999999999</v>
      </c>
      <c r="FK29">
        <v>1200</v>
      </c>
      <c r="FL29">
        <v>17.098500000000001</v>
      </c>
      <c r="FM29">
        <v>100.545</v>
      </c>
      <c r="FN29">
        <v>101.014</v>
      </c>
    </row>
    <row r="30" spans="1:170" x14ac:dyDescent="0.25">
      <c r="A30">
        <v>14</v>
      </c>
      <c r="B30">
        <v>1598206712.4000001</v>
      </c>
      <c r="C30">
        <v>1708.7000000476801</v>
      </c>
      <c r="D30" t="s">
        <v>350</v>
      </c>
      <c r="E30" t="s">
        <v>351</v>
      </c>
      <c r="G30">
        <v>1598206704.4000001</v>
      </c>
      <c r="H30">
        <f t="shared" si="0"/>
        <v>3.9691234530608984E-3</v>
      </c>
      <c r="I30">
        <f t="shared" si="1"/>
        <v>54.103239324505836</v>
      </c>
      <c r="J30">
        <f t="shared" si="2"/>
        <v>1575.84841935484</v>
      </c>
      <c r="K30">
        <f t="shared" si="3"/>
        <v>1152.7117931633552</v>
      </c>
      <c r="L30">
        <f t="shared" si="4"/>
        <v>114.52903167136196</v>
      </c>
      <c r="M30">
        <f t="shared" si="5"/>
        <v>156.57026726018722</v>
      </c>
      <c r="N30">
        <f t="shared" si="6"/>
        <v>0.23240367835510237</v>
      </c>
      <c r="O30">
        <f t="shared" si="7"/>
        <v>3.3772589354400502</v>
      </c>
      <c r="P30">
        <f t="shared" si="8"/>
        <v>0.22387047295317344</v>
      </c>
      <c r="Q30">
        <f t="shared" si="9"/>
        <v>0.14065961631945575</v>
      </c>
      <c r="R30">
        <f t="shared" si="10"/>
        <v>321.4413859174785</v>
      </c>
      <c r="S30">
        <f t="shared" si="11"/>
        <v>26.652263181583084</v>
      </c>
      <c r="T30">
        <f t="shared" si="12"/>
        <v>26.966829032258101</v>
      </c>
      <c r="U30">
        <f t="shared" si="13"/>
        <v>3.5721926535987203</v>
      </c>
      <c r="V30">
        <f t="shared" si="14"/>
        <v>55.427821711019675</v>
      </c>
      <c r="W30">
        <f t="shared" si="15"/>
        <v>1.8587966186091718</v>
      </c>
      <c r="X30">
        <f t="shared" si="16"/>
        <v>3.3535444136705483</v>
      </c>
      <c r="Y30">
        <f t="shared" si="17"/>
        <v>1.7133960349895485</v>
      </c>
      <c r="Z30">
        <f t="shared" si="18"/>
        <v>-175.03834427998561</v>
      </c>
      <c r="AA30">
        <f t="shared" si="19"/>
        <v>-194.97507582355306</v>
      </c>
      <c r="AB30">
        <f t="shared" si="20"/>
        <v>-12.388518439662201</v>
      </c>
      <c r="AC30">
        <f t="shared" si="21"/>
        <v>-60.960552625722386</v>
      </c>
      <c r="AD30">
        <v>-4.1095751097291501E-2</v>
      </c>
      <c r="AE30">
        <v>4.6133580792237998E-2</v>
      </c>
      <c r="AF30">
        <v>3.4493747782447399</v>
      </c>
      <c r="AG30">
        <v>148</v>
      </c>
      <c r="AH30">
        <v>30</v>
      </c>
      <c r="AI30">
        <f t="shared" si="22"/>
        <v>1</v>
      </c>
      <c r="AJ30">
        <f t="shared" si="23"/>
        <v>0</v>
      </c>
      <c r="AK30">
        <f t="shared" si="24"/>
        <v>52598.286778368463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279.09611538461502</v>
      </c>
      <c r="AT30">
        <v>409.71199999999999</v>
      </c>
      <c r="AU30">
        <f t="shared" si="27"/>
        <v>0.31879926537515368</v>
      </c>
      <c r="AV30">
        <v>0.5</v>
      </c>
      <c r="AW30">
        <f t="shared" si="28"/>
        <v>1681.2051389656779</v>
      </c>
      <c r="AX30">
        <f t="shared" si="29"/>
        <v>54.103239324505836</v>
      </c>
      <c r="AY30">
        <f t="shared" si="30"/>
        <v>267.98348162359565</v>
      </c>
      <c r="AZ30">
        <f t="shared" si="31"/>
        <v>0.55915374702229859</v>
      </c>
      <c r="BA30">
        <f t="shared" si="32"/>
        <v>3.2776035504154366E-2</v>
      </c>
      <c r="BB30">
        <f t="shared" si="33"/>
        <v>-1</v>
      </c>
      <c r="BC30" t="s">
        <v>353</v>
      </c>
      <c r="BD30">
        <v>180.62</v>
      </c>
      <c r="BE30">
        <f t="shared" si="34"/>
        <v>229.09199999999998</v>
      </c>
      <c r="BF30">
        <f t="shared" si="35"/>
        <v>0.57014598770531044</v>
      </c>
      <c r="BG30">
        <f t="shared" si="36"/>
        <v>2.2683645222013067</v>
      </c>
      <c r="BH30">
        <f t="shared" si="37"/>
        <v>0.31879926537515368</v>
      </c>
      <c r="BI30" t="e">
        <f t="shared" si="38"/>
        <v>#DIV/0!</v>
      </c>
      <c r="BJ30">
        <v>6619</v>
      </c>
      <c r="BK30">
        <v>300</v>
      </c>
      <c r="BL30">
        <v>300</v>
      </c>
      <c r="BM30">
        <v>300</v>
      </c>
      <c r="BN30">
        <v>9874.6200000000008</v>
      </c>
      <c r="BO30">
        <v>374.20499999999998</v>
      </c>
      <c r="BP30">
        <v>-6.5680799999999996E-3</v>
      </c>
      <c r="BQ30">
        <v>2.0207799999999998</v>
      </c>
      <c r="BR30">
        <f t="shared" si="39"/>
        <v>2000.0096774193501</v>
      </c>
      <c r="BS30">
        <f t="shared" si="40"/>
        <v>1681.2051389656779</v>
      </c>
      <c r="BT30">
        <f t="shared" si="41"/>
        <v>0.84059850207073417</v>
      </c>
      <c r="BU30">
        <f t="shared" si="42"/>
        <v>0.19119700414146829</v>
      </c>
      <c r="BV30">
        <v>0.5</v>
      </c>
      <c r="BW30" t="s">
        <v>281</v>
      </c>
      <c r="BX30">
        <v>1598206704.4000001</v>
      </c>
      <c r="BY30">
        <v>1575.84841935484</v>
      </c>
      <c r="BZ30">
        <v>1599.98903225806</v>
      </c>
      <c r="CA30">
        <v>18.708416129032301</v>
      </c>
      <c r="CB30">
        <v>17.150635483871</v>
      </c>
      <c r="CC30">
        <v>500.05338709677397</v>
      </c>
      <c r="CD30">
        <v>99.156164516128996</v>
      </c>
      <c r="CE30">
        <v>0.200007903225806</v>
      </c>
      <c r="CF30">
        <v>25.8959774193548</v>
      </c>
      <c r="CG30">
        <v>26.966829032258101</v>
      </c>
      <c r="CH30">
        <v>999.9</v>
      </c>
      <c r="CI30">
        <v>9994.7796774193503</v>
      </c>
      <c r="CJ30">
        <v>0</v>
      </c>
      <c r="CK30">
        <v>136.362741935484</v>
      </c>
      <c r="CL30">
        <v>2000.0096774193501</v>
      </c>
      <c r="CM30">
        <v>0.979999774193548</v>
      </c>
      <c r="CN30">
        <v>2.0000287096774198E-2</v>
      </c>
      <c r="CO30">
        <v>0</v>
      </c>
      <c r="CP30">
        <v>279.10525806451602</v>
      </c>
      <c r="CQ30">
        <v>5.00054</v>
      </c>
      <c r="CR30">
        <v>7177.8632258064499</v>
      </c>
      <c r="CS30">
        <v>18703.712903225802</v>
      </c>
      <c r="CT30">
        <v>47.917000000000002</v>
      </c>
      <c r="CU30">
        <v>49.467548387096798</v>
      </c>
      <c r="CV30">
        <v>48.287999999999997</v>
      </c>
      <c r="CW30">
        <v>48.687322580645201</v>
      </c>
      <c r="CX30">
        <v>49.28</v>
      </c>
      <c r="CY30">
        <v>1955.10838709677</v>
      </c>
      <c r="CZ30">
        <v>39.900322580645202</v>
      </c>
      <c r="DA30">
        <v>0</v>
      </c>
      <c r="DB30">
        <v>146.200000047684</v>
      </c>
      <c r="DC30">
        <v>279.09611538461502</v>
      </c>
      <c r="DD30">
        <v>-1.7629059936576399</v>
      </c>
      <c r="DE30">
        <v>-72.648546868947506</v>
      </c>
      <c r="DF30">
        <v>7176.8257692307698</v>
      </c>
      <c r="DG30">
        <v>15</v>
      </c>
      <c r="DH30">
        <v>1598206738.4000001</v>
      </c>
      <c r="DI30" t="s">
        <v>354</v>
      </c>
      <c r="DJ30">
        <v>59</v>
      </c>
      <c r="DK30">
        <v>-0.129</v>
      </c>
      <c r="DL30">
        <v>0.11600000000000001</v>
      </c>
      <c r="DM30">
        <v>1600</v>
      </c>
      <c r="DN30">
        <v>17</v>
      </c>
      <c r="DO30">
        <v>0.2</v>
      </c>
      <c r="DP30">
        <v>7.0000000000000007E-2</v>
      </c>
      <c r="DQ30">
        <v>1576.1790909090901</v>
      </c>
      <c r="DR30">
        <v>-8.69264069266934E-2</v>
      </c>
      <c r="DS30">
        <v>4.4732446116204201E-2</v>
      </c>
      <c r="DT30">
        <v>1</v>
      </c>
      <c r="DU30">
        <v>18.768890909090899</v>
      </c>
      <c r="DV30">
        <v>-0.52821818181812497</v>
      </c>
      <c r="DW30">
        <v>7.1245764844406395E-2</v>
      </c>
      <c r="DX30">
        <v>0</v>
      </c>
      <c r="DY30">
        <v>1</v>
      </c>
      <c r="DZ30">
        <v>2</v>
      </c>
      <c r="EA30" t="s">
        <v>334</v>
      </c>
      <c r="EB30">
        <v>1.8667499999999999</v>
      </c>
      <c r="EC30">
        <v>1.8632500000000001</v>
      </c>
      <c r="ED30">
        <v>1.8689</v>
      </c>
      <c r="EE30">
        <v>1.8667899999999999</v>
      </c>
      <c r="EF30">
        <v>1.8714900000000001</v>
      </c>
      <c r="EG30">
        <v>1.8639699999999999</v>
      </c>
      <c r="EH30">
        <v>1.8655299999999999</v>
      </c>
      <c r="EI30">
        <v>1.8653999999999999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-0.129</v>
      </c>
      <c r="EX30">
        <v>0.11600000000000001</v>
      </c>
      <c r="EY30">
        <v>2</v>
      </c>
      <c r="EZ30">
        <v>334.64299999999997</v>
      </c>
      <c r="FA30">
        <v>468.60300000000001</v>
      </c>
      <c r="FB30">
        <v>20.696899999999999</v>
      </c>
      <c r="FC30">
        <v>35.1173</v>
      </c>
      <c r="FD30">
        <v>30.000699999999998</v>
      </c>
      <c r="FE30">
        <v>35.033099999999997</v>
      </c>
      <c r="FF30">
        <v>35.020699999999998</v>
      </c>
      <c r="FG30">
        <v>67.063900000000004</v>
      </c>
      <c r="FH30">
        <v>55.719499999999996</v>
      </c>
      <c r="FI30">
        <v>0</v>
      </c>
      <c r="FJ30">
        <v>20.702500000000001</v>
      </c>
      <c r="FK30">
        <v>1600</v>
      </c>
      <c r="FL30">
        <v>17.1021</v>
      </c>
      <c r="FM30">
        <v>100.53100000000001</v>
      </c>
      <c r="FN30">
        <v>100.995</v>
      </c>
    </row>
    <row r="31" spans="1:170" x14ac:dyDescent="0.25">
      <c r="A31">
        <v>15</v>
      </c>
      <c r="B31">
        <v>1598206832.9000001</v>
      </c>
      <c r="C31">
        <v>1829.2000000476801</v>
      </c>
      <c r="D31" t="s">
        <v>355</v>
      </c>
      <c r="E31" t="s">
        <v>356</v>
      </c>
      <c r="G31">
        <v>1598206824.9000001</v>
      </c>
      <c r="H31">
        <f t="shared" si="0"/>
        <v>3.5975503705714083E-3</v>
      </c>
      <c r="I31">
        <f t="shared" si="1"/>
        <v>54.020483055794422</v>
      </c>
      <c r="J31">
        <f t="shared" si="2"/>
        <v>1775.8028709677401</v>
      </c>
      <c r="K31">
        <f t="shared" si="3"/>
        <v>1306.2927160131319</v>
      </c>
      <c r="L31">
        <f t="shared" si="4"/>
        <v>129.79006419879383</v>
      </c>
      <c r="M31">
        <f t="shared" si="5"/>
        <v>176.4394502104752</v>
      </c>
      <c r="N31">
        <f t="shared" si="6"/>
        <v>0.20893945995067839</v>
      </c>
      <c r="O31">
        <f t="shared" si="7"/>
        <v>3.379984609092626</v>
      </c>
      <c r="P31">
        <f t="shared" si="8"/>
        <v>0.20202011442450138</v>
      </c>
      <c r="Q31">
        <f t="shared" si="9"/>
        <v>0.12686515826711525</v>
      </c>
      <c r="R31">
        <f t="shared" si="10"/>
        <v>321.43838526402112</v>
      </c>
      <c r="S31">
        <f t="shared" si="11"/>
        <v>26.655060188317115</v>
      </c>
      <c r="T31">
        <f t="shared" si="12"/>
        <v>26.939264516129001</v>
      </c>
      <c r="U31">
        <f t="shared" si="13"/>
        <v>3.5664121705025695</v>
      </c>
      <c r="V31">
        <f t="shared" si="14"/>
        <v>55.289290462932485</v>
      </c>
      <c r="W31">
        <f t="shared" si="15"/>
        <v>1.8452494774671777</v>
      </c>
      <c r="X31">
        <f t="shared" si="16"/>
        <v>3.3374446696947317</v>
      </c>
      <c r="Y31">
        <f t="shared" si="17"/>
        <v>1.7211626930353918</v>
      </c>
      <c r="Z31">
        <f t="shared" si="18"/>
        <v>-158.65197134219912</v>
      </c>
      <c r="AA31">
        <f t="shared" si="19"/>
        <v>-204.91303815721636</v>
      </c>
      <c r="AB31">
        <f t="shared" si="20"/>
        <v>-13.002381748930992</v>
      </c>
      <c r="AC31">
        <f t="shared" si="21"/>
        <v>-55.129005984325346</v>
      </c>
      <c r="AD31">
        <v>-4.1137884266465703E-2</v>
      </c>
      <c r="AE31">
        <v>4.6180878965704303E-2</v>
      </c>
      <c r="AF31">
        <v>3.4521743882270801</v>
      </c>
      <c r="AG31">
        <v>149</v>
      </c>
      <c r="AH31">
        <v>30</v>
      </c>
      <c r="AI31">
        <f t="shared" si="22"/>
        <v>1</v>
      </c>
      <c r="AJ31">
        <f t="shared" si="23"/>
        <v>0</v>
      </c>
      <c r="AK31">
        <f t="shared" si="24"/>
        <v>52664.352711622887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277.53061538461498</v>
      </c>
      <c r="AT31">
        <v>403.00599999999997</v>
      </c>
      <c r="AU31">
        <f t="shared" si="27"/>
        <v>0.31134867623654483</v>
      </c>
      <c r="AV31">
        <v>0.5</v>
      </c>
      <c r="AW31">
        <f t="shared" si="28"/>
        <v>1681.1920932252751</v>
      </c>
      <c r="AX31">
        <f t="shared" si="29"/>
        <v>54.020483055794422</v>
      </c>
      <c r="AY31">
        <f t="shared" si="30"/>
        <v>261.71846636251763</v>
      </c>
      <c r="AZ31">
        <f t="shared" si="31"/>
        <v>0.55400167739438122</v>
      </c>
      <c r="BA31">
        <f t="shared" si="32"/>
        <v>3.2727065085251875E-2</v>
      </c>
      <c r="BB31">
        <f t="shared" si="33"/>
        <v>-1</v>
      </c>
      <c r="BC31" t="s">
        <v>358</v>
      </c>
      <c r="BD31">
        <v>179.74</v>
      </c>
      <c r="BE31">
        <f t="shared" si="34"/>
        <v>223.26599999999996</v>
      </c>
      <c r="BF31">
        <f t="shared" si="35"/>
        <v>0.56199951902835643</v>
      </c>
      <c r="BG31">
        <f t="shared" si="36"/>
        <v>2.2421608990764437</v>
      </c>
      <c r="BH31">
        <f t="shared" si="37"/>
        <v>0.31134867623654489</v>
      </c>
      <c r="BI31" t="e">
        <f t="shared" si="38"/>
        <v>#DIV/0!</v>
      </c>
      <c r="BJ31">
        <v>6621</v>
      </c>
      <c r="BK31">
        <v>300</v>
      </c>
      <c r="BL31">
        <v>300</v>
      </c>
      <c r="BM31">
        <v>300</v>
      </c>
      <c r="BN31">
        <v>9875.0300000000007</v>
      </c>
      <c r="BO31">
        <v>368.03500000000003</v>
      </c>
      <c r="BP31">
        <v>-6.56844E-3</v>
      </c>
      <c r="BQ31">
        <v>0.63955700000000004</v>
      </c>
      <c r="BR31">
        <f t="shared" si="39"/>
        <v>1999.99451612903</v>
      </c>
      <c r="BS31">
        <f t="shared" si="40"/>
        <v>1681.1920932252751</v>
      </c>
      <c r="BT31">
        <f t="shared" si="41"/>
        <v>0.84059835147908613</v>
      </c>
      <c r="BU31">
        <f t="shared" si="42"/>
        <v>0.19119670295817248</v>
      </c>
      <c r="BV31">
        <v>0.5</v>
      </c>
      <c r="BW31" t="s">
        <v>281</v>
      </c>
      <c r="BX31">
        <v>1598206824.9000001</v>
      </c>
      <c r="BY31">
        <v>1775.8028709677401</v>
      </c>
      <c r="BZ31">
        <v>1799.9641935483901</v>
      </c>
      <c r="CA31">
        <v>18.5718064516129</v>
      </c>
      <c r="CB31">
        <v>17.1596451612903</v>
      </c>
      <c r="CC31">
        <v>500.04732258064502</v>
      </c>
      <c r="CD31">
        <v>99.157587096774193</v>
      </c>
      <c r="CE31">
        <v>0.199978483870968</v>
      </c>
      <c r="CF31">
        <v>25.8147387096774</v>
      </c>
      <c r="CG31">
        <v>26.939264516129001</v>
      </c>
      <c r="CH31">
        <v>999.9</v>
      </c>
      <c r="CI31">
        <v>10004.883225806499</v>
      </c>
      <c r="CJ31">
        <v>0</v>
      </c>
      <c r="CK31">
        <v>123.244741935484</v>
      </c>
      <c r="CL31">
        <v>1999.99451612903</v>
      </c>
      <c r="CM31">
        <v>0.98000641935483901</v>
      </c>
      <c r="CN31">
        <v>1.9993603225806501E-2</v>
      </c>
      <c r="CO31">
        <v>0</v>
      </c>
      <c r="CP31">
        <v>277.56116129032301</v>
      </c>
      <c r="CQ31">
        <v>5.00054</v>
      </c>
      <c r="CR31">
        <v>7133.6535483871003</v>
      </c>
      <c r="CS31">
        <v>18703.609677419401</v>
      </c>
      <c r="CT31">
        <v>47.8283225806451</v>
      </c>
      <c r="CU31">
        <v>49.382935483871002</v>
      </c>
      <c r="CV31">
        <v>48.207387096774198</v>
      </c>
      <c r="CW31">
        <v>48.606580645161301</v>
      </c>
      <c r="CX31">
        <v>49.193387096774202</v>
      </c>
      <c r="CY31">
        <v>1955.1045161290299</v>
      </c>
      <c r="CZ31">
        <v>39.89</v>
      </c>
      <c r="DA31">
        <v>0</v>
      </c>
      <c r="DB31">
        <v>120.10000014305101</v>
      </c>
      <c r="DC31">
        <v>277.53061538461498</v>
      </c>
      <c r="DD31">
        <v>-2.5537777769960601</v>
      </c>
      <c r="DE31">
        <v>-14.9514530537711</v>
      </c>
      <c r="DF31">
        <v>7133.4688461538499</v>
      </c>
      <c r="DG31">
        <v>15</v>
      </c>
      <c r="DH31">
        <v>1598206858.4000001</v>
      </c>
      <c r="DI31" t="s">
        <v>359</v>
      </c>
      <c r="DJ31">
        <v>60</v>
      </c>
      <c r="DK31">
        <v>0.11</v>
      </c>
      <c r="DL31">
        <v>0.11600000000000001</v>
      </c>
      <c r="DM31">
        <v>1801</v>
      </c>
      <c r="DN31">
        <v>17</v>
      </c>
      <c r="DO31">
        <v>0.13</v>
      </c>
      <c r="DP31">
        <v>0.08</v>
      </c>
      <c r="DQ31">
        <v>1775.566</v>
      </c>
      <c r="DR31">
        <v>0.13826839826867299</v>
      </c>
      <c r="DS31">
        <v>7.6837490849198498E-2</v>
      </c>
      <c r="DT31">
        <v>1</v>
      </c>
      <c r="DU31">
        <v>18.55132</v>
      </c>
      <c r="DV31">
        <v>0.18394545454545599</v>
      </c>
      <c r="DW31">
        <v>2.7198679112312399E-2</v>
      </c>
      <c r="DX31">
        <v>1</v>
      </c>
      <c r="DY31">
        <v>2</v>
      </c>
      <c r="DZ31">
        <v>2</v>
      </c>
      <c r="EA31" t="s">
        <v>283</v>
      </c>
      <c r="EB31">
        <v>1.86676</v>
      </c>
      <c r="EC31">
        <v>1.8632500000000001</v>
      </c>
      <c r="ED31">
        <v>1.8689</v>
      </c>
      <c r="EE31">
        <v>1.86683</v>
      </c>
      <c r="EF31">
        <v>1.8714999999999999</v>
      </c>
      <c r="EG31">
        <v>1.8640000000000001</v>
      </c>
      <c r="EH31">
        <v>1.86554</v>
      </c>
      <c r="EI31">
        <v>1.8653999999999999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0.11</v>
      </c>
      <c r="EX31">
        <v>0.11600000000000001</v>
      </c>
      <c r="EY31">
        <v>2</v>
      </c>
      <c r="EZ31">
        <v>333.53199999999998</v>
      </c>
      <c r="FA31">
        <v>470.12400000000002</v>
      </c>
      <c r="FB31">
        <v>20.926300000000001</v>
      </c>
      <c r="FC31">
        <v>35.1877</v>
      </c>
      <c r="FD31">
        <v>30.001100000000001</v>
      </c>
      <c r="FE31">
        <v>35.1004</v>
      </c>
      <c r="FF31">
        <v>35.085799999999999</v>
      </c>
      <c r="FG31">
        <v>73.551900000000003</v>
      </c>
      <c r="FH31">
        <v>55.962600000000002</v>
      </c>
      <c r="FI31">
        <v>0</v>
      </c>
      <c r="FJ31">
        <v>20.918299999999999</v>
      </c>
      <c r="FK31">
        <v>1800</v>
      </c>
      <c r="FL31">
        <v>17.052600000000002</v>
      </c>
      <c r="FM31">
        <v>100.521</v>
      </c>
      <c r="FN31">
        <v>100.986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2020-08-23T13:22:37Z</dcterms:created>
  <dcterms:modified xsi:type="dcterms:W3CDTF">2024-11-20T09:08:01Z</dcterms:modified>
</cp:coreProperties>
</file>