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823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1" i="1" l="1"/>
  <c r="BT31" i="1"/>
  <c r="BR31" i="1"/>
  <c r="BS31" i="1" s="1"/>
  <c r="BI31" i="1"/>
  <c r="BH31" i="1"/>
  <c r="BG31" i="1"/>
  <c r="BF31" i="1"/>
  <c r="BE31" i="1"/>
  <c r="BB31" i="1"/>
  <c r="AZ31" i="1"/>
  <c r="AU31" i="1"/>
  <c r="AO31" i="1"/>
  <c r="AP31" i="1" s="1"/>
  <c r="AK31" i="1"/>
  <c r="AI31" i="1"/>
  <c r="J31" i="1" s="1"/>
  <c r="X31" i="1"/>
  <c r="V31" i="1" s="1"/>
  <c r="W31" i="1"/>
  <c r="O31" i="1"/>
  <c r="BU30" i="1"/>
  <c r="BT30" i="1"/>
  <c r="BR30" i="1"/>
  <c r="BS30" i="1" s="1"/>
  <c r="BI30" i="1"/>
  <c r="BH30" i="1"/>
  <c r="BG30" i="1"/>
  <c r="BF30" i="1"/>
  <c r="BE30" i="1"/>
  <c r="AZ30" i="1" s="1"/>
  <c r="BB30" i="1"/>
  <c r="AU30" i="1"/>
  <c r="AO30" i="1"/>
  <c r="AP30" i="1" s="1"/>
  <c r="AK30" i="1"/>
  <c r="AI30" i="1"/>
  <c r="M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/>
  <c r="I29" i="1" s="1"/>
  <c r="AX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BB28" i="1"/>
  <c r="AZ28" i="1"/>
  <c r="AU28" i="1"/>
  <c r="AP28" i="1"/>
  <c r="AO28" i="1"/>
  <c r="AK28" i="1"/>
  <c r="AI28" i="1" s="1"/>
  <c r="X28" i="1"/>
  <c r="W28" i="1"/>
  <c r="V28" i="1" s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P27" i="1"/>
  <c r="AO27" i="1"/>
  <c r="AK27" i="1"/>
  <c r="AI27" i="1" s="1"/>
  <c r="X27" i="1"/>
  <c r="W27" i="1"/>
  <c r="V27" i="1"/>
  <c r="O27" i="1"/>
  <c r="BU26" i="1"/>
  <c r="BT26" i="1"/>
  <c r="BS26" i="1" s="1"/>
  <c r="BR26" i="1"/>
  <c r="BI26" i="1"/>
  <c r="BH26" i="1"/>
  <c r="BG26" i="1"/>
  <c r="BF26" i="1"/>
  <c r="BE26" i="1"/>
  <c r="BB26" i="1"/>
  <c r="AZ26" i="1"/>
  <c r="AU26" i="1"/>
  <c r="AO26" i="1"/>
  <c r="AP26" i="1" s="1"/>
  <c r="AK26" i="1"/>
  <c r="AI26" i="1"/>
  <c r="J26" i="1" s="1"/>
  <c r="X26" i="1"/>
  <c r="W26" i="1"/>
  <c r="V26" i="1" s="1"/>
  <c r="O26" i="1"/>
  <c r="BU25" i="1"/>
  <c r="BT25" i="1"/>
  <c r="BS25" i="1"/>
  <c r="R25" i="1" s="1"/>
  <c r="BR25" i="1"/>
  <c r="BI25" i="1"/>
  <c r="BH25" i="1"/>
  <c r="BG25" i="1"/>
  <c r="BF25" i="1"/>
  <c r="BE25" i="1"/>
  <c r="BB25" i="1"/>
  <c r="AZ25" i="1"/>
  <c r="AU25" i="1"/>
  <c r="AO25" i="1"/>
  <c r="AP25" i="1" s="1"/>
  <c r="AK25" i="1"/>
  <c r="AI25" i="1" s="1"/>
  <c r="X25" i="1"/>
  <c r="V25" i="1" s="1"/>
  <c r="W25" i="1"/>
  <c r="O25" i="1"/>
  <c r="BU24" i="1"/>
  <c r="BT24" i="1"/>
  <c r="BR24" i="1"/>
  <c r="BS24" i="1" s="1"/>
  <c r="BI24" i="1"/>
  <c r="BH24" i="1"/>
  <c r="BG24" i="1"/>
  <c r="BF24" i="1"/>
  <c r="BE24" i="1"/>
  <c r="AZ24" i="1" s="1"/>
  <c r="BB24" i="1"/>
  <c r="AU24" i="1"/>
  <c r="AP24" i="1"/>
  <c r="AO24" i="1"/>
  <c r="AK24" i="1"/>
  <c r="AI24" i="1"/>
  <c r="M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BB23" i="1"/>
  <c r="AZ23" i="1"/>
  <c r="AU23" i="1"/>
  <c r="AP23" i="1"/>
  <c r="AO23" i="1"/>
  <c r="AK23" i="1"/>
  <c r="AI23" i="1" s="1"/>
  <c r="X23" i="1"/>
  <c r="W23" i="1"/>
  <c r="V23" i="1"/>
  <c r="O23" i="1"/>
  <c r="BU22" i="1"/>
  <c r="BT22" i="1"/>
  <c r="BS22" i="1" s="1"/>
  <c r="BR22" i="1"/>
  <c r="BI22" i="1"/>
  <c r="BH22" i="1"/>
  <c r="BG22" i="1"/>
  <c r="BF22" i="1"/>
  <c r="BE22" i="1"/>
  <c r="BB22" i="1"/>
  <c r="AZ22" i="1"/>
  <c r="AU22" i="1"/>
  <c r="AO22" i="1"/>
  <c r="AP22" i="1" s="1"/>
  <c r="AK22" i="1"/>
  <c r="AI22" i="1"/>
  <c r="J22" i="1" s="1"/>
  <c r="X22" i="1"/>
  <c r="W22" i="1"/>
  <c r="V22" i="1"/>
  <c r="O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J21" i="1" s="1"/>
  <c r="X21" i="1"/>
  <c r="W21" i="1"/>
  <c r="V21" i="1" s="1"/>
  <c r="O21" i="1"/>
  <c r="BU20" i="1"/>
  <c r="BT20" i="1"/>
  <c r="BR20" i="1"/>
  <c r="BS20" i="1" s="1"/>
  <c r="BI20" i="1"/>
  <c r="BH20" i="1"/>
  <c r="BG20" i="1"/>
  <c r="BF20" i="1"/>
  <c r="BE20" i="1"/>
  <c r="AZ20" i="1" s="1"/>
  <c r="BB20" i="1"/>
  <c r="AU20" i="1"/>
  <c r="AO20" i="1"/>
  <c r="AP20" i="1" s="1"/>
  <c r="AK20" i="1"/>
  <c r="AI20" i="1"/>
  <c r="J20" i="1" s="1"/>
  <c r="X20" i="1"/>
  <c r="W20" i="1"/>
  <c r="V20" i="1" s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P19" i="1"/>
  <c r="AO19" i="1"/>
  <c r="AK19" i="1"/>
  <c r="AI19" i="1"/>
  <c r="M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P18" i="1"/>
  <c r="AO18" i="1"/>
  <c r="AK18" i="1"/>
  <c r="AI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O17" i="1"/>
  <c r="AP17" i="1" s="1"/>
  <c r="AK17" i="1"/>
  <c r="AI17" i="1" s="1"/>
  <c r="X17" i="1"/>
  <c r="W17" i="1"/>
  <c r="V17" i="1"/>
  <c r="O17" i="1"/>
  <c r="I18" i="1" l="1"/>
  <c r="AX18" i="1" s="1"/>
  <c r="J18" i="1"/>
  <c r="H18" i="1"/>
  <c r="AJ18" i="1"/>
  <c r="M18" i="1"/>
  <c r="AW19" i="1"/>
  <c r="AY19" i="1" s="1"/>
  <c r="R19" i="1"/>
  <c r="J28" i="1"/>
  <c r="I28" i="1"/>
  <c r="AX28" i="1" s="1"/>
  <c r="H28" i="1"/>
  <c r="AJ28" i="1"/>
  <c r="M28" i="1"/>
  <c r="AY17" i="1"/>
  <c r="R18" i="1"/>
  <c r="AW18" i="1"/>
  <c r="AY18" i="1" s="1"/>
  <c r="M27" i="1"/>
  <c r="J27" i="1"/>
  <c r="I27" i="1"/>
  <c r="AX27" i="1" s="1"/>
  <c r="BA27" i="1" s="1"/>
  <c r="H27" i="1"/>
  <c r="AJ27" i="1"/>
  <c r="R17" i="1"/>
  <c r="AW17" i="1"/>
  <c r="R23" i="1"/>
  <c r="AW23" i="1"/>
  <c r="AY23" i="1" s="1"/>
  <c r="I17" i="1"/>
  <c r="AX17" i="1" s="1"/>
  <c r="BA17" i="1" s="1"/>
  <c r="M17" i="1"/>
  <c r="J17" i="1"/>
  <c r="H17" i="1"/>
  <c r="AJ17" i="1"/>
  <c r="R22" i="1"/>
  <c r="AW22" i="1"/>
  <c r="AY22" i="1" s="1"/>
  <c r="AW29" i="1"/>
  <c r="AY29" i="1" s="1"/>
  <c r="R29" i="1"/>
  <c r="S25" i="1"/>
  <c r="T25" i="1" s="1"/>
  <c r="AY20" i="1"/>
  <c r="J23" i="1"/>
  <c r="I23" i="1"/>
  <c r="AX23" i="1" s="1"/>
  <c r="BA23" i="1" s="1"/>
  <c r="H23" i="1"/>
  <c r="AJ23" i="1"/>
  <c r="M23" i="1"/>
  <c r="R27" i="1"/>
  <c r="AW27" i="1"/>
  <c r="AY27" i="1" s="1"/>
  <c r="M25" i="1"/>
  <c r="H25" i="1"/>
  <c r="AJ25" i="1"/>
  <c r="J25" i="1"/>
  <c r="I25" i="1"/>
  <c r="AX25" i="1" s="1"/>
  <c r="AW30" i="1"/>
  <c r="AY30" i="1" s="1"/>
  <c r="R30" i="1"/>
  <c r="R26" i="1"/>
  <c r="AW26" i="1"/>
  <c r="AY26" i="1" s="1"/>
  <c r="AY31" i="1"/>
  <c r="R21" i="1"/>
  <c r="AW21" i="1"/>
  <c r="AY21" i="1" s="1"/>
  <c r="R28" i="1"/>
  <c r="AW28" i="1"/>
  <c r="AY28" i="1" s="1"/>
  <c r="AW24" i="1"/>
  <c r="AY24" i="1" s="1"/>
  <c r="R24" i="1"/>
  <c r="R31" i="1"/>
  <c r="AW31" i="1"/>
  <c r="AW20" i="1"/>
  <c r="R20" i="1"/>
  <c r="AJ22" i="1"/>
  <c r="H22" i="1"/>
  <c r="AJ30" i="1"/>
  <c r="I22" i="1"/>
  <c r="AX22" i="1" s="1"/>
  <c r="H26" i="1"/>
  <c r="H30" i="1"/>
  <c r="M31" i="1"/>
  <c r="J30" i="1"/>
  <c r="I21" i="1"/>
  <c r="AX21" i="1" s="1"/>
  <c r="AJ26" i="1"/>
  <c r="M22" i="1"/>
  <c r="I30" i="1"/>
  <c r="AX30" i="1" s="1"/>
  <c r="BA30" i="1" s="1"/>
  <c r="M21" i="1"/>
  <c r="I20" i="1"/>
  <c r="AX20" i="1" s="1"/>
  <c r="BA20" i="1" s="1"/>
  <c r="H19" i="1"/>
  <c r="M20" i="1"/>
  <c r="I24" i="1"/>
  <c r="AX24" i="1" s="1"/>
  <c r="J29" i="1"/>
  <c r="H31" i="1"/>
  <c r="AJ24" i="1"/>
  <c r="H29" i="1"/>
  <c r="I19" i="1"/>
  <c r="AX19" i="1" s="1"/>
  <c r="J24" i="1"/>
  <c r="H21" i="1"/>
  <c r="I26" i="1"/>
  <c r="AX26" i="1" s="1"/>
  <c r="AJ29" i="1"/>
  <c r="J19" i="1"/>
  <c r="AJ21" i="1"/>
  <c r="AJ19" i="1"/>
  <c r="H24" i="1"/>
  <c r="M29" i="1"/>
  <c r="AJ31" i="1"/>
  <c r="I31" i="1"/>
  <c r="AX31" i="1" s="1"/>
  <c r="BA31" i="1" s="1"/>
  <c r="AJ20" i="1"/>
  <c r="H20" i="1"/>
  <c r="AW25" i="1"/>
  <c r="AY25" i="1" s="1"/>
  <c r="M26" i="1"/>
  <c r="S18" i="1" l="1"/>
  <c r="T18" i="1" s="1"/>
  <c r="Z20" i="1"/>
  <c r="S30" i="1"/>
  <c r="T30" i="1" s="1"/>
  <c r="Z24" i="1"/>
  <c r="Z17" i="1"/>
  <c r="P17" i="1"/>
  <c r="N17" i="1" s="1"/>
  <c r="Q17" i="1" s="1"/>
  <c r="K17" i="1" s="1"/>
  <c r="L17" i="1" s="1"/>
  <c r="Z22" i="1"/>
  <c r="S27" i="1"/>
  <c r="T27" i="1" s="1"/>
  <c r="P18" i="1"/>
  <c r="N18" i="1" s="1"/>
  <c r="Q18" i="1" s="1"/>
  <c r="K18" i="1" s="1"/>
  <c r="L18" i="1" s="1"/>
  <c r="Z18" i="1"/>
  <c r="U25" i="1"/>
  <c r="Y25" i="1" s="1"/>
  <c r="AA25" i="1"/>
  <c r="AB25" i="1"/>
  <c r="AC25" i="1" s="1"/>
  <c r="BA28" i="1"/>
  <c r="Z30" i="1"/>
  <c r="P30" i="1"/>
  <c r="N30" i="1" s="1"/>
  <c r="Q30" i="1" s="1"/>
  <c r="K30" i="1" s="1"/>
  <c r="L30" i="1" s="1"/>
  <c r="Z23" i="1"/>
  <c r="S26" i="1"/>
  <c r="T26" i="1" s="1"/>
  <c r="S19" i="1"/>
  <c r="T19" i="1" s="1"/>
  <c r="BA22" i="1"/>
  <c r="P25" i="1"/>
  <c r="N25" i="1" s="1"/>
  <c r="Q25" i="1" s="1"/>
  <c r="K25" i="1" s="1"/>
  <c r="L25" i="1" s="1"/>
  <c r="Z25" i="1"/>
  <c r="Z29" i="1"/>
  <c r="BA18" i="1"/>
  <c r="Z27" i="1"/>
  <c r="S28" i="1"/>
  <c r="T28" i="1" s="1"/>
  <c r="Z19" i="1"/>
  <c r="P19" i="1"/>
  <c r="N19" i="1" s="1"/>
  <c r="Q19" i="1" s="1"/>
  <c r="K19" i="1" s="1"/>
  <c r="L19" i="1" s="1"/>
  <c r="S29" i="1"/>
  <c r="T29" i="1" s="1"/>
  <c r="Z28" i="1"/>
  <c r="BA25" i="1"/>
  <c r="BA26" i="1"/>
  <c r="S23" i="1"/>
  <c r="T23" i="1" s="1"/>
  <c r="P23" i="1" s="1"/>
  <c r="N23" i="1" s="1"/>
  <c r="Q23" i="1" s="1"/>
  <c r="K23" i="1" s="1"/>
  <c r="L23" i="1" s="1"/>
  <c r="S20" i="1"/>
  <c r="T20" i="1" s="1"/>
  <c r="P20" i="1" s="1"/>
  <c r="N20" i="1" s="1"/>
  <c r="Q20" i="1" s="1"/>
  <c r="K20" i="1" s="1"/>
  <c r="L20" i="1" s="1"/>
  <c r="S31" i="1"/>
  <c r="T31" i="1" s="1"/>
  <c r="S17" i="1"/>
  <c r="T17" i="1" s="1"/>
  <c r="BA24" i="1"/>
  <c r="S21" i="1"/>
  <c r="T21" i="1" s="1"/>
  <c r="BA21" i="1"/>
  <c r="S22" i="1"/>
  <c r="T22" i="1" s="1"/>
  <c r="P26" i="1"/>
  <c r="N26" i="1" s="1"/>
  <c r="Q26" i="1" s="1"/>
  <c r="K26" i="1" s="1"/>
  <c r="L26" i="1" s="1"/>
  <c r="Z26" i="1"/>
  <c r="P21" i="1"/>
  <c r="N21" i="1" s="1"/>
  <c r="Q21" i="1" s="1"/>
  <c r="K21" i="1" s="1"/>
  <c r="L21" i="1" s="1"/>
  <c r="Z21" i="1"/>
  <c r="BA19" i="1"/>
  <c r="Z31" i="1"/>
  <c r="P31" i="1"/>
  <c r="N31" i="1" s="1"/>
  <c r="Q31" i="1" s="1"/>
  <c r="K31" i="1" s="1"/>
  <c r="L31" i="1" s="1"/>
  <c r="S24" i="1"/>
  <c r="T24" i="1" s="1"/>
  <c r="P24" i="1" s="1"/>
  <c r="N24" i="1" s="1"/>
  <c r="Q24" i="1" s="1"/>
  <c r="K24" i="1" s="1"/>
  <c r="L24" i="1" s="1"/>
  <c r="BA29" i="1"/>
  <c r="AB27" i="1" l="1"/>
  <c r="AC27" i="1" s="1"/>
  <c r="U27" i="1"/>
  <c r="Y27" i="1" s="1"/>
  <c r="AA27" i="1"/>
  <c r="U30" i="1"/>
  <c r="Y30" i="1" s="1"/>
  <c r="AA30" i="1"/>
  <c r="AB30" i="1"/>
  <c r="AC30" i="1" s="1"/>
  <c r="AB28" i="1"/>
  <c r="U28" i="1"/>
  <c r="Y28" i="1" s="1"/>
  <c r="AA28" i="1"/>
  <c r="AB29" i="1"/>
  <c r="U29" i="1"/>
  <c r="Y29" i="1" s="1"/>
  <c r="AA29" i="1"/>
  <c r="AB22" i="1"/>
  <c r="U22" i="1"/>
  <c r="Y22" i="1" s="1"/>
  <c r="AA22" i="1"/>
  <c r="P27" i="1"/>
  <c r="N27" i="1" s="1"/>
  <c r="Q27" i="1" s="1"/>
  <c r="K27" i="1" s="1"/>
  <c r="L27" i="1" s="1"/>
  <c r="P22" i="1"/>
  <c r="N22" i="1" s="1"/>
  <c r="Q22" i="1" s="1"/>
  <c r="K22" i="1" s="1"/>
  <c r="L22" i="1" s="1"/>
  <c r="AB21" i="1"/>
  <c r="U21" i="1"/>
  <c r="Y21" i="1" s="1"/>
  <c r="AA21" i="1"/>
  <c r="P29" i="1"/>
  <c r="N29" i="1" s="1"/>
  <c r="Q29" i="1" s="1"/>
  <c r="K29" i="1" s="1"/>
  <c r="L29" i="1" s="1"/>
  <c r="AB19" i="1"/>
  <c r="U19" i="1"/>
  <c r="Y19" i="1" s="1"/>
  <c r="AA19" i="1"/>
  <c r="P28" i="1"/>
  <c r="N28" i="1" s="1"/>
  <c r="Q28" i="1" s="1"/>
  <c r="K28" i="1" s="1"/>
  <c r="L28" i="1" s="1"/>
  <c r="U31" i="1"/>
  <c r="Y31" i="1" s="1"/>
  <c r="AA31" i="1"/>
  <c r="AB31" i="1"/>
  <c r="AC31" i="1" s="1"/>
  <c r="U23" i="1"/>
  <c r="Y23" i="1" s="1"/>
  <c r="AB23" i="1"/>
  <c r="AA23" i="1"/>
  <c r="AB24" i="1"/>
  <c r="AA24" i="1"/>
  <c r="U24" i="1"/>
  <c r="Y24" i="1" s="1"/>
  <c r="AB17" i="1"/>
  <c r="U17" i="1"/>
  <c r="Y17" i="1" s="1"/>
  <c r="AA17" i="1"/>
  <c r="AB20" i="1"/>
  <c r="AA20" i="1"/>
  <c r="U20" i="1"/>
  <c r="Y20" i="1" s="1"/>
  <c r="U26" i="1"/>
  <c r="Y26" i="1" s="1"/>
  <c r="AB26" i="1"/>
  <c r="AC26" i="1" s="1"/>
  <c r="AA26" i="1"/>
  <c r="AB18" i="1"/>
  <c r="U18" i="1"/>
  <c r="Y18" i="1" s="1"/>
  <c r="AA18" i="1"/>
  <c r="AC18" i="1" l="1"/>
  <c r="AC21" i="1"/>
  <c r="AC17" i="1"/>
  <c r="AC20" i="1"/>
  <c r="AC29" i="1"/>
  <c r="AC24" i="1"/>
  <c r="AC28" i="1"/>
  <c r="AC23" i="1"/>
  <c r="AC19" i="1"/>
  <c r="AC22" i="1"/>
</calcChain>
</file>

<file path=xl/sharedStrings.xml><?xml version="1.0" encoding="utf-8"?>
<sst xmlns="http://schemas.openxmlformats.org/spreadsheetml/2006/main" count="788" uniqueCount="360">
  <si>
    <t>File opened</t>
  </si>
  <si>
    <t>2020-08-23 11:25:33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</si>
  <si>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</si>
  <si>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</si>
  <si>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</si>
  <si>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</si>
  <si>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</si>
  <si>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</si>
  <si>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</si>
  <si>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</si>
  <si>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</si>
  <si>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</si>
  <si>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</si>
  <si>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{"chamberpressurezero": "2.59209", "co2aspan1": "0.992625", "co2aspan2a": "0.164928", "co2aspanconc2": "0", "co2bzero": "0.880288", "h2oaspan1": "1.00223", "flowazero": "0.42932", "tazero": "0.00774765", "h2obzero": "1.01783", "ssa_ref": "36614.9", "h2obspanconc1": "20", "co2bspanconc1": "1002", "h2oaspanconc2": "0", "co2aspan2": "0", "oxygen": "21", "h2obspan2b": "0.0963575", "co2bspanconc2": "0", "co2bspan2": "0", "co2aspan2b": "0.163711", "h2oaspanconc1": "12.19", "co2azero": "0.869071", "h2oaspan2": "0", "h2obspanconc2": "0", "h2oaspan2a": "0.0661155", "co2aspanconc1": "1002", "co2bspan2b": "0.162103", "h2oaspan2b": "0.0662632", "h2obspan1": "0.998578", "co2bspan2a": "0.163389", "tbzero": "0.197721", "h2obspan2": "0", "ssb_ref": "36526.8", "flowbzero": "0.22736", "flowmeterzero": "0.990908", "co2bspan1": "0.992131", "h2obspan2a": "0.0975941", "h2oazero": "1.00263"}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</si>
  <si>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</si>
  <si>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</si>
  <si>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</si>
  <si>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</si>
  <si>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</si>
  <si>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</si>
  <si>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</si>
  <si>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</si>
  <si>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</si>
  <si>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11:25:33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</si>
  <si>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</si>
  <si>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</si>
  <si>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</si>
  <si>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</si>
  <si>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</si>
  <si>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</si>
  <si>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</si>
  <si>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</si>
  <si>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</si>
  <si>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</si>
  <si>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</si>
  <si>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</si>
  <si>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</si>
  <si>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</si>
  <si>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</si>
  <si>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</si>
  <si>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</si>
  <si>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</si>
  <si>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</si>
  <si>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</si>
  <si>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</si>
  <si>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</si>
  <si>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</si>
  <si>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</si>
  <si>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</si>
  <si>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</si>
  <si>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</si>
  <si>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</si>
  <si>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</si>
  <si>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</si>
  <si>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</si>
  <si>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</si>
  <si>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</si>
  <si>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</si>
  <si>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</si>
  <si>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</si>
  <si>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</si>
  <si>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</si>
  <si>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</si>
  <si>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</si>
  <si>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</si>
  <si>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</si>
  <si>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</si>
  <si>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</si>
  <si>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</si>
  <si>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</si>
  <si>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</si>
  <si>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2.94359 76.2785 384.689 618.449 845.034 1049.11 1224.88 1398.33</t>
  </si>
  <si>
    <t>Fs_true</t>
  </si>
  <si>
    <t>0.282282 99.9505 401.086 601.05 800.065 1000.06 1200.05 1401.49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</si>
  <si>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</si>
  <si>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</si>
  <si>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</si>
  <si>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</si>
  <si>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</si>
  <si>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</si>
  <si>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</si>
  <si>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</si>
  <si>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</si>
  <si>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</si>
  <si>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</si>
  <si>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</si>
  <si>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</si>
  <si>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</si>
  <si>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</si>
  <si>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</si>
  <si>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</si>
  <si>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</si>
  <si>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</si>
  <si>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</si>
  <si>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</si>
  <si>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</si>
  <si>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</si>
  <si>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</si>
  <si>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</si>
  <si>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</si>
  <si>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</si>
  <si>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</si>
  <si>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</si>
  <si>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</si>
  <si>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</si>
  <si>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</si>
  <si>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</si>
  <si>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</si>
  <si>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</si>
  <si>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</si>
  <si>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</si>
  <si>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</si>
  <si>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</si>
  <si>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</si>
  <si>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</si>
  <si>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</si>
  <si>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</si>
  <si>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</si>
  <si>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</si>
  <si>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</si>
  <si>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</si>
  <si>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</si>
  <si>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</si>
  <si>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</si>
  <si>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</si>
  <si>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</si>
  <si>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</si>
  <si>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</si>
  <si>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</si>
  <si>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</si>
  <si>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</si>
  <si>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</si>
  <si>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</si>
  <si>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</si>
  <si>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</si>
  <si>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</si>
  <si>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</si>
  <si>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</si>
  <si>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</si>
  <si>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</si>
  <si>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</si>
  <si>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</si>
  <si>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</si>
  <si>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</si>
  <si>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</si>
  <si>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</si>
  <si>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</si>
  <si>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</si>
  <si>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</si>
  <si>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</si>
  <si>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</si>
  <si>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</si>
  <si>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</si>
  <si>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</si>
  <si>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</si>
  <si>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</si>
  <si>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</si>
  <si>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</si>
  <si>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</si>
  <si>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</si>
  <si>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</si>
  <si>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</si>
  <si>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</si>
  <si>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</si>
  <si>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</si>
  <si>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</si>
  <si>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</si>
  <si>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</si>
  <si>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</si>
  <si>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</si>
  <si>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</si>
  <si>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</si>
  <si>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</si>
  <si>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</si>
  <si>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</si>
  <si>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</si>
  <si>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</si>
  <si>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</si>
  <si>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</si>
  <si>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</si>
  <si>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</si>
  <si>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</si>
  <si>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</si>
  <si>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</si>
  <si>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</si>
  <si>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</si>
  <si>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</si>
  <si>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</si>
  <si>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</si>
  <si>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</si>
  <si>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</si>
  <si>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</si>
  <si>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</si>
  <si>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</si>
  <si>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</si>
  <si>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</si>
  <si>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</si>
  <si>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</si>
  <si>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</si>
  <si>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</si>
  <si>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</si>
  <si>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</si>
  <si>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</si>
  <si>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</si>
  <si>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</si>
  <si>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</si>
  <si>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</si>
  <si>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</si>
  <si>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</si>
  <si>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</si>
  <si>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</si>
  <si>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</si>
  <si>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</si>
  <si>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</si>
  <si>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</si>
  <si>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</si>
  <si>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</si>
  <si>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</si>
  <si>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</si>
  <si>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</si>
  <si>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</si>
  <si>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</si>
  <si>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</si>
  <si>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</si>
  <si>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</si>
  <si>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</si>
  <si>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</si>
  <si>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</si>
  <si>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</si>
  <si>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</si>
  <si>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</si>
  <si>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</si>
  <si>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</si>
  <si>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</si>
  <si>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</si>
  <si>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</si>
  <si>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</si>
  <si>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</si>
  <si>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</si>
  <si>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</si>
  <si>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</si>
  <si>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</si>
  <si>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</si>
  <si>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</si>
  <si>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</si>
  <si>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</si>
  <si>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</si>
  <si>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</si>
  <si>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</si>
  <si>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</si>
  <si>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</si>
  <si>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</si>
  <si>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</si>
  <si>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</si>
  <si>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</si>
  <si>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</si>
  <si>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</si>
  <si>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</si>
  <si>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</si>
  <si>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</si>
  <si>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</si>
  <si>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</si>
  <si>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</si>
  <si>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</si>
  <si>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</si>
  <si>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</si>
  <si>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</si>
  <si>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</si>
  <si>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</si>
  <si>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</si>
  <si>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</si>
  <si>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</si>
  <si>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</si>
  <si>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</si>
  <si>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</si>
  <si>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</si>
  <si>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</si>
  <si>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20200823 11:32:39</t>
  </si>
  <si>
    <t>11:32:39</t>
  </si>
  <si>
    <t>MPF-6533-20200823-11_32_41</t>
  </si>
  <si>
    <t>DARK-6534-20200823-11_32_49</t>
  </si>
  <si>
    <t>0: Broadleaf</t>
  </si>
  <si>
    <t>11:33:07</t>
  </si>
  <si>
    <t>0/2</t>
  </si>
  <si>
    <t>5</t>
  </si>
  <si>
    <t>11111111</t>
  </si>
  <si>
    <t>oooooooo</t>
  </si>
  <si>
    <t>off</t>
  </si>
  <si>
    <t>20200823 11:34:39</t>
  </si>
  <si>
    <t>11:34:39</t>
  </si>
  <si>
    <t>MPF-6535-20200823-11_34_40</t>
  </si>
  <si>
    <t>DARK-6536-20200823-11_34_48</t>
  </si>
  <si>
    <t>11:35:04</t>
  </si>
  <si>
    <t>2/2</t>
  </si>
  <si>
    <t>20200823 11:36:36</t>
  </si>
  <si>
    <t>11:36:36</t>
  </si>
  <si>
    <t>MPF-6537-20200823-11_36_37</t>
  </si>
  <si>
    <t>DARK-6538-20200823-11_36_45</t>
  </si>
  <si>
    <t>11:37:04</t>
  </si>
  <si>
    <t>20200823 11:38:35</t>
  </si>
  <si>
    <t>11:38:35</t>
  </si>
  <si>
    <t>MPF-6539-20200823-11_38_37</t>
  </si>
  <si>
    <t>DARK-6540-20200823-11_38_45</t>
  </si>
  <si>
    <t>11:38:58</t>
  </si>
  <si>
    <t>20200823 11:40:30</t>
  </si>
  <si>
    <t>11:40:30</t>
  </si>
  <si>
    <t>MPF-6541-20200823-11_40_31</t>
  </si>
  <si>
    <t>DARK-6542-20200823-11_40_39</t>
  </si>
  <si>
    <t>11:40:55</t>
  </si>
  <si>
    <t>20200823 11:42:27</t>
  </si>
  <si>
    <t>11:42:27</t>
  </si>
  <si>
    <t>MPF-6543-20200823-11_42_28</t>
  </si>
  <si>
    <t>DARK-6544-20200823-11_42_36</t>
  </si>
  <si>
    <t>11:42:54</t>
  </si>
  <si>
    <t>20200823 11:44:25</t>
  </si>
  <si>
    <t>11:44:25</t>
  </si>
  <si>
    <t>MPF-6545-20200823-11_44_27</t>
  </si>
  <si>
    <t>DARK-6546-20200823-11_44_35</t>
  </si>
  <si>
    <t>11:44:51</t>
  </si>
  <si>
    <t>20200823 11:46:46</t>
  </si>
  <si>
    <t>11:46:46</t>
  </si>
  <si>
    <t>MPF-6547-20200823-11_46_47</t>
  </si>
  <si>
    <t>DARK-6548-20200823-11_46_55</t>
  </si>
  <si>
    <t>11:47:11</t>
  </si>
  <si>
    <t>20200823 11:48:59</t>
  </si>
  <si>
    <t>11:48:59</t>
  </si>
  <si>
    <t>MPF-6549-20200823-11_49_01</t>
  </si>
  <si>
    <t>DARK-6550-20200823-11_49_09</t>
  </si>
  <si>
    <t>11:49:26</t>
  </si>
  <si>
    <t>20200823 11:51:10</t>
  </si>
  <si>
    <t>11:51:10</t>
  </si>
  <si>
    <t>MPF-6551-20200823-11_51_12</t>
  </si>
  <si>
    <t>DARK-6552-20200823-11_51_19</t>
  </si>
  <si>
    <t>11:51:37</t>
  </si>
  <si>
    <t>20200823 11:53:38</t>
  </si>
  <si>
    <t>11:53:38</t>
  </si>
  <si>
    <t>MPF-6553-20200823-11_53_40</t>
  </si>
  <si>
    <t>DARK-6554-20200823-11_53_48</t>
  </si>
  <si>
    <t>11:54:05</t>
  </si>
  <si>
    <t>1/2</t>
  </si>
  <si>
    <t>20200823 11:56:06</t>
  </si>
  <si>
    <t>11:56:06</t>
  </si>
  <si>
    <t>MPF-6555-20200823-11_56_08</t>
  </si>
  <si>
    <t>DARK-6556-20200823-11_56_16</t>
  </si>
  <si>
    <t>11:56:32</t>
  </si>
  <si>
    <t>20200823 11:58:33</t>
  </si>
  <si>
    <t>11:58:33</t>
  </si>
  <si>
    <t>MPF-6557-20200823-11_58_35</t>
  </si>
  <si>
    <t>DARK-6558-20200823-11_58_43</t>
  </si>
  <si>
    <t>11:59:12</t>
  </si>
  <si>
    <t>20200823 12:00:52</t>
  </si>
  <si>
    <t>12:00:52</t>
  </si>
  <si>
    <t>MPF-6559-20200823-12_00_53</t>
  </si>
  <si>
    <t>DARK-6560-20200823-12_01_01</t>
  </si>
  <si>
    <t>12:01:32</t>
  </si>
  <si>
    <t>20200823 12:03:05</t>
  </si>
  <si>
    <t>12:03:05</t>
  </si>
  <si>
    <t>MPF-6561-20200823-12_03_06</t>
  </si>
  <si>
    <t>DARK-6562-20200823-12_03_14</t>
  </si>
  <si>
    <t>12:03:31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</si>
</sst>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1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1598200359.7</v>
      </c>
      <c r="C17">
        <v>0</v>
      </c>
      <c r="D17" t="s">
        <v>277</v>
      </c>
      <c r="E17" t="s">
        <v>278</v>
      </c>
      <c r="G17">
        <v>1598200351.7</v>
      </c>
      <c r="H17">
        <f t="shared" ref="H17:H31" si="0">CC17*AI17*(CA17-CB17)/(100*$B$5*(1000-AI17*CA17))</f>
        <v>8.0086232926911086E-3</v>
      </c>
      <c r="I17">
        <f t="shared" ref="I17:I31" si="1">CC17*AI17*(BZ17-BY17*(1000-AI17*CB17)/(1000-AI17*CA17))/(100*$B$5)</f>
        <v>32.2497405643619</v>
      </c>
      <c r="J17">
        <f t="shared" ref="J17:J31" si="2">BY17 - IF(AI17&gt;1, I17*$B$5*100/(AK17*CI17), 0)</f>
        <v>385.89354838709698</v>
      </c>
      <c r="K17">
        <f t="shared" ref="K17:K31" si="3">((Q17-H17/2)*J17-I17)/(Q17+H17/2)</f>
        <v>273.91747722124734</v>
      </c>
      <c r="L17">
        <f t="shared" ref="L17:L31" si="4">K17*(CD17+CE17)/1000</f>
        <v>27.227231082751935</v>
      </c>
      <c r="M17">
        <f t="shared" ref="M17:M31" si="5">(BY17 - IF(AI17&gt;1, I17*$B$5*100/(AK17*CI17), 0))*(CD17+CE17)/1000</f>
        <v>38.357584634119902</v>
      </c>
      <c r="N17">
        <f t="shared" ref="N17:N31" si="6">2/((1/P17-1/O17)+SIGN(P17)*SQRT((1/P17-1/O17)*(1/P17-1/O17) + 4*BV17/((BV17+1)*(BV17+1))*(2*1/P17*1/O17-1/O17*1/O17)))</f>
        <v>0.53594022573089395</v>
      </c>
      <c r="O17">
        <f t="shared" ref="O17:O31" si="7">AF17+AE17*$B$5+AD17*$B$5*$B$5</f>
        <v>3.381095809772054</v>
      </c>
      <c r="P17">
        <f t="shared" ref="P17:P31" si="8">H17*(1000-(1000*0.61365*EXP(17.502*T17/(240.97+T17))/(CD17+CE17)+CA17)/2)/(1000*0.61365*EXP(17.502*T17/(240.97+T17))/(CD17+CE17)-CA17)</f>
        <v>0.49282675466876735</v>
      </c>
      <c r="Q17">
        <f t="shared" ref="Q17:Q31" si="9">1/((BV17+1)/(N17/1.6)+1/(O17/1.37)) + BV17/((BV17+1)/(N17/1.6) + BV17/(O17/1.37))</f>
        <v>0.31160076590751018</v>
      </c>
      <c r="R17">
        <f t="shared" ref="R17:R31" si="10">(BS17*BU17)</f>
        <v>321.44435808906394</v>
      </c>
      <c r="S17">
        <f t="shared" ref="S17:S31" si="11">(CF17+(R17+2*0.95*0.0000000567*(((CF17+$B$7)+273)^4-(CF17+273)^4)-44100*H17)/(1.84*29.3*O17+8*0.95*0.0000000567*(CF17+273)^3))</f>
        <v>27.168210374513876</v>
      </c>
      <c r="T17">
        <f t="shared" ref="T17:T31" si="12">($C$7*CG17+$D$7*CH17+$E$7*S17)</f>
        <v>27.059203225806499</v>
      </c>
      <c r="U17">
        <f t="shared" ref="U17:U31" si="13">0.61365*EXP(17.502*T17/(240.97+T17))</f>
        <v>3.5916238786874648</v>
      </c>
      <c r="V17">
        <f t="shared" ref="V17:V31" si="14">(W17/X17*100)</f>
        <v>55.40349285738818</v>
      </c>
      <c r="W17">
        <f t="shared" ref="W17:W31" si="15">CA17*(CD17+CE17)/1000</f>
        <v>2.0219571301233525</v>
      </c>
      <c r="X17">
        <f t="shared" ref="X17:X31" si="16">0.61365*EXP(17.502*CF17/(240.97+CF17))</f>
        <v>3.6495120178216709</v>
      </c>
      <c r="Y17">
        <f t="shared" ref="Y17:Y31" si="17">(U17-CA17*(CD17+CE17)/1000)</f>
        <v>1.5696667485641123</v>
      </c>
      <c r="Z17">
        <f t="shared" ref="Z17:Z31" si="18">(-H17*44100)</f>
        <v>-353.18028720767791</v>
      </c>
      <c r="AA17">
        <f t="shared" ref="AA17:AA31" si="19">2*29.3*O17*0.92*(CF17-T17)</f>
        <v>49.695854379820354</v>
      </c>
      <c r="AB17">
        <f t="shared" ref="AB17:AB31" si="20">2*0.95*0.0000000567*(((CF17+$B$7)+273)^4-(T17+273)^4)</f>
        <v>3.1782393375148943</v>
      </c>
      <c r="AC17">
        <f t="shared" ref="AC17:AC31" si="21">R17+AB17+Z17+AA17</f>
        <v>21.138164598721254</v>
      </c>
      <c r="AD17">
        <v>-4.1155065453993597E-2</v>
      </c>
      <c r="AE17">
        <v>4.62001663538592E-2</v>
      </c>
      <c r="AF17">
        <v>3.4533157388803102</v>
      </c>
      <c r="AG17">
        <v>148</v>
      </c>
      <c r="AH17">
        <v>30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MAX(0,($B$13+$C$13*CI17)/(1+$D$13*CI17)*CD17/(CF17+273)*$E$13)</f>
        <v>52420.216523386363</v>
      </c>
      <c r="AL17">
        <v>0</v>
      </c>
      <c r="AM17">
        <v>0</v>
      </c>
      <c r="AN17">
        <v>0</v>
      </c>
      <c r="AO17">
        <f t="shared" ref="AO17:AO31" si="25">AN17-AM17</f>
        <v>0</v>
      </c>
      <c r="AP17" t="e">
        <f t="shared" ref="AP17:AP31" si="26">AO17/AN17</f>
        <v>#DIV/0!</v>
      </c>
      <c r="AQ17">
        <v>-1</v>
      </c>
      <c r="AR17" t="s">
        <v>279</v>
      </c>
      <c r="AS17">
        <v>303.44403846153801</v>
      </c>
      <c r="AT17">
        <v>428.58699999999999</v>
      </c>
      <c r="AU17">
        <f t="shared" ref="AU17:AU31" si="27">1-AS17/AT17</f>
        <v>0.29198963463301963</v>
      </c>
      <c r="AV17">
        <v>0.5</v>
      </c>
      <c r="AW17">
        <f t="shared" ref="AW17:AW31" si="28">BS17</f>
        <v>1681.2235258693729</v>
      </c>
      <c r="AX17">
        <f t="shared" ref="AX17:AX31" si="29">I17</f>
        <v>32.2497405643619</v>
      </c>
      <c r="AY17">
        <f t="shared" ref="AY17:AY31" si="30">AU17*AV17*AW17</f>
        <v>245.4499215275176</v>
      </c>
      <c r="AZ17">
        <f t="shared" ref="AZ17:AZ31" si="31">BE17/AT17</f>
        <v>0.54464321129665627</v>
      </c>
      <c r="BA17">
        <f t="shared" ref="BA17:BA31" si="32">(AX17-AQ17)/AW17</f>
        <v>1.9777108785798258E-2</v>
      </c>
      <c r="BB17">
        <f t="shared" ref="BB17:BB31" si="33">(AN17-AT17)/AT17</f>
        <v>-1</v>
      </c>
      <c r="BC17" t="s">
        <v>280</v>
      </c>
      <c r="BD17">
        <v>195.16</v>
      </c>
      <c r="BE17">
        <f t="shared" ref="BE17:BE31" si="34">AT17-BD17</f>
        <v>233.42699999999999</v>
      </c>
      <c r="BF17">
        <f t="shared" ref="BF17:BF31" si="35">(AT17-AS17)/(AT17-BD17)</f>
        <v>0.53611176744105005</v>
      </c>
      <c r="BG17">
        <f t="shared" ref="BG17:BG31" si="36">(AN17-AT17)/(AN17-BD17)</f>
        <v>2.1960801393728224</v>
      </c>
      <c r="BH17">
        <f t="shared" ref="BH17:BH31" si="37">(AT17-AS17)/(AT17-AM17)</f>
        <v>0.29198963463301963</v>
      </c>
      <c r="BI17" t="e">
        <f t="shared" ref="BI17:BI31" si="38">(AN17-AT17)/(AN17-AM17)</f>
        <v>#DIV/0!</v>
      </c>
      <c r="BJ17">
        <v>6533</v>
      </c>
      <c r="BK17">
        <v>300</v>
      </c>
      <c r="BL17">
        <v>300</v>
      </c>
      <c r="BM17">
        <v>300</v>
      </c>
      <c r="BN17">
        <v>9867.49</v>
      </c>
      <c r="BO17">
        <v>394.19099999999997</v>
      </c>
      <c r="BP17">
        <v>-6.5626399999999998E-3</v>
      </c>
      <c r="BQ17">
        <v>1.63229</v>
      </c>
      <c r="BR17">
        <f t="shared" ref="BR17:BR31" si="39">$B$11*CJ17+$C$11*CK17+$F$11*CL17</f>
        <v>2000.03193548387</v>
      </c>
      <c r="BS17">
        <f t="shared" ref="BS17:BS31" si="40">BR17*BT17</f>
        <v>1681.2235258693729</v>
      </c>
      <c r="BT17">
        <f t="shared" ref="BT17:BT31" si="41">($B$11*$D$9+$C$11*$D$9+$F$11*((CY17+CQ17)/MAX(CY17+CQ17+CZ17, 0.1)*$I$9+CZ17/MAX(CY17+CQ17+CZ17, 0.1)*$J$9))/($B$11+$C$11+$F$11)</f>
        <v>0.84059834047731474</v>
      </c>
      <c r="BU17">
        <f t="shared" ref="BU17:BU31" si="42">($B$11*$K$9+$C$11*$K$9+$F$11*((CY17+CQ17)/MAX(CY17+CQ17+CZ17, 0.1)*$P$9+CZ17/MAX(CY17+CQ17+CZ17, 0.1)*$Q$9))/($B$11+$C$11+$F$11)</f>
        <v>0.19119668095462958</v>
      </c>
      <c r="BV17">
        <v>0.5</v>
      </c>
      <c r="BW17" t="s">
        <v>281</v>
      </c>
      <c r="BX17">
        <v>1598200351.7</v>
      </c>
      <c r="BY17">
        <v>385.89354838709698</v>
      </c>
      <c r="BZ17">
        <v>400.02800000000002</v>
      </c>
      <c r="CA17">
        <v>20.341745161290302</v>
      </c>
      <c r="CB17">
        <v>17.203822580645198</v>
      </c>
      <c r="CC17">
        <v>500.05783870967701</v>
      </c>
      <c r="CD17">
        <v>99.199393548387107</v>
      </c>
      <c r="CE17">
        <v>0.19999987096774199</v>
      </c>
      <c r="CF17">
        <v>27.331835483871</v>
      </c>
      <c r="CG17">
        <v>27.059203225806499</v>
      </c>
      <c r="CH17">
        <v>999.9</v>
      </c>
      <c r="CI17">
        <v>10004.8435483871</v>
      </c>
      <c r="CJ17">
        <v>0</v>
      </c>
      <c r="CK17">
        <v>190.35867741935499</v>
      </c>
      <c r="CL17">
        <v>2000.03193548387</v>
      </c>
      <c r="CM17">
        <v>0.98000551612903197</v>
      </c>
      <c r="CN17">
        <v>1.9994503225806499E-2</v>
      </c>
      <c r="CO17">
        <v>0</v>
      </c>
      <c r="CP17">
        <v>303.50248387096798</v>
      </c>
      <c r="CQ17">
        <v>5.00054</v>
      </c>
      <c r="CR17">
        <v>7853.9029032258104</v>
      </c>
      <c r="CS17">
        <v>18703.964516128999</v>
      </c>
      <c r="CT17">
        <v>48.951290322580597</v>
      </c>
      <c r="CU17">
        <v>50.354741935483901</v>
      </c>
      <c r="CV17">
        <v>49.396935483870998</v>
      </c>
      <c r="CW17">
        <v>49.134870967741897</v>
      </c>
      <c r="CX17">
        <v>50.405064516129002</v>
      </c>
      <c r="CY17">
        <v>1955.1412903225801</v>
      </c>
      <c r="CZ17">
        <v>39.89</v>
      </c>
      <c r="DA17">
        <v>0</v>
      </c>
      <c r="DB17">
        <v>476.60000014305098</v>
      </c>
      <c r="DC17">
        <v>303.44403846153801</v>
      </c>
      <c r="DD17">
        <v>-5.9735042914769299</v>
      </c>
      <c r="DE17">
        <v>-144.76478636274001</v>
      </c>
      <c r="DF17">
        <v>7852.4234615384603</v>
      </c>
      <c r="DG17">
        <v>15</v>
      </c>
      <c r="DH17">
        <v>1598200387.2</v>
      </c>
      <c r="DI17" t="s">
        <v>282</v>
      </c>
      <c r="DJ17">
        <v>16</v>
      </c>
      <c r="DK17">
        <v>-0.186</v>
      </c>
      <c r="DL17">
        <v>0.113</v>
      </c>
      <c r="DM17">
        <v>400</v>
      </c>
      <c r="DN17">
        <v>17</v>
      </c>
      <c r="DO17">
        <v>0.2</v>
      </c>
      <c r="DP17">
        <v>0.03</v>
      </c>
      <c r="DQ17">
        <v>386.48365454545501</v>
      </c>
      <c r="DR17">
        <v>0.52650953127629896</v>
      </c>
      <c r="DS17">
        <v>7.2044485797903193E-2</v>
      </c>
      <c r="DT17">
        <v>0</v>
      </c>
      <c r="DU17">
        <v>20.3756490909091</v>
      </c>
      <c r="DV17">
        <v>-0.20277893722140999</v>
      </c>
      <c r="DW17">
        <v>2.9582936560409199E-2</v>
      </c>
      <c r="DX17">
        <v>0</v>
      </c>
      <c r="DY17">
        <v>0</v>
      </c>
      <c r="DZ17">
        <v>2</v>
      </c>
      <c r="EA17" t="s">
        <v>283</v>
      </c>
      <c r="EB17">
        <v>1.86676</v>
      </c>
      <c r="EC17">
        <v>1.8632500000000001</v>
      </c>
      <c r="ED17">
        <v>1.8689</v>
      </c>
      <c r="EE17">
        <v>1.8668199999999999</v>
      </c>
      <c r="EF17">
        <v>1.87155</v>
      </c>
      <c r="EG17">
        <v>1.8640099999999999</v>
      </c>
      <c r="EH17">
        <v>1.86557</v>
      </c>
      <c r="EI17">
        <v>1.86551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-0.186</v>
      </c>
      <c r="EX17">
        <v>0.113</v>
      </c>
      <c r="EY17">
        <v>2</v>
      </c>
      <c r="EZ17">
        <v>334.98099999999999</v>
      </c>
      <c r="FA17">
        <v>481.56599999999997</v>
      </c>
      <c r="FB17">
        <v>21.386600000000001</v>
      </c>
      <c r="FC17">
        <v>33.976100000000002</v>
      </c>
      <c r="FD17">
        <v>30.000299999999999</v>
      </c>
      <c r="FE17">
        <v>33.943899999999999</v>
      </c>
      <c r="FF17">
        <v>33.940300000000001</v>
      </c>
      <c r="FG17">
        <v>22.081499999999998</v>
      </c>
      <c r="FH17">
        <v>49.8919</v>
      </c>
      <c r="FI17">
        <v>0</v>
      </c>
      <c r="FJ17">
        <v>21.375399999999999</v>
      </c>
      <c r="FK17">
        <v>400</v>
      </c>
      <c r="FL17">
        <v>17.055299999999999</v>
      </c>
      <c r="FM17">
        <v>100.76600000000001</v>
      </c>
      <c r="FN17">
        <v>101.128</v>
      </c>
    </row>
    <row r="18" spans="1:170" x14ac:dyDescent="0.25">
      <c r="A18">
        <v>2</v>
      </c>
      <c r="B18">
        <v>1598200479.2</v>
      </c>
      <c r="C18">
        <v>119.5</v>
      </c>
      <c r="D18" t="s">
        <v>288</v>
      </c>
      <c r="E18" t="s">
        <v>289</v>
      </c>
      <c r="G18">
        <v>1598200471.2032299</v>
      </c>
      <c r="H18">
        <f t="shared" si="0"/>
        <v>6.9380870786520717E-3</v>
      </c>
      <c r="I18">
        <f t="shared" si="1"/>
        <v>22.660970620003322</v>
      </c>
      <c r="J18">
        <f t="shared" si="2"/>
        <v>290.15222580645201</v>
      </c>
      <c r="K18">
        <f t="shared" si="3"/>
        <v>196.88092664055213</v>
      </c>
      <c r="L18">
        <f t="shared" si="4"/>
        <v>19.570016897563207</v>
      </c>
      <c r="M18">
        <f t="shared" si="5"/>
        <v>28.841209043396837</v>
      </c>
      <c r="N18">
        <f t="shared" si="6"/>
        <v>0.44368297860026196</v>
      </c>
      <c r="O18">
        <f t="shared" si="7"/>
        <v>3.3788580524966521</v>
      </c>
      <c r="P18">
        <f t="shared" si="8"/>
        <v>0.41367168765006873</v>
      </c>
      <c r="Q18">
        <f t="shared" si="9"/>
        <v>0.26107184148497181</v>
      </c>
      <c r="R18">
        <f t="shared" si="10"/>
        <v>321.44285973861855</v>
      </c>
      <c r="S18">
        <f t="shared" si="11"/>
        <v>26.96522902775207</v>
      </c>
      <c r="T18">
        <f t="shared" si="12"/>
        <v>27.001187096774199</v>
      </c>
      <c r="U18">
        <f t="shared" si="13"/>
        <v>3.5794092434359288</v>
      </c>
      <c r="V18">
        <f t="shared" si="14"/>
        <v>55.095334782115415</v>
      </c>
      <c r="W18">
        <f t="shared" si="15"/>
        <v>1.9587140274391754</v>
      </c>
      <c r="X18">
        <f t="shared" si="16"/>
        <v>3.5551359024956808</v>
      </c>
      <c r="Y18">
        <f t="shared" si="17"/>
        <v>1.6206952159967534</v>
      </c>
      <c r="Z18">
        <f t="shared" si="18"/>
        <v>-305.96964016855634</v>
      </c>
      <c r="AA18">
        <f t="shared" si="19"/>
        <v>-21.09541849100075</v>
      </c>
      <c r="AB18">
        <f t="shared" si="20"/>
        <v>-1.3466255429441958</v>
      </c>
      <c r="AC18">
        <f t="shared" si="21"/>
        <v>-6.9688244638827328</v>
      </c>
      <c r="AD18">
        <v>-4.1120468231369799E-2</v>
      </c>
      <c r="AE18">
        <v>4.6161327940580699E-2</v>
      </c>
      <c r="AF18">
        <v>3.4510172695409702</v>
      </c>
      <c r="AG18">
        <v>148</v>
      </c>
      <c r="AH18">
        <v>30</v>
      </c>
      <c r="AI18">
        <f t="shared" si="22"/>
        <v>1</v>
      </c>
      <c r="AJ18">
        <f t="shared" si="23"/>
        <v>0</v>
      </c>
      <c r="AK18">
        <f t="shared" si="24"/>
        <v>52455.946695515842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285.97311538461503</v>
      </c>
      <c r="AT18">
        <v>385.423</v>
      </c>
      <c r="AU18">
        <f t="shared" si="27"/>
        <v>0.25802789303021612</v>
      </c>
      <c r="AV18">
        <v>0.5</v>
      </c>
      <c r="AW18">
        <f t="shared" si="28"/>
        <v>1681.2129867735832</v>
      </c>
      <c r="AX18">
        <f t="shared" si="29"/>
        <v>22.660970620003322</v>
      </c>
      <c r="AY18">
        <f t="shared" si="30"/>
        <v>216.89992235611214</v>
      </c>
      <c r="AZ18">
        <f t="shared" si="31"/>
        <v>0.49437371407518493</v>
      </c>
      <c r="BA18">
        <f t="shared" si="32"/>
        <v>1.4073749611827056E-2</v>
      </c>
      <c r="BB18">
        <f t="shared" si="33"/>
        <v>-1</v>
      </c>
      <c r="BC18" t="s">
        <v>291</v>
      </c>
      <c r="BD18">
        <v>194.88</v>
      </c>
      <c r="BE18">
        <f t="shared" si="34"/>
        <v>190.54300000000001</v>
      </c>
      <c r="BF18">
        <f t="shared" si="35"/>
        <v>0.52192882769445725</v>
      </c>
      <c r="BG18">
        <f t="shared" si="36"/>
        <v>1.9777452791461412</v>
      </c>
      <c r="BH18">
        <f t="shared" si="37"/>
        <v>0.25802789303021606</v>
      </c>
      <c r="BI18" t="e">
        <f t="shared" si="38"/>
        <v>#DIV/0!</v>
      </c>
      <c r="BJ18">
        <v>6535</v>
      </c>
      <c r="BK18">
        <v>300</v>
      </c>
      <c r="BL18">
        <v>300</v>
      </c>
      <c r="BM18">
        <v>300</v>
      </c>
      <c r="BN18">
        <v>9870.02</v>
      </c>
      <c r="BO18">
        <v>360.23899999999998</v>
      </c>
      <c r="BP18">
        <v>-6.5646200000000002E-3</v>
      </c>
      <c r="BQ18">
        <v>2.3822899999999998</v>
      </c>
      <c r="BR18">
        <f t="shared" si="39"/>
        <v>2000.01903225806</v>
      </c>
      <c r="BS18">
        <f t="shared" si="40"/>
        <v>1681.2129867735832</v>
      </c>
      <c r="BT18">
        <f t="shared" si="41"/>
        <v>0.84059849414305898</v>
      </c>
      <c r="BU18">
        <f t="shared" si="42"/>
        <v>0.19119698828611817</v>
      </c>
      <c r="BV18">
        <v>0.5</v>
      </c>
      <c r="BW18" t="s">
        <v>281</v>
      </c>
      <c r="BX18">
        <v>1598200471.2032299</v>
      </c>
      <c r="BY18">
        <v>290.15222580645201</v>
      </c>
      <c r="BZ18">
        <v>300.02058064516098</v>
      </c>
      <c r="CA18">
        <v>19.7053193548387</v>
      </c>
      <c r="CB18">
        <v>16.9851225806452</v>
      </c>
      <c r="CC18">
        <v>500.06454838709698</v>
      </c>
      <c r="CD18">
        <v>99.200258064516106</v>
      </c>
      <c r="CE18">
        <v>0.20001006451612899</v>
      </c>
      <c r="CF18">
        <v>26.885380645161302</v>
      </c>
      <c r="CG18">
        <v>27.001187096774199</v>
      </c>
      <c r="CH18">
        <v>999.9</v>
      </c>
      <c r="CI18">
        <v>9996.3458064516108</v>
      </c>
      <c r="CJ18">
        <v>0</v>
      </c>
      <c r="CK18">
        <v>194.69635483870999</v>
      </c>
      <c r="CL18">
        <v>2000.01903225806</v>
      </c>
      <c r="CM18">
        <v>0.980001129032258</v>
      </c>
      <c r="CN18">
        <v>1.99990322580645E-2</v>
      </c>
      <c r="CO18">
        <v>0</v>
      </c>
      <c r="CP18">
        <v>286.03212903225801</v>
      </c>
      <c r="CQ18">
        <v>5.00054</v>
      </c>
      <c r="CR18">
        <v>7464.7683870967703</v>
      </c>
      <c r="CS18">
        <v>18703.816129032301</v>
      </c>
      <c r="CT18">
        <v>48.281999999999996</v>
      </c>
      <c r="CU18">
        <v>49.8062258064516</v>
      </c>
      <c r="CV18">
        <v>48.727548387096803</v>
      </c>
      <c r="CW18">
        <v>48.659064516129</v>
      </c>
      <c r="CX18">
        <v>49.747806451612902</v>
      </c>
      <c r="CY18">
        <v>1955.1190322580601</v>
      </c>
      <c r="CZ18">
        <v>39.9</v>
      </c>
      <c r="DA18">
        <v>0</v>
      </c>
      <c r="DB18">
        <v>119</v>
      </c>
      <c r="DC18">
        <v>285.97311538461503</v>
      </c>
      <c r="DD18">
        <v>-3.3415726615358099</v>
      </c>
      <c r="DE18">
        <v>-68.410256443276594</v>
      </c>
      <c r="DF18">
        <v>7463.8169230769199</v>
      </c>
      <c r="DG18">
        <v>15</v>
      </c>
      <c r="DH18">
        <v>1598200504.7</v>
      </c>
      <c r="DI18" t="s">
        <v>292</v>
      </c>
      <c r="DJ18">
        <v>17</v>
      </c>
      <c r="DK18">
        <v>-0.27800000000000002</v>
      </c>
      <c r="DL18">
        <v>0.11600000000000001</v>
      </c>
      <c r="DM18">
        <v>300</v>
      </c>
      <c r="DN18">
        <v>17</v>
      </c>
      <c r="DO18">
        <v>0.11</v>
      </c>
      <c r="DP18">
        <v>0.03</v>
      </c>
      <c r="DQ18">
        <v>290.22372727272699</v>
      </c>
      <c r="DR18">
        <v>0.216966555534644</v>
      </c>
      <c r="DS18">
        <v>3.2751102435546998E-2</v>
      </c>
      <c r="DT18">
        <v>1</v>
      </c>
      <c r="DU18">
        <v>19.720410909090901</v>
      </c>
      <c r="DV18">
        <v>-0.16435156031686901</v>
      </c>
      <c r="DW18">
        <v>2.20496272714511E-2</v>
      </c>
      <c r="DX18">
        <v>1</v>
      </c>
      <c r="DY18">
        <v>2</v>
      </c>
      <c r="DZ18">
        <v>2</v>
      </c>
      <c r="EA18" t="s">
        <v>293</v>
      </c>
      <c r="EB18">
        <v>1.86676</v>
      </c>
      <c r="EC18">
        <v>1.8632500000000001</v>
      </c>
      <c r="ED18">
        <v>1.8689800000000001</v>
      </c>
      <c r="EE18">
        <v>1.8669</v>
      </c>
      <c r="EF18">
        <v>1.87158</v>
      </c>
      <c r="EG18">
        <v>1.8640099999999999</v>
      </c>
      <c r="EH18">
        <v>1.86561</v>
      </c>
      <c r="EI18">
        <v>1.8655200000000001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-0.27800000000000002</v>
      </c>
      <c r="EX18">
        <v>0.11600000000000001</v>
      </c>
      <c r="EY18">
        <v>2</v>
      </c>
      <c r="EZ18">
        <v>334.81099999999998</v>
      </c>
      <c r="FA18">
        <v>481.10399999999998</v>
      </c>
      <c r="FB18">
        <v>21.5885</v>
      </c>
      <c r="FC18">
        <v>34.006799999999998</v>
      </c>
      <c r="FD18">
        <v>30</v>
      </c>
      <c r="FE18">
        <v>33.983899999999998</v>
      </c>
      <c r="FF18">
        <v>33.9816</v>
      </c>
      <c r="FG18">
        <v>17.595400000000001</v>
      </c>
      <c r="FH18">
        <v>49.337000000000003</v>
      </c>
      <c r="FI18">
        <v>0</v>
      </c>
      <c r="FJ18">
        <v>21.700299999999999</v>
      </c>
      <c r="FK18">
        <v>300</v>
      </c>
      <c r="FL18">
        <v>17.049600000000002</v>
      </c>
      <c r="FM18">
        <v>100.758</v>
      </c>
      <c r="FN18">
        <v>101.127</v>
      </c>
    </row>
    <row r="19" spans="1:170" x14ac:dyDescent="0.25">
      <c r="A19">
        <v>3</v>
      </c>
      <c r="B19">
        <v>1598200596.2</v>
      </c>
      <c r="C19">
        <v>236.5</v>
      </c>
      <c r="D19" t="s">
        <v>294</v>
      </c>
      <c r="E19" t="s">
        <v>295</v>
      </c>
      <c r="G19">
        <v>1598200588.2</v>
      </c>
      <c r="H19">
        <f t="shared" si="0"/>
        <v>6.3086470524917667E-3</v>
      </c>
      <c r="I19">
        <f t="shared" si="1"/>
        <v>13.397184641918123</v>
      </c>
      <c r="J19">
        <f t="shared" si="2"/>
        <v>194.147032258065</v>
      </c>
      <c r="K19">
        <f t="shared" si="3"/>
        <v>132.22547585704061</v>
      </c>
      <c r="L19">
        <f t="shared" si="4"/>
        <v>13.142985836337735</v>
      </c>
      <c r="M19">
        <f t="shared" si="5"/>
        <v>19.297882488950673</v>
      </c>
      <c r="N19">
        <f t="shared" si="6"/>
        <v>0.39332218218919757</v>
      </c>
      <c r="O19">
        <f t="shared" si="7"/>
        <v>3.3796809696320764</v>
      </c>
      <c r="P19">
        <f t="shared" si="8"/>
        <v>0.36954674660973297</v>
      </c>
      <c r="Q19">
        <f t="shared" si="9"/>
        <v>0.23298298623428682</v>
      </c>
      <c r="R19">
        <f t="shared" si="10"/>
        <v>321.44038194043168</v>
      </c>
      <c r="S19">
        <f t="shared" si="11"/>
        <v>26.958584696622257</v>
      </c>
      <c r="T19">
        <f t="shared" si="12"/>
        <v>27.016151612903201</v>
      </c>
      <c r="U19">
        <f t="shared" si="13"/>
        <v>3.582556376399523</v>
      </c>
      <c r="V19">
        <f t="shared" si="14"/>
        <v>54.846951264919753</v>
      </c>
      <c r="W19">
        <f t="shared" si="15"/>
        <v>1.9327743658290431</v>
      </c>
      <c r="X19">
        <f t="shared" si="16"/>
        <v>3.5239412971077031</v>
      </c>
      <c r="Y19">
        <f t="shared" si="17"/>
        <v>1.6497820105704799</v>
      </c>
      <c r="Z19">
        <f t="shared" si="18"/>
        <v>-278.21133501488691</v>
      </c>
      <c r="AA19">
        <f t="shared" si="19"/>
        <v>-51.129762934131662</v>
      </c>
      <c r="AB19">
        <f t="shared" si="20"/>
        <v>-3.2608725404581413</v>
      </c>
      <c r="AC19">
        <f t="shared" si="21"/>
        <v>-11.161588549045035</v>
      </c>
      <c r="AD19">
        <v>-4.1133189887262903E-2</v>
      </c>
      <c r="AE19">
        <v>4.6175609113798997E-2</v>
      </c>
      <c r="AF19">
        <v>3.4518625109535299</v>
      </c>
      <c r="AG19">
        <v>147</v>
      </c>
      <c r="AH19">
        <v>29</v>
      </c>
      <c r="AI19">
        <f t="shared" si="22"/>
        <v>1</v>
      </c>
      <c r="AJ19">
        <f t="shared" si="23"/>
        <v>0</v>
      </c>
      <c r="AK19">
        <f t="shared" si="24"/>
        <v>52497.702144359508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296</v>
      </c>
      <c r="AS19">
        <v>280.26630769230798</v>
      </c>
      <c r="AT19">
        <v>361.46600000000001</v>
      </c>
      <c r="AU19">
        <f t="shared" si="27"/>
        <v>0.22463991719191301</v>
      </c>
      <c r="AV19">
        <v>0.5</v>
      </c>
      <c r="AW19">
        <f t="shared" si="28"/>
        <v>1681.1994898627336</v>
      </c>
      <c r="AX19">
        <f t="shared" si="29"/>
        <v>13.397184641918123</v>
      </c>
      <c r="AY19">
        <f t="shared" si="30"/>
        <v>188.83225709292543</v>
      </c>
      <c r="AZ19">
        <f t="shared" si="31"/>
        <v>0.44874483353897743</v>
      </c>
      <c r="BA19">
        <f t="shared" si="32"/>
        <v>8.5636384787944608E-3</v>
      </c>
      <c r="BB19">
        <f t="shared" si="33"/>
        <v>-1</v>
      </c>
      <c r="BC19" t="s">
        <v>297</v>
      </c>
      <c r="BD19">
        <v>199.26</v>
      </c>
      <c r="BE19">
        <f t="shared" si="34"/>
        <v>162.20600000000002</v>
      </c>
      <c r="BF19">
        <f t="shared" si="35"/>
        <v>0.50059610808288246</v>
      </c>
      <c r="BG19">
        <f t="shared" si="36"/>
        <v>1.8140419552343672</v>
      </c>
      <c r="BH19">
        <f t="shared" si="37"/>
        <v>0.22463991719191301</v>
      </c>
      <c r="BI19" t="e">
        <f t="shared" si="38"/>
        <v>#DIV/0!</v>
      </c>
      <c r="BJ19">
        <v>6537</v>
      </c>
      <c r="BK19">
        <v>300</v>
      </c>
      <c r="BL19">
        <v>300</v>
      </c>
      <c r="BM19">
        <v>300</v>
      </c>
      <c r="BN19">
        <v>9871.93</v>
      </c>
      <c r="BO19">
        <v>341.20600000000002</v>
      </c>
      <c r="BP19">
        <v>-6.56611E-3</v>
      </c>
      <c r="BQ19">
        <v>1.66232</v>
      </c>
      <c r="BR19">
        <f t="shared" si="39"/>
        <v>2000.0029032258101</v>
      </c>
      <c r="BS19">
        <f t="shared" si="40"/>
        <v>1681.1994898627336</v>
      </c>
      <c r="BT19">
        <f t="shared" si="41"/>
        <v>0.84059852470770036</v>
      </c>
      <c r="BU19">
        <f t="shared" si="42"/>
        <v>0.1911970494154008</v>
      </c>
      <c r="BV19">
        <v>0.5</v>
      </c>
      <c r="BW19" t="s">
        <v>281</v>
      </c>
      <c r="BX19">
        <v>1598200588.2</v>
      </c>
      <c r="BY19">
        <v>194.147032258065</v>
      </c>
      <c r="BZ19">
        <v>199.99506451612899</v>
      </c>
      <c r="CA19">
        <v>19.4447451612903</v>
      </c>
      <c r="CB19">
        <v>16.9706774193548</v>
      </c>
      <c r="CC19">
        <v>500.06529032258101</v>
      </c>
      <c r="CD19">
        <v>99.198300000000003</v>
      </c>
      <c r="CE19">
        <v>0.199987290322581</v>
      </c>
      <c r="CF19">
        <v>26.735535483871001</v>
      </c>
      <c r="CG19">
        <v>27.016151612903201</v>
      </c>
      <c r="CH19">
        <v>999.9</v>
      </c>
      <c r="CI19">
        <v>9999.6358064516098</v>
      </c>
      <c r="CJ19">
        <v>0</v>
      </c>
      <c r="CK19">
        <v>196.765419354839</v>
      </c>
      <c r="CL19">
        <v>2000.0029032258101</v>
      </c>
      <c r="CM19">
        <v>0.97999754838709696</v>
      </c>
      <c r="CN19">
        <v>2.00023870967742E-2</v>
      </c>
      <c r="CO19">
        <v>0</v>
      </c>
      <c r="CP19">
        <v>280.30029032258102</v>
      </c>
      <c r="CQ19">
        <v>5.00054</v>
      </c>
      <c r="CR19">
        <v>7336.14580645161</v>
      </c>
      <c r="CS19">
        <v>18703.651612903199</v>
      </c>
      <c r="CT19">
        <v>47.765806451612903</v>
      </c>
      <c r="CU19">
        <v>49.382935483871002</v>
      </c>
      <c r="CV19">
        <v>48.213419354838699</v>
      </c>
      <c r="CW19">
        <v>48.3283870967742</v>
      </c>
      <c r="CX19">
        <v>49.277999999999999</v>
      </c>
      <c r="CY19">
        <v>1955.09612903226</v>
      </c>
      <c r="CZ19">
        <v>39.901612903225796</v>
      </c>
      <c r="DA19">
        <v>0</v>
      </c>
      <c r="DB19">
        <v>116.60000014305101</v>
      </c>
      <c r="DC19">
        <v>280.26630769230798</v>
      </c>
      <c r="DD19">
        <v>-3.0913504090549502</v>
      </c>
      <c r="DE19">
        <v>-36.378803457778503</v>
      </c>
      <c r="DF19">
        <v>7335.3276923076901</v>
      </c>
      <c r="DG19">
        <v>15</v>
      </c>
      <c r="DH19">
        <v>1598200624.2</v>
      </c>
      <c r="DI19" t="s">
        <v>298</v>
      </c>
      <c r="DJ19">
        <v>18</v>
      </c>
      <c r="DK19">
        <v>-0.28399999999999997</v>
      </c>
      <c r="DL19">
        <v>0.121</v>
      </c>
      <c r="DM19">
        <v>200</v>
      </c>
      <c r="DN19">
        <v>17</v>
      </c>
      <c r="DO19">
        <v>0.26</v>
      </c>
      <c r="DP19">
        <v>0.03</v>
      </c>
      <c r="DQ19">
        <v>194.15003636363599</v>
      </c>
      <c r="DR19">
        <v>4.5532467532518002E-2</v>
      </c>
      <c r="DS19">
        <v>9.7830347334045501E-3</v>
      </c>
      <c r="DT19">
        <v>1</v>
      </c>
      <c r="DU19">
        <v>19.450027272727301</v>
      </c>
      <c r="DV19">
        <v>-0.101818181818163</v>
      </c>
      <c r="DW19">
        <v>1.3485621360214599E-2</v>
      </c>
      <c r="DX19">
        <v>1</v>
      </c>
      <c r="DY19">
        <v>2</v>
      </c>
      <c r="DZ19">
        <v>2</v>
      </c>
      <c r="EA19" t="s">
        <v>293</v>
      </c>
      <c r="EB19">
        <v>1.86676</v>
      </c>
      <c r="EC19">
        <v>1.8632500000000001</v>
      </c>
      <c r="ED19">
        <v>1.86894</v>
      </c>
      <c r="EE19">
        <v>1.8668899999999999</v>
      </c>
      <c r="EF19">
        <v>1.8715299999999999</v>
      </c>
      <c r="EG19">
        <v>1.8640099999999999</v>
      </c>
      <c r="EH19">
        <v>1.8655600000000001</v>
      </c>
      <c r="EI19">
        <v>1.86551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-0.28399999999999997</v>
      </c>
      <c r="EX19">
        <v>0.121</v>
      </c>
      <c r="EY19">
        <v>2</v>
      </c>
      <c r="EZ19">
        <v>335.375</v>
      </c>
      <c r="FA19">
        <v>480.68799999999999</v>
      </c>
      <c r="FB19">
        <v>21.3794</v>
      </c>
      <c r="FC19">
        <v>33.994799999999998</v>
      </c>
      <c r="FD19">
        <v>30</v>
      </c>
      <c r="FE19">
        <v>33.999200000000002</v>
      </c>
      <c r="FF19">
        <v>33.9998</v>
      </c>
      <c r="FG19">
        <v>12.9361</v>
      </c>
      <c r="FH19">
        <v>49.055999999999997</v>
      </c>
      <c r="FI19">
        <v>0</v>
      </c>
      <c r="FJ19">
        <v>21.387699999999999</v>
      </c>
      <c r="FK19">
        <v>200</v>
      </c>
      <c r="FL19">
        <v>17.146100000000001</v>
      </c>
      <c r="FM19">
        <v>100.758</v>
      </c>
      <c r="FN19">
        <v>101.129</v>
      </c>
    </row>
    <row r="20" spans="1:170" x14ac:dyDescent="0.25">
      <c r="A20">
        <v>4</v>
      </c>
      <c r="B20">
        <v>1598200715.7</v>
      </c>
      <c r="C20">
        <v>356</v>
      </c>
      <c r="D20" t="s">
        <v>299</v>
      </c>
      <c r="E20" t="s">
        <v>300</v>
      </c>
      <c r="G20">
        <v>1598200707.73226</v>
      </c>
      <c r="H20">
        <f t="shared" si="0"/>
        <v>6.2717033466389363E-3</v>
      </c>
      <c r="I20">
        <f t="shared" si="1"/>
        <v>4.7949990598245344</v>
      </c>
      <c r="J20">
        <f t="shared" si="2"/>
        <v>97.8610032258064</v>
      </c>
      <c r="K20">
        <f t="shared" si="3"/>
        <v>74.901275778927555</v>
      </c>
      <c r="L20">
        <f t="shared" si="4"/>
        <v>7.44503286614197</v>
      </c>
      <c r="M20">
        <f t="shared" si="5"/>
        <v>9.7271825847154592</v>
      </c>
      <c r="N20">
        <f t="shared" si="6"/>
        <v>0.39236012006226145</v>
      </c>
      <c r="O20">
        <f t="shared" si="7"/>
        <v>3.3788882230873183</v>
      </c>
      <c r="P20">
        <f t="shared" si="8"/>
        <v>0.36869190453328293</v>
      </c>
      <c r="Q20">
        <f t="shared" si="9"/>
        <v>0.23243986470987027</v>
      </c>
      <c r="R20">
        <f t="shared" si="10"/>
        <v>321.44201903091005</v>
      </c>
      <c r="S20">
        <f t="shared" si="11"/>
        <v>26.825495926324084</v>
      </c>
      <c r="T20">
        <f t="shared" si="12"/>
        <v>26.968067741935499</v>
      </c>
      <c r="U20">
        <f t="shared" si="13"/>
        <v>3.5724526121022318</v>
      </c>
      <c r="V20">
        <f t="shared" si="14"/>
        <v>55.181224627586126</v>
      </c>
      <c r="W20">
        <f t="shared" si="15"/>
        <v>1.9284118293618671</v>
      </c>
      <c r="X20">
        <f t="shared" si="16"/>
        <v>3.4946883516568752</v>
      </c>
      <c r="Y20">
        <f t="shared" si="17"/>
        <v>1.6440407827403647</v>
      </c>
      <c r="Z20">
        <f t="shared" si="18"/>
        <v>-276.58211758677709</v>
      </c>
      <c r="AA20">
        <f t="shared" si="19"/>
        <v>-68.148212089182664</v>
      </c>
      <c r="AB20">
        <f t="shared" si="20"/>
        <v>-4.3431456417821925</v>
      </c>
      <c r="AC20">
        <f t="shared" si="21"/>
        <v>-27.631456286831906</v>
      </c>
      <c r="AD20">
        <v>-4.1120934620629303E-2</v>
      </c>
      <c r="AE20">
        <v>4.6161851503382499E-2</v>
      </c>
      <c r="AF20">
        <v>3.4510482585630702</v>
      </c>
      <c r="AG20">
        <v>147</v>
      </c>
      <c r="AH20">
        <v>29</v>
      </c>
      <c r="AI20">
        <f t="shared" si="22"/>
        <v>1</v>
      </c>
      <c r="AJ20">
        <f t="shared" si="23"/>
        <v>0</v>
      </c>
      <c r="AK20">
        <f t="shared" si="24"/>
        <v>52507.492796541097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301</v>
      </c>
      <c r="AS20">
        <v>280.01900000000001</v>
      </c>
      <c r="AT20">
        <v>347.31700000000001</v>
      </c>
      <c r="AU20">
        <f t="shared" si="27"/>
        <v>0.19376534981011584</v>
      </c>
      <c r="AV20">
        <v>0.5</v>
      </c>
      <c r="AW20">
        <f t="shared" si="28"/>
        <v>1681.2054770960683</v>
      </c>
      <c r="AX20">
        <f t="shared" si="29"/>
        <v>4.7949990598245344</v>
      </c>
      <c r="AY20">
        <f t="shared" si="30"/>
        <v>162.87968368610117</v>
      </c>
      <c r="AZ20">
        <f t="shared" si="31"/>
        <v>0.41822600103075863</v>
      </c>
      <c r="BA20">
        <f t="shared" si="32"/>
        <v>3.4469308711949868E-3</v>
      </c>
      <c r="BB20">
        <f t="shared" si="33"/>
        <v>-1</v>
      </c>
      <c r="BC20" t="s">
        <v>302</v>
      </c>
      <c r="BD20">
        <v>202.06</v>
      </c>
      <c r="BE20">
        <f t="shared" si="34"/>
        <v>145.25700000000001</v>
      </c>
      <c r="BF20">
        <f t="shared" si="35"/>
        <v>0.46330297335068188</v>
      </c>
      <c r="BG20">
        <f t="shared" si="36"/>
        <v>1.7188805305354846</v>
      </c>
      <c r="BH20">
        <f t="shared" si="37"/>
        <v>0.19376534981011584</v>
      </c>
      <c r="BI20" t="e">
        <f t="shared" si="38"/>
        <v>#DIV/0!</v>
      </c>
      <c r="BJ20">
        <v>6539</v>
      </c>
      <c r="BK20">
        <v>300</v>
      </c>
      <c r="BL20">
        <v>300</v>
      </c>
      <c r="BM20">
        <v>300</v>
      </c>
      <c r="BN20">
        <v>9873.4500000000007</v>
      </c>
      <c r="BO20">
        <v>329.54199999999997</v>
      </c>
      <c r="BP20">
        <v>-6.5673299999999997E-3</v>
      </c>
      <c r="BQ20">
        <v>1.3106100000000001</v>
      </c>
      <c r="BR20">
        <f t="shared" si="39"/>
        <v>2000.0096774193501</v>
      </c>
      <c r="BS20">
        <f t="shared" si="40"/>
        <v>1681.2054770960683</v>
      </c>
      <c r="BT20">
        <f t="shared" si="41"/>
        <v>0.84059867113511133</v>
      </c>
      <c r="BU20">
        <f t="shared" si="42"/>
        <v>0.19119734227022273</v>
      </c>
      <c r="BV20">
        <v>0.5</v>
      </c>
      <c r="BW20" t="s">
        <v>281</v>
      </c>
      <c r="BX20">
        <v>1598200707.73226</v>
      </c>
      <c r="BY20">
        <v>97.8610032258064</v>
      </c>
      <c r="BZ20">
        <v>100.024251612903</v>
      </c>
      <c r="CA20">
        <v>19.400922580645201</v>
      </c>
      <c r="CB20">
        <v>16.941199999999998</v>
      </c>
      <c r="CC20">
        <v>500.05854838709701</v>
      </c>
      <c r="CD20">
        <v>99.197951612903196</v>
      </c>
      <c r="CE20">
        <v>0.199993064516129</v>
      </c>
      <c r="CF20">
        <v>26.5939612903226</v>
      </c>
      <c r="CG20">
        <v>26.968067741935499</v>
      </c>
      <c r="CH20">
        <v>999.9</v>
      </c>
      <c r="CI20">
        <v>9996.6916129032306</v>
      </c>
      <c r="CJ20">
        <v>0</v>
      </c>
      <c r="CK20">
        <v>199.279258064516</v>
      </c>
      <c r="CL20">
        <v>2000.0096774193501</v>
      </c>
      <c r="CM20">
        <v>0.97999425806451601</v>
      </c>
      <c r="CN20">
        <v>2.0005909677419401E-2</v>
      </c>
      <c r="CO20">
        <v>0</v>
      </c>
      <c r="CP20">
        <v>280.03187096774201</v>
      </c>
      <c r="CQ20">
        <v>5.00054</v>
      </c>
      <c r="CR20">
        <v>7304.3912903225801</v>
      </c>
      <c r="CS20">
        <v>18703.7</v>
      </c>
      <c r="CT20">
        <v>47.402999999999999</v>
      </c>
      <c r="CU20">
        <v>49.033999999999999</v>
      </c>
      <c r="CV20">
        <v>47.824258064516101</v>
      </c>
      <c r="CW20">
        <v>48.048096774193503</v>
      </c>
      <c r="CX20">
        <v>48.925064516128998</v>
      </c>
      <c r="CY20">
        <v>1955.0980645161301</v>
      </c>
      <c r="CZ20">
        <v>39.911612903225802</v>
      </c>
      <c r="DA20">
        <v>0</v>
      </c>
      <c r="DB20">
        <v>119</v>
      </c>
      <c r="DC20">
        <v>280.01900000000001</v>
      </c>
      <c r="DD20">
        <v>4.2803429796366997E-2</v>
      </c>
      <c r="DE20">
        <v>-31.665299241361598</v>
      </c>
      <c r="DF20">
        <v>7304.5057692307701</v>
      </c>
      <c r="DG20">
        <v>15</v>
      </c>
      <c r="DH20">
        <v>1598200738.8</v>
      </c>
      <c r="DI20" t="s">
        <v>303</v>
      </c>
      <c r="DJ20">
        <v>19</v>
      </c>
      <c r="DK20">
        <v>-0.27100000000000002</v>
      </c>
      <c r="DL20">
        <v>0.115</v>
      </c>
      <c r="DM20">
        <v>100</v>
      </c>
      <c r="DN20">
        <v>17</v>
      </c>
      <c r="DO20">
        <v>0.23</v>
      </c>
      <c r="DP20">
        <v>0.04</v>
      </c>
      <c r="DQ20">
        <v>97.858099999999993</v>
      </c>
      <c r="DR20">
        <v>-9.9762043710192899E-2</v>
      </c>
      <c r="DS20">
        <v>1.5491264400535399E-2</v>
      </c>
      <c r="DT20">
        <v>1</v>
      </c>
      <c r="DU20">
        <v>19.407567272727299</v>
      </c>
      <c r="DV20">
        <v>-1.3387622303318501E-2</v>
      </c>
      <c r="DW20">
        <v>8.0116518452350294E-3</v>
      </c>
      <c r="DX20">
        <v>1</v>
      </c>
      <c r="DY20">
        <v>2</v>
      </c>
      <c r="DZ20">
        <v>2</v>
      </c>
      <c r="EA20" t="s">
        <v>293</v>
      </c>
      <c r="EB20">
        <v>1.86676</v>
      </c>
      <c r="EC20">
        <v>1.8632599999999999</v>
      </c>
      <c r="ED20">
        <v>1.86897</v>
      </c>
      <c r="EE20">
        <v>1.8669</v>
      </c>
      <c r="EF20">
        <v>1.87154</v>
      </c>
      <c r="EG20">
        <v>1.8640099999999999</v>
      </c>
      <c r="EH20">
        <v>1.86557</v>
      </c>
      <c r="EI20">
        <v>1.86554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-0.27100000000000002</v>
      </c>
      <c r="EX20">
        <v>0.115</v>
      </c>
      <c r="EY20">
        <v>2</v>
      </c>
      <c r="EZ20">
        <v>335.59100000000001</v>
      </c>
      <c r="FA20">
        <v>480.06599999999997</v>
      </c>
      <c r="FB20">
        <v>21.793399999999998</v>
      </c>
      <c r="FC20">
        <v>33.994500000000002</v>
      </c>
      <c r="FD20">
        <v>29.9999</v>
      </c>
      <c r="FE20">
        <v>34.011400000000002</v>
      </c>
      <c r="FF20">
        <v>34.015500000000003</v>
      </c>
      <c r="FG20">
        <v>8.0879999999999992</v>
      </c>
      <c r="FH20">
        <v>50.370600000000003</v>
      </c>
      <c r="FI20">
        <v>0</v>
      </c>
      <c r="FJ20">
        <v>21.804200000000002</v>
      </c>
      <c r="FK20">
        <v>100</v>
      </c>
      <c r="FL20">
        <v>16.935099999999998</v>
      </c>
      <c r="FM20">
        <v>100.758</v>
      </c>
      <c r="FN20">
        <v>101.134</v>
      </c>
    </row>
    <row r="21" spans="1:170" x14ac:dyDescent="0.25">
      <c r="A21">
        <v>5</v>
      </c>
      <c r="B21">
        <v>1598200830.4000001</v>
      </c>
      <c r="C21">
        <v>470.700000047684</v>
      </c>
      <c r="D21" t="s">
        <v>304</v>
      </c>
      <c r="E21" t="s">
        <v>305</v>
      </c>
      <c r="G21">
        <v>1598200822.35484</v>
      </c>
      <c r="H21">
        <f t="shared" si="0"/>
        <v>6.2929037024525526E-3</v>
      </c>
      <c r="I21">
        <f t="shared" si="1"/>
        <v>0.33297227407305174</v>
      </c>
      <c r="J21">
        <f t="shared" si="2"/>
        <v>49.733461290322602</v>
      </c>
      <c r="K21">
        <f t="shared" si="3"/>
        <v>46.982982318078271</v>
      </c>
      <c r="L21">
        <f t="shared" si="4"/>
        <v>4.66999346899693</v>
      </c>
      <c r="M21">
        <f t="shared" si="5"/>
        <v>4.9433843480610715</v>
      </c>
      <c r="N21">
        <f t="shared" si="6"/>
        <v>0.39104028500459959</v>
      </c>
      <c r="O21">
        <f t="shared" si="7"/>
        <v>3.3793190398648294</v>
      </c>
      <c r="P21">
        <f t="shared" si="8"/>
        <v>0.36752871792641906</v>
      </c>
      <c r="Q21">
        <f t="shared" si="9"/>
        <v>0.23169997427346825</v>
      </c>
      <c r="R21">
        <f t="shared" si="10"/>
        <v>321.43776746034058</v>
      </c>
      <c r="S21">
        <f t="shared" si="11"/>
        <v>26.935357377157104</v>
      </c>
      <c r="T21">
        <f t="shared" si="12"/>
        <v>26.997783870967702</v>
      </c>
      <c r="U21">
        <f t="shared" si="13"/>
        <v>3.5786938603122151</v>
      </c>
      <c r="V21">
        <f t="shared" si="14"/>
        <v>54.681271421997224</v>
      </c>
      <c r="W21">
        <f t="shared" si="15"/>
        <v>1.9238963886138949</v>
      </c>
      <c r="X21">
        <f t="shared" si="16"/>
        <v>3.5183826904214017</v>
      </c>
      <c r="Y21">
        <f t="shared" si="17"/>
        <v>1.6547974716983203</v>
      </c>
      <c r="Z21">
        <f t="shared" si="18"/>
        <v>-277.51705327815756</v>
      </c>
      <c r="AA21">
        <f t="shared" si="19"/>
        <v>-52.664639412553441</v>
      </c>
      <c r="AB21">
        <f t="shared" si="20"/>
        <v>-3.3583619637604905</v>
      </c>
      <c r="AC21">
        <f t="shared" si="21"/>
        <v>-12.102287194130923</v>
      </c>
      <c r="AD21">
        <v>-4.11275945649738E-2</v>
      </c>
      <c r="AE21">
        <v>4.6169327874352399E-2</v>
      </c>
      <c r="AF21">
        <v>3.4514907623760198</v>
      </c>
      <c r="AG21">
        <v>147</v>
      </c>
      <c r="AH21">
        <v>29</v>
      </c>
      <c r="AI21">
        <f t="shared" si="22"/>
        <v>1</v>
      </c>
      <c r="AJ21">
        <f t="shared" si="23"/>
        <v>0</v>
      </c>
      <c r="AK21">
        <f t="shared" si="24"/>
        <v>52495.534818055799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279.62103846153798</v>
      </c>
      <c r="AT21">
        <v>335.28</v>
      </c>
      <c r="AU21">
        <f t="shared" si="27"/>
        <v>0.16600740139126102</v>
      </c>
      <c r="AV21">
        <v>0.5</v>
      </c>
      <c r="AW21">
        <f t="shared" si="28"/>
        <v>1681.1888416123732</v>
      </c>
      <c r="AX21">
        <f t="shared" si="29"/>
        <v>0.33297227407305174</v>
      </c>
      <c r="AY21">
        <f t="shared" si="30"/>
        <v>139.5448954220272</v>
      </c>
      <c r="AZ21">
        <f t="shared" si="31"/>
        <v>0.39441660701503217</v>
      </c>
      <c r="BA21">
        <f t="shared" si="32"/>
        <v>7.9287480447148438E-4</v>
      </c>
      <c r="BB21">
        <f t="shared" si="33"/>
        <v>-1</v>
      </c>
      <c r="BC21" t="s">
        <v>307</v>
      </c>
      <c r="BD21">
        <v>203.04</v>
      </c>
      <c r="BE21">
        <f t="shared" si="34"/>
        <v>132.23999999999998</v>
      </c>
      <c r="BF21">
        <f t="shared" si="35"/>
        <v>0.42089353855461287</v>
      </c>
      <c r="BG21">
        <f t="shared" si="36"/>
        <v>1.6513002364066194</v>
      </c>
      <c r="BH21">
        <f t="shared" si="37"/>
        <v>0.16600740139126102</v>
      </c>
      <c r="BI21" t="e">
        <f t="shared" si="38"/>
        <v>#DIV/0!</v>
      </c>
      <c r="BJ21">
        <v>6541</v>
      </c>
      <c r="BK21">
        <v>300</v>
      </c>
      <c r="BL21">
        <v>300</v>
      </c>
      <c r="BM21">
        <v>300</v>
      </c>
      <c r="BN21">
        <v>9874.5</v>
      </c>
      <c r="BO21">
        <v>322.5</v>
      </c>
      <c r="BP21">
        <v>-6.5683699999999996E-3</v>
      </c>
      <c r="BQ21">
        <v>1.44354</v>
      </c>
      <c r="BR21">
        <f t="shared" si="39"/>
        <v>1999.9906451612901</v>
      </c>
      <c r="BS21">
        <f t="shared" si="40"/>
        <v>1681.1888416123732</v>
      </c>
      <c r="BT21">
        <f t="shared" si="41"/>
        <v>0.84059835263719096</v>
      </c>
      <c r="BU21">
        <f t="shared" si="42"/>
        <v>0.19119670527438198</v>
      </c>
      <c r="BV21">
        <v>0.5</v>
      </c>
      <c r="BW21" t="s">
        <v>281</v>
      </c>
      <c r="BX21">
        <v>1598200822.35484</v>
      </c>
      <c r="BY21">
        <v>49.733461290322602</v>
      </c>
      <c r="BZ21">
        <v>49.991806451612902</v>
      </c>
      <c r="CA21">
        <v>19.355570967741901</v>
      </c>
      <c r="CB21">
        <v>16.887425806451599</v>
      </c>
      <c r="CC21">
        <v>500.05980645161299</v>
      </c>
      <c r="CD21">
        <v>99.197583870967804</v>
      </c>
      <c r="CE21">
        <v>0.19996900000000001</v>
      </c>
      <c r="CF21">
        <v>26.708712903225798</v>
      </c>
      <c r="CG21">
        <v>26.997783870967702</v>
      </c>
      <c r="CH21">
        <v>999.9</v>
      </c>
      <c r="CI21">
        <v>9998.3477419354804</v>
      </c>
      <c r="CJ21">
        <v>0</v>
      </c>
      <c r="CK21">
        <v>201.68258064516101</v>
      </c>
      <c r="CL21">
        <v>1999.9906451612901</v>
      </c>
      <c r="CM21">
        <v>0.98000670967741899</v>
      </c>
      <c r="CN21">
        <v>1.99933516129032E-2</v>
      </c>
      <c r="CO21">
        <v>0</v>
      </c>
      <c r="CP21">
        <v>279.61496774193603</v>
      </c>
      <c r="CQ21">
        <v>5.00054</v>
      </c>
      <c r="CR21">
        <v>7287.3732258064501</v>
      </c>
      <c r="CS21">
        <v>18703.5709677419</v>
      </c>
      <c r="CT21">
        <v>47.086387096774203</v>
      </c>
      <c r="CU21">
        <v>48.717483870967698</v>
      </c>
      <c r="CV21">
        <v>47.491806451612902</v>
      </c>
      <c r="CW21">
        <v>47.753806451612903</v>
      </c>
      <c r="CX21">
        <v>48.632935483871002</v>
      </c>
      <c r="CY21">
        <v>1955.10064516129</v>
      </c>
      <c r="CZ21">
        <v>39.89</v>
      </c>
      <c r="DA21">
        <v>0</v>
      </c>
      <c r="DB21">
        <v>114.200000047684</v>
      </c>
      <c r="DC21">
        <v>279.62103846153798</v>
      </c>
      <c r="DD21">
        <v>-0.12618803243016699</v>
      </c>
      <c r="DE21">
        <v>-16.381538547402901</v>
      </c>
      <c r="DF21">
        <v>7287.2146153846197</v>
      </c>
      <c r="DG21">
        <v>15</v>
      </c>
      <c r="DH21">
        <v>1598200855.8</v>
      </c>
      <c r="DI21" t="s">
        <v>308</v>
      </c>
      <c r="DJ21">
        <v>20</v>
      </c>
      <c r="DK21">
        <v>-0.22700000000000001</v>
      </c>
      <c r="DL21">
        <v>0.11700000000000001</v>
      </c>
      <c r="DM21">
        <v>50</v>
      </c>
      <c r="DN21">
        <v>17</v>
      </c>
      <c r="DO21">
        <v>0.27</v>
      </c>
      <c r="DP21">
        <v>0.03</v>
      </c>
      <c r="DQ21">
        <v>49.699514545454598</v>
      </c>
      <c r="DR21">
        <v>-9.37843625088009E-2</v>
      </c>
      <c r="DS21">
        <v>1.4334502790398201E-2</v>
      </c>
      <c r="DT21">
        <v>1</v>
      </c>
      <c r="DU21">
        <v>19.350663636363599</v>
      </c>
      <c r="DV21">
        <v>3.5555998927902899E-2</v>
      </c>
      <c r="DW21">
        <v>1.17446214171171E-2</v>
      </c>
      <c r="DX21">
        <v>1</v>
      </c>
      <c r="DY21">
        <v>2</v>
      </c>
      <c r="DZ21">
        <v>2</v>
      </c>
      <c r="EA21" t="s">
        <v>293</v>
      </c>
      <c r="EB21">
        <v>1.86676</v>
      </c>
      <c r="EC21">
        <v>1.86327</v>
      </c>
      <c r="ED21">
        <v>1.86896</v>
      </c>
      <c r="EE21">
        <v>1.8669</v>
      </c>
      <c r="EF21">
        <v>1.87158</v>
      </c>
      <c r="EG21">
        <v>1.8640099999999999</v>
      </c>
      <c r="EH21">
        <v>1.86561</v>
      </c>
      <c r="EI21">
        <v>1.86554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-0.22700000000000001</v>
      </c>
      <c r="EX21">
        <v>0.11700000000000001</v>
      </c>
      <c r="EY21">
        <v>2</v>
      </c>
      <c r="EZ21">
        <v>335.53399999999999</v>
      </c>
      <c r="FA21">
        <v>479.899</v>
      </c>
      <c r="FB21">
        <v>22.181799999999999</v>
      </c>
      <c r="FC21">
        <v>33.957799999999999</v>
      </c>
      <c r="FD21">
        <v>30.000299999999999</v>
      </c>
      <c r="FE21">
        <v>33.999200000000002</v>
      </c>
      <c r="FF21">
        <v>34.008099999999999</v>
      </c>
      <c r="FG21">
        <v>5.6396300000000004</v>
      </c>
      <c r="FH21">
        <v>50.365099999999998</v>
      </c>
      <c r="FI21">
        <v>0</v>
      </c>
      <c r="FJ21">
        <v>22.158100000000001</v>
      </c>
      <c r="FK21">
        <v>50</v>
      </c>
      <c r="FL21">
        <v>16.9618</v>
      </c>
      <c r="FM21">
        <v>100.759</v>
      </c>
      <c r="FN21">
        <v>101.142</v>
      </c>
    </row>
    <row r="22" spans="1:170" x14ac:dyDescent="0.25">
      <c r="A22">
        <v>6</v>
      </c>
      <c r="B22">
        <v>1598200947.4000001</v>
      </c>
      <c r="C22">
        <v>587.70000004768394</v>
      </c>
      <c r="D22" t="s">
        <v>309</v>
      </c>
      <c r="E22" t="s">
        <v>310</v>
      </c>
      <c r="G22">
        <v>1598200939.3580699</v>
      </c>
      <c r="H22">
        <f t="shared" si="0"/>
        <v>6.4814182706531571E-3</v>
      </c>
      <c r="I22">
        <f t="shared" si="1"/>
        <v>30.291023516126664</v>
      </c>
      <c r="J22">
        <f t="shared" si="2"/>
        <v>386.89880645161298</v>
      </c>
      <c r="K22">
        <f t="shared" si="3"/>
        <v>253.80070258466634</v>
      </c>
      <c r="L22">
        <f t="shared" si="4"/>
        <v>25.227441442235268</v>
      </c>
      <c r="M22">
        <f t="shared" si="5"/>
        <v>38.457210261554543</v>
      </c>
      <c r="N22">
        <f t="shared" si="6"/>
        <v>0.41153150567002089</v>
      </c>
      <c r="O22">
        <f t="shared" si="7"/>
        <v>3.3798347591557598</v>
      </c>
      <c r="P22">
        <f t="shared" si="8"/>
        <v>0.3855827016714965</v>
      </c>
      <c r="Q22">
        <f t="shared" si="9"/>
        <v>0.24318411252812627</v>
      </c>
      <c r="R22">
        <f t="shared" si="10"/>
        <v>321.44003382470828</v>
      </c>
      <c r="S22">
        <f t="shared" si="11"/>
        <v>27.055850327034069</v>
      </c>
      <c r="T22">
        <f t="shared" si="12"/>
        <v>26.994632258064499</v>
      </c>
      <c r="U22">
        <f t="shared" si="13"/>
        <v>3.5780314793846357</v>
      </c>
      <c r="V22">
        <f t="shared" si="14"/>
        <v>54.996856147822015</v>
      </c>
      <c r="W22">
        <f t="shared" si="15"/>
        <v>1.9536915624576903</v>
      </c>
      <c r="X22">
        <f t="shared" si="16"/>
        <v>3.5523695340084642</v>
      </c>
      <c r="Y22">
        <f t="shared" si="17"/>
        <v>1.6243399169269455</v>
      </c>
      <c r="Z22">
        <f t="shared" si="18"/>
        <v>-285.83054573580421</v>
      </c>
      <c r="AA22">
        <f t="shared" si="19"/>
        <v>-22.319996741166474</v>
      </c>
      <c r="AB22">
        <f t="shared" si="20"/>
        <v>-1.4242437213860557</v>
      </c>
      <c r="AC22">
        <f t="shared" si="21"/>
        <v>11.865247626351536</v>
      </c>
      <c r="AD22">
        <v>-4.1135567506994201E-2</v>
      </c>
      <c r="AE22">
        <v>4.6178278200238301E-2</v>
      </c>
      <c r="AF22">
        <v>3.4520204727832602</v>
      </c>
      <c r="AG22">
        <v>147</v>
      </c>
      <c r="AH22">
        <v>29</v>
      </c>
      <c r="AI22">
        <f t="shared" si="22"/>
        <v>1</v>
      </c>
      <c r="AJ22">
        <f t="shared" si="23"/>
        <v>0</v>
      </c>
      <c r="AK22">
        <f t="shared" si="24"/>
        <v>52476.703717871889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270.97092307692299</v>
      </c>
      <c r="AT22">
        <v>370.64499999999998</v>
      </c>
      <c r="AU22">
        <f t="shared" si="27"/>
        <v>0.2689206030651351</v>
      </c>
      <c r="AV22">
        <v>0.5</v>
      </c>
      <c r="AW22">
        <f t="shared" si="28"/>
        <v>1681.2007647720698</v>
      </c>
      <c r="AX22">
        <f t="shared" si="29"/>
        <v>30.291023516126664</v>
      </c>
      <c r="AY22">
        <f t="shared" si="30"/>
        <v>226.05476176803566</v>
      </c>
      <c r="AZ22">
        <f t="shared" si="31"/>
        <v>0.51020518285691163</v>
      </c>
      <c r="BA22">
        <f t="shared" si="32"/>
        <v>1.8612306258597836E-2</v>
      </c>
      <c r="BB22">
        <f t="shared" si="33"/>
        <v>-1</v>
      </c>
      <c r="BC22" t="s">
        <v>312</v>
      </c>
      <c r="BD22">
        <v>181.54</v>
      </c>
      <c r="BE22">
        <f t="shared" si="34"/>
        <v>189.10499999999999</v>
      </c>
      <c r="BF22">
        <f t="shared" si="35"/>
        <v>0.52708324435142906</v>
      </c>
      <c r="BG22">
        <f t="shared" si="36"/>
        <v>2.0416712570232454</v>
      </c>
      <c r="BH22">
        <f t="shared" si="37"/>
        <v>0.2689206030651351</v>
      </c>
      <c r="BI22" t="e">
        <f t="shared" si="38"/>
        <v>#DIV/0!</v>
      </c>
      <c r="BJ22">
        <v>6543</v>
      </c>
      <c r="BK22">
        <v>300</v>
      </c>
      <c r="BL22">
        <v>300</v>
      </c>
      <c r="BM22">
        <v>300</v>
      </c>
      <c r="BN22">
        <v>9875.4699999999993</v>
      </c>
      <c r="BO22">
        <v>343.09399999999999</v>
      </c>
      <c r="BP22">
        <v>-6.5691500000000002E-3</v>
      </c>
      <c r="BQ22">
        <v>1.1873199999999999</v>
      </c>
      <c r="BR22">
        <f t="shared" si="39"/>
        <v>2000.0048387096799</v>
      </c>
      <c r="BS22">
        <f t="shared" si="40"/>
        <v>1681.2007647720698</v>
      </c>
      <c r="BT22">
        <f t="shared" si="41"/>
        <v>0.84059834868035155</v>
      </c>
      <c r="BU22">
        <f t="shared" si="42"/>
        <v>0.19119669736070324</v>
      </c>
      <c r="BV22">
        <v>0.5</v>
      </c>
      <c r="BW22" t="s">
        <v>281</v>
      </c>
      <c r="BX22">
        <v>1598200939.3580699</v>
      </c>
      <c r="BY22">
        <v>386.89880645161298</v>
      </c>
      <c r="BZ22">
        <v>400.01670967741899</v>
      </c>
      <c r="CA22">
        <v>19.655116129032301</v>
      </c>
      <c r="CB22">
        <v>17.1138096774194</v>
      </c>
      <c r="CC22">
        <v>500.059741935484</v>
      </c>
      <c r="CD22">
        <v>99.198629032258097</v>
      </c>
      <c r="CE22">
        <v>0.19999825806451599</v>
      </c>
      <c r="CF22">
        <v>26.872138709677401</v>
      </c>
      <c r="CG22">
        <v>26.994632258064499</v>
      </c>
      <c r="CH22">
        <v>999.9</v>
      </c>
      <c r="CI22">
        <v>10000.180645161299</v>
      </c>
      <c r="CJ22">
        <v>0</v>
      </c>
      <c r="CK22">
        <v>202.48806451612899</v>
      </c>
      <c r="CL22">
        <v>2000.0048387096799</v>
      </c>
      <c r="CM22">
        <v>0.98000506451612901</v>
      </c>
      <c r="CN22">
        <v>1.9994777419354799E-2</v>
      </c>
      <c r="CO22">
        <v>0</v>
      </c>
      <c r="CP22">
        <v>270.96490322580598</v>
      </c>
      <c r="CQ22">
        <v>5.00054</v>
      </c>
      <c r="CR22">
        <v>7115.2103225806404</v>
      </c>
      <c r="CS22">
        <v>18703.7</v>
      </c>
      <c r="CT22">
        <v>46.878806451612903</v>
      </c>
      <c r="CU22">
        <v>48.487806451612897</v>
      </c>
      <c r="CV22">
        <v>47.253999999999998</v>
      </c>
      <c r="CW22">
        <v>47.554064516129003</v>
      </c>
      <c r="CX22">
        <v>48.418999999999997</v>
      </c>
      <c r="CY22">
        <v>1955.11387096774</v>
      </c>
      <c r="CZ22">
        <v>39.89</v>
      </c>
      <c r="DA22">
        <v>0</v>
      </c>
      <c r="DB22">
        <v>116.5</v>
      </c>
      <c r="DC22">
        <v>270.97092307692299</v>
      </c>
      <c r="DD22">
        <v>-1.60929914797398</v>
      </c>
      <c r="DE22">
        <v>-44.321025960002402</v>
      </c>
      <c r="DF22">
        <v>7114.3796153846197</v>
      </c>
      <c r="DG22">
        <v>15</v>
      </c>
      <c r="DH22">
        <v>1598200974.4000001</v>
      </c>
      <c r="DI22" t="s">
        <v>313</v>
      </c>
      <c r="DJ22">
        <v>21</v>
      </c>
      <c r="DK22">
        <v>-0.22600000000000001</v>
      </c>
      <c r="DL22">
        <v>0.11799999999999999</v>
      </c>
      <c r="DM22">
        <v>400</v>
      </c>
      <c r="DN22">
        <v>17</v>
      </c>
      <c r="DO22">
        <v>0.4</v>
      </c>
      <c r="DP22">
        <v>0.03</v>
      </c>
      <c r="DQ22">
        <v>386.90320000000003</v>
      </c>
      <c r="DR22">
        <v>-2.5161401230332298E-2</v>
      </c>
      <c r="DS22">
        <v>2.4592238243354901E-2</v>
      </c>
      <c r="DT22">
        <v>1</v>
      </c>
      <c r="DU22">
        <v>19.647205454545499</v>
      </c>
      <c r="DV22">
        <v>7.0362593676858001E-2</v>
      </c>
      <c r="DW22">
        <v>9.6055744834458306E-3</v>
      </c>
      <c r="DX22">
        <v>1</v>
      </c>
      <c r="DY22">
        <v>2</v>
      </c>
      <c r="DZ22">
        <v>2</v>
      </c>
      <c r="EA22" t="s">
        <v>293</v>
      </c>
      <c r="EB22">
        <v>1.8667800000000001</v>
      </c>
      <c r="EC22">
        <v>1.86327</v>
      </c>
      <c r="ED22">
        <v>1.86896</v>
      </c>
      <c r="EE22">
        <v>1.8669100000000001</v>
      </c>
      <c r="EF22">
        <v>1.8716299999999999</v>
      </c>
      <c r="EG22">
        <v>1.8640099999999999</v>
      </c>
      <c r="EH22">
        <v>1.86565</v>
      </c>
      <c r="EI22">
        <v>1.86554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-0.22600000000000001</v>
      </c>
      <c r="EX22">
        <v>0.11799999999999999</v>
      </c>
      <c r="EY22">
        <v>2</v>
      </c>
      <c r="EZ22">
        <v>335.21300000000002</v>
      </c>
      <c r="FA22">
        <v>480.65</v>
      </c>
      <c r="FB22">
        <v>22.490500000000001</v>
      </c>
      <c r="FC22">
        <v>33.914900000000003</v>
      </c>
      <c r="FD22">
        <v>30.000299999999999</v>
      </c>
      <c r="FE22">
        <v>33.977699999999999</v>
      </c>
      <c r="FF22">
        <v>33.987699999999997</v>
      </c>
      <c r="FG22">
        <v>22.0702</v>
      </c>
      <c r="FH22">
        <v>49.872900000000001</v>
      </c>
      <c r="FI22">
        <v>0</v>
      </c>
      <c r="FJ22">
        <v>22.484500000000001</v>
      </c>
      <c r="FK22">
        <v>400</v>
      </c>
      <c r="FL22">
        <v>17.056100000000001</v>
      </c>
      <c r="FM22">
        <v>100.76600000000001</v>
      </c>
      <c r="FN22">
        <v>101.155</v>
      </c>
    </row>
    <row r="23" spans="1:170" x14ac:dyDescent="0.25">
      <c r="A23">
        <v>7</v>
      </c>
      <c r="B23">
        <v>1598201065.9000001</v>
      </c>
      <c r="C23">
        <v>706.20000004768394</v>
      </c>
      <c r="D23" t="s">
        <v>314</v>
      </c>
      <c r="E23" t="s">
        <v>315</v>
      </c>
      <c r="G23">
        <v>1598201057.9000001</v>
      </c>
      <c r="H23">
        <f t="shared" si="0"/>
        <v>6.6919716918311173E-3</v>
      </c>
      <c r="I23">
        <f t="shared" si="1"/>
        <v>30.835216228957943</v>
      </c>
      <c r="J23">
        <f t="shared" si="2"/>
        <v>386.64732258064498</v>
      </c>
      <c r="K23">
        <f t="shared" si="3"/>
        <v>256.23189841180272</v>
      </c>
      <c r="L23">
        <f t="shared" si="4"/>
        <v>25.468174072159851</v>
      </c>
      <c r="M23">
        <f t="shared" si="5"/>
        <v>38.43081746283007</v>
      </c>
      <c r="N23">
        <f t="shared" si="6"/>
        <v>0.42904199129284926</v>
      </c>
      <c r="O23">
        <f t="shared" si="7"/>
        <v>3.3763036107597366</v>
      </c>
      <c r="P23">
        <f t="shared" si="8"/>
        <v>0.4008915741081186</v>
      </c>
      <c r="Q23">
        <f t="shared" si="9"/>
        <v>0.25293235990496199</v>
      </c>
      <c r="R23">
        <f t="shared" si="10"/>
        <v>321.44017194764757</v>
      </c>
      <c r="S23">
        <f t="shared" si="11"/>
        <v>27.035333167113688</v>
      </c>
      <c r="T23">
        <f t="shared" si="12"/>
        <v>26.996177419354801</v>
      </c>
      <c r="U23">
        <f t="shared" si="13"/>
        <v>3.5783562157184488</v>
      </c>
      <c r="V23">
        <f t="shared" si="14"/>
        <v>55.239384915758414</v>
      </c>
      <c r="W23">
        <f t="shared" si="15"/>
        <v>1.9654534316368406</v>
      </c>
      <c r="X23">
        <f t="shared" si="16"/>
        <v>3.5580653814922294</v>
      </c>
      <c r="Y23">
        <f t="shared" si="17"/>
        <v>1.6129027840816081</v>
      </c>
      <c r="Z23">
        <f t="shared" si="18"/>
        <v>-295.11595160975224</v>
      </c>
      <c r="AA23">
        <f t="shared" si="19"/>
        <v>-17.616917670119012</v>
      </c>
      <c r="AB23">
        <f t="shared" si="20"/>
        <v>-1.1254770155999048</v>
      </c>
      <c r="AC23">
        <f t="shared" si="21"/>
        <v>7.5818256521763878</v>
      </c>
      <c r="AD23">
        <v>-4.1080987391359999E-2</v>
      </c>
      <c r="AE23">
        <v>4.6117007238958202E-2</v>
      </c>
      <c r="AF23">
        <v>3.4483935458472601</v>
      </c>
      <c r="AG23">
        <v>147</v>
      </c>
      <c r="AH23">
        <v>29</v>
      </c>
      <c r="AI23">
        <f t="shared" si="22"/>
        <v>1</v>
      </c>
      <c r="AJ23">
        <f t="shared" si="23"/>
        <v>0</v>
      </c>
      <c r="AK23">
        <f t="shared" si="24"/>
        <v>52405.068398618299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271.719346153846</v>
      </c>
      <c r="AT23">
        <v>377.01299999999998</v>
      </c>
      <c r="AU23">
        <f t="shared" si="27"/>
        <v>0.279283881049603</v>
      </c>
      <c r="AV23">
        <v>0.5</v>
      </c>
      <c r="AW23">
        <f t="shared" si="28"/>
        <v>1681.2013254833403</v>
      </c>
      <c r="AX23">
        <f t="shared" si="29"/>
        <v>30.835216228957943</v>
      </c>
      <c r="AY23">
        <f t="shared" si="30"/>
        <v>234.76621550336205</v>
      </c>
      <c r="AZ23">
        <f t="shared" si="31"/>
        <v>0.51449950001724076</v>
      </c>
      <c r="BA23">
        <f t="shared" si="32"/>
        <v>1.8935992820375284E-2</v>
      </c>
      <c r="BB23">
        <f t="shared" si="33"/>
        <v>-1</v>
      </c>
      <c r="BC23" t="s">
        <v>317</v>
      </c>
      <c r="BD23">
        <v>183.04</v>
      </c>
      <c r="BE23">
        <f t="shared" si="34"/>
        <v>193.97299999999998</v>
      </c>
      <c r="BF23">
        <f t="shared" si="35"/>
        <v>0.54282634101732707</v>
      </c>
      <c r="BG23">
        <f t="shared" si="36"/>
        <v>2.0597301136363635</v>
      </c>
      <c r="BH23">
        <f t="shared" si="37"/>
        <v>0.279283881049603</v>
      </c>
      <c r="BI23" t="e">
        <f t="shared" si="38"/>
        <v>#DIV/0!</v>
      </c>
      <c r="BJ23">
        <v>6545</v>
      </c>
      <c r="BK23">
        <v>300</v>
      </c>
      <c r="BL23">
        <v>300</v>
      </c>
      <c r="BM23">
        <v>300</v>
      </c>
      <c r="BN23">
        <v>9875.98</v>
      </c>
      <c r="BO23">
        <v>347.70100000000002</v>
      </c>
      <c r="BP23">
        <v>-6.5696000000000001E-3</v>
      </c>
      <c r="BQ23">
        <v>1.4279500000000001</v>
      </c>
      <c r="BR23">
        <f t="shared" si="39"/>
        <v>2000.00548387097</v>
      </c>
      <c r="BS23">
        <f t="shared" si="40"/>
        <v>1681.2013254833403</v>
      </c>
      <c r="BT23">
        <f t="shared" si="41"/>
        <v>0.84059835787520409</v>
      </c>
      <c r="BU23">
        <f t="shared" si="42"/>
        <v>0.19119671575040811</v>
      </c>
      <c r="BV23">
        <v>0.5</v>
      </c>
      <c r="BW23" t="s">
        <v>281</v>
      </c>
      <c r="BX23">
        <v>1598201057.9000001</v>
      </c>
      <c r="BY23">
        <v>386.64732258064498</v>
      </c>
      <c r="BZ23">
        <v>400.01474193548398</v>
      </c>
      <c r="CA23">
        <v>19.774164516129002</v>
      </c>
      <c r="CB23">
        <v>17.150629032258099</v>
      </c>
      <c r="CC23">
        <v>500.06135483870997</v>
      </c>
      <c r="CD23">
        <v>99.195006451612898</v>
      </c>
      <c r="CE23">
        <v>0.200011225806452</v>
      </c>
      <c r="CF23">
        <v>26.899393548387099</v>
      </c>
      <c r="CG23">
        <v>26.996177419354801</v>
      </c>
      <c r="CH23">
        <v>999.9</v>
      </c>
      <c r="CI23">
        <v>9987.2767741935495</v>
      </c>
      <c r="CJ23">
        <v>0</v>
      </c>
      <c r="CK23">
        <v>204.93287096774199</v>
      </c>
      <c r="CL23">
        <v>2000.00548387097</v>
      </c>
      <c r="CM23">
        <v>0.98000419354838697</v>
      </c>
      <c r="CN23">
        <v>1.99955322580645E-2</v>
      </c>
      <c r="CO23">
        <v>0</v>
      </c>
      <c r="CP23">
        <v>271.721580645161</v>
      </c>
      <c r="CQ23">
        <v>5.00054</v>
      </c>
      <c r="CR23">
        <v>7126.4035483871003</v>
      </c>
      <c r="CS23">
        <v>18703.7096774194</v>
      </c>
      <c r="CT23">
        <v>46.705290322580602</v>
      </c>
      <c r="CU23">
        <v>48.316193548387098</v>
      </c>
      <c r="CV23">
        <v>47.080290322580602</v>
      </c>
      <c r="CW23">
        <v>47.471548387096803</v>
      </c>
      <c r="CX23">
        <v>48.286032258064502</v>
      </c>
      <c r="CY23">
        <v>1955.11483870968</v>
      </c>
      <c r="CZ23">
        <v>39.890645161290301</v>
      </c>
      <c r="DA23">
        <v>0</v>
      </c>
      <c r="DB23">
        <v>117.700000047684</v>
      </c>
      <c r="DC23">
        <v>271.719346153846</v>
      </c>
      <c r="DD23">
        <v>1.44615387843537E-2</v>
      </c>
      <c r="DE23">
        <v>-4.9497436867048998</v>
      </c>
      <c r="DF23">
        <v>7126.2315384615404</v>
      </c>
      <c r="DG23">
        <v>15</v>
      </c>
      <c r="DH23">
        <v>1598201091.9000001</v>
      </c>
      <c r="DI23" t="s">
        <v>318</v>
      </c>
      <c r="DJ23">
        <v>22</v>
      </c>
      <c r="DK23">
        <v>-0.23400000000000001</v>
      </c>
      <c r="DL23">
        <v>0.11700000000000001</v>
      </c>
      <c r="DM23">
        <v>400</v>
      </c>
      <c r="DN23">
        <v>17</v>
      </c>
      <c r="DO23">
        <v>0.19</v>
      </c>
      <c r="DP23">
        <v>0.03</v>
      </c>
      <c r="DQ23">
        <v>386.65645454545501</v>
      </c>
      <c r="DR23">
        <v>-7.8787878790424794E-3</v>
      </c>
      <c r="DS23">
        <v>2.1758858744985201E-2</v>
      </c>
      <c r="DT23">
        <v>1</v>
      </c>
      <c r="DU23">
        <v>19.7689272727273</v>
      </c>
      <c r="DV23">
        <v>5.4745454545452099E-2</v>
      </c>
      <c r="DW23">
        <v>1.20803138813143E-2</v>
      </c>
      <c r="DX23">
        <v>1</v>
      </c>
      <c r="DY23">
        <v>2</v>
      </c>
      <c r="DZ23">
        <v>2</v>
      </c>
      <c r="EA23" t="s">
        <v>293</v>
      </c>
      <c r="EB23">
        <v>1.86676</v>
      </c>
      <c r="EC23">
        <v>1.8632599999999999</v>
      </c>
      <c r="ED23">
        <v>1.8689499999999999</v>
      </c>
      <c r="EE23">
        <v>1.8669100000000001</v>
      </c>
      <c r="EF23">
        <v>1.8716200000000001</v>
      </c>
      <c r="EG23">
        <v>1.8640300000000001</v>
      </c>
      <c r="EH23">
        <v>1.8656299999999999</v>
      </c>
      <c r="EI23">
        <v>1.86554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-0.23400000000000001</v>
      </c>
      <c r="EX23">
        <v>0.11700000000000001</v>
      </c>
      <c r="EY23">
        <v>2</v>
      </c>
      <c r="EZ23">
        <v>335.51799999999997</v>
      </c>
      <c r="FA23">
        <v>480.37700000000001</v>
      </c>
      <c r="FB23">
        <v>22.435600000000001</v>
      </c>
      <c r="FC23">
        <v>33.889000000000003</v>
      </c>
      <c r="FD23">
        <v>30.000599999999999</v>
      </c>
      <c r="FE23">
        <v>33.956299999999999</v>
      </c>
      <c r="FF23">
        <v>33.969000000000001</v>
      </c>
      <c r="FG23">
        <v>22.063500000000001</v>
      </c>
      <c r="FH23">
        <v>50.604199999999999</v>
      </c>
      <c r="FI23">
        <v>0</v>
      </c>
      <c r="FJ23">
        <v>22.430199999999999</v>
      </c>
      <c r="FK23">
        <v>400</v>
      </c>
      <c r="FL23">
        <v>17.055199999999999</v>
      </c>
      <c r="FM23">
        <v>100.77</v>
      </c>
      <c r="FN23">
        <v>101.16</v>
      </c>
    </row>
    <row r="24" spans="1:170" x14ac:dyDescent="0.25">
      <c r="A24">
        <v>8</v>
      </c>
      <c r="B24">
        <v>1598201206.4000001</v>
      </c>
      <c r="C24">
        <v>846.70000004768394</v>
      </c>
      <c r="D24" t="s">
        <v>319</v>
      </c>
      <c r="E24" t="s">
        <v>320</v>
      </c>
      <c r="G24">
        <v>1598201198.4000001</v>
      </c>
      <c r="H24">
        <f t="shared" si="0"/>
        <v>6.282979681880403E-3</v>
      </c>
      <c r="I24">
        <f t="shared" si="1"/>
        <v>37.516227723364004</v>
      </c>
      <c r="J24">
        <f t="shared" si="2"/>
        <v>483.78438709677403</v>
      </c>
      <c r="K24">
        <f t="shared" si="3"/>
        <v>314.29532843787905</v>
      </c>
      <c r="L24">
        <f t="shared" si="4"/>
        <v>31.23938330830546</v>
      </c>
      <c r="M24">
        <f t="shared" si="5"/>
        <v>48.085747828978249</v>
      </c>
      <c r="N24">
        <f t="shared" si="6"/>
        <v>0.39895597024668589</v>
      </c>
      <c r="O24">
        <f t="shared" si="7"/>
        <v>3.3789393725025891</v>
      </c>
      <c r="P24">
        <f t="shared" si="8"/>
        <v>0.3745122504798552</v>
      </c>
      <c r="Q24">
        <f t="shared" si="9"/>
        <v>0.23614142032923541</v>
      </c>
      <c r="R24">
        <f t="shared" si="10"/>
        <v>321.43740707485932</v>
      </c>
      <c r="S24">
        <f t="shared" si="11"/>
        <v>27.018743101383702</v>
      </c>
      <c r="T24">
        <f t="shared" si="12"/>
        <v>27.011900000000001</v>
      </c>
      <c r="U24">
        <f t="shared" si="13"/>
        <v>3.5816619896091084</v>
      </c>
      <c r="V24">
        <f t="shared" si="14"/>
        <v>55.460782804108511</v>
      </c>
      <c r="W24">
        <f t="shared" si="15"/>
        <v>1.9606586620740682</v>
      </c>
      <c r="X24">
        <f t="shared" si="16"/>
        <v>3.5352163509831014</v>
      </c>
      <c r="Y24">
        <f t="shared" si="17"/>
        <v>1.6210033275350402</v>
      </c>
      <c r="Z24">
        <f t="shared" si="18"/>
        <v>-277.0794039709258</v>
      </c>
      <c r="AA24">
        <f t="shared" si="19"/>
        <v>-40.453642103611692</v>
      </c>
      <c r="AB24">
        <f t="shared" si="20"/>
        <v>-2.5811999553264715</v>
      </c>
      <c r="AC24">
        <f t="shared" si="21"/>
        <v>1.3231610449953379</v>
      </c>
      <c r="AD24">
        <v>-4.1121725313350697E-2</v>
      </c>
      <c r="AE24">
        <v>4.6162739125230799E-2</v>
      </c>
      <c r="AF24">
        <v>3.4511007955055302</v>
      </c>
      <c r="AG24">
        <v>146</v>
      </c>
      <c r="AH24">
        <v>29</v>
      </c>
      <c r="AI24">
        <f t="shared" si="22"/>
        <v>1</v>
      </c>
      <c r="AJ24">
        <f t="shared" si="23"/>
        <v>0</v>
      </c>
      <c r="AK24">
        <f t="shared" si="24"/>
        <v>52474.091335919278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278.59165384615397</v>
      </c>
      <c r="AT24">
        <v>403.02300000000002</v>
      </c>
      <c r="AU24">
        <f t="shared" si="27"/>
        <v>0.30874502485924138</v>
      </c>
      <c r="AV24">
        <v>0.5</v>
      </c>
      <c r="AW24">
        <f t="shared" si="28"/>
        <v>1681.1869448381758</v>
      </c>
      <c r="AX24">
        <f t="shared" si="29"/>
        <v>37.516227723364004</v>
      </c>
      <c r="AY24">
        <f t="shared" si="30"/>
        <v>259.52905253854732</v>
      </c>
      <c r="AZ24">
        <f t="shared" si="31"/>
        <v>0.53580813005709349</v>
      </c>
      <c r="BA24">
        <f t="shared" si="32"/>
        <v>2.2910139673414737E-2</v>
      </c>
      <c r="BB24">
        <f t="shared" si="33"/>
        <v>-1</v>
      </c>
      <c r="BC24" t="s">
        <v>322</v>
      </c>
      <c r="BD24">
        <v>187.08</v>
      </c>
      <c r="BE24">
        <f t="shared" si="34"/>
        <v>215.94300000000001</v>
      </c>
      <c r="BF24">
        <f t="shared" si="35"/>
        <v>0.57622310588371028</v>
      </c>
      <c r="BG24">
        <f t="shared" si="36"/>
        <v>2.1542815907633099</v>
      </c>
      <c r="BH24">
        <f t="shared" si="37"/>
        <v>0.30874502485924138</v>
      </c>
      <c r="BI24" t="e">
        <f t="shared" si="38"/>
        <v>#DIV/0!</v>
      </c>
      <c r="BJ24">
        <v>6547</v>
      </c>
      <c r="BK24">
        <v>300</v>
      </c>
      <c r="BL24">
        <v>300</v>
      </c>
      <c r="BM24">
        <v>300</v>
      </c>
      <c r="BN24">
        <v>9876.51</v>
      </c>
      <c r="BO24">
        <v>368.08</v>
      </c>
      <c r="BP24">
        <v>-6.57006E-3</v>
      </c>
      <c r="BQ24">
        <v>0.48129300000000003</v>
      </c>
      <c r="BR24">
        <f t="shared" si="39"/>
        <v>1999.9883870967701</v>
      </c>
      <c r="BS24">
        <f t="shared" si="40"/>
        <v>1681.1869448381758</v>
      </c>
      <c r="BT24">
        <f t="shared" si="41"/>
        <v>0.84059835331275401</v>
      </c>
      <c r="BU24">
        <f t="shared" si="42"/>
        <v>0.19119670662550831</v>
      </c>
      <c r="BV24">
        <v>0.5</v>
      </c>
      <c r="BW24" t="s">
        <v>281</v>
      </c>
      <c r="BX24">
        <v>1598201198.4000001</v>
      </c>
      <c r="BY24">
        <v>483.78438709677403</v>
      </c>
      <c r="BZ24">
        <v>500.004677419355</v>
      </c>
      <c r="CA24">
        <v>19.725929032258101</v>
      </c>
      <c r="CB24">
        <v>17.2626225806452</v>
      </c>
      <c r="CC24">
        <v>500.06299999999999</v>
      </c>
      <c r="CD24">
        <v>99.195009677419307</v>
      </c>
      <c r="CE24">
        <v>0.19998758064516101</v>
      </c>
      <c r="CF24">
        <v>26.789829032258101</v>
      </c>
      <c r="CG24">
        <v>27.011900000000001</v>
      </c>
      <c r="CH24">
        <v>999.9</v>
      </c>
      <c r="CI24">
        <v>9997.1803225806398</v>
      </c>
      <c r="CJ24">
        <v>0</v>
      </c>
      <c r="CK24">
        <v>206.564032258065</v>
      </c>
      <c r="CL24">
        <v>1999.9883870967701</v>
      </c>
      <c r="CM24">
        <v>0.98000348387096803</v>
      </c>
      <c r="CN24">
        <v>1.99963709677419E-2</v>
      </c>
      <c r="CO24">
        <v>0</v>
      </c>
      <c r="CP24">
        <v>278.61145161290301</v>
      </c>
      <c r="CQ24">
        <v>5.00054</v>
      </c>
      <c r="CR24">
        <v>7267.2770967741899</v>
      </c>
      <c r="CS24">
        <v>18703.545161290302</v>
      </c>
      <c r="CT24">
        <v>46.592483870967698</v>
      </c>
      <c r="CU24">
        <v>48.1973548387097</v>
      </c>
      <c r="CV24">
        <v>46.943225806451601</v>
      </c>
      <c r="CW24">
        <v>47.392935483871</v>
      </c>
      <c r="CX24">
        <v>48.181161290322599</v>
      </c>
      <c r="CY24">
        <v>1955.09838709677</v>
      </c>
      <c r="CZ24">
        <v>39.89</v>
      </c>
      <c r="DA24">
        <v>0</v>
      </c>
      <c r="DB24">
        <v>140</v>
      </c>
      <c r="DC24">
        <v>278.59165384615397</v>
      </c>
      <c r="DD24">
        <v>-0.65008545066508305</v>
      </c>
      <c r="DE24">
        <v>-28.7094016869451</v>
      </c>
      <c r="DF24">
        <v>7266.6703846153796</v>
      </c>
      <c r="DG24">
        <v>15</v>
      </c>
      <c r="DH24">
        <v>1598201231.4000001</v>
      </c>
      <c r="DI24" t="s">
        <v>323</v>
      </c>
      <c r="DJ24">
        <v>23</v>
      </c>
      <c r="DK24">
        <v>-0.17</v>
      </c>
      <c r="DL24">
        <v>0.11799999999999999</v>
      </c>
      <c r="DM24">
        <v>500</v>
      </c>
      <c r="DN24">
        <v>17</v>
      </c>
      <c r="DO24">
        <v>0.25</v>
      </c>
      <c r="DP24">
        <v>0.04</v>
      </c>
      <c r="DQ24">
        <v>483.71376363636398</v>
      </c>
      <c r="DR24">
        <v>0.103766233766154</v>
      </c>
      <c r="DS24">
        <v>2.4975598008214701E-2</v>
      </c>
      <c r="DT24">
        <v>1</v>
      </c>
      <c r="DU24">
        <v>19.7455327272727</v>
      </c>
      <c r="DV24">
        <v>-0.19164588744589001</v>
      </c>
      <c r="DW24">
        <v>2.64304648914877E-2</v>
      </c>
      <c r="DX24">
        <v>1</v>
      </c>
      <c r="DY24">
        <v>2</v>
      </c>
      <c r="DZ24">
        <v>2</v>
      </c>
      <c r="EA24" t="s">
        <v>293</v>
      </c>
      <c r="EB24">
        <v>1.8667800000000001</v>
      </c>
      <c r="EC24">
        <v>1.86331</v>
      </c>
      <c r="ED24">
        <v>1.86896</v>
      </c>
      <c r="EE24">
        <v>1.86687</v>
      </c>
      <c r="EF24">
        <v>1.87158</v>
      </c>
      <c r="EG24">
        <v>1.86402</v>
      </c>
      <c r="EH24">
        <v>1.86561</v>
      </c>
      <c r="EI24">
        <v>1.8655299999999999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-0.17</v>
      </c>
      <c r="EX24">
        <v>0.11799999999999999</v>
      </c>
      <c r="EY24">
        <v>2</v>
      </c>
      <c r="EZ24">
        <v>336.02800000000002</v>
      </c>
      <c r="FA24">
        <v>480.03699999999998</v>
      </c>
      <c r="FB24">
        <v>21.462499999999999</v>
      </c>
      <c r="FC24">
        <v>33.8992</v>
      </c>
      <c r="FD24">
        <v>29.998899999999999</v>
      </c>
      <c r="FE24">
        <v>33.953200000000002</v>
      </c>
      <c r="FF24">
        <v>33.9634</v>
      </c>
      <c r="FG24">
        <v>26.3566</v>
      </c>
      <c r="FH24">
        <v>50.485599999999998</v>
      </c>
      <c r="FI24">
        <v>0</v>
      </c>
      <c r="FJ24">
        <v>22.127500000000001</v>
      </c>
      <c r="FK24">
        <v>500</v>
      </c>
      <c r="FL24">
        <v>17.077200000000001</v>
      </c>
      <c r="FM24">
        <v>100.767</v>
      </c>
      <c r="FN24">
        <v>101.161</v>
      </c>
    </row>
    <row r="25" spans="1:170" x14ac:dyDescent="0.25">
      <c r="A25">
        <v>9</v>
      </c>
      <c r="B25">
        <v>1598201339.9000001</v>
      </c>
      <c r="C25">
        <v>980.20000004768394</v>
      </c>
      <c r="D25" t="s">
        <v>324</v>
      </c>
      <c r="E25" t="s">
        <v>325</v>
      </c>
      <c r="G25">
        <v>1598201331.9000001</v>
      </c>
      <c r="H25">
        <f t="shared" si="0"/>
        <v>5.9419539664651031E-3</v>
      </c>
      <c r="I25">
        <f t="shared" si="1"/>
        <v>42.302408307416883</v>
      </c>
      <c r="J25">
        <f t="shared" si="2"/>
        <v>581.68016129032299</v>
      </c>
      <c r="K25">
        <f t="shared" si="3"/>
        <v>373.53430180201082</v>
      </c>
      <c r="L25">
        <f t="shared" si="4"/>
        <v>37.126957935601169</v>
      </c>
      <c r="M25">
        <f t="shared" si="5"/>
        <v>57.815345942837503</v>
      </c>
      <c r="N25">
        <f t="shared" si="6"/>
        <v>0.36473600549755419</v>
      </c>
      <c r="O25">
        <f t="shared" si="7"/>
        <v>3.3791336829996572</v>
      </c>
      <c r="P25">
        <f t="shared" si="8"/>
        <v>0.34419093738824563</v>
      </c>
      <c r="Q25">
        <f t="shared" si="9"/>
        <v>0.21686873139001731</v>
      </c>
      <c r="R25">
        <f t="shared" si="10"/>
        <v>321.43707848260203</v>
      </c>
      <c r="S25">
        <f t="shared" si="11"/>
        <v>26.820709563622923</v>
      </c>
      <c r="T25">
        <f t="shared" si="12"/>
        <v>27.017522580645199</v>
      </c>
      <c r="U25">
        <f t="shared" si="13"/>
        <v>3.5828448203822001</v>
      </c>
      <c r="V25">
        <f t="shared" si="14"/>
        <v>55.038769219056086</v>
      </c>
      <c r="W25">
        <f t="shared" si="15"/>
        <v>1.914408672092093</v>
      </c>
      <c r="X25">
        <f t="shared" si="16"/>
        <v>3.4782912104605477</v>
      </c>
      <c r="Y25">
        <f t="shared" si="17"/>
        <v>1.6684361482901071</v>
      </c>
      <c r="Z25">
        <f t="shared" si="18"/>
        <v>-262.04016992111104</v>
      </c>
      <c r="AA25">
        <f t="shared" si="19"/>
        <v>-91.702036489912516</v>
      </c>
      <c r="AB25">
        <f t="shared" si="20"/>
        <v>-5.8429414110618012</v>
      </c>
      <c r="AC25">
        <f t="shared" si="21"/>
        <v>-38.148069339483342</v>
      </c>
      <c r="AD25">
        <v>-4.1124729109062903E-2</v>
      </c>
      <c r="AE25">
        <v>4.6166111149064597E-2</v>
      </c>
      <c r="AF25">
        <v>3.4513003771377799</v>
      </c>
      <c r="AG25">
        <v>147</v>
      </c>
      <c r="AH25">
        <v>29</v>
      </c>
      <c r="AI25">
        <f t="shared" si="22"/>
        <v>1</v>
      </c>
      <c r="AJ25">
        <f t="shared" si="23"/>
        <v>0</v>
      </c>
      <c r="AK25">
        <f t="shared" si="24"/>
        <v>52526.041105887096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284.16961538461499</v>
      </c>
      <c r="AT25">
        <v>420.43099999999998</v>
      </c>
      <c r="AU25">
        <f t="shared" si="27"/>
        <v>0.324099280536842</v>
      </c>
      <c r="AV25">
        <v>0.5</v>
      </c>
      <c r="AW25">
        <f t="shared" si="28"/>
        <v>1681.1840911576651</v>
      </c>
      <c r="AX25">
        <f t="shared" si="29"/>
        <v>42.302408307416883</v>
      </c>
      <c r="AY25">
        <f t="shared" si="30"/>
        <v>272.43527719709192</v>
      </c>
      <c r="AZ25">
        <f t="shared" si="31"/>
        <v>0.55512319500702856</v>
      </c>
      <c r="BA25">
        <f t="shared" si="32"/>
        <v>2.5757089027412101E-2</v>
      </c>
      <c r="BB25">
        <f t="shared" si="33"/>
        <v>-1</v>
      </c>
      <c r="BC25" t="s">
        <v>327</v>
      </c>
      <c r="BD25">
        <v>187.04</v>
      </c>
      <c r="BE25">
        <f t="shared" si="34"/>
        <v>233.39099999999999</v>
      </c>
      <c r="BF25">
        <f t="shared" si="35"/>
        <v>0.58383307246374117</v>
      </c>
      <c r="BG25">
        <f t="shared" si="36"/>
        <v>2.2478133019674935</v>
      </c>
      <c r="BH25">
        <f t="shared" si="37"/>
        <v>0.32409928053684195</v>
      </c>
      <c r="BI25" t="e">
        <f t="shared" si="38"/>
        <v>#DIV/0!</v>
      </c>
      <c r="BJ25">
        <v>6549</v>
      </c>
      <c r="BK25">
        <v>300</v>
      </c>
      <c r="BL25">
        <v>300</v>
      </c>
      <c r="BM25">
        <v>300</v>
      </c>
      <c r="BN25">
        <v>9877.26</v>
      </c>
      <c r="BO25">
        <v>381.21199999999999</v>
      </c>
      <c r="BP25">
        <v>-6.5705499999999997E-3</v>
      </c>
      <c r="BQ25">
        <v>1.3770100000000001</v>
      </c>
      <c r="BR25">
        <f t="shared" si="39"/>
        <v>1999.9848387096799</v>
      </c>
      <c r="BS25">
        <f t="shared" si="40"/>
        <v>1681.1840911576651</v>
      </c>
      <c r="BT25">
        <f t="shared" si="41"/>
        <v>0.84059841785716038</v>
      </c>
      <c r="BU25">
        <f t="shared" si="42"/>
        <v>0.19119683571432095</v>
      </c>
      <c r="BV25">
        <v>0.5</v>
      </c>
      <c r="BW25" t="s">
        <v>281</v>
      </c>
      <c r="BX25">
        <v>1598201331.9000001</v>
      </c>
      <c r="BY25">
        <v>581.68016129032299</v>
      </c>
      <c r="BZ25">
        <v>599.98145161290302</v>
      </c>
      <c r="CA25">
        <v>19.260864516129001</v>
      </c>
      <c r="CB25">
        <v>16.930141935483899</v>
      </c>
      <c r="CC25">
        <v>500.06009677419399</v>
      </c>
      <c r="CD25">
        <v>99.193706451612897</v>
      </c>
      <c r="CE25">
        <v>0.19999783870967699</v>
      </c>
      <c r="CF25">
        <v>26.514151612903198</v>
      </c>
      <c r="CG25">
        <v>27.017522580645199</v>
      </c>
      <c r="CH25">
        <v>999.9</v>
      </c>
      <c r="CI25">
        <v>9998.0419354838705</v>
      </c>
      <c r="CJ25">
        <v>0</v>
      </c>
      <c r="CK25">
        <v>207.45064516129</v>
      </c>
      <c r="CL25">
        <v>1999.9848387096799</v>
      </c>
      <c r="CM25">
        <v>0.980002451612903</v>
      </c>
      <c r="CN25">
        <v>1.9997712903225801E-2</v>
      </c>
      <c r="CO25">
        <v>0</v>
      </c>
      <c r="CP25">
        <v>284.204322580645</v>
      </c>
      <c r="CQ25">
        <v>5.00054</v>
      </c>
      <c r="CR25">
        <v>7379.5483870967701</v>
      </c>
      <c r="CS25">
        <v>18703.5</v>
      </c>
      <c r="CT25">
        <v>46.503870967741904</v>
      </c>
      <c r="CU25">
        <v>48.102645161290297</v>
      </c>
      <c r="CV25">
        <v>46.850612903225802</v>
      </c>
      <c r="CW25">
        <v>47.294064516128998</v>
      </c>
      <c r="CX25">
        <v>48.090451612903202</v>
      </c>
      <c r="CY25">
        <v>1955.08870967742</v>
      </c>
      <c r="CZ25">
        <v>39.894193548387101</v>
      </c>
      <c r="DA25">
        <v>0</v>
      </c>
      <c r="DB25">
        <v>132.700000047684</v>
      </c>
      <c r="DC25">
        <v>284.16961538461499</v>
      </c>
      <c r="DD25">
        <v>-2.5561025678426699</v>
      </c>
      <c r="DE25">
        <v>-38.622906054822799</v>
      </c>
      <c r="DF25">
        <v>7379.2969230769204</v>
      </c>
      <c r="DG25">
        <v>15</v>
      </c>
      <c r="DH25">
        <v>1598201366.4000001</v>
      </c>
      <c r="DI25" t="s">
        <v>328</v>
      </c>
      <c r="DJ25">
        <v>24</v>
      </c>
      <c r="DK25">
        <v>-0.16200000000000001</v>
      </c>
      <c r="DL25">
        <v>0.114</v>
      </c>
      <c r="DM25">
        <v>600</v>
      </c>
      <c r="DN25">
        <v>17</v>
      </c>
      <c r="DO25">
        <v>0.1</v>
      </c>
      <c r="DP25">
        <v>0.03</v>
      </c>
      <c r="DQ25">
        <v>581.63676363636398</v>
      </c>
      <c r="DR25">
        <v>0.28838961038969302</v>
      </c>
      <c r="DS25">
        <v>5.3859063097000601E-2</v>
      </c>
      <c r="DT25">
        <v>1</v>
      </c>
      <c r="DU25">
        <v>19.270665454545501</v>
      </c>
      <c r="DV25">
        <v>-5.1524675324672697E-2</v>
      </c>
      <c r="DW25">
        <v>6.9737486510439099E-3</v>
      </c>
      <c r="DX25">
        <v>1</v>
      </c>
      <c r="DY25">
        <v>2</v>
      </c>
      <c r="DZ25">
        <v>2</v>
      </c>
      <c r="EA25" t="s">
        <v>293</v>
      </c>
      <c r="EB25">
        <v>1.86676</v>
      </c>
      <c r="EC25">
        <v>1.8632500000000001</v>
      </c>
      <c r="ED25">
        <v>1.8689</v>
      </c>
      <c r="EE25">
        <v>1.8668499999999999</v>
      </c>
      <c r="EF25">
        <v>1.8715599999999999</v>
      </c>
      <c r="EG25">
        <v>1.8640099999999999</v>
      </c>
      <c r="EH25">
        <v>1.86558</v>
      </c>
      <c r="EI25">
        <v>1.86551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-0.16200000000000001</v>
      </c>
      <c r="EX25">
        <v>0.114</v>
      </c>
      <c r="EY25">
        <v>2</v>
      </c>
      <c r="EZ25">
        <v>335.88200000000001</v>
      </c>
      <c r="FA25">
        <v>479.505</v>
      </c>
      <c r="FB25">
        <v>21.694099999999999</v>
      </c>
      <c r="FC25">
        <v>33.939399999999999</v>
      </c>
      <c r="FD25">
        <v>30.000499999999999</v>
      </c>
      <c r="FE25">
        <v>33.969900000000003</v>
      </c>
      <c r="FF25">
        <v>33.9786</v>
      </c>
      <c r="FG25">
        <v>30.505400000000002</v>
      </c>
      <c r="FH25">
        <v>51.5321</v>
      </c>
      <c r="FI25">
        <v>0</v>
      </c>
      <c r="FJ25">
        <v>21.6752</v>
      </c>
      <c r="FK25">
        <v>600</v>
      </c>
      <c r="FL25">
        <v>16.946000000000002</v>
      </c>
      <c r="FM25">
        <v>100.76</v>
      </c>
      <c r="FN25">
        <v>101.15900000000001</v>
      </c>
    </row>
    <row r="26" spans="1:170" x14ac:dyDescent="0.25">
      <c r="A26">
        <v>10</v>
      </c>
      <c r="B26">
        <v>1598201470.4000001</v>
      </c>
      <c r="C26">
        <v>1110.7000000476801</v>
      </c>
      <c r="D26" t="s">
        <v>329</v>
      </c>
      <c r="E26" t="s">
        <v>330</v>
      </c>
      <c r="G26">
        <v>1598201462.4000001</v>
      </c>
      <c r="H26">
        <f t="shared" si="0"/>
        <v>5.3314673346307236E-3</v>
      </c>
      <c r="I26">
        <f t="shared" si="1"/>
        <v>45.616593600314999</v>
      </c>
      <c r="J26">
        <f t="shared" si="2"/>
        <v>680.28512903225806</v>
      </c>
      <c r="K26">
        <f t="shared" si="3"/>
        <v>427.76591962028857</v>
      </c>
      <c r="L26">
        <f t="shared" si="4"/>
        <v>42.516544090206246</v>
      </c>
      <c r="M26">
        <f t="shared" si="5"/>
        <v>67.614953309244029</v>
      </c>
      <c r="N26">
        <f t="shared" si="6"/>
        <v>0.32163193320252137</v>
      </c>
      <c r="O26">
        <f t="shared" si="7"/>
        <v>3.3797775544918762</v>
      </c>
      <c r="P26">
        <f t="shared" si="8"/>
        <v>0.30554378360448492</v>
      </c>
      <c r="Q26">
        <f t="shared" si="9"/>
        <v>0.19234323875366111</v>
      </c>
      <c r="R26">
        <f t="shared" si="10"/>
        <v>321.44445573145771</v>
      </c>
      <c r="S26">
        <f t="shared" si="11"/>
        <v>26.783450235893337</v>
      </c>
      <c r="T26">
        <f t="shared" si="12"/>
        <v>27.019687096774199</v>
      </c>
      <c r="U26">
        <f t="shared" si="13"/>
        <v>3.583300263798296</v>
      </c>
      <c r="V26">
        <f t="shared" si="14"/>
        <v>55.102539500110346</v>
      </c>
      <c r="W26">
        <f t="shared" si="15"/>
        <v>1.8968083754595151</v>
      </c>
      <c r="X26">
        <f t="shared" si="16"/>
        <v>3.4423247869650662</v>
      </c>
      <c r="Y26">
        <f t="shared" si="17"/>
        <v>1.6864918883387809</v>
      </c>
      <c r="Z26">
        <f t="shared" si="18"/>
        <v>-235.11770945721491</v>
      </c>
      <c r="AA26">
        <f t="shared" si="19"/>
        <v>-124.22234829324417</v>
      </c>
      <c r="AB26">
        <f t="shared" si="20"/>
        <v>-7.9066315160692149</v>
      </c>
      <c r="AC26">
        <f t="shared" si="21"/>
        <v>-45.802233535070613</v>
      </c>
      <c r="AD26">
        <v>-4.1134683104696798E-2</v>
      </c>
      <c r="AE26">
        <v>4.6177285381181599E-2</v>
      </c>
      <c r="AF26">
        <v>3.4519617161483001</v>
      </c>
      <c r="AG26">
        <v>146</v>
      </c>
      <c r="AH26">
        <v>29</v>
      </c>
      <c r="AI26">
        <f t="shared" si="22"/>
        <v>1</v>
      </c>
      <c r="AJ26">
        <f t="shared" si="23"/>
        <v>0</v>
      </c>
      <c r="AK26">
        <f t="shared" si="24"/>
        <v>52569.128768370007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286.27050000000003</v>
      </c>
      <c r="AT26">
        <v>427.25</v>
      </c>
      <c r="AU26">
        <f t="shared" si="27"/>
        <v>0.32996957284961959</v>
      </c>
      <c r="AV26">
        <v>0.5</v>
      </c>
      <c r="AW26">
        <f t="shared" si="28"/>
        <v>1681.221386773585</v>
      </c>
      <c r="AX26">
        <f t="shared" si="29"/>
        <v>45.616593600314999</v>
      </c>
      <c r="AY26">
        <f t="shared" si="30"/>
        <v>277.37595142966245</v>
      </c>
      <c r="AZ26">
        <f t="shared" si="31"/>
        <v>0.5651726155646577</v>
      </c>
      <c r="BA26">
        <f t="shared" si="32"/>
        <v>2.7727813818605077E-2</v>
      </c>
      <c r="BB26">
        <f t="shared" si="33"/>
        <v>-1</v>
      </c>
      <c r="BC26" t="s">
        <v>332</v>
      </c>
      <c r="BD26">
        <v>185.78</v>
      </c>
      <c r="BE26">
        <f t="shared" si="34"/>
        <v>241.47</v>
      </c>
      <c r="BF26">
        <f t="shared" si="35"/>
        <v>0.5838385720793472</v>
      </c>
      <c r="BG26">
        <f t="shared" si="36"/>
        <v>2.2997631607277427</v>
      </c>
      <c r="BH26">
        <f t="shared" si="37"/>
        <v>0.32996957284961959</v>
      </c>
      <c r="BI26" t="e">
        <f t="shared" si="38"/>
        <v>#DIV/0!</v>
      </c>
      <c r="BJ26">
        <v>6551</v>
      </c>
      <c r="BK26">
        <v>300</v>
      </c>
      <c r="BL26">
        <v>300</v>
      </c>
      <c r="BM26">
        <v>300</v>
      </c>
      <c r="BN26">
        <v>9877.7199999999993</v>
      </c>
      <c r="BO26">
        <v>388.17399999999998</v>
      </c>
      <c r="BP26">
        <v>-6.5710500000000002E-3</v>
      </c>
      <c r="BQ26">
        <v>1.8695999999999999</v>
      </c>
      <c r="BR26">
        <f t="shared" si="39"/>
        <v>2000.0290322580599</v>
      </c>
      <c r="BS26">
        <f t="shared" si="40"/>
        <v>1681.221386773585</v>
      </c>
      <c r="BT26">
        <f t="shared" si="41"/>
        <v>0.84059849115063257</v>
      </c>
      <c r="BU26">
        <f t="shared" si="42"/>
        <v>0.19119698230126522</v>
      </c>
      <c r="BV26">
        <v>0.5</v>
      </c>
      <c r="BW26" t="s">
        <v>281</v>
      </c>
      <c r="BX26">
        <v>1598201462.4000001</v>
      </c>
      <c r="BY26">
        <v>680.28512903225806</v>
      </c>
      <c r="BZ26">
        <v>699.98</v>
      </c>
      <c r="CA26">
        <v>19.084099999999999</v>
      </c>
      <c r="CB26">
        <v>16.992480645161301</v>
      </c>
      <c r="CC26">
        <v>500.06432258064501</v>
      </c>
      <c r="CD26">
        <v>99.192090322580597</v>
      </c>
      <c r="CE26">
        <v>0.199988709677419</v>
      </c>
      <c r="CF26">
        <v>26.337935483871</v>
      </c>
      <c r="CG26">
        <v>27.019687096774199</v>
      </c>
      <c r="CH26">
        <v>999.9</v>
      </c>
      <c r="CI26">
        <v>10000.6248387097</v>
      </c>
      <c r="CJ26">
        <v>0</v>
      </c>
      <c r="CK26">
        <v>208.78896774193501</v>
      </c>
      <c r="CL26">
        <v>2000.0290322580599</v>
      </c>
      <c r="CM26">
        <v>0.98000196774193504</v>
      </c>
      <c r="CN26">
        <v>1.99982967741936E-2</v>
      </c>
      <c r="CO26">
        <v>0</v>
      </c>
      <c r="CP26">
        <v>286.296258064516</v>
      </c>
      <c r="CQ26">
        <v>5.00054</v>
      </c>
      <c r="CR26">
        <v>7426.5961290322603</v>
      </c>
      <c r="CS26">
        <v>18703.916129032299</v>
      </c>
      <c r="CT26">
        <v>46.408935483870899</v>
      </c>
      <c r="CU26">
        <v>48.048000000000002</v>
      </c>
      <c r="CV26">
        <v>46.77</v>
      </c>
      <c r="CW26">
        <v>47.165064516129</v>
      </c>
      <c r="CX26">
        <v>47.961322580645103</v>
      </c>
      <c r="CY26">
        <v>1955.1290322580601</v>
      </c>
      <c r="CZ26">
        <v>39.9</v>
      </c>
      <c r="DA26">
        <v>0</v>
      </c>
      <c r="DB26">
        <v>129.89999985694899</v>
      </c>
      <c r="DC26">
        <v>286.27050000000003</v>
      </c>
      <c r="DD26">
        <v>-2.3635213572347702</v>
      </c>
      <c r="DE26">
        <v>-19.088205299441402</v>
      </c>
      <c r="DF26">
        <v>7426.2057692307699</v>
      </c>
      <c r="DG26">
        <v>15</v>
      </c>
      <c r="DH26">
        <v>1598201497.4000001</v>
      </c>
      <c r="DI26" t="s">
        <v>333</v>
      </c>
      <c r="DJ26">
        <v>25</v>
      </c>
      <c r="DK26">
        <v>-7.1999999999999995E-2</v>
      </c>
      <c r="DL26">
        <v>0.11600000000000001</v>
      </c>
      <c r="DM26">
        <v>700</v>
      </c>
      <c r="DN26">
        <v>17</v>
      </c>
      <c r="DO26">
        <v>0.08</v>
      </c>
      <c r="DP26">
        <v>0.04</v>
      </c>
      <c r="DQ26">
        <v>680.17003636363597</v>
      </c>
      <c r="DR26">
        <v>0.28754112554122202</v>
      </c>
      <c r="DS26">
        <v>4.6482827185315198E-2</v>
      </c>
      <c r="DT26">
        <v>1</v>
      </c>
      <c r="DU26">
        <v>19.0956654545455</v>
      </c>
      <c r="DV26">
        <v>-0.12636883116882899</v>
      </c>
      <c r="DW26">
        <v>1.6733811370252899E-2</v>
      </c>
      <c r="DX26">
        <v>1</v>
      </c>
      <c r="DY26">
        <v>2</v>
      </c>
      <c r="DZ26">
        <v>2</v>
      </c>
      <c r="EA26" t="s">
        <v>293</v>
      </c>
      <c r="EB26">
        <v>1.86676</v>
      </c>
      <c r="EC26">
        <v>1.8632500000000001</v>
      </c>
      <c r="ED26">
        <v>1.8689</v>
      </c>
      <c r="EE26">
        <v>1.86686</v>
      </c>
      <c r="EF26">
        <v>1.8714999999999999</v>
      </c>
      <c r="EG26">
        <v>1.8640099999999999</v>
      </c>
      <c r="EH26">
        <v>1.86555</v>
      </c>
      <c r="EI26">
        <v>1.8655200000000001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-7.1999999999999995E-2</v>
      </c>
      <c r="EX26">
        <v>0.11600000000000001</v>
      </c>
      <c r="EY26">
        <v>2</v>
      </c>
      <c r="EZ26">
        <v>336.339</v>
      </c>
      <c r="FA26">
        <v>479.47399999999999</v>
      </c>
      <c r="FB26">
        <v>21.072399999999998</v>
      </c>
      <c r="FC26">
        <v>33.957799999999999</v>
      </c>
      <c r="FD26">
        <v>30</v>
      </c>
      <c r="FE26">
        <v>33.986899999999999</v>
      </c>
      <c r="FF26">
        <v>33.9938</v>
      </c>
      <c r="FG26">
        <v>34.546900000000001</v>
      </c>
      <c r="FH26">
        <v>51.344000000000001</v>
      </c>
      <c r="FI26">
        <v>0</v>
      </c>
      <c r="FJ26">
        <v>21.078700000000001</v>
      </c>
      <c r="FK26">
        <v>700</v>
      </c>
      <c r="FL26">
        <v>17.0122</v>
      </c>
      <c r="FM26">
        <v>100.754</v>
      </c>
      <c r="FN26">
        <v>101.157</v>
      </c>
    </row>
    <row r="27" spans="1:170" x14ac:dyDescent="0.25">
      <c r="A27">
        <v>11</v>
      </c>
      <c r="B27">
        <v>1598201618.9000001</v>
      </c>
      <c r="C27">
        <v>1259.2000000476801</v>
      </c>
      <c r="D27" t="s">
        <v>334</v>
      </c>
      <c r="E27" t="s">
        <v>335</v>
      </c>
      <c r="G27">
        <v>1598201610.9000001</v>
      </c>
      <c r="H27">
        <f t="shared" si="0"/>
        <v>4.6832351058077185E-3</v>
      </c>
      <c r="I27">
        <f t="shared" si="1"/>
        <v>47.552241621394479</v>
      </c>
      <c r="J27">
        <f t="shared" si="2"/>
        <v>779.54054838709601</v>
      </c>
      <c r="K27">
        <f t="shared" si="3"/>
        <v>480.32731746474838</v>
      </c>
      <c r="L27">
        <f t="shared" si="4"/>
        <v>47.739178125974412</v>
      </c>
      <c r="M27">
        <f t="shared" si="5"/>
        <v>77.47763606762291</v>
      </c>
      <c r="N27">
        <f t="shared" si="6"/>
        <v>0.28069833497051117</v>
      </c>
      <c r="O27">
        <f t="shared" si="7"/>
        <v>3.3773442239552751</v>
      </c>
      <c r="P27">
        <f t="shared" si="8"/>
        <v>0.26835175698270869</v>
      </c>
      <c r="Q27">
        <f t="shared" si="9"/>
        <v>0.16878388089569185</v>
      </c>
      <c r="R27">
        <f t="shared" si="10"/>
        <v>321.44012650379932</v>
      </c>
      <c r="S27">
        <f t="shared" si="11"/>
        <v>26.904735524091031</v>
      </c>
      <c r="T27">
        <f t="shared" si="12"/>
        <v>27.023351612903198</v>
      </c>
      <c r="U27">
        <f t="shared" si="13"/>
        <v>3.5840714426717817</v>
      </c>
      <c r="V27">
        <f t="shared" si="14"/>
        <v>55.205957182306165</v>
      </c>
      <c r="W27">
        <f t="shared" si="15"/>
        <v>1.8973827781110955</v>
      </c>
      <c r="X27">
        <f t="shared" si="16"/>
        <v>3.4369167295576171</v>
      </c>
      <c r="Y27">
        <f t="shared" si="17"/>
        <v>1.6866886645606862</v>
      </c>
      <c r="Z27">
        <f t="shared" si="18"/>
        <v>-206.53066816612039</v>
      </c>
      <c r="AA27">
        <f t="shared" si="19"/>
        <v>-129.64991748844378</v>
      </c>
      <c r="AB27">
        <f t="shared" si="20"/>
        <v>-8.2570880458688904</v>
      </c>
      <c r="AC27">
        <f t="shared" si="21"/>
        <v>-22.997547196633747</v>
      </c>
      <c r="AD27">
        <v>-4.1097069247392801E-2</v>
      </c>
      <c r="AE27">
        <v>4.6135060531202997E-2</v>
      </c>
      <c r="AF27">
        <v>3.4494623798824402</v>
      </c>
      <c r="AG27">
        <v>146</v>
      </c>
      <c r="AH27">
        <v>29</v>
      </c>
      <c r="AI27">
        <f t="shared" si="22"/>
        <v>1</v>
      </c>
      <c r="AJ27">
        <f t="shared" si="23"/>
        <v>0</v>
      </c>
      <c r="AK27">
        <f t="shared" si="24"/>
        <v>52527.622214938543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284.42307692307702</v>
      </c>
      <c r="AT27">
        <v>428.21199999999999</v>
      </c>
      <c r="AU27">
        <f t="shared" si="27"/>
        <v>0.3357891023066214</v>
      </c>
      <c r="AV27">
        <v>0.5</v>
      </c>
      <c r="AW27">
        <f t="shared" si="28"/>
        <v>1681.1959448380155</v>
      </c>
      <c r="AX27">
        <f t="shared" si="29"/>
        <v>47.552241621394479</v>
      </c>
      <c r="AY27">
        <f t="shared" si="30"/>
        <v>282.26363855934471</v>
      </c>
      <c r="AZ27">
        <f t="shared" si="31"/>
        <v>0.56488841975470094</v>
      </c>
      <c r="BA27">
        <f t="shared" si="32"/>
        <v>2.8879585256240028E-2</v>
      </c>
      <c r="BB27">
        <f t="shared" si="33"/>
        <v>-1</v>
      </c>
      <c r="BC27" t="s">
        <v>337</v>
      </c>
      <c r="BD27">
        <v>186.32</v>
      </c>
      <c r="BE27">
        <f t="shared" si="34"/>
        <v>241.892</v>
      </c>
      <c r="BF27">
        <f t="shared" si="35"/>
        <v>0.5944343883920219</v>
      </c>
      <c r="BG27">
        <f t="shared" si="36"/>
        <v>2.2982610562473167</v>
      </c>
      <c r="BH27">
        <f t="shared" si="37"/>
        <v>0.3357891023066214</v>
      </c>
      <c r="BI27" t="e">
        <f t="shared" si="38"/>
        <v>#DIV/0!</v>
      </c>
      <c r="BJ27">
        <v>6553</v>
      </c>
      <c r="BK27">
        <v>300</v>
      </c>
      <c r="BL27">
        <v>300</v>
      </c>
      <c r="BM27">
        <v>300</v>
      </c>
      <c r="BN27">
        <v>9874.4500000000007</v>
      </c>
      <c r="BO27">
        <v>387.52300000000002</v>
      </c>
      <c r="BP27">
        <v>-6.5687000000000002E-3</v>
      </c>
      <c r="BQ27">
        <v>1.6854199999999999</v>
      </c>
      <c r="BR27">
        <f t="shared" si="39"/>
        <v>1999.9983870967701</v>
      </c>
      <c r="BS27">
        <f t="shared" si="40"/>
        <v>1681.1959448380155</v>
      </c>
      <c r="BT27">
        <f t="shared" si="41"/>
        <v>0.84059865032114689</v>
      </c>
      <c r="BU27">
        <f t="shared" si="42"/>
        <v>0.19119730064229384</v>
      </c>
      <c r="BV27">
        <v>0.5</v>
      </c>
      <c r="BW27" t="s">
        <v>281</v>
      </c>
      <c r="BX27">
        <v>1598201610.9000001</v>
      </c>
      <c r="BY27">
        <v>779.54054838709601</v>
      </c>
      <c r="BZ27">
        <v>800.01909677419303</v>
      </c>
      <c r="CA27">
        <v>19.090499999999999</v>
      </c>
      <c r="CB27">
        <v>17.2532064516129</v>
      </c>
      <c r="CC27">
        <v>500.06487096774202</v>
      </c>
      <c r="CD27">
        <v>99.188829032257999</v>
      </c>
      <c r="CE27">
        <v>0.200017677419355</v>
      </c>
      <c r="CF27">
        <v>26.311299999999999</v>
      </c>
      <c r="CG27">
        <v>27.023351612903198</v>
      </c>
      <c r="CH27">
        <v>999.9</v>
      </c>
      <c r="CI27">
        <v>9991.8087096774198</v>
      </c>
      <c r="CJ27">
        <v>0</v>
      </c>
      <c r="CK27">
        <v>209.055483870968</v>
      </c>
      <c r="CL27">
        <v>1999.9983870967701</v>
      </c>
      <c r="CM27">
        <v>0.97999590322580599</v>
      </c>
      <c r="CN27">
        <v>2.0004483870967701E-2</v>
      </c>
      <c r="CO27">
        <v>0</v>
      </c>
      <c r="CP27">
        <v>284.43735483871001</v>
      </c>
      <c r="CQ27">
        <v>5.00054</v>
      </c>
      <c r="CR27">
        <v>7422.3303225806403</v>
      </c>
      <c r="CS27">
        <v>18703.5903225806</v>
      </c>
      <c r="CT27">
        <v>47.118870967741898</v>
      </c>
      <c r="CU27">
        <v>48.717419354838697</v>
      </c>
      <c r="CV27">
        <v>47.501870967741901</v>
      </c>
      <c r="CW27">
        <v>48.098483870967698</v>
      </c>
      <c r="CX27">
        <v>48.709419354838701</v>
      </c>
      <c r="CY27">
        <v>1955.08838709677</v>
      </c>
      <c r="CZ27">
        <v>39.909999999999997</v>
      </c>
      <c r="DA27">
        <v>0</v>
      </c>
      <c r="DB27">
        <v>147.59999990463299</v>
      </c>
      <c r="DC27">
        <v>284.42307692307702</v>
      </c>
      <c r="DD27">
        <v>-1.6057435843929999</v>
      </c>
      <c r="DE27">
        <v>-12.5767521670605</v>
      </c>
      <c r="DF27">
        <v>7422.4180769230798</v>
      </c>
      <c r="DG27">
        <v>15</v>
      </c>
      <c r="DH27">
        <v>1598201645.4000001</v>
      </c>
      <c r="DI27" t="s">
        <v>338</v>
      </c>
      <c r="DJ27">
        <v>26</v>
      </c>
      <c r="DK27">
        <v>-0.17599999999999999</v>
      </c>
      <c r="DL27">
        <v>0.12</v>
      </c>
      <c r="DM27">
        <v>800</v>
      </c>
      <c r="DN27">
        <v>17</v>
      </c>
      <c r="DO27">
        <v>0.12</v>
      </c>
      <c r="DP27">
        <v>0.06</v>
      </c>
      <c r="DQ27">
        <v>779.58238181818194</v>
      </c>
      <c r="DR27">
        <v>0.56034632034596499</v>
      </c>
      <c r="DS27">
        <v>8.24432567194677E-2</v>
      </c>
      <c r="DT27">
        <v>0</v>
      </c>
      <c r="DU27">
        <v>19.092919999999999</v>
      </c>
      <c r="DV27">
        <v>-6.3803463203462599E-2</v>
      </c>
      <c r="DW27">
        <v>8.4597098596282099E-3</v>
      </c>
      <c r="DX27">
        <v>1</v>
      </c>
      <c r="DY27">
        <v>1</v>
      </c>
      <c r="DZ27">
        <v>2</v>
      </c>
      <c r="EA27" t="s">
        <v>339</v>
      </c>
      <c r="EB27">
        <v>1.86676</v>
      </c>
      <c r="EC27">
        <v>1.8632500000000001</v>
      </c>
      <c r="ED27">
        <v>1.8689</v>
      </c>
      <c r="EE27">
        <v>1.8668199999999999</v>
      </c>
      <c r="EF27">
        <v>1.8714900000000001</v>
      </c>
      <c r="EG27">
        <v>1.8640099999999999</v>
      </c>
      <c r="EH27">
        <v>1.86555</v>
      </c>
      <c r="EI27">
        <v>1.8655299999999999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-0.17599999999999999</v>
      </c>
      <c r="EX27">
        <v>0.12</v>
      </c>
      <c r="EY27">
        <v>2</v>
      </c>
      <c r="EZ27">
        <v>336.46</v>
      </c>
      <c r="FA27">
        <v>479.35399999999998</v>
      </c>
      <c r="FB27">
        <v>20.959499999999998</v>
      </c>
      <c r="FC27">
        <v>33.957799999999999</v>
      </c>
      <c r="FD27">
        <v>30.0001</v>
      </c>
      <c r="FE27">
        <v>33.99</v>
      </c>
      <c r="FF27">
        <v>33.9998</v>
      </c>
      <c r="FG27">
        <v>38.490600000000001</v>
      </c>
      <c r="FH27">
        <v>50.209000000000003</v>
      </c>
      <c r="FI27">
        <v>0</v>
      </c>
      <c r="FJ27">
        <v>20.952500000000001</v>
      </c>
      <c r="FK27">
        <v>800</v>
      </c>
      <c r="FL27">
        <v>17.2361</v>
      </c>
      <c r="FM27">
        <v>100.75700000000001</v>
      </c>
      <c r="FN27">
        <v>101.158</v>
      </c>
    </row>
    <row r="28" spans="1:170" x14ac:dyDescent="0.25">
      <c r="A28">
        <v>12</v>
      </c>
      <c r="B28">
        <v>1598201766.9000001</v>
      </c>
      <c r="C28">
        <v>1407.2000000476801</v>
      </c>
      <c r="D28" t="s">
        <v>340</v>
      </c>
      <c r="E28" t="s">
        <v>341</v>
      </c>
      <c r="G28">
        <v>1598201758.90323</v>
      </c>
      <c r="H28">
        <f t="shared" si="0"/>
        <v>4.2646713890760425E-3</v>
      </c>
      <c r="I28">
        <f t="shared" si="1"/>
        <v>50.133002531866111</v>
      </c>
      <c r="J28">
        <f t="shared" si="2"/>
        <v>978.30012903225804</v>
      </c>
      <c r="K28">
        <f t="shared" si="3"/>
        <v>624.72468100678282</v>
      </c>
      <c r="L28">
        <f t="shared" si="4"/>
        <v>62.090371311010507</v>
      </c>
      <c r="M28">
        <f t="shared" si="5"/>
        <v>97.23166078108396</v>
      </c>
      <c r="N28">
        <f t="shared" si="6"/>
        <v>0.25085631166834876</v>
      </c>
      <c r="O28">
        <f t="shared" si="7"/>
        <v>3.3822059922289407</v>
      </c>
      <c r="P28">
        <f t="shared" si="8"/>
        <v>0.24095921382851615</v>
      </c>
      <c r="Q28">
        <f t="shared" si="9"/>
        <v>0.15145618807130526</v>
      </c>
      <c r="R28">
        <f t="shared" si="10"/>
        <v>321.43971923658125</v>
      </c>
      <c r="S28">
        <f t="shared" si="11"/>
        <v>26.864723731040417</v>
      </c>
      <c r="T28">
        <f t="shared" si="12"/>
        <v>27.033887096774201</v>
      </c>
      <c r="U28">
        <f t="shared" si="13"/>
        <v>3.5862893889978471</v>
      </c>
      <c r="V28">
        <f t="shared" si="14"/>
        <v>55.006592561081426</v>
      </c>
      <c r="W28">
        <f t="shared" si="15"/>
        <v>1.8755756714388159</v>
      </c>
      <c r="X28">
        <f t="shared" si="16"/>
        <v>3.4097288781451147</v>
      </c>
      <c r="Y28">
        <f t="shared" si="17"/>
        <v>1.7107137175590312</v>
      </c>
      <c r="Z28">
        <f t="shared" si="18"/>
        <v>-188.07200825825348</v>
      </c>
      <c r="AA28">
        <f t="shared" si="19"/>
        <v>-156.27547943656177</v>
      </c>
      <c r="AB28">
        <f t="shared" si="20"/>
        <v>-9.9323412028687859</v>
      </c>
      <c r="AC28">
        <f t="shared" si="21"/>
        <v>-32.840109661102758</v>
      </c>
      <c r="AD28">
        <v>-4.1172233425786998E-2</v>
      </c>
      <c r="AE28">
        <v>4.6219438906194198E-2</v>
      </c>
      <c r="AF28">
        <v>3.4544560481197002</v>
      </c>
      <c r="AG28">
        <v>146</v>
      </c>
      <c r="AH28">
        <v>29</v>
      </c>
      <c r="AI28">
        <f t="shared" si="22"/>
        <v>1</v>
      </c>
      <c r="AJ28">
        <f t="shared" si="23"/>
        <v>0</v>
      </c>
      <c r="AK28">
        <f t="shared" si="24"/>
        <v>52643.399885531595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281.92784615384602</v>
      </c>
      <c r="AT28">
        <v>419.83</v>
      </c>
      <c r="AU28">
        <f t="shared" si="27"/>
        <v>0.32847141425375503</v>
      </c>
      <c r="AV28">
        <v>0.5</v>
      </c>
      <c r="AW28">
        <f t="shared" si="28"/>
        <v>1681.1964577413262</v>
      </c>
      <c r="AX28">
        <f t="shared" si="29"/>
        <v>50.133002531866111</v>
      </c>
      <c r="AY28">
        <f t="shared" si="30"/>
        <v>276.11248905634835</v>
      </c>
      <c r="AZ28">
        <f t="shared" si="31"/>
        <v>0.56006002429554824</v>
      </c>
      <c r="BA28">
        <f t="shared" si="32"/>
        <v>3.0414650409484496E-2</v>
      </c>
      <c r="BB28">
        <f t="shared" si="33"/>
        <v>-1</v>
      </c>
      <c r="BC28" t="s">
        <v>343</v>
      </c>
      <c r="BD28">
        <v>184.7</v>
      </c>
      <c r="BE28">
        <f t="shared" si="34"/>
        <v>235.13</v>
      </c>
      <c r="BF28">
        <f t="shared" si="35"/>
        <v>0.58649323287608546</v>
      </c>
      <c r="BG28">
        <f t="shared" si="36"/>
        <v>2.2730373578776395</v>
      </c>
      <c r="BH28">
        <f t="shared" si="37"/>
        <v>0.32847141425375503</v>
      </c>
      <c r="BI28" t="e">
        <f t="shared" si="38"/>
        <v>#DIV/0!</v>
      </c>
      <c r="BJ28">
        <v>6555</v>
      </c>
      <c r="BK28">
        <v>300</v>
      </c>
      <c r="BL28">
        <v>300</v>
      </c>
      <c r="BM28">
        <v>300</v>
      </c>
      <c r="BN28">
        <v>9871.3799999999992</v>
      </c>
      <c r="BO28">
        <v>382.29</v>
      </c>
      <c r="BP28">
        <v>-6.5661000000000001E-3</v>
      </c>
      <c r="BQ28">
        <v>1.41754</v>
      </c>
      <c r="BR28">
        <f t="shared" si="39"/>
        <v>1999.9993548387099</v>
      </c>
      <c r="BS28">
        <f t="shared" si="40"/>
        <v>1681.1964577413262</v>
      </c>
      <c r="BT28">
        <f t="shared" si="41"/>
        <v>0.84059850003146941</v>
      </c>
      <c r="BU28">
        <f t="shared" si="42"/>
        <v>0.19119700006293905</v>
      </c>
      <c r="BV28">
        <v>0.5</v>
      </c>
      <c r="BW28" t="s">
        <v>281</v>
      </c>
      <c r="BX28">
        <v>1598201758.90323</v>
      </c>
      <c r="BY28">
        <v>978.30012903225804</v>
      </c>
      <c r="BZ28">
        <v>1000.01967741935</v>
      </c>
      <c r="CA28">
        <v>18.871177419354801</v>
      </c>
      <c r="CB28">
        <v>17.1976935483871</v>
      </c>
      <c r="CC28">
        <v>500.05764516129</v>
      </c>
      <c r="CD28">
        <v>99.188400000000001</v>
      </c>
      <c r="CE28">
        <v>0.19997570967741901</v>
      </c>
      <c r="CF28">
        <v>26.176838709677401</v>
      </c>
      <c r="CG28">
        <v>27.033887096774201</v>
      </c>
      <c r="CH28">
        <v>999.9</v>
      </c>
      <c r="CI28">
        <v>10010.126451612899</v>
      </c>
      <c r="CJ28">
        <v>0</v>
      </c>
      <c r="CK28">
        <v>210.43490322580601</v>
      </c>
      <c r="CL28">
        <v>1999.9993548387099</v>
      </c>
      <c r="CM28">
        <v>0.98000100000000001</v>
      </c>
      <c r="CN28">
        <v>1.9999200000000002E-2</v>
      </c>
      <c r="CO28">
        <v>0</v>
      </c>
      <c r="CP28">
        <v>281.98335483871</v>
      </c>
      <c r="CQ28">
        <v>5.00054</v>
      </c>
      <c r="CR28">
        <v>7410.52870967742</v>
      </c>
      <c r="CS28">
        <v>18703.629032258101</v>
      </c>
      <c r="CT28">
        <v>48.021838709677397</v>
      </c>
      <c r="CU28">
        <v>49.556064516128998</v>
      </c>
      <c r="CV28">
        <v>48.423064516129003</v>
      </c>
      <c r="CW28">
        <v>48.868645161290303</v>
      </c>
      <c r="CX28">
        <v>49.543999999999997</v>
      </c>
      <c r="CY28">
        <v>1955.09935483871</v>
      </c>
      <c r="CZ28">
        <v>39.9</v>
      </c>
      <c r="DA28">
        <v>0</v>
      </c>
      <c r="DB28">
        <v>147.700000047684</v>
      </c>
      <c r="DC28">
        <v>281.92784615384602</v>
      </c>
      <c r="DD28">
        <v>-1.39145300298789</v>
      </c>
      <c r="DE28">
        <v>-25.258803350165401</v>
      </c>
      <c r="DF28">
        <v>7410.2292307692296</v>
      </c>
      <c r="DG28">
        <v>15</v>
      </c>
      <c r="DH28">
        <v>1598201792.4000001</v>
      </c>
      <c r="DI28" t="s">
        <v>344</v>
      </c>
      <c r="DJ28">
        <v>27</v>
      </c>
      <c r="DK28">
        <v>0.253</v>
      </c>
      <c r="DL28">
        <v>0.121</v>
      </c>
      <c r="DM28">
        <v>1000</v>
      </c>
      <c r="DN28">
        <v>17</v>
      </c>
      <c r="DO28">
        <v>0.15</v>
      </c>
      <c r="DP28">
        <v>0.06</v>
      </c>
      <c r="DQ28">
        <v>977.813945454546</v>
      </c>
      <c r="DR28">
        <v>0.47835845976909802</v>
      </c>
      <c r="DS28">
        <v>6.6929927585584997E-2</v>
      </c>
      <c r="DT28">
        <v>0</v>
      </c>
      <c r="DU28">
        <v>18.871007272727301</v>
      </c>
      <c r="DV28">
        <v>-1.2731294784232999E-3</v>
      </c>
      <c r="DW28">
        <v>4.0324526507035498E-3</v>
      </c>
      <c r="DX28">
        <v>1</v>
      </c>
      <c r="DY28">
        <v>1</v>
      </c>
      <c r="DZ28">
        <v>2</v>
      </c>
      <c r="EA28" t="s">
        <v>339</v>
      </c>
      <c r="EB28">
        <v>1.86676</v>
      </c>
      <c r="EC28">
        <v>1.8632500000000001</v>
      </c>
      <c r="ED28">
        <v>1.8689199999999999</v>
      </c>
      <c r="EE28">
        <v>1.86686</v>
      </c>
      <c r="EF28">
        <v>1.8714999999999999</v>
      </c>
      <c r="EG28">
        <v>1.8640099999999999</v>
      </c>
      <c r="EH28">
        <v>1.86554</v>
      </c>
      <c r="EI28">
        <v>1.8655200000000001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0.253</v>
      </c>
      <c r="EX28">
        <v>0.121</v>
      </c>
      <c r="EY28">
        <v>2</v>
      </c>
      <c r="EZ28">
        <v>336.21300000000002</v>
      </c>
      <c r="FA28">
        <v>479.28</v>
      </c>
      <c r="FB28">
        <v>20.9513</v>
      </c>
      <c r="FC28">
        <v>33.976300000000002</v>
      </c>
      <c r="FD28">
        <v>30.0001</v>
      </c>
      <c r="FE28">
        <v>34.005299999999998</v>
      </c>
      <c r="FF28">
        <v>34.012</v>
      </c>
      <c r="FG28">
        <v>46.080599999999997</v>
      </c>
      <c r="FH28">
        <v>50.584800000000001</v>
      </c>
      <c r="FI28">
        <v>0</v>
      </c>
      <c r="FJ28">
        <v>20.952300000000001</v>
      </c>
      <c r="FK28">
        <v>1000</v>
      </c>
      <c r="FL28">
        <v>17.287199999999999</v>
      </c>
      <c r="FM28">
        <v>100.751</v>
      </c>
      <c r="FN28">
        <v>101.16</v>
      </c>
    </row>
    <row r="29" spans="1:170" x14ac:dyDescent="0.25">
      <c r="A29">
        <v>13</v>
      </c>
      <c r="B29">
        <v>1598201913.9000001</v>
      </c>
      <c r="C29">
        <v>1554.2000000476801</v>
      </c>
      <c r="D29" t="s">
        <v>345</v>
      </c>
      <c r="E29" t="s">
        <v>346</v>
      </c>
      <c r="G29">
        <v>1598201905.90323</v>
      </c>
      <c r="H29">
        <f t="shared" si="0"/>
        <v>3.9365143002867515E-3</v>
      </c>
      <c r="I29">
        <f t="shared" si="1"/>
        <v>50.812642762171855</v>
      </c>
      <c r="J29">
        <f t="shared" si="2"/>
        <v>1177.86038709677</v>
      </c>
      <c r="K29">
        <f t="shared" si="3"/>
        <v>786.34124395518177</v>
      </c>
      <c r="L29">
        <f t="shared" si="4"/>
        <v>78.150729943111301</v>
      </c>
      <c r="M29">
        <f t="shared" si="5"/>
        <v>117.06196225914195</v>
      </c>
      <c r="N29">
        <f t="shared" si="6"/>
        <v>0.23068748958791654</v>
      </c>
      <c r="O29">
        <f t="shared" si="7"/>
        <v>3.3806183844464028</v>
      </c>
      <c r="P29">
        <f t="shared" si="8"/>
        <v>0.22228542289967573</v>
      </c>
      <c r="Q29">
        <f t="shared" si="9"/>
        <v>0.13965778589538658</v>
      </c>
      <c r="R29">
        <f t="shared" si="10"/>
        <v>321.43651660920165</v>
      </c>
      <c r="S29">
        <f t="shared" si="11"/>
        <v>26.795635857768143</v>
      </c>
      <c r="T29">
        <f t="shared" si="12"/>
        <v>27.002119354838701</v>
      </c>
      <c r="U29">
        <f t="shared" si="13"/>
        <v>3.5796052327259691</v>
      </c>
      <c r="V29">
        <f t="shared" si="14"/>
        <v>55.247284155533528</v>
      </c>
      <c r="W29">
        <f t="shared" si="15"/>
        <v>1.867798830432893</v>
      </c>
      <c r="X29">
        <f t="shared" si="16"/>
        <v>3.3807975522826048</v>
      </c>
      <c r="Y29">
        <f t="shared" si="17"/>
        <v>1.7118064022930761</v>
      </c>
      <c r="Z29">
        <f t="shared" si="18"/>
        <v>-173.60028064264574</v>
      </c>
      <c r="AA29">
        <f t="shared" si="19"/>
        <v>-176.67827993075784</v>
      </c>
      <c r="AB29">
        <f t="shared" si="20"/>
        <v>-11.224464256135644</v>
      </c>
      <c r="AC29">
        <f t="shared" si="21"/>
        <v>-40.066508220337596</v>
      </c>
      <c r="AD29">
        <v>-4.1147683278325797E-2</v>
      </c>
      <c r="AE29">
        <v>4.6191879214957897E-2</v>
      </c>
      <c r="AF29">
        <v>3.4528253591297902</v>
      </c>
      <c r="AG29">
        <v>145</v>
      </c>
      <c r="AH29">
        <v>29</v>
      </c>
      <c r="AI29">
        <f t="shared" si="22"/>
        <v>1</v>
      </c>
      <c r="AJ29">
        <f t="shared" si="23"/>
        <v>0</v>
      </c>
      <c r="AK29">
        <f t="shared" si="24"/>
        <v>52638.586208349116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278.48834615384601</v>
      </c>
      <c r="AT29">
        <v>408.85500000000002</v>
      </c>
      <c r="AU29">
        <f t="shared" si="27"/>
        <v>0.31885791746744929</v>
      </c>
      <c r="AV29">
        <v>0.5</v>
      </c>
      <c r="AW29">
        <f t="shared" si="28"/>
        <v>1681.182086773656</v>
      </c>
      <c r="AX29">
        <f t="shared" si="29"/>
        <v>50.812642762171855</v>
      </c>
      <c r="AY29">
        <f t="shared" si="30"/>
        <v>268.02910953611428</v>
      </c>
      <c r="AZ29">
        <f t="shared" si="31"/>
        <v>0.55250638979589339</v>
      </c>
      <c r="BA29">
        <f t="shared" si="32"/>
        <v>3.0819173705095272E-2</v>
      </c>
      <c r="BB29">
        <f t="shared" si="33"/>
        <v>-1</v>
      </c>
      <c r="BC29" t="s">
        <v>348</v>
      </c>
      <c r="BD29">
        <v>182.96</v>
      </c>
      <c r="BE29">
        <f t="shared" si="34"/>
        <v>225.89500000000001</v>
      </c>
      <c r="BF29">
        <f t="shared" si="35"/>
        <v>0.57711172821954448</v>
      </c>
      <c r="BG29">
        <f t="shared" si="36"/>
        <v>2.2346687800612157</v>
      </c>
      <c r="BH29">
        <f t="shared" si="37"/>
        <v>0.31885791746744935</v>
      </c>
      <c r="BI29" t="e">
        <f t="shared" si="38"/>
        <v>#DIV/0!</v>
      </c>
      <c r="BJ29">
        <v>6557</v>
      </c>
      <c r="BK29">
        <v>300</v>
      </c>
      <c r="BL29">
        <v>300</v>
      </c>
      <c r="BM29">
        <v>300</v>
      </c>
      <c r="BN29">
        <v>9868.9599999999991</v>
      </c>
      <c r="BO29">
        <v>372.54199999999997</v>
      </c>
      <c r="BP29">
        <v>-6.56406E-3</v>
      </c>
      <c r="BQ29">
        <v>1.5773900000000001</v>
      </c>
      <c r="BR29">
        <f t="shared" si="39"/>
        <v>1999.9825806451599</v>
      </c>
      <c r="BS29">
        <f t="shared" si="40"/>
        <v>1681.182086773656</v>
      </c>
      <c r="BT29">
        <f t="shared" si="41"/>
        <v>0.84059836472742455</v>
      </c>
      <c r="BU29">
        <f t="shared" si="42"/>
        <v>0.19119672945484928</v>
      </c>
      <c r="BV29">
        <v>0.5</v>
      </c>
      <c r="BW29" t="s">
        <v>281</v>
      </c>
      <c r="BX29">
        <v>1598201905.90323</v>
      </c>
      <c r="BY29">
        <v>1177.86038709677</v>
      </c>
      <c r="BZ29">
        <v>1200.03774193548</v>
      </c>
      <c r="CA29">
        <v>18.793519354838701</v>
      </c>
      <c r="CB29">
        <v>17.248670967741901</v>
      </c>
      <c r="CC29">
        <v>500.05338709677397</v>
      </c>
      <c r="CD29">
        <v>99.1852709677419</v>
      </c>
      <c r="CE29">
        <v>0.19999025806451601</v>
      </c>
      <c r="CF29">
        <v>26.0327225806451</v>
      </c>
      <c r="CG29">
        <v>27.002119354838701</v>
      </c>
      <c r="CH29">
        <v>999.9</v>
      </c>
      <c r="CI29">
        <v>10004.4732258065</v>
      </c>
      <c r="CJ29">
        <v>0</v>
      </c>
      <c r="CK29">
        <v>210.45483870967701</v>
      </c>
      <c r="CL29">
        <v>1999.9825806451599</v>
      </c>
      <c r="CM29">
        <v>0.98000416129032197</v>
      </c>
      <c r="CN29">
        <v>1.99956322580645E-2</v>
      </c>
      <c r="CO29">
        <v>0</v>
      </c>
      <c r="CP29">
        <v>278.51945161290303</v>
      </c>
      <c r="CQ29">
        <v>5.00054</v>
      </c>
      <c r="CR29">
        <v>7374.3280645161303</v>
      </c>
      <c r="CS29">
        <v>18703.487096774199</v>
      </c>
      <c r="CT29">
        <v>48.715451612903202</v>
      </c>
      <c r="CU29">
        <v>50.149000000000001</v>
      </c>
      <c r="CV29">
        <v>49.110709677419401</v>
      </c>
      <c r="CW29">
        <v>49.368774193548397</v>
      </c>
      <c r="CX29">
        <v>50.132935483871002</v>
      </c>
      <c r="CY29">
        <v>1955.09193548387</v>
      </c>
      <c r="CZ29">
        <v>39.890645161290301</v>
      </c>
      <c r="DA29">
        <v>0</v>
      </c>
      <c r="DB29">
        <v>146.299999952316</v>
      </c>
      <c r="DC29">
        <v>278.48834615384601</v>
      </c>
      <c r="DD29">
        <v>-2.8169230750834799</v>
      </c>
      <c r="DE29">
        <v>-36.728888805825697</v>
      </c>
      <c r="DF29">
        <v>7373.9723076923101</v>
      </c>
      <c r="DG29">
        <v>15</v>
      </c>
      <c r="DH29">
        <v>1598201952.4000001</v>
      </c>
      <c r="DI29" t="s">
        <v>349</v>
      </c>
      <c r="DJ29">
        <v>28</v>
      </c>
      <c r="DK29">
        <v>0.14499999999999999</v>
      </c>
      <c r="DL29">
        <v>0.121</v>
      </c>
      <c r="DM29">
        <v>1200</v>
      </c>
      <c r="DN29">
        <v>17</v>
      </c>
      <c r="DO29">
        <v>0.24</v>
      </c>
      <c r="DP29">
        <v>0.05</v>
      </c>
      <c r="DQ29">
        <v>1177.9278181818199</v>
      </c>
      <c r="DR29">
        <v>0.35952730673815803</v>
      </c>
      <c r="DS29">
        <v>6.1899945927165703E-2</v>
      </c>
      <c r="DT29">
        <v>0</v>
      </c>
      <c r="DU29">
        <v>18.804314545454499</v>
      </c>
      <c r="DV29">
        <v>-9.6047341105206005E-2</v>
      </c>
      <c r="DW29">
        <v>1.34195572096278E-2</v>
      </c>
      <c r="DX29">
        <v>1</v>
      </c>
      <c r="DY29">
        <v>1</v>
      </c>
      <c r="DZ29">
        <v>2</v>
      </c>
      <c r="EA29" t="s">
        <v>339</v>
      </c>
      <c r="EB29">
        <v>1.86676</v>
      </c>
      <c r="EC29">
        <v>1.8632500000000001</v>
      </c>
      <c r="ED29">
        <v>1.8689100000000001</v>
      </c>
      <c r="EE29">
        <v>1.8668899999999999</v>
      </c>
      <c r="EF29">
        <v>1.8714900000000001</v>
      </c>
      <c r="EG29">
        <v>1.8640099999999999</v>
      </c>
      <c r="EH29">
        <v>1.86557</v>
      </c>
      <c r="EI29">
        <v>1.86551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0.14499999999999999</v>
      </c>
      <c r="EX29">
        <v>0.121</v>
      </c>
      <c r="EY29">
        <v>2</v>
      </c>
      <c r="EZ29">
        <v>337.142</v>
      </c>
      <c r="FA29">
        <v>479.59399999999999</v>
      </c>
      <c r="FB29">
        <v>20.9602</v>
      </c>
      <c r="FC29">
        <v>33.951599999999999</v>
      </c>
      <c r="FD29">
        <v>30.000299999999999</v>
      </c>
      <c r="FE29">
        <v>33.993099999999998</v>
      </c>
      <c r="FF29">
        <v>33.9998</v>
      </c>
      <c r="FG29">
        <v>53.351599999999998</v>
      </c>
      <c r="FH29">
        <v>50.716000000000001</v>
      </c>
      <c r="FI29">
        <v>0</v>
      </c>
      <c r="FJ29">
        <v>20.955100000000002</v>
      </c>
      <c r="FK29">
        <v>1200</v>
      </c>
      <c r="FL29">
        <v>17.2424</v>
      </c>
      <c r="FM29">
        <v>100.75700000000001</v>
      </c>
      <c r="FN29">
        <v>101.17</v>
      </c>
    </row>
    <row r="30" spans="1:170" x14ac:dyDescent="0.25">
      <c r="A30">
        <v>14</v>
      </c>
      <c r="B30">
        <v>1598202052</v>
      </c>
      <c r="C30">
        <v>1692.2999999523199</v>
      </c>
      <c r="D30" t="s">
        <v>350</v>
      </c>
      <c r="E30" t="s">
        <v>351</v>
      </c>
      <c r="G30">
        <v>1598202043.9612899</v>
      </c>
      <c r="H30">
        <f t="shared" si="0"/>
        <v>3.780529370681449E-3</v>
      </c>
      <c r="I30">
        <f t="shared" si="1"/>
        <v>50.983750766215479</v>
      </c>
      <c r="J30">
        <f t="shared" si="2"/>
        <v>1577.29</v>
      </c>
      <c r="K30">
        <f t="shared" si="3"/>
        <v>1159.5762873162582</v>
      </c>
      <c r="L30">
        <f t="shared" si="4"/>
        <v>115.24641907430252</v>
      </c>
      <c r="M30">
        <f t="shared" si="5"/>
        <v>156.76159156584188</v>
      </c>
      <c r="N30">
        <f t="shared" si="6"/>
        <v>0.22179807818046496</v>
      </c>
      <c r="O30">
        <f t="shared" si="7"/>
        <v>3.3815290738871266</v>
      </c>
      <c r="P30">
        <f t="shared" si="8"/>
        <v>0.21402134297513115</v>
      </c>
      <c r="Q30">
        <f t="shared" si="9"/>
        <v>0.13443933189750595</v>
      </c>
      <c r="R30">
        <f t="shared" si="10"/>
        <v>321.44315613310175</v>
      </c>
      <c r="S30">
        <f t="shared" si="11"/>
        <v>26.638471363084431</v>
      </c>
      <c r="T30">
        <f t="shared" si="12"/>
        <v>26.966100000000001</v>
      </c>
      <c r="U30">
        <f t="shared" si="13"/>
        <v>3.5720396649071029</v>
      </c>
      <c r="V30">
        <f t="shared" si="14"/>
        <v>55.780997014010261</v>
      </c>
      <c r="W30">
        <f t="shared" si="15"/>
        <v>1.8644633630674248</v>
      </c>
      <c r="X30">
        <f t="shared" si="16"/>
        <v>3.3424704879318239</v>
      </c>
      <c r="Y30">
        <f t="shared" si="17"/>
        <v>1.7075763018396781</v>
      </c>
      <c r="Z30">
        <f t="shared" si="18"/>
        <v>-166.72134524705191</v>
      </c>
      <c r="AA30">
        <f t="shared" si="19"/>
        <v>-205.26895596881943</v>
      </c>
      <c r="AB30">
        <f t="shared" si="20"/>
        <v>-13.022424441777799</v>
      </c>
      <c r="AC30">
        <f t="shared" si="21"/>
        <v>-63.569569524547376</v>
      </c>
      <c r="AD30">
        <v>-4.1161765192623802E-2</v>
      </c>
      <c r="AE30">
        <v>4.6207687397400797E-2</v>
      </c>
      <c r="AF30">
        <v>3.4537607598628202</v>
      </c>
      <c r="AG30">
        <v>145</v>
      </c>
      <c r="AH30">
        <v>29</v>
      </c>
      <c r="AI30">
        <f t="shared" si="22"/>
        <v>1</v>
      </c>
      <c r="AJ30">
        <f t="shared" si="23"/>
        <v>0</v>
      </c>
      <c r="AK30">
        <f t="shared" si="24"/>
        <v>52689.82550581151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277.22961538461499</v>
      </c>
      <c r="AT30">
        <v>395.02199999999999</v>
      </c>
      <c r="AU30">
        <f t="shared" si="27"/>
        <v>0.2981919604867197</v>
      </c>
      <c r="AV30">
        <v>0.5</v>
      </c>
      <c r="AW30">
        <f t="shared" si="28"/>
        <v>1681.2126581274622</v>
      </c>
      <c r="AX30">
        <f t="shared" si="29"/>
        <v>50.983750766215479</v>
      </c>
      <c r="AY30">
        <f t="shared" si="30"/>
        <v>250.6620492610586</v>
      </c>
      <c r="AZ30">
        <f t="shared" si="31"/>
        <v>0.54073444010713334</v>
      </c>
      <c r="BA30">
        <f t="shared" si="32"/>
        <v>3.0920389823923332E-2</v>
      </c>
      <c r="BB30">
        <f t="shared" si="33"/>
        <v>-1</v>
      </c>
      <c r="BC30" t="s">
        <v>353</v>
      </c>
      <c r="BD30">
        <v>181.42</v>
      </c>
      <c r="BE30">
        <f t="shared" si="34"/>
        <v>213.602</v>
      </c>
      <c r="BF30">
        <f t="shared" si="35"/>
        <v>0.55145731133315701</v>
      </c>
      <c r="BG30">
        <f t="shared" si="36"/>
        <v>2.1773894829676994</v>
      </c>
      <c r="BH30">
        <f t="shared" si="37"/>
        <v>0.29819196048671975</v>
      </c>
      <c r="BI30" t="e">
        <f t="shared" si="38"/>
        <v>#DIV/0!</v>
      </c>
      <c r="BJ30">
        <v>6559</v>
      </c>
      <c r="BK30">
        <v>300</v>
      </c>
      <c r="BL30">
        <v>300</v>
      </c>
      <c r="BM30">
        <v>300</v>
      </c>
      <c r="BN30">
        <v>9867.19</v>
      </c>
      <c r="BO30">
        <v>363.20100000000002</v>
      </c>
      <c r="BP30">
        <v>-6.5624699999999999E-3</v>
      </c>
      <c r="BQ30">
        <v>1.60486</v>
      </c>
      <c r="BR30">
        <f t="shared" si="39"/>
        <v>2000.0183870967701</v>
      </c>
      <c r="BS30">
        <f t="shared" si="40"/>
        <v>1681.2126581274622</v>
      </c>
      <c r="BT30">
        <f t="shared" si="41"/>
        <v>0.84059860097982064</v>
      </c>
      <c r="BU30">
        <f t="shared" si="42"/>
        <v>0.19119720195964129</v>
      </c>
      <c r="BV30">
        <v>0.5</v>
      </c>
      <c r="BW30" t="s">
        <v>281</v>
      </c>
      <c r="BX30">
        <v>1598202043.9612899</v>
      </c>
      <c r="BY30">
        <v>1577.29</v>
      </c>
      <c r="BZ30">
        <v>1600.0658064516099</v>
      </c>
      <c r="CA30">
        <v>18.759693548387101</v>
      </c>
      <c r="CB30">
        <v>17.276038709677401</v>
      </c>
      <c r="CC30">
        <v>500.06345161290301</v>
      </c>
      <c r="CD30">
        <v>99.186645161290301</v>
      </c>
      <c r="CE30">
        <v>0.200019032258065</v>
      </c>
      <c r="CF30">
        <v>25.840135483870998</v>
      </c>
      <c r="CG30">
        <v>26.966100000000001</v>
      </c>
      <c r="CH30">
        <v>999.9</v>
      </c>
      <c r="CI30">
        <v>10007.758387096799</v>
      </c>
      <c r="CJ30">
        <v>0</v>
      </c>
      <c r="CK30">
        <v>213.515774193548</v>
      </c>
      <c r="CL30">
        <v>2000.0183870967701</v>
      </c>
      <c r="CM30">
        <v>0.979995709677419</v>
      </c>
      <c r="CN30">
        <v>2.00044483870968E-2</v>
      </c>
      <c r="CO30">
        <v>0</v>
      </c>
      <c r="CP30">
        <v>277.235677419355</v>
      </c>
      <c r="CQ30">
        <v>5.00054</v>
      </c>
      <c r="CR30">
        <v>7371.6729032258099</v>
      </c>
      <c r="CS30">
        <v>18703.7903225806</v>
      </c>
      <c r="CT30">
        <v>49.227645161290297</v>
      </c>
      <c r="CU30">
        <v>50.658999999999999</v>
      </c>
      <c r="CV30">
        <v>49.670999999999999</v>
      </c>
      <c r="CW30">
        <v>49.814225806451603</v>
      </c>
      <c r="CX30">
        <v>50.592483870967698</v>
      </c>
      <c r="CY30">
        <v>1955.11064516129</v>
      </c>
      <c r="CZ30">
        <v>39.907096774193597</v>
      </c>
      <c r="DA30">
        <v>0</v>
      </c>
      <c r="DB30">
        <v>137.5</v>
      </c>
      <c r="DC30">
        <v>277.22961538461499</v>
      </c>
      <c r="DD30">
        <v>-3.0897777820492802</v>
      </c>
      <c r="DE30">
        <v>-48.688888817776402</v>
      </c>
      <c r="DF30">
        <v>7370.9203846153796</v>
      </c>
      <c r="DG30">
        <v>15</v>
      </c>
      <c r="DH30">
        <v>1598202092.4000001</v>
      </c>
      <c r="DI30" t="s">
        <v>354</v>
      </c>
      <c r="DJ30">
        <v>29</v>
      </c>
      <c r="DK30">
        <v>0.14499999999999999</v>
      </c>
      <c r="DL30">
        <v>0.11700000000000001</v>
      </c>
      <c r="DM30">
        <v>1200</v>
      </c>
      <c r="DN30">
        <v>17</v>
      </c>
      <c r="DO30">
        <v>0.24</v>
      </c>
      <c r="DP30">
        <v>7.0000000000000007E-2</v>
      </c>
      <c r="DQ30">
        <v>1577.27545454545</v>
      </c>
      <c r="DR30">
        <v>0.18658261662464301</v>
      </c>
      <c r="DS30">
        <v>9.4692193818963294E-2</v>
      </c>
      <c r="DT30">
        <v>1</v>
      </c>
      <c r="DU30">
        <v>18.764038181818201</v>
      </c>
      <c r="DV30">
        <v>-5.0402177264221304E-3</v>
      </c>
      <c r="DW30">
        <v>1.39599621112938E-2</v>
      </c>
      <c r="DX30">
        <v>1</v>
      </c>
      <c r="DY30">
        <v>2</v>
      </c>
      <c r="DZ30">
        <v>2</v>
      </c>
      <c r="EA30" t="s">
        <v>293</v>
      </c>
      <c r="EB30">
        <v>1.86676</v>
      </c>
      <c r="EC30">
        <v>1.8632500000000001</v>
      </c>
      <c r="ED30">
        <v>1.8689</v>
      </c>
      <c r="EE30">
        <v>1.8668800000000001</v>
      </c>
      <c r="EF30">
        <v>1.87151</v>
      </c>
      <c r="EG30">
        <v>1.8640099999999999</v>
      </c>
      <c r="EH30">
        <v>1.86555</v>
      </c>
      <c r="EI30">
        <v>1.86548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0.14499999999999999</v>
      </c>
      <c r="EX30">
        <v>0.11700000000000001</v>
      </c>
      <c r="EY30">
        <v>2</v>
      </c>
      <c r="EZ30">
        <v>337.15199999999999</v>
      </c>
      <c r="FA30">
        <v>479.721</v>
      </c>
      <c r="FB30">
        <v>20.616099999999999</v>
      </c>
      <c r="FC30">
        <v>33.997199999999999</v>
      </c>
      <c r="FD30">
        <v>30.000699999999998</v>
      </c>
      <c r="FE30">
        <v>34.015500000000003</v>
      </c>
      <c r="FF30">
        <v>34.0212</v>
      </c>
      <c r="FG30">
        <v>67.072699999999998</v>
      </c>
      <c r="FH30">
        <v>51.935499999999998</v>
      </c>
      <c r="FI30">
        <v>0</v>
      </c>
      <c r="FJ30">
        <v>20.563300000000002</v>
      </c>
      <c r="FK30">
        <v>1600</v>
      </c>
      <c r="FL30">
        <v>17.006799999999998</v>
      </c>
      <c r="FM30">
        <v>100.756</v>
      </c>
      <c r="FN30">
        <v>101.16800000000001</v>
      </c>
    </row>
    <row r="31" spans="1:170" x14ac:dyDescent="0.25">
      <c r="A31">
        <v>15</v>
      </c>
      <c r="B31">
        <v>1598202185</v>
      </c>
      <c r="C31">
        <v>1825.2999999523199</v>
      </c>
      <c r="D31" t="s">
        <v>355</v>
      </c>
      <c r="E31" t="s">
        <v>356</v>
      </c>
      <c r="G31">
        <v>1598202176.94839</v>
      </c>
      <c r="H31">
        <f t="shared" si="0"/>
        <v>3.0752673251916245E-3</v>
      </c>
      <c r="I31">
        <f t="shared" si="1"/>
        <v>51.067388783467287</v>
      </c>
      <c r="J31">
        <f t="shared" si="2"/>
        <v>1777.35667741935</v>
      </c>
      <c r="K31">
        <f t="shared" si="3"/>
        <v>1257.8119676521044</v>
      </c>
      <c r="L31">
        <f t="shared" si="4"/>
        <v>125.01000108656581</v>
      </c>
      <c r="M31">
        <f t="shared" si="5"/>
        <v>176.64592633043091</v>
      </c>
      <c r="N31">
        <f t="shared" si="6"/>
        <v>0.17588156878127639</v>
      </c>
      <c r="O31">
        <f t="shared" si="7"/>
        <v>3.3795838323043821</v>
      </c>
      <c r="P31">
        <f t="shared" si="8"/>
        <v>0.17095015794447152</v>
      </c>
      <c r="Q31">
        <f t="shared" si="9"/>
        <v>0.10727539943338713</v>
      </c>
      <c r="R31">
        <f t="shared" si="10"/>
        <v>321.43899386372317</v>
      </c>
      <c r="S31">
        <f t="shared" si="11"/>
        <v>26.811497783774151</v>
      </c>
      <c r="T31">
        <f t="shared" si="12"/>
        <v>27.012645161290301</v>
      </c>
      <c r="U31">
        <f t="shared" si="13"/>
        <v>3.5818187307170573</v>
      </c>
      <c r="V31">
        <f t="shared" si="14"/>
        <v>55.090936078044486</v>
      </c>
      <c r="W31">
        <f t="shared" si="15"/>
        <v>1.8427137792007533</v>
      </c>
      <c r="X31">
        <f t="shared" si="16"/>
        <v>3.3448583567182011</v>
      </c>
      <c r="Y31">
        <f t="shared" si="17"/>
        <v>1.739104951516304</v>
      </c>
      <c r="Z31">
        <f t="shared" si="18"/>
        <v>-135.61928904095063</v>
      </c>
      <c r="AA31">
        <f t="shared" si="19"/>
        <v>-211.43501500705543</v>
      </c>
      <c r="AB31">
        <f t="shared" si="20"/>
        <v>-13.425268390314399</v>
      </c>
      <c r="AC31">
        <f t="shared" si="21"/>
        <v>-39.040578574597276</v>
      </c>
      <c r="AD31">
        <v>-4.11316881478642E-2</v>
      </c>
      <c r="AE31">
        <v>4.6173923279764398E-2</v>
      </c>
      <c r="AF31">
        <v>3.4517627383363099</v>
      </c>
      <c r="AG31">
        <v>145</v>
      </c>
      <c r="AH31">
        <v>29</v>
      </c>
      <c r="AI31">
        <f t="shared" si="22"/>
        <v>1</v>
      </c>
      <c r="AJ31">
        <f t="shared" si="23"/>
        <v>0</v>
      </c>
      <c r="AK31">
        <f t="shared" si="24"/>
        <v>52650.783124954418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357</v>
      </c>
      <c r="AS31">
        <v>275.19776923076898</v>
      </c>
      <c r="AT31">
        <v>387.99099999999999</v>
      </c>
      <c r="AU31">
        <f t="shared" si="27"/>
        <v>0.29071094630862826</v>
      </c>
      <c r="AV31">
        <v>0.5</v>
      </c>
      <c r="AW31">
        <f t="shared" si="28"/>
        <v>1681.1899835476947</v>
      </c>
      <c r="AX31">
        <f t="shared" si="29"/>
        <v>51.067388783467287</v>
      </c>
      <c r="AY31">
        <f t="shared" si="30"/>
        <v>244.37016552086877</v>
      </c>
      <c r="AZ31">
        <f t="shared" si="31"/>
        <v>0.53524695160454749</v>
      </c>
      <c r="BA31">
        <f t="shared" si="32"/>
        <v>3.0970556149515719E-2</v>
      </c>
      <c r="BB31">
        <f t="shared" si="33"/>
        <v>-1</v>
      </c>
      <c r="BC31" t="s">
        <v>358</v>
      </c>
      <c r="BD31">
        <v>180.32</v>
      </c>
      <c r="BE31">
        <f t="shared" si="34"/>
        <v>207.67099999999999</v>
      </c>
      <c r="BF31">
        <f t="shared" si="35"/>
        <v>0.54313424006833411</v>
      </c>
      <c r="BG31">
        <f t="shared" si="36"/>
        <v>2.1516803460514642</v>
      </c>
      <c r="BH31">
        <f t="shared" si="37"/>
        <v>0.29071094630862832</v>
      </c>
      <c r="BI31" t="e">
        <f t="shared" si="38"/>
        <v>#DIV/0!</v>
      </c>
      <c r="BJ31">
        <v>6561</v>
      </c>
      <c r="BK31">
        <v>300</v>
      </c>
      <c r="BL31">
        <v>300</v>
      </c>
      <c r="BM31">
        <v>300</v>
      </c>
      <c r="BN31">
        <v>9865.5300000000007</v>
      </c>
      <c r="BO31">
        <v>357.37900000000002</v>
      </c>
      <c r="BP31">
        <v>-6.56114E-3</v>
      </c>
      <c r="BQ31">
        <v>1.1867099999999999</v>
      </c>
      <c r="BR31">
        <f t="shared" si="39"/>
        <v>1999.99129032258</v>
      </c>
      <c r="BS31">
        <f t="shared" si="40"/>
        <v>1681.1899835476947</v>
      </c>
      <c r="BT31">
        <f t="shared" si="41"/>
        <v>0.84059865244539866</v>
      </c>
      <c r="BU31">
        <f t="shared" si="42"/>
        <v>0.19119730489079734</v>
      </c>
      <c r="BV31">
        <v>0.5</v>
      </c>
      <c r="BW31" t="s">
        <v>281</v>
      </c>
      <c r="BX31">
        <v>1598202176.94839</v>
      </c>
      <c r="BY31">
        <v>1777.35667741935</v>
      </c>
      <c r="BZ31">
        <v>1799.96677419355</v>
      </c>
      <c r="CA31">
        <v>18.540816129032301</v>
      </c>
      <c r="CB31">
        <v>17.333687096774199</v>
      </c>
      <c r="CC31">
        <v>500.07070967741902</v>
      </c>
      <c r="CD31">
        <v>99.1868870967742</v>
      </c>
      <c r="CE31">
        <v>0.19998812903225799</v>
      </c>
      <c r="CF31">
        <v>25.852190322580601</v>
      </c>
      <c r="CG31">
        <v>27.012645161290301</v>
      </c>
      <c r="CH31">
        <v>999.9</v>
      </c>
      <c r="CI31">
        <v>10000.4212903226</v>
      </c>
      <c r="CJ31">
        <v>0</v>
      </c>
      <c r="CK31">
        <v>212.00532258064499</v>
      </c>
      <c r="CL31">
        <v>1999.99129032258</v>
      </c>
      <c r="CM31">
        <v>0.97999629032258095</v>
      </c>
      <c r="CN31">
        <v>2.0003687096774199E-2</v>
      </c>
      <c r="CO31">
        <v>0</v>
      </c>
      <c r="CP31">
        <v>275.20467741935499</v>
      </c>
      <c r="CQ31">
        <v>5.00054</v>
      </c>
      <c r="CR31">
        <v>7345.7664516128998</v>
      </c>
      <c r="CS31">
        <v>18703.5193548387</v>
      </c>
      <c r="CT31">
        <v>49.677064516129001</v>
      </c>
      <c r="CU31">
        <v>51.098580645161299</v>
      </c>
      <c r="CV31">
        <v>50.096548387096803</v>
      </c>
      <c r="CW31">
        <v>50.189193548387102</v>
      </c>
      <c r="CX31">
        <v>50.995935483871001</v>
      </c>
      <c r="CY31">
        <v>1955.0812903225799</v>
      </c>
      <c r="CZ31">
        <v>39.909999999999997</v>
      </c>
      <c r="DA31">
        <v>0</v>
      </c>
      <c r="DB31">
        <v>132.200000047684</v>
      </c>
      <c r="DC31">
        <v>275.19776923076898</v>
      </c>
      <c r="DD31">
        <v>0.110222234581639</v>
      </c>
      <c r="DE31">
        <v>-6.7767521658393397</v>
      </c>
      <c r="DF31">
        <v>7345.6415384615402</v>
      </c>
      <c r="DG31">
        <v>15</v>
      </c>
      <c r="DH31">
        <v>1598202211.5</v>
      </c>
      <c r="DI31" t="s">
        <v>359</v>
      </c>
      <c r="DJ31">
        <v>30</v>
      </c>
      <c r="DK31">
        <v>0.39200000000000002</v>
      </c>
      <c r="DL31">
        <v>0.121</v>
      </c>
      <c r="DM31">
        <v>1800</v>
      </c>
      <c r="DN31">
        <v>17</v>
      </c>
      <c r="DO31">
        <v>0.21</v>
      </c>
      <c r="DP31">
        <v>0.08</v>
      </c>
      <c r="DQ31">
        <v>1777.0865454545501</v>
      </c>
      <c r="DR31">
        <v>0.23310974809905</v>
      </c>
      <c r="DS31">
        <v>8.8383836075033098E-2</v>
      </c>
      <c r="DT31">
        <v>1</v>
      </c>
      <c r="DU31">
        <v>18.542827272727301</v>
      </c>
      <c r="DV31">
        <v>-5.2928109695884698E-2</v>
      </c>
      <c r="DW31">
        <v>7.54100197213892E-3</v>
      </c>
      <c r="DX31">
        <v>1</v>
      </c>
      <c r="DY31">
        <v>2</v>
      </c>
      <c r="DZ31">
        <v>2</v>
      </c>
      <c r="EA31" t="s">
        <v>293</v>
      </c>
      <c r="EB31">
        <v>1.8667199999999999</v>
      </c>
      <c r="EC31">
        <v>1.8632200000000001</v>
      </c>
      <c r="ED31">
        <v>1.8689</v>
      </c>
      <c r="EE31">
        <v>1.86677</v>
      </c>
      <c r="EF31">
        <v>1.8714900000000001</v>
      </c>
      <c r="EG31">
        <v>1.8639600000000001</v>
      </c>
      <c r="EH31">
        <v>1.86554</v>
      </c>
      <c r="EI31">
        <v>1.8653999999999999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0.39200000000000002</v>
      </c>
      <c r="EX31">
        <v>0.121</v>
      </c>
      <c r="EY31">
        <v>2</v>
      </c>
      <c r="EZ31">
        <v>337.32400000000001</v>
      </c>
      <c r="FA31">
        <v>479.69600000000003</v>
      </c>
      <c r="FB31">
        <v>19.664400000000001</v>
      </c>
      <c r="FC31">
        <v>34.058599999999998</v>
      </c>
      <c r="FD31">
        <v>29.9999</v>
      </c>
      <c r="FE31">
        <v>34.058500000000002</v>
      </c>
      <c r="FF31">
        <v>34.061599999999999</v>
      </c>
      <c r="FG31">
        <v>73.544200000000004</v>
      </c>
      <c r="FH31">
        <v>50.647199999999998</v>
      </c>
      <c r="FI31">
        <v>0</v>
      </c>
      <c r="FJ31">
        <v>19.6844</v>
      </c>
      <c r="FK31">
        <v>1800</v>
      </c>
      <c r="FL31">
        <v>17.382300000000001</v>
      </c>
      <c r="FM31">
        <v>100.738</v>
      </c>
      <c r="FN31">
        <v>101.151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2020-08-23T12:03:42Z</dcterms:created>
  <dcterms:modified xsi:type="dcterms:W3CDTF">2024-11-20T09:07:39Z</dcterms:modified>
</cp:coreProperties>
</file>