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823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1" i="1" l="1"/>
  <c r="BT31" i="1"/>
  <c r="BR31" i="1"/>
  <c r="BS31" i="1" s="1"/>
  <c r="BI31" i="1"/>
  <c r="BH31" i="1"/>
  <c r="BG31" i="1"/>
  <c r="BF31" i="1"/>
  <c r="BE31" i="1"/>
  <c r="BB31" i="1"/>
  <c r="AZ31" i="1"/>
  <c r="AU31" i="1"/>
  <c r="AO31" i="1"/>
  <c r="AP31" i="1" s="1"/>
  <c r="AK31" i="1"/>
  <c r="AI31" i="1"/>
  <c r="AJ31" i="1" s="1"/>
  <c r="X31" i="1"/>
  <c r="W31" i="1"/>
  <c r="V31" i="1"/>
  <c r="O31" i="1"/>
  <c r="BU30" i="1"/>
  <c r="BT30" i="1"/>
  <c r="BR30" i="1"/>
  <c r="BS30" i="1" s="1"/>
  <c r="BI30" i="1"/>
  <c r="BH30" i="1"/>
  <c r="BG30" i="1"/>
  <c r="BF30" i="1"/>
  <c r="BE30" i="1"/>
  <c r="BB30" i="1"/>
  <c r="AZ30" i="1"/>
  <c r="AU30" i="1"/>
  <c r="AP30" i="1"/>
  <c r="AO30" i="1"/>
  <c r="AK30" i="1"/>
  <c r="AI30" i="1"/>
  <c r="I30" i="1" s="1"/>
  <c r="AX30" i="1" s="1"/>
  <c r="X30" i="1"/>
  <c r="W30" i="1"/>
  <c r="V30" i="1"/>
  <c r="O30" i="1"/>
  <c r="M30" i="1"/>
  <c r="J30" i="1"/>
  <c r="BU29" i="1"/>
  <c r="BT29" i="1"/>
  <c r="BR29" i="1"/>
  <c r="BS29" i="1" s="1"/>
  <c r="BI29" i="1"/>
  <c r="BH29" i="1"/>
  <c r="BG29" i="1"/>
  <c r="BF29" i="1"/>
  <c r="BE29" i="1"/>
  <c r="AZ29" i="1" s="1"/>
  <c r="BB29" i="1"/>
  <c r="AU29" i="1"/>
  <c r="AO29" i="1"/>
  <c r="AP29" i="1" s="1"/>
  <c r="AK29" i="1"/>
  <c r="AI29" i="1"/>
  <c r="I29" i="1" s="1"/>
  <c r="AX29" i="1" s="1"/>
  <c r="X29" i="1"/>
  <c r="W29" i="1"/>
  <c r="V29" i="1"/>
  <c r="O29" i="1"/>
  <c r="BU28" i="1"/>
  <c r="BT28" i="1"/>
  <c r="BS28" i="1"/>
  <c r="R28" i="1" s="1"/>
  <c r="BR28" i="1"/>
  <c r="BI28" i="1"/>
  <c r="BH28" i="1"/>
  <c r="BG28" i="1"/>
  <c r="BF28" i="1"/>
  <c r="BE28" i="1"/>
  <c r="BB28" i="1"/>
  <c r="AZ28" i="1"/>
  <c r="AW28" i="1"/>
  <c r="AY28" i="1" s="1"/>
  <c r="AU28" i="1"/>
  <c r="AP28" i="1"/>
  <c r="AO28" i="1"/>
  <c r="AK28" i="1"/>
  <c r="AI28" i="1"/>
  <c r="AJ28" i="1" s="1"/>
  <c r="X28" i="1"/>
  <c r="W28" i="1"/>
  <c r="V28" i="1" s="1"/>
  <c r="O28" i="1"/>
  <c r="M28" i="1"/>
  <c r="BU27" i="1"/>
  <c r="BT27" i="1"/>
  <c r="BR27" i="1"/>
  <c r="BS27" i="1" s="1"/>
  <c r="BI27" i="1"/>
  <c r="BH27" i="1"/>
  <c r="BG27" i="1"/>
  <c r="BF27" i="1"/>
  <c r="BE27" i="1"/>
  <c r="BB27" i="1"/>
  <c r="AZ27" i="1"/>
  <c r="AU27" i="1"/>
  <c r="AO27" i="1"/>
  <c r="AP27" i="1" s="1"/>
  <c r="AK27" i="1"/>
  <c r="AI27" i="1" s="1"/>
  <c r="X27" i="1"/>
  <c r="W27" i="1"/>
  <c r="V27" i="1"/>
  <c r="O27" i="1"/>
  <c r="BU26" i="1"/>
  <c r="R26" i="1" s="1"/>
  <c r="BT26" i="1"/>
  <c r="BS26" i="1"/>
  <c r="BR26" i="1"/>
  <c r="BI26" i="1"/>
  <c r="BH26" i="1"/>
  <c r="BG26" i="1"/>
  <c r="BF26" i="1"/>
  <c r="BE26" i="1"/>
  <c r="BB26" i="1"/>
  <c r="AZ26" i="1"/>
  <c r="AY26" i="1"/>
  <c r="AW26" i="1"/>
  <c r="AU26" i="1"/>
  <c r="AO26" i="1"/>
  <c r="AP26" i="1" s="1"/>
  <c r="AK26" i="1"/>
  <c r="AI26" i="1"/>
  <c r="M26" i="1" s="1"/>
  <c r="X26" i="1"/>
  <c r="V26" i="1" s="1"/>
  <c r="W26" i="1"/>
  <c r="O26" i="1"/>
  <c r="BU25" i="1"/>
  <c r="BT25" i="1"/>
  <c r="BR25" i="1"/>
  <c r="BS25" i="1" s="1"/>
  <c r="BI25" i="1"/>
  <c r="BH25" i="1"/>
  <c r="BG25" i="1"/>
  <c r="BF25" i="1"/>
  <c r="BE25" i="1"/>
  <c r="BB25" i="1"/>
  <c r="AZ25" i="1"/>
  <c r="AU25" i="1"/>
  <c r="AO25" i="1"/>
  <c r="AP25" i="1" s="1"/>
  <c r="AK25" i="1"/>
  <c r="AI25" i="1"/>
  <c r="M25" i="1" s="1"/>
  <c r="X25" i="1"/>
  <c r="W25" i="1"/>
  <c r="V25" i="1"/>
  <c r="O25" i="1"/>
  <c r="J25" i="1"/>
  <c r="I25" i="1"/>
  <c r="AX25" i="1" s="1"/>
  <c r="BU24" i="1"/>
  <c r="BT24" i="1"/>
  <c r="BR24" i="1"/>
  <c r="BS24" i="1" s="1"/>
  <c r="BI24" i="1"/>
  <c r="BH24" i="1"/>
  <c r="BG24" i="1"/>
  <c r="BF24" i="1"/>
  <c r="BE24" i="1"/>
  <c r="AZ24" i="1" s="1"/>
  <c r="BB24" i="1"/>
  <c r="AU24" i="1"/>
  <c r="AO24" i="1"/>
  <c r="AP24" i="1" s="1"/>
  <c r="AK24" i="1"/>
  <c r="AI24" i="1"/>
  <c r="J24" i="1" s="1"/>
  <c r="X24" i="1"/>
  <c r="W24" i="1"/>
  <c r="V24" i="1"/>
  <c r="O24" i="1"/>
  <c r="BU23" i="1"/>
  <c r="BT23" i="1"/>
  <c r="BR23" i="1"/>
  <c r="BS23" i="1" s="1"/>
  <c r="BI23" i="1"/>
  <c r="BH23" i="1"/>
  <c r="BG23" i="1"/>
  <c r="BF23" i="1"/>
  <c r="BE23" i="1"/>
  <c r="BB23" i="1"/>
  <c r="AZ23" i="1"/>
  <c r="AU23" i="1"/>
  <c r="AO23" i="1"/>
  <c r="AP23" i="1" s="1"/>
  <c r="AK23" i="1"/>
  <c r="AI23" i="1"/>
  <c r="J23" i="1" s="1"/>
  <c r="X23" i="1"/>
  <c r="W23" i="1"/>
  <c r="V23" i="1" s="1"/>
  <c r="O23" i="1"/>
  <c r="M23" i="1"/>
  <c r="BU22" i="1"/>
  <c r="BT22" i="1"/>
  <c r="BR22" i="1"/>
  <c r="BS22" i="1" s="1"/>
  <c r="BI22" i="1"/>
  <c r="BH22" i="1"/>
  <c r="BG22" i="1"/>
  <c r="BF22" i="1"/>
  <c r="BE22" i="1"/>
  <c r="AZ22" i="1" s="1"/>
  <c r="BB22" i="1"/>
  <c r="AU22" i="1"/>
  <c r="AO22" i="1"/>
  <c r="AP22" i="1" s="1"/>
  <c r="AK22" i="1"/>
  <c r="AI22" i="1"/>
  <c r="I22" i="1" s="1"/>
  <c r="AX22" i="1" s="1"/>
  <c r="X22" i="1"/>
  <c r="W22" i="1"/>
  <c r="V22" i="1"/>
  <c r="O22" i="1"/>
  <c r="BU21" i="1"/>
  <c r="BT21" i="1"/>
  <c r="BR21" i="1"/>
  <c r="BS21" i="1" s="1"/>
  <c r="BI21" i="1"/>
  <c r="BH21" i="1"/>
  <c r="BG21" i="1"/>
  <c r="BF21" i="1"/>
  <c r="BE21" i="1"/>
  <c r="BB21" i="1"/>
  <c r="AZ21" i="1"/>
  <c r="AU21" i="1"/>
  <c r="AO21" i="1"/>
  <c r="AP21" i="1" s="1"/>
  <c r="AK21" i="1"/>
  <c r="AI21" i="1"/>
  <c r="M21" i="1" s="1"/>
  <c r="X21" i="1"/>
  <c r="W21" i="1"/>
  <c r="V21" i="1" s="1"/>
  <c r="O21" i="1"/>
  <c r="BU20" i="1"/>
  <c r="BT20" i="1"/>
  <c r="BR20" i="1"/>
  <c r="BS20" i="1" s="1"/>
  <c r="BI20" i="1"/>
  <c r="BH20" i="1"/>
  <c r="BG20" i="1"/>
  <c r="BF20" i="1"/>
  <c r="BE20" i="1"/>
  <c r="BB20" i="1"/>
  <c r="AZ20" i="1"/>
  <c r="AU20" i="1"/>
  <c r="AO20" i="1"/>
  <c r="AP20" i="1" s="1"/>
  <c r="AK20" i="1"/>
  <c r="AI20" i="1" s="1"/>
  <c r="X20" i="1"/>
  <c r="W20" i="1"/>
  <c r="V20" i="1"/>
  <c r="O20" i="1"/>
  <c r="BU19" i="1"/>
  <c r="BT19" i="1"/>
  <c r="BR19" i="1"/>
  <c r="BS19" i="1" s="1"/>
  <c r="BI19" i="1"/>
  <c r="BH19" i="1"/>
  <c r="BG19" i="1"/>
  <c r="BF19" i="1"/>
  <c r="BE19" i="1"/>
  <c r="BB19" i="1"/>
  <c r="AZ19" i="1"/>
  <c r="AU19" i="1"/>
  <c r="AO19" i="1"/>
  <c r="AP19" i="1" s="1"/>
  <c r="AK19" i="1"/>
  <c r="AI19" i="1"/>
  <c r="J19" i="1" s="1"/>
  <c r="X19" i="1"/>
  <c r="W19" i="1"/>
  <c r="V19" i="1"/>
  <c r="O19" i="1"/>
  <c r="BU18" i="1"/>
  <c r="BT18" i="1"/>
  <c r="BR18" i="1"/>
  <c r="BS18" i="1" s="1"/>
  <c r="BI18" i="1"/>
  <c r="BH18" i="1"/>
  <c r="BG18" i="1"/>
  <c r="BF18" i="1"/>
  <c r="BE18" i="1"/>
  <c r="BB18" i="1"/>
  <c r="AZ18" i="1"/>
  <c r="AU18" i="1"/>
  <c r="AP18" i="1"/>
  <c r="AO18" i="1"/>
  <c r="AK18" i="1"/>
  <c r="AI18" i="1" s="1"/>
  <c r="X18" i="1"/>
  <c r="W18" i="1"/>
  <c r="V18" i="1"/>
  <c r="O18" i="1"/>
  <c r="BU17" i="1"/>
  <c r="BT17" i="1"/>
  <c r="BR17" i="1"/>
  <c r="BS17" i="1" s="1"/>
  <c r="BI17" i="1"/>
  <c r="BH17" i="1"/>
  <c r="BG17" i="1"/>
  <c r="BF17" i="1"/>
  <c r="BE17" i="1"/>
  <c r="AZ17" i="1" s="1"/>
  <c r="BB17" i="1"/>
  <c r="AU17" i="1"/>
  <c r="AO17" i="1"/>
  <c r="AP17" i="1" s="1"/>
  <c r="AK17" i="1"/>
  <c r="AI17" i="1"/>
  <c r="I17" i="1" s="1"/>
  <c r="AX17" i="1" s="1"/>
  <c r="X17" i="1"/>
  <c r="W17" i="1"/>
  <c r="V17" i="1"/>
  <c r="O17" i="1"/>
  <c r="J20" i="1" l="1"/>
  <c r="H20" i="1"/>
  <c r="M20" i="1"/>
  <c r="I20" i="1"/>
  <c r="AX20" i="1" s="1"/>
  <c r="AJ20" i="1"/>
  <c r="R25" i="1"/>
  <c r="AW25" i="1"/>
  <c r="AY25" i="1" s="1"/>
  <c r="R21" i="1"/>
  <c r="AW21" i="1"/>
  <c r="AY21" i="1" s="1"/>
  <c r="AY23" i="1"/>
  <c r="AW29" i="1"/>
  <c r="BA29" i="1" s="1"/>
  <c r="R29" i="1"/>
  <c r="AW24" i="1"/>
  <c r="AY24" i="1" s="1"/>
  <c r="R24" i="1"/>
  <c r="AY27" i="1"/>
  <c r="R20" i="1"/>
  <c r="AW20" i="1"/>
  <c r="AY20" i="1" s="1"/>
  <c r="I18" i="1"/>
  <c r="AX18" i="1" s="1"/>
  <c r="BA18" i="1" s="1"/>
  <c r="H18" i="1"/>
  <c r="AJ18" i="1"/>
  <c r="M18" i="1"/>
  <c r="J18" i="1"/>
  <c r="R23" i="1"/>
  <c r="AW23" i="1"/>
  <c r="AW19" i="1"/>
  <c r="AY19" i="1" s="1"/>
  <c r="R19" i="1"/>
  <c r="AY30" i="1"/>
  <c r="R31" i="1"/>
  <c r="AW31" i="1"/>
  <c r="AY31" i="1" s="1"/>
  <c r="J27" i="1"/>
  <c r="H27" i="1"/>
  <c r="I27" i="1"/>
  <c r="AX27" i="1" s="1"/>
  <c r="BA27" i="1" s="1"/>
  <c r="AJ27" i="1"/>
  <c r="M27" i="1"/>
  <c r="BA22" i="1"/>
  <c r="BA25" i="1"/>
  <c r="S28" i="1"/>
  <c r="T28" i="1" s="1"/>
  <c r="R22" i="1"/>
  <c r="AW22" i="1"/>
  <c r="AW30" i="1"/>
  <c r="R30" i="1"/>
  <c r="R17" i="1"/>
  <c r="AW17" i="1"/>
  <c r="AY17" i="1" s="1"/>
  <c r="AY22" i="1"/>
  <c r="BA30" i="1"/>
  <c r="R27" i="1"/>
  <c r="AW27" i="1"/>
  <c r="BA17" i="1"/>
  <c r="AW18" i="1"/>
  <c r="AY18" i="1" s="1"/>
  <c r="R18" i="1"/>
  <c r="AY29" i="1"/>
  <c r="AJ26" i="1"/>
  <c r="H26" i="1"/>
  <c r="M22" i="1"/>
  <c r="I26" i="1"/>
  <c r="AX26" i="1" s="1"/>
  <c r="BA26" i="1" s="1"/>
  <c r="M17" i="1"/>
  <c r="I21" i="1"/>
  <c r="AX21" i="1" s="1"/>
  <c r="J26" i="1"/>
  <c r="AJ17" i="1"/>
  <c r="H22" i="1"/>
  <c r="J22" i="1"/>
  <c r="J17" i="1"/>
  <c r="AJ21" i="1"/>
  <c r="AJ30" i="1"/>
  <c r="AJ25" i="1"/>
  <c r="H30" i="1"/>
  <c r="M31" i="1"/>
  <c r="H31" i="1"/>
  <c r="I31" i="1"/>
  <c r="AX31" i="1" s="1"/>
  <c r="BA31" i="1" s="1"/>
  <c r="H21" i="1"/>
  <c r="J31" i="1"/>
  <c r="J21" i="1"/>
  <c r="H25" i="1"/>
  <c r="AJ24" i="1"/>
  <c r="AJ19" i="1"/>
  <c r="H24" i="1"/>
  <c r="I24" i="1"/>
  <c r="AX24" i="1" s="1"/>
  <c r="BA24" i="1" s="1"/>
  <c r="J29" i="1"/>
  <c r="AJ23" i="1"/>
  <c r="H28" i="1"/>
  <c r="M29" i="1"/>
  <c r="AJ22" i="1"/>
  <c r="H23" i="1"/>
  <c r="M24" i="1"/>
  <c r="I28" i="1"/>
  <c r="AX28" i="1" s="1"/>
  <c r="BA28" i="1" s="1"/>
  <c r="H17" i="1"/>
  <c r="AJ29" i="1"/>
  <c r="M19" i="1"/>
  <c r="I23" i="1"/>
  <c r="AX23" i="1" s="1"/>
  <c r="BA23" i="1" s="1"/>
  <c r="J28" i="1"/>
  <c r="H29" i="1"/>
  <c r="H19" i="1"/>
  <c r="I19" i="1"/>
  <c r="AX19" i="1" s="1"/>
  <c r="BA19" i="1" s="1"/>
  <c r="S20" i="1" l="1"/>
  <c r="T20" i="1" s="1"/>
  <c r="AB28" i="1"/>
  <c r="U28" i="1"/>
  <c r="Y28" i="1" s="1"/>
  <c r="Z26" i="1"/>
  <c r="S18" i="1"/>
  <c r="T18" i="1" s="1"/>
  <c r="AA28" i="1"/>
  <c r="Z27" i="1"/>
  <c r="P27" i="1"/>
  <c r="N27" i="1" s="1"/>
  <c r="Q27" i="1" s="1"/>
  <c r="K27" i="1" s="1"/>
  <c r="L27" i="1" s="1"/>
  <c r="P29" i="1"/>
  <c r="N29" i="1" s="1"/>
  <c r="Q29" i="1" s="1"/>
  <c r="K29" i="1" s="1"/>
  <c r="L29" i="1" s="1"/>
  <c r="Z29" i="1"/>
  <c r="Z30" i="1"/>
  <c r="S21" i="1"/>
  <c r="T21" i="1" s="1"/>
  <c r="S25" i="1"/>
  <c r="T25" i="1" s="1"/>
  <c r="S30" i="1"/>
  <c r="T30" i="1" s="1"/>
  <c r="Z22" i="1"/>
  <c r="P22" i="1"/>
  <c r="N22" i="1" s="1"/>
  <c r="Q22" i="1" s="1"/>
  <c r="K22" i="1" s="1"/>
  <c r="L22" i="1" s="1"/>
  <c r="BA20" i="1"/>
  <c r="Z24" i="1"/>
  <c r="Z25" i="1"/>
  <c r="S29" i="1"/>
  <c r="T29" i="1" s="1"/>
  <c r="Z21" i="1"/>
  <c r="P19" i="1"/>
  <c r="N19" i="1" s="1"/>
  <c r="Q19" i="1" s="1"/>
  <c r="K19" i="1" s="1"/>
  <c r="L19" i="1" s="1"/>
  <c r="Z19" i="1"/>
  <c r="S31" i="1"/>
  <c r="T31" i="1" s="1"/>
  <c r="Z17" i="1"/>
  <c r="P17" i="1"/>
  <c r="N17" i="1" s="1"/>
  <c r="Q17" i="1" s="1"/>
  <c r="K17" i="1" s="1"/>
  <c r="L17" i="1" s="1"/>
  <c r="S26" i="1"/>
  <c r="T26" i="1" s="1"/>
  <c r="P26" i="1" s="1"/>
  <c r="N26" i="1" s="1"/>
  <c r="Q26" i="1" s="1"/>
  <c r="K26" i="1" s="1"/>
  <c r="L26" i="1" s="1"/>
  <c r="Z23" i="1"/>
  <c r="P23" i="1"/>
  <c r="N23" i="1" s="1"/>
  <c r="Q23" i="1" s="1"/>
  <c r="K23" i="1" s="1"/>
  <c r="L23" i="1" s="1"/>
  <c r="BA21" i="1"/>
  <c r="S22" i="1"/>
  <c r="T22" i="1" s="1"/>
  <c r="P20" i="1"/>
  <c r="N20" i="1" s="1"/>
  <c r="Q20" i="1" s="1"/>
  <c r="K20" i="1" s="1"/>
  <c r="L20" i="1" s="1"/>
  <c r="Z20" i="1"/>
  <c r="S24" i="1"/>
  <c r="T24" i="1" s="1"/>
  <c r="P24" i="1" s="1"/>
  <c r="N24" i="1" s="1"/>
  <c r="Q24" i="1" s="1"/>
  <c r="K24" i="1" s="1"/>
  <c r="L24" i="1" s="1"/>
  <c r="S27" i="1"/>
  <c r="T27" i="1" s="1"/>
  <c r="Z31" i="1"/>
  <c r="S19" i="1"/>
  <c r="T19" i="1" s="1"/>
  <c r="S17" i="1"/>
  <c r="T17" i="1" s="1"/>
  <c r="S23" i="1"/>
  <c r="T23" i="1" s="1"/>
  <c r="Z28" i="1"/>
  <c r="P28" i="1"/>
  <c r="N28" i="1" s="1"/>
  <c r="Q28" i="1" s="1"/>
  <c r="K28" i="1" s="1"/>
  <c r="L28" i="1" s="1"/>
  <c r="Z18" i="1"/>
  <c r="P18" i="1"/>
  <c r="N18" i="1" s="1"/>
  <c r="Q18" i="1" s="1"/>
  <c r="K18" i="1" s="1"/>
  <c r="L18" i="1" s="1"/>
  <c r="U31" i="1" l="1"/>
  <c r="Y31" i="1" s="1"/>
  <c r="AA31" i="1"/>
  <c r="AB31" i="1"/>
  <c r="AC31" i="1" s="1"/>
  <c r="AB23" i="1"/>
  <c r="AC23" i="1" s="1"/>
  <c r="U23" i="1"/>
  <c r="Y23" i="1" s="1"/>
  <c r="AA23" i="1"/>
  <c r="AB29" i="1"/>
  <c r="AA29" i="1"/>
  <c r="U29" i="1"/>
  <c r="Y29" i="1" s="1"/>
  <c r="P31" i="1"/>
  <c r="N31" i="1" s="1"/>
  <c r="Q31" i="1" s="1"/>
  <c r="K31" i="1" s="1"/>
  <c r="L31" i="1" s="1"/>
  <c r="AC28" i="1"/>
  <c r="AB22" i="1"/>
  <c r="U22" i="1"/>
  <c r="Y22" i="1" s="1"/>
  <c r="AA22" i="1"/>
  <c r="AB18" i="1"/>
  <c r="U18" i="1"/>
  <c r="Y18" i="1" s="1"/>
  <c r="AA18" i="1"/>
  <c r="AB27" i="1"/>
  <c r="U27" i="1"/>
  <c r="Y27" i="1" s="1"/>
  <c r="AA27" i="1"/>
  <c r="AB24" i="1"/>
  <c r="AA24" i="1"/>
  <c r="U24" i="1"/>
  <c r="Y24" i="1" s="1"/>
  <c r="U30" i="1"/>
  <c r="Y30" i="1" s="1"/>
  <c r="AB30" i="1"/>
  <c r="AC30" i="1" s="1"/>
  <c r="AA30" i="1"/>
  <c r="U25" i="1"/>
  <c r="Y25" i="1" s="1"/>
  <c r="AB25" i="1"/>
  <c r="AA25" i="1"/>
  <c r="AA21" i="1"/>
  <c r="U21" i="1"/>
  <c r="Y21" i="1" s="1"/>
  <c r="AB21" i="1"/>
  <c r="AC21" i="1" s="1"/>
  <c r="U26" i="1"/>
  <c r="Y26" i="1" s="1"/>
  <c r="AB26" i="1"/>
  <c r="AA26" i="1"/>
  <c r="P30" i="1"/>
  <c r="N30" i="1" s="1"/>
  <c r="Q30" i="1" s="1"/>
  <c r="K30" i="1" s="1"/>
  <c r="L30" i="1" s="1"/>
  <c r="P21" i="1"/>
  <c r="N21" i="1" s="1"/>
  <c r="Q21" i="1" s="1"/>
  <c r="K21" i="1" s="1"/>
  <c r="L21" i="1" s="1"/>
  <c r="AB17" i="1"/>
  <c r="U17" i="1"/>
  <c r="Y17" i="1" s="1"/>
  <c r="AA17" i="1"/>
  <c r="AB19" i="1"/>
  <c r="U19" i="1"/>
  <c r="Y19" i="1" s="1"/>
  <c r="AA19" i="1"/>
  <c r="P25" i="1"/>
  <c r="N25" i="1" s="1"/>
  <c r="Q25" i="1" s="1"/>
  <c r="K25" i="1" s="1"/>
  <c r="L25" i="1" s="1"/>
  <c r="AB20" i="1"/>
  <c r="U20" i="1"/>
  <c r="Y20" i="1" s="1"/>
  <c r="AA20" i="1"/>
  <c r="AC24" i="1" l="1"/>
  <c r="AC27" i="1"/>
  <c r="AC19" i="1"/>
  <c r="AC18" i="1"/>
  <c r="AC17" i="1"/>
  <c r="AC22" i="1"/>
  <c r="AC26" i="1"/>
  <c r="AC29" i="1"/>
  <c r="AC20" i="1"/>
  <c r="AC25" i="1"/>
</calcChain>
</file>

<file path=xl/sharedStrings.xml><?xml version="1.0" encoding="utf-8"?>
<sst xmlns="http://schemas.openxmlformats.org/spreadsheetml/2006/main" count="788" uniqueCount="359">
  <si>
    <t>File opened</t>
  </si>
  <si>
    <t>2020-08-23 12:04:00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</si>
  <si>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</si>
  <si>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</si>
  <si>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</si>
  <si>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</si>
  <si>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</si>
  <si>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</si>
  <si>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</si>
  <si>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</si>
  <si>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</si>
  <si>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</si>
  <si>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</si>
  <si>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{"chamberpressurezero": "2.59209", "co2aspan1": "0.992625", "co2aspan2a": "0.164928", "co2aspanconc2": "0", "co2bzero": "0.880288", "h2oaspan1": "1.00223", "flowazero": "0.42932", "tazero": "0.00774765", "h2obzero": "1.01783", "ssa_ref": "36614.9", "h2obspanconc1": "20", "co2bspanconc1": "1002", "h2oaspanconc2": "0", "co2aspan2": "0", "oxygen": "21", "h2obspan2b": "0.0963575", "co2bspanconc2": "0", "co2bspan2": "0", "co2aspan2b": "0.163711", "h2oaspanconc1": "12.19", "co2azero": "0.869071", "h2oaspan2": "0", "h2obspanconc2": "0", "h2oaspan2a": "0.0661155", "co2aspanconc1": "1002", "co2bspan2b": "0.162103", "h2oaspan2b": "0.0662632", "h2obspan1": "0.998578", "co2bspan2a": "0.163389", "tbzero": "0.197721", "h2obspan2": "0", "ssb_ref": "36526.8", "flowbzero": "0.22736", "flowmeterzero": "0.990908", "co2bspan1": "0.992131", "h2obspan2a": "0.0975941", "h2oazero": "1.00263"}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</si>
  <si>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</si>
  <si>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</si>
  <si>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</si>
  <si>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</si>
  <si>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</si>
  <si>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</si>
  <si>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</si>
  <si>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</si>
  <si>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</si>
  <si>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12:04:00</t>
  </si>
  <si>
    <t>Stability Definition:	CO2_s (Meas): Slp&lt;0.3	H2O_s (Meas): Slp&lt;0.2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</si>
  <si>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</si>
  <si>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</si>
  <si>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</si>
  <si>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</si>
  <si>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</si>
  <si>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</si>
  <si>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</si>
  <si>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</si>
  <si>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</si>
  <si>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</si>
  <si>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</si>
  <si>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</si>
  <si>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</si>
  <si>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</si>
  <si>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</si>
  <si>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</si>
  <si>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</si>
  <si>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</si>
  <si>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</si>
  <si>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</si>
  <si>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</si>
  <si>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</si>
  <si>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</si>
  <si>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</si>
  <si>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</si>
  <si>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</si>
  <si>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</si>
  <si>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</si>
  <si>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</si>
  <si>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</si>
  <si>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</si>
  <si>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</si>
  <si>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</si>
  <si>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</si>
  <si>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</si>
  <si>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</si>
  <si>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</si>
  <si>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</si>
  <si>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</si>
  <si>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</si>
  <si>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</si>
  <si>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</si>
  <si>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</si>
  <si>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</si>
  <si>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</si>
  <si>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</si>
  <si>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2.94359 76.2785 384.689 618.449 845.034 1049.11 1224.88 1398.33</t>
  </si>
  <si>
    <t>Fs_true</t>
  </si>
  <si>
    <t>0.282282 99.9505 401.086 601.05 800.065 1000.06 1200.05 1401.49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</si>
  <si>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</si>
  <si>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</si>
  <si>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</si>
  <si>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</si>
  <si>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</si>
  <si>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</si>
  <si>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</si>
  <si>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</si>
  <si>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</si>
  <si>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</si>
  <si>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</si>
  <si>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</si>
  <si>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</si>
  <si>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</si>
  <si>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</si>
  <si>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</si>
  <si>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</si>
  <si>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</si>
  <si>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</si>
  <si>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</si>
  <si>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</si>
  <si>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</si>
  <si>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</si>
  <si>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</si>
  <si>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</si>
  <si>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</si>
  <si>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</si>
  <si>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</si>
  <si>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</si>
  <si>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</si>
  <si>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</si>
  <si>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</si>
  <si>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</si>
  <si>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</si>
  <si>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</si>
  <si>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</si>
  <si>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</si>
  <si>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</si>
  <si>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</si>
  <si>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</si>
  <si>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</si>
  <si>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</si>
  <si>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</si>
  <si>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</si>
  <si>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</si>
  <si>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</si>
  <si>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</si>
  <si>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</si>
  <si>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</si>
  <si>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</si>
  <si>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</si>
  <si>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</si>
  <si>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</si>
  <si>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</si>
  <si>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</si>
  <si>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</si>
  <si>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</si>
  <si>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</si>
  <si>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</si>
  <si>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</si>
  <si>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</si>
  <si>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</si>
  <si>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</si>
  <si>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</si>
  <si>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</si>
  <si>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</si>
  <si>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</si>
  <si>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</si>
  <si>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</si>
  <si>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</si>
  <si>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</si>
  <si>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</si>
  <si>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</si>
  <si>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</si>
  <si>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</si>
  <si>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</si>
  <si>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</si>
  <si>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</si>
  <si>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</si>
  <si>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</si>
  <si>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</si>
  <si>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</si>
  <si>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</si>
  <si>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</si>
  <si>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</si>
  <si>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</si>
  <si>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</si>
  <si>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</si>
  <si>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</si>
  <si>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</si>
  <si>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</si>
  <si>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</si>
  <si>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</si>
  <si>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</si>
  <si>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</si>
  <si>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</si>
  <si>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</si>
  <si>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</si>
  <si>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</si>
  <si>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</si>
  <si>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</si>
  <si>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</si>
  <si>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</si>
  <si>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</si>
  <si>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</si>
  <si>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</si>
  <si>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</si>
  <si>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</si>
  <si>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</si>
  <si>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</si>
  <si>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</si>
  <si>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</si>
  <si>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</si>
  <si>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</si>
  <si>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</si>
  <si>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</si>
  <si>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</si>
  <si>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</si>
  <si>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</si>
  <si>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</si>
  <si>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</si>
  <si>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</si>
  <si>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</si>
  <si>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</si>
  <si>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</si>
  <si>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</si>
  <si>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</si>
  <si>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</si>
  <si>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</si>
  <si>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</si>
  <si>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</si>
  <si>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</si>
  <si>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</si>
  <si>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</si>
  <si>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</si>
  <si>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H2O_s:MN</t>
  </si>
  <si>
    <t>H2O_s:SLP</t>
  </si>
  <si>
    <t>H2O_s:SD</t>
  </si>
  <si>
    <t>H2O_s:OK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</si>
  <si>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</si>
  <si>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</si>
  <si>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</si>
  <si>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</si>
  <si>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</si>
  <si>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</si>
  <si>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</si>
  <si>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</si>
  <si>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</si>
  <si>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</si>
  <si>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</si>
  <si>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</si>
  <si>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</si>
  <si>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</si>
  <si>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</si>
  <si>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</si>
  <si>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</si>
  <si>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</si>
  <si>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</si>
  <si>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</si>
  <si>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</si>
  <si>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</si>
  <si>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</si>
  <si>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</si>
  <si>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</si>
  <si>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</si>
  <si>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</si>
  <si>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</si>
  <si>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</si>
  <si>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</si>
  <si>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</si>
  <si>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</si>
  <si>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</si>
  <si>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</si>
  <si>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</si>
  <si>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</si>
  <si>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</si>
  <si>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</si>
  <si>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</si>
  <si>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</si>
  <si>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</si>
  <si>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</si>
  <si>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</si>
  <si>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</si>
  <si>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</si>
  <si>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</si>
  <si>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</si>
  <si>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</si>
  <si>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</si>
  <si>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</si>
  <si>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</si>
  <si>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</si>
  <si>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</si>
  <si>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</si>
  <si>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</si>
  <si>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</si>
  <si>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</si>
  <si>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</si>
  <si>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</si>
  <si>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</si>
  <si>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</si>
  <si>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</si>
  <si>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</si>
  <si>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</si>
  <si>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20200823 12:12:11</t>
  </si>
  <si>
    <t>12:12:11</t>
  </si>
  <si>
    <t>MPF-6563-20200823-12_12_13</t>
  </si>
  <si>
    <t>DARK-6564-20200823-12_12_20</t>
  </si>
  <si>
    <t>0: Broadleaf</t>
  </si>
  <si>
    <t>12:12:42</t>
  </si>
  <si>
    <t>2/2</t>
  </si>
  <si>
    <t>5</t>
  </si>
  <si>
    <t>11111111</t>
  </si>
  <si>
    <t>oooooooo</t>
  </si>
  <si>
    <t>off</t>
  </si>
  <si>
    <t>20200823 12:14:14</t>
  </si>
  <si>
    <t>12:14:14</t>
  </si>
  <si>
    <t>MPF-6565-20200823-12_14_15</t>
  </si>
  <si>
    <t>DARK-6566-20200823-12_14_23</t>
  </si>
  <si>
    <t>12:14:46</t>
  </si>
  <si>
    <t>20200823 12:16:17</t>
  </si>
  <si>
    <t>12:16:17</t>
  </si>
  <si>
    <t>MPF-6567-20200823-12_16_19</t>
  </si>
  <si>
    <t>DARK-6568-20200823-12_16_27</t>
  </si>
  <si>
    <t>12:16:45</t>
  </si>
  <si>
    <t>20200823 12:18:17</t>
  </si>
  <si>
    <t>12:18:17</t>
  </si>
  <si>
    <t>MPF-6569-20200823-12_18_18</t>
  </si>
  <si>
    <t>DARK-6570-20200823-12_18_26</t>
  </si>
  <si>
    <t>12:18:51</t>
  </si>
  <si>
    <t>20200823 12:20:22</t>
  </si>
  <si>
    <t>12:20:22</t>
  </si>
  <si>
    <t>MPF-6571-20200823-12_20_24</t>
  </si>
  <si>
    <t>DARK-6572-20200823-12_20_31</t>
  </si>
  <si>
    <t>12:20:53</t>
  </si>
  <si>
    <t>20200823 12:22:25</t>
  </si>
  <si>
    <t>12:22:25</t>
  </si>
  <si>
    <t>MPF-6573-20200823-12_22_26</t>
  </si>
  <si>
    <t>DARK-6574-20200823-12_22_34</t>
  </si>
  <si>
    <t>12:22:53</t>
  </si>
  <si>
    <t>20200823 12:24:24</t>
  </si>
  <si>
    <t>12:24:24</t>
  </si>
  <si>
    <t>MPF-6575-20200823-12_24_26</t>
  </si>
  <si>
    <t>DARK-6576-20200823-12_24_33</t>
  </si>
  <si>
    <t>12:24:52</t>
  </si>
  <si>
    <t>20200823 12:26:25</t>
  </si>
  <si>
    <t>12:26:25</t>
  </si>
  <si>
    <t>MPF-6577-20200823-12_26_27</t>
  </si>
  <si>
    <t>DARK-6578-20200823-12_26_34</t>
  </si>
  <si>
    <t>12:26:56</t>
  </si>
  <si>
    <t>20200823 12:28:42</t>
  </si>
  <si>
    <t>12:28:42</t>
  </si>
  <si>
    <t>MPF-6579-20200823-12_28_44</t>
  </si>
  <si>
    <t>DARK-6580-20200823-12_28_52</t>
  </si>
  <si>
    <t>12:29:09</t>
  </si>
  <si>
    <t>20200823 12:31:03</t>
  </si>
  <si>
    <t>12:31:03</t>
  </si>
  <si>
    <t>MPF-6581-20200823-12_31_04</t>
  </si>
  <si>
    <t>DARK-6582-20200823-12_31_12</t>
  </si>
  <si>
    <t>12:31:29</t>
  </si>
  <si>
    <t>20200823 12:33:31</t>
  </si>
  <si>
    <t>12:33:31</t>
  </si>
  <si>
    <t>MPF-6583-20200823-12_33_32</t>
  </si>
  <si>
    <t>DARK-6584-20200823-12_33_40</t>
  </si>
  <si>
    <t>12:34:04</t>
  </si>
  <si>
    <t>1/2</t>
  </si>
  <si>
    <t>20200823 12:36:05</t>
  </si>
  <si>
    <t>12:36:05</t>
  </si>
  <si>
    <t>MPF-6585-20200823-12_36_07</t>
  </si>
  <si>
    <t>DARK-6586-20200823-12_36_15</t>
  </si>
  <si>
    <t>12:36:30</t>
  </si>
  <si>
    <t>20200823 12:38:32</t>
  </si>
  <si>
    <t>12:38:32</t>
  </si>
  <si>
    <t>MPF-6587-20200823-12_38_33</t>
  </si>
  <si>
    <t>DARK-6588-20200823-12_38_41</t>
  </si>
  <si>
    <t>12:38:57</t>
  </si>
  <si>
    <t>20200823 12:40:42</t>
  </si>
  <si>
    <t>12:40:42</t>
  </si>
  <si>
    <t>MPF-6589-20200823-12_40_44</t>
  </si>
  <si>
    <t>DARK-6590-20200823-12_40_51</t>
  </si>
  <si>
    <t>12:41:13</t>
  </si>
  <si>
    <t>20200823 12:42:54</t>
  </si>
  <si>
    <t>12:42:54</t>
  </si>
  <si>
    <t>MPF-6591-20200823-12_42_55</t>
  </si>
  <si>
    <t>DARK-6592-20200823-12_43_03</t>
  </si>
  <si>
    <t>12:43:20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</si>
</sst>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1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1598202731.5</v>
      </c>
      <c r="C17">
        <v>0</v>
      </c>
      <c r="D17" t="s">
        <v>277</v>
      </c>
      <c r="E17" t="s">
        <v>278</v>
      </c>
      <c r="G17">
        <v>1598202723.5</v>
      </c>
      <c r="H17">
        <f t="shared" ref="H17:H31" si="0">CC17*AI17*(CA17-CB17)/(100*$B$5*(1000-AI17*CA17))</f>
        <v>1.0770441774281931E-2</v>
      </c>
      <c r="I17">
        <f t="shared" ref="I17:I31" si="1">CC17*AI17*(BZ17-BY17*(1000-AI17*CB17)/(1000-AI17*CA17))/(100*$B$5)</f>
        <v>34.2628664804012</v>
      </c>
      <c r="J17">
        <f t="shared" ref="J17:J31" si="2">BY17 - IF(AI17&gt;1, I17*$B$5*100/(AK17*CI17), 0)</f>
        <v>384.65093548387102</v>
      </c>
      <c r="K17">
        <f t="shared" ref="K17:K31" si="3">((Q17-H17/2)*J17-I17)/(Q17+H17/2)</f>
        <v>296.32925046408758</v>
      </c>
      <c r="L17">
        <f t="shared" ref="L17:L31" si="4">K17*(CD17+CE17)/1000</f>
        <v>29.450432101802665</v>
      </c>
      <c r="M17">
        <f t="shared" ref="M17:M31" si="5">(BY17 - IF(AI17&gt;1, I17*$B$5*100/(AK17*CI17), 0))*(CD17+CE17)/1000</f>
        <v>38.228208118575481</v>
      </c>
      <c r="N17">
        <f t="shared" ref="N17:N31" si="6">2/((1/P17-1/O17)+SIGN(P17)*SQRT((1/P17-1/O17)*(1/P17-1/O17) + 4*BV17/((BV17+1)*(BV17+1))*(2*1/P17*1/O17-1/O17*1/O17)))</f>
        <v>0.76007810703456946</v>
      </c>
      <c r="O17">
        <f t="shared" ref="O17:O31" si="7">AF17+AE17*$B$5+AD17*$B$5*$B$5</f>
        <v>3.3786904085221052</v>
      </c>
      <c r="P17">
        <f t="shared" ref="P17:P31" si="8">H17*(1000-(1000*0.61365*EXP(17.502*T17/(240.97+T17))/(CD17+CE17)+CA17)/2)/(1000*0.61365*EXP(17.502*T17/(240.97+T17))/(CD17+CE17)-CA17)</f>
        <v>0.6763204950181283</v>
      </c>
      <c r="Q17">
        <f t="shared" ref="Q17:Q31" si="9">1/((BV17+1)/(N17/1.6)+1/(O17/1.37)) + BV17/((BV17+1)/(N17/1.6) + BV17/(O17/1.37))</f>
        <v>0.42945393527083625</v>
      </c>
      <c r="R17">
        <f t="shared" ref="R17:R31" si="10">(BS17*BU17)</f>
        <v>321.44040204194221</v>
      </c>
      <c r="S17">
        <f t="shared" ref="S17:S31" si="11">(CF17+(R17+2*0.95*0.0000000567*(((CF17+$B$7)+273)^4-(CF17+273)^4)-44100*H17)/(1.84*29.3*O17+8*0.95*0.0000000567*(CF17+273)^3))</f>
        <v>27.081635603848706</v>
      </c>
      <c r="T17">
        <f t="shared" ref="T17:T31" si="12">($C$7*CG17+$D$7*CH17+$E$7*S17)</f>
        <v>27.085403225806498</v>
      </c>
      <c r="U17">
        <f t="shared" ref="U17:U31" si="13">0.61365*EXP(17.502*T17/(240.97+T17))</f>
        <v>3.5971519052908976</v>
      </c>
      <c r="V17">
        <f t="shared" ref="V17:V31" si="14">(W17/X17*100)</f>
        <v>54.672782226217706</v>
      </c>
      <c r="W17">
        <f t="shared" ref="W17:W31" si="15">CA17*(CD17+CE17)/1000</f>
        <v>2.059494880451699</v>
      </c>
      <c r="X17">
        <f t="shared" ref="X17:X31" si="16">0.61365*EXP(17.502*CF17/(240.97+CF17))</f>
        <v>3.7669472753923463</v>
      </c>
      <c r="Y17">
        <f t="shared" ref="Y17:Y31" si="17">(U17-CA17*(CD17+CE17)/1000)</f>
        <v>1.5376570248391985</v>
      </c>
      <c r="Z17">
        <f t="shared" ref="Z17:Z31" si="18">(-H17*44100)</f>
        <v>-474.97648224583315</v>
      </c>
      <c r="AA17">
        <f t="shared" ref="AA17:AA31" si="19">2*29.3*O17*0.92*(CF17-T17)</f>
        <v>143.55572031234223</v>
      </c>
      <c r="AB17">
        <f t="shared" ref="AB17:AB31" si="20">2*0.95*0.0000000567*(((CF17+$B$7)+273)^4-(T17+273)^4)</f>
        <v>9.2135801964786594</v>
      </c>
      <c r="AC17">
        <f t="shared" ref="AC17:AC31" si="21">R17+AB17+Z17+AA17</f>
        <v>-0.76677969507002786</v>
      </c>
      <c r="AD17">
        <v>-4.11178767565984E-2</v>
      </c>
      <c r="AE17">
        <v>4.6158418783124301E-2</v>
      </c>
      <c r="AF17">
        <v>3.4508450779822502</v>
      </c>
      <c r="AG17">
        <v>151</v>
      </c>
      <c r="AH17">
        <v>30</v>
      </c>
      <c r="AI17">
        <f t="shared" ref="AI17:AI31" si="22">IF(AG17*$H$13&gt;=AK17,1,(AK17/(AK17-AG17*$H$13)))</f>
        <v>1</v>
      </c>
      <c r="AJ17">
        <f t="shared" ref="AJ17:AJ31" si="23">(AI17-1)*100</f>
        <v>0</v>
      </c>
      <c r="AK17">
        <f t="shared" ref="AK17:AK31" si="24">MAX(0,($B$13+$C$13*CI17)/(1+$D$13*CI17)*CD17/(CF17+273)*$E$13)</f>
        <v>52280.163021703003</v>
      </c>
      <c r="AL17">
        <v>0</v>
      </c>
      <c r="AM17">
        <v>0</v>
      </c>
      <c r="AN17">
        <v>0</v>
      </c>
      <c r="AO17">
        <f t="shared" ref="AO17:AO31" si="25">AN17-AM17</f>
        <v>0</v>
      </c>
      <c r="AP17" t="e">
        <f t="shared" ref="AP17:AP31" si="26">AO17/AN17</f>
        <v>#DIV/0!</v>
      </c>
      <c r="AQ17">
        <v>-1</v>
      </c>
      <c r="AR17" t="s">
        <v>279</v>
      </c>
      <c r="AS17">
        <v>335.498307692308</v>
      </c>
      <c r="AT17">
        <v>473.005</v>
      </c>
      <c r="AU17">
        <f t="shared" ref="AU17:AU31" si="27">1-AS17/AT17</f>
        <v>0.29070875002947538</v>
      </c>
      <c r="AV17">
        <v>0.5</v>
      </c>
      <c r="AW17">
        <f t="shared" ref="AW17:AW31" si="28">BS17</f>
        <v>1681.1973093541458</v>
      </c>
      <c r="AX17">
        <f t="shared" ref="AX17:AX31" si="29">I17</f>
        <v>34.2628664804012</v>
      </c>
      <c r="AY17">
        <f t="shared" ref="AY17:AY31" si="30">AU17*AV17*AW17</f>
        <v>244.36938417763048</v>
      </c>
      <c r="AZ17">
        <f t="shared" ref="AZ17:AZ31" si="31">BE17/AT17</f>
        <v>0.56634707878352231</v>
      </c>
      <c r="BA17">
        <f t="shared" ref="BA17:BA31" si="32">(AX17-AQ17)/AW17</f>
        <v>2.0974853031348176E-2</v>
      </c>
      <c r="BB17">
        <f t="shared" ref="BB17:BB31" si="33">(AN17-AT17)/AT17</f>
        <v>-1</v>
      </c>
      <c r="BC17" t="s">
        <v>280</v>
      </c>
      <c r="BD17">
        <v>205.12</v>
      </c>
      <c r="BE17">
        <f t="shared" ref="BE17:BE31" si="34">AT17-BD17</f>
        <v>267.88499999999999</v>
      </c>
      <c r="BF17">
        <f t="shared" ref="BF17:BF31" si="35">(AT17-AS17)/(AT17-BD17)</f>
        <v>0.51330493423555634</v>
      </c>
      <c r="BG17">
        <f t="shared" ref="BG17:BG31" si="36">(AN17-AT17)/(AN17-BD17)</f>
        <v>2.3059916146645865</v>
      </c>
      <c r="BH17">
        <f t="shared" ref="BH17:BH31" si="37">(AT17-AS17)/(AT17-AM17)</f>
        <v>0.29070875002947538</v>
      </c>
      <c r="BI17" t="e">
        <f t="shared" ref="BI17:BI31" si="38">(AN17-AT17)/(AN17-AM17)</f>
        <v>#DIV/0!</v>
      </c>
      <c r="BJ17">
        <v>6563</v>
      </c>
      <c r="BK17">
        <v>300</v>
      </c>
      <c r="BL17">
        <v>300</v>
      </c>
      <c r="BM17">
        <v>300</v>
      </c>
      <c r="BN17">
        <v>9859.65</v>
      </c>
      <c r="BO17">
        <v>435.279</v>
      </c>
      <c r="BP17">
        <v>-6.5567300000000002E-3</v>
      </c>
      <c r="BQ17">
        <v>1.2146600000000001</v>
      </c>
      <c r="BR17">
        <f t="shared" ref="BR17:BR31" si="39">$B$11*CJ17+$C$11*CK17+$F$11*CL17</f>
        <v>2000</v>
      </c>
      <c r="BS17">
        <f t="shared" ref="BS17:BS31" si="40">BR17*BT17</f>
        <v>1681.1973093541458</v>
      </c>
      <c r="BT17">
        <f t="shared" ref="BT17:BT31" si="41">($B$11*$D$9+$C$11*$D$9+$F$11*((CY17+CQ17)/MAX(CY17+CQ17+CZ17, 0.1)*$I$9+CZ17/MAX(CY17+CQ17+CZ17, 0.1)*$J$9))/($B$11+$C$11+$F$11)</f>
        <v>0.84059865467707284</v>
      </c>
      <c r="BU17">
        <f t="shared" ref="BU17:BU31" si="42">($B$11*$K$9+$C$11*$K$9+$F$11*((CY17+CQ17)/MAX(CY17+CQ17+CZ17, 0.1)*$P$9+CZ17/MAX(CY17+CQ17+CZ17, 0.1)*$Q$9))/($B$11+$C$11+$F$11)</f>
        <v>0.19119730935414583</v>
      </c>
      <c r="BV17">
        <v>0.5</v>
      </c>
      <c r="BW17" t="s">
        <v>281</v>
      </c>
      <c r="BX17">
        <v>1598202723.5</v>
      </c>
      <c r="BY17">
        <v>384.65093548387102</v>
      </c>
      <c r="BZ17">
        <v>400.01132258064501</v>
      </c>
      <c r="CA17">
        <v>20.722567741935499</v>
      </c>
      <c r="CB17">
        <v>16.504190322580602</v>
      </c>
      <c r="CC17">
        <v>500.06196774193597</v>
      </c>
      <c r="CD17">
        <v>99.184135483871003</v>
      </c>
      <c r="CE17">
        <v>0.200019322580645</v>
      </c>
      <c r="CF17">
        <v>27.873512903225802</v>
      </c>
      <c r="CG17">
        <v>27.085403225806498</v>
      </c>
      <c r="CH17">
        <v>999.9</v>
      </c>
      <c r="CI17">
        <v>9997.34064516129</v>
      </c>
      <c r="CJ17">
        <v>0</v>
      </c>
      <c r="CK17">
        <v>76.835416129032197</v>
      </c>
      <c r="CL17">
        <v>2000</v>
      </c>
      <c r="CM17">
        <v>0.97999412903225802</v>
      </c>
      <c r="CN17">
        <v>2.00061322580645E-2</v>
      </c>
      <c r="CO17">
        <v>0</v>
      </c>
      <c r="CP17">
        <v>335.55264516129</v>
      </c>
      <c r="CQ17">
        <v>5.00054</v>
      </c>
      <c r="CR17">
        <v>8690.8929032258002</v>
      </c>
      <c r="CS17">
        <v>18703.5967741936</v>
      </c>
      <c r="CT17">
        <v>50.326290322580597</v>
      </c>
      <c r="CU17">
        <v>51.164999999999999</v>
      </c>
      <c r="CV17">
        <v>50.631</v>
      </c>
      <c r="CW17">
        <v>50.382967741935502</v>
      </c>
      <c r="CX17">
        <v>51.707322580645098</v>
      </c>
      <c r="CY17">
        <v>1955.08967741935</v>
      </c>
      <c r="CZ17">
        <v>39.9103225806452</v>
      </c>
      <c r="DA17">
        <v>0</v>
      </c>
      <c r="DB17">
        <v>545.70000004768394</v>
      </c>
      <c r="DC17">
        <v>335.498307692308</v>
      </c>
      <c r="DD17">
        <v>-8.0490256336659396</v>
      </c>
      <c r="DE17">
        <v>-210.20410264612499</v>
      </c>
      <c r="DF17">
        <v>8689.0257692307696</v>
      </c>
      <c r="DG17">
        <v>15</v>
      </c>
      <c r="DH17">
        <v>1598202762</v>
      </c>
      <c r="DI17" t="s">
        <v>282</v>
      </c>
      <c r="DJ17">
        <v>31</v>
      </c>
      <c r="DK17">
        <v>-0.22800000000000001</v>
      </c>
      <c r="DL17">
        <v>0.104</v>
      </c>
      <c r="DM17">
        <v>400</v>
      </c>
      <c r="DN17">
        <v>17</v>
      </c>
      <c r="DO17">
        <v>0.28999999999999998</v>
      </c>
      <c r="DP17">
        <v>0.03</v>
      </c>
      <c r="DQ17">
        <v>385.28490909090903</v>
      </c>
      <c r="DR17">
        <v>-0.12843290043290501</v>
      </c>
      <c r="DS17">
        <v>2.3308424327442099E-2</v>
      </c>
      <c r="DT17">
        <v>1</v>
      </c>
      <c r="DU17">
        <v>20.748149090909099</v>
      </c>
      <c r="DV17">
        <v>-9.1045021645020902E-2</v>
      </c>
      <c r="DW17">
        <v>1.2540188090908899E-2</v>
      </c>
      <c r="DX17">
        <v>1</v>
      </c>
      <c r="DY17">
        <v>2</v>
      </c>
      <c r="DZ17">
        <v>2</v>
      </c>
      <c r="EA17" t="s">
        <v>283</v>
      </c>
      <c r="EB17">
        <v>1.86676</v>
      </c>
      <c r="EC17">
        <v>1.8632500000000001</v>
      </c>
      <c r="ED17">
        <v>1.86893</v>
      </c>
      <c r="EE17">
        <v>1.86686</v>
      </c>
      <c r="EF17">
        <v>1.8714900000000001</v>
      </c>
      <c r="EG17">
        <v>1.8640099999999999</v>
      </c>
      <c r="EH17">
        <v>1.86554</v>
      </c>
      <c r="EI17">
        <v>1.86547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-0.22800000000000001</v>
      </c>
      <c r="EX17">
        <v>0.104</v>
      </c>
      <c r="EY17">
        <v>2</v>
      </c>
      <c r="EZ17">
        <v>331.29</v>
      </c>
      <c r="FA17">
        <v>474.33600000000001</v>
      </c>
      <c r="FB17">
        <v>22.860499999999998</v>
      </c>
      <c r="FC17">
        <v>34.357500000000002</v>
      </c>
      <c r="FD17">
        <v>30.001000000000001</v>
      </c>
      <c r="FE17">
        <v>34.2864</v>
      </c>
      <c r="FF17">
        <v>34.279400000000003</v>
      </c>
      <c r="FG17">
        <v>22.034099999999999</v>
      </c>
      <c r="FH17">
        <v>53.574599999999997</v>
      </c>
      <c r="FI17">
        <v>0</v>
      </c>
      <c r="FJ17">
        <v>22.781500000000001</v>
      </c>
      <c r="FK17">
        <v>400</v>
      </c>
      <c r="FL17">
        <v>16.5791</v>
      </c>
      <c r="FM17">
        <v>100.681</v>
      </c>
      <c r="FN17">
        <v>101.095</v>
      </c>
    </row>
    <row r="18" spans="1:170" x14ac:dyDescent="0.25">
      <c r="A18">
        <v>2</v>
      </c>
      <c r="B18">
        <v>1598202854</v>
      </c>
      <c r="C18">
        <v>122.5</v>
      </c>
      <c r="D18" t="s">
        <v>288</v>
      </c>
      <c r="E18" t="s">
        <v>289</v>
      </c>
      <c r="G18">
        <v>1598202846</v>
      </c>
      <c r="H18">
        <f t="shared" si="0"/>
        <v>9.8841620383107835E-3</v>
      </c>
      <c r="I18">
        <f t="shared" si="1"/>
        <v>25.55846095720085</v>
      </c>
      <c r="J18">
        <f t="shared" si="2"/>
        <v>288.63354838709699</v>
      </c>
      <c r="K18">
        <f t="shared" si="3"/>
        <v>217.04485146473132</v>
      </c>
      <c r="L18">
        <f t="shared" si="4"/>
        <v>21.569762137493299</v>
      </c>
      <c r="M18">
        <f t="shared" si="5"/>
        <v>28.684195647101074</v>
      </c>
      <c r="N18">
        <f t="shared" si="6"/>
        <v>0.68725134676945088</v>
      </c>
      <c r="O18">
        <f t="shared" si="7"/>
        <v>3.3828132941182711</v>
      </c>
      <c r="P18">
        <f t="shared" si="8"/>
        <v>0.61806969775822007</v>
      </c>
      <c r="Q18">
        <f t="shared" si="9"/>
        <v>0.39192729837410573</v>
      </c>
      <c r="R18">
        <f t="shared" si="10"/>
        <v>321.43811864184545</v>
      </c>
      <c r="S18">
        <f t="shared" si="11"/>
        <v>26.825682813236579</v>
      </c>
      <c r="T18">
        <f t="shared" si="12"/>
        <v>26.9833903225806</v>
      </c>
      <c r="U18">
        <f t="shared" si="13"/>
        <v>3.5756696104672643</v>
      </c>
      <c r="V18">
        <f t="shared" si="14"/>
        <v>55.385603777865946</v>
      </c>
      <c r="W18">
        <f t="shared" si="15"/>
        <v>2.0312301954482912</v>
      </c>
      <c r="X18">
        <f t="shared" si="16"/>
        <v>3.667433515024789</v>
      </c>
      <c r="Y18">
        <f t="shared" si="17"/>
        <v>1.5444394150189731</v>
      </c>
      <c r="Z18">
        <f t="shared" si="18"/>
        <v>-435.89154588950555</v>
      </c>
      <c r="AA18">
        <f t="shared" si="19"/>
        <v>78.800963398199542</v>
      </c>
      <c r="AB18">
        <f t="shared" si="20"/>
        <v>5.0372618923310579</v>
      </c>
      <c r="AC18">
        <f t="shared" si="21"/>
        <v>-30.6152019571295</v>
      </c>
      <c r="AD18">
        <v>-4.11816258720583E-2</v>
      </c>
      <c r="AE18">
        <v>4.6229982749957203E-2</v>
      </c>
      <c r="AF18">
        <v>3.4550798321065899</v>
      </c>
      <c r="AG18">
        <v>150</v>
      </c>
      <c r="AH18">
        <v>30</v>
      </c>
      <c r="AI18">
        <f t="shared" si="22"/>
        <v>1</v>
      </c>
      <c r="AJ18">
        <f t="shared" si="23"/>
        <v>0</v>
      </c>
      <c r="AK18">
        <f t="shared" si="24"/>
        <v>52437.616257134017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311.05015384615399</v>
      </c>
      <c r="AT18">
        <v>425.334</v>
      </c>
      <c r="AU18">
        <f t="shared" si="27"/>
        <v>0.26869200711404684</v>
      </c>
      <c r="AV18">
        <v>0.5</v>
      </c>
      <c r="AW18">
        <f t="shared" si="28"/>
        <v>1681.1853770960793</v>
      </c>
      <c r="AX18">
        <f t="shared" si="29"/>
        <v>25.55846095720085</v>
      </c>
      <c r="AY18">
        <f t="shared" si="30"/>
        <v>225.86053665136563</v>
      </c>
      <c r="AZ18">
        <f t="shared" si="31"/>
        <v>0.51553367471210865</v>
      </c>
      <c r="BA18">
        <f t="shared" si="32"/>
        <v>1.5797461314513352E-2</v>
      </c>
      <c r="BB18">
        <f t="shared" si="33"/>
        <v>-1</v>
      </c>
      <c r="BC18" t="s">
        <v>291</v>
      </c>
      <c r="BD18">
        <v>206.06</v>
      </c>
      <c r="BE18">
        <f t="shared" si="34"/>
        <v>219.274</v>
      </c>
      <c r="BF18">
        <f t="shared" si="35"/>
        <v>0.52119196144479518</v>
      </c>
      <c r="BG18">
        <f t="shared" si="36"/>
        <v>2.0641269533145685</v>
      </c>
      <c r="BH18">
        <f t="shared" si="37"/>
        <v>0.26869200711404689</v>
      </c>
      <c r="BI18" t="e">
        <f t="shared" si="38"/>
        <v>#DIV/0!</v>
      </c>
      <c r="BJ18">
        <v>6565</v>
      </c>
      <c r="BK18">
        <v>300</v>
      </c>
      <c r="BL18">
        <v>300</v>
      </c>
      <c r="BM18">
        <v>300</v>
      </c>
      <c r="BN18">
        <v>9858.5</v>
      </c>
      <c r="BO18">
        <v>393.601</v>
      </c>
      <c r="BP18">
        <v>-6.5558700000000001E-3</v>
      </c>
      <c r="BQ18">
        <v>1.16919</v>
      </c>
      <c r="BR18">
        <f t="shared" si="39"/>
        <v>1999.98580645161</v>
      </c>
      <c r="BS18">
        <f t="shared" si="40"/>
        <v>1681.1853770960793</v>
      </c>
      <c r="BT18">
        <f t="shared" si="41"/>
        <v>0.84059865408687628</v>
      </c>
      <c r="BU18">
        <f t="shared" si="42"/>
        <v>0.19119730817375255</v>
      </c>
      <c r="BV18">
        <v>0.5</v>
      </c>
      <c r="BW18" t="s">
        <v>281</v>
      </c>
      <c r="BX18">
        <v>1598202846</v>
      </c>
      <c r="BY18">
        <v>288.63354838709699</v>
      </c>
      <c r="BZ18">
        <v>299.99687096774198</v>
      </c>
      <c r="CA18">
        <v>20.439170967741902</v>
      </c>
      <c r="CB18">
        <v>16.566732258064501</v>
      </c>
      <c r="CC18">
        <v>500.05377419354801</v>
      </c>
      <c r="CD18">
        <v>99.179277419354804</v>
      </c>
      <c r="CE18">
        <v>0.200007516129032</v>
      </c>
      <c r="CF18">
        <v>27.415474193548398</v>
      </c>
      <c r="CG18">
        <v>26.9833903225806</v>
      </c>
      <c r="CH18">
        <v>999.9</v>
      </c>
      <c r="CI18">
        <v>10013.3309677419</v>
      </c>
      <c r="CJ18">
        <v>0</v>
      </c>
      <c r="CK18">
        <v>73.326603225806494</v>
      </c>
      <c r="CL18">
        <v>1999.98580645161</v>
      </c>
      <c r="CM18">
        <v>0.97999535483871003</v>
      </c>
      <c r="CN18">
        <v>2.0004538709677399E-2</v>
      </c>
      <c r="CO18">
        <v>0</v>
      </c>
      <c r="CP18">
        <v>311.07519354838701</v>
      </c>
      <c r="CQ18">
        <v>5.00054</v>
      </c>
      <c r="CR18">
        <v>8196.8687096774192</v>
      </c>
      <c r="CS18">
        <v>18703.470967741901</v>
      </c>
      <c r="CT18">
        <v>50.590419354838701</v>
      </c>
      <c r="CU18">
        <v>51.348580645161299</v>
      </c>
      <c r="CV18">
        <v>50.856709677419303</v>
      </c>
      <c r="CW18">
        <v>50.616741935483901</v>
      </c>
      <c r="CX18">
        <v>51.887</v>
      </c>
      <c r="CY18">
        <v>1955.0758064516101</v>
      </c>
      <c r="CZ18">
        <v>39.909999999999997</v>
      </c>
      <c r="DA18">
        <v>0</v>
      </c>
      <c r="DB18">
        <v>121.60000014305101</v>
      </c>
      <c r="DC18">
        <v>311.05015384615399</v>
      </c>
      <c r="DD18">
        <v>-6.0006837664018899</v>
      </c>
      <c r="DE18">
        <v>-98.120000020177997</v>
      </c>
      <c r="DF18">
        <v>8196.0865384615408</v>
      </c>
      <c r="DG18">
        <v>15</v>
      </c>
      <c r="DH18">
        <v>1598202886</v>
      </c>
      <c r="DI18" t="s">
        <v>292</v>
      </c>
      <c r="DJ18">
        <v>32</v>
      </c>
      <c r="DK18">
        <v>-0.32300000000000001</v>
      </c>
      <c r="DL18">
        <v>0.107</v>
      </c>
      <c r="DM18">
        <v>300</v>
      </c>
      <c r="DN18">
        <v>17</v>
      </c>
      <c r="DO18">
        <v>0.23</v>
      </c>
      <c r="DP18">
        <v>0.03</v>
      </c>
      <c r="DQ18">
        <v>288.72110909090901</v>
      </c>
      <c r="DR18">
        <v>5.1956709956591803E-2</v>
      </c>
      <c r="DS18">
        <v>1.45035076977022E-2</v>
      </c>
      <c r="DT18">
        <v>1</v>
      </c>
      <c r="DU18">
        <v>20.448287272727299</v>
      </c>
      <c r="DV18">
        <v>-0.110630303030316</v>
      </c>
      <c r="DW18">
        <v>1.5770225738229501E-2</v>
      </c>
      <c r="DX18">
        <v>1</v>
      </c>
      <c r="DY18">
        <v>2</v>
      </c>
      <c r="DZ18">
        <v>2</v>
      </c>
      <c r="EA18" t="s">
        <v>283</v>
      </c>
      <c r="EB18">
        <v>1.86676</v>
      </c>
      <c r="EC18">
        <v>1.8632500000000001</v>
      </c>
      <c r="ED18">
        <v>1.86893</v>
      </c>
      <c r="EE18">
        <v>1.8668800000000001</v>
      </c>
      <c r="EF18">
        <v>1.8714999999999999</v>
      </c>
      <c r="EG18">
        <v>1.8640099999999999</v>
      </c>
      <c r="EH18">
        <v>1.8655600000000001</v>
      </c>
      <c r="EI18">
        <v>1.86548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-0.32300000000000001</v>
      </c>
      <c r="EX18">
        <v>0.107</v>
      </c>
      <c r="EY18">
        <v>2</v>
      </c>
      <c r="EZ18">
        <v>331.89499999999998</v>
      </c>
      <c r="FA18">
        <v>473.78300000000002</v>
      </c>
      <c r="FB18">
        <v>22.537299999999998</v>
      </c>
      <c r="FC18">
        <v>34.449599999999997</v>
      </c>
      <c r="FD18">
        <v>29.997900000000001</v>
      </c>
      <c r="FE18">
        <v>34.385599999999997</v>
      </c>
      <c r="FF18">
        <v>34.376899999999999</v>
      </c>
      <c r="FG18">
        <v>17.548999999999999</v>
      </c>
      <c r="FH18">
        <v>53.953699999999998</v>
      </c>
      <c r="FI18">
        <v>0</v>
      </c>
      <c r="FJ18">
        <v>22.561199999999999</v>
      </c>
      <c r="FK18">
        <v>300</v>
      </c>
      <c r="FL18">
        <v>16.4678</v>
      </c>
      <c r="FM18">
        <v>100.66800000000001</v>
      </c>
      <c r="FN18">
        <v>101.084</v>
      </c>
    </row>
    <row r="19" spans="1:170" x14ac:dyDescent="0.25">
      <c r="A19">
        <v>3</v>
      </c>
      <c r="B19">
        <v>1598202977.5</v>
      </c>
      <c r="C19">
        <v>246</v>
      </c>
      <c r="D19" t="s">
        <v>293</v>
      </c>
      <c r="E19" t="s">
        <v>294</v>
      </c>
      <c r="G19">
        <v>1598202969.5</v>
      </c>
      <c r="H19">
        <f t="shared" si="0"/>
        <v>9.4942009713103997E-3</v>
      </c>
      <c r="I19">
        <f t="shared" si="1"/>
        <v>16.026488613270956</v>
      </c>
      <c r="J19">
        <f t="shared" si="2"/>
        <v>192.85064516129</v>
      </c>
      <c r="K19">
        <f t="shared" si="3"/>
        <v>145.03529659143891</v>
      </c>
      <c r="L19">
        <f t="shared" si="4"/>
        <v>14.413011142154049</v>
      </c>
      <c r="M19">
        <f t="shared" si="5"/>
        <v>19.164703784563713</v>
      </c>
      <c r="N19">
        <f t="shared" si="6"/>
        <v>0.64298695753461155</v>
      </c>
      <c r="O19">
        <f t="shared" si="7"/>
        <v>3.3794033349420962</v>
      </c>
      <c r="P19">
        <f t="shared" si="8"/>
        <v>0.58195216469681743</v>
      </c>
      <c r="Q19">
        <f t="shared" si="9"/>
        <v>0.36871982864886799</v>
      </c>
      <c r="R19">
        <f t="shared" si="10"/>
        <v>321.44331532584698</v>
      </c>
      <c r="S19">
        <f t="shared" si="11"/>
        <v>26.870905479246336</v>
      </c>
      <c r="T19">
        <f t="shared" si="12"/>
        <v>27.019412903225799</v>
      </c>
      <c r="U19">
        <f t="shared" si="13"/>
        <v>3.5832425669785795</v>
      </c>
      <c r="V19">
        <f t="shared" si="14"/>
        <v>54.878816334743632</v>
      </c>
      <c r="W19">
        <f t="shared" si="15"/>
        <v>2.0075900520002179</v>
      </c>
      <c r="X19">
        <f t="shared" si="16"/>
        <v>3.6582240399547725</v>
      </c>
      <c r="Y19">
        <f t="shared" si="17"/>
        <v>1.5756525149783616</v>
      </c>
      <c r="Z19">
        <f t="shared" si="18"/>
        <v>-418.69426283478862</v>
      </c>
      <c r="AA19">
        <f t="shared" si="19"/>
        <v>64.336129312277563</v>
      </c>
      <c r="AB19">
        <f t="shared" si="20"/>
        <v>4.1166207310171865</v>
      </c>
      <c r="AC19">
        <f t="shared" si="21"/>
        <v>-28.798197465646894</v>
      </c>
      <c r="AD19">
        <v>-4.11288977168301E-2</v>
      </c>
      <c r="AE19">
        <v>4.61707907764735E-2</v>
      </c>
      <c r="AF19">
        <v>3.4515773442564699</v>
      </c>
      <c r="AG19">
        <v>151</v>
      </c>
      <c r="AH19">
        <v>30</v>
      </c>
      <c r="AI19">
        <f t="shared" si="22"/>
        <v>1</v>
      </c>
      <c r="AJ19">
        <f t="shared" si="23"/>
        <v>0</v>
      </c>
      <c r="AK19">
        <f t="shared" si="24"/>
        <v>52380.643516973709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295</v>
      </c>
      <c r="AS19">
        <v>301.79992307692299</v>
      </c>
      <c r="AT19">
        <v>394.72199999999998</v>
      </c>
      <c r="AU19">
        <f t="shared" si="27"/>
        <v>0.23541144634217748</v>
      </c>
      <c r="AV19">
        <v>0.5</v>
      </c>
      <c r="AW19">
        <f t="shared" si="28"/>
        <v>1681.2176125801095</v>
      </c>
      <c r="AX19">
        <f t="shared" si="29"/>
        <v>16.026488613270956</v>
      </c>
      <c r="AY19">
        <f t="shared" si="30"/>
        <v>197.8889348967131</v>
      </c>
      <c r="AZ19">
        <f t="shared" si="31"/>
        <v>0.46321715029818455</v>
      </c>
      <c r="BA19">
        <f t="shared" si="32"/>
        <v>1.0127474567162642E-2</v>
      </c>
      <c r="BB19">
        <f t="shared" si="33"/>
        <v>-1</v>
      </c>
      <c r="BC19" t="s">
        <v>296</v>
      </c>
      <c r="BD19">
        <v>211.88</v>
      </c>
      <c r="BE19">
        <f t="shared" si="34"/>
        <v>182.84199999999998</v>
      </c>
      <c r="BF19">
        <f t="shared" si="35"/>
        <v>0.50820969428838558</v>
      </c>
      <c r="BG19">
        <f t="shared" si="36"/>
        <v>1.8629507268265055</v>
      </c>
      <c r="BH19">
        <f t="shared" si="37"/>
        <v>0.2354114463421775</v>
      </c>
      <c r="BI19" t="e">
        <f t="shared" si="38"/>
        <v>#DIV/0!</v>
      </c>
      <c r="BJ19">
        <v>6567</v>
      </c>
      <c r="BK19">
        <v>300</v>
      </c>
      <c r="BL19">
        <v>300</v>
      </c>
      <c r="BM19">
        <v>300</v>
      </c>
      <c r="BN19">
        <v>9860.42</v>
      </c>
      <c r="BO19">
        <v>368.74</v>
      </c>
      <c r="BP19">
        <v>-6.5570100000000003E-3</v>
      </c>
      <c r="BQ19">
        <v>1.2985800000000001</v>
      </c>
      <c r="BR19">
        <f t="shared" si="39"/>
        <v>2000.0248387096799</v>
      </c>
      <c r="BS19">
        <f t="shared" si="40"/>
        <v>1681.2176125801095</v>
      </c>
      <c r="BT19">
        <f t="shared" si="41"/>
        <v>0.84059836660066212</v>
      </c>
      <c r="BU19">
        <f t="shared" si="42"/>
        <v>0.19119673320132452</v>
      </c>
      <c r="BV19">
        <v>0.5</v>
      </c>
      <c r="BW19" t="s">
        <v>281</v>
      </c>
      <c r="BX19">
        <v>1598202969.5</v>
      </c>
      <c r="BY19">
        <v>192.85064516129</v>
      </c>
      <c r="BZ19">
        <v>199.992774193548</v>
      </c>
      <c r="CA19">
        <v>20.201983870967702</v>
      </c>
      <c r="CB19">
        <v>16.4814677419355</v>
      </c>
      <c r="CC19">
        <v>500.05961290322603</v>
      </c>
      <c r="CD19">
        <v>99.175916129032302</v>
      </c>
      <c r="CE19">
        <v>0.199970161290323</v>
      </c>
      <c r="CF19">
        <v>27.3725387096774</v>
      </c>
      <c r="CG19">
        <v>27.019412903225799</v>
      </c>
      <c r="CH19">
        <v>999.9</v>
      </c>
      <c r="CI19">
        <v>10000.8490322581</v>
      </c>
      <c r="CJ19">
        <v>0</v>
      </c>
      <c r="CK19">
        <v>61.852922580645199</v>
      </c>
      <c r="CL19">
        <v>2000.0248387096799</v>
      </c>
      <c r="CM19">
        <v>0.98000335483870904</v>
      </c>
      <c r="CN19">
        <v>1.9996425806451602E-2</v>
      </c>
      <c r="CO19">
        <v>0</v>
      </c>
      <c r="CP19">
        <v>301.837516129032</v>
      </c>
      <c r="CQ19">
        <v>5.00054</v>
      </c>
      <c r="CR19">
        <v>8007.6909677419399</v>
      </c>
      <c r="CS19">
        <v>18703.877419354802</v>
      </c>
      <c r="CT19">
        <v>50.251645161290298</v>
      </c>
      <c r="CU19">
        <v>51.0078064516129</v>
      </c>
      <c r="CV19">
        <v>50.499741935483897</v>
      </c>
      <c r="CW19">
        <v>50.098451612903197</v>
      </c>
      <c r="CX19">
        <v>51.531999999999996</v>
      </c>
      <c r="CY19">
        <v>1955.1332258064499</v>
      </c>
      <c r="CZ19">
        <v>39.891612903225798</v>
      </c>
      <c r="DA19">
        <v>0</v>
      </c>
      <c r="DB19">
        <v>123.200000047684</v>
      </c>
      <c r="DC19">
        <v>301.79992307692299</v>
      </c>
      <c r="DD19">
        <v>-2.6090256414052999</v>
      </c>
      <c r="DE19">
        <v>-87.931281938764798</v>
      </c>
      <c r="DF19">
        <v>8006.5973076923101</v>
      </c>
      <c r="DG19">
        <v>15</v>
      </c>
      <c r="DH19">
        <v>1598203005.5</v>
      </c>
      <c r="DI19" t="s">
        <v>297</v>
      </c>
      <c r="DJ19">
        <v>33</v>
      </c>
      <c r="DK19">
        <v>-0.317</v>
      </c>
      <c r="DL19">
        <v>0.106</v>
      </c>
      <c r="DM19">
        <v>200</v>
      </c>
      <c r="DN19">
        <v>16</v>
      </c>
      <c r="DO19">
        <v>0.19</v>
      </c>
      <c r="DP19">
        <v>0.03</v>
      </c>
      <c r="DQ19">
        <v>192.845709090909</v>
      </c>
      <c r="DR19">
        <v>-1.05800865800683E-2</v>
      </c>
      <c r="DS19">
        <v>1.04144527674884E-2</v>
      </c>
      <c r="DT19">
        <v>1</v>
      </c>
      <c r="DU19">
        <v>20.213738181818201</v>
      </c>
      <c r="DV19">
        <v>-9.6517748917754304E-2</v>
      </c>
      <c r="DW19">
        <v>1.2840879195459899E-2</v>
      </c>
      <c r="DX19">
        <v>1</v>
      </c>
      <c r="DY19">
        <v>2</v>
      </c>
      <c r="DZ19">
        <v>2</v>
      </c>
      <c r="EA19" t="s">
        <v>283</v>
      </c>
      <c r="EB19">
        <v>1.86676</v>
      </c>
      <c r="EC19">
        <v>1.8632599999999999</v>
      </c>
      <c r="ED19">
        <v>1.86893</v>
      </c>
      <c r="EE19">
        <v>1.8668800000000001</v>
      </c>
      <c r="EF19">
        <v>1.8715200000000001</v>
      </c>
      <c r="EG19">
        <v>1.8640099999999999</v>
      </c>
      <c r="EH19">
        <v>1.8655600000000001</v>
      </c>
      <c r="EI19">
        <v>1.86551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-0.317</v>
      </c>
      <c r="EX19">
        <v>0.106</v>
      </c>
      <c r="EY19">
        <v>2</v>
      </c>
      <c r="EZ19">
        <v>331.39299999999997</v>
      </c>
      <c r="FA19">
        <v>473.61200000000002</v>
      </c>
      <c r="FB19">
        <v>22.251000000000001</v>
      </c>
      <c r="FC19">
        <v>34.465200000000003</v>
      </c>
      <c r="FD19">
        <v>30.0001</v>
      </c>
      <c r="FE19">
        <v>34.435899999999997</v>
      </c>
      <c r="FF19">
        <v>34.432600000000001</v>
      </c>
      <c r="FG19">
        <v>12.8864</v>
      </c>
      <c r="FH19">
        <v>54.237200000000001</v>
      </c>
      <c r="FI19">
        <v>0</v>
      </c>
      <c r="FJ19">
        <v>22.247499999999999</v>
      </c>
      <c r="FK19">
        <v>200</v>
      </c>
      <c r="FL19">
        <v>16.534300000000002</v>
      </c>
      <c r="FM19">
        <v>100.65900000000001</v>
      </c>
      <c r="FN19">
        <v>101.078</v>
      </c>
    </row>
    <row r="20" spans="1:170" x14ac:dyDescent="0.25">
      <c r="A20">
        <v>4</v>
      </c>
      <c r="B20">
        <v>1598203097</v>
      </c>
      <c r="C20">
        <v>365.5</v>
      </c>
      <c r="D20" t="s">
        <v>298</v>
      </c>
      <c r="E20" t="s">
        <v>299</v>
      </c>
      <c r="G20">
        <v>1598203089</v>
      </c>
      <c r="H20">
        <f t="shared" si="0"/>
        <v>9.2369671832399601E-3</v>
      </c>
      <c r="I20">
        <f t="shared" si="1"/>
        <v>5.8047709317745113</v>
      </c>
      <c r="J20">
        <f t="shared" si="2"/>
        <v>97.327703225806403</v>
      </c>
      <c r="K20">
        <f t="shared" si="3"/>
        <v>78.75685026376155</v>
      </c>
      <c r="L20">
        <f t="shared" si="4"/>
        <v>7.8261005594510991</v>
      </c>
      <c r="M20">
        <f t="shared" si="5"/>
        <v>9.6714938461175866</v>
      </c>
      <c r="N20">
        <f t="shared" si="6"/>
        <v>0.61961709666412734</v>
      </c>
      <c r="O20">
        <f t="shared" si="7"/>
        <v>3.3776580996432224</v>
      </c>
      <c r="P20">
        <f t="shared" si="8"/>
        <v>0.56270201880203408</v>
      </c>
      <c r="Q20">
        <f t="shared" si="9"/>
        <v>0.35636567508933076</v>
      </c>
      <c r="R20">
        <f t="shared" si="10"/>
        <v>321.44434039658375</v>
      </c>
      <c r="S20">
        <f t="shared" si="11"/>
        <v>26.805270005375615</v>
      </c>
      <c r="T20">
        <f t="shared" si="12"/>
        <v>27.005783870967701</v>
      </c>
      <c r="U20">
        <f t="shared" si="13"/>
        <v>3.5803757173977298</v>
      </c>
      <c r="V20">
        <f t="shared" si="14"/>
        <v>54.93020667872922</v>
      </c>
      <c r="W20">
        <f t="shared" si="15"/>
        <v>1.9949331193295705</v>
      </c>
      <c r="X20">
        <f t="shared" si="16"/>
        <v>3.6317597182864305</v>
      </c>
      <c r="Y20">
        <f t="shared" si="17"/>
        <v>1.5854425980681592</v>
      </c>
      <c r="Z20">
        <f t="shared" si="18"/>
        <v>-407.35025278088222</v>
      </c>
      <c r="AA20">
        <f t="shared" si="19"/>
        <v>44.221793593484733</v>
      </c>
      <c r="AB20">
        <f t="shared" si="20"/>
        <v>2.829098382051304</v>
      </c>
      <c r="AC20">
        <f t="shared" si="21"/>
        <v>-38.855020408762414</v>
      </c>
      <c r="AD20">
        <v>-4.1101920383631002E-2</v>
      </c>
      <c r="AE20">
        <v>4.6140506356613202E-2</v>
      </c>
      <c r="AF20">
        <v>3.4497847684645202</v>
      </c>
      <c r="AG20">
        <v>150</v>
      </c>
      <c r="AH20">
        <v>30</v>
      </c>
      <c r="AI20">
        <f t="shared" si="22"/>
        <v>1</v>
      </c>
      <c r="AJ20">
        <f t="shared" si="23"/>
        <v>0</v>
      </c>
      <c r="AK20">
        <f t="shared" si="24"/>
        <v>52369.172106571212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300</v>
      </c>
      <c r="AS20">
        <v>301.58023076923098</v>
      </c>
      <c r="AT20">
        <v>371.77699999999999</v>
      </c>
      <c r="AU20">
        <f t="shared" si="27"/>
        <v>0.18881417955056123</v>
      </c>
      <c r="AV20">
        <v>0.5</v>
      </c>
      <c r="AW20">
        <f t="shared" si="28"/>
        <v>1681.2203512897011</v>
      </c>
      <c r="AX20">
        <f t="shared" si="29"/>
        <v>5.8047709317745113</v>
      </c>
      <c r="AY20">
        <f t="shared" si="30"/>
        <v>158.71912063623563</v>
      </c>
      <c r="AZ20">
        <f t="shared" si="31"/>
        <v>0.42105079120010108</v>
      </c>
      <c r="BA20">
        <f t="shared" si="32"/>
        <v>4.0475187720362899E-3</v>
      </c>
      <c r="BB20">
        <f t="shared" si="33"/>
        <v>-1</v>
      </c>
      <c r="BC20" t="s">
        <v>301</v>
      </c>
      <c r="BD20">
        <v>215.24</v>
      </c>
      <c r="BE20">
        <f t="shared" si="34"/>
        <v>156.53699999999998</v>
      </c>
      <c r="BF20">
        <f t="shared" si="35"/>
        <v>0.4484356364997989</v>
      </c>
      <c r="BG20">
        <f t="shared" si="36"/>
        <v>1.7272672365731276</v>
      </c>
      <c r="BH20">
        <f t="shared" si="37"/>
        <v>0.18881417955056126</v>
      </c>
      <c r="BI20" t="e">
        <f t="shared" si="38"/>
        <v>#DIV/0!</v>
      </c>
      <c r="BJ20">
        <v>6569</v>
      </c>
      <c r="BK20">
        <v>300</v>
      </c>
      <c r="BL20">
        <v>300</v>
      </c>
      <c r="BM20">
        <v>300</v>
      </c>
      <c r="BN20">
        <v>9863.3700000000008</v>
      </c>
      <c r="BO20">
        <v>355.815</v>
      </c>
      <c r="BP20">
        <v>-6.5594299999999998E-3</v>
      </c>
      <c r="BQ20">
        <v>1.7130700000000001</v>
      </c>
      <c r="BR20">
        <f t="shared" si="39"/>
        <v>2000.02774193548</v>
      </c>
      <c r="BS20">
        <f t="shared" si="40"/>
        <v>1681.2203512897011</v>
      </c>
      <c r="BT20">
        <f t="shared" si="41"/>
        <v>0.84059851572995659</v>
      </c>
      <c r="BU20">
        <f t="shared" si="42"/>
        <v>0.19119703145991349</v>
      </c>
      <c r="BV20">
        <v>0.5</v>
      </c>
      <c r="BW20" t="s">
        <v>281</v>
      </c>
      <c r="BX20">
        <v>1598203089</v>
      </c>
      <c r="BY20">
        <v>97.327703225806403</v>
      </c>
      <c r="BZ20">
        <v>100.008909677419</v>
      </c>
      <c r="CA20">
        <v>20.075725806451601</v>
      </c>
      <c r="CB20">
        <v>16.455529032258099</v>
      </c>
      <c r="CC20">
        <v>500.05725806451602</v>
      </c>
      <c r="CD20">
        <v>99.1704096774194</v>
      </c>
      <c r="CE20">
        <v>0.20000106451612901</v>
      </c>
      <c r="CF20">
        <v>27.2486322580645</v>
      </c>
      <c r="CG20">
        <v>27.005783870967701</v>
      </c>
      <c r="CH20">
        <v>999.9</v>
      </c>
      <c r="CI20">
        <v>9994.8441935483897</v>
      </c>
      <c r="CJ20">
        <v>0</v>
      </c>
      <c r="CK20">
        <v>58.921580645161299</v>
      </c>
      <c r="CL20">
        <v>2000.02774193548</v>
      </c>
      <c r="CM20">
        <v>0.979998451612903</v>
      </c>
      <c r="CN20">
        <v>2.00015419354839E-2</v>
      </c>
      <c r="CO20">
        <v>0</v>
      </c>
      <c r="CP20">
        <v>301.58280645161301</v>
      </c>
      <c r="CQ20">
        <v>5.00054</v>
      </c>
      <c r="CR20">
        <v>7970.2548387096804</v>
      </c>
      <c r="CS20">
        <v>18703.9032258064</v>
      </c>
      <c r="CT20">
        <v>49.396967741935498</v>
      </c>
      <c r="CU20">
        <v>50.404967741935501</v>
      </c>
      <c r="CV20">
        <v>49.681258064516101</v>
      </c>
      <c r="CW20">
        <v>49.366741935483901</v>
      </c>
      <c r="CX20">
        <v>50.743709677419297</v>
      </c>
      <c r="CY20">
        <v>1955.12612903226</v>
      </c>
      <c r="CZ20">
        <v>39.901612903225796</v>
      </c>
      <c r="DA20">
        <v>0</v>
      </c>
      <c r="DB20">
        <v>119</v>
      </c>
      <c r="DC20">
        <v>301.58023076923098</v>
      </c>
      <c r="DD20">
        <v>-2.2439658143522299</v>
      </c>
      <c r="DE20">
        <v>-50.493333450910498</v>
      </c>
      <c r="DF20">
        <v>7969.8080769230801</v>
      </c>
      <c r="DG20">
        <v>15</v>
      </c>
      <c r="DH20">
        <v>1598203131</v>
      </c>
      <c r="DI20" t="s">
        <v>302</v>
      </c>
      <c r="DJ20">
        <v>34</v>
      </c>
      <c r="DK20">
        <v>-0.25800000000000001</v>
      </c>
      <c r="DL20">
        <v>0.109</v>
      </c>
      <c r="DM20">
        <v>100</v>
      </c>
      <c r="DN20">
        <v>16</v>
      </c>
      <c r="DO20">
        <v>0.27</v>
      </c>
      <c r="DP20">
        <v>0.03</v>
      </c>
      <c r="DQ20">
        <v>97.265138181818202</v>
      </c>
      <c r="DR20">
        <v>2.2328138528134301E-2</v>
      </c>
      <c r="DS20">
        <v>1.1497438306132301E-2</v>
      </c>
      <c r="DT20">
        <v>1</v>
      </c>
      <c r="DU20">
        <v>20.077669090909101</v>
      </c>
      <c r="DV20">
        <v>-4.2872727272718701E-2</v>
      </c>
      <c r="DW20">
        <v>5.8753064980714099E-3</v>
      </c>
      <c r="DX20">
        <v>1</v>
      </c>
      <c r="DY20">
        <v>2</v>
      </c>
      <c r="DZ20">
        <v>2</v>
      </c>
      <c r="EA20" t="s">
        <v>283</v>
      </c>
      <c r="EB20">
        <v>1.86676</v>
      </c>
      <c r="EC20">
        <v>1.8632500000000001</v>
      </c>
      <c r="ED20">
        <v>1.86893</v>
      </c>
      <c r="EE20">
        <v>1.8668800000000001</v>
      </c>
      <c r="EF20">
        <v>1.87151</v>
      </c>
      <c r="EG20">
        <v>1.86399</v>
      </c>
      <c r="EH20">
        <v>1.8655600000000001</v>
      </c>
      <c r="EI20">
        <v>1.8655200000000001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-0.25800000000000001</v>
      </c>
      <c r="EX20">
        <v>0.109</v>
      </c>
      <c r="EY20">
        <v>2</v>
      </c>
      <c r="EZ20">
        <v>331.94</v>
      </c>
      <c r="FA20">
        <v>473.31799999999998</v>
      </c>
      <c r="FB20">
        <v>22.281099999999999</v>
      </c>
      <c r="FC20">
        <v>34.504600000000003</v>
      </c>
      <c r="FD20">
        <v>30.0002</v>
      </c>
      <c r="FE20">
        <v>34.491700000000002</v>
      </c>
      <c r="FF20">
        <v>34.491599999999998</v>
      </c>
      <c r="FG20">
        <v>8.0404</v>
      </c>
      <c r="FH20">
        <v>54.421799999999998</v>
      </c>
      <c r="FI20">
        <v>0</v>
      </c>
      <c r="FJ20">
        <v>22.420200000000001</v>
      </c>
      <c r="FK20">
        <v>100</v>
      </c>
      <c r="FL20">
        <v>16.5063</v>
      </c>
      <c r="FM20">
        <v>100.64700000000001</v>
      </c>
      <c r="FN20">
        <v>101.06699999999999</v>
      </c>
    </row>
    <row r="21" spans="1:170" x14ac:dyDescent="0.25">
      <c r="A21">
        <v>5</v>
      </c>
      <c r="B21">
        <v>1598203222.5</v>
      </c>
      <c r="C21">
        <v>491</v>
      </c>
      <c r="D21" t="s">
        <v>303</v>
      </c>
      <c r="E21" t="s">
        <v>304</v>
      </c>
      <c r="G21">
        <v>1598203214.5032301</v>
      </c>
      <c r="H21">
        <f t="shared" si="0"/>
        <v>9.3195773825307856E-3</v>
      </c>
      <c r="I21">
        <f t="shared" si="1"/>
        <v>0.71601766049500981</v>
      </c>
      <c r="J21">
        <f t="shared" si="2"/>
        <v>49.540764516129002</v>
      </c>
      <c r="K21">
        <f t="shared" si="3"/>
        <v>46.318862914208971</v>
      </c>
      <c r="L21">
        <f t="shared" si="4"/>
        <v>4.6022792114915481</v>
      </c>
      <c r="M21">
        <f t="shared" si="5"/>
        <v>4.9224099278144475</v>
      </c>
      <c r="N21">
        <f t="shared" si="6"/>
        <v>0.6280743061862647</v>
      </c>
      <c r="O21">
        <f t="shared" si="7"/>
        <v>3.3818125569180761</v>
      </c>
      <c r="P21">
        <f t="shared" si="8"/>
        <v>0.56973786467795806</v>
      </c>
      <c r="Q21">
        <f t="shared" si="9"/>
        <v>0.36087485342535519</v>
      </c>
      <c r="R21">
        <f t="shared" si="10"/>
        <v>321.43914831464349</v>
      </c>
      <c r="S21">
        <f t="shared" si="11"/>
        <v>26.779356448559902</v>
      </c>
      <c r="T21">
        <f t="shared" si="12"/>
        <v>26.991319354838701</v>
      </c>
      <c r="U21">
        <f t="shared" si="13"/>
        <v>3.5773353151191811</v>
      </c>
      <c r="V21">
        <f t="shared" si="14"/>
        <v>55.028807556461381</v>
      </c>
      <c r="W21">
        <f t="shared" si="15"/>
        <v>1.9976219331897265</v>
      </c>
      <c r="X21">
        <f t="shared" si="16"/>
        <v>3.6301385072538603</v>
      </c>
      <c r="Y21">
        <f t="shared" si="17"/>
        <v>1.5797133819294547</v>
      </c>
      <c r="Z21">
        <f t="shared" si="18"/>
        <v>-410.99336256960765</v>
      </c>
      <c r="AA21">
        <f t="shared" si="19"/>
        <v>45.524785428649494</v>
      </c>
      <c r="AB21">
        <f t="shared" si="20"/>
        <v>2.9085587109608566</v>
      </c>
      <c r="AC21">
        <f t="shared" si="21"/>
        <v>-41.120870115353824</v>
      </c>
      <c r="AD21">
        <v>-4.1166149013938898E-2</v>
      </c>
      <c r="AE21">
        <v>4.6212608620870899E-2</v>
      </c>
      <c r="AF21">
        <v>3.4540519357320898</v>
      </c>
      <c r="AG21">
        <v>151</v>
      </c>
      <c r="AH21">
        <v>30</v>
      </c>
      <c r="AI21">
        <f t="shared" si="22"/>
        <v>1</v>
      </c>
      <c r="AJ21">
        <f t="shared" si="23"/>
        <v>0</v>
      </c>
      <c r="AK21">
        <f t="shared" si="24"/>
        <v>52448.776968717379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305</v>
      </c>
      <c r="AS21">
        <v>301.93700000000001</v>
      </c>
      <c r="AT21">
        <v>361.875</v>
      </c>
      <c r="AU21">
        <f t="shared" si="27"/>
        <v>0.16563177892918823</v>
      </c>
      <c r="AV21">
        <v>0.5</v>
      </c>
      <c r="AW21">
        <f t="shared" si="28"/>
        <v>1681.1907964509246</v>
      </c>
      <c r="AX21">
        <f t="shared" si="29"/>
        <v>0.71601766049500981</v>
      </c>
      <c r="AY21">
        <f t="shared" si="30"/>
        <v>139.22931116777272</v>
      </c>
      <c r="AZ21">
        <f t="shared" si="31"/>
        <v>0.39548186528497414</v>
      </c>
      <c r="BA21">
        <f t="shared" si="32"/>
        <v>1.0207155928509757E-3</v>
      </c>
      <c r="BB21">
        <f t="shared" si="33"/>
        <v>-1</v>
      </c>
      <c r="BC21" t="s">
        <v>306</v>
      </c>
      <c r="BD21">
        <v>218.76</v>
      </c>
      <c r="BE21">
        <f t="shared" si="34"/>
        <v>143.11500000000001</v>
      </c>
      <c r="BF21">
        <f t="shared" si="35"/>
        <v>0.41881004786360609</v>
      </c>
      <c r="BG21">
        <f t="shared" si="36"/>
        <v>1.65421009325288</v>
      </c>
      <c r="BH21">
        <f t="shared" si="37"/>
        <v>0.16563177892918823</v>
      </c>
      <c r="BI21" t="e">
        <f t="shared" si="38"/>
        <v>#DIV/0!</v>
      </c>
      <c r="BJ21">
        <v>6571</v>
      </c>
      <c r="BK21">
        <v>300</v>
      </c>
      <c r="BL21">
        <v>300</v>
      </c>
      <c r="BM21">
        <v>300</v>
      </c>
      <c r="BN21">
        <v>9865.51</v>
      </c>
      <c r="BO21">
        <v>348.53699999999998</v>
      </c>
      <c r="BP21">
        <v>-6.5612300000000004E-3</v>
      </c>
      <c r="BQ21">
        <v>1.3702099999999999</v>
      </c>
      <c r="BR21">
        <f t="shared" si="39"/>
        <v>1999.99225806452</v>
      </c>
      <c r="BS21">
        <f t="shared" si="40"/>
        <v>1681.1907964509246</v>
      </c>
      <c r="BT21">
        <f t="shared" si="41"/>
        <v>0.84059865215572704</v>
      </c>
      <c r="BU21">
        <f t="shared" si="42"/>
        <v>0.19119730431145421</v>
      </c>
      <c r="BV21">
        <v>0.5</v>
      </c>
      <c r="BW21" t="s">
        <v>281</v>
      </c>
      <c r="BX21">
        <v>1598203214.5032301</v>
      </c>
      <c r="BY21">
        <v>49.540764516129002</v>
      </c>
      <c r="BZ21">
        <v>50.011800000000001</v>
      </c>
      <c r="CA21">
        <v>20.104729032258099</v>
      </c>
      <c r="CB21">
        <v>16.452241935483901</v>
      </c>
      <c r="CC21">
        <v>500.05432258064502</v>
      </c>
      <c r="CD21">
        <v>99.160822580645203</v>
      </c>
      <c r="CE21">
        <v>0.19997606451612901</v>
      </c>
      <c r="CF21">
        <v>27.2410161290323</v>
      </c>
      <c r="CG21">
        <v>26.991319354838701</v>
      </c>
      <c r="CH21">
        <v>999.9</v>
      </c>
      <c r="CI21">
        <v>10011.430645161299</v>
      </c>
      <c r="CJ21">
        <v>0</v>
      </c>
      <c r="CK21">
        <v>57.247838709677403</v>
      </c>
      <c r="CL21">
        <v>1999.99225806452</v>
      </c>
      <c r="CM21">
        <v>0.97999512903225805</v>
      </c>
      <c r="CN21">
        <v>2.0005138709677399E-2</v>
      </c>
      <c r="CO21">
        <v>0</v>
      </c>
      <c r="CP21">
        <v>301.95048387096801</v>
      </c>
      <c r="CQ21">
        <v>5.00054</v>
      </c>
      <c r="CR21">
        <v>7908.12387096774</v>
      </c>
      <c r="CS21">
        <v>18703.5225806452</v>
      </c>
      <c r="CT21">
        <v>48.800129032258099</v>
      </c>
      <c r="CU21">
        <v>49.953258064516099</v>
      </c>
      <c r="CV21">
        <v>49.098516129032198</v>
      </c>
      <c r="CW21">
        <v>49.0017741935484</v>
      </c>
      <c r="CX21">
        <v>50.209451612903202</v>
      </c>
      <c r="CY21">
        <v>1955.0822580645199</v>
      </c>
      <c r="CZ21">
        <v>39.909999999999997</v>
      </c>
      <c r="DA21">
        <v>0</v>
      </c>
      <c r="DB21">
        <v>125</v>
      </c>
      <c r="DC21">
        <v>301.93700000000001</v>
      </c>
      <c r="DD21">
        <v>-0.245059839891558</v>
      </c>
      <c r="DE21">
        <v>-47.030427364169</v>
      </c>
      <c r="DF21">
        <v>7907.5115384615401</v>
      </c>
      <c r="DG21">
        <v>15</v>
      </c>
      <c r="DH21">
        <v>1598203253.5</v>
      </c>
      <c r="DI21" t="s">
        <v>307</v>
      </c>
      <c r="DJ21">
        <v>35</v>
      </c>
      <c r="DK21">
        <v>-0.254</v>
      </c>
      <c r="DL21">
        <v>0.109</v>
      </c>
      <c r="DM21">
        <v>50</v>
      </c>
      <c r="DN21">
        <v>16</v>
      </c>
      <c r="DO21">
        <v>0.38</v>
      </c>
      <c r="DP21">
        <v>0.02</v>
      </c>
      <c r="DQ21">
        <v>49.537265454545498</v>
      </c>
      <c r="DR21">
        <v>2.22612044517996E-3</v>
      </c>
      <c r="DS21">
        <v>7.2687930267768897E-3</v>
      </c>
      <c r="DT21">
        <v>1</v>
      </c>
      <c r="DU21">
        <v>20.102087272727299</v>
      </c>
      <c r="DV21">
        <v>2.4365512970354601E-2</v>
      </c>
      <c r="DW21">
        <v>3.3956686071017401E-3</v>
      </c>
      <c r="DX21">
        <v>1</v>
      </c>
      <c r="DY21">
        <v>2</v>
      </c>
      <c r="DZ21">
        <v>2</v>
      </c>
      <c r="EA21" t="s">
        <v>283</v>
      </c>
      <c r="EB21">
        <v>1.86676</v>
      </c>
      <c r="EC21">
        <v>1.86327</v>
      </c>
      <c r="ED21">
        <v>1.8689800000000001</v>
      </c>
      <c r="EE21">
        <v>1.8669</v>
      </c>
      <c r="EF21">
        <v>1.87155</v>
      </c>
      <c r="EG21">
        <v>1.8640099999999999</v>
      </c>
      <c r="EH21">
        <v>1.86557</v>
      </c>
      <c r="EI21">
        <v>1.8655200000000001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-0.254</v>
      </c>
      <c r="EX21">
        <v>0.109</v>
      </c>
      <c r="EY21">
        <v>2</v>
      </c>
      <c r="EZ21">
        <v>331.01499999999999</v>
      </c>
      <c r="FA21">
        <v>472.73200000000003</v>
      </c>
      <c r="FB21">
        <v>22.5396</v>
      </c>
      <c r="FC21">
        <v>34.571800000000003</v>
      </c>
      <c r="FD21">
        <v>29.998799999999999</v>
      </c>
      <c r="FE21">
        <v>34.563600000000001</v>
      </c>
      <c r="FF21">
        <v>34.563000000000002</v>
      </c>
      <c r="FG21">
        <v>5.5954800000000002</v>
      </c>
      <c r="FH21">
        <v>54.773200000000003</v>
      </c>
      <c r="FI21">
        <v>0</v>
      </c>
      <c r="FJ21">
        <v>22.5762</v>
      </c>
      <c r="FK21">
        <v>50</v>
      </c>
      <c r="FL21">
        <v>16.407399999999999</v>
      </c>
      <c r="FM21">
        <v>100.63500000000001</v>
      </c>
      <c r="FN21">
        <v>101.05500000000001</v>
      </c>
    </row>
    <row r="22" spans="1:170" x14ac:dyDescent="0.25">
      <c r="A22">
        <v>6</v>
      </c>
      <c r="B22">
        <v>1598203345</v>
      </c>
      <c r="C22">
        <v>613.5</v>
      </c>
      <c r="D22" t="s">
        <v>308</v>
      </c>
      <c r="E22" t="s">
        <v>309</v>
      </c>
      <c r="G22">
        <v>1598203337.0032301</v>
      </c>
      <c r="H22">
        <f t="shared" si="0"/>
        <v>9.3386615412136744E-3</v>
      </c>
      <c r="I22">
        <f t="shared" si="1"/>
        <v>33.524524263332665</v>
      </c>
      <c r="J22">
        <f t="shared" si="2"/>
        <v>385.18045161290303</v>
      </c>
      <c r="K22">
        <f t="shared" si="3"/>
        <v>283.8462799858915</v>
      </c>
      <c r="L22">
        <f t="shared" si="4"/>
        <v>28.202062713562363</v>
      </c>
      <c r="M22">
        <f t="shared" si="5"/>
        <v>38.270303394377059</v>
      </c>
      <c r="N22">
        <f t="shared" si="6"/>
        <v>0.62961323251165446</v>
      </c>
      <c r="O22">
        <f t="shared" si="7"/>
        <v>3.3784573843540877</v>
      </c>
      <c r="P22">
        <f t="shared" si="8"/>
        <v>0.57095242215298136</v>
      </c>
      <c r="Q22">
        <f t="shared" si="9"/>
        <v>0.36165915977919205</v>
      </c>
      <c r="R22">
        <f t="shared" si="10"/>
        <v>321.44066032297724</v>
      </c>
      <c r="S22">
        <f t="shared" si="11"/>
        <v>26.935310011934035</v>
      </c>
      <c r="T22">
        <f t="shared" si="12"/>
        <v>27.028622580645202</v>
      </c>
      <c r="U22">
        <f t="shared" si="13"/>
        <v>3.5851809452198515</v>
      </c>
      <c r="V22">
        <f t="shared" si="14"/>
        <v>54.73625348872082</v>
      </c>
      <c r="W22">
        <f t="shared" si="15"/>
        <v>2.0057961782199314</v>
      </c>
      <c r="X22">
        <f t="shared" si="16"/>
        <v>3.6644747317849475</v>
      </c>
      <c r="Y22">
        <f t="shared" si="17"/>
        <v>1.5793847669999201</v>
      </c>
      <c r="Z22">
        <f t="shared" si="18"/>
        <v>-411.83497396752307</v>
      </c>
      <c r="AA22">
        <f t="shared" si="19"/>
        <v>67.950332625571889</v>
      </c>
      <c r="AB22">
        <f t="shared" si="20"/>
        <v>4.3499309107580046</v>
      </c>
      <c r="AC22">
        <f t="shared" si="21"/>
        <v>-18.094050108215924</v>
      </c>
      <c r="AD22">
        <v>-4.1114274717062901E-2</v>
      </c>
      <c r="AE22">
        <v>4.6154375178189697E-2</v>
      </c>
      <c r="AF22">
        <v>3.4506057328659598</v>
      </c>
      <c r="AG22">
        <v>152</v>
      </c>
      <c r="AH22">
        <v>30</v>
      </c>
      <c r="AI22">
        <f t="shared" si="22"/>
        <v>1</v>
      </c>
      <c r="AJ22">
        <f t="shared" si="23"/>
        <v>0</v>
      </c>
      <c r="AK22">
        <f t="shared" si="24"/>
        <v>52357.287840315148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310</v>
      </c>
      <c r="AS22">
        <v>294.15688461538502</v>
      </c>
      <c r="AT22">
        <v>406.02</v>
      </c>
      <c r="AU22">
        <f t="shared" si="27"/>
        <v>0.27551134275310318</v>
      </c>
      <c r="AV22">
        <v>0.5</v>
      </c>
      <c r="AW22">
        <f t="shared" si="28"/>
        <v>1681.2001254832255</v>
      </c>
      <c r="AX22">
        <f t="shared" si="29"/>
        <v>33.524524263332665</v>
      </c>
      <c r="AY22">
        <f t="shared" si="30"/>
        <v>231.59485200428452</v>
      </c>
      <c r="AZ22">
        <f t="shared" si="31"/>
        <v>0.52721540810797496</v>
      </c>
      <c r="BA22">
        <f t="shared" si="32"/>
        <v>2.0535642211785655E-2</v>
      </c>
      <c r="BB22">
        <f t="shared" si="33"/>
        <v>-1</v>
      </c>
      <c r="BC22" t="s">
        <v>311</v>
      </c>
      <c r="BD22">
        <v>191.96</v>
      </c>
      <c r="BE22">
        <f t="shared" si="34"/>
        <v>214.05999999999997</v>
      </c>
      <c r="BF22">
        <f t="shared" si="35"/>
        <v>0.52257832095961398</v>
      </c>
      <c r="BG22">
        <f t="shared" si="36"/>
        <v>2.1151281516982703</v>
      </c>
      <c r="BH22">
        <f t="shared" si="37"/>
        <v>0.27551134275310318</v>
      </c>
      <c r="BI22" t="e">
        <f t="shared" si="38"/>
        <v>#DIV/0!</v>
      </c>
      <c r="BJ22">
        <v>6573</v>
      </c>
      <c r="BK22">
        <v>300</v>
      </c>
      <c r="BL22">
        <v>300</v>
      </c>
      <c r="BM22">
        <v>300</v>
      </c>
      <c r="BN22">
        <v>9866.98</v>
      </c>
      <c r="BO22">
        <v>375.63600000000002</v>
      </c>
      <c r="BP22">
        <v>-6.56261E-3</v>
      </c>
      <c r="BQ22">
        <v>1.2026399999999999</v>
      </c>
      <c r="BR22">
        <f t="shared" si="39"/>
        <v>2000.0035483871</v>
      </c>
      <c r="BS22">
        <f t="shared" si="40"/>
        <v>1681.2001254832255</v>
      </c>
      <c r="BT22">
        <f t="shared" si="41"/>
        <v>0.8405985713570493</v>
      </c>
      <c r="BU22">
        <f t="shared" si="42"/>
        <v>0.19119714271409888</v>
      </c>
      <c r="BV22">
        <v>0.5</v>
      </c>
      <c r="BW22" t="s">
        <v>281</v>
      </c>
      <c r="BX22">
        <v>1598203337.0032301</v>
      </c>
      <c r="BY22">
        <v>385.18045161290303</v>
      </c>
      <c r="BZ22">
        <v>400.02748387096801</v>
      </c>
      <c r="CA22">
        <v>20.1878064516129</v>
      </c>
      <c r="CB22">
        <v>16.528148387096799</v>
      </c>
      <c r="CC22">
        <v>500.05406451612902</v>
      </c>
      <c r="CD22">
        <v>99.156829032258102</v>
      </c>
      <c r="CE22">
        <v>0.199987322580645</v>
      </c>
      <c r="CF22">
        <v>27.401690322580599</v>
      </c>
      <c r="CG22">
        <v>27.028622580645202</v>
      </c>
      <c r="CH22">
        <v>999.9</v>
      </c>
      <c r="CI22">
        <v>9999.2177419354794</v>
      </c>
      <c r="CJ22">
        <v>0</v>
      </c>
      <c r="CK22">
        <v>59.083780645161298</v>
      </c>
      <c r="CL22">
        <v>2000.0035483871</v>
      </c>
      <c r="CM22">
        <v>0.97999745161290297</v>
      </c>
      <c r="CN22">
        <v>2.00026322580645E-2</v>
      </c>
      <c r="CO22">
        <v>0</v>
      </c>
      <c r="CP22">
        <v>294.14006451612897</v>
      </c>
      <c r="CQ22">
        <v>5.00054</v>
      </c>
      <c r="CR22">
        <v>7796.3129032258103</v>
      </c>
      <c r="CS22">
        <v>18703.6483870968</v>
      </c>
      <c r="CT22">
        <v>48.396935483870998</v>
      </c>
      <c r="CU22">
        <v>49.625</v>
      </c>
      <c r="CV22">
        <v>48.679000000000002</v>
      </c>
      <c r="CW22">
        <v>48.7134838709677</v>
      </c>
      <c r="CX22">
        <v>49.820193548387103</v>
      </c>
      <c r="CY22">
        <v>1955.0987096774199</v>
      </c>
      <c r="CZ22">
        <v>39.904838709677399</v>
      </c>
      <c r="DA22">
        <v>0</v>
      </c>
      <c r="DB22">
        <v>121.89999985694899</v>
      </c>
      <c r="DC22">
        <v>294.15688461538502</v>
      </c>
      <c r="DD22">
        <v>-0.17637606465529801</v>
      </c>
      <c r="DE22">
        <v>-8.4608548543901794</v>
      </c>
      <c r="DF22">
        <v>7796.5076923076904</v>
      </c>
      <c r="DG22">
        <v>15</v>
      </c>
      <c r="DH22">
        <v>1598203373</v>
      </c>
      <c r="DI22" t="s">
        <v>312</v>
      </c>
      <c r="DJ22">
        <v>36</v>
      </c>
      <c r="DK22">
        <v>-0.19900000000000001</v>
      </c>
      <c r="DL22">
        <v>0.106</v>
      </c>
      <c r="DM22">
        <v>400</v>
      </c>
      <c r="DN22">
        <v>17</v>
      </c>
      <c r="DO22">
        <v>0.12</v>
      </c>
      <c r="DP22">
        <v>0.03</v>
      </c>
      <c r="DQ22">
        <v>385.09687272727302</v>
      </c>
      <c r="DR22">
        <v>0.191641036876987</v>
      </c>
      <c r="DS22">
        <v>4.1720740229401101E-2</v>
      </c>
      <c r="DT22">
        <v>1</v>
      </c>
      <c r="DU22">
        <v>20.174600000000002</v>
      </c>
      <c r="DV22">
        <v>0.147479907012353</v>
      </c>
      <c r="DW22">
        <v>2.0134077850974499E-2</v>
      </c>
      <c r="DX22">
        <v>1</v>
      </c>
      <c r="DY22">
        <v>2</v>
      </c>
      <c r="DZ22">
        <v>2</v>
      </c>
      <c r="EA22" t="s">
        <v>283</v>
      </c>
      <c r="EB22">
        <v>1.86676</v>
      </c>
      <c r="EC22">
        <v>1.8632500000000001</v>
      </c>
      <c r="ED22">
        <v>1.8689199999999999</v>
      </c>
      <c r="EE22">
        <v>1.8668499999999999</v>
      </c>
      <c r="EF22">
        <v>1.8715200000000001</v>
      </c>
      <c r="EG22">
        <v>1.8640099999999999</v>
      </c>
      <c r="EH22">
        <v>1.86555</v>
      </c>
      <c r="EI22">
        <v>1.8654999999999999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-0.19900000000000001</v>
      </c>
      <c r="EX22">
        <v>0.106</v>
      </c>
      <c r="EY22">
        <v>2</v>
      </c>
      <c r="EZ22">
        <v>330.82100000000003</v>
      </c>
      <c r="FA22">
        <v>473.26499999999999</v>
      </c>
      <c r="FB22">
        <v>22.817499999999999</v>
      </c>
      <c r="FC22">
        <v>34.6419</v>
      </c>
      <c r="FD22">
        <v>30.000900000000001</v>
      </c>
      <c r="FE22">
        <v>34.636200000000002</v>
      </c>
      <c r="FF22">
        <v>34.637</v>
      </c>
      <c r="FG22">
        <v>22.0245</v>
      </c>
      <c r="FH22">
        <v>54.589300000000001</v>
      </c>
      <c r="FI22">
        <v>0</v>
      </c>
      <c r="FJ22">
        <v>22.802499999999998</v>
      </c>
      <c r="FK22">
        <v>400</v>
      </c>
      <c r="FL22">
        <v>16.561699999999998</v>
      </c>
      <c r="FM22">
        <v>100.61799999999999</v>
      </c>
      <c r="FN22">
        <v>101.039</v>
      </c>
    </row>
    <row r="23" spans="1:170" x14ac:dyDescent="0.25">
      <c r="A23">
        <v>7</v>
      </c>
      <c r="B23">
        <v>1598203464.5</v>
      </c>
      <c r="C23">
        <v>733</v>
      </c>
      <c r="D23" t="s">
        <v>313</v>
      </c>
      <c r="E23" t="s">
        <v>314</v>
      </c>
      <c r="G23">
        <v>1598203456.53548</v>
      </c>
      <c r="H23">
        <f t="shared" si="0"/>
        <v>8.9129126483297044E-3</v>
      </c>
      <c r="I23">
        <f t="shared" si="1"/>
        <v>33.640927524983056</v>
      </c>
      <c r="J23">
        <f t="shared" si="2"/>
        <v>385.16554838709698</v>
      </c>
      <c r="K23">
        <f t="shared" si="3"/>
        <v>278.93290243237885</v>
      </c>
      <c r="L23">
        <f t="shared" si="4"/>
        <v>27.714243204168703</v>
      </c>
      <c r="M23">
        <f t="shared" si="5"/>
        <v>38.269317060775322</v>
      </c>
      <c r="N23">
        <f t="shared" si="6"/>
        <v>0.59731195599964004</v>
      </c>
      <c r="O23">
        <f t="shared" si="7"/>
        <v>3.3789940392839299</v>
      </c>
      <c r="P23">
        <f t="shared" si="8"/>
        <v>0.54425207370715456</v>
      </c>
      <c r="Q23">
        <f t="shared" si="9"/>
        <v>0.34453112729213764</v>
      </c>
      <c r="R23">
        <f t="shared" si="10"/>
        <v>321.44358511166968</v>
      </c>
      <c r="S23">
        <f t="shared" si="11"/>
        <v>26.896104295247223</v>
      </c>
      <c r="T23">
        <f t="shared" si="12"/>
        <v>27.0381838709677</v>
      </c>
      <c r="U23">
        <f t="shared" si="13"/>
        <v>3.5871942964323495</v>
      </c>
      <c r="V23">
        <f t="shared" si="14"/>
        <v>55.176232064810769</v>
      </c>
      <c r="W23">
        <f t="shared" si="15"/>
        <v>2.0058592707087688</v>
      </c>
      <c r="X23">
        <f t="shared" si="16"/>
        <v>3.6353683382233468</v>
      </c>
      <c r="Y23">
        <f t="shared" si="17"/>
        <v>1.5813350257235808</v>
      </c>
      <c r="Z23">
        <f t="shared" si="18"/>
        <v>-393.05944779133995</v>
      </c>
      <c r="AA23">
        <f t="shared" si="19"/>
        <v>41.423314559991844</v>
      </c>
      <c r="AB23">
        <f t="shared" si="20"/>
        <v>2.6496706232115645</v>
      </c>
      <c r="AC23">
        <f t="shared" si="21"/>
        <v>-27.542877496466836</v>
      </c>
      <c r="AD23">
        <v>-4.1122570385164398E-2</v>
      </c>
      <c r="AE23">
        <v>4.6163687792374002E-2</v>
      </c>
      <c r="AF23">
        <v>3.4511569452398398</v>
      </c>
      <c r="AG23">
        <v>151</v>
      </c>
      <c r="AH23">
        <v>30</v>
      </c>
      <c r="AI23">
        <f t="shared" si="22"/>
        <v>1</v>
      </c>
      <c r="AJ23">
        <f t="shared" si="23"/>
        <v>0</v>
      </c>
      <c r="AK23">
        <f t="shared" si="24"/>
        <v>52391.186895221203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315</v>
      </c>
      <c r="AS23">
        <v>291.81453846153801</v>
      </c>
      <c r="AT23">
        <v>412.67899999999997</v>
      </c>
      <c r="AU23">
        <f t="shared" si="27"/>
        <v>0.2928776640887033</v>
      </c>
      <c r="AV23">
        <v>0.5</v>
      </c>
      <c r="AW23">
        <f t="shared" si="28"/>
        <v>1681.2194609672151</v>
      </c>
      <c r="AX23">
        <f t="shared" si="29"/>
        <v>33.640927524983056</v>
      </c>
      <c r="AY23">
        <f t="shared" si="30"/>
        <v>246.19581427427343</v>
      </c>
      <c r="AZ23">
        <f t="shared" si="31"/>
        <v>0.52805933909891223</v>
      </c>
      <c r="BA23">
        <f t="shared" si="32"/>
        <v>2.0604643432484377E-2</v>
      </c>
      <c r="BB23">
        <f t="shared" si="33"/>
        <v>-1</v>
      </c>
      <c r="BC23" t="s">
        <v>316</v>
      </c>
      <c r="BD23">
        <v>194.76</v>
      </c>
      <c r="BE23">
        <f t="shared" si="34"/>
        <v>217.91899999999998</v>
      </c>
      <c r="BF23">
        <f t="shared" si="35"/>
        <v>0.55463021369619891</v>
      </c>
      <c r="BG23">
        <f t="shared" si="36"/>
        <v>2.1189104538919694</v>
      </c>
      <c r="BH23">
        <f t="shared" si="37"/>
        <v>0.29287766408870325</v>
      </c>
      <c r="BI23" t="e">
        <f t="shared" si="38"/>
        <v>#DIV/0!</v>
      </c>
      <c r="BJ23">
        <v>6575</v>
      </c>
      <c r="BK23">
        <v>300</v>
      </c>
      <c r="BL23">
        <v>300</v>
      </c>
      <c r="BM23">
        <v>300</v>
      </c>
      <c r="BN23">
        <v>9867.9500000000007</v>
      </c>
      <c r="BO23">
        <v>376.339</v>
      </c>
      <c r="BP23">
        <v>-6.5634600000000001E-3</v>
      </c>
      <c r="BQ23">
        <v>0.55630500000000005</v>
      </c>
      <c r="BR23">
        <f t="shared" si="39"/>
        <v>2000.0270967741901</v>
      </c>
      <c r="BS23">
        <f t="shared" si="40"/>
        <v>1681.2194609672151</v>
      </c>
      <c r="BT23">
        <f t="shared" si="41"/>
        <v>0.8405983417318823</v>
      </c>
      <c r="BU23">
        <f t="shared" si="42"/>
        <v>0.19119668346376464</v>
      </c>
      <c r="BV23">
        <v>0.5</v>
      </c>
      <c r="BW23" t="s">
        <v>281</v>
      </c>
      <c r="BX23">
        <v>1598203456.53548</v>
      </c>
      <c r="BY23">
        <v>385.16554838709698</v>
      </c>
      <c r="BZ23">
        <v>399.99354838709701</v>
      </c>
      <c r="CA23">
        <v>20.1881806451613</v>
      </c>
      <c r="CB23">
        <v>16.695354838709701</v>
      </c>
      <c r="CC23">
        <v>500.05225806451602</v>
      </c>
      <c r="CD23">
        <v>99.158106451612895</v>
      </c>
      <c r="CE23">
        <v>0.19999351612903199</v>
      </c>
      <c r="CF23">
        <v>27.2655741935484</v>
      </c>
      <c r="CG23">
        <v>27.0381838709677</v>
      </c>
      <c r="CH23">
        <v>999.9</v>
      </c>
      <c r="CI23">
        <v>10001.106451612901</v>
      </c>
      <c r="CJ23">
        <v>0</v>
      </c>
      <c r="CK23">
        <v>55.669038709677402</v>
      </c>
      <c r="CL23">
        <v>2000.0270967741901</v>
      </c>
      <c r="CM23">
        <v>0.98000600000000004</v>
      </c>
      <c r="CN23">
        <v>1.9994100000000001E-2</v>
      </c>
      <c r="CO23">
        <v>0</v>
      </c>
      <c r="CP23">
        <v>291.788677419355</v>
      </c>
      <c r="CQ23">
        <v>5.00054</v>
      </c>
      <c r="CR23">
        <v>7698.3525806451598</v>
      </c>
      <c r="CS23">
        <v>18703.916129032299</v>
      </c>
      <c r="CT23">
        <v>48.156935483871003</v>
      </c>
      <c r="CU23">
        <v>49.378935483870997</v>
      </c>
      <c r="CV23">
        <v>48.417000000000002</v>
      </c>
      <c r="CW23">
        <v>48.582322580645098</v>
      </c>
      <c r="CX23">
        <v>49.624935483870999</v>
      </c>
      <c r="CY23">
        <v>1955.13709677419</v>
      </c>
      <c r="CZ23">
        <v>39.89</v>
      </c>
      <c r="DA23">
        <v>0</v>
      </c>
      <c r="DB23">
        <v>118.799999952316</v>
      </c>
      <c r="DC23">
        <v>291.81453846153801</v>
      </c>
      <c r="DD23">
        <v>-0.424547005611074</v>
      </c>
      <c r="DE23">
        <v>30.1230768871431</v>
      </c>
      <c r="DF23">
        <v>7698.1992307692299</v>
      </c>
      <c r="DG23">
        <v>15</v>
      </c>
      <c r="DH23">
        <v>1598203492.5</v>
      </c>
      <c r="DI23" t="s">
        <v>317</v>
      </c>
      <c r="DJ23">
        <v>37</v>
      </c>
      <c r="DK23">
        <v>-0.22700000000000001</v>
      </c>
      <c r="DL23">
        <v>0.109</v>
      </c>
      <c r="DM23">
        <v>400</v>
      </c>
      <c r="DN23">
        <v>17</v>
      </c>
      <c r="DO23">
        <v>0.19</v>
      </c>
      <c r="DP23">
        <v>0.03</v>
      </c>
      <c r="DQ23">
        <v>385.17976363636399</v>
      </c>
      <c r="DR23">
        <v>0.13608682662438301</v>
      </c>
      <c r="DS23">
        <v>2.1737243813214902E-2</v>
      </c>
      <c r="DT23">
        <v>1</v>
      </c>
      <c r="DU23">
        <v>20.195152727272699</v>
      </c>
      <c r="DV23">
        <v>-0.102363203713913</v>
      </c>
      <c r="DW23">
        <v>1.35974710823266E-2</v>
      </c>
      <c r="DX23">
        <v>1</v>
      </c>
      <c r="DY23">
        <v>2</v>
      </c>
      <c r="DZ23">
        <v>2</v>
      </c>
      <c r="EA23" t="s">
        <v>283</v>
      </c>
      <c r="EB23">
        <v>1.86676</v>
      </c>
      <c r="EC23">
        <v>1.8632500000000001</v>
      </c>
      <c r="ED23">
        <v>1.8689</v>
      </c>
      <c r="EE23">
        <v>1.8667800000000001</v>
      </c>
      <c r="EF23">
        <v>1.8714900000000001</v>
      </c>
      <c r="EG23">
        <v>1.86399</v>
      </c>
      <c r="EH23">
        <v>1.86554</v>
      </c>
      <c r="EI23">
        <v>1.8654500000000001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-0.22700000000000001</v>
      </c>
      <c r="EX23">
        <v>0.109</v>
      </c>
      <c r="EY23">
        <v>2</v>
      </c>
      <c r="EZ23">
        <v>331.197</v>
      </c>
      <c r="FA23">
        <v>472.66899999999998</v>
      </c>
      <c r="FB23">
        <v>21.7622</v>
      </c>
      <c r="FC23">
        <v>34.726700000000001</v>
      </c>
      <c r="FD23">
        <v>30.000299999999999</v>
      </c>
      <c r="FE23">
        <v>34.712200000000003</v>
      </c>
      <c r="FF23">
        <v>34.712400000000002</v>
      </c>
      <c r="FG23">
        <v>22.017099999999999</v>
      </c>
      <c r="FH23">
        <v>54.505400000000002</v>
      </c>
      <c r="FI23">
        <v>0</v>
      </c>
      <c r="FJ23">
        <v>21.7547</v>
      </c>
      <c r="FK23">
        <v>400</v>
      </c>
      <c r="FL23">
        <v>16.712499999999999</v>
      </c>
      <c r="FM23">
        <v>100.60299999999999</v>
      </c>
      <c r="FN23">
        <v>101.02</v>
      </c>
    </row>
    <row r="24" spans="1:170" x14ac:dyDescent="0.25">
      <c r="A24">
        <v>8</v>
      </c>
      <c r="B24">
        <v>1598203585.5</v>
      </c>
      <c r="C24">
        <v>854</v>
      </c>
      <c r="D24" t="s">
        <v>318</v>
      </c>
      <c r="E24" t="s">
        <v>319</v>
      </c>
      <c r="G24">
        <v>1598203577.5322599</v>
      </c>
      <c r="H24">
        <f t="shared" si="0"/>
        <v>8.6281587148490727E-3</v>
      </c>
      <c r="I24">
        <f t="shared" si="1"/>
        <v>39.939544208128034</v>
      </c>
      <c r="J24">
        <f t="shared" si="2"/>
        <v>482.37264516129</v>
      </c>
      <c r="K24">
        <f t="shared" si="3"/>
        <v>349.54731400067385</v>
      </c>
      <c r="L24">
        <f t="shared" si="4"/>
        <v>34.729558376355072</v>
      </c>
      <c r="M24">
        <f t="shared" si="5"/>
        <v>47.926527449309873</v>
      </c>
      <c r="N24">
        <f t="shared" si="6"/>
        <v>0.56586638077649354</v>
      </c>
      <c r="O24">
        <f t="shared" si="7"/>
        <v>3.3784662583653011</v>
      </c>
      <c r="P24">
        <f t="shared" si="8"/>
        <v>0.51799984282567013</v>
      </c>
      <c r="Q24">
        <f t="shared" si="9"/>
        <v>0.32771243670638589</v>
      </c>
      <c r="R24">
        <f t="shared" si="10"/>
        <v>321.43838526402112</v>
      </c>
      <c r="S24">
        <f t="shared" si="11"/>
        <v>26.891715300193162</v>
      </c>
      <c r="T24">
        <f t="shared" si="12"/>
        <v>27.018329032258102</v>
      </c>
      <c r="U24">
        <f t="shared" si="13"/>
        <v>3.5830145027827407</v>
      </c>
      <c r="V24">
        <f t="shared" si="14"/>
        <v>54.530211782497084</v>
      </c>
      <c r="W24">
        <f t="shared" si="15"/>
        <v>1.9743599812720891</v>
      </c>
      <c r="X24">
        <f t="shared" si="16"/>
        <v>3.6206717647588746</v>
      </c>
      <c r="Y24">
        <f t="shared" si="17"/>
        <v>1.6086545215106516</v>
      </c>
      <c r="Z24">
        <f t="shared" si="18"/>
        <v>-380.50179932484411</v>
      </c>
      <c r="AA24">
        <f t="shared" si="19"/>
        <v>32.449099682825825</v>
      </c>
      <c r="AB24">
        <f t="shared" si="20"/>
        <v>2.0750303477897445</v>
      </c>
      <c r="AC24">
        <f t="shared" si="21"/>
        <v>-24.539284030207448</v>
      </c>
      <c r="AD24">
        <v>-4.1114411887661399E-2</v>
      </c>
      <c r="AE24">
        <v>4.6154529164203303E-2</v>
      </c>
      <c r="AF24">
        <v>3.45061484758754</v>
      </c>
      <c r="AG24">
        <v>151</v>
      </c>
      <c r="AH24">
        <v>30</v>
      </c>
      <c r="AI24">
        <f t="shared" si="22"/>
        <v>1</v>
      </c>
      <c r="AJ24">
        <f t="shared" si="23"/>
        <v>0</v>
      </c>
      <c r="AK24">
        <f t="shared" si="24"/>
        <v>52393.22426029473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320</v>
      </c>
      <c r="AS24">
        <v>299.96257692307699</v>
      </c>
      <c r="AT24">
        <v>435.31</v>
      </c>
      <c r="AU24">
        <f t="shared" si="27"/>
        <v>0.31092192478216218</v>
      </c>
      <c r="AV24">
        <v>0.5</v>
      </c>
      <c r="AW24">
        <f t="shared" si="28"/>
        <v>1681.1920932252751</v>
      </c>
      <c r="AX24">
        <f t="shared" si="29"/>
        <v>39.939544208128034</v>
      </c>
      <c r="AY24">
        <f t="shared" si="30"/>
        <v>261.35974077707738</v>
      </c>
      <c r="AZ24">
        <f t="shared" si="31"/>
        <v>0.55939445452665915</v>
      </c>
      <c r="BA24">
        <f t="shared" si="32"/>
        <v>2.4351496996150961E-2</v>
      </c>
      <c r="BB24">
        <f t="shared" si="33"/>
        <v>-1</v>
      </c>
      <c r="BC24" t="s">
        <v>321</v>
      </c>
      <c r="BD24">
        <v>191.8</v>
      </c>
      <c r="BE24">
        <f t="shared" si="34"/>
        <v>243.51</v>
      </c>
      <c r="BF24">
        <f t="shared" si="35"/>
        <v>0.55581874697927403</v>
      </c>
      <c r="BG24">
        <f t="shared" si="36"/>
        <v>2.2696037539103231</v>
      </c>
      <c r="BH24">
        <f t="shared" si="37"/>
        <v>0.31092192478216213</v>
      </c>
      <c r="BI24" t="e">
        <f t="shared" si="38"/>
        <v>#DIV/0!</v>
      </c>
      <c r="BJ24">
        <v>6577</v>
      </c>
      <c r="BK24">
        <v>300</v>
      </c>
      <c r="BL24">
        <v>300</v>
      </c>
      <c r="BM24">
        <v>300</v>
      </c>
      <c r="BN24">
        <v>9869.2199999999993</v>
      </c>
      <c r="BO24">
        <v>396.12700000000001</v>
      </c>
      <c r="BP24">
        <v>-6.5643999999999997E-3</v>
      </c>
      <c r="BQ24">
        <v>0.959229</v>
      </c>
      <c r="BR24">
        <f t="shared" si="39"/>
        <v>1999.99451612903</v>
      </c>
      <c r="BS24">
        <f t="shared" si="40"/>
        <v>1681.1920932252751</v>
      </c>
      <c r="BT24">
        <f t="shared" si="41"/>
        <v>0.84059835147908613</v>
      </c>
      <c r="BU24">
        <f t="shared" si="42"/>
        <v>0.19119670295817248</v>
      </c>
      <c r="BV24">
        <v>0.5</v>
      </c>
      <c r="BW24" t="s">
        <v>281</v>
      </c>
      <c r="BX24">
        <v>1598203577.5322599</v>
      </c>
      <c r="BY24">
        <v>482.37264516129</v>
      </c>
      <c r="BZ24">
        <v>500.011387096774</v>
      </c>
      <c r="CA24">
        <v>19.8716096774194</v>
      </c>
      <c r="CB24">
        <v>16.489287096774198</v>
      </c>
      <c r="CC24">
        <v>500.05303225806398</v>
      </c>
      <c r="CD24">
        <v>99.155841935483906</v>
      </c>
      <c r="CE24">
        <v>0.19997338709677401</v>
      </c>
      <c r="CF24">
        <v>27.1964838709677</v>
      </c>
      <c r="CG24">
        <v>27.018329032258102</v>
      </c>
      <c r="CH24">
        <v>999.9</v>
      </c>
      <c r="CI24">
        <v>9999.3506451612902</v>
      </c>
      <c r="CJ24">
        <v>0</v>
      </c>
      <c r="CK24">
        <v>53.215061290322602</v>
      </c>
      <c r="CL24">
        <v>1999.99451612903</v>
      </c>
      <c r="CM24">
        <v>0.98000299999999996</v>
      </c>
      <c r="CN24">
        <v>1.99966E-2</v>
      </c>
      <c r="CO24">
        <v>0</v>
      </c>
      <c r="CP24">
        <v>299.98767741935501</v>
      </c>
      <c r="CQ24">
        <v>5.00054</v>
      </c>
      <c r="CR24">
        <v>7725.0161290322603</v>
      </c>
      <c r="CS24">
        <v>18703.5935483871</v>
      </c>
      <c r="CT24">
        <v>47.860709677419401</v>
      </c>
      <c r="CU24">
        <v>49.102645161290297</v>
      </c>
      <c r="CV24">
        <v>48.138838709677401</v>
      </c>
      <c r="CW24">
        <v>48.318258064516101</v>
      </c>
      <c r="CX24">
        <v>49.352645161290297</v>
      </c>
      <c r="CY24">
        <v>1955.1045161290299</v>
      </c>
      <c r="CZ24">
        <v>39.89</v>
      </c>
      <c r="DA24">
        <v>0</v>
      </c>
      <c r="DB24">
        <v>120.59999990463299</v>
      </c>
      <c r="DC24">
        <v>299.96257692307699</v>
      </c>
      <c r="DD24">
        <v>-1.4578119705813899</v>
      </c>
      <c r="DE24">
        <v>-117.341880518515</v>
      </c>
      <c r="DF24">
        <v>7723.8688461538504</v>
      </c>
      <c r="DG24">
        <v>15</v>
      </c>
      <c r="DH24">
        <v>1598203616.5</v>
      </c>
      <c r="DI24" t="s">
        <v>322</v>
      </c>
      <c r="DJ24">
        <v>38</v>
      </c>
      <c r="DK24">
        <v>-0.20799999999999999</v>
      </c>
      <c r="DL24">
        <v>0.109</v>
      </c>
      <c r="DM24">
        <v>500</v>
      </c>
      <c r="DN24">
        <v>17</v>
      </c>
      <c r="DO24">
        <v>0.11</v>
      </c>
      <c r="DP24">
        <v>0.03</v>
      </c>
      <c r="DQ24">
        <v>482.31994545454501</v>
      </c>
      <c r="DR24">
        <v>0.29916764490560399</v>
      </c>
      <c r="DS24">
        <v>4.6480658022964597E-2</v>
      </c>
      <c r="DT24">
        <v>1</v>
      </c>
      <c r="DU24">
        <v>19.881249090909101</v>
      </c>
      <c r="DV24">
        <v>-6.5974492124280207E-2</v>
      </c>
      <c r="DW24">
        <v>1.47784225105668E-2</v>
      </c>
      <c r="DX24">
        <v>1</v>
      </c>
      <c r="DY24">
        <v>2</v>
      </c>
      <c r="DZ24">
        <v>2</v>
      </c>
      <c r="EA24" t="s">
        <v>283</v>
      </c>
      <c r="EB24">
        <v>1.86676</v>
      </c>
      <c r="EC24">
        <v>1.8632500000000001</v>
      </c>
      <c r="ED24">
        <v>1.86893</v>
      </c>
      <c r="EE24">
        <v>1.86687</v>
      </c>
      <c r="EF24">
        <v>1.8715200000000001</v>
      </c>
      <c r="EG24">
        <v>1.8640000000000001</v>
      </c>
      <c r="EH24">
        <v>1.86554</v>
      </c>
      <c r="EI24">
        <v>1.86544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-0.20799999999999999</v>
      </c>
      <c r="EX24">
        <v>0.109</v>
      </c>
      <c r="EY24">
        <v>2</v>
      </c>
      <c r="EZ24">
        <v>330.96800000000002</v>
      </c>
      <c r="FA24">
        <v>472.45400000000001</v>
      </c>
      <c r="FB24">
        <v>22.3154</v>
      </c>
      <c r="FC24">
        <v>34.767400000000002</v>
      </c>
      <c r="FD24">
        <v>29.998999999999999</v>
      </c>
      <c r="FE24">
        <v>34.7624</v>
      </c>
      <c r="FF24">
        <v>34.760100000000001</v>
      </c>
      <c r="FG24">
        <v>26.305599999999998</v>
      </c>
      <c r="FH24">
        <v>54.746000000000002</v>
      </c>
      <c r="FI24">
        <v>0</v>
      </c>
      <c r="FJ24">
        <v>22.359500000000001</v>
      </c>
      <c r="FK24">
        <v>500</v>
      </c>
      <c r="FL24">
        <v>16.626000000000001</v>
      </c>
      <c r="FM24">
        <v>100.59399999999999</v>
      </c>
      <c r="FN24">
        <v>101.014</v>
      </c>
    </row>
    <row r="25" spans="1:170" x14ac:dyDescent="0.25">
      <c r="A25">
        <v>9</v>
      </c>
      <c r="B25">
        <v>1598203722.5999999</v>
      </c>
      <c r="C25">
        <v>991.09999990463302</v>
      </c>
      <c r="D25" t="s">
        <v>323</v>
      </c>
      <c r="E25" t="s">
        <v>324</v>
      </c>
      <c r="G25">
        <v>1598203714.5741899</v>
      </c>
      <c r="H25">
        <f t="shared" si="0"/>
        <v>8.1517414261537136E-3</v>
      </c>
      <c r="I25">
        <f t="shared" si="1"/>
        <v>43.943713553926813</v>
      </c>
      <c r="J25">
        <f t="shared" si="2"/>
        <v>580.50070967741897</v>
      </c>
      <c r="K25">
        <f t="shared" si="3"/>
        <v>425.90424949174383</v>
      </c>
      <c r="L25">
        <f t="shared" si="4"/>
        <v>42.315625770825513</v>
      </c>
      <c r="M25">
        <f t="shared" si="5"/>
        <v>57.67552406373553</v>
      </c>
      <c r="N25">
        <f t="shared" si="6"/>
        <v>0.53443702961440132</v>
      </c>
      <c r="O25">
        <f t="shared" si="7"/>
        <v>3.3801598060270681</v>
      </c>
      <c r="P25">
        <f t="shared" si="8"/>
        <v>0.49154385302985065</v>
      </c>
      <c r="Q25">
        <f t="shared" si="9"/>
        <v>0.31078130763663891</v>
      </c>
      <c r="R25">
        <f t="shared" si="10"/>
        <v>321.44028555662135</v>
      </c>
      <c r="S25">
        <f t="shared" si="11"/>
        <v>26.855390008255178</v>
      </c>
      <c r="T25">
        <f t="shared" si="12"/>
        <v>26.984893548387099</v>
      </c>
      <c r="U25">
        <f t="shared" si="13"/>
        <v>3.575985351109666</v>
      </c>
      <c r="V25">
        <f t="shared" si="14"/>
        <v>54.994269125813467</v>
      </c>
      <c r="W25">
        <f t="shared" si="15"/>
        <v>1.9743129351479942</v>
      </c>
      <c r="X25">
        <f t="shared" si="16"/>
        <v>3.5900339554131508</v>
      </c>
      <c r="Y25">
        <f t="shared" si="17"/>
        <v>1.6016724159616718</v>
      </c>
      <c r="Z25">
        <f t="shared" si="18"/>
        <v>-359.49179689337876</v>
      </c>
      <c r="AA25">
        <f t="shared" si="19"/>
        <v>12.167164095885139</v>
      </c>
      <c r="AB25">
        <f t="shared" si="20"/>
        <v>0.77697399769324593</v>
      </c>
      <c r="AC25">
        <f t="shared" si="21"/>
        <v>-25.10737324317904</v>
      </c>
      <c r="AD25">
        <v>-4.1140592962304497E-2</v>
      </c>
      <c r="AE25">
        <v>4.6183919714078203E-2</v>
      </c>
      <c r="AF25">
        <v>3.4523543384481301</v>
      </c>
      <c r="AG25">
        <v>151</v>
      </c>
      <c r="AH25">
        <v>30</v>
      </c>
      <c r="AI25">
        <f t="shared" si="22"/>
        <v>1</v>
      </c>
      <c r="AJ25">
        <f t="shared" si="23"/>
        <v>0</v>
      </c>
      <c r="AK25">
        <f t="shared" si="24"/>
        <v>52450.502455101698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325</v>
      </c>
      <c r="AS25">
        <v>302.18542307692297</v>
      </c>
      <c r="AT25">
        <v>443.358</v>
      </c>
      <c r="AU25">
        <f t="shared" si="27"/>
        <v>0.31841666762092269</v>
      </c>
      <c r="AV25">
        <v>0.5</v>
      </c>
      <c r="AW25">
        <f t="shared" si="28"/>
        <v>1681.1994383864908</v>
      </c>
      <c r="AX25">
        <f t="shared" si="29"/>
        <v>43.943713553926813</v>
      </c>
      <c r="AY25">
        <f t="shared" si="30"/>
        <v>267.66096138859655</v>
      </c>
      <c r="AZ25">
        <f t="shared" si="31"/>
        <v>0.56946756345887528</v>
      </c>
      <c r="BA25">
        <f t="shared" si="32"/>
        <v>2.6733124296699121E-2</v>
      </c>
      <c r="BB25">
        <f t="shared" si="33"/>
        <v>-1</v>
      </c>
      <c r="BC25" t="s">
        <v>326</v>
      </c>
      <c r="BD25">
        <v>190.88</v>
      </c>
      <c r="BE25">
        <f t="shared" si="34"/>
        <v>252.47800000000001</v>
      </c>
      <c r="BF25">
        <f t="shared" si="35"/>
        <v>0.55914803239520683</v>
      </c>
      <c r="BG25">
        <f t="shared" si="36"/>
        <v>2.3227053646269908</v>
      </c>
      <c r="BH25">
        <f t="shared" si="37"/>
        <v>0.31841666762092269</v>
      </c>
      <c r="BI25" t="e">
        <f t="shared" si="38"/>
        <v>#DIV/0!</v>
      </c>
      <c r="BJ25">
        <v>6579</v>
      </c>
      <c r="BK25">
        <v>300</v>
      </c>
      <c r="BL25">
        <v>300</v>
      </c>
      <c r="BM25">
        <v>300</v>
      </c>
      <c r="BN25">
        <v>9870.68</v>
      </c>
      <c r="BO25">
        <v>403.58100000000002</v>
      </c>
      <c r="BP25">
        <v>-6.5657099999999998E-3</v>
      </c>
      <c r="BQ25">
        <v>1.2381599999999999</v>
      </c>
      <c r="BR25">
        <f t="shared" si="39"/>
        <v>2000.0029032258101</v>
      </c>
      <c r="BS25">
        <f t="shared" si="40"/>
        <v>1681.1994383864908</v>
      </c>
      <c r="BT25">
        <f t="shared" si="41"/>
        <v>0.84059849896961636</v>
      </c>
      <c r="BU25">
        <f t="shared" si="42"/>
        <v>0.19119699793923287</v>
      </c>
      <c r="BV25">
        <v>0.5</v>
      </c>
      <c r="BW25" t="s">
        <v>281</v>
      </c>
      <c r="BX25">
        <v>1598203714.5741899</v>
      </c>
      <c r="BY25">
        <v>580.50070967741897</v>
      </c>
      <c r="BZ25">
        <v>599.96893548387095</v>
      </c>
      <c r="CA25">
        <v>19.871341935483901</v>
      </c>
      <c r="CB25">
        <v>16.675783870967699</v>
      </c>
      <c r="CC25">
        <v>500.053838709677</v>
      </c>
      <c r="CD25">
        <v>99.154806451612899</v>
      </c>
      <c r="CE25">
        <v>0.19998003225806499</v>
      </c>
      <c r="CF25">
        <v>27.051661290322599</v>
      </c>
      <c r="CG25">
        <v>26.984893548387099</v>
      </c>
      <c r="CH25">
        <v>999.9</v>
      </c>
      <c r="CI25">
        <v>10005.822580645199</v>
      </c>
      <c r="CJ25">
        <v>0</v>
      </c>
      <c r="CK25">
        <v>49.598206451612903</v>
      </c>
      <c r="CL25">
        <v>2000.0029032258101</v>
      </c>
      <c r="CM25">
        <v>0.98000100000000001</v>
      </c>
      <c r="CN25">
        <v>1.9999200000000002E-2</v>
      </c>
      <c r="CO25">
        <v>0</v>
      </c>
      <c r="CP25">
        <v>302.24490322580601</v>
      </c>
      <c r="CQ25">
        <v>5.00054</v>
      </c>
      <c r="CR25">
        <v>7667.6912903225802</v>
      </c>
      <c r="CS25">
        <v>18703.680645161301</v>
      </c>
      <c r="CT25">
        <v>47.505806451612898</v>
      </c>
      <c r="CU25">
        <v>48.725612903225802</v>
      </c>
      <c r="CV25">
        <v>47.8343548387097</v>
      </c>
      <c r="CW25">
        <v>47.919290322580601</v>
      </c>
      <c r="CX25">
        <v>49.003903225806503</v>
      </c>
      <c r="CY25">
        <v>1955.10290322581</v>
      </c>
      <c r="CZ25">
        <v>39.9</v>
      </c>
      <c r="DA25">
        <v>0</v>
      </c>
      <c r="DB25">
        <v>136.39999985694899</v>
      </c>
      <c r="DC25">
        <v>302.18542307692297</v>
      </c>
      <c r="DD25">
        <v>-3.7058119621502201</v>
      </c>
      <c r="DE25">
        <v>-59.313162354339397</v>
      </c>
      <c r="DF25">
        <v>7667.1573076923096</v>
      </c>
      <c r="DG25">
        <v>15</v>
      </c>
      <c r="DH25">
        <v>1598203749.5999999</v>
      </c>
      <c r="DI25" t="s">
        <v>327</v>
      </c>
      <c r="DJ25">
        <v>39</v>
      </c>
      <c r="DK25">
        <v>-0.151</v>
      </c>
      <c r="DL25">
        <v>0.112</v>
      </c>
      <c r="DM25">
        <v>600</v>
      </c>
      <c r="DN25">
        <v>17</v>
      </c>
      <c r="DO25">
        <v>0.16</v>
      </c>
      <c r="DP25">
        <v>0.03</v>
      </c>
      <c r="DQ25">
        <v>580.41512727272698</v>
      </c>
      <c r="DR25">
        <v>0.28496249881378399</v>
      </c>
      <c r="DS25">
        <v>4.3687341434939402E-2</v>
      </c>
      <c r="DT25">
        <v>1</v>
      </c>
      <c r="DU25">
        <v>19.8761636363636</v>
      </c>
      <c r="DV25">
        <v>-7.1546239810693704E-2</v>
      </c>
      <c r="DW25">
        <v>9.5152578646825903E-3</v>
      </c>
      <c r="DX25">
        <v>1</v>
      </c>
      <c r="DY25">
        <v>2</v>
      </c>
      <c r="DZ25">
        <v>2</v>
      </c>
      <c r="EA25" t="s">
        <v>283</v>
      </c>
      <c r="EB25">
        <v>1.86676</v>
      </c>
      <c r="EC25">
        <v>1.8632500000000001</v>
      </c>
      <c r="ED25">
        <v>1.86893</v>
      </c>
      <c r="EE25">
        <v>1.8668800000000001</v>
      </c>
      <c r="EF25">
        <v>1.8715299999999999</v>
      </c>
      <c r="EG25">
        <v>1.8640099999999999</v>
      </c>
      <c r="EH25">
        <v>1.86555</v>
      </c>
      <c r="EI25">
        <v>1.8654599999999999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-0.151</v>
      </c>
      <c r="EX25">
        <v>0.112</v>
      </c>
      <c r="EY25">
        <v>2</v>
      </c>
      <c r="EZ25">
        <v>331.34800000000001</v>
      </c>
      <c r="FA25">
        <v>473.27800000000002</v>
      </c>
      <c r="FB25">
        <v>22.677499999999998</v>
      </c>
      <c r="FC25">
        <v>34.695</v>
      </c>
      <c r="FD25">
        <v>29.999500000000001</v>
      </c>
      <c r="FE25">
        <v>34.731299999999997</v>
      </c>
      <c r="FF25">
        <v>34.7348</v>
      </c>
      <c r="FG25">
        <v>30.462499999999999</v>
      </c>
      <c r="FH25">
        <v>54.323099999999997</v>
      </c>
      <c r="FI25">
        <v>0</v>
      </c>
      <c r="FJ25">
        <v>22.6829</v>
      </c>
      <c r="FK25">
        <v>600</v>
      </c>
      <c r="FL25">
        <v>16.831600000000002</v>
      </c>
      <c r="FM25">
        <v>100.61199999999999</v>
      </c>
      <c r="FN25">
        <v>101.042</v>
      </c>
    </row>
    <row r="26" spans="1:170" x14ac:dyDescent="0.25">
      <c r="A26">
        <v>10</v>
      </c>
      <c r="B26">
        <v>1598203863.0999999</v>
      </c>
      <c r="C26">
        <v>1131.5999999046301</v>
      </c>
      <c r="D26" t="s">
        <v>328</v>
      </c>
      <c r="E26" t="s">
        <v>329</v>
      </c>
      <c r="G26">
        <v>1598203855.0999999</v>
      </c>
      <c r="H26">
        <f t="shared" si="0"/>
        <v>7.3058800700806096E-3</v>
      </c>
      <c r="I26">
        <f t="shared" si="1"/>
        <v>46.617453129355106</v>
      </c>
      <c r="J26">
        <f t="shared" si="2"/>
        <v>679.38322580645104</v>
      </c>
      <c r="K26">
        <f t="shared" si="3"/>
        <v>496.06531109852222</v>
      </c>
      <c r="L26">
        <f t="shared" si="4"/>
        <v>49.285243417671879</v>
      </c>
      <c r="M26">
        <f t="shared" si="5"/>
        <v>67.498304978442647</v>
      </c>
      <c r="N26">
        <f t="shared" si="6"/>
        <v>0.47381916905490418</v>
      </c>
      <c r="O26">
        <f t="shared" si="7"/>
        <v>3.3818869775670253</v>
      </c>
      <c r="P26">
        <f t="shared" si="8"/>
        <v>0.43978841689099213</v>
      </c>
      <c r="Q26">
        <f t="shared" si="9"/>
        <v>0.27772133580102754</v>
      </c>
      <c r="R26">
        <f t="shared" si="10"/>
        <v>321.44002813842081</v>
      </c>
      <c r="S26">
        <f t="shared" si="11"/>
        <v>26.864562404579033</v>
      </c>
      <c r="T26">
        <f t="shared" si="12"/>
        <v>26.9896580645161</v>
      </c>
      <c r="U26">
        <f t="shared" si="13"/>
        <v>3.5769862607077347</v>
      </c>
      <c r="V26">
        <f t="shared" si="14"/>
        <v>55.541681672693088</v>
      </c>
      <c r="W26">
        <f t="shared" si="15"/>
        <v>1.9726151504185485</v>
      </c>
      <c r="X26">
        <f t="shared" si="16"/>
        <v>3.5515942099901872</v>
      </c>
      <c r="Y26">
        <f t="shared" si="17"/>
        <v>1.6043711102891862</v>
      </c>
      <c r="Z26">
        <f t="shared" si="18"/>
        <v>-322.1893110905549</v>
      </c>
      <c r="AA26">
        <f t="shared" si="19"/>
        <v>-22.103585465762919</v>
      </c>
      <c r="AB26">
        <f t="shared" si="20"/>
        <v>-1.4095173434868475</v>
      </c>
      <c r="AC26">
        <f t="shared" si="21"/>
        <v>-24.262385761383868</v>
      </c>
      <c r="AD26">
        <v>-4.1167299892591699E-2</v>
      </c>
      <c r="AE26">
        <v>4.62139005829812E-2</v>
      </c>
      <c r="AF26">
        <v>3.4541283759714299</v>
      </c>
      <c r="AG26">
        <v>151</v>
      </c>
      <c r="AH26">
        <v>30</v>
      </c>
      <c r="AI26">
        <f t="shared" si="22"/>
        <v>1</v>
      </c>
      <c r="AJ26">
        <f t="shared" si="23"/>
        <v>0</v>
      </c>
      <c r="AK26">
        <f t="shared" si="24"/>
        <v>52515.169747639891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330</v>
      </c>
      <c r="AS26">
        <v>300.84426923076899</v>
      </c>
      <c r="AT26">
        <v>444.83800000000002</v>
      </c>
      <c r="AU26">
        <f t="shared" si="27"/>
        <v>0.32369925853733506</v>
      </c>
      <c r="AV26">
        <v>0.5</v>
      </c>
      <c r="AW26">
        <f t="shared" si="28"/>
        <v>1681.1980835477773</v>
      </c>
      <c r="AX26">
        <f t="shared" si="29"/>
        <v>46.617453129355106</v>
      </c>
      <c r="AY26">
        <f t="shared" si="30"/>
        <v>272.10128654940212</v>
      </c>
      <c r="AZ26">
        <f t="shared" si="31"/>
        <v>0.56982092357217684</v>
      </c>
      <c r="BA26">
        <f t="shared" si="32"/>
        <v>2.8323523322647117E-2</v>
      </c>
      <c r="BB26">
        <f t="shared" si="33"/>
        <v>-1</v>
      </c>
      <c r="BC26" t="s">
        <v>331</v>
      </c>
      <c r="BD26">
        <v>191.36</v>
      </c>
      <c r="BE26">
        <f t="shared" si="34"/>
        <v>253.47800000000001</v>
      </c>
      <c r="BF26">
        <f t="shared" si="35"/>
        <v>0.56807190671076402</v>
      </c>
      <c r="BG26">
        <f t="shared" si="36"/>
        <v>2.3246132943143811</v>
      </c>
      <c r="BH26">
        <f t="shared" si="37"/>
        <v>0.323699258537335</v>
      </c>
      <c r="BI26" t="e">
        <f t="shared" si="38"/>
        <v>#DIV/0!</v>
      </c>
      <c r="BJ26">
        <v>6581</v>
      </c>
      <c r="BK26">
        <v>300</v>
      </c>
      <c r="BL26">
        <v>300</v>
      </c>
      <c r="BM26">
        <v>300</v>
      </c>
      <c r="BN26">
        <v>9871.19</v>
      </c>
      <c r="BO26">
        <v>403.50599999999997</v>
      </c>
      <c r="BP26">
        <v>-6.5661000000000001E-3</v>
      </c>
      <c r="BQ26">
        <v>1.0455300000000001</v>
      </c>
      <c r="BR26">
        <f t="shared" si="39"/>
        <v>2000.00129032258</v>
      </c>
      <c r="BS26">
        <f t="shared" si="40"/>
        <v>1681.1980835477773</v>
      </c>
      <c r="BT26">
        <f t="shared" si="41"/>
        <v>0.84059849945227638</v>
      </c>
      <c r="BU26">
        <f t="shared" si="42"/>
        <v>0.19119699890455291</v>
      </c>
      <c r="BV26">
        <v>0.5</v>
      </c>
      <c r="BW26" t="s">
        <v>281</v>
      </c>
      <c r="BX26">
        <v>1598203855.0999999</v>
      </c>
      <c r="BY26">
        <v>679.38322580645104</v>
      </c>
      <c r="BZ26">
        <v>700.01374193548395</v>
      </c>
      <c r="CA26">
        <v>19.8547451612903</v>
      </c>
      <c r="CB26">
        <v>16.990674193548401</v>
      </c>
      <c r="CC26">
        <v>500.04512903225799</v>
      </c>
      <c r="CD26">
        <v>99.152419354838699</v>
      </c>
      <c r="CE26">
        <v>0.19990848387096799</v>
      </c>
      <c r="CF26">
        <v>26.868425806451601</v>
      </c>
      <c r="CG26">
        <v>26.9896580645161</v>
      </c>
      <c r="CH26">
        <v>999.9</v>
      </c>
      <c r="CI26">
        <v>10012.559032258099</v>
      </c>
      <c r="CJ26">
        <v>0</v>
      </c>
      <c r="CK26">
        <v>47.758596774193599</v>
      </c>
      <c r="CL26">
        <v>2000.00129032258</v>
      </c>
      <c r="CM26">
        <v>0.98000012903225797</v>
      </c>
      <c r="CN26">
        <v>1.9999954838709699E-2</v>
      </c>
      <c r="CO26">
        <v>0</v>
      </c>
      <c r="CP26">
        <v>300.86858064516099</v>
      </c>
      <c r="CQ26">
        <v>5.00054</v>
      </c>
      <c r="CR26">
        <v>7607.8138709677396</v>
      </c>
      <c r="CS26">
        <v>18703.629032258101</v>
      </c>
      <c r="CT26">
        <v>47.330354838709702</v>
      </c>
      <c r="CU26">
        <v>48.616870967741903</v>
      </c>
      <c r="CV26">
        <v>47.674999999999997</v>
      </c>
      <c r="CW26">
        <v>47.783999999999999</v>
      </c>
      <c r="CX26">
        <v>48.846548387096803</v>
      </c>
      <c r="CY26">
        <v>1955.1012903225801</v>
      </c>
      <c r="CZ26">
        <v>39.9</v>
      </c>
      <c r="DA26">
        <v>0</v>
      </c>
      <c r="DB26">
        <v>140.200000047684</v>
      </c>
      <c r="DC26">
        <v>300.84426923076899</v>
      </c>
      <c r="DD26">
        <v>-1.6482393123299199</v>
      </c>
      <c r="DE26">
        <v>-41.200683743970899</v>
      </c>
      <c r="DF26">
        <v>7607.27615384615</v>
      </c>
      <c r="DG26">
        <v>15</v>
      </c>
      <c r="DH26">
        <v>1598203889.5999999</v>
      </c>
      <c r="DI26" t="s">
        <v>332</v>
      </c>
      <c r="DJ26">
        <v>40</v>
      </c>
      <c r="DK26">
        <v>-1.2E-2</v>
      </c>
      <c r="DL26">
        <v>0.112</v>
      </c>
      <c r="DM26">
        <v>700</v>
      </c>
      <c r="DN26">
        <v>17</v>
      </c>
      <c r="DO26">
        <v>0.13</v>
      </c>
      <c r="DP26">
        <v>0.03</v>
      </c>
      <c r="DQ26">
        <v>679.205509090909</v>
      </c>
      <c r="DR26">
        <v>0.294510822510821</v>
      </c>
      <c r="DS26">
        <v>4.8694174647779399E-2</v>
      </c>
      <c r="DT26">
        <v>1</v>
      </c>
      <c r="DU26">
        <v>19.8640636363636</v>
      </c>
      <c r="DV26">
        <v>-8.5614718614719601E-2</v>
      </c>
      <c r="DW26">
        <v>1.1447943263253799E-2</v>
      </c>
      <c r="DX26">
        <v>1</v>
      </c>
      <c r="DY26">
        <v>2</v>
      </c>
      <c r="DZ26">
        <v>2</v>
      </c>
      <c r="EA26" t="s">
        <v>283</v>
      </c>
      <c r="EB26">
        <v>1.86677</v>
      </c>
      <c r="EC26">
        <v>1.86327</v>
      </c>
      <c r="ED26">
        <v>1.869</v>
      </c>
      <c r="EE26">
        <v>1.8669100000000001</v>
      </c>
      <c r="EF26">
        <v>1.87158</v>
      </c>
      <c r="EG26">
        <v>1.8640099999999999</v>
      </c>
      <c r="EH26">
        <v>1.86565</v>
      </c>
      <c r="EI26">
        <v>1.86554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-1.2E-2</v>
      </c>
      <c r="EX26">
        <v>0.112</v>
      </c>
      <c r="EY26">
        <v>2</v>
      </c>
      <c r="EZ26">
        <v>331.899</v>
      </c>
      <c r="FA26">
        <v>473.54399999999998</v>
      </c>
      <c r="FB26">
        <v>22.256900000000002</v>
      </c>
      <c r="FC26">
        <v>34.606400000000001</v>
      </c>
      <c r="FD26">
        <v>29.994199999999999</v>
      </c>
      <c r="FE26">
        <v>34.670900000000003</v>
      </c>
      <c r="FF26">
        <v>34.681699999999999</v>
      </c>
      <c r="FG26">
        <v>34.497300000000003</v>
      </c>
      <c r="FH26">
        <v>54.527900000000002</v>
      </c>
      <c r="FI26">
        <v>0</v>
      </c>
      <c r="FJ26">
        <v>22.411000000000001</v>
      </c>
      <c r="FK26">
        <v>700</v>
      </c>
      <c r="FL26">
        <v>16.7331</v>
      </c>
      <c r="FM26">
        <v>100.628</v>
      </c>
      <c r="FN26">
        <v>101.062</v>
      </c>
    </row>
    <row r="27" spans="1:170" x14ac:dyDescent="0.25">
      <c r="A27">
        <v>11</v>
      </c>
      <c r="B27">
        <v>1598204011.0999999</v>
      </c>
      <c r="C27">
        <v>1279.5999999046301</v>
      </c>
      <c r="D27" t="s">
        <v>333</v>
      </c>
      <c r="E27" t="s">
        <v>334</v>
      </c>
      <c r="G27">
        <v>1598204003.0999999</v>
      </c>
      <c r="H27">
        <f t="shared" si="0"/>
        <v>6.8706152516648591E-3</v>
      </c>
      <c r="I27">
        <f t="shared" si="1"/>
        <v>47.95059258590144</v>
      </c>
      <c r="J27">
        <f t="shared" si="2"/>
        <v>778.74516129032202</v>
      </c>
      <c r="K27">
        <f t="shared" si="3"/>
        <v>574.72618990111653</v>
      </c>
      <c r="L27">
        <f t="shared" si="4"/>
        <v>57.101571942763243</v>
      </c>
      <c r="M27">
        <f t="shared" si="5"/>
        <v>77.371753078015942</v>
      </c>
      <c r="N27">
        <f t="shared" si="6"/>
        <v>0.43783645401353793</v>
      </c>
      <c r="O27">
        <f t="shared" si="7"/>
        <v>3.3766895510329822</v>
      </c>
      <c r="P27">
        <f t="shared" si="8"/>
        <v>0.4085654864550351</v>
      </c>
      <c r="Q27">
        <f t="shared" si="9"/>
        <v>0.25782005801632119</v>
      </c>
      <c r="R27">
        <f t="shared" si="10"/>
        <v>321.43611538178391</v>
      </c>
      <c r="S27">
        <f t="shared" si="11"/>
        <v>26.796139676839775</v>
      </c>
      <c r="T27">
        <f t="shared" si="12"/>
        <v>26.987106451612899</v>
      </c>
      <c r="U27">
        <f t="shared" si="13"/>
        <v>3.576450198143005</v>
      </c>
      <c r="V27">
        <f t="shared" si="14"/>
        <v>55.509785677804743</v>
      </c>
      <c r="W27">
        <f t="shared" si="15"/>
        <v>1.9521490934284396</v>
      </c>
      <c r="X27">
        <f t="shared" si="16"/>
        <v>3.5167656830082028</v>
      </c>
      <c r="Y27">
        <f t="shared" si="17"/>
        <v>1.6243011047145655</v>
      </c>
      <c r="Z27">
        <f t="shared" si="18"/>
        <v>-302.99413259842026</v>
      </c>
      <c r="AA27">
        <f t="shared" si="19"/>
        <v>-52.101604959929169</v>
      </c>
      <c r="AB27">
        <f t="shared" si="20"/>
        <v>-3.3247376699134059</v>
      </c>
      <c r="AC27">
        <f t="shared" si="21"/>
        <v>-36.984359846478945</v>
      </c>
      <c r="AD27">
        <v>-4.1086951535285701E-2</v>
      </c>
      <c r="AE27">
        <v>4.6123702513002601E-2</v>
      </c>
      <c r="AF27">
        <v>3.44878995214812</v>
      </c>
      <c r="AG27">
        <v>150</v>
      </c>
      <c r="AH27">
        <v>30</v>
      </c>
      <c r="AI27">
        <f t="shared" si="22"/>
        <v>1</v>
      </c>
      <c r="AJ27">
        <f t="shared" si="23"/>
        <v>0</v>
      </c>
      <c r="AK27">
        <f t="shared" si="24"/>
        <v>52446.206392240107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335</v>
      </c>
      <c r="AS27">
        <v>298.68496153846098</v>
      </c>
      <c r="AT27">
        <v>439.14499999999998</v>
      </c>
      <c r="AU27">
        <f t="shared" si="27"/>
        <v>0.31984888467713168</v>
      </c>
      <c r="AV27">
        <v>0.5</v>
      </c>
      <c r="AW27">
        <f t="shared" si="28"/>
        <v>1681.1774899993879</v>
      </c>
      <c r="AX27">
        <f t="shared" si="29"/>
        <v>47.95059258590144</v>
      </c>
      <c r="AY27">
        <f t="shared" si="30"/>
        <v>268.86137256030196</v>
      </c>
      <c r="AZ27">
        <f t="shared" si="31"/>
        <v>0.57499231461134703</v>
      </c>
      <c r="BA27">
        <f t="shared" si="32"/>
        <v>2.9116849872834819E-2</v>
      </c>
      <c r="BB27">
        <f t="shared" si="33"/>
        <v>-1</v>
      </c>
      <c r="BC27" t="s">
        <v>336</v>
      </c>
      <c r="BD27">
        <v>186.64</v>
      </c>
      <c r="BE27">
        <f t="shared" si="34"/>
        <v>252.505</v>
      </c>
      <c r="BF27">
        <f t="shared" si="35"/>
        <v>0.55626636487015702</v>
      </c>
      <c r="BG27">
        <f t="shared" si="36"/>
        <v>2.3528986283754825</v>
      </c>
      <c r="BH27">
        <f t="shared" si="37"/>
        <v>0.31984888467713174</v>
      </c>
      <c r="BI27" t="e">
        <f t="shared" si="38"/>
        <v>#DIV/0!</v>
      </c>
      <c r="BJ27">
        <v>6583</v>
      </c>
      <c r="BK27">
        <v>300</v>
      </c>
      <c r="BL27">
        <v>300</v>
      </c>
      <c r="BM27">
        <v>300</v>
      </c>
      <c r="BN27">
        <v>9871.77</v>
      </c>
      <c r="BO27">
        <v>399.82799999999997</v>
      </c>
      <c r="BP27">
        <v>-6.5665699999999999E-3</v>
      </c>
      <c r="BQ27">
        <v>1.1517599999999999</v>
      </c>
      <c r="BR27">
        <f t="shared" si="39"/>
        <v>1999.97677419355</v>
      </c>
      <c r="BS27">
        <f t="shared" si="40"/>
        <v>1681.1774899993879</v>
      </c>
      <c r="BT27">
        <f t="shared" si="41"/>
        <v>0.84059850678880443</v>
      </c>
      <c r="BU27">
        <f t="shared" si="42"/>
        <v>0.19119701357760918</v>
      </c>
      <c r="BV27">
        <v>0.5</v>
      </c>
      <c r="BW27" t="s">
        <v>281</v>
      </c>
      <c r="BX27">
        <v>1598204003.0999999</v>
      </c>
      <c r="BY27">
        <v>778.74516129032202</v>
      </c>
      <c r="BZ27">
        <v>800.063290322581</v>
      </c>
      <c r="CA27">
        <v>19.648341935483899</v>
      </c>
      <c r="CB27">
        <v>16.9543838709677</v>
      </c>
      <c r="CC27">
        <v>500.05374193548403</v>
      </c>
      <c r="CD27">
        <v>99.154358064516103</v>
      </c>
      <c r="CE27">
        <v>0.20003529032258099</v>
      </c>
      <c r="CF27">
        <v>26.700903225806499</v>
      </c>
      <c r="CG27">
        <v>26.987106451612899</v>
      </c>
      <c r="CH27">
        <v>999.9</v>
      </c>
      <c r="CI27">
        <v>9992.8216129032207</v>
      </c>
      <c r="CJ27">
        <v>0</v>
      </c>
      <c r="CK27">
        <v>48.4635483870968</v>
      </c>
      <c r="CL27">
        <v>1999.97677419355</v>
      </c>
      <c r="CM27">
        <v>0.97999877419354797</v>
      </c>
      <c r="CN27">
        <v>2.0001129032258098E-2</v>
      </c>
      <c r="CO27">
        <v>0</v>
      </c>
      <c r="CP27">
        <v>298.685580645161</v>
      </c>
      <c r="CQ27">
        <v>5.00054</v>
      </c>
      <c r="CR27">
        <v>7587.15032258064</v>
      </c>
      <c r="CS27">
        <v>18703.416129032299</v>
      </c>
      <c r="CT27">
        <v>47.201290322580597</v>
      </c>
      <c r="CU27">
        <v>48.533999999999999</v>
      </c>
      <c r="CV27">
        <v>47.554000000000002</v>
      </c>
      <c r="CW27">
        <v>47.691129032257997</v>
      </c>
      <c r="CX27">
        <v>48.685096774193497</v>
      </c>
      <c r="CY27">
        <v>1955.0767741935499</v>
      </c>
      <c r="CZ27">
        <v>39.9</v>
      </c>
      <c r="DA27">
        <v>0</v>
      </c>
      <c r="DB27">
        <v>147.200000047684</v>
      </c>
      <c r="DC27">
        <v>298.68496153846098</v>
      </c>
      <c r="DD27">
        <v>-2.53247862661991</v>
      </c>
      <c r="DE27">
        <v>-21.6417093467482</v>
      </c>
      <c r="DF27">
        <v>7586.9969230769202</v>
      </c>
      <c r="DG27">
        <v>15</v>
      </c>
      <c r="DH27">
        <v>1598204044.0999999</v>
      </c>
      <c r="DI27" t="s">
        <v>337</v>
      </c>
      <c r="DJ27">
        <v>41</v>
      </c>
      <c r="DK27">
        <v>-0.17899999999999999</v>
      </c>
      <c r="DL27">
        <v>0.111</v>
      </c>
      <c r="DM27">
        <v>800</v>
      </c>
      <c r="DN27">
        <v>17</v>
      </c>
      <c r="DO27">
        <v>0.09</v>
      </c>
      <c r="DP27">
        <v>0.04</v>
      </c>
      <c r="DQ27">
        <v>778.87809090909104</v>
      </c>
      <c r="DR27">
        <v>0.36370562770540399</v>
      </c>
      <c r="DS27">
        <v>5.2357259712756198E-2</v>
      </c>
      <c r="DT27">
        <v>0</v>
      </c>
      <c r="DU27">
        <v>19.655461818181799</v>
      </c>
      <c r="DV27">
        <v>-9.615497835497E-2</v>
      </c>
      <c r="DW27">
        <v>1.8052141559273201E-2</v>
      </c>
      <c r="DX27">
        <v>1</v>
      </c>
      <c r="DY27">
        <v>1</v>
      </c>
      <c r="DZ27">
        <v>2</v>
      </c>
      <c r="EA27" t="s">
        <v>338</v>
      </c>
      <c r="EB27">
        <v>1.86676</v>
      </c>
      <c r="EC27">
        <v>1.8632500000000001</v>
      </c>
      <c r="ED27">
        <v>1.8689100000000001</v>
      </c>
      <c r="EE27">
        <v>1.86683</v>
      </c>
      <c r="EF27">
        <v>1.87151</v>
      </c>
      <c r="EG27">
        <v>1.8640000000000001</v>
      </c>
      <c r="EH27">
        <v>1.8655600000000001</v>
      </c>
      <c r="EI27">
        <v>1.8654900000000001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-0.17899999999999999</v>
      </c>
      <c r="EX27">
        <v>0.111</v>
      </c>
      <c r="EY27">
        <v>2</v>
      </c>
      <c r="EZ27">
        <v>332.56400000000002</v>
      </c>
      <c r="FA27">
        <v>473.35700000000003</v>
      </c>
      <c r="FB27">
        <v>22.225200000000001</v>
      </c>
      <c r="FC27">
        <v>34.5749</v>
      </c>
      <c r="FD27">
        <v>30.000900000000001</v>
      </c>
      <c r="FE27">
        <v>34.636200000000002</v>
      </c>
      <c r="FF27">
        <v>34.646799999999999</v>
      </c>
      <c r="FG27">
        <v>38.427799999999998</v>
      </c>
      <c r="FH27">
        <v>54.844900000000003</v>
      </c>
      <c r="FI27">
        <v>0</v>
      </c>
      <c r="FJ27">
        <v>22.182500000000001</v>
      </c>
      <c r="FK27">
        <v>800</v>
      </c>
      <c r="FL27">
        <v>16.817</v>
      </c>
      <c r="FM27">
        <v>100.634</v>
      </c>
      <c r="FN27">
        <v>101.072</v>
      </c>
    </row>
    <row r="28" spans="1:170" x14ac:dyDescent="0.25">
      <c r="A28">
        <v>12</v>
      </c>
      <c r="B28">
        <v>1598204165.7</v>
      </c>
      <c r="C28">
        <v>1434.2000000476801</v>
      </c>
      <c r="D28" t="s">
        <v>339</v>
      </c>
      <c r="E28" t="s">
        <v>340</v>
      </c>
      <c r="G28">
        <v>1598204157.7</v>
      </c>
      <c r="H28">
        <f t="shared" si="0"/>
        <v>6.1370041996030422E-3</v>
      </c>
      <c r="I28">
        <f t="shared" si="1"/>
        <v>49.145493515157675</v>
      </c>
      <c r="J28">
        <f t="shared" si="2"/>
        <v>977.977451612903</v>
      </c>
      <c r="K28">
        <f t="shared" si="3"/>
        <v>739.24772803626968</v>
      </c>
      <c r="L28">
        <f t="shared" si="4"/>
        <v>73.446353923013845</v>
      </c>
      <c r="M28">
        <f t="shared" si="5"/>
        <v>97.164827588572962</v>
      </c>
      <c r="N28">
        <f t="shared" si="6"/>
        <v>0.38436700821444042</v>
      </c>
      <c r="O28">
        <f t="shared" si="7"/>
        <v>3.3756874227394893</v>
      </c>
      <c r="P28">
        <f t="shared" si="8"/>
        <v>0.36160311411844553</v>
      </c>
      <c r="Q28">
        <f t="shared" si="9"/>
        <v>0.22793476140927976</v>
      </c>
      <c r="R28">
        <f t="shared" si="10"/>
        <v>321.4398069600964</v>
      </c>
      <c r="S28">
        <f t="shared" si="11"/>
        <v>26.748494413536367</v>
      </c>
      <c r="T28">
        <f t="shared" si="12"/>
        <v>26.963312903225798</v>
      </c>
      <c r="U28">
        <f t="shared" si="13"/>
        <v>3.5714548405143414</v>
      </c>
      <c r="V28">
        <f t="shared" si="14"/>
        <v>55.635817907312955</v>
      </c>
      <c r="W28">
        <f t="shared" si="15"/>
        <v>1.9319737904648266</v>
      </c>
      <c r="X28">
        <f t="shared" si="16"/>
        <v>3.4725359725697169</v>
      </c>
      <c r="Y28">
        <f t="shared" si="17"/>
        <v>1.6394810500495147</v>
      </c>
      <c r="Z28">
        <f t="shared" si="18"/>
        <v>-270.64188520249417</v>
      </c>
      <c r="AA28">
        <f t="shared" si="19"/>
        <v>-86.855049827101084</v>
      </c>
      <c r="AB28">
        <f t="shared" si="20"/>
        <v>-5.5374762643016284</v>
      </c>
      <c r="AC28">
        <f t="shared" si="21"/>
        <v>-41.594604333800476</v>
      </c>
      <c r="AD28">
        <v>-4.1071465736107197E-2</v>
      </c>
      <c r="AE28">
        <v>4.6106318346794101E-2</v>
      </c>
      <c r="AF28">
        <v>3.4477606489903301</v>
      </c>
      <c r="AG28">
        <v>150</v>
      </c>
      <c r="AH28">
        <v>30</v>
      </c>
      <c r="AI28">
        <f t="shared" si="22"/>
        <v>1</v>
      </c>
      <c r="AJ28">
        <f t="shared" si="23"/>
        <v>0</v>
      </c>
      <c r="AK28">
        <f t="shared" si="24"/>
        <v>52464.818776471664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341</v>
      </c>
      <c r="AS28">
        <v>297.29592307692297</v>
      </c>
      <c r="AT28">
        <v>429.959</v>
      </c>
      <c r="AU28">
        <f t="shared" si="27"/>
        <v>0.30854820325444288</v>
      </c>
      <c r="AV28">
        <v>0.5</v>
      </c>
      <c r="AW28">
        <f t="shared" si="28"/>
        <v>1681.1967480639059</v>
      </c>
      <c r="AX28">
        <f t="shared" si="29"/>
        <v>49.145493515157675</v>
      </c>
      <c r="AY28">
        <f t="shared" si="30"/>
        <v>259.3651179661652</v>
      </c>
      <c r="AZ28">
        <f t="shared" si="31"/>
        <v>0.56493526126909777</v>
      </c>
      <c r="BA28">
        <f t="shared" si="32"/>
        <v>2.98272605945176E-2</v>
      </c>
      <c r="BB28">
        <f t="shared" si="33"/>
        <v>-1</v>
      </c>
      <c r="BC28" t="s">
        <v>342</v>
      </c>
      <c r="BD28">
        <v>187.06</v>
      </c>
      <c r="BE28">
        <f t="shared" si="34"/>
        <v>242.899</v>
      </c>
      <c r="BF28">
        <f t="shared" si="35"/>
        <v>0.54616559526007524</v>
      </c>
      <c r="BG28">
        <f t="shared" si="36"/>
        <v>2.2985084999465411</v>
      </c>
      <c r="BH28">
        <f t="shared" si="37"/>
        <v>0.30854820325444293</v>
      </c>
      <c r="BI28" t="e">
        <f t="shared" si="38"/>
        <v>#DIV/0!</v>
      </c>
      <c r="BJ28">
        <v>6585</v>
      </c>
      <c r="BK28">
        <v>300</v>
      </c>
      <c r="BL28">
        <v>300</v>
      </c>
      <c r="BM28">
        <v>300</v>
      </c>
      <c r="BN28">
        <v>9871.91</v>
      </c>
      <c r="BO28">
        <v>392.60899999999998</v>
      </c>
      <c r="BP28">
        <v>-6.56669E-3</v>
      </c>
      <c r="BQ28">
        <v>1.05182</v>
      </c>
      <c r="BR28">
        <f t="shared" si="39"/>
        <v>1999.9996774193601</v>
      </c>
      <c r="BS28">
        <f t="shared" si="40"/>
        <v>1681.1967480639059</v>
      </c>
      <c r="BT28">
        <f t="shared" si="41"/>
        <v>0.84059850961235549</v>
      </c>
      <c r="BU28">
        <f t="shared" si="42"/>
        <v>0.19119701922471111</v>
      </c>
      <c r="BV28">
        <v>0.5</v>
      </c>
      <c r="BW28" t="s">
        <v>281</v>
      </c>
      <c r="BX28">
        <v>1598204157.7</v>
      </c>
      <c r="BY28">
        <v>977.977451612903</v>
      </c>
      <c r="BZ28">
        <v>1000.03406451613</v>
      </c>
      <c r="CA28">
        <v>19.445583870967699</v>
      </c>
      <c r="CB28">
        <v>17.0387709677419</v>
      </c>
      <c r="CC28">
        <v>500.05270967741899</v>
      </c>
      <c r="CD28">
        <v>99.152793548387095</v>
      </c>
      <c r="CE28">
        <v>0.200036548387097</v>
      </c>
      <c r="CF28">
        <v>26.486061290322599</v>
      </c>
      <c r="CG28">
        <v>26.963312903225798</v>
      </c>
      <c r="CH28">
        <v>999.9</v>
      </c>
      <c r="CI28">
        <v>9989.2129032258108</v>
      </c>
      <c r="CJ28">
        <v>0</v>
      </c>
      <c r="CK28">
        <v>46.581854838709702</v>
      </c>
      <c r="CL28">
        <v>1999.9996774193601</v>
      </c>
      <c r="CM28">
        <v>0.97999858064516099</v>
      </c>
      <c r="CN28">
        <v>2.0001296774193499E-2</v>
      </c>
      <c r="CO28">
        <v>0</v>
      </c>
      <c r="CP28">
        <v>297.31909677419401</v>
      </c>
      <c r="CQ28">
        <v>5.00054</v>
      </c>
      <c r="CR28">
        <v>7564.2903225806403</v>
      </c>
      <c r="CS28">
        <v>18703.625806451601</v>
      </c>
      <c r="CT28">
        <v>47.185161290322597</v>
      </c>
      <c r="CU28">
        <v>48.533999999999999</v>
      </c>
      <c r="CV28">
        <v>47.52</v>
      </c>
      <c r="CW28">
        <v>47.697290322580599</v>
      </c>
      <c r="CX28">
        <v>48.651000000000003</v>
      </c>
      <c r="CY28">
        <v>1955.0990322580601</v>
      </c>
      <c r="CZ28">
        <v>39.900645161290299</v>
      </c>
      <c r="DA28">
        <v>0</v>
      </c>
      <c r="DB28">
        <v>153.799999952316</v>
      </c>
      <c r="DC28">
        <v>297.29592307692297</v>
      </c>
      <c r="DD28">
        <v>-2.8226324814129899</v>
      </c>
      <c r="DE28">
        <v>-23.188717941573199</v>
      </c>
      <c r="DF28">
        <v>7564.2057692307699</v>
      </c>
      <c r="DG28">
        <v>15</v>
      </c>
      <c r="DH28">
        <v>1598204190.7</v>
      </c>
      <c r="DI28" t="s">
        <v>343</v>
      </c>
      <c r="DJ28">
        <v>42</v>
      </c>
      <c r="DK28">
        <v>0.25800000000000001</v>
      </c>
      <c r="DL28">
        <v>0.112</v>
      </c>
      <c r="DM28">
        <v>1000</v>
      </c>
      <c r="DN28">
        <v>17</v>
      </c>
      <c r="DO28">
        <v>0.09</v>
      </c>
      <c r="DP28">
        <v>0.04</v>
      </c>
      <c r="DQ28">
        <v>977.49221818181798</v>
      </c>
      <c r="DR28">
        <v>0.44280519480521602</v>
      </c>
      <c r="DS28">
        <v>6.9082214763960606E-2</v>
      </c>
      <c r="DT28">
        <v>0</v>
      </c>
      <c r="DU28">
        <v>19.428112727272701</v>
      </c>
      <c r="DV28">
        <v>0.136492640692639</v>
      </c>
      <c r="DW28">
        <v>2.11646107242126E-2</v>
      </c>
      <c r="DX28">
        <v>1</v>
      </c>
      <c r="DY28">
        <v>1</v>
      </c>
      <c r="DZ28">
        <v>2</v>
      </c>
      <c r="EA28" t="s">
        <v>338</v>
      </c>
      <c r="EB28">
        <v>1.86676</v>
      </c>
      <c r="EC28">
        <v>1.8632500000000001</v>
      </c>
      <c r="ED28">
        <v>1.86893</v>
      </c>
      <c r="EE28">
        <v>1.86686</v>
      </c>
      <c r="EF28">
        <v>1.8715200000000001</v>
      </c>
      <c r="EG28">
        <v>1.8640099999999999</v>
      </c>
      <c r="EH28">
        <v>1.86554</v>
      </c>
      <c r="EI28">
        <v>1.86548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0.25800000000000001</v>
      </c>
      <c r="EX28">
        <v>0.112</v>
      </c>
      <c r="EY28">
        <v>2</v>
      </c>
      <c r="EZ28">
        <v>332.45299999999997</v>
      </c>
      <c r="FA28">
        <v>473.589</v>
      </c>
      <c r="FB28">
        <v>21.997</v>
      </c>
      <c r="FC28">
        <v>34.571599999999997</v>
      </c>
      <c r="FD28">
        <v>30.001100000000001</v>
      </c>
      <c r="FE28">
        <v>34.620399999999997</v>
      </c>
      <c r="FF28">
        <v>34.628599999999999</v>
      </c>
      <c r="FG28">
        <v>46.0246</v>
      </c>
      <c r="FH28">
        <v>54.8994</v>
      </c>
      <c r="FI28">
        <v>0</v>
      </c>
      <c r="FJ28">
        <v>21.9682</v>
      </c>
      <c r="FK28">
        <v>1000</v>
      </c>
      <c r="FL28">
        <v>16.843399999999999</v>
      </c>
      <c r="FM28">
        <v>100.63500000000001</v>
      </c>
      <c r="FN28">
        <v>101.075</v>
      </c>
    </row>
    <row r="29" spans="1:170" x14ac:dyDescent="0.25">
      <c r="A29">
        <v>13</v>
      </c>
      <c r="B29">
        <v>1598204312.2</v>
      </c>
      <c r="C29">
        <v>1580.7000000476801</v>
      </c>
      <c r="D29" t="s">
        <v>344</v>
      </c>
      <c r="E29" t="s">
        <v>345</v>
      </c>
      <c r="G29">
        <v>1598204304.2</v>
      </c>
      <c r="H29">
        <f t="shared" si="0"/>
        <v>5.0666068335472247E-3</v>
      </c>
      <c r="I29">
        <f t="shared" si="1"/>
        <v>49.123241506182858</v>
      </c>
      <c r="J29">
        <f t="shared" si="2"/>
        <v>1177.9570000000001</v>
      </c>
      <c r="K29">
        <f t="shared" si="3"/>
        <v>884.51845628278863</v>
      </c>
      <c r="L29">
        <f t="shared" si="4"/>
        <v>87.880241925231132</v>
      </c>
      <c r="M29">
        <f t="shared" si="5"/>
        <v>117.03446706195523</v>
      </c>
      <c r="N29">
        <f t="shared" si="6"/>
        <v>0.30917959490172187</v>
      </c>
      <c r="O29">
        <f t="shared" si="7"/>
        <v>3.3825527800356285</v>
      </c>
      <c r="P29">
        <f t="shared" si="8"/>
        <v>0.29429366646303307</v>
      </c>
      <c r="Q29">
        <f t="shared" si="9"/>
        <v>0.18521124368369066</v>
      </c>
      <c r="R29">
        <f t="shared" si="10"/>
        <v>321.44653894933805</v>
      </c>
      <c r="S29">
        <f t="shared" si="11"/>
        <v>26.850506532318118</v>
      </c>
      <c r="T29">
        <f t="shared" si="12"/>
        <v>26.9802258064516</v>
      </c>
      <c r="U29">
        <f t="shared" si="13"/>
        <v>3.5750050085243368</v>
      </c>
      <c r="V29">
        <f t="shared" si="14"/>
        <v>55.512992754862097</v>
      </c>
      <c r="W29">
        <f t="shared" si="15"/>
        <v>1.9117450219169263</v>
      </c>
      <c r="X29">
        <f t="shared" si="16"/>
        <v>3.4437794236007679</v>
      </c>
      <c r="Y29">
        <f t="shared" si="17"/>
        <v>1.6632599866074105</v>
      </c>
      <c r="Z29">
        <f t="shared" si="18"/>
        <v>-223.4373613594326</v>
      </c>
      <c r="AA29">
        <f t="shared" si="19"/>
        <v>-115.82283638324608</v>
      </c>
      <c r="AB29">
        <f t="shared" si="20"/>
        <v>-7.364770182756752</v>
      </c>
      <c r="AC29">
        <f t="shared" si="21"/>
        <v>-25.178428976097365</v>
      </c>
      <c r="AD29">
        <v>-4.1177596704954897E-2</v>
      </c>
      <c r="AE29">
        <v>4.6225459656909197E-2</v>
      </c>
      <c r="AF29">
        <v>3.4548122475416299</v>
      </c>
      <c r="AG29">
        <v>150</v>
      </c>
      <c r="AH29">
        <v>30</v>
      </c>
      <c r="AI29">
        <f t="shared" si="22"/>
        <v>1</v>
      </c>
      <c r="AJ29">
        <f t="shared" si="23"/>
        <v>0</v>
      </c>
      <c r="AK29">
        <f t="shared" si="24"/>
        <v>52619.627204631572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346</v>
      </c>
      <c r="AS29">
        <v>294.55188461538501</v>
      </c>
      <c r="AT29">
        <v>418.358</v>
      </c>
      <c r="AU29">
        <f t="shared" si="27"/>
        <v>0.29593342396850308</v>
      </c>
      <c r="AV29">
        <v>0.5</v>
      </c>
      <c r="AW29">
        <f t="shared" si="28"/>
        <v>1681.2317512897012</v>
      </c>
      <c r="AX29">
        <f t="shared" si="29"/>
        <v>49.123241506182858</v>
      </c>
      <c r="AY29">
        <f t="shared" si="30"/>
        <v>248.76633432186202</v>
      </c>
      <c r="AZ29">
        <f t="shared" si="31"/>
        <v>0.5524885385244217</v>
      </c>
      <c r="BA29">
        <f t="shared" si="32"/>
        <v>2.9813404051959213E-2</v>
      </c>
      <c r="BB29">
        <f t="shared" si="33"/>
        <v>-1</v>
      </c>
      <c r="BC29" t="s">
        <v>347</v>
      </c>
      <c r="BD29">
        <v>187.22</v>
      </c>
      <c r="BE29">
        <f t="shared" si="34"/>
        <v>231.13800000000001</v>
      </c>
      <c r="BF29">
        <f t="shared" si="35"/>
        <v>0.53563721839167511</v>
      </c>
      <c r="BG29">
        <f t="shared" si="36"/>
        <v>2.2345796389274653</v>
      </c>
      <c r="BH29">
        <f t="shared" si="37"/>
        <v>0.29593342396850303</v>
      </c>
      <c r="BI29" t="e">
        <f t="shared" si="38"/>
        <v>#DIV/0!</v>
      </c>
      <c r="BJ29">
        <v>6587</v>
      </c>
      <c r="BK29">
        <v>300</v>
      </c>
      <c r="BL29">
        <v>300</v>
      </c>
      <c r="BM29">
        <v>300</v>
      </c>
      <c r="BN29">
        <v>9871.8700000000008</v>
      </c>
      <c r="BO29">
        <v>384.49700000000001</v>
      </c>
      <c r="BP29">
        <v>-6.5666800000000001E-3</v>
      </c>
      <c r="BQ29">
        <v>1.10764</v>
      </c>
      <c r="BR29">
        <f t="shared" si="39"/>
        <v>2000.0412903225799</v>
      </c>
      <c r="BS29">
        <f t="shared" si="40"/>
        <v>1681.2317512897012</v>
      </c>
      <c r="BT29">
        <f t="shared" si="41"/>
        <v>0.84059852135279711</v>
      </c>
      <c r="BU29">
        <f t="shared" si="42"/>
        <v>0.19119704270559426</v>
      </c>
      <c r="BV29">
        <v>0.5</v>
      </c>
      <c r="BW29" t="s">
        <v>281</v>
      </c>
      <c r="BX29">
        <v>1598204304.2</v>
      </c>
      <c r="BY29">
        <v>1177.9570000000001</v>
      </c>
      <c r="BZ29">
        <v>1199.9916129032299</v>
      </c>
      <c r="CA29">
        <v>19.241796774193599</v>
      </c>
      <c r="CB29">
        <v>17.254329032258099</v>
      </c>
      <c r="CC29">
        <v>500.04496774193501</v>
      </c>
      <c r="CD29">
        <v>99.153861290322595</v>
      </c>
      <c r="CE29">
        <v>0.19990719354838701</v>
      </c>
      <c r="CF29">
        <v>26.345093548387101</v>
      </c>
      <c r="CG29">
        <v>26.9802258064516</v>
      </c>
      <c r="CH29">
        <v>999.9</v>
      </c>
      <c r="CI29">
        <v>10014.9177419355</v>
      </c>
      <c r="CJ29">
        <v>0</v>
      </c>
      <c r="CK29">
        <v>45.401751612903197</v>
      </c>
      <c r="CL29">
        <v>2000.0412903225799</v>
      </c>
      <c r="CM29">
        <v>0.97999877419354797</v>
      </c>
      <c r="CN29">
        <v>2.0001129032258098E-2</v>
      </c>
      <c r="CO29">
        <v>0</v>
      </c>
      <c r="CP29">
        <v>294.56903225806502</v>
      </c>
      <c r="CQ29">
        <v>5.00054</v>
      </c>
      <c r="CR29">
        <v>7514.86483870968</v>
      </c>
      <c r="CS29">
        <v>18704.0193548387</v>
      </c>
      <c r="CT29">
        <v>47.2134838709677</v>
      </c>
      <c r="CU29">
        <v>48.642935483871</v>
      </c>
      <c r="CV29">
        <v>47.584419354838701</v>
      </c>
      <c r="CW29">
        <v>47.737741935483903</v>
      </c>
      <c r="CX29">
        <v>48.671129032258101</v>
      </c>
      <c r="CY29">
        <v>1955.1390322580601</v>
      </c>
      <c r="CZ29">
        <v>39.902258064516097</v>
      </c>
      <c r="DA29">
        <v>0</v>
      </c>
      <c r="DB29">
        <v>145.89999985694899</v>
      </c>
      <c r="DC29">
        <v>294.55188461538501</v>
      </c>
      <c r="DD29">
        <v>-1.8790769251350199</v>
      </c>
      <c r="DE29">
        <v>-37.488888868805503</v>
      </c>
      <c r="DF29">
        <v>7514.3473076923101</v>
      </c>
      <c r="DG29">
        <v>15</v>
      </c>
      <c r="DH29">
        <v>1598204337.2</v>
      </c>
      <c r="DI29" t="s">
        <v>348</v>
      </c>
      <c r="DJ29">
        <v>43</v>
      </c>
      <c r="DK29">
        <v>0.17499999999999999</v>
      </c>
      <c r="DL29">
        <v>0.11700000000000001</v>
      </c>
      <c r="DM29">
        <v>1200</v>
      </c>
      <c r="DN29">
        <v>17</v>
      </c>
      <c r="DO29">
        <v>0.11</v>
      </c>
      <c r="DP29">
        <v>0.05</v>
      </c>
      <c r="DQ29">
        <v>1177.9723636363599</v>
      </c>
      <c r="DR29">
        <v>0.62891774891709096</v>
      </c>
      <c r="DS29">
        <v>8.8069469198784694E-2</v>
      </c>
      <c r="DT29">
        <v>0</v>
      </c>
      <c r="DU29">
        <v>19.248449090909101</v>
      </c>
      <c r="DV29">
        <v>-0.110864935064929</v>
      </c>
      <c r="DW29">
        <v>1.58717687933039E-2</v>
      </c>
      <c r="DX29">
        <v>1</v>
      </c>
      <c r="DY29">
        <v>1</v>
      </c>
      <c r="DZ29">
        <v>2</v>
      </c>
      <c r="EA29" t="s">
        <v>338</v>
      </c>
      <c r="EB29">
        <v>1.86677</v>
      </c>
      <c r="EC29">
        <v>1.8632500000000001</v>
      </c>
      <c r="ED29">
        <v>1.8689899999999999</v>
      </c>
      <c r="EE29">
        <v>1.8668899999999999</v>
      </c>
      <c r="EF29">
        <v>1.87157</v>
      </c>
      <c r="EG29">
        <v>1.8640099999999999</v>
      </c>
      <c r="EH29">
        <v>1.86558</v>
      </c>
      <c r="EI29">
        <v>1.86554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0.17499999999999999</v>
      </c>
      <c r="EX29">
        <v>0.11700000000000001</v>
      </c>
      <c r="EY29">
        <v>2</v>
      </c>
      <c r="EZ29">
        <v>332.36799999999999</v>
      </c>
      <c r="FA29">
        <v>473.76100000000002</v>
      </c>
      <c r="FB29">
        <v>21.298400000000001</v>
      </c>
      <c r="FC29">
        <v>34.597900000000003</v>
      </c>
      <c r="FD29">
        <v>29.992599999999999</v>
      </c>
      <c r="FE29">
        <v>34.636200000000002</v>
      </c>
      <c r="FF29">
        <v>34.644199999999998</v>
      </c>
      <c r="FG29">
        <v>53.307499999999997</v>
      </c>
      <c r="FH29">
        <v>53.836199999999998</v>
      </c>
      <c r="FI29">
        <v>0</v>
      </c>
      <c r="FJ29">
        <v>21.544</v>
      </c>
      <c r="FK29">
        <v>1200</v>
      </c>
      <c r="FL29">
        <v>16.9941</v>
      </c>
      <c r="FM29">
        <v>100.625</v>
      </c>
      <c r="FN29">
        <v>101.06399999999999</v>
      </c>
    </row>
    <row r="30" spans="1:170" x14ac:dyDescent="0.25">
      <c r="A30">
        <v>14</v>
      </c>
      <c r="B30">
        <v>1598204442.2</v>
      </c>
      <c r="C30">
        <v>1710.7000000476801</v>
      </c>
      <c r="D30" t="s">
        <v>349</v>
      </c>
      <c r="E30" t="s">
        <v>350</v>
      </c>
      <c r="G30">
        <v>1598204434.2032299</v>
      </c>
      <c r="H30">
        <f t="shared" si="0"/>
        <v>4.6293995065122976E-3</v>
      </c>
      <c r="I30">
        <f t="shared" si="1"/>
        <v>49.47643922091379</v>
      </c>
      <c r="J30">
        <f t="shared" si="2"/>
        <v>1577.3052258064499</v>
      </c>
      <c r="K30">
        <f t="shared" si="3"/>
        <v>1243.7523256649429</v>
      </c>
      <c r="L30">
        <f t="shared" si="4"/>
        <v>123.57076790518713</v>
      </c>
      <c r="M30">
        <f t="shared" si="5"/>
        <v>156.71031438639858</v>
      </c>
      <c r="N30">
        <f t="shared" si="6"/>
        <v>0.27918466908573009</v>
      </c>
      <c r="O30">
        <f t="shared" si="7"/>
        <v>3.3775974454996032</v>
      </c>
      <c r="P30">
        <f t="shared" si="8"/>
        <v>0.26696864784802399</v>
      </c>
      <c r="Q30">
        <f t="shared" si="9"/>
        <v>0.16790841997016304</v>
      </c>
      <c r="R30">
        <f t="shared" si="10"/>
        <v>321.43904994926118</v>
      </c>
      <c r="S30">
        <f t="shared" si="11"/>
        <v>26.810657735995743</v>
      </c>
      <c r="T30">
        <f t="shared" si="12"/>
        <v>26.984570967741899</v>
      </c>
      <c r="U30">
        <f t="shared" si="13"/>
        <v>3.5759175935560887</v>
      </c>
      <c r="V30">
        <f t="shared" si="14"/>
        <v>55.6466088036494</v>
      </c>
      <c r="W30">
        <f t="shared" si="15"/>
        <v>1.9005551587874654</v>
      </c>
      <c r="X30">
        <f t="shared" si="16"/>
        <v>3.4154015844768311</v>
      </c>
      <c r="Y30">
        <f t="shared" si="17"/>
        <v>1.6753624347686233</v>
      </c>
      <c r="Z30">
        <f t="shared" si="18"/>
        <v>-204.15651823719233</v>
      </c>
      <c r="AA30">
        <f t="shared" si="19"/>
        <v>-141.95972890239122</v>
      </c>
      <c r="AB30">
        <f t="shared" si="20"/>
        <v>-9.0338297980654154</v>
      </c>
      <c r="AC30">
        <f t="shared" si="21"/>
        <v>-33.7110269883878</v>
      </c>
      <c r="AD30">
        <v>-4.1100982921891099E-2</v>
      </c>
      <c r="AE30">
        <v>4.6139453973683998E-2</v>
      </c>
      <c r="AF30">
        <v>3.4497224692397999</v>
      </c>
      <c r="AG30">
        <v>149</v>
      </c>
      <c r="AH30">
        <v>30</v>
      </c>
      <c r="AI30">
        <f t="shared" si="22"/>
        <v>1</v>
      </c>
      <c r="AJ30">
        <f t="shared" si="23"/>
        <v>0</v>
      </c>
      <c r="AK30">
        <f t="shared" si="24"/>
        <v>52550.320029997027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351</v>
      </c>
      <c r="AS30">
        <v>294.728230769231</v>
      </c>
      <c r="AT30">
        <v>411.53300000000002</v>
      </c>
      <c r="AU30">
        <f t="shared" si="27"/>
        <v>0.28382843959237536</v>
      </c>
      <c r="AV30">
        <v>0.5</v>
      </c>
      <c r="AW30">
        <f t="shared" si="28"/>
        <v>1681.192935160678</v>
      </c>
      <c r="AX30">
        <f t="shared" si="29"/>
        <v>49.47643922091379</v>
      </c>
      <c r="AY30">
        <f t="shared" si="30"/>
        <v>238.58518372019034</v>
      </c>
      <c r="AZ30">
        <f t="shared" si="31"/>
        <v>0.55021833000026732</v>
      </c>
      <c r="BA30">
        <f t="shared" si="32"/>
        <v>3.0024179952962724E-2</v>
      </c>
      <c r="BB30">
        <f t="shared" si="33"/>
        <v>-1</v>
      </c>
      <c r="BC30" t="s">
        <v>352</v>
      </c>
      <c r="BD30">
        <v>185.1</v>
      </c>
      <c r="BE30">
        <f t="shared" si="34"/>
        <v>226.43300000000002</v>
      </c>
      <c r="BF30">
        <f t="shared" si="35"/>
        <v>0.51584693587405106</v>
      </c>
      <c r="BG30">
        <f t="shared" si="36"/>
        <v>2.2233009184224746</v>
      </c>
      <c r="BH30">
        <f t="shared" si="37"/>
        <v>0.28382843959237536</v>
      </c>
      <c r="BI30" t="e">
        <f t="shared" si="38"/>
        <v>#DIV/0!</v>
      </c>
      <c r="BJ30">
        <v>6589</v>
      </c>
      <c r="BK30">
        <v>300</v>
      </c>
      <c r="BL30">
        <v>300</v>
      </c>
      <c r="BM30">
        <v>300</v>
      </c>
      <c r="BN30">
        <v>9872.01</v>
      </c>
      <c r="BO30">
        <v>378.34699999999998</v>
      </c>
      <c r="BP30">
        <v>-6.5666500000000003E-3</v>
      </c>
      <c r="BQ30">
        <v>0.68325800000000003</v>
      </c>
      <c r="BR30">
        <f t="shared" si="39"/>
        <v>1999.9951612903201</v>
      </c>
      <c r="BS30">
        <f t="shared" si="40"/>
        <v>1681.192935160678</v>
      </c>
      <c r="BT30">
        <f t="shared" si="41"/>
        <v>0.84059850128639158</v>
      </c>
      <c r="BU30">
        <f t="shared" si="42"/>
        <v>0.19119700257278327</v>
      </c>
      <c r="BV30">
        <v>0.5</v>
      </c>
      <c r="BW30" t="s">
        <v>281</v>
      </c>
      <c r="BX30">
        <v>1598204434.2032299</v>
      </c>
      <c r="BY30">
        <v>1577.3052258064499</v>
      </c>
      <c r="BZ30">
        <v>1600.01419354839</v>
      </c>
      <c r="CA30">
        <v>19.129280645161298</v>
      </c>
      <c r="CB30">
        <v>17.313135483871001</v>
      </c>
      <c r="CC30">
        <v>500.05280645161298</v>
      </c>
      <c r="CD30">
        <v>99.153190322580599</v>
      </c>
      <c r="CE30">
        <v>0.20000512903225801</v>
      </c>
      <c r="CF30">
        <v>26.2049709677419</v>
      </c>
      <c r="CG30">
        <v>26.984570967741899</v>
      </c>
      <c r="CH30">
        <v>999.9</v>
      </c>
      <c r="CI30">
        <v>9996.35193548387</v>
      </c>
      <c r="CJ30">
        <v>0</v>
      </c>
      <c r="CK30">
        <v>37.319445161290297</v>
      </c>
      <c r="CL30">
        <v>1999.9951612903201</v>
      </c>
      <c r="CM30">
        <v>0.97999819354838702</v>
      </c>
      <c r="CN30">
        <v>2.0001632258064499E-2</v>
      </c>
      <c r="CO30">
        <v>0</v>
      </c>
      <c r="CP30">
        <v>294.73906451612902</v>
      </c>
      <c r="CQ30">
        <v>5.00054</v>
      </c>
      <c r="CR30">
        <v>7517.8054838709704</v>
      </c>
      <c r="CS30">
        <v>18703.554838709701</v>
      </c>
      <c r="CT30">
        <v>47.261806451612898</v>
      </c>
      <c r="CU30">
        <v>48.691064516129003</v>
      </c>
      <c r="CV30">
        <v>47.622903225806397</v>
      </c>
      <c r="CW30">
        <v>47.802161290322601</v>
      </c>
      <c r="CX30">
        <v>48.695322580645097</v>
      </c>
      <c r="CY30">
        <v>1955.09516129032</v>
      </c>
      <c r="CZ30">
        <v>39.9</v>
      </c>
      <c r="DA30">
        <v>0</v>
      </c>
      <c r="DB30">
        <v>129.10000014305101</v>
      </c>
      <c r="DC30">
        <v>294.728230769231</v>
      </c>
      <c r="DD30">
        <v>7.6512836481239396E-2</v>
      </c>
      <c r="DE30">
        <v>-22.260512963760299</v>
      </c>
      <c r="DF30">
        <v>7518.10538461538</v>
      </c>
      <c r="DG30">
        <v>15</v>
      </c>
      <c r="DH30">
        <v>1598204473.2</v>
      </c>
      <c r="DI30" t="s">
        <v>353</v>
      </c>
      <c r="DJ30">
        <v>44</v>
      </c>
      <c r="DK30">
        <v>9.7000000000000003E-2</v>
      </c>
      <c r="DL30">
        <v>0.11600000000000001</v>
      </c>
      <c r="DM30">
        <v>1601</v>
      </c>
      <c r="DN30">
        <v>17</v>
      </c>
      <c r="DO30">
        <v>0.14000000000000001</v>
      </c>
      <c r="DP30">
        <v>0.05</v>
      </c>
      <c r="DQ30">
        <v>1577.34890909091</v>
      </c>
      <c r="DR30">
        <v>0.27400977046483599</v>
      </c>
      <c r="DS30">
        <v>7.66022246834316E-2</v>
      </c>
      <c r="DT30">
        <v>1</v>
      </c>
      <c r="DU30">
        <v>19.111979999999999</v>
      </c>
      <c r="DV30">
        <v>0.181074153611503</v>
      </c>
      <c r="DW30">
        <v>2.53718268951999E-2</v>
      </c>
      <c r="DX30">
        <v>1</v>
      </c>
      <c r="DY30">
        <v>2</v>
      </c>
      <c r="DZ30">
        <v>2</v>
      </c>
      <c r="EA30" t="s">
        <v>283</v>
      </c>
      <c r="EB30">
        <v>1.86676</v>
      </c>
      <c r="EC30">
        <v>1.8632599999999999</v>
      </c>
      <c r="ED30">
        <v>1.8689100000000001</v>
      </c>
      <c r="EE30">
        <v>1.8668400000000001</v>
      </c>
      <c r="EF30">
        <v>1.87151</v>
      </c>
      <c r="EG30">
        <v>1.8640000000000001</v>
      </c>
      <c r="EH30">
        <v>1.86555</v>
      </c>
      <c r="EI30">
        <v>1.8654500000000001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9.7000000000000003E-2</v>
      </c>
      <c r="EX30">
        <v>0.11600000000000001</v>
      </c>
      <c r="EY30">
        <v>2</v>
      </c>
      <c r="EZ30">
        <v>333.00099999999998</v>
      </c>
      <c r="FA30">
        <v>473.92700000000002</v>
      </c>
      <c r="FB30">
        <v>21.3428</v>
      </c>
      <c r="FC30">
        <v>34.680599999999998</v>
      </c>
      <c r="FD30">
        <v>30</v>
      </c>
      <c r="FE30">
        <v>34.689799999999998</v>
      </c>
      <c r="FF30">
        <v>34.691099999999999</v>
      </c>
      <c r="FG30">
        <v>67.039199999999994</v>
      </c>
      <c r="FH30">
        <v>54.2727</v>
      </c>
      <c r="FI30">
        <v>0</v>
      </c>
      <c r="FJ30">
        <v>21.307400000000001</v>
      </c>
      <c r="FK30">
        <v>1600</v>
      </c>
      <c r="FL30">
        <v>16.998000000000001</v>
      </c>
      <c r="FM30">
        <v>100.616</v>
      </c>
      <c r="FN30">
        <v>101.054</v>
      </c>
    </row>
    <row r="31" spans="1:170" x14ac:dyDescent="0.25">
      <c r="A31">
        <v>15</v>
      </c>
      <c r="B31">
        <v>1598204574.2</v>
      </c>
      <c r="C31">
        <v>1842.7000000476801</v>
      </c>
      <c r="D31" t="s">
        <v>354</v>
      </c>
      <c r="E31" t="s">
        <v>355</v>
      </c>
      <c r="G31">
        <v>1598204566.2</v>
      </c>
      <c r="H31">
        <f t="shared" si="0"/>
        <v>4.3736580960238216E-3</v>
      </c>
      <c r="I31">
        <f t="shared" si="1"/>
        <v>49.218597306680834</v>
      </c>
      <c r="J31">
        <f t="shared" si="2"/>
        <v>1777.18803225806</v>
      </c>
      <c r="K31">
        <f t="shared" si="3"/>
        <v>1416.8097784321219</v>
      </c>
      <c r="L31">
        <f t="shared" si="4"/>
        <v>140.75966314424144</v>
      </c>
      <c r="M31">
        <f t="shared" si="5"/>
        <v>176.56314388333152</v>
      </c>
      <c r="N31">
        <f t="shared" si="6"/>
        <v>0.25858977107115355</v>
      </c>
      <c r="O31">
        <f t="shared" si="7"/>
        <v>3.3785663795867364</v>
      </c>
      <c r="P31">
        <f t="shared" si="8"/>
        <v>0.2480759646927867</v>
      </c>
      <c r="Q31">
        <f t="shared" si="9"/>
        <v>0.15595648156264894</v>
      </c>
      <c r="R31">
        <f t="shared" si="10"/>
        <v>321.4398736875018</v>
      </c>
      <c r="S31">
        <f t="shared" si="11"/>
        <v>26.856203294875669</v>
      </c>
      <c r="T31">
        <f t="shared" si="12"/>
        <v>26.996587096774199</v>
      </c>
      <c r="U31">
        <f t="shared" si="13"/>
        <v>3.5784423192282073</v>
      </c>
      <c r="V31">
        <f t="shared" si="14"/>
        <v>54.93749515371794</v>
      </c>
      <c r="W31">
        <f t="shared" si="15"/>
        <v>1.8749475767078669</v>
      </c>
      <c r="X31">
        <f t="shared" si="16"/>
        <v>3.4128741608288968</v>
      </c>
      <c r="Y31">
        <f t="shared" si="17"/>
        <v>1.7034947425203404</v>
      </c>
      <c r="Z31">
        <f t="shared" si="18"/>
        <v>-192.87832203465052</v>
      </c>
      <c r="AA31">
        <f t="shared" si="19"/>
        <v>-146.4712380501598</v>
      </c>
      <c r="AB31">
        <f t="shared" si="20"/>
        <v>-9.3182306971163005</v>
      </c>
      <c r="AC31">
        <f t="shared" si="21"/>
        <v>-27.227917094424811</v>
      </c>
      <c r="AD31">
        <v>-4.1115959529049499E-2</v>
      </c>
      <c r="AE31">
        <v>4.6156266527242203E-2</v>
      </c>
      <c r="AF31">
        <v>3.45071768464845</v>
      </c>
      <c r="AG31">
        <v>149</v>
      </c>
      <c r="AH31">
        <v>30</v>
      </c>
      <c r="AI31">
        <f t="shared" si="22"/>
        <v>1</v>
      </c>
      <c r="AJ31">
        <f t="shared" si="23"/>
        <v>0</v>
      </c>
      <c r="AK31">
        <f t="shared" si="24"/>
        <v>52570.813299773901</v>
      </c>
      <c r="AL31">
        <v>0</v>
      </c>
      <c r="AM31">
        <v>0</v>
      </c>
      <c r="AN31">
        <v>0</v>
      </c>
      <c r="AO31">
        <f t="shared" si="25"/>
        <v>0</v>
      </c>
      <c r="AP31" t="e">
        <f t="shared" si="26"/>
        <v>#DIV/0!</v>
      </c>
      <c r="AQ31">
        <v>-1</v>
      </c>
      <c r="AR31" t="s">
        <v>356</v>
      </c>
      <c r="AS31">
        <v>293.44719230769198</v>
      </c>
      <c r="AT31">
        <v>405.79300000000001</v>
      </c>
      <c r="AU31">
        <f t="shared" si="27"/>
        <v>0.27685496716874869</v>
      </c>
      <c r="AV31">
        <v>0.5</v>
      </c>
      <c r="AW31">
        <f t="shared" si="28"/>
        <v>1681.1972706445558</v>
      </c>
      <c r="AX31">
        <f t="shared" si="29"/>
        <v>49.218597306680834</v>
      </c>
      <c r="AY31">
        <f t="shared" si="30"/>
        <v>232.72390758424422</v>
      </c>
      <c r="AZ31">
        <f t="shared" si="31"/>
        <v>0.54395467639905071</v>
      </c>
      <c r="BA31">
        <f t="shared" si="32"/>
        <v>2.9870734495915211E-2</v>
      </c>
      <c r="BB31">
        <f t="shared" si="33"/>
        <v>-1</v>
      </c>
      <c r="BC31" t="s">
        <v>357</v>
      </c>
      <c r="BD31">
        <v>185.06</v>
      </c>
      <c r="BE31">
        <f t="shared" si="34"/>
        <v>220.733</v>
      </c>
      <c r="BF31">
        <f t="shared" si="35"/>
        <v>0.50896697681048153</v>
      </c>
      <c r="BG31">
        <f t="shared" si="36"/>
        <v>2.1927645088079544</v>
      </c>
      <c r="BH31">
        <f t="shared" si="37"/>
        <v>0.27685496716874869</v>
      </c>
      <c r="BI31" t="e">
        <f t="shared" si="38"/>
        <v>#DIV/0!</v>
      </c>
      <c r="BJ31">
        <v>6591</v>
      </c>
      <c r="BK31">
        <v>300</v>
      </c>
      <c r="BL31">
        <v>300</v>
      </c>
      <c r="BM31">
        <v>300</v>
      </c>
      <c r="BN31">
        <v>9872.25</v>
      </c>
      <c r="BO31">
        <v>374.435</v>
      </c>
      <c r="BP31">
        <v>-6.5668300000000001E-3</v>
      </c>
      <c r="BQ31">
        <v>0.67071499999999995</v>
      </c>
      <c r="BR31">
        <f t="shared" si="39"/>
        <v>2000.0003225806499</v>
      </c>
      <c r="BS31">
        <f t="shared" si="40"/>
        <v>1681.1972706445558</v>
      </c>
      <c r="BT31">
        <f t="shared" si="41"/>
        <v>0.84059849974187273</v>
      </c>
      <c r="BU31">
        <f t="shared" si="42"/>
        <v>0.19119699948374569</v>
      </c>
      <c r="BV31">
        <v>0.5</v>
      </c>
      <c r="BW31" t="s">
        <v>281</v>
      </c>
      <c r="BX31">
        <v>1598204566.2</v>
      </c>
      <c r="BY31">
        <v>1777.18803225806</v>
      </c>
      <c r="BZ31">
        <v>1799.98225806452</v>
      </c>
      <c r="CA31">
        <v>18.872196774193501</v>
      </c>
      <c r="CB31">
        <v>17.155925806451599</v>
      </c>
      <c r="CC31">
        <v>500.051290322581</v>
      </c>
      <c r="CD31">
        <v>99.149741935483902</v>
      </c>
      <c r="CE31">
        <v>0.199983967741935</v>
      </c>
      <c r="CF31">
        <v>26.192441935483899</v>
      </c>
      <c r="CG31">
        <v>26.996587096774199</v>
      </c>
      <c r="CH31">
        <v>999.9</v>
      </c>
      <c r="CI31">
        <v>10000.3422580645</v>
      </c>
      <c r="CJ31">
        <v>0</v>
      </c>
      <c r="CK31">
        <v>35.132235483871</v>
      </c>
      <c r="CL31">
        <v>2000.0003225806499</v>
      </c>
      <c r="CM31">
        <v>0.97999800000000004</v>
      </c>
      <c r="CN31">
        <v>2.00018E-2</v>
      </c>
      <c r="CO31">
        <v>0</v>
      </c>
      <c r="CP31">
        <v>293.45764516128997</v>
      </c>
      <c r="CQ31">
        <v>5.00054</v>
      </c>
      <c r="CR31">
        <v>7472.3948387096798</v>
      </c>
      <c r="CS31">
        <v>18703.6483870968</v>
      </c>
      <c r="CT31">
        <v>47.183064516129001</v>
      </c>
      <c r="CU31">
        <v>48.628999999999998</v>
      </c>
      <c r="CV31">
        <v>47.570129032258002</v>
      </c>
      <c r="CW31">
        <v>47.725612903225802</v>
      </c>
      <c r="CX31">
        <v>48.600548387096801</v>
      </c>
      <c r="CY31">
        <v>1955.1003225806401</v>
      </c>
      <c r="CZ31">
        <v>39.9</v>
      </c>
      <c r="DA31">
        <v>0</v>
      </c>
      <c r="DB31">
        <v>131.5</v>
      </c>
      <c r="DC31">
        <v>293.44719230769198</v>
      </c>
      <c r="DD31">
        <v>-1.2406495705085301</v>
      </c>
      <c r="DE31">
        <v>-48.115555728435403</v>
      </c>
      <c r="DF31">
        <v>7472.1246153846196</v>
      </c>
      <c r="DG31">
        <v>15</v>
      </c>
      <c r="DH31">
        <v>1598204600.7</v>
      </c>
      <c r="DI31" t="s">
        <v>358</v>
      </c>
      <c r="DJ31">
        <v>45</v>
      </c>
      <c r="DK31">
        <v>0.246</v>
      </c>
      <c r="DL31">
        <v>0.11799999999999999</v>
      </c>
      <c r="DM31">
        <v>1800</v>
      </c>
      <c r="DN31">
        <v>17</v>
      </c>
      <c r="DO31">
        <v>0.11</v>
      </c>
      <c r="DP31">
        <v>0.05</v>
      </c>
      <c r="DQ31">
        <v>1777.002</v>
      </c>
      <c r="DR31">
        <v>0.27296561157460603</v>
      </c>
      <c r="DS31">
        <v>5.4016832393364897E-2</v>
      </c>
      <c r="DT31">
        <v>1</v>
      </c>
      <c r="DU31">
        <v>18.877960000000002</v>
      </c>
      <c r="DV31">
        <v>-6.9157237188873594E-2</v>
      </c>
      <c r="DW31">
        <v>9.2216070380185203E-3</v>
      </c>
      <c r="DX31">
        <v>1</v>
      </c>
      <c r="DY31">
        <v>2</v>
      </c>
      <c r="DZ31">
        <v>2</v>
      </c>
      <c r="EA31" t="s">
        <v>283</v>
      </c>
      <c r="EB31">
        <v>1.86676</v>
      </c>
      <c r="EC31">
        <v>1.8632500000000001</v>
      </c>
      <c r="ED31">
        <v>1.8689100000000001</v>
      </c>
      <c r="EE31">
        <v>1.8668199999999999</v>
      </c>
      <c r="EF31">
        <v>1.8714900000000001</v>
      </c>
      <c r="EG31">
        <v>1.86399</v>
      </c>
      <c r="EH31">
        <v>1.86555</v>
      </c>
      <c r="EI31">
        <v>1.86544</v>
      </c>
      <c r="EJ31" t="s">
        <v>284</v>
      </c>
      <c r="EK31" t="s">
        <v>19</v>
      </c>
      <c r="EL31" t="s">
        <v>19</v>
      </c>
      <c r="EM31" t="s">
        <v>19</v>
      </c>
      <c r="EN31" t="s">
        <v>285</v>
      </c>
      <c r="EO31" t="s">
        <v>286</v>
      </c>
      <c r="EP31" t="s">
        <v>287</v>
      </c>
      <c r="EQ31" t="s">
        <v>287</v>
      </c>
      <c r="ER31" t="s">
        <v>287</v>
      </c>
      <c r="ES31" t="s">
        <v>287</v>
      </c>
      <c r="ET31">
        <v>0</v>
      </c>
      <c r="EU31">
        <v>100</v>
      </c>
      <c r="EV31">
        <v>100</v>
      </c>
      <c r="EW31">
        <v>0.246</v>
      </c>
      <c r="EX31">
        <v>0.11799999999999999</v>
      </c>
      <c r="EY31">
        <v>2</v>
      </c>
      <c r="EZ31">
        <v>333.416</v>
      </c>
      <c r="FA31">
        <v>474.08800000000002</v>
      </c>
      <c r="FB31">
        <v>21.3719</v>
      </c>
      <c r="FC31">
        <v>34.709800000000001</v>
      </c>
      <c r="FD31">
        <v>30.0002</v>
      </c>
      <c r="FE31">
        <v>34.721299999999999</v>
      </c>
      <c r="FF31">
        <v>34.7224</v>
      </c>
      <c r="FG31">
        <v>73.486599999999996</v>
      </c>
      <c r="FH31">
        <v>54.194400000000002</v>
      </c>
      <c r="FI31">
        <v>0</v>
      </c>
      <c r="FJ31">
        <v>21.3719</v>
      </c>
      <c r="FK31">
        <v>1800</v>
      </c>
      <c r="FL31">
        <v>17.164999999999999</v>
      </c>
      <c r="FM31">
        <v>100.604</v>
      </c>
      <c r="FN31">
        <v>101.04300000000001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2020-08-23T12:44:20Z</dcterms:created>
  <dcterms:modified xsi:type="dcterms:W3CDTF">2024-11-20T09:07:50Z</dcterms:modified>
</cp:coreProperties>
</file>