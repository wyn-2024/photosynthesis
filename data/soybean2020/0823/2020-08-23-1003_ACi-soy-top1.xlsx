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23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R31" i="1"/>
  <c r="BS31" i="1" s="1"/>
  <c r="BI31" i="1"/>
  <c r="BH31" i="1"/>
  <c r="BG31" i="1"/>
  <c r="BF31" i="1"/>
  <c r="BE31" i="1"/>
  <c r="AZ31" i="1" s="1"/>
  <c r="BB31" i="1"/>
  <c r="AU31" i="1"/>
  <c r="AO31" i="1"/>
  <c r="AP31" i="1" s="1"/>
  <c r="AK31" i="1"/>
  <c r="AI31" i="1"/>
  <c r="AJ31" i="1" s="1"/>
  <c r="X31" i="1"/>
  <c r="V31" i="1" s="1"/>
  <c r="W31" i="1"/>
  <c r="O31" i="1"/>
  <c r="BU30" i="1"/>
  <c r="BT30" i="1"/>
  <c r="BS30" i="1"/>
  <c r="R30" i="1" s="1"/>
  <c r="BR30" i="1"/>
  <c r="BI30" i="1"/>
  <c r="BH30" i="1"/>
  <c r="BG30" i="1"/>
  <c r="BF30" i="1"/>
  <c r="BE30" i="1"/>
  <c r="BB30" i="1"/>
  <c r="AZ30" i="1"/>
  <c r="AU30" i="1"/>
  <c r="AO30" i="1"/>
  <c r="AP30" i="1" s="1"/>
  <c r="AK30" i="1"/>
  <c r="AJ30" i="1"/>
  <c r="AI30" i="1"/>
  <c r="J30" i="1" s="1"/>
  <c r="X30" i="1"/>
  <c r="V30" i="1" s="1"/>
  <c r="W30" i="1"/>
  <c r="O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/>
  <c r="AJ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BB28" i="1"/>
  <c r="AZ28" i="1"/>
  <c r="AU28" i="1"/>
  <c r="AP28" i="1"/>
  <c r="AO28" i="1"/>
  <c r="AK28" i="1"/>
  <c r="AI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O27" i="1"/>
  <c r="AP27" i="1" s="1"/>
  <c r="AK27" i="1"/>
  <c r="AI27" i="1" s="1"/>
  <c r="X27" i="1"/>
  <c r="W27" i="1"/>
  <c r="V27" i="1"/>
  <c r="O27" i="1"/>
  <c r="BU26" i="1"/>
  <c r="BT26" i="1"/>
  <c r="BS26" i="1" s="1"/>
  <c r="BR26" i="1"/>
  <c r="BI26" i="1"/>
  <c r="BH26" i="1"/>
  <c r="BG26" i="1"/>
  <c r="BF26" i="1"/>
  <c r="BE26" i="1"/>
  <c r="BB26" i="1"/>
  <c r="AZ26" i="1"/>
  <c r="AU26" i="1"/>
  <c r="AO26" i="1"/>
  <c r="AP26" i="1" s="1"/>
  <c r="AK26" i="1"/>
  <c r="AI26" i="1"/>
  <c r="M26" i="1" s="1"/>
  <c r="X26" i="1"/>
  <c r="V26" i="1" s="1"/>
  <c r="W26" i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I25" i="1" s="1"/>
  <c r="AX25" i="1" s="1"/>
  <c r="X25" i="1"/>
  <c r="W25" i="1"/>
  <c r="V25" i="1" s="1"/>
  <c r="O25" i="1"/>
  <c r="BU24" i="1"/>
  <c r="BT24" i="1"/>
  <c r="BR24" i="1"/>
  <c r="BS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A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BB23" i="1"/>
  <c r="AZ23" i="1"/>
  <c r="AU23" i="1"/>
  <c r="AP23" i="1"/>
  <c r="AO23" i="1"/>
  <c r="AK23" i="1"/>
  <c r="AI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J21" i="1" s="1"/>
  <c r="X21" i="1"/>
  <c r="W21" i="1"/>
  <c r="V21" i="1" s="1"/>
  <c r="O21" i="1"/>
  <c r="BU20" i="1"/>
  <c r="BT20" i="1"/>
  <c r="BR20" i="1"/>
  <c r="BS20" i="1" s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/>
  <c r="AJ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M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/>
  <c r="I18" i="1" s="1"/>
  <c r="AX18" i="1" s="1"/>
  <c r="X18" i="1"/>
  <c r="W18" i="1"/>
  <c r="V18" i="1"/>
  <c r="O18" i="1"/>
  <c r="M18" i="1"/>
  <c r="J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O17" i="1"/>
  <c r="AP17" i="1" s="1"/>
  <c r="AK17" i="1"/>
  <c r="AI17" i="1" s="1"/>
  <c r="X17" i="1"/>
  <c r="W17" i="1"/>
  <c r="V17" i="1"/>
  <c r="O17" i="1"/>
  <c r="R22" i="1" l="1"/>
  <c r="AW22" i="1"/>
  <c r="AW29" i="1"/>
  <c r="AY29" i="1" s="1"/>
  <c r="R29" i="1"/>
  <c r="AW18" i="1"/>
  <c r="AY18" i="1" s="1"/>
  <c r="R18" i="1"/>
  <c r="AW24" i="1"/>
  <c r="AY24" i="1" s="1"/>
  <c r="R24" i="1"/>
  <c r="AY30" i="1"/>
  <c r="R19" i="1"/>
  <c r="AW19" i="1"/>
  <c r="AW26" i="1"/>
  <c r="R26" i="1"/>
  <c r="AY21" i="1"/>
  <c r="I27" i="1"/>
  <c r="AX27" i="1" s="1"/>
  <c r="BA27" i="1" s="1"/>
  <c r="M27" i="1"/>
  <c r="J27" i="1"/>
  <c r="H27" i="1"/>
  <c r="AJ27" i="1"/>
  <c r="J23" i="1"/>
  <c r="I23" i="1"/>
  <c r="AX23" i="1" s="1"/>
  <c r="BA23" i="1" s="1"/>
  <c r="H23" i="1"/>
  <c r="M23" i="1"/>
  <c r="AJ23" i="1"/>
  <c r="AW28" i="1"/>
  <c r="AY28" i="1" s="1"/>
  <c r="R28" i="1"/>
  <c r="R31" i="1"/>
  <c r="AW31" i="1"/>
  <c r="AY31" i="1" s="1"/>
  <c r="R25" i="1"/>
  <c r="AW25" i="1"/>
  <c r="BA25" i="1" s="1"/>
  <c r="R17" i="1"/>
  <c r="AW17" i="1"/>
  <c r="AY17" i="1" s="1"/>
  <c r="AY20" i="1"/>
  <c r="AY26" i="1"/>
  <c r="AY22" i="1"/>
  <c r="R23" i="1"/>
  <c r="AW23" i="1"/>
  <c r="AY23" i="1" s="1"/>
  <c r="J17" i="1"/>
  <c r="M17" i="1"/>
  <c r="I17" i="1"/>
  <c r="AX17" i="1" s="1"/>
  <c r="H17" i="1"/>
  <c r="AJ17" i="1"/>
  <c r="J28" i="1"/>
  <c r="I28" i="1"/>
  <c r="AX28" i="1" s="1"/>
  <c r="H28" i="1"/>
  <c r="AJ28" i="1"/>
  <c r="M28" i="1"/>
  <c r="AY27" i="1"/>
  <c r="R21" i="1"/>
  <c r="AW21" i="1"/>
  <c r="AY19" i="1"/>
  <c r="R20" i="1"/>
  <c r="AW20" i="1"/>
  <c r="M22" i="1"/>
  <c r="J22" i="1"/>
  <c r="H22" i="1"/>
  <c r="I22" i="1"/>
  <c r="AX22" i="1" s="1"/>
  <c r="BA22" i="1" s="1"/>
  <c r="AJ22" i="1"/>
  <c r="R27" i="1"/>
  <c r="AW27" i="1"/>
  <c r="AJ21" i="1"/>
  <c r="J26" i="1"/>
  <c r="AW30" i="1"/>
  <c r="M30" i="1"/>
  <c r="I29" i="1"/>
  <c r="AX29" i="1" s="1"/>
  <c r="BA29" i="1" s="1"/>
  <c r="J29" i="1"/>
  <c r="I19" i="1"/>
  <c r="AX19" i="1" s="1"/>
  <c r="J24" i="1"/>
  <c r="AJ26" i="1"/>
  <c r="H31" i="1"/>
  <c r="H26" i="1"/>
  <c r="I31" i="1"/>
  <c r="AX31" i="1" s="1"/>
  <c r="BA31" i="1" s="1"/>
  <c r="I26" i="1"/>
  <c r="AX26" i="1" s="1"/>
  <c r="AJ25" i="1"/>
  <c r="H30" i="1"/>
  <c r="I30" i="1"/>
  <c r="AX30" i="1" s="1"/>
  <c r="BA30" i="1" s="1"/>
  <c r="M21" i="1"/>
  <c r="J20" i="1"/>
  <c r="J19" i="1"/>
  <c r="H29" i="1"/>
  <c r="M20" i="1"/>
  <c r="M29" i="1"/>
  <c r="H21" i="1"/>
  <c r="J31" i="1"/>
  <c r="I21" i="1"/>
  <c r="AX21" i="1" s="1"/>
  <c r="M31" i="1"/>
  <c r="H20" i="1"/>
  <c r="I20" i="1"/>
  <c r="AX20" i="1" s="1"/>
  <c r="J25" i="1"/>
  <c r="AJ18" i="1"/>
  <c r="M24" i="1"/>
  <c r="H25" i="1"/>
  <c r="AJ19" i="1"/>
  <c r="H24" i="1"/>
  <c r="M25" i="1"/>
  <c r="H19" i="1"/>
  <c r="I24" i="1"/>
  <c r="AX24" i="1" s="1"/>
  <c r="BA24" i="1" s="1"/>
  <c r="H18" i="1"/>
  <c r="S26" i="1" l="1"/>
  <c r="T26" i="1" s="1"/>
  <c r="P26" i="1" s="1"/>
  <c r="N26" i="1" s="1"/>
  <c r="Q26" i="1" s="1"/>
  <c r="K26" i="1" s="1"/>
  <c r="L26" i="1" s="1"/>
  <c r="BA26" i="1"/>
  <c r="Z26" i="1"/>
  <c r="S17" i="1"/>
  <c r="T17" i="1" s="1"/>
  <c r="Z30" i="1"/>
  <c r="Z31" i="1"/>
  <c r="P31" i="1"/>
  <c r="N31" i="1" s="1"/>
  <c r="Q31" i="1" s="1"/>
  <c r="K31" i="1" s="1"/>
  <c r="L31" i="1" s="1"/>
  <c r="Z28" i="1"/>
  <c r="P28" i="1"/>
  <c r="N28" i="1" s="1"/>
  <c r="Q28" i="1" s="1"/>
  <c r="K28" i="1" s="1"/>
  <c r="L28" i="1" s="1"/>
  <c r="S22" i="1"/>
  <c r="T22" i="1" s="1"/>
  <c r="Z22" i="1"/>
  <c r="S20" i="1"/>
  <c r="T20" i="1" s="1"/>
  <c r="P20" i="1" s="1"/>
  <c r="N20" i="1" s="1"/>
  <c r="Q20" i="1" s="1"/>
  <c r="K20" i="1" s="1"/>
  <c r="L20" i="1" s="1"/>
  <c r="P18" i="1"/>
  <c r="N18" i="1" s="1"/>
  <c r="Q18" i="1" s="1"/>
  <c r="K18" i="1" s="1"/>
  <c r="L18" i="1" s="1"/>
  <c r="Z18" i="1"/>
  <c r="S25" i="1"/>
  <c r="T25" i="1" s="1"/>
  <c r="AY25" i="1"/>
  <c r="Z19" i="1"/>
  <c r="S21" i="1"/>
  <c r="T21" i="1" s="1"/>
  <c r="S31" i="1"/>
  <c r="T31" i="1" s="1"/>
  <c r="Z25" i="1"/>
  <c r="S28" i="1"/>
  <c r="T28" i="1" s="1"/>
  <c r="S18" i="1"/>
  <c r="T18" i="1" s="1"/>
  <c r="BA20" i="1"/>
  <c r="Z20" i="1"/>
  <c r="BA21" i="1"/>
  <c r="S30" i="1"/>
  <c r="T30" i="1" s="1"/>
  <c r="P30" i="1" s="1"/>
  <c r="N30" i="1" s="1"/>
  <c r="Q30" i="1" s="1"/>
  <c r="K30" i="1" s="1"/>
  <c r="L30" i="1" s="1"/>
  <c r="S24" i="1"/>
  <c r="T24" i="1" s="1"/>
  <c r="P24" i="1" s="1"/>
  <c r="N24" i="1" s="1"/>
  <c r="Q24" i="1" s="1"/>
  <c r="K24" i="1" s="1"/>
  <c r="L24" i="1" s="1"/>
  <c r="BA28" i="1"/>
  <c r="S29" i="1"/>
  <c r="T29" i="1" s="1"/>
  <c r="BA17" i="1"/>
  <c r="S23" i="1"/>
  <c r="T23" i="1" s="1"/>
  <c r="P23" i="1" s="1"/>
  <c r="N23" i="1" s="1"/>
  <c r="Q23" i="1" s="1"/>
  <c r="K23" i="1" s="1"/>
  <c r="L23" i="1" s="1"/>
  <c r="Z29" i="1"/>
  <c r="S19" i="1"/>
  <c r="T19" i="1" s="1"/>
  <c r="BA18" i="1"/>
  <c r="Z24" i="1"/>
  <c r="BA19" i="1"/>
  <c r="Z23" i="1"/>
  <c r="P17" i="1"/>
  <c r="N17" i="1" s="1"/>
  <c r="Q17" i="1" s="1"/>
  <c r="K17" i="1" s="1"/>
  <c r="L17" i="1" s="1"/>
  <c r="Z17" i="1"/>
  <c r="P21" i="1"/>
  <c r="N21" i="1" s="1"/>
  <c r="Q21" i="1" s="1"/>
  <c r="K21" i="1" s="1"/>
  <c r="L21" i="1" s="1"/>
  <c r="Z21" i="1"/>
  <c r="S27" i="1"/>
  <c r="T27" i="1" s="1"/>
  <c r="P27" i="1"/>
  <c r="N27" i="1" s="1"/>
  <c r="Q27" i="1" s="1"/>
  <c r="K27" i="1" s="1"/>
  <c r="L27" i="1" s="1"/>
  <c r="Z27" i="1"/>
  <c r="AA29" i="1" l="1"/>
  <c r="AB29" i="1"/>
  <c r="AC29" i="1" s="1"/>
  <c r="U29" i="1"/>
  <c r="Y29" i="1" s="1"/>
  <c r="AB17" i="1"/>
  <c r="U17" i="1"/>
  <c r="Y17" i="1" s="1"/>
  <c r="AA17" i="1"/>
  <c r="AB19" i="1"/>
  <c r="AC19" i="1" s="1"/>
  <c r="U19" i="1"/>
  <c r="Y19" i="1" s="1"/>
  <c r="AA19" i="1"/>
  <c r="AA25" i="1"/>
  <c r="AB25" i="1"/>
  <c r="AC25" i="1" s="1"/>
  <c r="U25" i="1"/>
  <c r="Y25" i="1" s="1"/>
  <c r="AB24" i="1"/>
  <c r="U24" i="1"/>
  <c r="Y24" i="1" s="1"/>
  <c r="AA24" i="1"/>
  <c r="U27" i="1"/>
  <c r="Y27" i="1" s="1"/>
  <c r="AB27" i="1"/>
  <c r="AA27" i="1"/>
  <c r="U22" i="1"/>
  <c r="Y22" i="1" s="1"/>
  <c r="AB22" i="1"/>
  <c r="AC22" i="1" s="1"/>
  <c r="AA22" i="1"/>
  <c r="AB28" i="1"/>
  <c r="U28" i="1"/>
  <c r="Y28" i="1" s="1"/>
  <c r="AA28" i="1"/>
  <c r="U31" i="1"/>
  <c r="Y31" i="1" s="1"/>
  <c r="AB31" i="1"/>
  <c r="AA31" i="1"/>
  <c r="U26" i="1"/>
  <c r="Y26" i="1" s="1"/>
  <c r="AB26" i="1"/>
  <c r="AC26" i="1" s="1"/>
  <c r="AA26" i="1"/>
  <c r="AB23" i="1"/>
  <c r="U23" i="1"/>
  <c r="Y23" i="1" s="1"/>
  <c r="AA23" i="1"/>
  <c r="AA20" i="1"/>
  <c r="AB20" i="1"/>
  <c r="AC20" i="1" s="1"/>
  <c r="U20" i="1"/>
  <c r="Y20" i="1" s="1"/>
  <c r="U30" i="1"/>
  <c r="Y30" i="1" s="1"/>
  <c r="AA30" i="1"/>
  <c r="AB30" i="1"/>
  <c r="AC30" i="1" s="1"/>
  <c r="P22" i="1"/>
  <c r="N22" i="1" s="1"/>
  <c r="Q22" i="1" s="1"/>
  <c r="K22" i="1" s="1"/>
  <c r="L22" i="1" s="1"/>
  <c r="U18" i="1"/>
  <c r="Y18" i="1" s="1"/>
  <c r="AB18" i="1"/>
  <c r="AA18" i="1"/>
  <c r="P25" i="1"/>
  <c r="N25" i="1" s="1"/>
  <c r="Q25" i="1" s="1"/>
  <c r="K25" i="1" s="1"/>
  <c r="L25" i="1" s="1"/>
  <c r="AA21" i="1"/>
  <c r="U21" i="1"/>
  <c r="Y21" i="1" s="1"/>
  <c r="AB21" i="1"/>
  <c r="AC21" i="1" s="1"/>
  <c r="P29" i="1"/>
  <c r="N29" i="1" s="1"/>
  <c r="Q29" i="1" s="1"/>
  <c r="K29" i="1" s="1"/>
  <c r="L29" i="1" s="1"/>
  <c r="P19" i="1"/>
  <c r="N19" i="1" s="1"/>
  <c r="Q19" i="1" s="1"/>
  <c r="K19" i="1" s="1"/>
  <c r="L19" i="1" s="1"/>
  <c r="AC28" i="1" l="1"/>
  <c r="AC18" i="1"/>
  <c r="AC17" i="1"/>
  <c r="AC24" i="1"/>
  <c r="AC23" i="1"/>
  <c r="AC31" i="1"/>
  <c r="AC27" i="1"/>
</calcChain>
</file>

<file path=xl/sharedStrings.xml><?xml version="1.0" encoding="utf-8"?>
<sst xmlns="http://schemas.openxmlformats.org/spreadsheetml/2006/main" count="788" uniqueCount="359">
  <si>
    <t>File opened</t>
  </si>
  <si>
    <t>2020-08-23 10:03:36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</si>
  <si>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</si>
  <si>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</si>
  <si>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</si>
  <si>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</si>
  <si>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</si>
  <si>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</si>
  <si>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</si>
  <si>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</si>
  <si>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</si>
  <si>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</si>
  <si>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</si>
  <si>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{"oxygen": "21", "co2bzero": "0.880288", "h2oaspanconc2": "0", "h2obspan2b": "0.0963575", "h2oazero": "1.00263", "h2oaspan1": "1.00223", "co2bspanconc1": "1002", "h2obspanconc2": "0", "co2aspan2": "0", "co2bspan1": "0.992131", "h2obzero": "1.01783", "flowazero": "0.42932", "ssb_ref": "36526.8", "h2obspanconc1": "20", "co2bspan2a": "0.163389", "co2bspan2b": "0.162103", "co2bspan2": "0", "co2bspanconc2": "0", "co2aspanconc1": "1002", "ssa_ref": "36614.9", "h2obspan1": "0.998578", "h2oaspan2a": "0.0661155", "h2obspan2a": "0.0975941", "h2obspan2": "0", "h2oaspanconc1": "12.19", "chamberpressurezero": "2.59209", "co2aspan2a": "0.164928", "h2oaspan2b": "0.0662632", "co2aspan1": "0.992625", "tazero": "0.00774765", "flowmeterzero": "0.990908", "co2aspan2b": "0.163711", "co2azero": "0.869071", "flowbzero": "0.22736", "h2oaspan2": "0", "co2aspanconc2": "0", "tbzero": "0.197721"}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</si>
  <si>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</si>
  <si>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</si>
  <si>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</si>
  <si>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</si>
  <si>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</si>
  <si>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</si>
  <si>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</si>
  <si>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</si>
  <si>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</si>
  <si>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10:03:36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</si>
  <si>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</si>
  <si>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</si>
  <si>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</si>
  <si>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</si>
  <si>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</si>
  <si>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</si>
  <si>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</si>
  <si>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</si>
  <si>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</si>
  <si>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</si>
  <si>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</si>
  <si>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</si>
  <si>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</si>
  <si>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</si>
  <si>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</si>
  <si>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</si>
  <si>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</si>
  <si>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</si>
  <si>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</si>
  <si>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</si>
  <si>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</si>
  <si>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</si>
  <si>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</si>
  <si>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</si>
  <si>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</si>
  <si>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</si>
  <si>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</si>
  <si>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</si>
  <si>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</si>
  <si>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</si>
  <si>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</si>
  <si>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</si>
  <si>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</si>
  <si>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</si>
  <si>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</si>
  <si>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</si>
  <si>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</si>
  <si>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</si>
  <si>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</si>
  <si>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</si>
  <si>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</si>
  <si>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</si>
  <si>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</si>
  <si>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</si>
  <si>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</si>
  <si>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</si>
  <si>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</si>
  <si>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2.94359 76.2785 384.689 618.449 845.034 1049.11 1224.88 1398.33</t>
  </si>
  <si>
    <t>Fs_true</t>
  </si>
  <si>
    <t>0.282282 99.9505 401.086 601.05 800.065 1000.06 1200.05 1401.49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</si>
  <si>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</si>
  <si>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</si>
  <si>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</si>
  <si>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</si>
  <si>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</si>
  <si>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</si>
  <si>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</si>
  <si>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</si>
  <si>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</si>
  <si>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</si>
  <si>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</si>
  <si>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</si>
  <si>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</si>
  <si>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</si>
  <si>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</si>
  <si>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</si>
  <si>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</si>
  <si>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</si>
  <si>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</si>
  <si>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</si>
  <si>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</si>
  <si>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</si>
  <si>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</si>
  <si>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</si>
  <si>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</si>
  <si>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</si>
  <si>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</si>
  <si>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</si>
  <si>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</si>
  <si>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</si>
  <si>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</si>
  <si>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</si>
  <si>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</si>
  <si>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</si>
  <si>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</si>
  <si>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</si>
  <si>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</si>
  <si>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</si>
  <si>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</si>
  <si>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</si>
  <si>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</si>
  <si>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</si>
  <si>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</si>
  <si>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</si>
  <si>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</si>
  <si>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</si>
  <si>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</si>
  <si>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</si>
  <si>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</si>
  <si>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</si>
  <si>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</si>
  <si>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</si>
  <si>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</si>
  <si>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</si>
  <si>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</si>
  <si>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</si>
  <si>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</si>
  <si>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</si>
  <si>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</si>
  <si>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</si>
  <si>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</si>
  <si>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</si>
  <si>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</si>
  <si>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</si>
  <si>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</si>
  <si>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</si>
  <si>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</si>
  <si>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</si>
  <si>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</si>
  <si>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</si>
  <si>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</si>
  <si>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</si>
  <si>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</si>
  <si>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</si>
  <si>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</si>
  <si>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</si>
  <si>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</si>
  <si>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</si>
  <si>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</si>
  <si>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</si>
  <si>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</si>
  <si>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</si>
  <si>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</si>
  <si>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</si>
  <si>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</si>
  <si>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</si>
  <si>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</si>
  <si>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</si>
  <si>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</si>
  <si>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</si>
  <si>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</si>
  <si>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</si>
  <si>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</si>
  <si>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</si>
  <si>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</si>
  <si>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</si>
  <si>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</si>
  <si>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</si>
  <si>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</si>
  <si>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</si>
  <si>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</si>
  <si>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</si>
  <si>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</si>
  <si>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</si>
  <si>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</si>
  <si>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</si>
  <si>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</si>
  <si>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</si>
  <si>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</si>
  <si>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</si>
  <si>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</si>
  <si>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</si>
  <si>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</si>
  <si>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</si>
  <si>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</si>
  <si>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</si>
  <si>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</si>
  <si>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</si>
  <si>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</si>
  <si>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</si>
  <si>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</si>
  <si>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</si>
  <si>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</si>
  <si>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</si>
  <si>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</si>
  <si>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</si>
  <si>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</si>
  <si>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</si>
  <si>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</si>
  <si>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</si>
  <si>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</si>
  <si>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</si>
  <si>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</si>
  <si>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</si>
  <si>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</si>
  <si>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</si>
  <si>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</si>
  <si>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</si>
  <si>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</si>
  <si>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</si>
  <si>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</si>
  <si>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</si>
  <si>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</si>
  <si>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</si>
  <si>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</si>
  <si>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</si>
  <si>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</si>
  <si>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</si>
  <si>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</si>
  <si>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</si>
  <si>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</si>
  <si>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</si>
  <si>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</si>
  <si>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</si>
  <si>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</si>
  <si>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</si>
  <si>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</si>
  <si>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</si>
  <si>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</si>
  <si>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</si>
  <si>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</si>
  <si>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</si>
  <si>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</si>
  <si>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</si>
  <si>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</si>
  <si>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</si>
  <si>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</si>
  <si>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</si>
  <si>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</si>
  <si>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</si>
  <si>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</si>
  <si>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</si>
  <si>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</si>
  <si>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</si>
  <si>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</si>
  <si>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</si>
  <si>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</si>
  <si>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</si>
  <si>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</si>
  <si>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</si>
  <si>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</si>
  <si>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</si>
  <si>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</si>
  <si>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</si>
  <si>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</si>
  <si>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</si>
  <si>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</si>
  <si>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</si>
  <si>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</si>
  <si>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</si>
  <si>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</si>
  <si>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</si>
  <si>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</si>
  <si>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</si>
  <si>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</si>
  <si>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</si>
  <si>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</si>
  <si>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</si>
  <si>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</si>
  <si>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</si>
  <si>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</si>
  <si>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</si>
  <si>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</si>
  <si>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20200823 10:11:03</t>
  </si>
  <si>
    <t>10:11:03</t>
  </si>
  <si>
    <t>MPF-6473-20200823-10_11_05</t>
  </si>
  <si>
    <t>DARK-6474-20200823-10_11_13</t>
  </si>
  <si>
    <t>0: Broadleaf</t>
  </si>
  <si>
    <t>10:11:32</t>
  </si>
  <si>
    <t>2/2</t>
  </si>
  <si>
    <t>5</t>
  </si>
  <si>
    <t>11111111</t>
  </si>
  <si>
    <t>oooooooo</t>
  </si>
  <si>
    <t>off</t>
  </si>
  <si>
    <t>20200823 10:13:10</t>
  </si>
  <si>
    <t>10:13:10</t>
  </si>
  <si>
    <t>MPF-6475-20200823-10_13_12</t>
  </si>
  <si>
    <t>DARK-6476-20200823-10_13_20</t>
  </si>
  <si>
    <t>10:13:38</t>
  </si>
  <si>
    <t>20200823 10:15:09</t>
  </si>
  <si>
    <t>10:15:09</t>
  </si>
  <si>
    <t>MPF-6477-20200823-10_15_11</t>
  </si>
  <si>
    <t>DARK-6478-20200823-10_15_19</t>
  </si>
  <si>
    <t>10:15:35</t>
  </si>
  <si>
    <t>20200823 10:17:06</t>
  </si>
  <si>
    <t>10:17:06</t>
  </si>
  <si>
    <t>MPF-6479-20200823-10_17_08</t>
  </si>
  <si>
    <t>DARK-6480-20200823-10_17_16</t>
  </si>
  <si>
    <t>10:17:36</t>
  </si>
  <si>
    <t>20200823 10:19:14</t>
  </si>
  <si>
    <t>10:19:14</t>
  </si>
  <si>
    <t>MPF-6481-20200823-10_19_16</t>
  </si>
  <si>
    <t>DARK-6482-20200823-10_19_23</t>
  </si>
  <si>
    <t>10:19:43</t>
  </si>
  <si>
    <t>20200823 10:21:14</t>
  </si>
  <si>
    <t>10:21:14</t>
  </si>
  <si>
    <t>MPF-6483-20200823-10_21_16</t>
  </si>
  <si>
    <t>DARK-6484-20200823-10_21_24</t>
  </si>
  <si>
    <t>10:21:47</t>
  </si>
  <si>
    <t>20200823 10:23:24</t>
  </si>
  <si>
    <t>10:23:24</t>
  </si>
  <si>
    <t>MPF-6485-20200823-10_23_26</t>
  </si>
  <si>
    <t>DARK-6486-20200823-10_23_34</t>
  </si>
  <si>
    <t>10:23:49</t>
  </si>
  <si>
    <t>20200823 10:25:50</t>
  </si>
  <si>
    <t>10:25:50</t>
  </si>
  <si>
    <t>MPF-6487-20200823-10_25_52</t>
  </si>
  <si>
    <t>DARK-6488-20200823-10_26_00</t>
  </si>
  <si>
    <t>10:26:14</t>
  </si>
  <si>
    <t>1/2</t>
  </si>
  <si>
    <t>20200823 10:28:16</t>
  </si>
  <si>
    <t>10:28:16</t>
  </si>
  <si>
    <t>MPF-6489-20200823-10_28_18</t>
  </si>
  <si>
    <t>DARK-6490-20200823-10_28_25</t>
  </si>
  <si>
    <t>10:28:42</t>
  </si>
  <si>
    <t>20200823 10:30:44</t>
  </si>
  <si>
    <t>10:30:44</t>
  </si>
  <si>
    <t>MPF-6491-20200823-10_30_46</t>
  </si>
  <si>
    <t>DARK-6492-20200823-10_30_53</t>
  </si>
  <si>
    <t>10:31:06</t>
  </si>
  <si>
    <t>20200823 10:33:07</t>
  </si>
  <si>
    <t>10:33:07</t>
  </si>
  <si>
    <t>MPF-6493-20200823-10_33_09</t>
  </si>
  <si>
    <t>DARK-6494-20200823-10_33_17</t>
  </si>
  <si>
    <t>10:33:29</t>
  </si>
  <si>
    <t>20200823 10:35:31</t>
  </si>
  <si>
    <t>10:35:31</t>
  </si>
  <si>
    <t>MPF-6495-20200823-10_35_33</t>
  </si>
  <si>
    <t>DARK-6496-20200823-10_35_40</t>
  </si>
  <si>
    <t>10:35:58</t>
  </si>
  <si>
    <t>20200823 10:37:38</t>
  </si>
  <si>
    <t>10:37:38</t>
  </si>
  <si>
    <t>MPF-6497-20200823-10_37_39</t>
  </si>
  <si>
    <t>DARK-6498-20200823-10_37_47</t>
  </si>
  <si>
    <t>10:38:08</t>
  </si>
  <si>
    <t>20200823 10:40:10</t>
  </si>
  <si>
    <t>10:40:10</t>
  </si>
  <si>
    <t>MPF-6499-20200823-10_40_11</t>
  </si>
  <si>
    <t>DARK-6500-20200823-10_40_19</t>
  </si>
  <si>
    <t>10:40:34</t>
  </si>
  <si>
    <t>20200823 10:42:35</t>
  </si>
  <si>
    <t>10:42:35</t>
  </si>
  <si>
    <t>MPF-6501-20200823-10_42_37</t>
  </si>
  <si>
    <t>DARK-6502-20200823-10_42_44</t>
  </si>
  <si>
    <t>10:43:00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</si>
</sst>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1598195463.4000001</v>
      </c>
      <c r="C17">
        <v>0</v>
      </c>
      <c r="D17" t="s">
        <v>277</v>
      </c>
      <c r="E17" t="s">
        <v>278</v>
      </c>
      <c r="G17">
        <v>1598195455.3580599</v>
      </c>
      <c r="H17">
        <f t="shared" ref="H17:H31" si="0">CC17*AI17*(CA17-CB17)/(100*$B$5*(1000-AI17*CA17))</f>
        <v>1.0022292634547285E-2</v>
      </c>
      <c r="I17">
        <f t="shared" ref="I17:I31" si="1">CC17*AI17*(BZ17-BY17*(1000-AI17*CB17)/(1000-AI17*CA17))/(100*$B$5)</f>
        <v>34.918210140296324</v>
      </c>
      <c r="J17">
        <f t="shared" ref="J17:J31" si="2">BY17 - IF(AI17&gt;1, I17*$B$5*100/(AK17*CI17), 0)</f>
        <v>384.41848387096798</v>
      </c>
      <c r="K17">
        <f t="shared" ref="K17:K31" si="3">((Q17-H17/2)*J17-I17)/(Q17+H17/2)</f>
        <v>289.44763680691506</v>
      </c>
      <c r="L17">
        <f t="shared" ref="L17:L31" si="4">K17*(CD17+CE17)/1000</f>
        <v>28.771321866825271</v>
      </c>
      <c r="M17">
        <f t="shared" ref="M17:M31" si="5">(BY17 - IF(AI17&gt;1, I17*$B$5*100/(AK17*CI17), 0))*(CD17+CE17)/1000</f>
        <v>38.211498470055439</v>
      </c>
      <c r="N17">
        <f t="shared" ref="N17:N31" si="6">2/((1/P17-1/O17)+SIGN(P17)*SQRT((1/P17-1/O17)*(1/P17-1/O17) + 4*BV17/((BV17+1)*(BV17+1))*(2*1/P17*1/O17-1/O17*1/O17)))</f>
        <v>0.70912858053516126</v>
      </c>
      <c r="O17">
        <f t="shared" ref="O17:O31" si="7">AF17+AE17*$B$5+AD17*$B$5*$B$5</f>
        <v>3.3774023266747846</v>
      </c>
      <c r="P17">
        <f t="shared" ref="P17:P31" si="8">H17*(1000-(1000*0.61365*EXP(17.502*T17/(240.97+T17))/(CD17+CE17)+CA17)/2)/(1000*0.61365*EXP(17.502*T17/(240.97+T17))/(CD17+CE17)-CA17)</f>
        <v>0.63561901325928349</v>
      </c>
      <c r="Q17">
        <f t="shared" ref="Q17:Q31" si="9">1/((BV17+1)/(N17/1.6)+1/(O17/1.37)) + BV17/((BV17+1)/(N17/1.6) + BV17/(O17/1.37))</f>
        <v>0.40322954941571398</v>
      </c>
      <c r="R17">
        <f t="shared" ref="R17:R31" si="10">(BS17*BU17)</f>
        <v>321.43668630389851</v>
      </c>
      <c r="S17">
        <f t="shared" ref="S17:S31" si="11">(CF17+(R17+2*0.95*0.0000000567*(((CF17+$B$7)+273)^4-(CF17+273)^4)-44100*H17)/(1.84*29.3*O17+8*0.95*0.0000000567*(CF17+273)^3))</f>
        <v>27.444284237089821</v>
      </c>
      <c r="T17">
        <f t="shared" ref="T17:T31" si="12">($C$7*CG17+$D$7*CH17+$E$7*S17)</f>
        <v>27.092874193548401</v>
      </c>
      <c r="U17">
        <f t="shared" ref="U17:U31" si="13">0.61365*EXP(17.502*T17/(240.97+T17))</f>
        <v>3.5987295902411756</v>
      </c>
      <c r="V17">
        <f t="shared" ref="V17:V31" si="14">(W17/X17*100)</f>
        <v>54.499023429744234</v>
      </c>
      <c r="W17">
        <f t="shared" ref="W17:W31" si="15">CA17*(CD17+CE17)/1000</f>
        <v>2.076141197163575</v>
      </c>
      <c r="X17">
        <f t="shared" ref="X17:X31" si="16">0.61365*EXP(17.502*CF17/(240.97+CF17))</f>
        <v>3.8095016506854837</v>
      </c>
      <c r="Y17">
        <f t="shared" ref="Y17:Y31" si="17">(U17-CA17*(CD17+CE17)/1000)</f>
        <v>1.5225883930776005</v>
      </c>
      <c r="Z17">
        <f t="shared" ref="Z17:Z31" si="18">(-H17*44100)</f>
        <v>-441.98310518353526</v>
      </c>
      <c r="AA17">
        <f t="shared" ref="AA17:AA31" si="19">2*29.3*O17*0.92*(CF17-T17)</f>
        <v>177.21914901674219</v>
      </c>
      <c r="AB17">
        <f t="shared" ref="AB17:AB31" si="20">2*0.95*0.0000000567*(((CF17+$B$7)+273)^4-(T17+273)^4)</f>
        <v>11.389859103105186</v>
      </c>
      <c r="AC17">
        <f t="shared" ref="AC17:AC31" si="21">R17+AB17+Z17+AA17</f>
        <v>68.062589240210656</v>
      </c>
      <c r="AD17">
        <v>-4.1097967244417298E-2</v>
      </c>
      <c r="AE17">
        <v>4.61360686115318E-2</v>
      </c>
      <c r="AF17">
        <v>3.4495220584293902</v>
      </c>
      <c r="AG17">
        <v>140</v>
      </c>
      <c r="AH17">
        <v>28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52222.797434527187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322.41242307692301</v>
      </c>
      <c r="AT17">
        <v>457.68400000000003</v>
      </c>
      <c r="AU17">
        <f t="shared" ref="AU17:AU31" si="27">1-AS17/AT17</f>
        <v>0.29555670926463895</v>
      </c>
      <c r="AV17">
        <v>0.5</v>
      </c>
      <c r="AW17">
        <f t="shared" ref="AW17:AW31" si="28">BS17</f>
        <v>1681.1831512897897</v>
      </c>
      <c r="AX17">
        <f t="shared" ref="AX17:AX31" si="29">I17</f>
        <v>34.918210140296324</v>
      </c>
      <c r="AY17">
        <f t="shared" ref="AY17:AY31" si="30">AU17*AV17*AW17</f>
        <v>248.44247993318297</v>
      </c>
      <c r="AZ17">
        <f t="shared" ref="AZ17:AZ31" si="31">BE17/AT17</f>
        <v>0.56891654503980915</v>
      </c>
      <c r="BA17">
        <f t="shared" ref="BA17:BA31" si="32">(AX17-AQ17)/AW17</f>
        <v>2.1364840655665726E-2</v>
      </c>
      <c r="BB17">
        <f t="shared" ref="BB17:BB31" si="33">(AN17-AT17)/AT17</f>
        <v>-1</v>
      </c>
      <c r="BC17" t="s">
        <v>280</v>
      </c>
      <c r="BD17">
        <v>197.3</v>
      </c>
      <c r="BE17">
        <f t="shared" ref="BE17:BE31" si="34">AT17-BD17</f>
        <v>260.38400000000001</v>
      </c>
      <c r="BF17">
        <f t="shared" ref="BF17:BF31" si="35">(AT17-AS17)/(AT17-BD17)</f>
        <v>0.51950802247095451</v>
      </c>
      <c r="BG17">
        <f t="shared" ref="BG17:BG31" si="36">(AN17-AT17)/(AN17-BD17)</f>
        <v>2.3197364419665485</v>
      </c>
      <c r="BH17">
        <f t="shared" ref="BH17:BH31" si="37">(AT17-AS17)/(AT17-AM17)</f>
        <v>0.29555670926463895</v>
      </c>
      <c r="BI17" t="e">
        <f t="shared" ref="BI17:BI31" si="38">(AN17-AT17)/(AN17-AM17)</f>
        <v>#DIV/0!</v>
      </c>
      <c r="BJ17">
        <v>6473</v>
      </c>
      <c r="BK17">
        <v>300</v>
      </c>
      <c r="BL17">
        <v>300</v>
      </c>
      <c r="BM17">
        <v>300</v>
      </c>
      <c r="BN17">
        <v>9871.1299999999992</v>
      </c>
      <c r="BO17">
        <v>422.83300000000003</v>
      </c>
      <c r="BP17">
        <v>-6.5670299999999997E-3</v>
      </c>
      <c r="BQ17">
        <v>1.57501</v>
      </c>
      <c r="BR17">
        <f t="shared" ref="BR17:BR31" si="39">$B$11*CJ17+$C$11*CK17+$F$11*CL17</f>
        <v>1999.9838709677399</v>
      </c>
      <c r="BS17">
        <f t="shared" ref="BS17:BS31" si="40">BR17*BT17</f>
        <v>1681.1831512897897</v>
      </c>
      <c r="BT17">
        <f t="shared" ref="BT17:BT31" si="41">($B$11*$D$9+$C$11*$D$9+$F$11*((CY17+CQ17)/MAX(CY17+CQ17+CZ17, 0.1)*$I$9+CZ17/MAX(CY17+CQ17+CZ17, 0.1)*$J$9))/($B$11+$C$11+$F$11)</f>
        <v>0.84059835466388499</v>
      </c>
      <c r="BU17">
        <f t="shared" ref="BU17:BU31" si="42">($B$11*$K$9+$C$11*$K$9+$F$11*((CY17+CQ17)/MAX(CY17+CQ17+CZ17, 0.1)*$P$9+CZ17/MAX(CY17+CQ17+CZ17, 0.1)*$Q$9))/($B$11+$C$11+$F$11)</f>
        <v>0.19119670932777014</v>
      </c>
      <c r="BV17">
        <v>0.5</v>
      </c>
      <c r="BW17" t="s">
        <v>281</v>
      </c>
      <c r="BX17">
        <v>1598195455.3580599</v>
      </c>
      <c r="BY17">
        <v>384.41848387096798</v>
      </c>
      <c r="BZ17">
        <v>399.92551612903202</v>
      </c>
      <c r="CA17">
        <v>20.886567741935501</v>
      </c>
      <c r="CB17">
        <v>16.9617258064516</v>
      </c>
      <c r="CC17">
        <v>500.04364516128999</v>
      </c>
      <c r="CD17">
        <v>99.200754838709699</v>
      </c>
      <c r="CE17">
        <v>0.20002861290322599</v>
      </c>
      <c r="CF17">
        <v>28.066164516129</v>
      </c>
      <c r="CG17">
        <v>27.092874193548401</v>
      </c>
      <c r="CH17">
        <v>999.9</v>
      </c>
      <c r="CI17">
        <v>9990.8258064516103</v>
      </c>
      <c r="CJ17">
        <v>0</v>
      </c>
      <c r="CK17">
        <v>103.560225806452</v>
      </c>
      <c r="CL17">
        <v>1999.9838709677399</v>
      </c>
      <c r="CM17">
        <v>0.98000287096774197</v>
      </c>
      <c r="CN17">
        <v>1.9996767741935501E-2</v>
      </c>
      <c r="CO17">
        <v>0</v>
      </c>
      <c r="CP17">
        <v>322.51038709677402</v>
      </c>
      <c r="CQ17">
        <v>5.00054</v>
      </c>
      <c r="CR17">
        <v>7721.6422580645203</v>
      </c>
      <c r="CS17">
        <v>18703.490322580699</v>
      </c>
      <c r="CT17">
        <v>46.014000000000003</v>
      </c>
      <c r="CU17">
        <v>46.590419354838701</v>
      </c>
      <c r="CV17">
        <v>46.139000000000003</v>
      </c>
      <c r="CW17">
        <v>46.048096774193503</v>
      </c>
      <c r="CX17">
        <v>47.675129032258099</v>
      </c>
      <c r="CY17">
        <v>1955.09387096774</v>
      </c>
      <c r="CZ17">
        <v>39.89</v>
      </c>
      <c r="DA17">
        <v>0</v>
      </c>
      <c r="DB17">
        <v>1587483902.4000001</v>
      </c>
      <c r="DC17">
        <v>322.41242307692301</v>
      </c>
      <c r="DD17">
        <v>-11.2740170991732</v>
      </c>
      <c r="DE17">
        <v>-225.62495725267601</v>
      </c>
      <c r="DF17">
        <v>7719.4496153846203</v>
      </c>
      <c r="DG17">
        <v>15</v>
      </c>
      <c r="DH17">
        <v>1598195492.9000001</v>
      </c>
      <c r="DI17" t="s">
        <v>282</v>
      </c>
      <c r="DJ17">
        <v>1</v>
      </c>
      <c r="DK17">
        <v>-0.35699999999999998</v>
      </c>
      <c r="DL17">
        <v>0.12</v>
      </c>
      <c r="DM17">
        <v>400</v>
      </c>
      <c r="DN17">
        <v>17</v>
      </c>
      <c r="DO17">
        <v>0.21</v>
      </c>
      <c r="DP17">
        <v>0.02</v>
      </c>
      <c r="DQ17">
        <v>384.727773584906</v>
      </c>
      <c r="DR17">
        <v>0.122598609963408</v>
      </c>
      <c r="DS17">
        <v>2.20630669872585E-2</v>
      </c>
      <c r="DT17">
        <v>1</v>
      </c>
      <c r="DU17">
        <v>20.925764150943401</v>
      </c>
      <c r="DV17">
        <v>-0.19552473073476501</v>
      </c>
      <c r="DW17">
        <v>3.6579162510088803E-2</v>
      </c>
      <c r="DX17">
        <v>1</v>
      </c>
      <c r="DY17">
        <v>2</v>
      </c>
      <c r="DZ17">
        <v>2</v>
      </c>
      <c r="EA17" t="s">
        <v>283</v>
      </c>
      <c r="EB17">
        <v>1.86677</v>
      </c>
      <c r="EC17">
        <v>1.86331</v>
      </c>
      <c r="ED17">
        <v>1.8690199999999999</v>
      </c>
      <c r="EE17">
        <v>1.8669100000000001</v>
      </c>
      <c r="EF17">
        <v>1.87157</v>
      </c>
      <c r="EG17">
        <v>1.8640699999999999</v>
      </c>
      <c r="EH17">
        <v>1.8656999999999999</v>
      </c>
      <c r="EI17">
        <v>1.8656699999999999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-0.35699999999999998</v>
      </c>
      <c r="EX17">
        <v>0.12</v>
      </c>
      <c r="EY17">
        <v>2</v>
      </c>
      <c r="EZ17">
        <v>342.38</v>
      </c>
      <c r="FA17">
        <v>526.81799999999998</v>
      </c>
      <c r="FB17">
        <v>23.189299999999999</v>
      </c>
      <c r="FC17">
        <v>30.985600000000002</v>
      </c>
      <c r="FD17">
        <v>30.000800000000002</v>
      </c>
      <c r="FE17">
        <v>30.797599999999999</v>
      </c>
      <c r="FF17">
        <v>30.768599999999999</v>
      </c>
      <c r="FG17">
        <v>21.761800000000001</v>
      </c>
      <c r="FH17">
        <v>45.485399999999998</v>
      </c>
      <c r="FI17">
        <v>64.859200000000001</v>
      </c>
      <c r="FJ17">
        <v>23.1203</v>
      </c>
      <c r="FK17">
        <v>400</v>
      </c>
      <c r="FL17">
        <v>17.159700000000001</v>
      </c>
      <c r="FM17">
        <v>101.369</v>
      </c>
      <c r="FN17">
        <v>101.517</v>
      </c>
    </row>
    <row r="18" spans="1:170" x14ac:dyDescent="0.25">
      <c r="A18">
        <v>2</v>
      </c>
      <c r="B18">
        <v>1598195590.9000001</v>
      </c>
      <c r="C18">
        <v>127.5</v>
      </c>
      <c r="D18" t="s">
        <v>288</v>
      </c>
      <c r="E18" t="s">
        <v>289</v>
      </c>
      <c r="G18">
        <v>1598195582.9000001</v>
      </c>
      <c r="H18">
        <f t="shared" si="0"/>
        <v>9.510037838184493E-3</v>
      </c>
      <c r="I18">
        <f t="shared" si="1"/>
        <v>25.359977844015017</v>
      </c>
      <c r="J18">
        <f t="shared" si="2"/>
        <v>288.777806451613</v>
      </c>
      <c r="K18">
        <f t="shared" si="3"/>
        <v>216.36811807026723</v>
      </c>
      <c r="L18">
        <f t="shared" si="4"/>
        <v>21.507995372825576</v>
      </c>
      <c r="M18">
        <f t="shared" si="5"/>
        <v>28.705854542391183</v>
      </c>
      <c r="N18">
        <f t="shared" si="6"/>
        <v>0.67099437717247579</v>
      </c>
      <c r="O18">
        <f t="shared" si="7"/>
        <v>3.3782581859423901</v>
      </c>
      <c r="P18">
        <f t="shared" si="8"/>
        <v>0.60479903160173032</v>
      </c>
      <c r="Q18">
        <f t="shared" si="9"/>
        <v>0.38340112894576345</v>
      </c>
      <c r="R18">
        <f t="shared" si="10"/>
        <v>321.43859192138706</v>
      </c>
      <c r="S18">
        <f t="shared" si="11"/>
        <v>27.008718834439428</v>
      </c>
      <c r="T18">
        <f t="shared" si="12"/>
        <v>26.996451612903201</v>
      </c>
      <c r="U18">
        <f t="shared" si="13"/>
        <v>3.578413843851596</v>
      </c>
      <c r="V18">
        <f t="shared" si="14"/>
        <v>55.8379220155403</v>
      </c>
      <c r="W18">
        <f t="shared" si="15"/>
        <v>2.0596734867310502</v>
      </c>
      <c r="X18">
        <f t="shared" si="16"/>
        <v>3.6886642847450895</v>
      </c>
      <c r="Y18">
        <f t="shared" si="17"/>
        <v>1.5187403571205458</v>
      </c>
      <c r="Z18">
        <f t="shared" si="18"/>
        <v>-419.39266866393615</v>
      </c>
      <c r="AA18">
        <f t="shared" si="19"/>
        <v>94.278017158997358</v>
      </c>
      <c r="AB18">
        <f t="shared" si="20"/>
        <v>6.0381106475046344</v>
      </c>
      <c r="AC18">
        <f t="shared" si="21"/>
        <v>2.3620510639529186</v>
      </c>
      <c r="AD18">
        <v>-4.1111195637252997E-2</v>
      </c>
      <c r="AE18">
        <v>4.6150918641360797E-2</v>
      </c>
      <c r="AF18">
        <v>3.4504011312086802</v>
      </c>
      <c r="AG18">
        <v>140</v>
      </c>
      <c r="AH18">
        <v>28</v>
      </c>
      <c r="AI18">
        <f t="shared" si="22"/>
        <v>1</v>
      </c>
      <c r="AJ18">
        <f t="shared" si="23"/>
        <v>0</v>
      </c>
      <c r="AK18">
        <f t="shared" si="24"/>
        <v>52334.973227631941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298.76880769230797</v>
      </c>
      <c r="AT18">
        <v>405.6</v>
      </c>
      <c r="AU18">
        <f t="shared" si="27"/>
        <v>0.26339051357912235</v>
      </c>
      <c r="AV18">
        <v>0.5</v>
      </c>
      <c r="AW18">
        <f t="shared" si="28"/>
        <v>1681.1931774822756</v>
      </c>
      <c r="AX18">
        <f t="shared" si="29"/>
        <v>25.359977844015017</v>
      </c>
      <c r="AY18">
        <f t="shared" si="30"/>
        <v>221.40516722138659</v>
      </c>
      <c r="AZ18">
        <f t="shared" si="31"/>
        <v>0.50862919132149897</v>
      </c>
      <c r="BA18">
        <f t="shared" si="32"/>
        <v>1.5679327157091631E-2</v>
      </c>
      <c r="BB18">
        <f t="shared" si="33"/>
        <v>-1</v>
      </c>
      <c r="BC18" t="s">
        <v>291</v>
      </c>
      <c r="BD18">
        <v>199.3</v>
      </c>
      <c r="BE18">
        <f t="shared" si="34"/>
        <v>206.3</v>
      </c>
      <c r="BF18">
        <f t="shared" si="35"/>
        <v>0.51784387933927312</v>
      </c>
      <c r="BG18">
        <f t="shared" si="36"/>
        <v>2.0351229302558957</v>
      </c>
      <c r="BH18">
        <f t="shared" si="37"/>
        <v>0.26339051357912241</v>
      </c>
      <c r="BI18" t="e">
        <f t="shared" si="38"/>
        <v>#DIV/0!</v>
      </c>
      <c r="BJ18">
        <v>6475</v>
      </c>
      <c r="BK18">
        <v>300</v>
      </c>
      <c r="BL18">
        <v>300</v>
      </c>
      <c r="BM18">
        <v>300</v>
      </c>
      <c r="BN18">
        <v>9869.83</v>
      </c>
      <c r="BO18">
        <v>379.26799999999997</v>
      </c>
      <c r="BP18">
        <v>-6.5658000000000001E-3</v>
      </c>
      <c r="BQ18">
        <v>2.0720499999999999</v>
      </c>
      <c r="BR18">
        <f t="shared" si="39"/>
        <v>1999.99580645161</v>
      </c>
      <c r="BS18">
        <f t="shared" si="40"/>
        <v>1681.1931774822756</v>
      </c>
      <c r="BT18">
        <f t="shared" si="41"/>
        <v>0.84059835128606919</v>
      </c>
      <c r="BU18">
        <f t="shared" si="42"/>
        <v>0.19119670257213847</v>
      </c>
      <c r="BV18">
        <v>0.5</v>
      </c>
      <c r="BW18" t="s">
        <v>281</v>
      </c>
      <c r="BX18">
        <v>1598195582.9000001</v>
      </c>
      <c r="BY18">
        <v>288.777806451613</v>
      </c>
      <c r="BZ18">
        <v>300.01974193548398</v>
      </c>
      <c r="CA18">
        <v>20.720093548387101</v>
      </c>
      <c r="CB18">
        <v>16.995087096774199</v>
      </c>
      <c r="CC18">
        <v>500.02538709677401</v>
      </c>
      <c r="CD18">
        <v>99.204651612903206</v>
      </c>
      <c r="CE18">
        <v>0.19999064516129</v>
      </c>
      <c r="CF18">
        <v>27.5140967741936</v>
      </c>
      <c r="CG18">
        <v>26.996451612903201</v>
      </c>
      <c r="CH18">
        <v>999.9</v>
      </c>
      <c r="CI18">
        <v>9993.6490322580594</v>
      </c>
      <c r="CJ18">
        <v>0</v>
      </c>
      <c r="CK18">
        <v>104.77880645161299</v>
      </c>
      <c r="CL18">
        <v>1999.99580645161</v>
      </c>
      <c r="CM18">
        <v>0.980005129032258</v>
      </c>
      <c r="CN18">
        <v>1.9994825806451601E-2</v>
      </c>
      <c r="CO18">
        <v>0</v>
      </c>
      <c r="CP18">
        <v>298.81390322580597</v>
      </c>
      <c r="CQ18">
        <v>5.00054</v>
      </c>
      <c r="CR18">
        <v>7250.3606451612904</v>
      </c>
      <c r="CS18">
        <v>18703.625806451601</v>
      </c>
      <c r="CT18">
        <v>46.548129032258103</v>
      </c>
      <c r="CU18">
        <v>47.2517741935484</v>
      </c>
      <c r="CV18">
        <v>46.7195161290323</v>
      </c>
      <c r="CW18">
        <v>46.652999999999999</v>
      </c>
      <c r="CX18">
        <v>48.1871935483871</v>
      </c>
      <c r="CY18">
        <v>1955.10516129032</v>
      </c>
      <c r="CZ18">
        <v>39.89</v>
      </c>
      <c r="DA18">
        <v>0</v>
      </c>
      <c r="DB18">
        <v>126.59999990463299</v>
      </c>
      <c r="DC18">
        <v>298.76880769230797</v>
      </c>
      <c r="DD18">
        <v>-4.9967521486819502</v>
      </c>
      <c r="DE18">
        <v>-81.370256510328403</v>
      </c>
      <c r="DF18">
        <v>7250.0569230769197</v>
      </c>
      <c r="DG18">
        <v>15</v>
      </c>
      <c r="DH18">
        <v>1598195618.4000001</v>
      </c>
      <c r="DI18" t="s">
        <v>292</v>
      </c>
      <c r="DJ18">
        <v>2</v>
      </c>
      <c r="DK18">
        <v>-0.48199999999999998</v>
      </c>
      <c r="DL18">
        <v>0.112</v>
      </c>
      <c r="DM18">
        <v>300</v>
      </c>
      <c r="DN18">
        <v>17</v>
      </c>
      <c r="DO18">
        <v>0.1</v>
      </c>
      <c r="DP18">
        <v>0.02</v>
      </c>
      <c r="DQ18">
        <v>288.88215094339603</v>
      </c>
      <c r="DR18">
        <v>0.238509917755196</v>
      </c>
      <c r="DS18">
        <v>3.7591345966363203E-2</v>
      </c>
      <c r="DT18">
        <v>1</v>
      </c>
      <c r="DU18">
        <v>20.7008962264151</v>
      </c>
      <c r="DV18">
        <v>0.153427189163021</v>
      </c>
      <c r="DW18">
        <v>5.2398743187664798E-2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1.86328</v>
      </c>
      <c r="ED18">
        <v>1.8689899999999999</v>
      </c>
      <c r="EE18">
        <v>1.8669100000000001</v>
      </c>
      <c r="EF18">
        <v>1.8715299999999999</v>
      </c>
      <c r="EG18">
        <v>1.86405</v>
      </c>
      <c r="EH18">
        <v>1.8656900000000001</v>
      </c>
      <c r="EI18">
        <v>1.86565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-0.48199999999999998</v>
      </c>
      <c r="EX18">
        <v>0.112</v>
      </c>
      <c r="EY18">
        <v>2</v>
      </c>
      <c r="EZ18">
        <v>342.18200000000002</v>
      </c>
      <c r="FA18">
        <v>524.59799999999996</v>
      </c>
      <c r="FB18">
        <v>22.167200000000001</v>
      </c>
      <c r="FC18">
        <v>31.151599999999998</v>
      </c>
      <c r="FD18">
        <v>30.0017</v>
      </c>
      <c r="FE18">
        <v>30.998100000000001</v>
      </c>
      <c r="FF18">
        <v>30.9726</v>
      </c>
      <c r="FG18">
        <v>17.348099999999999</v>
      </c>
      <c r="FH18">
        <v>45.374899999999997</v>
      </c>
      <c r="FI18">
        <v>59.479500000000002</v>
      </c>
      <c r="FJ18">
        <v>22.1098</v>
      </c>
      <c r="FK18">
        <v>300</v>
      </c>
      <c r="FL18">
        <v>16.784800000000001</v>
      </c>
      <c r="FM18">
        <v>101.346</v>
      </c>
      <c r="FN18">
        <v>101.503</v>
      </c>
    </row>
    <row r="19" spans="1:170" x14ac:dyDescent="0.25">
      <c r="A19">
        <v>3</v>
      </c>
      <c r="B19">
        <v>1598195709.9000001</v>
      </c>
      <c r="C19">
        <v>246.5</v>
      </c>
      <c r="D19" t="s">
        <v>293</v>
      </c>
      <c r="E19" t="s">
        <v>294</v>
      </c>
      <c r="G19">
        <v>1598195701.9000001</v>
      </c>
      <c r="H19">
        <f t="shared" si="0"/>
        <v>8.0779454513499847E-3</v>
      </c>
      <c r="I19">
        <f t="shared" si="1"/>
        <v>15.112708957798594</v>
      </c>
      <c r="J19">
        <f t="shared" si="2"/>
        <v>193.295064516129</v>
      </c>
      <c r="K19">
        <f t="shared" si="3"/>
        <v>141.03471972597913</v>
      </c>
      <c r="L19">
        <f t="shared" si="4"/>
        <v>14.01977647410796</v>
      </c>
      <c r="M19">
        <f t="shared" si="5"/>
        <v>19.214797628056846</v>
      </c>
      <c r="N19">
        <f t="shared" si="6"/>
        <v>0.54224403379439357</v>
      </c>
      <c r="O19">
        <f t="shared" si="7"/>
        <v>3.3828146764532869</v>
      </c>
      <c r="P19">
        <f t="shared" si="8"/>
        <v>0.49817550334703153</v>
      </c>
      <c r="Q19">
        <f t="shared" si="9"/>
        <v>0.31502007695969636</v>
      </c>
      <c r="R19">
        <f t="shared" si="10"/>
        <v>321.43944765911363</v>
      </c>
      <c r="S19">
        <f t="shared" si="11"/>
        <v>27.061973246269034</v>
      </c>
      <c r="T19">
        <f t="shared" si="12"/>
        <v>26.967780645161302</v>
      </c>
      <c r="U19">
        <f t="shared" si="13"/>
        <v>3.572392359833084</v>
      </c>
      <c r="V19">
        <f t="shared" si="14"/>
        <v>55.251317708227333</v>
      </c>
      <c r="W19">
        <f t="shared" si="15"/>
        <v>2.0057338779396896</v>
      </c>
      <c r="X19">
        <f t="shared" si="16"/>
        <v>3.630200981869109</v>
      </c>
      <c r="Y19">
        <f t="shared" si="17"/>
        <v>1.5666584818933944</v>
      </c>
      <c r="Z19">
        <f t="shared" si="18"/>
        <v>-356.23739440453431</v>
      </c>
      <c r="AA19">
        <f t="shared" si="19"/>
        <v>49.884667110794574</v>
      </c>
      <c r="AB19">
        <f t="shared" si="20"/>
        <v>3.1857954616568969</v>
      </c>
      <c r="AC19">
        <f t="shared" si="21"/>
        <v>18.272515827030766</v>
      </c>
      <c r="AD19">
        <v>-4.1181647251921701E-2</v>
      </c>
      <c r="AE19">
        <v>4.6230006750726797E-2</v>
      </c>
      <c r="AF19">
        <v>3.4550812519595202</v>
      </c>
      <c r="AG19">
        <v>140</v>
      </c>
      <c r="AH19">
        <v>28</v>
      </c>
      <c r="AI19">
        <f t="shared" si="22"/>
        <v>1</v>
      </c>
      <c r="AJ19">
        <f t="shared" si="23"/>
        <v>0</v>
      </c>
      <c r="AK19">
        <f t="shared" si="24"/>
        <v>52468.655275108213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292.692461538462</v>
      </c>
      <c r="AT19">
        <v>379.18200000000002</v>
      </c>
      <c r="AU19">
        <f t="shared" si="27"/>
        <v>0.22809505319750945</v>
      </c>
      <c r="AV19">
        <v>0.5</v>
      </c>
      <c r="AW19">
        <f t="shared" si="28"/>
        <v>1681.1948518689126</v>
      </c>
      <c r="AX19">
        <f t="shared" si="29"/>
        <v>15.112708957798594</v>
      </c>
      <c r="AY19">
        <f t="shared" si="30"/>
        <v>191.73611458620931</v>
      </c>
      <c r="AZ19">
        <f t="shared" si="31"/>
        <v>0.4640040930212932</v>
      </c>
      <c r="BA19">
        <f t="shared" si="32"/>
        <v>9.5840817855745771E-3</v>
      </c>
      <c r="BB19">
        <f t="shared" si="33"/>
        <v>-1</v>
      </c>
      <c r="BC19" t="s">
        <v>296</v>
      </c>
      <c r="BD19">
        <v>203.24</v>
      </c>
      <c r="BE19">
        <f t="shared" si="34"/>
        <v>175.94200000000001</v>
      </c>
      <c r="BF19">
        <f t="shared" si="35"/>
        <v>0.49157983006637423</v>
      </c>
      <c r="BG19">
        <f t="shared" si="36"/>
        <v>1.8656858886046055</v>
      </c>
      <c r="BH19">
        <f t="shared" si="37"/>
        <v>0.22809505319750942</v>
      </c>
      <c r="BI19" t="e">
        <f t="shared" si="38"/>
        <v>#DIV/0!</v>
      </c>
      <c r="BJ19">
        <v>6477</v>
      </c>
      <c r="BK19">
        <v>300</v>
      </c>
      <c r="BL19">
        <v>300</v>
      </c>
      <c r="BM19">
        <v>300</v>
      </c>
      <c r="BN19">
        <v>9869.0499999999993</v>
      </c>
      <c r="BO19">
        <v>357.55</v>
      </c>
      <c r="BP19">
        <v>-6.5649200000000001E-3</v>
      </c>
      <c r="BQ19">
        <v>1.80463</v>
      </c>
      <c r="BR19">
        <f t="shared" si="39"/>
        <v>1999.9974193548401</v>
      </c>
      <c r="BS19">
        <f t="shared" si="40"/>
        <v>1681.1948518689126</v>
      </c>
      <c r="BT19">
        <f t="shared" si="41"/>
        <v>0.84059851057769519</v>
      </c>
      <c r="BU19">
        <f t="shared" si="42"/>
        <v>0.19119702115539022</v>
      </c>
      <c r="BV19">
        <v>0.5</v>
      </c>
      <c r="BW19" t="s">
        <v>281</v>
      </c>
      <c r="BX19">
        <v>1598195701.9000001</v>
      </c>
      <c r="BY19">
        <v>193.295064516129</v>
      </c>
      <c r="BZ19">
        <v>199.96422580645199</v>
      </c>
      <c r="CA19">
        <v>20.177077419354799</v>
      </c>
      <c r="CB19">
        <v>17.0113290322581</v>
      </c>
      <c r="CC19">
        <v>500.03696774193497</v>
      </c>
      <c r="CD19">
        <v>99.206596774193599</v>
      </c>
      <c r="CE19">
        <v>0.19996425806451601</v>
      </c>
      <c r="CF19">
        <v>27.241309677419402</v>
      </c>
      <c r="CG19">
        <v>26.967780645161302</v>
      </c>
      <c r="CH19">
        <v>999.9</v>
      </c>
      <c r="CI19">
        <v>10010.5787096774</v>
      </c>
      <c r="CJ19">
        <v>0</v>
      </c>
      <c r="CK19">
        <v>105.832387096774</v>
      </c>
      <c r="CL19">
        <v>1999.9974193548401</v>
      </c>
      <c r="CM19">
        <v>0.979999838709677</v>
      </c>
      <c r="CN19">
        <v>2.0000283870967701E-2</v>
      </c>
      <c r="CO19">
        <v>0</v>
      </c>
      <c r="CP19">
        <v>292.72887096774201</v>
      </c>
      <c r="CQ19">
        <v>5.00054</v>
      </c>
      <c r="CR19">
        <v>7136.34290322581</v>
      </c>
      <c r="CS19">
        <v>18703.599999999999</v>
      </c>
      <c r="CT19">
        <v>46.983741935483899</v>
      </c>
      <c r="CU19">
        <v>47.806161290322599</v>
      </c>
      <c r="CV19">
        <v>47.197225806451598</v>
      </c>
      <c r="CW19">
        <v>47.155000000000001</v>
      </c>
      <c r="CX19">
        <v>48.562129032257999</v>
      </c>
      <c r="CY19">
        <v>1955.0958064516101</v>
      </c>
      <c r="CZ19">
        <v>39.900645161290299</v>
      </c>
      <c r="DA19">
        <v>0</v>
      </c>
      <c r="DB19">
        <v>118.5</v>
      </c>
      <c r="DC19">
        <v>292.692461538462</v>
      </c>
      <c r="DD19">
        <v>-3.4995555498944801</v>
      </c>
      <c r="DE19">
        <v>-73.178119384247793</v>
      </c>
      <c r="DF19">
        <v>7135.6</v>
      </c>
      <c r="DG19">
        <v>15</v>
      </c>
      <c r="DH19">
        <v>1598195735.4000001</v>
      </c>
      <c r="DI19" t="s">
        <v>297</v>
      </c>
      <c r="DJ19">
        <v>3</v>
      </c>
      <c r="DK19">
        <v>-0.42099999999999999</v>
      </c>
      <c r="DL19">
        <v>0.11799999999999999</v>
      </c>
      <c r="DM19">
        <v>200</v>
      </c>
      <c r="DN19">
        <v>17</v>
      </c>
      <c r="DO19">
        <v>0.17</v>
      </c>
      <c r="DP19">
        <v>0.03</v>
      </c>
      <c r="DQ19">
        <v>193.21741509434</v>
      </c>
      <c r="DR19">
        <v>0.17568456700530699</v>
      </c>
      <c r="DS19">
        <v>2.66404671344566E-2</v>
      </c>
      <c r="DT19">
        <v>1</v>
      </c>
      <c r="DU19">
        <v>20.179600000000001</v>
      </c>
      <c r="DV19">
        <v>-3.7547169811315201E-2</v>
      </c>
      <c r="DW19">
        <v>2.30622455500612E-2</v>
      </c>
      <c r="DX19">
        <v>1</v>
      </c>
      <c r="DY19">
        <v>2</v>
      </c>
      <c r="DZ19">
        <v>2</v>
      </c>
      <c r="EA19" t="s">
        <v>283</v>
      </c>
      <c r="EB19">
        <v>1.86676</v>
      </c>
      <c r="EC19">
        <v>1.86334</v>
      </c>
      <c r="ED19">
        <v>1.86904</v>
      </c>
      <c r="EE19">
        <v>1.8669100000000001</v>
      </c>
      <c r="EF19">
        <v>1.87161</v>
      </c>
      <c r="EG19">
        <v>1.8640699999999999</v>
      </c>
      <c r="EH19">
        <v>1.86572</v>
      </c>
      <c r="EI19">
        <v>1.8656699999999999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-0.42099999999999999</v>
      </c>
      <c r="EX19">
        <v>0.11799999999999999</v>
      </c>
      <c r="EY19">
        <v>2</v>
      </c>
      <c r="EZ19">
        <v>342.17</v>
      </c>
      <c r="FA19">
        <v>523.423</v>
      </c>
      <c r="FB19">
        <v>21.8918</v>
      </c>
      <c r="FC19">
        <v>31.27</v>
      </c>
      <c r="FD19">
        <v>30.000299999999999</v>
      </c>
      <c r="FE19">
        <v>31.157800000000002</v>
      </c>
      <c r="FF19">
        <v>31.138999999999999</v>
      </c>
      <c r="FG19">
        <v>12.7597</v>
      </c>
      <c r="FH19">
        <v>42.842100000000002</v>
      </c>
      <c r="FI19">
        <v>54.500799999999998</v>
      </c>
      <c r="FJ19">
        <v>21.860700000000001</v>
      </c>
      <c r="FK19">
        <v>200</v>
      </c>
      <c r="FL19">
        <v>16.984999999999999</v>
      </c>
      <c r="FM19">
        <v>101.315</v>
      </c>
      <c r="FN19">
        <v>101.482</v>
      </c>
    </row>
    <row r="20" spans="1:170" x14ac:dyDescent="0.25">
      <c r="A20">
        <v>4</v>
      </c>
      <c r="B20">
        <v>1598195826.9000001</v>
      </c>
      <c r="C20">
        <v>363.5</v>
      </c>
      <c r="D20" t="s">
        <v>298</v>
      </c>
      <c r="E20" t="s">
        <v>299</v>
      </c>
      <c r="G20">
        <v>1598195818.9000001</v>
      </c>
      <c r="H20">
        <f t="shared" si="0"/>
        <v>7.4734659768899234E-3</v>
      </c>
      <c r="I20">
        <f t="shared" si="1"/>
        <v>5.1937998551140767</v>
      </c>
      <c r="J20">
        <f t="shared" si="2"/>
        <v>97.6142903225807</v>
      </c>
      <c r="K20">
        <f t="shared" si="3"/>
        <v>77.167918599058794</v>
      </c>
      <c r="L20">
        <f t="shared" si="4"/>
        <v>7.6706986755117521</v>
      </c>
      <c r="M20">
        <f t="shared" si="5"/>
        <v>9.703123021612404</v>
      </c>
      <c r="N20">
        <f t="shared" si="6"/>
        <v>0.48884506160857094</v>
      </c>
      <c r="O20">
        <f t="shared" si="7"/>
        <v>3.3811521739714276</v>
      </c>
      <c r="P20">
        <f t="shared" si="8"/>
        <v>0.4527026656823413</v>
      </c>
      <c r="Q20">
        <f t="shared" si="9"/>
        <v>0.28596341590808688</v>
      </c>
      <c r="R20">
        <f t="shared" si="10"/>
        <v>321.43851613004063</v>
      </c>
      <c r="S20">
        <f t="shared" si="11"/>
        <v>27.140815101411128</v>
      </c>
      <c r="T20">
        <f t="shared" si="12"/>
        <v>27.016529032258099</v>
      </c>
      <c r="U20">
        <f t="shared" si="13"/>
        <v>3.5826357813090923</v>
      </c>
      <c r="V20">
        <f t="shared" si="14"/>
        <v>54.940528160478451</v>
      </c>
      <c r="W20">
        <f t="shared" si="15"/>
        <v>1.9876196308322638</v>
      </c>
      <c r="X20">
        <f t="shared" si="16"/>
        <v>3.6177657867185573</v>
      </c>
      <c r="Y20">
        <f t="shared" si="17"/>
        <v>1.5950161504768285</v>
      </c>
      <c r="Z20">
        <f t="shared" si="18"/>
        <v>-329.57984958084563</v>
      </c>
      <c r="AA20">
        <f t="shared" si="19"/>
        <v>30.307473453395026</v>
      </c>
      <c r="AB20">
        <f t="shared" si="20"/>
        <v>1.9363897407987063</v>
      </c>
      <c r="AC20">
        <f t="shared" si="21"/>
        <v>24.102529743388708</v>
      </c>
      <c r="AD20">
        <v>-4.1155937014678602E-2</v>
      </c>
      <c r="AE20">
        <v>4.6201144757081002E-2</v>
      </c>
      <c r="AF20">
        <v>3.4533736325159801</v>
      </c>
      <c r="AG20">
        <v>141</v>
      </c>
      <c r="AH20">
        <v>28</v>
      </c>
      <c r="AI20">
        <f t="shared" si="22"/>
        <v>1</v>
      </c>
      <c r="AJ20">
        <f t="shared" si="23"/>
        <v>0</v>
      </c>
      <c r="AK20">
        <f t="shared" si="24"/>
        <v>52447.380661949377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292.40796153846202</v>
      </c>
      <c r="AT20">
        <v>361.05700000000002</v>
      </c>
      <c r="AU20">
        <f t="shared" si="27"/>
        <v>0.19013352036254105</v>
      </c>
      <c r="AV20">
        <v>0.5</v>
      </c>
      <c r="AW20">
        <f t="shared" si="28"/>
        <v>1681.1887545154764</v>
      </c>
      <c r="AX20">
        <f t="shared" si="29"/>
        <v>5.1937998551140767</v>
      </c>
      <c r="AY20">
        <f t="shared" si="30"/>
        <v>159.82516814497168</v>
      </c>
      <c r="AZ20">
        <f t="shared" si="31"/>
        <v>0.42817893019661718</v>
      </c>
      <c r="BA20">
        <f t="shared" si="32"/>
        <v>3.6841787327438723E-3</v>
      </c>
      <c r="BB20">
        <f t="shared" si="33"/>
        <v>-1</v>
      </c>
      <c r="BC20" t="s">
        <v>301</v>
      </c>
      <c r="BD20">
        <v>206.46</v>
      </c>
      <c r="BE20">
        <f t="shared" si="34"/>
        <v>154.59700000000001</v>
      </c>
      <c r="BF20">
        <f t="shared" si="35"/>
        <v>0.44405155637908883</v>
      </c>
      <c r="BG20">
        <f t="shared" si="36"/>
        <v>1.7487987987987987</v>
      </c>
      <c r="BH20">
        <f t="shared" si="37"/>
        <v>0.19013352036254108</v>
      </c>
      <c r="BI20" t="e">
        <f t="shared" si="38"/>
        <v>#DIV/0!</v>
      </c>
      <c r="BJ20">
        <v>6479</v>
      </c>
      <c r="BK20">
        <v>300</v>
      </c>
      <c r="BL20">
        <v>300</v>
      </c>
      <c r="BM20">
        <v>300</v>
      </c>
      <c r="BN20">
        <v>9868.11</v>
      </c>
      <c r="BO20">
        <v>344.62799999999999</v>
      </c>
      <c r="BP20">
        <v>-6.56407E-3</v>
      </c>
      <c r="BQ20">
        <v>2.1352199999999999</v>
      </c>
      <c r="BR20">
        <f t="shared" si="39"/>
        <v>1999.99</v>
      </c>
      <c r="BS20">
        <f t="shared" si="40"/>
        <v>1681.1887545154764</v>
      </c>
      <c r="BT20">
        <f t="shared" si="41"/>
        <v>0.84059858025063938</v>
      </c>
      <c r="BU20">
        <f t="shared" si="42"/>
        <v>0.19119716050127886</v>
      </c>
      <c r="BV20">
        <v>0.5</v>
      </c>
      <c r="BW20" t="s">
        <v>281</v>
      </c>
      <c r="BX20">
        <v>1598195818.9000001</v>
      </c>
      <c r="BY20">
        <v>97.6142903225807</v>
      </c>
      <c r="BZ20">
        <v>99.983380645161304</v>
      </c>
      <c r="CA20">
        <v>19.9956322580645</v>
      </c>
      <c r="CB20">
        <v>17.0663129032258</v>
      </c>
      <c r="CC20">
        <v>500.04990322580699</v>
      </c>
      <c r="CD20">
        <v>99.202722580645201</v>
      </c>
      <c r="CE20">
        <v>0.19996722580645199</v>
      </c>
      <c r="CF20">
        <v>27.182793548387099</v>
      </c>
      <c r="CG20">
        <v>27.016529032258099</v>
      </c>
      <c r="CH20">
        <v>999.9</v>
      </c>
      <c r="CI20">
        <v>10004.7196774194</v>
      </c>
      <c r="CJ20">
        <v>0</v>
      </c>
      <c r="CK20">
        <v>106.238193548387</v>
      </c>
      <c r="CL20">
        <v>1999.99</v>
      </c>
      <c r="CM20">
        <v>0.97999609677419297</v>
      </c>
      <c r="CN20">
        <v>2.00040903225806E-2</v>
      </c>
      <c r="CO20">
        <v>0</v>
      </c>
      <c r="CP20">
        <v>292.43964516129</v>
      </c>
      <c r="CQ20">
        <v>5.00054</v>
      </c>
      <c r="CR20">
        <v>7137.1512903225803</v>
      </c>
      <c r="CS20">
        <v>18703.525806451598</v>
      </c>
      <c r="CT20">
        <v>47.348580645161299</v>
      </c>
      <c r="CU20">
        <v>48.255741935483897</v>
      </c>
      <c r="CV20">
        <v>47.618838709677398</v>
      </c>
      <c r="CW20">
        <v>47.574258064516101</v>
      </c>
      <c r="CX20">
        <v>48.902999999999999</v>
      </c>
      <c r="CY20">
        <v>1955.0848387096801</v>
      </c>
      <c r="CZ20">
        <v>39.905161290322603</v>
      </c>
      <c r="DA20">
        <v>0</v>
      </c>
      <c r="DB20">
        <v>116.5</v>
      </c>
      <c r="DC20">
        <v>292.40796153846202</v>
      </c>
      <c r="DD20">
        <v>-1.7467692434775099</v>
      </c>
      <c r="DE20">
        <v>-33.657777714639899</v>
      </c>
      <c r="DF20">
        <v>7136.8696153846104</v>
      </c>
      <c r="DG20">
        <v>15</v>
      </c>
      <c r="DH20">
        <v>1598195856.9000001</v>
      </c>
      <c r="DI20" t="s">
        <v>302</v>
      </c>
      <c r="DJ20">
        <v>4</v>
      </c>
      <c r="DK20">
        <v>-0.32900000000000001</v>
      </c>
      <c r="DL20">
        <v>0.123</v>
      </c>
      <c r="DM20">
        <v>100</v>
      </c>
      <c r="DN20">
        <v>17</v>
      </c>
      <c r="DO20">
        <v>0.17</v>
      </c>
      <c r="DP20">
        <v>0.03</v>
      </c>
      <c r="DQ20">
        <v>97.516169811320793</v>
      </c>
      <c r="DR20">
        <v>4.4418964683125402E-2</v>
      </c>
      <c r="DS20">
        <v>1.1623602937446499E-2</v>
      </c>
      <c r="DT20">
        <v>1</v>
      </c>
      <c r="DU20">
        <v>19.992994339622602</v>
      </c>
      <c r="DV20">
        <v>-2.7820029027576E-2</v>
      </c>
      <c r="DW20">
        <v>6.6898801380902003E-3</v>
      </c>
      <c r="DX20">
        <v>1</v>
      </c>
      <c r="DY20">
        <v>2</v>
      </c>
      <c r="DZ20">
        <v>2</v>
      </c>
      <c r="EA20" t="s">
        <v>283</v>
      </c>
      <c r="EB20">
        <v>1.86676</v>
      </c>
      <c r="EC20">
        <v>1.86327</v>
      </c>
      <c r="ED20">
        <v>1.869</v>
      </c>
      <c r="EE20">
        <v>1.8669100000000001</v>
      </c>
      <c r="EF20">
        <v>1.87158</v>
      </c>
      <c r="EG20">
        <v>1.86402</v>
      </c>
      <c r="EH20">
        <v>1.8656900000000001</v>
      </c>
      <c r="EI20">
        <v>1.8655999999999999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-0.32900000000000001</v>
      </c>
      <c r="EX20">
        <v>0.123</v>
      </c>
      <c r="EY20">
        <v>2</v>
      </c>
      <c r="EZ20">
        <v>341.30399999999997</v>
      </c>
      <c r="FA20">
        <v>521.98800000000006</v>
      </c>
      <c r="FB20">
        <v>21.605399999999999</v>
      </c>
      <c r="FC20">
        <v>31.362400000000001</v>
      </c>
      <c r="FD20">
        <v>30.000299999999999</v>
      </c>
      <c r="FE20">
        <v>31.2867</v>
      </c>
      <c r="FF20">
        <v>31.2742</v>
      </c>
      <c r="FG20">
        <v>7.9633500000000002</v>
      </c>
      <c r="FH20">
        <v>41.0886</v>
      </c>
      <c r="FI20">
        <v>50.273800000000001</v>
      </c>
      <c r="FJ20">
        <v>21.607099999999999</v>
      </c>
      <c r="FK20">
        <v>100</v>
      </c>
      <c r="FL20">
        <v>17.188800000000001</v>
      </c>
      <c r="FM20">
        <v>101.288</v>
      </c>
      <c r="FN20">
        <v>101.468</v>
      </c>
    </row>
    <row r="21" spans="1:170" x14ac:dyDescent="0.25">
      <c r="A21">
        <v>5</v>
      </c>
      <c r="B21">
        <v>1598195954.4000001</v>
      </c>
      <c r="C21">
        <v>491</v>
      </c>
      <c r="D21" t="s">
        <v>303</v>
      </c>
      <c r="E21" t="s">
        <v>304</v>
      </c>
      <c r="G21">
        <v>1598195946.4000001</v>
      </c>
      <c r="H21">
        <f t="shared" si="0"/>
        <v>7.1271244991607486E-3</v>
      </c>
      <c r="I21">
        <f t="shared" si="1"/>
        <v>0.46777026364652746</v>
      </c>
      <c r="J21">
        <f t="shared" si="2"/>
        <v>49.663600000000002</v>
      </c>
      <c r="K21">
        <f t="shared" si="3"/>
        <v>46.697364557241578</v>
      </c>
      <c r="L21">
        <f t="shared" si="4"/>
        <v>4.6416941234200575</v>
      </c>
      <c r="M21">
        <f t="shared" si="5"/>
        <v>4.9365364074306433</v>
      </c>
      <c r="N21">
        <f t="shared" si="6"/>
        <v>0.46610821741181074</v>
      </c>
      <c r="O21">
        <f t="shared" si="7"/>
        <v>3.3792202169185699</v>
      </c>
      <c r="P21">
        <f t="shared" si="8"/>
        <v>0.43311073334910893</v>
      </c>
      <c r="Q21">
        <f t="shared" si="9"/>
        <v>0.27346398319667292</v>
      </c>
      <c r="R21">
        <f t="shared" si="10"/>
        <v>321.44323364213335</v>
      </c>
      <c r="S21">
        <f t="shared" si="11"/>
        <v>27.107435271814872</v>
      </c>
      <c r="T21">
        <f t="shared" si="12"/>
        <v>26.980416129032299</v>
      </c>
      <c r="U21">
        <f t="shared" si="13"/>
        <v>3.5750449764394312</v>
      </c>
      <c r="V21">
        <f t="shared" si="14"/>
        <v>55.23349197423785</v>
      </c>
      <c r="W21">
        <f t="shared" si="15"/>
        <v>1.9851084554893588</v>
      </c>
      <c r="X21">
        <f t="shared" si="16"/>
        <v>3.5940303329278156</v>
      </c>
      <c r="Y21">
        <f t="shared" si="17"/>
        <v>1.5899365209500724</v>
      </c>
      <c r="Z21">
        <f t="shared" si="18"/>
        <v>-314.306190412989</v>
      </c>
      <c r="AA21">
        <f t="shared" si="19"/>
        <v>16.432095255066677</v>
      </c>
      <c r="AB21">
        <f t="shared" si="20"/>
        <v>1.0496928384685364</v>
      </c>
      <c r="AC21">
        <f t="shared" si="21"/>
        <v>24.61883132267959</v>
      </c>
      <c r="AD21">
        <v>-4.1126066839422402E-2</v>
      </c>
      <c r="AE21">
        <v>4.6167612868584798E-2</v>
      </c>
      <c r="AF21">
        <v>3.45138925853909</v>
      </c>
      <c r="AG21">
        <v>140</v>
      </c>
      <c r="AH21">
        <v>28</v>
      </c>
      <c r="AI21">
        <f t="shared" si="22"/>
        <v>1</v>
      </c>
      <c r="AJ21">
        <f t="shared" si="23"/>
        <v>0</v>
      </c>
      <c r="AK21">
        <f t="shared" si="24"/>
        <v>52430.395750086238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291.87923076923101</v>
      </c>
      <c r="AT21">
        <v>351.029</v>
      </c>
      <c r="AU21">
        <f t="shared" si="27"/>
        <v>0.16850393907844929</v>
      </c>
      <c r="AV21">
        <v>0.5</v>
      </c>
      <c r="AW21">
        <f t="shared" si="28"/>
        <v>1681.2122125799519</v>
      </c>
      <c r="AX21">
        <f t="shared" si="29"/>
        <v>0.46777026364652746</v>
      </c>
      <c r="AY21">
        <f t="shared" si="30"/>
        <v>141.6454401232586</v>
      </c>
      <c r="AZ21">
        <f t="shared" si="31"/>
        <v>0.40893772309410337</v>
      </c>
      <c r="BA21">
        <f t="shared" si="32"/>
        <v>8.7304282746918603E-4</v>
      </c>
      <c r="BB21">
        <f t="shared" si="33"/>
        <v>-1</v>
      </c>
      <c r="BC21" t="s">
        <v>306</v>
      </c>
      <c r="BD21">
        <v>207.48</v>
      </c>
      <c r="BE21">
        <f t="shared" si="34"/>
        <v>143.54900000000001</v>
      </c>
      <c r="BF21">
        <f t="shared" si="35"/>
        <v>0.41205281284278522</v>
      </c>
      <c r="BG21">
        <f t="shared" si="36"/>
        <v>1.6918690958164644</v>
      </c>
      <c r="BH21">
        <f t="shared" si="37"/>
        <v>0.16850393907844932</v>
      </c>
      <c r="BI21" t="e">
        <f t="shared" si="38"/>
        <v>#DIV/0!</v>
      </c>
      <c r="BJ21">
        <v>6481</v>
      </c>
      <c r="BK21">
        <v>300</v>
      </c>
      <c r="BL21">
        <v>300</v>
      </c>
      <c r="BM21">
        <v>300</v>
      </c>
      <c r="BN21">
        <v>9867.2999999999993</v>
      </c>
      <c r="BO21">
        <v>336.38099999999997</v>
      </c>
      <c r="BP21">
        <v>-6.56333E-3</v>
      </c>
      <c r="BQ21">
        <v>1.61557</v>
      </c>
      <c r="BR21">
        <f t="shared" si="39"/>
        <v>2000.01774193548</v>
      </c>
      <c r="BS21">
        <f t="shared" si="40"/>
        <v>1681.2122125799519</v>
      </c>
      <c r="BT21">
        <f t="shared" si="41"/>
        <v>0.8405986493664751</v>
      </c>
      <c r="BU21">
        <f t="shared" si="42"/>
        <v>0.19119729873295027</v>
      </c>
      <c r="BV21">
        <v>0.5</v>
      </c>
      <c r="BW21" t="s">
        <v>281</v>
      </c>
      <c r="BX21">
        <v>1598195946.4000001</v>
      </c>
      <c r="BY21">
        <v>49.663600000000002</v>
      </c>
      <c r="BZ21">
        <v>49.992261290322602</v>
      </c>
      <c r="CA21">
        <v>19.971012903225802</v>
      </c>
      <c r="CB21">
        <v>17.1773548387097</v>
      </c>
      <c r="CC21">
        <v>500.04606451612898</v>
      </c>
      <c r="CD21">
        <v>99.199496774193506</v>
      </c>
      <c r="CE21">
        <v>0.19999112903225799</v>
      </c>
      <c r="CF21">
        <v>27.0706129032258</v>
      </c>
      <c r="CG21">
        <v>26.980416129032299</v>
      </c>
      <c r="CH21">
        <v>999.9</v>
      </c>
      <c r="CI21">
        <v>9997.7835483871004</v>
      </c>
      <c r="CJ21">
        <v>0</v>
      </c>
      <c r="CK21">
        <v>107.682193548387</v>
      </c>
      <c r="CL21">
        <v>2000.01774193548</v>
      </c>
      <c r="CM21">
        <v>0.97999512903225805</v>
      </c>
      <c r="CN21">
        <v>2.0005138709677399E-2</v>
      </c>
      <c r="CO21">
        <v>0</v>
      </c>
      <c r="CP21">
        <v>291.86877419354801</v>
      </c>
      <c r="CQ21">
        <v>5.00054</v>
      </c>
      <c r="CR21">
        <v>7131.5454838709702</v>
      </c>
      <c r="CS21">
        <v>18703.767741935499</v>
      </c>
      <c r="CT21">
        <v>47.737806451612897</v>
      </c>
      <c r="CU21">
        <v>48.749677419354803</v>
      </c>
      <c r="CV21">
        <v>48.027999999999999</v>
      </c>
      <c r="CW21">
        <v>48.003999999999998</v>
      </c>
      <c r="CX21">
        <v>49.258000000000003</v>
      </c>
      <c r="CY21">
        <v>1955.10741935484</v>
      </c>
      <c r="CZ21">
        <v>39.9103225806452</v>
      </c>
      <c r="DA21">
        <v>0</v>
      </c>
      <c r="DB21">
        <v>126.799999952316</v>
      </c>
      <c r="DC21">
        <v>291.87923076923101</v>
      </c>
      <c r="DD21">
        <v>-1.7161709371107301</v>
      </c>
      <c r="DE21">
        <v>-23.326837672844501</v>
      </c>
      <c r="DF21">
        <v>7131.3450000000003</v>
      </c>
      <c r="DG21">
        <v>15</v>
      </c>
      <c r="DH21">
        <v>1598195983.4000001</v>
      </c>
      <c r="DI21" t="s">
        <v>307</v>
      </c>
      <c r="DJ21">
        <v>5</v>
      </c>
      <c r="DK21">
        <v>-0.35</v>
      </c>
      <c r="DL21">
        <v>0.123</v>
      </c>
      <c r="DM21">
        <v>50</v>
      </c>
      <c r="DN21">
        <v>17</v>
      </c>
      <c r="DO21">
        <v>0.41</v>
      </c>
      <c r="DP21">
        <v>0.04</v>
      </c>
      <c r="DQ21">
        <v>49.683350943396199</v>
      </c>
      <c r="DR21">
        <v>1.1190130624058299E-2</v>
      </c>
      <c r="DS21">
        <v>7.8088151117582201E-3</v>
      </c>
      <c r="DT21">
        <v>1</v>
      </c>
      <c r="DU21">
        <v>19.950509433962299</v>
      </c>
      <c r="DV21">
        <v>0.18524238026125001</v>
      </c>
      <c r="DW21">
        <v>2.5957856004663601E-2</v>
      </c>
      <c r="DX21">
        <v>1</v>
      </c>
      <c r="DY21">
        <v>2</v>
      </c>
      <c r="DZ21">
        <v>2</v>
      </c>
      <c r="EA21" t="s">
        <v>283</v>
      </c>
      <c r="EB21">
        <v>1.86676</v>
      </c>
      <c r="EC21">
        <v>1.8632899999999999</v>
      </c>
      <c r="ED21">
        <v>1.8690100000000001</v>
      </c>
      <c r="EE21">
        <v>1.8669100000000001</v>
      </c>
      <c r="EF21">
        <v>1.87155</v>
      </c>
      <c r="EG21">
        <v>1.86402</v>
      </c>
      <c r="EH21">
        <v>1.8656900000000001</v>
      </c>
      <c r="EI21">
        <v>1.8655999999999999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-0.35</v>
      </c>
      <c r="EX21">
        <v>0.123</v>
      </c>
      <c r="EY21">
        <v>2</v>
      </c>
      <c r="EZ21">
        <v>342.411</v>
      </c>
      <c r="FA21">
        <v>519.90200000000004</v>
      </c>
      <c r="FB21">
        <v>21.766200000000001</v>
      </c>
      <c r="FC21">
        <v>31.4618</v>
      </c>
      <c r="FD21">
        <v>30.000599999999999</v>
      </c>
      <c r="FE21">
        <v>31.4117</v>
      </c>
      <c r="FF21">
        <v>31.404399999999999</v>
      </c>
      <c r="FG21">
        <v>5.5483700000000002</v>
      </c>
      <c r="FH21">
        <v>39.804699999999997</v>
      </c>
      <c r="FI21">
        <v>46.046199999999999</v>
      </c>
      <c r="FJ21">
        <v>21.7546</v>
      </c>
      <c r="FK21">
        <v>50</v>
      </c>
      <c r="FL21">
        <v>17.167400000000001</v>
      </c>
      <c r="FM21">
        <v>101.26600000000001</v>
      </c>
      <c r="FN21">
        <v>101.45399999999999</v>
      </c>
    </row>
    <row r="22" spans="1:170" x14ac:dyDescent="0.25">
      <c r="A22">
        <v>6</v>
      </c>
      <c r="B22">
        <v>1598196074.9000001</v>
      </c>
      <c r="C22">
        <v>611.5</v>
      </c>
      <c r="D22" t="s">
        <v>308</v>
      </c>
      <c r="E22" t="s">
        <v>309</v>
      </c>
      <c r="G22">
        <v>1598196066.9000001</v>
      </c>
      <c r="H22">
        <f t="shared" si="0"/>
        <v>6.8904946449531651E-3</v>
      </c>
      <c r="I22">
        <f t="shared" si="1"/>
        <v>30.853622545032906</v>
      </c>
      <c r="J22">
        <f t="shared" si="2"/>
        <v>386.58680645161297</v>
      </c>
      <c r="K22">
        <f t="shared" si="3"/>
        <v>260.30137540676981</v>
      </c>
      <c r="L22">
        <f t="shared" si="4"/>
        <v>25.873775486897898</v>
      </c>
      <c r="M22">
        <f t="shared" si="5"/>
        <v>38.426459409579238</v>
      </c>
      <c r="N22">
        <f t="shared" si="6"/>
        <v>0.44526827822728648</v>
      </c>
      <c r="O22">
        <f t="shared" si="7"/>
        <v>3.3820529049277308</v>
      </c>
      <c r="P22">
        <f t="shared" si="8"/>
        <v>0.41507644172272729</v>
      </c>
      <c r="Q22">
        <f t="shared" si="9"/>
        <v>0.26196459914505044</v>
      </c>
      <c r="R22">
        <f t="shared" si="10"/>
        <v>321.43662904175443</v>
      </c>
      <c r="S22">
        <f t="shared" si="11"/>
        <v>27.25216123611737</v>
      </c>
      <c r="T22">
        <f t="shared" si="12"/>
        <v>27.007635483870999</v>
      </c>
      <c r="U22">
        <f t="shared" si="13"/>
        <v>3.5807650842459937</v>
      </c>
      <c r="V22">
        <f t="shared" si="14"/>
        <v>54.709729380930384</v>
      </c>
      <c r="W22">
        <f t="shared" si="15"/>
        <v>1.9768119905250698</v>
      </c>
      <c r="X22">
        <f t="shared" si="16"/>
        <v>3.6132732018486409</v>
      </c>
      <c r="Y22">
        <f t="shared" si="17"/>
        <v>1.6039530937209239</v>
      </c>
      <c r="Z22">
        <f t="shared" si="18"/>
        <v>-303.87081384243459</v>
      </c>
      <c r="AA22">
        <f t="shared" si="19"/>
        <v>28.07461300257614</v>
      </c>
      <c r="AB22">
        <f t="shared" si="20"/>
        <v>1.7929816357416624</v>
      </c>
      <c r="AC22">
        <f t="shared" si="21"/>
        <v>47.433409837637669</v>
      </c>
      <c r="AD22">
        <v>-4.1169865918327997E-2</v>
      </c>
      <c r="AE22">
        <v>4.6216781171666402E-2</v>
      </c>
      <c r="AF22">
        <v>3.45429880625771</v>
      </c>
      <c r="AG22">
        <v>142</v>
      </c>
      <c r="AH22">
        <v>28</v>
      </c>
      <c r="AI22">
        <f t="shared" si="22"/>
        <v>1</v>
      </c>
      <c r="AJ22">
        <f t="shared" si="23"/>
        <v>0</v>
      </c>
      <c r="AK22">
        <f t="shared" si="24"/>
        <v>52468.031721507818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277.98953846153802</v>
      </c>
      <c r="AT22">
        <v>380.137</v>
      </c>
      <c r="AU22">
        <f t="shared" si="27"/>
        <v>0.26871223148091872</v>
      </c>
      <c r="AV22">
        <v>0.5</v>
      </c>
      <c r="AW22">
        <f t="shared" si="28"/>
        <v>1681.1794686337428</v>
      </c>
      <c r="AX22">
        <f t="shared" si="29"/>
        <v>30.853622545032906</v>
      </c>
      <c r="AY22">
        <f t="shared" si="30"/>
        <v>225.8767432682391</v>
      </c>
      <c r="AZ22">
        <f t="shared" si="31"/>
        <v>0.51280722476370366</v>
      </c>
      <c r="BA22">
        <f t="shared" si="32"/>
        <v>1.8947187459361275E-2</v>
      </c>
      <c r="BB22">
        <f t="shared" si="33"/>
        <v>-1</v>
      </c>
      <c r="BC22" t="s">
        <v>311</v>
      </c>
      <c r="BD22">
        <v>185.2</v>
      </c>
      <c r="BE22">
        <f t="shared" si="34"/>
        <v>194.93700000000001</v>
      </c>
      <c r="BF22">
        <f t="shared" si="35"/>
        <v>0.52400242918718343</v>
      </c>
      <c r="BG22">
        <f t="shared" si="36"/>
        <v>2.0525755939524841</v>
      </c>
      <c r="BH22">
        <f t="shared" si="37"/>
        <v>0.26871223148091866</v>
      </c>
      <c r="BI22" t="e">
        <f t="shared" si="38"/>
        <v>#DIV/0!</v>
      </c>
      <c r="BJ22">
        <v>6483</v>
      </c>
      <c r="BK22">
        <v>300</v>
      </c>
      <c r="BL22">
        <v>300</v>
      </c>
      <c r="BM22">
        <v>300</v>
      </c>
      <c r="BN22">
        <v>9865.9</v>
      </c>
      <c r="BO22">
        <v>352.17099999999999</v>
      </c>
      <c r="BP22">
        <v>-6.5622900000000001E-3</v>
      </c>
      <c r="BQ22">
        <v>0.78198199999999995</v>
      </c>
      <c r="BR22">
        <f t="shared" si="39"/>
        <v>1999.97903225806</v>
      </c>
      <c r="BS22">
        <f t="shared" si="40"/>
        <v>1681.1794686337428</v>
      </c>
      <c r="BT22">
        <f t="shared" si="41"/>
        <v>0.84059854704357617</v>
      </c>
      <c r="BU22">
        <f t="shared" si="42"/>
        <v>0.1911970940871523</v>
      </c>
      <c r="BV22">
        <v>0.5</v>
      </c>
      <c r="BW22" t="s">
        <v>281</v>
      </c>
      <c r="BX22">
        <v>1598196066.9000001</v>
      </c>
      <c r="BY22">
        <v>386.58680645161297</v>
      </c>
      <c r="BZ22">
        <v>399.99264516129</v>
      </c>
      <c r="CA22">
        <v>19.887583870967699</v>
      </c>
      <c r="CB22">
        <v>17.186425806451599</v>
      </c>
      <c r="CC22">
        <v>500.04177419354801</v>
      </c>
      <c r="CD22">
        <v>99.199332258064501</v>
      </c>
      <c r="CE22">
        <v>0.199971516129032</v>
      </c>
      <c r="CF22">
        <v>27.161609677419399</v>
      </c>
      <c r="CG22">
        <v>27.007635483870999</v>
      </c>
      <c r="CH22">
        <v>999.9</v>
      </c>
      <c r="CI22">
        <v>10008.447741935501</v>
      </c>
      <c r="CJ22">
        <v>0</v>
      </c>
      <c r="CK22">
        <v>108.698290322581</v>
      </c>
      <c r="CL22">
        <v>1999.97903225806</v>
      </c>
      <c r="CM22">
        <v>0.979997096774194</v>
      </c>
      <c r="CN22">
        <v>2.0002716129032299E-2</v>
      </c>
      <c r="CO22">
        <v>0</v>
      </c>
      <c r="CP22">
        <v>277.96287096774199</v>
      </c>
      <c r="CQ22">
        <v>5.00054</v>
      </c>
      <c r="CR22">
        <v>6874.5674193548402</v>
      </c>
      <c r="CS22">
        <v>18703.4064516129</v>
      </c>
      <c r="CT22">
        <v>48.070129032258002</v>
      </c>
      <c r="CU22">
        <v>49.170999999999999</v>
      </c>
      <c r="CV22">
        <v>48.395000000000003</v>
      </c>
      <c r="CW22">
        <v>48.362806451612897</v>
      </c>
      <c r="CX22">
        <v>49.5741935483871</v>
      </c>
      <c r="CY22">
        <v>1955.0690322580599</v>
      </c>
      <c r="CZ22">
        <v>39.902580645161301</v>
      </c>
      <c r="DA22">
        <v>0</v>
      </c>
      <c r="DB22">
        <v>119.700000047684</v>
      </c>
      <c r="DC22">
        <v>277.98953846153802</v>
      </c>
      <c r="DD22">
        <v>-0.41982905823391098</v>
      </c>
      <c r="DE22">
        <v>-22.328888917436799</v>
      </c>
      <c r="DF22">
        <v>6874.6023076923102</v>
      </c>
      <c r="DG22">
        <v>15</v>
      </c>
      <c r="DH22">
        <v>1598196107.4000001</v>
      </c>
      <c r="DI22" t="s">
        <v>312</v>
      </c>
      <c r="DJ22">
        <v>6</v>
      </c>
      <c r="DK22">
        <v>-0.28000000000000003</v>
      </c>
      <c r="DL22">
        <v>0.123</v>
      </c>
      <c r="DM22">
        <v>400</v>
      </c>
      <c r="DN22">
        <v>17</v>
      </c>
      <c r="DO22">
        <v>0.12</v>
      </c>
      <c r="DP22">
        <v>0.03</v>
      </c>
      <c r="DQ22">
        <v>386.50375471698101</v>
      </c>
      <c r="DR22">
        <v>0.132056119980587</v>
      </c>
      <c r="DS22">
        <v>2.44709343649454E-2</v>
      </c>
      <c r="DT22">
        <v>1</v>
      </c>
      <c r="DU22">
        <v>19.878769811320801</v>
      </c>
      <c r="DV22">
        <v>8.7015965166910195E-2</v>
      </c>
      <c r="DW22">
        <v>1.3757983410063099E-2</v>
      </c>
      <c r="DX22">
        <v>1</v>
      </c>
      <c r="DY22">
        <v>2</v>
      </c>
      <c r="DZ22">
        <v>2</v>
      </c>
      <c r="EA22" t="s">
        <v>283</v>
      </c>
      <c r="EB22">
        <v>1.86677</v>
      </c>
      <c r="EC22">
        <v>1.8632899999999999</v>
      </c>
      <c r="ED22">
        <v>1.869</v>
      </c>
      <c r="EE22">
        <v>1.8669100000000001</v>
      </c>
      <c r="EF22">
        <v>1.8715200000000001</v>
      </c>
      <c r="EG22">
        <v>1.8640300000000001</v>
      </c>
      <c r="EH22">
        <v>1.8656900000000001</v>
      </c>
      <c r="EI22">
        <v>1.86561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-0.28000000000000003</v>
      </c>
      <c r="EX22">
        <v>0.123</v>
      </c>
      <c r="EY22">
        <v>2</v>
      </c>
      <c r="EZ22">
        <v>340.98</v>
      </c>
      <c r="FA22">
        <v>519.36300000000006</v>
      </c>
      <c r="FB22">
        <v>21.928100000000001</v>
      </c>
      <c r="FC22">
        <v>31.548400000000001</v>
      </c>
      <c r="FD22">
        <v>30.000399999999999</v>
      </c>
      <c r="FE22">
        <v>31.519500000000001</v>
      </c>
      <c r="FF22">
        <v>31.516100000000002</v>
      </c>
      <c r="FG22">
        <v>21.8552</v>
      </c>
      <c r="FH22">
        <v>39.296900000000001</v>
      </c>
      <c r="FI22">
        <v>41.861199999999997</v>
      </c>
      <c r="FJ22">
        <v>21.9161</v>
      </c>
      <c r="FK22">
        <v>400</v>
      </c>
      <c r="FL22">
        <v>17.212700000000002</v>
      </c>
      <c r="FM22">
        <v>101.245</v>
      </c>
      <c r="FN22">
        <v>101.441</v>
      </c>
    </row>
    <row r="23" spans="1:170" x14ac:dyDescent="0.25">
      <c r="A23">
        <v>7</v>
      </c>
      <c r="B23">
        <v>1598196204.9000001</v>
      </c>
      <c r="C23">
        <v>741.5</v>
      </c>
      <c r="D23" t="s">
        <v>313</v>
      </c>
      <c r="E23" t="s">
        <v>314</v>
      </c>
      <c r="G23">
        <v>1598196196.90323</v>
      </c>
      <c r="H23">
        <f t="shared" si="0"/>
        <v>6.3084871863100713E-3</v>
      </c>
      <c r="I23">
        <f t="shared" si="1"/>
        <v>30.387169684932349</v>
      </c>
      <c r="J23">
        <f t="shared" si="2"/>
        <v>386.87464516129</v>
      </c>
      <c r="K23">
        <f t="shared" si="3"/>
        <v>252.00029833770694</v>
      </c>
      <c r="L23">
        <f t="shared" si="4"/>
        <v>25.04902785706723</v>
      </c>
      <c r="M23">
        <f t="shared" si="5"/>
        <v>38.455644012180549</v>
      </c>
      <c r="N23">
        <f t="shared" si="6"/>
        <v>0.40625969391156519</v>
      </c>
      <c r="O23">
        <f t="shared" si="7"/>
        <v>3.381138267606898</v>
      </c>
      <c r="P23">
        <f t="shared" si="8"/>
        <v>0.38095862546059162</v>
      </c>
      <c r="Q23">
        <f t="shared" si="9"/>
        <v>0.24024091790171118</v>
      </c>
      <c r="R23">
        <f t="shared" si="10"/>
        <v>321.43877728729615</v>
      </c>
      <c r="S23">
        <f t="shared" si="11"/>
        <v>27.280792212348345</v>
      </c>
      <c r="T23">
        <f t="shared" si="12"/>
        <v>27.013722580645201</v>
      </c>
      <c r="U23">
        <f t="shared" si="13"/>
        <v>3.5820453713048535</v>
      </c>
      <c r="V23">
        <f t="shared" si="14"/>
        <v>55.19076271338983</v>
      </c>
      <c r="W23">
        <f t="shared" si="15"/>
        <v>1.982086954378443</v>
      </c>
      <c r="X23">
        <f t="shared" si="16"/>
        <v>3.5913382184471403</v>
      </c>
      <c r="Y23">
        <f t="shared" si="17"/>
        <v>1.5999584169264105</v>
      </c>
      <c r="Z23">
        <f t="shared" si="18"/>
        <v>-278.20428491627416</v>
      </c>
      <c r="AA23">
        <f t="shared" si="19"/>
        <v>8.0434252504112091</v>
      </c>
      <c r="AB23">
        <f t="shared" si="20"/>
        <v>0.51358044412080228</v>
      </c>
      <c r="AC23">
        <f t="shared" si="21"/>
        <v>51.791498065554002</v>
      </c>
      <c r="AD23">
        <v>-4.11557219796947E-2</v>
      </c>
      <c r="AE23">
        <v>4.6200903361473401E-2</v>
      </c>
      <c r="AF23">
        <v>3.4533593488027301</v>
      </c>
      <c r="AG23">
        <v>141</v>
      </c>
      <c r="AH23">
        <v>28</v>
      </c>
      <c r="AI23">
        <f t="shared" si="22"/>
        <v>1</v>
      </c>
      <c r="AJ23">
        <f t="shared" si="23"/>
        <v>0</v>
      </c>
      <c r="AK23">
        <f t="shared" si="24"/>
        <v>52468.915629986586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277.33619230769199</v>
      </c>
      <c r="AT23">
        <v>382.899</v>
      </c>
      <c r="AU23">
        <f t="shared" si="27"/>
        <v>0.27569361030534945</v>
      </c>
      <c r="AV23">
        <v>0.5</v>
      </c>
      <c r="AW23">
        <f t="shared" si="28"/>
        <v>1681.1913287090604</v>
      </c>
      <c r="AX23">
        <f t="shared" si="29"/>
        <v>30.387169684932349</v>
      </c>
      <c r="AY23">
        <f t="shared" si="30"/>
        <v>231.74685351292416</v>
      </c>
      <c r="AZ23">
        <f t="shared" si="31"/>
        <v>0.51209065576039636</v>
      </c>
      <c r="BA23">
        <f t="shared" si="32"/>
        <v>1.8669600032397073E-2</v>
      </c>
      <c r="BB23">
        <f t="shared" si="33"/>
        <v>-1</v>
      </c>
      <c r="BC23" t="s">
        <v>316</v>
      </c>
      <c r="BD23">
        <v>186.82</v>
      </c>
      <c r="BE23">
        <f t="shared" si="34"/>
        <v>196.07900000000001</v>
      </c>
      <c r="BF23">
        <f t="shared" si="35"/>
        <v>0.53836875796137273</v>
      </c>
      <c r="BG23">
        <f t="shared" si="36"/>
        <v>2.0495610748313884</v>
      </c>
      <c r="BH23">
        <f t="shared" si="37"/>
        <v>0.2756936103053495</v>
      </c>
      <c r="BI23" t="e">
        <f t="shared" si="38"/>
        <v>#DIV/0!</v>
      </c>
      <c r="BJ23">
        <v>6485</v>
      </c>
      <c r="BK23">
        <v>300</v>
      </c>
      <c r="BL23">
        <v>300</v>
      </c>
      <c r="BM23">
        <v>300</v>
      </c>
      <c r="BN23">
        <v>9865.25</v>
      </c>
      <c r="BO23">
        <v>354.44400000000002</v>
      </c>
      <c r="BP23">
        <v>-6.5615700000000001E-3</v>
      </c>
      <c r="BQ23">
        <v>1.38235</v>
      </c>
      <c r="BR23">
        <f t="shared" si="39"/>
        <v>1999.99322580645</v>
      </c>
      <c r="BS23">
        <f t="shared" si="40"/>
        <v>1681.1913287090604</v>
      </c>
      <c r="BT23">
        <f t="shared" si="41"/>
        <v>0.84059851154303766</v>
      </c>
      <c r="BU23">
        <f t="shared" si="42"/>
        <v>0.1911970230860755</v>
      </c>
      <c r="BV23">
        <v>0.5</v>
      </c>
      <c r="BW23" t="s">
        <v>281</v>
      </c>
      <c r="BX23">
        <v>1598196196.90323</v>
      </c>
      <c r="BY23">
        <v>386.87464516129</v>
      </c>
      <c r="BZ23">
        <v>400.00422580645198</v>
      </c>
      <c r="CA23">
        <v>19.940354838709698</v>
      </c>
      <c r="CB23">
        <v>17.467564516128999</v>
      </c>
      <c r="CC23">
        <v>500.05806451612898</v>
      </c>
      <c r="CD23">
        <v>99.200812903225795</v>
      </c>
      <c r="CE23">
        <v>0.19997361290322599</v>
      </c>
      <c r="CF23">
        <v>27.057848387096801</v>
      </c>
      <c r="CG23">
        <v>27.013722580645201</v>
      </c>
      <c r="CH23">
        <v>999.9</v>
      </c>
      <c r="CI23">
        <v>10004.86</v>
      </c>
      <c r="CJ23">
        <v>0</v>
      </c>
      <c r="CK23">
        <v>110.374</v>
      </c>
      <c r="CL23">
        <v>1999.99322580645</v>
      </c>
      <c r="CM23">
        <v>0.979998451612903</v>
      </c>
      <c r="CN23">
        <v>2.00015419354839E-2</v>
      </c>
      <c r="CO23">
        <v>0</v>
      </c>
      <c r="CP23">
        <v>277.35593548387101</v>
      </c>
      <c r="CQ23">
        <v>5.00054</v>
      </c>
      <c r="CR23">
        <v>6873.2554838709702</v>
      </c>
      <c r="CS23">
        <v>18703.554838709701</v>
      </c>
      <c r="CT23">
        <v>48.375</v>
      </c>
      <c r="CU23">
        <v>49.487677419354803</v>
      </c>
      <c r="CV23">
        <v>48.731709677419403</v>
      </c>
      <c r="CW23">
        <v>48.652999999999999</v>
      </c>
      <c r="CX23">
        <v>49.866870967741903</v>
      </c>
      <c r="CY23">
        <v>1955.0925806451601</v>
      </c>
      <c r="CZ23">
        <v>39.900645161290299</v>
      </c>
      <c r="DA23">
        <v>0</v>
      </c>
      <c r="DB23">
        <v>129.200000047684</v>
      </c>
      <c r="DC23">
        <v>277.33619230769199</v>
      </c>
      <c r="DD23">
        <v>-0.20133331486592301</v>
      </c>
      <c r="DE23">
        <v>10.948376048815099</v>
      </c>
      <c r="DF23">
        <v>6873.2261538461498</v>
      </c>
      <c r="DG23">
        <v>15</v>
      </c>
      <c r="DH23">
        <v>1598196229.4000001</v>
      </c>
      <c r="DI23" t="s">
        <v>317</v>
      </c>
      <c r="DJ23">
        <v>7</v>
      </c>
      <c r="DK23">
        <v>-0.30299999999999999</v>
      </c>
      <c r="DL23">
        <v>0.126</v>
      </c>
      <c r="DM23">
        <v>400</v>
      </c>
      <c r="DN23">
        <v>17</v>
      </c>
      <c r="DO23">
        <v>0.13</v>
      </c>
      <c r="DP23">
        <v>0.03</v>
      </c>
      <c r="DQ23">
        <v>386.86626415094298</v>
      </c>
      <c r="DR23">
        <v>0.29819900970358498</v>
      </c>
      <c r="DS23">
        <v>4.0214589928867402E-2</v>
      </c>
      <c r="DT23">
        <v>1</v>
      </c>
      <c r="DU23">
        <v>19.949456603773601</v>
      </c>
      <c r="DV23">
        <v>-0.120968186530224</v>
      </c>
      <c r="DW23">
        <v>1.55139925816706E-2</v>
      </c>
      <c r="DX23">
        <v>1</v>
      </c>
      <c r="DY23">
        <v>2</v>
      </c>
      <c r="DZ23">
        <v>2</v>
      </c>
      <c r="EA23" t="s">
        <v>283</v>
      </c>
      <c r="EB23">
        <v>1.86676</v>
      </c>
      <c r="EC23">
        <v>1.8632599999999999</v>
      </c>
      <c r="ED23">
        <v>1.8689800000000001</v>
      </c>
      <c r="EE23">
        <v>1.8669100000000001</v>
      </c>
      <c r="EF23">
        <v>1.8715299999999999</v>
      </c>
      <c r="EG23">
        <v>1.8640099999999999</v>
      </c>
      <c r="EH23">
        <v>1.8656900000000001</v>
      </c>
      <c r="EI23">
        <v>1.8656200000000001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-0.30299999999999999</v>
      </c>
      <c r="EX23">
        <v>0.126</v>
      </c>
      <c r="EY23">
        <v>2</v>
      </c>
      <c r="EZ23">
        <v>341.39699999999999</v>
      </c>
      <c r="FA23">
        <v>517.50800000000004</v>
      </c>
      <c r="FB23">
        <v>21.214200000000002</v>
      </c>
      <c r="FC23">
        <v>31.639199999999999</v>
      </c>
      <c r="FD23">
        <v>30.000399999999999</v>
      </c>
      <c r="FE23">
        <v>31.625399999999999</v>
      </c>
      <c r="FF23">
        <v>31.623899999999999</v>
      </c>
      <c r="FG23">
        <v>21.864799999999999</v>
      </c>
      <c r="FH23">
        <v>38.105699999999999</v>
      </c>
      <c r="FI23">
        <v>38.069400000000002</v>
      </c>
      <c r="FJ23">
        <v>21.205300000000001</v>
      </c>
      <c r="FK23">
        <v>400</v>
      </c>
      <c r="FL23">
        <v>17.529199999999999</v>
      </c>
      <c r="FM23">
        <v>101.22499999999999</v>
      </c>
      <c r="FN23">
        <v>101.43</v>
      </c>
    </row>
    <row r="24" spans="1:170" x14ac:dyDescent="0.25">
      <c r="A24">
        <v>8</v>
      </c>
      <c r="B24">
        <v>1598196350.9000001</v>
      </c>
      <c r="C24">
        <v>887.5</v>
      </c>
      <c r="D24" t="s">
        <v>318</v>
      </c>
      <c r="E24" t="s">
        <v>319</v>
      </c>
      <c r="G24">
        <v>1598196342.9000001</v>
      </c>
      <c r="H24">
        <f t="shared" si="0"/>
        <v>5.4491087774364696E-3</v>
      </c>
      <c r="I24">
        <f t="shared" si="1"/>
        <v>35.283278442402299</v>
      </c>
      <c r="J24">
        <f t="shared" si="2"/>
        <v>484.79519354838698</v>
      </c>
      <c r="K24">
        <f t="shared" si="3"/>
        <v>301.28933260769782</v>
      </c>
      <c r="L24">
        <f t="shared" si="4"/>
        <v>29.948231241719178</v>
      </c>
      <c r="M24">
        <f t="shared" si="5"/>
        <v>48.188757416664508</v>
      </c>
      <c r="N24">
        <f t="shared" si="6"/>
        <v>0.34194763469206052</v>
      </c>
      <c r="O24">
        <f t="shared" si="7"/>
        <v>3.3819652530577589</v>
      </c>
      <c r="P24">
        <f t="shared" si="8"/>
        <v>0.32383545778064576</v>
      </c>
      <c r="Q24">
        <f t="shared" si="9"/>
        <v>0.20394448600276849</v>
      </c>
      <c r="R24">
        <f t="shared" si="10"/>
        <v>321.43829581460017</v>
      </c>
      <c r="S24">
        <f t="shared" si="11"/>
        <v>27.292136071028828</v>
      </c>
      <c r="T24">
        <f t="shared" si="12"/>
        <v>27.013719354838699</v>
      </c>
      <c r="U24">
        <f t="shared" si="13"/>
        <v>3.5820446927215244</v>
      </c>
      <c r="V24">
        <f t="shared" si="14"/>
        <v>55.057893194632953</v>
      </c>
      <c r="W24">
        <f t="shared" si="15"/>
        <v>1.9560527055655654</v>
      </c>
      <c r="X24">
        <f t="shared" si="16"/>
        <v>3.5527198591686062</v>
      </c>
      <c r="Y24">
        <f t="shared" si="17"/>
        <v>1.6259919871559589</v>
      </c>
      <c r="Z24">
        <f t="shared" si="18"/>
        <v>-240.30569708494832</v>
      </c>
      <c r="AA24">
        <f t="shared" si="19"/>
        <v>-25.508346806603438</v>
      </c>
      <c r="AB24">
        <f t="shared" si="20"/>
        <v>-1.6268365862749885</v>
      </c>
      <c r="AC24">
        <f t="shared" si="21"/>
        <v>53.997415336773429</v>
      </c>
      <c r="AD24">
        <v>-4.1168510396727802E-2</v>
      </c>
      <c r="AE24">
        <v>4.6215259479919897E-2</v>
      </c>
      <c r="AF24">
        <v>3.4542087756848301</v>
      </c>
      <c r="AG24">
        <v>141</v>
      </c>
      <c r="AH24">
        <v>28</v>
      </c>
      <c r="AI24">
        <f t="shared" si="22"/>
        <v>1</v>
      </c>
      <c r="AJ24">
        <f t="shared" si="23"/>
        <v>0</v>
      </c>
      <c r="AK24">
        <f t="shared" si="24"/>
        <v>52516.747378179949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279.428807692308</v>
      </c>
      <c r="AT24">
        <v>401.95699999999999</v>
      </c>
      <c r="AU24">
        <f t="shared" si="27"/>
        <v>0.30482910437607003</v>
      </c>
      <c r="AV24">
        <v>0.5</v>
      </c>
      <c r="AW24">
        <f t="shared" si="28"/>
        <v>1681.1888803219711</v>
      </c>
      <c r="AX24">
        <f t="shared" si="29"/>
        <v>35.283278442402299</v>
      </c>
      <c r="AY24">
        <f t="shared" si="30"/>
        <v>256.23765033777721</v>
      </c>
      <c r="AZ24">
        <f t="shared" si="31"/>
        <v>0.53208925332809232</v>
      </c>
      <c r="BA24">
        <f t="shared" si="32"/>
        <v>2.1581916741831856E-2</v>
      </c>
      <c r="BB24">
        <f t="shared" si="33"/>
        <v>-1</v>
      </c>
      <c r="BC24" t="s">
        <v>321</v>
      </c>
      <c r="BD24">
        <v>188.08</v>
      </c>
      <c r="BE24">
        <f t="shared" si="34"/>
        <v>213.87699999999998</v>
      </c>
      <c r="BF24">
        <f t="shared" si="35"/>
        <v>0.57289092472632408</v>
      </c>
      <c r="BG24">
        <f t="shared" si="36"/>
        <v>2.1371597192683964</v>
      </c>
      <c r="BH24">
        <f t="shared" si="37"/>
        <v>0.30482910437607008</v>
      </c>
      <c r="BI24" t="e">
        <f t="shared" si="38"/>
        <v>#DIV/0!</v>
      </c>
      <c r="BJ24">
        <v>6487</v>
      </c>
      <c r="BK24">
        <v>300</v>
      </c>
      <c r="BL24">
        <v>300</v>
      </c>
      <c r="BM24">
        <v>300</v>
      </c>
      <c r="BN24">
        <v>9864.93</v>
      </c>
      <c r="BO24">
        <v>365.53899999999999</v>
      </c>
      <c r="BP24">
        <v>-6.5614499999999999E-3</v>
      </c>
      <c r="BQ24">
        <v>0.95956399999999997</v>
      </c>
      <c r="BR24">
        <f t="shared" si="39"/>
        <v>1999.9903225806499</v>
      </c>
      <c r="BS24">
        <f t="shared" si="40"/>
        <v>1681.1888803219711</v>
      </c>
      <c r="BT24">
        <f t="shared" si="41"/>
        <v>0.84059850757311694</v>
      </c>
      <c r="BU24">
        <f t="shared" si="42"/>
        <v>0.19119701514623405</v>
      </c>
      <c r="BV24">
        <v>0.5</v>
      </c>
      <c r="BW24" t="s">
        <v>281</v>
      </c>
      <c r="BX24">
        <v>1598196342.9000001</v>
      </c>
      <c r="BY24">
        <v>484.79519354838698</v>
      </c>
      <c r="BZ24">
        <v>499.96351612903197</v>
      </c>
      <c r="CA24">
        <v>19.678551612903199</v>
      </c>
      <c r="CB24">
        <v>17.542035483871</v>
      </c>
      <c r="CC24">
        <v>500.05503225806501</v>
      </c>
      <c r="CD24">
        <v>99.200225806451598</v>
      </c>
      <c r="CE24">
        <v>0.20001177419354799</v>
      </c>
      <c r="CF24">
        <v>26.873816129032299</v>
      </c>
      <c r="CG24">
        <v>27.013719354838699</v>
      </c>
      <c r="CH24">
        <v>999.9</v>
      </c>
      <c r="CI24">
        <v>10008.0280645161</v>
      </c>
      <c r="CJ24">
        <v>0</v>
      </c>
      <c r="CK24">
        <v>111.508064516129</v>
      </c>
      <c r="CL24">
        <v>1999.9903225806499</v>
      </c>
      <c r="CM24">
        <v>0.97999903225806495</v>
      </c>
      <c r="CN24">
        <v>2.0001038709677399E-2</v>
      </c>
      <c r="CO24">
        <v>0</v>
      </c>
      <c r="CP24">
        <v>279.44780645161302</v>
      </c>
      <c r="CQ24">
        <v>5.00054</v>
      </c>
      <c r="CR24">
        <v>6929.5767741935497</v>
      </c>
      <c r="CS24">
        <v>18703.538709677399</v>
      </c>
      <c r="CT24">
        <v>48.662999999999997</v>
      </c>
      <c r="CU24">
        <v>49.800064516128998</v>
      </c>
      <c r="CV24">
        <v>49.033999999999999</v>
      </c>
      <c r="CW24">
        <v>48.939129032258002</v>
      </c>
      <c r="CX24">
        <v>50.090451612903202</v>
      </c>
      <c r="CY24">
        <v>1955.09</v>
      </c>
      <c r="CZ24">
        <v>39.900322580645202</v>
      </c>
      <c r="DA24">
        <v>0</v>
      </c>
      <c r="DB24">
        <v>145.40000009536701</v>
      </c>
      <c r="DC24">
        <v>279.428807692308</v>
      </c>
      <c r="DD24">
        <v>-0.93295726735171902</v>
      </c>
      <c r="DE24">
        <v>-25.3849571577049</v>
      </c>
      <c r="DF24">
        <v>6929.3565384615404</v>
      </c>
      <c r="DG24">
        <v>15</v>
      </c>
      <c r="DH24">
        <v>1598196374.9000001</v>
      </c>
      <c r="DI24" t="s">
        <v>322</v>
      </c>
      <c r="DJ24">
        <v>8</v>
      </c>
      <c r="DK24">
        <v>-0.24099999999999999</v>
      </c>
      <c r="DL24">
        <v>0.13200000000000001</v>
      </c>
      <c r="DM24">
        <v>500</v>
      </c>
      <c r="DN24">
        <v>18</v>
      </c>
      <c r="DO24">
        <v>0.16</v>
      </c>
      <c r="DP24">
        <v>0.05</v>
      </c>
      <c r="DQ24">
        <v>484.70320754717</v>
      </c>
      <c r="DR24">
        <v>0.348466376391314</v>
      </c>
      <c r="DS24">
        <v>4.7124627415799099E-2</v>
      </c>
      <c r="DT24">
        <v>0</v>
      </c>
      <c r="DU24">
        <v>19.680615094339601</v>
      </c>
      <c r="DV24">
        <v>-7.4618287372994196E-2</v>
      </c>
      <c r="DW24">
        <v>1.0978063826033099E-2</v>
      </c>
      <c r="DX24">
        <v>1</v>
      </c>
      <c r="DY24">
        <v>1</v>
      </c>
      <c r="DZ24">
        <v>2</v>
      </c>
      <c r="EA24" t="s">
        <v>323</v>
      </c>
      <c r="EB24">
        <v>1.86676</v>
      </c>
      <c r="EC24">
        <v>1.8632599999999999</v>
      </c>
      <c r="ED24">
        <v>1.8689899999999999</v>
      </c>
      <c r="EE24">
        <v>1.8669100000000001</v>
      </c>
      <c r="EF24">
        <v>1.8715200000000001</v>
      </c>
      <c r="EG24">
        <v>1.8640099999999999</v>
      </c>
      <c r="EH24">
        <v>1.8656900000000001</v>
      </c>
      <c r="EI24">
        <v>1.86557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-0.24099999999999999</v>
      </c>
      <c r="EX24">
        <v>0.13200000000000001</v>
      </c>
      <c r="EY24">
        <v>2</v>
      </c>
      <c r="EZ24">
        <v>341.83</v>
      </c>
      <c r="FA24">
        <v>516.11199999999997</v>
      </c>
      <c r="FB24">
        <v>21.4361</v>
      </c>
      <c r="FC24">
        <v>31.735199999999999</v>
      </c>
      <c r="FD24">
        <v>30.0002</v>
      </c>
      <c r="FE24">
        <v>31.727599999999999</v>
      </c>
      <c r="FF24">
        <v>31.726600000000001</v>
      </c>
      <c r="FG24">
        <v>26.157299999999999</v>
      </c>
      <c r="FH24">
        <v>36.775799999999997</v>
      </c>
      <c r="FI24">
        <v>33.872599999999998</v>
      </c>
      <c r="FJ24">
        <v>21.426100000000002</v>
      </c>
      <c r="FK24">
        <v>500</v>
      </c>
      <c r="FL24">
        <v>17.611499999999999</v>
      </c>
      <c r="FM24">
        <v>101.206</v>
      </c>
      <c r="FN24">
        <v>101.423</v>
      </c>
    </row>
    <row r="25" spans="1:170" x14ac:dyDescent="0.25">
      <c r="A25">
        <v>9</v>
      </c>
      <c r="B25">
        <v>1598196496.4000001</v>
      </c>
      <c r="C25">
        <v>1033</v>
      </c>
      <c r="D25" t="s">
        <v>324</v>
      </c>
      <c r="E25" t="s">
        <v>325</v>
      </c>
      <c r="G25">
        <v>1598196488.4000001</v>
      </c>
      <c r="H25">
        <f t="shared" si="0"/>
        <v>4.7180338060478829E-3</v>
      </c>
      <c r="I25">
        <f t="shared" si="1"/>
        <v>38.638145874399896</v>
      </c>
      <c r="J25">
        <f t="shared" si="2"/>
        <v>583.463032258064</v>
      </c>
      <c r="K25">
        <f t="shared" si="3"/>
        <v>350.98828954002983</v>
      </c>
      <c r="L25">
        <f t="shared" si="4"/>
        <v>34.889752306300792</v>
      </c>
      <c r="M25">
        <f t="shared" si="5"/>
        <v>57.998746060857854</v>
      </c>
      <c r="N25">
        <f t="shared" si="6"/>
        <v>0.29263361710919861</v>
      </c>
      <c r="O25">
        <f t="shared" si="7"/>
        <v>3.3811129699205185</v>
      </c>
      <c r="P25">
        <f t="shared" si="8"/>
        <v>0.27925587954542735</v>
      </c>
      <c r="Q25">
        <f t="shared" si="9"/>
        <v>0.17568589112113608</v>
      </c>
      <c r="R25">
        <f t="shared" si="10"/>
        <v>321.44126374577945</v>
      </c>
      <c r="S25">
        <f t="shared" si="11"/>
        <v>27.242713297151358</v>
      </c>
      <c r="T25">
        <f t="shared" si="12"/>
        <v>26.9862741935484</v>
      </c>
      <c r="U25">
        <f t="shared" si="13"/>
        <v>3.576275366102645</v>
      </c>
      <c r="V25">
        <f t="shared" si="14"/>
        <v>55.402846401764663</v>
      </c>
      <c r="W25">
        <f t="shared" si="15"/>
        <v>1.9434654072008939</v>
      </c>
      <c r="X25">
        <f t="shared" si="16"/>
        <v>3.5078800701095236</v>
      </c>
      <c r="Y25">
        <f t="shared" si="17"/>
        <v>1.6328099589017511</v>
      </c>
      <c r="Z25">
        <f t="shared" si="18"/>
        <v>-208.06529084671163</v>
      </c>
      <c r="AA25">
        <f t="shared" si="19"/>
        <v>-59.851009354661315</v>
      </c>
      <c r="AB25">
        <f t="shared" si="20"/>
        <v>-3.8134150341319732</v>
      </c>
      <c r="AC25">
        <f t="shared" si="21"/>
        <v>49.711548510274511</v>
      </c>
      <c r="AD25">
        <v>-4.1155330801005599E-2</v>
      </c>
      <c r="AE25">
        <v>4.6200464229125701E-2</v>
      </c>
      <c r="AF25">
        <v>3.4533333646662898</v>
      </c>
      <c r="AG25">
        <v>141</v>
      </c>
      <c r="AH25">
        <v>28</v>
      </c>
      <c r="AI25">
        <f t="shared" si="22"/>
        <v>1</v>
      </c>
      <c r="AJ25">
        <f t="shared" si="23"/>
        <v>0</v>
      </c>
      <c r="AK25">
        <f t="shared" si="24"/>
        <v>52538.536280019493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280.26792307692301</v>
      </c>
      <c r="AT25">
        <v>406.26900000000001</v>
      </c>
      <c r="AU25">
        <f t="shared" si="27"/>
        <v>0.31014199193902803</v>
      </c>
      <c r="AV25">
        <v>0.5</v>
      </c>
      <c r="AW25">
        <f t="shared" si="28"/>
        <v>1681.2045867735817</v>
      </c>
      <c r="AX25">
        <f t="shared" si="29"/>
        <v>38.638145874399896</v>
      </c>
      <c r="AY25">
        <f t="shared" si="30"/>
        <v>260.70606969949455</v>
      </c>
      <c r="AZ25">
        <f t="shared" si="31"/>
        <v>0.53848312325085101</v>
      </c>
      <c r="BA25">
        <f t="shared" si="32"/>
        <v>2.3577229199968994E-2</v>
      </c>
      <c r="BB25">
        <f t="shared" si="33"/>
        <v>-1</v>
      </c>
      <c r="BC25" t="s">
        <v>327</v>
      </c>
      <c r="BD25">
        <v>187.5</v>
      </c>
      <c r="BE25">
        <f t="shared" si="34"/>
        <v>218.76900000000001</v>
      </c>
      <c r="BF25">
        <f t="shared" si="35"/>
        <v>0.57595489728013105</v>
      </c>
      <c r="BG25">
        <f t="shared" si="36"/>
        <v>2.1667680000000002</v>
      </c>
      <c r="BH25">
        <f t="shared" si="37"/>
        <v>0.31014199193902808</v>
      </c>
      <c r="BI25" t="e">
        <f t="shared" si="38"/>
        <v>#DIV/0!</v>
      </c>
      <c r="BJ25">
        <v>6489</v>
      </c>
      <c r="BK25">
        <v>300</v>
      </c>
      <c r="BL25">
        <v>300</v>
      </c>
      <c r="BM25">
        <v>300</v>
      </c>
      <c r="BN25">
        <v>9864.7099999999991</v>
      </c>
      <c r="BO25">
        <v>371.928</v>
      </c>
      <c r="BP25">
        <v>-6.5611599999999999E-3</v>
      </c>
      <c r="BQ25">
        <v>1.47516</v>
      </c>
      <c r="BR25">
        <f t="shared" si="39"/>
        <v>2000.00903225806</v>
      </c>
      <c r="BS25">
        <f t="shared" si="40"/>
        <v>1681.2045867735817</v>
      </c>
      <c r="BT25">
        <f t="shared" si="41"/>
        <v>0.84059849713551538</v>
      </c>
      <c r="BU25">
        <f t="shared" si="42"/>
        <v>0.19119699427103096</v>
      </c>
      <c r="BV25">
        <v>0.5</v>
      </c>
      <c r="BW25" t="s">
        <v>281</v>
      </c>
      <c r="BX25">
        <v>1598196488.4000001</v>
      </c>
      <c r="BY25">
        <v>583.463032258064</v>
      </c>
      <c r="BZ25">
        <v>600.01738709677397</v>
      </c>
      <c r="CA25">
        <v>19.551116129032302</v>
      </c>
      <c r="CB25">
        <v>17.7010258064516</v>
      </c>
      <c r="CC25">
        <v>500.06109677419403</v>
      </c>
      <c r="CD25">
        <v>99.204306451612894</v>
      </c>
      <c r="CE25">
        <v>0.20001370967741899</v>
      </c>
      <c r="CF25">
        <v>26.657932258064498</v>
      </c>
      <c r="CG25">
        <v>26.9862741935484</v>
      </c>
      <c r="CH25">
        <v>999.9</v>
      </c>
      <c r="CI25">
        <v>10004.412580645199</v>
      </c>
      <c r="CJ25">
        <v>0</v>
      </c>
      <c r="CK25">
        <v>113.00064516129</v>
      </c>
      <c r="CL25">
        <v>2000.00903225806</v>
      </c>
      <c r="CM25">
        <v>0.97999951612903202</v>
      </c>
      <c r="CN25">
        <v>2.0000619354838701E-2</v>
      </c>
      <c r="CO25">
        <v>0</v>
      </c>
      <c r="CP25">
        <v>280.291258064516</v>
      </c>
      <c r="CQ25">
        <v>5.00054</v>
      </c>
      <c r="CR25">
        <v>6964.1974193548403</v>
      </c>
      <c r="CS25">
        <v>18703.7</v>
      </c>
      <c r="CT25">
        <v>48.914999999999999</v>
      </c>
      <c r="CU25">
        <v>50.128870967741904</v>
      </c>
      <c r="CV25">
        <v>49.316064516129003</v>
      </c>
      <c r="CW25">
        <v>49.203258064516099</v>
      </c>
      <c r="CX25">
        <v>50.352580645161297</v>
      </c>
      <c r="CY25">
        <v>1955.1090322580601</v>
      </c>
      <c r="CZ25">
        <v>39.9</v>
      </c>
      <c r="DA25">
        <v>0</v>
      </c>
      <c r="DB25">
        <v>144.799999952316</v>
      </c>
      <c r="DC25">
        <v>280.26792307692301</v>
      </c>
      <c r="DD25">
        <v>-2.3926153825896899</v>
      </c>
      <c r="DE25">
        <v>-30.556923122149801</v>
      </c>
      <c r="DF25">
        <v>6963.7749999999996</v>
      </c>
      <c r="DG25">
        <v>15</v>
      </c>
      <c r="DH25">
        <v>1598196522.9000001</v>
      </c>
      <c r="DI25" t="s">
        <v>328</v>
      </c>
      <c r="DJ25">
        <v>9</v>
      </c>
      <c r="DK25">
        <v>-0.28000000000000003</v>
      </c>
      <c r="DL25">
        <v>0.13100000000000001</v>
      </c>
      <c r="DM25">
        <v>600</v>
      </c>
      <c r="DN25">
        <v>18</v>
      </c>
      <c r="DO25">
        <v>0.18</v>
      </c>
      <c r="DP25">
        <v>0.05</v>
      </c>
      <c r="DQ25">
        <v>583.45392452830197</v>
      </c>
      <c r="DR25">
        <v>0.54477019835521201</v>
      </c>
      <c r="DS25">
        <v>7.2013061985145399E-2</v>
      </c>
      <c r="DT25">
        <v>0</v>
      </c>
      <c r="DU25">
        <v>19.542590566037699</v>
      </c>
      <c r="DV25">
        <v>8.1176584421875503E-2</v>
      </c>
      <c r="DW25">
        <v>1.29767028424302E-2</v>
      </c>
      <c r="DX25">
        <v>1</v>
      </c>
      <c r="DY25">
        <v>1</v>
      </c>
      <c r="DZ25">
        <v>2</v>
      </c>
      <c r="EA25" t="s">
        <v>323</v>
      </c>
      <c r="EB25">
        <v>1.86676</v>
      </c>
      <c r="EC25">
        <v>1.86328</v>
      </c>
      <c r="ED25">
        <v>1.8690100000000001</v>
      </c>
      <c r="EE25">
        <v>1.8669100000000001</v>
      </c>
      <c r="EF25">
        <v>1.87155</v>
      </c>
      <c r="EG25">
        <v>1.86402</v>
      </c>
      <c r="EH25">
        <v>1.8656900000000001</v>
      </c>
      <c r="EI25">
        <v>1.86558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-0.28000000000000003</v>
      </c>
      <c r="EX25">
        <v>0.13100000000000001</v>
      </c>
      <c r="EY25">
        <v>2</v>
      </c>
      <c r="EZ25">
        <v>341.46300000000002</v>
      </c>
      <c r="FA25">
        <v>514.322</v>
      </c>
      <c r="FB25">
        <v>21.3916</v>
      </c>
      <c r="FC25">
        <v>31.842400000000001</v>
      </c>
      <c r="FD25">
        <v>30.001000000000001</v>
      </c>
      <c r="FE25">
        <v>31.831199999999999</v>
      </c>
      <c r="FF25">
        <v>31.8308</v>
      </c>
      <c r="FG25">
        <v>30.305499999999999</v>
      </c>
      <c r="FH25">
        <v>36.589300000000001</v>
      </c>
      <c r="FI25">
        <v>29.357099999999999</v>
      </c>
      <c r="FJ25">
        <v>21.363600000000002</v>
      </c>
      <c r="FK25">
        <v>600</v>
      </c>
      <c r="FL25">
        <v>17.6831</v>
      </c>
      <c r="FM25">
        <v>101.19</v>
      </c>
      <c r="FN25">
        <v>101.41200000000001</v>
      </c>
    </row>
    <row r="26" spans="1:170" x14ac:dyDescent="0.25">
      <c r="A26">
        <v>10</v>
      </c>
      <c r="B26">
        <v>1598196644.4000001</v>
      </c>
      <c r="C26">
        <v>1181</v>
      </c>
      <c r="D26" t="s">
        <v>329</v>
      </c>
      <c r="E26" t="s">
        <v>330</v>
      </c>
      <c r="G26">
        <v>1598196636.43871</v>
      </c>
      <c r="H26">
        <f t="shared" si="0"/>
        <v>3.7705583352584432E-3</v>
      </c>
      <c r="I26">
        <f t="shared" si="1"/>
        <v>41.293117085624175</v>
      </c>
      <c r="J26">
        <f t="shared" si="2"/>
        <v>682.47470967741901</v>
      </c>
      <c r="K26">
        <f t="shared" si="3"/>
        <v>364.40718695807942</v>
      </c>
      <c r="L26">
        <f t="shared" si="4"/>
        <v>36.222898766730552</v>
      </c>
      <c r="M26">
        <f t="shared" si="5"/>
        <v>67.839530075851215</v>
      </c>
      <c r="N26">
        <f t="shared" si="6"/>
        <v>0.22450627603079168</v>
      </c>
      <c r="O26">
        <f t="shared" si="7"/>
        <v>3.3809843025076316</v>
      </c>
      <c r="P26">
        <f t="shared" si="8"/>
        <v>0.21654090472579768</v>
      </c>
      <c r="Q26">
        <f t="shared" si="9"/>
        <v>0.13603017795217509</v>
      </c>
      <c r="R26">
        <f t="shared" si="10"/>
        <v>321.43781434190271</v>
      </c>
      <c r="S26">
        <f t="shared" si="11"/>
        <v>27.264987233629917</v>
      </c>
      <c r="T26">
        <f t="shared" si="12"/>
        <v>27.112529032258099</v>
      </c>
      <c r="U26">
        <f t="shared" si="13"/>
        <v>3.602883094656625</v>
      </c>
      <c r="V26">
        <f t="shared" si="14"/>
        <v>55.364170053485708</v>
      </c>
      <c r="W26">
        <f t="shared" si="15"/>
        <v>1.9201079673898711</v>
      </c>
      <c r="X26">
        <f t="shared" si="16"/>
        <v>3.4681418786462634</v>
      </c>
      <c r="Y26">
        <f t="shared" si="17"/>
        <v>1.6827751272667539</v>
      </c>
      <c r="Z26">
        <f t="shared" si="18"/>
        <v>-166.28162258489735</v>
      </c>
      <c r="AA26">
        <f t="shared" si="19"/>
        <v>-118.10402171847672</v>
      </c>
      <c r="AB26">
        <f t="shared" si="20"/>
        <v>-7.5227807911983575</v>
      </c>
      <c r="AC26">
        <f t="shared" si="21"/>
        <v>29.529389247330315</v>
      </c>
      <c r="AD26">
        <v>-4.11533412342341E-2</v>
      </c>
      <c r="AE26">
        <v>4.6198230766129098E-2</v>
      </c>
      <c r="AF26">
        <v>3.4532012059123098</v>
      </c>
      <c r="AG26">
        <v>139</v>
      </c>
      <c r="AH26">
        <v>28</v>
      </c>
      <c r="AI26">
        <f t="shared" si="22"/>
        <v>1</v>
      </c>
      <c r="AJ26">
        <f t="shared" si="23"/>
        <v>0</v>
      </c>
      <c r="AK26">
        <f t="shared" si="24"/>
        <v>52569.975773706174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281.31192307692299</v>
      </c>
      <c r="AT26">
        <v>416.27300000000002</v>
      </c>
      <c r="AU26">
        <f t="shared" si="27"/>
        <v>0.32421290096421584</v>
      </c>
      <c r="AV26">
        <v>0.5</v>
      </c>
      <c r="AW26">
        <f t="shared" si="28"/>
        <v>1681.1864319348738</v>
      </c>
      <c r="AX26">
        <f t="shared" si="29"/>
        <v>41.293117085624175</v>
      </c>
      <c r="AY26">
        <f t="shared" si="30"/>
        <v>272.53116507964234</v>
      </c>
      <c r="AZ26">
        <f t="shared" si="31"/>
        <v>0.55495552197716402</v>
      </c>
      <c r="BA26">
        <f t="shared" si="32"/>
        <v>2.5156708549538505E-2</v>
      </c>
      <c r="BB26">
        <f t="shared" si="33"/>
        <v>-1</v>
      </c>
      <c r="BC26" t="s">
        <v>332</v>
      </c>
      <c r="BD26">
        <v>185.26</v>
      </c>
      <c r="BE26">
        <f t="shared" si="34"/>
        <v>231.01300000000003</v>
      </c>
      <c r="BF26">
        <f t="shared" si="35"/>
        <v>0.58421420839120319</v>
      </c>
      <c r="BG26">
        <f t="shared" si="36"/>
        <v>2.2469664255640724</v>
      </c>
      <c r="BH26">
        <f t="shared" si="37"/>
        <v>0.32421290096421584</v>
      </c>
      <c r="BI26" t="e">
        <f t="shared" si="38"/>
        <v>#DIV/0!</v>
      </c>
      <c r="BJ26">
        <v>6491</v>
      </c>
      <c r="BK26">
        <v>300</v>
      </c>
      <c r="BL26">
        <v>300</v>
      </c>
      <c r="BM26">
        <v>300</v>
      </c>
      <c r="BN26">
        <v>9864.41</v>
      </c>
      <c r="BO26">
        <v>377.90800000000002</v>
      </c>
      <c r="BP26">
        <v>-6.5607699999999996E-3</v>
      </c>
      <c r="BQ26">
        <v>1.8827199999999999</v>
      </c>
      <c r="BR26">
        <f t="shared" si="39"/>
        <v>1999.9874193548401</v>
      </c>
      <c r="BS26">
        <f t="shared" si="40"/>
        <v>1681.1864319348738</v>
      </c>
      <c r="BT26">
        <f t="shared" si="41"/>
        <v>0.84059850360318478</v>
      </c>
      <c r="BU26">
        <f t="shared" si="42"/>
        <v>0.19119700720636951</v>
      </c>
      <c r="BV26">
        <v>0.5</v>
      </c>
      <c r="BW26" t="s">
        <v>281</v>
      </c>
      <c r="BX26">
        <v>1598196636.43871</v>
      </c>
      <c r="BY26">
        <v>682.47470967741901</v>
      </c>
      <c r="BZ26">
        <v>700.01945161290303</v>
      </c>
      <c r="CA26">
        <v>19.316541935483901</v>
      </c>
      <c r="CB26">
        <v>17.837606451612899</v>
      </c>
      <c r="CC26">
        <v>500.05212903225799</v>
      </c>
      <c r="CD26">
        <v>99.202283870967705</v>
      </c>
      <c r="CE26">
        <v>0.19997838709677401</v>
      </c>
      <c r="CF26">
        <v>26.464587096774199</v>
      </c>
      <c r="CG26">
        <v>27.112529032258099</v>
      </c>
      <c r="CH26">
        <v>999.9</v>
      </c>
      <c r="CI26">
        <v>10004.1329032258</v>
      </c>
      <c r="CJ26">
        <v>0</v>
      </c>
      <c r="CK26">
        <v>116.63880645161299</v>
      </c>
      <c r="CL26">
        <v>1999.9874193548401</v>
      </c>
      <c r="CM26">
        <v>0.98000019354838697</v>
      </c>
      <c r="CN26">
        <v>1.9999948387096799E-2</v>
      </c>
      <c r="CO26">
        <v>0</v>
      </c>
      <c r="CP26">
        <v>281.30722580645198</v>
      </c>
      <c r="CQ26">
        <v>5.00054</v>
      </c>
      <c r="CR26">
        <v>6995.5961290322603</v>
      </c>
      <c r="CS26">
        <v>18703.529032258099</v>
      </c>
      <c r="CT26">
        <v>49.162999999999997</v>
      </c>
      <c r="CU26">
        <v>50.374741935483897</v>
      </c>
      <c r="CV26">
        <v>49.570129032258002</v>
      </c>
      <c r="CW26">
        <v>49.455290322580602</v>
      </c>
      <c r="CX26">
        <v>50.554000000000002</v>
      </c>
      <c r="CY26">
        <v>1955.08741935484</v>
      </c>
      <c r="CZ26">
        <v>39.9</v>
      </c>
      <c r="DA26">
        <v>0</v>
      </c>
      <c r="DB26">
        <v>147.59999990463299</v>
      </c>
      <c r="DC26">
        <v>281.31192307692299</v>
      </c>
      <c r="DD26">
        <v>-1.47911112370256</v>
      </c>
      <c r="DE26">
        <v>-24.459829129167201</v>
      </c>
      <c r="DF26">
        <v>6995.5411538461503</v>
      </c>
      <c r="DG26">
        <v>15</v>
      </c>
      <c r="DH26">
        <v>1598196666.5</v>
      </c>
      <c r="DI26" t="s">
        <v>333</v>
      </c>
      <c r="DJ26">
        <v>10</v>
      </c>
      <c r="DK26">
        <v>-0.16300000000000001</v>
      </c>
      <c r="DL26">
        <v>0.13300000000000001</v>
      </c>
      <c r="DM26">
        <v>700</v>
      </c>
      <c r="DN26">
        <v>18</v>
      </c>
      <c r="DO26">
        <v>0.12</v>
      </c>
      <c r="DP26">
        <v>0.06</v>
      </c>
      <c r="DQ26">
        <v>682.288641509434</v>
      </c>
      <c r="DR26">
        <v>0.68894053148281598</v>
      </c>
      <c r="DS26">
        <v>9.4693167719824806E-2</v>
      </c>
      <c r="DT26">
        <v>0</v>
      </c>
      <c r="DU26">
        <v>19.332849056603798</v>
      </c>
      <c r="DV26">
        <v>-0.19400256296395799</v>
      </c>
      <c r="DW26">
        <v>2.4857933114654601E-2</v>
      </c>
      <c r="DX26">
        <v>1</v>
      </c>
      <c r="DY26">
        <v>1</v>
      </c>
      <c r="DZ26">
        <v>2</v>
      </c>
      <c r="EA26" t="s">
        <v>323</v>
      </c>
      <c r="EB26">
        <v>1.86676</v>
      </c>
      <c r="EC26">
        <v>1.8632500000000001</v>
      </c>
      <c r="ED26">
        <v>1.8689100000000001</v>
      </c>
      <c r="EE26">
        <v>1.86687</v>
      </c>
      <c r="EF26">
        <v>1.8714900000000001</v>
      </c>
      <c r="EG26">
        <v>1.8640000000000001</v>
      </c>
      <c r="EH26">
        <v>1.86565</v>
      </c>
      <c r="EI26">
        <v>1.86554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-0.16300000000000001</v>
      </c>
      <c r="EX26">
        <v>0.13300000000000001</v>
      </c>
      <c r="EY26">
        <v>2</v>
      </c>
      <c r="EZ26">
        <v>343.59500000000003</v>
      </c>
      <c r="FA26">
        <v>512.76199999999994</v>
      </c>
      <c r="FB26">
        <v>19.9238</v>
      </c>
      <c r="FC26">
        <v>31.939900000000002</v>
      </c>
      <c r="FD26">
        <v>30.000499999999999</v>
      </c>
      <c r="FE26">
        <v>31.930399999999999</v>
      </c>
      <c r="FF26">
        <v>31.930299999999999</v>
      </c>
      <c r="FG26">
        <v>34.344200000000001</v>
      </c>
      <c r="FH26">
        <v>36.066099999999999</v>
      </c>
      <c r="FI26">
        <v>25.5748</v>
      </c>
      <c r="FJ26">
        <v>19.882000000000001</v>
      </c>
      <c r="FK26">
        <v>700</v>
      </c>
      <c r="FL26">
        <v>17.7195</v>
      </c>
      <c r="FM26">
        <v>101.167</v>
      </c>
      <c r="FN26">
        <v>101.398</v>
      </c>
    </row>
    <row r="27" spans="1:170" x14ac:dyDescent="0.25">
      <c r="A27">
        <v>11</v>
      </c>
      <c r="B27">
        <v>1598196787.9000001</v>
      </c>
      <c r="C27">
        <v>1324.5</v>
      </c>
      <c r="D27" t="s">
        <v>334</v>
      </c>
      <c r="E27" t="s">
        <v>335</v>
      </c>
      <c r="G27">
        <v>1598196779.93871</v>
      </c>
      <c r="H27">
        <f t="shared" si="0"/>
        <v>3.4975809548657426E-3</v>
      </c>
      <c r="I27">
        <f t="shared" si="1"/>
        <v>42.837920936007912</v>
      </c>
      <c r="J27">
        <f t="shared" si="2"/>
        <v>781.76064516128997</v>
      </c>
      <c r="K27">
        <f t="shared" si="3"/>
        <v>423.76504492684074</v>
      </c>
      <c r="L27">
        <f t="shared" si="4"/>
        <v>42.122403270362753</v>
      </c>
      <c r="M27">
        <f t="shared" si="5"/>
        <v>77.707299246609224</v>
      </c>
      <c r="N27">
        <f t="shared" si="6"/>
        <v>0.20671155649912901</v>
      </c>
      <c r="O27">
        <f t="shared" si="7"/>
        <v>3.3789539573958121</v>
      </c>
      <c r="P27">
        <f t="shared" si="8"/>
        <v>0.19993441663980988</v>
      </c>
      <c r="Q27">
        <f t="shared" si="9"/>
        <v>0.12554939991916036</v>
      </c>
      <c r="R27">
        <f t="shared" si="10"/>
        <v>321.43750831623481</v>
      </c>
      <c r="S27">
        <f t="shared" si="11"/>
        <v>27.039729686383435</v>
      </c>
      <c r="T27">
        <f t="shared" si="12"/>
        <v>26.9571677419355</v>
      </c>
      <c r="U27">
        <f t="shared" si="13"/>
        <v>3.5701656792569776</v>
      </c>
      <c r="V27">
        <f t="shared" si="14"/>
        <v>55.106461107139879</v>
      </c>
      <c r="W27">
        <f t="shared" si="15"/>
        <v>1.8789536959642339</v>
      </c>
      <c r="X27">
        <f t="shared" si="16"/>
        <v>3.409679478983612</v>
      </c>
      <c r="Y27">
        <f t="shared" si="17"/>
        <v>1.6912119832927437</v>
      </c>
      <c r="Z27">
        <f t="shared" si="18"/>
        <v>-154.24332010957926</v>
      </c>
      <c r="AA27">
        <f t="shared" si="19"/>
        <v>-142.19420792298703</v>
      </c>
      <c r="AB27">
        <f t="shared" si="20"/>
        <v>-9.0425926855843404</v>
      </c>
      <c r="AC27">
        <f t="shared" si="21"/>
        <v>15.957387598084182</v>
      </c>
      <c r="AD27">
        <v>-4.1121950774757797E-2</v>
      </c>
      <c r="AE27">
        <v>4.6162992225411703E-2</v>
      </c>
      <c r="AF27">
        <v>3.4511157760440199</v>
      </c>
      <c r="AG27">
        <v>140</v>
      </c>
      <c r="AH27">
        <v>28</v>
      </c>
      <c r="AI27">
        <f t="shared" si="22"/>
        <v>1</v>
      </c>
      <c r="AJ27">
        <f t="shared" si="23"/>
        <v>0</v>
      </c>
      <c r="AK27">
        <f t="shared" si="24"/>
        <v>52582.042137215707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281.79957692307698</v>
      </c>
      <c r="AT27">
        <v>417.61099999999999</v>
      </c>
      <c r="AU27">
        <f t="shared" si="27"/>
        <v>0.32521035862782111</v>
      </c>
      <c r="AV27">
        <v>0.5</v>
      </c>
      <c r="AW27">
        <f t="shared" si="28"/>
        <v>1681.1845641929269</v>
      </c>
      <c r="AX27">
        <f t="shared" si="29"/>
        <v>42.837920936007912</v>
      </c>
      <c r="AY27">
        <f t="shared" si="30"/>
        <v>273.36931752036946</v>
      </c>
      <c r="AZ27">
        <f t="shared" si="31"/>
        <v>0.55379527838107712</v>
      </c>
      <c r="BA27">
        <f t="shared" si="32"/>
        <v>2.6075614700312715E-2</v>
      </c>
      <c r="BB27">
        <f t="shared" si="33"/>
        <v>-1</v>
      </c>
      <c r="BC27" t="s">
        <v>337</v>
      </c>
      <c r="BD27">
        <v>186.34</v>
      </c>
      <c r="BE27">
        <f t="shared" si="34"/>
        <v>231.27099999999999</v>
      </c>
      <c r="BF27">
        <f t="shared" si="35"/>
        <v>0.5872393126545179</v>
      </c>
      <c r="BG27">
        <f t="shared" si="36"/>
        <v>2.2411237522807768</v>
      </c>
      <c r="BH27">
        <f t="shared" si="37"/>
        <v>0.32521035862782111</v>
      </c>
      <c r="BI27" t="e">
        <f t="shared" si="38"/>
        <v>#DIV/0!</v>
      </c>
      <c r="BJ27">
        <v>6493</v>
      </c>
      <c r="BK27">
        <v>300</v>
      </c>
      <c r="BL27">
        <v>300</v>
      </c>
      <c r="BM27">
        <v>300</v>
      </c>
      <c r="BN27">
        <v>9864.7000000000007</v>
      </c>
      <c r="BO27">
        <v>379.91800000000001</v>
      </c>
      <c r="BP27">
        <v>-6.5608799999999998E-3</v>
      </c>
      <c r="BQ27">
        <v>1.5978399999999999</v>
      </c>
      <c r="BR27">
        <f t="shared" si="39"/>
        <v>1999.9851612903201</v>
      </c>
      <c r="BS27">
        <f t="shared" si="40"/>
        <v>1681.1845641929269</v>
      </c>
      <c r="BT27">
        <f t="shared" si="41"/>
        <v>0.84059851879515235</v>
      </c>
      <c r="BU27">
        <f t="shared" si="42"/>
        <v>0.19119703759030454</v>
      </c>
      <c r="BV27">
        <v>0.5</v>
      </c>
      <c r="BW27" t="s">
        <v>281</v>
      </c>
      <c r="BX27">
        <v>1598196779.93871</v>
      </c>
      <c r="BY27">
        <v>781.76064516128997</v>
      </c>
      <c r="BZ27">
        <v>799.98712903225805</v>
      </c>
      <c r="CA27">
        <v>18.902883870967699</v>
      </c>
      <c r="CB27">
        <v>17.530477419354799</v>
      </c>
      <c r="CC27">
        <v>500.06564516128998</v>
      </c>
      <c r="CD27">
        <v>99.200364516129</v>
      </c>
      <c r="CE27">
        <v>0.200007870967742</v>
      </c>
      <c r="CF27">
        <v>26.1765935483871</v>
      </c>
      <c r="CG27">
        <v>26.9571677419355</v>
      </c>
      <c r="CH27">
        <v>999.9</v>
      </c>
      <c r="CI27">
        <v>9996.6954838709698</v>
      </c>
      <c r="CJ27">
        <v>0</v>
      </c>
      <c r="CK27">
        <v>116.806161290323</v>
      </c>
      <c r="CL27">
        <v>1999.9851612903201</v>
      </c>
      <c r="CM27">
        <v>0.97999864516129098</v>
      </c>
      <c r="CN27">
        <v>2.0001374193548398E-2</v>
      </c>
      <c r="CO27">
        <v>0</v>
      </c>
      <c r="CP27">
        <v>281.83258064516099</v>
      </c>
      <c r="CQ27">
        <v>5.00054</v>
      </c>
      <c r="CR27">
        <v>7011.2845161290297</v>
      </c>
      <c r="CS27">
        <v>18703.4806451613</v>
      </c>
      <c r="CT27">
        <v>49.395000000000003</v>
      </c>
      <c r="CU27">
        <v>50.687129032257999</v>
      </c>
      <c r="CV27">
        <v>49.8241935483871</v>
      </c>
      <c r="CW27">
        <v>49.699322580645202</v>
      </c>
      <c r="CX27">
        <v>50.741870967741903</v>
      </c>
      <c r="CY27">
        <v>1955.08419354839</v>
      </c>
      <c r="CZ27">
        <v>39.900967741935503</v>
      </c>
      <c r="DA27">
        <v>0</v>
      </c>
      <c r="DB27">
        <v>143</v>
      </c>
      <c r="DC27">
        <v>281.79957692307698</v>
      </c>
      <c r="DD27">
        <v>-2.8299145409998001</v>
      </c>
      <c r="DE27">
        <v>-42.2188032587081</v>
      </c>
      <c r="DF27">
        <v>7011.2707692307704</v>
      </c>
      <c r="DG27">
        <v>15</v>
      </c>
      <c r="DH27">
        <v>1598196809.9000001</v>
      </c>
      <c r="DI27" t="s">
        <v>338</v>
      </c>
      <c r="DJ27">
        <v>11</v>
      </c>
      <c r="DK27">
        <v>-0.25800000000000001</v>
      </c>
      <c r="DL27">
        <v>0.129</v>
      </c>
      <c r="DM27">
        <v>800</v>
      </c>
      <c r="DN27">
        <v>18</v>
      </c>
      <c r="DO27">
        <v>0.09</v>
      </c>
      <c r="DP27">
        <v>0.06</v>
      </c>
      <c r="DQ27">
        <v>781.80681132075495</v>
      </c>
      <c r="DR27">
        <v>0.54665394486242502</v>
      </c>
      <c r="DS27">
        <v>7.0874605347479303E-2</v>
      </c>
      <c r="DT27">
        <v>0</v>
      </c>
      <c r="DU27">
        <v>18.893877358490599</v>
      </c>
      <c r="DV27">
        <v>0.132843971508465</v>
      </c>
      <c r="DW27">
        <v>1.7900033113803698E-2</v>
      </c>
      <c r="DX27">
        <v>1</v>
      </c>
      <c r="DY27">
        <v>1</v>
      </c>
      <c r="DZ27">
        <v>2</v>
      </c>
      <c r="EA27" t="s">
        <v>323</v>
      </c>
      <c r="EB27">
        <v>1.86676</v>
      </c>
      <c r="EC27">
        <v>1.8632500000000001</v>
      </c>
      <c r="ED27">
        <v>1.8690199999999999</v>
      </c>
      <c r="EE27">
        <v>1.8669100000000001</v>
      </c>
      <c r="EF27">
        <v>1.8715599999999999</v>
      </c>
      <c r="EG27">
        <v>1.8640099999999999</v>
      </c>
      <c r="EH27">
        <v>1.8656900000000001</v>
      </c>
      <c r="EI27">
        <v>1.8655600000000001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-0.25800000000000001</v>
      </c>
      <c r="EX27">
        <v>0.129</v>
      </c>
      <c r="EY27">
        <v>2</v>
      </c>
      <c r="EZ27">
        <v>342.23899999999998</v>
      </c>
      <c r="FA27">
        <v>510.68900000000002</v>
      </c>
      <c r="FB27">
        <v>20.535</v>
      </c>
      <c r="FC27">
        <v>32.035299999999999</v>
      </c>
      <c r="FD27">
        <v>30</v>
      </c>
      <c r="FE27">
        <v>32.021900000000002</v>
      </c>
      <c r="FF27">
        <v>32.0214</v>
      </c>
      <c r="FG27">
        <v>38.277700000000003</v>
      </c>
      <c r="FH27">
        <v>36.744999999999997</v>
      </c>
      <c r="FI27">
        <v>20.976600000000001</v>
      </c>
      <c r="FJ27">
        <v>20.544899999999998</v>
      </c>
      <c r="FK27">
        <v>800</v>
      </c>
      <c r="FL27">
        <v>17.5624</v>
      </c>
      <c r="FM27">
        <v>101.151</v>
      </c>
      <c r="FN27">
        <v>101.393</v>
      </c>
    </row>
    <row r="28" spans="1:170" x14ac:dyDescent="0.25">
      <c r="A28">
        <v>12</v>
      </c>
      <c r="B28">
        <v>1598196931.5</v>
      </c>
      <c r="C28">
        <v>1468.0999999046301</v>
      </c>
      <c r="D28" t="s">
        <v>339</v>
      </c>
      <c r="E28" t="s">
        <v>340</v>
      </c>
      <c r="G28">
        <v>1598196923.5</v>
      </c>
      <c r="H28">
        <f t="shared" si="0"/>
        <v>3.263801686186724E-3</v>
      </c>
      <c r="I28">
        <f t="shared" si="1"/>
        <v>47.163444464058536</v>
      </c>
      <c r="J28">
        <f t="shared" si="2"/>
        <v>979.84909677419398</v>
      </c>
      <c r="K28">
        <f t="shared" si="3"/>
        <v>561.19812959337969</v>
      </c>
      <c r="L28">
        <f t="shared" si="4"/>
        <v>55.785462916990106</v>
      </c>
      <c r="M28">
        <f t="shared" si="5"/>
        <v>97.401136194000387</v>
      </c>
      <c r="N28">
        <f t="shared" si="6"/>
        <v>0.19506797255453978</v>
      </c>
      <c r="O28">
        <f t="shared" si="7"/>
        <v>3.3758216985607534</v>
      </c>
      <c r="P28">
        <f t="shared" si="8"/>
        <v>0.18901536798563739</v>
      </c>
      <c r="Q28">
        <f t="shared" si="9"/>
        <v>0.11866276355826152</v>
      </c>
      <c r="R28">
        <f t="shared" si="10"/>
        <v>321.44064594210016</v>
      </c>
      <c r="S28">
        <f t="shared" si="11"/>
        <v>27.152597868595947</v>
      </c>
      <c r="T28">
        <f t="shared" si="12"/>
        <v>26.897083870967698</v>
      </c>
      <c r="U28">
        <f t="shared" si="13"/>
        <v>3.557582384988637</v>
      </c>
      <c r="V28">
        <f t="shared" si="14"/>
        <v>55.183867296052782</v>
      </c>
      <c r="W28">
        <f t="shared" si="15"/>
        <v>1.8881479060422119</v>
      </c>
      <c r="X28">
        <f t="shared" si="16"/>
        <v>3.4215577823000243</v>
      </c>
      <c r="Y28">
        <f t="shared" si="17"/>
        <v>1.669434478946425</v>
      </c>
      <c r="Z28">
        <f t="shared" si="18"/>
        <v>-143.93365436083454</v>
      </c>
      <c r="AA28">
        <f t="shared" si="19"/>
        <v>-120.41469708406493</v>
      </c>
      <c r="AB28">
        <f t="shared" si="20"/>
        <v>-7.6646171660639073</v>
      </c>
      <c r="AC28">
        <f t="shared" si="21"/>
        <v>49.427677331136778</v>
      </c>
      <c r="AD28">
        <v>-4.1073540569193899E-2</v>
      </c>
      <c r="AE28">
        <v>4.6108647528699302E-2</v>
      </c>
      <c r="AF28">
        <v>3.4478985657801302</v>
      </c>
      <c r="AG28">
        <v>142</v>
      </c>
      <c r="AH28">
        <v>28</v>
      </c>
      <c r="AI28">
        <f t="shared" si="22"/>
        <v>1</v>
      </c>
      <c r="AJ28">
        <f t="shared" si="23"/>
        <v>0</v>
      </c>
      <c r="AK28">
        <f t="shared" si="24"/>
        <v>52512.406812805675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283.12215384615399</v>
      </c>
      <c r="AT28">
        <v>424.57299999999998</v>
      </c>
      <c r="AU28">
        <f t="shared" si="27"/>
        <v>0.33316024842334768</v>
      </c>
      <c r="AV28">
        <v>0.5</v>
      </c>
      <c r="AW28">
        <f t="shared" si="28"/>
        <v>1681.2013351606797</v>
      </c>
      <c r="AX28">
        <f t="shared" si="29"/>
        <v>47.163444464058536</v>
      </c>
      <c r="AY28">
        <f t="shared" si="30"/>
        <v>280.05472723589793</v>
      </c>
      <c r="AZ28">
        <f t="shared" si="31"/>
        <v>0.56374993228490744</v>
      </c>
      <c r="BA28">
        <f t="shared" si="32"/>
        <v>2.8648231152787744E-2</v>
      </c>
      <c r="BB28">
        <f t="shared" si="33"/>
        <v>-1</v>
      </c>
      <c r="BC28" t="s">
        <v>342</v>
      </c>
      <c r="BD28">
        <v>185.22</v>
      </c>
      <c r="BE28">
        <f t="shared" si="34"/>
        <v>239.35299999999998</v>
      </c>
      <c r="BF28">
        <f t="shared" si="35"/>
        <v>0.59097168681339274</v>
      </c>
      <c r="BG28">
        <f t="shared" si="36"/>
        <v>2.2922632545081525</v>
      </c>
      <c r="BH28">
        <f t="shared" si="37"/>
        <v>0.33316024842334768</v>
      </c>
      <c r="BI28" t="e">
        <f t="shared" si="38"/>
        <v>#DIV/0!</v>
      </c>
      <c r="BJ28">
        <v>6495</v>
      </c>
      <c r="BK28">
        <v>300</v>
      </c>
      <c r="BL28">
        <v>300</v>
      </c>
      <c r="BM28">
        <v>300</v>
      </c>
      <c r="BN28">
        <v>9864</v>
      </c>
      <c r="BO28">
        <v>387.24200000000002</v>
      </c>
      <c r="BP28">
        <v>-6.5602999999999998E-3</v>
      </c>
      <c r="BQ28">
        <v>2.3529399999999998</v>
      </c>
      <c r="BR28">
        <f t="shared" si="39"/>
        <v>2000.0051612903201</v>
      </c>
      <c r="BS28">
        <f t="shared" si="40"/>
        <v>1681.2013351606797</v>
      </c>
      <c r="BT28">
        <f t="shared" si="41"/>
        <v>0.84059849829389366</v>
      </c>
      <c r="BU28">
        <f t="shared" si="42"/>
        <v>0.19119699658778744</v>
      </c>
      <c r="BV28">
        <v>0.5</v>
      </c>
      <c r="BW28" t="s">
        <v>281</v>
      </c>
      <c r="BX28">
        <v>1598196923.5</v>
      </c>
      <c r="BY28">
        <v>979.84909677419398</v>
      </c>
      <c r="BZ28">
        <v>999.99074193548404</v>
      </c>
      <c r="CA28">
        <v>18.9946451612903</v>
      </c>
      <c r="CB28">
        <v>17.714109677419401</v>
      </c>
      <c r="CC28">
        <v>500.07312903225801</v>
      </c>
      <c r="CD28">
        <v>99.204219354838699</v>
      </c>
      <c r="CE28">
        <v>0.20000167741935501</v>
      </c>
      <c r="CF28">
        <v>26.2354548387097</v>
      </c>
      <c r="CG28">
        <v>26.897083870967698</v>
      </c>
      <c r="CH28">
        <v>999.9</v>
      </c>
      <c r="CI28">
        <v>9984.5390322580606</v>
      </c>
      <c r="CJ28">
        <v>0</v>
      </c>
      <c r="CK28">
        <v>120.623225806452</v>
      </c>
      <c r="CL28">
        <v>2000.0051612903201</v>
      </c>
      <c r="CM28">
        <v>0.98000019354838697</v>
      </c>
      <c r="CN28">
        <v>1.9999948387096799E-2</v>
      </c>
      <c r="CO28">
        <v>0</v>
      </c>
      <c r="CP28">
        <v>283.145451612903</v>
      </c>
      <c r="CQ28">
        <v>5.00054</v>
      </c>
      <c r="CR28">
        <v>7068.9270967741904</v>
      </c>
      <c r="CS28">
        <v>18703.674193548399</v>
      </c>
      <c r="CT28">
        <v>49.582387096774198</v>
      </c>
      <c r="CU28">
        <v>50.912967741935503</v>
      </c>
      <c r="CV28">
        <v>50.052</v>
      </c>
      <c r="CW28">
        <v>49.917000000000002</v>
      </c>
      <c r="CX28">
        <v>50.918999999999997</v>
      </c>
      <c r="CY28">
        <v>1955.10516129032</v>
      </c>
      <c r="CZ28">
        <v>39.9</v>
      </c>
      <c r="DA28">
        <v>0</v>
      </c>
      <c r="DB28">
        <v>142.90000009536701</v>
      </c>
      <c r="DC28">
        <v>283.12215384615399</v>
      </c>
      <c r="DD28">
        <v>-1.18208547001116</v>
      </c>
      <c r="DE28">
        <v>-40.651965803475498</v>
      </c>
      <c r="DF28">
        <v>7068.6788461538499</v>
      </c>
      <c r="DG28">
        <v>15</v>
      </c>
      <c r="DH28">
        <v>1598196958</v>
      </c>
      <c r="DI28" t="s">
        <v>343</v>
      </c>
      <c r="DJ28">
        <v>12</v>
      </c>
      <c r="DK28">
        <v>8.8999999999999996E-2</v>
      </c>
      <c r="DL28">
        <v>0.13100000000000001</v>
      </c>
      <c r="DM28">
        <v>1000</v>
      </c>
      <c r="DN28">
        <v>18</v>
      </c>
      <c r="DO28">
        <v>0.2</v>
      </c>
      <c r="DP28">
        <v>7.0000000000000007E-2</v>
      </c>
      <c r="DQ28">
        <v>979.46183018867896</v>
      </c>
      <c r="DR28">
        <v>0.45603289791961998</v>
      </c>
      <c r="DS28">
        <v>6.2156751283775603E-2</v>
      </c>
      <c r="DT28">
        <v>0</v>
      </c>
      <c r="DU28">
        <v>18.983315094339599</v>
      </c>
      <c r="DV28">
        <v>0.101087566521531</v>
      </c>
      <c r="DW28">
        <v>1.35272666112647E-2</v>
      </c>
      <c r="DX28">
        <v>1</v>
      </c>
      <c r="DY28">
        <v>1</v>
      </c>
      <c r="DZ28">
        <v>2</v>
      </c>
      <c r="EA28" t="s">
        <v>323</v>
      </c>
      <c r="EB28">
        <v>1.8667899999999999</v>
      </c>
      <c r="EC28">
        <v>1.8633299999999999</v>
      </c>
      <c r="ED28">
        <v>1.869</v>
      </c>
      <c r="EE28">
        <v>1.8669100000000001</v>
      </c>
      <c r="EF28">
        <v>1.8715900000000001</v>
      </c>
      <c r="EG28">
        <v>1.86402</v>
      </c>
      <c r="EH28">
        <v>1.8656900000000001</v>
      </c>
      <c r="EI28">
        <v>1.86558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8.8999999999999996E-2</v>
      </c>
      <c r="EX28">
        <v>0.13100000000000001</v>
      </c>
      <c r="EY28">
        <v>2</v>
      </c>
      <c r="EZ28">
        <v>340.09699999999998</v>
      </c>
      <c r="FA28">
        <v>509.11399999999998</v>
      </c>
      <c r="FB28">
        <v>21.3855</v>
      </c>
      <c r="FC28">
        <v>32.140099999999997</v>
      </c>
      <c r="FD28">
        <v>30.0002</v>
      </c>
      <c r="FE28">
        <v>32.1248</v>
      </c>
      <c r="FF28">
        <v>32.123399999999997</v>
      </c>
      <c r="FG28">
        <v>45.869100000000003</v>
      </c>
      <c r="FH28">
        <v>35.978000000000002</v>
      </c>
      <c r="FI28">
        <v>17.1907</v>
      </c>
      <c r="FJ28">
        <v>21.3964</v>
      </c>
      <c r="FK28">
        <v>1000</v>
      </c>
      <c r="FL28">
        <v>17.650500000000001</v>
      </c>
      <c r="FM28">
        <v>101.13</v>
      </c>
      <c r="FN28">
        <v>101.371</v>
      </c>
    </row>
    <row r="29" spans="1:170" x14ac:dyDescent="0.25">
      <c r="A29">
        <v>13</v>
      </c>
      <c r="B29">
        <v>1598197058</v>
      </c>
      <c r="C29">
        <v>1594.5999999046301</v>
      </c>
      <c r="D29" t="s">
        <v>344</v>
      </c>
      <c r="E29" t="s">
        <v>345</v>
      </c>
      <c r="G29">
        <v>1598197050</v>
      </c>
      <c r="H29">
        <f t="shared" si="0"/>
        <v>2.8619839204292686E-3</v>
      </c>
      <c r="I29">
        <f t="shared" si="1"/>
        <v>50.48011725347488</v>
      </c>
      <c r="J29">
        <f t="shared" si="2"/>
        <v>1178.3894193548399</v>
      </c>
      <c r="K29">
        <f t="shared" si="3"/>
        <v>662.69805119560147</v>
      </c>
      <c r="L29">
        <f t="shared" si="4"/>
        <v>65.875825741030525</v>
      </c>
      <c r="M29">
        <f t="shared" si="5"/>
        <v>117.13837984651194</v>
      </c>
      <c r="N29">
        <f t="shared" si="6"/>
        <v>0.16870244174064258</v>
      </c>
      <c r="O29">
        <f t="shared" si="7"/>
        <v>3.3785111812093054</v>
      </c>
      <c r="P29">
        <f t="shared" si="8"/>
        <v>0.16415839615469099</v>
      </c>
      <c r="Q29">
        <f t="shared" si="9"/>
        <v>0.10299706743488357</v>
      </c>
      <c r="R29">
        <f t="shared" si="10"/>
        <v>321.43977072022039</v>
      </c>
      <c r="S29">
        <f t="shared" si="11"/>
        <v>27.373013386158327</v>
      </c>
      <c r="T29">
        <f t="shared" si="12"/>
        <v>27.023958064516101</v>
      </c>
      <c r="U29">
        <f t="shared" si="13"/>
        <v>3.5841990813154538</v>
      </c>
      <c r="V29">
        <f t="shared" si="14"/>
        <v>55.075720135915361</v>
      </c>
      <c r="W29">
        <f t="shared" si="15"/>
        <v>1.8989328499990277</v>
      </c>
      <c r="X29">
        <f t="shared" si="16"/>
        <v>3.4478584125869958</v>
      </c>
      <c r="Y29">
        <f t="shared" si="17"/>
        <v>1.6852662313164262</v>
      </c>
      <c r="Z29">
        <f t="shared" si="18"/>
        <v>-126.21349089093074</v>
      </c>
      <c r="AA29">
        <f t="shared" si="19"/>
        <v>-119.9965189267122</v>
      </c>
      <c r="AB29">
        <f t="shared" si="20"/>
        <v>-7.6417280164618822</v>
      </c>
      <c r="AC29">
        <f t="shared" si="21"/>
        <v>67.588032886115585</v>
      </c>
      <c r="AD29">
        <v>-4.1115106287883903E-2</v>
      </c>
      <c r="AE29">
        <v>4.6155308689285697E-2</v>
      </c>
      <c r="AF29">
        <v>3.4506609889822699</v>
      </c>
      <c r="AG29">
        <v>140</v>
      </c>
      <c r="AH29">
        <v>28</v>
      </c>
      <c r="AI29">
        <f t="shared" si="22"/>
        <v>1</v>
      </c>
      <c r="AJ29">
        <f t="shared" si="23"/>
        <v>0</v>
      </c>
      <c r="AK29">
        <f t="shared" si="24"/>
        <v>52540.643808503708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283.16338461538498</v>
      </c>
      <c r="AT29">
        <v>428.26299999999998</v>
      </c>
      <c r="AU29">
        <f t="shared" si="27"/>
        <v>0.33880959920566334</v>
      </c>
      <c r="AV29">
        <v>0.5</v>
      </c>
      <c r="AW29">
        <f t="shared" si="28"/>
        <v>1681.196728709064</v>
      </c>
      <c r="AX29">
        <f t="shared" si="29"/>
        <v>50.48011725347488</v>
      </c>
      <c r="AY29">
        <f t="shared" si="30"/>
        <v>284.80279491989512</v>
      </c>
      <c r="AZ29">
        <f t="shared" si="31"/>
        <v>0.56890975872302763</v>
      </c>
      <c r="BA29">
        <f t="shared" si="32"/>
        <v>3.0621114337407006E-2</v>
      </c>
      <c r="BB29">
        <f t="shared" si="33"/>
        <v>-1</v>
      </c>
      <c r="BC29" t="s">
        <v>347</v>
      </c>
      <c r="BD29">
        <v>184.62</v>
      </c>
      <c r="BE29">
        <f t="shared" si="34"/>
        <v>243.64299999999997</v>
      </c>
      <c r="BF29">
        <f t="shared" si="35"/>
        <v>0.5955419009970121</v>
      </c>
      <c r="BG29">
        <f t="shared" si="36"/>
        <v>2.3196999241685621</v>
      </c>
      <c r="BH29">
        <f t="shared" si="37"/>
        <v>0.33880959920566334</v>
      </c>
      <c r="BI29" t="e">
        <f t="shared" si="38"/>
        <v>#DIV/0!</v>
      </c>
      <c r="BJ29">
        <v>6497</v>
      </c>
      <c r="BK29">
        <v>300</v>
      </c>
      <c r="BL29">
        <v>300</v>
      </c>
      <c r="BM29">
        <v>300</v>
      </c>
      <c r="BN29">
        <v>9862.9</v>
      </c>
      <c r="BO29">
        <v>388.67599999999999</v>
      </c>
      <c r="BP29">
        <v>-6.5595000000000002E-3</v>
      </c>
      <c r="BQ29">
        <v>1.8262</v>
      </c>
      <c r="BR29">
        <f t="shared" si="39"/>
        <v>1999.9996774193501</v>
      </c>
      <c r="BS29">
        <f t="shared" si="40"/>
        <v>1681.196728709064</v>
      </c>
      <c r="BT29">
        <f t="shared" si="41"/>
        <v>0.84059849993493718</v>
      </c>
      <c r="BU29">
        <f t="shared" si="42"/>
        <v>0.19119699986987451</v>
      </c>
      <c r="BV29">
        <v>0.5</v>
      </c>
      <c r="BW29" t="s">
        <v>281</v>
      </c>
      <c r="BX29">
        <v>1598197050</v>
      </c>
      <c r="BY29">
        <v>1178.3894193548399</v>
      </c>
      <c r="BZ29">
        <v>1199.92709677419</v>
      </c>
      <c r="CA29">
        <v>19.1028967741935</v>
      </c>
      <c r="CB29">
        <v>17.980148387096801</v>
      </c>
      <c r="CC29">
        <v>500.07851612903198</v>
      </c>
      <c r="CD29">
        <v>99.205500000000001</v>
      </c>
      <c r="CE29">
        <v>0.19999187096774201</v>
      </c>
      <c r="CF29">
        <v>26.365151612903201</v>
      </c>
      <c r="CG29">
        <v>27.023958064516101</v>
      </c>
      <c r="CH29">
        <v>999.9</v>
      </c>
      <c r="CI29">
        <v>9994.5141935483898</v>
      </c>
      <c r="CJ29">
        <v>0</v>
      </c>
      <c r="CK29">
        <v>121.25235483871</v>
      </c>
      <c r="CL29">
        <v>1999.9996774193501</v>
      </c>
      <c r="CM29">
        <v>0.98000200000000004</v>
      </c>
      <c r="CN29">
        <v>1.9997600000000001E-2</v>
      </c>
      <c r="CO29">
        <v>0</v>
      </c>
      <c r="CP29">
        <v>283.18838709677402</v>
      </c>
      <c r="CQ29">
        <v>5.00054</v>
      </c>
      <c r="CR29">
        <v>7068.9248387096804</v>
      </c>
      <c r="CS29">
        <v>18703.632258064499</v>
      </c>
      <c r="CT29">
        <v>49.695193548387103</v>
      </c>
      <c r="CU29">
        <v>51.04</v>
      </c>
      <c r="CV29">
        <v>50.177</v>
      </c>
      <c r="CW29">
        <v>50.02</v>
      </c>
      <c r="CX29">
        <v>51.031999999999996</v>
      </c>
      <c r="CY29">
        <v>1955.09967741935</v>
      </c>
      <c r="CZ29">
        <v>39.9</v>
      </c>
      <c r="DA29">
        <v>0</v>
      </c>
      <c r="DB29">
        <v>126.200000047684</v>
      </c>
      <c r="DC29">
        <v>283.16338461538498</v>
      </c>
      <c r="DD29">
        <v>-1.9386666566358399</v>
      </c>
      <c r="DE29">
        <v>-25.5353846616152</v>
      </c>
      <c r="DF29">
        <v>7068.6326923076904</v>
      </c>
      <c r="DG29">
        <v>15</v>
      </c>
      <c r="DH29">
        <v>1598197088.5</v>
      </c>
      <c r="DI29" t="s">
        <v>348</v>
      </c>
      <c r="DJ29">
        <v>13</v>
      </c>
      <c r="DK29">
        <v>0.121</v>
      </c>
      <c r="DL29">
        <v>0.13800000000000001</v>
      </c>
      <c r="DM29">
        <v>1200</v>
      </c>
      <c r="DN29">
        <v>18</v>
      </c>
      <c r="DO29">
        <v>0.08</v>
      </c>
      <c r="DP29">
        <v>0.08</v>
      </c>
      <c r="DQ29">
        <v>1178.3292452830201</v>
      </c>
      <c r="DR29">
        <v>0.26057087566506199</v>
      </c>
      <c r="DS29">
        <v>4.6575119141386803E-2</v>
      </c>
      <c r="DT29">
        <v>1</v>
      </c>
      <c r="DU29">
        <v>19.0994547169811</v>
      </c>
      <c r="DV29">
        <v>-3.44770198355153E-2</v>
      </c>
      <c r="DW29">
        <v>4.6414687833778896E-3</v>
      </c>
      <c r="DX29">
        <v>1</v>
      </c>
      <c r="DY29">
        <v>2</v>
      </c>
      <c r="DZ29">
        <v>2</v>
      </c>
      <c r="EA29" t="s">
        <v>283</v>
      </c>
      <c r="EB29">
        <v>1.86677</v>
      </c>
      <c r="EC29">
        <v>1.8632899999999999</v>
      </c>
      <c r="ED29">
        <v>1.8690100000000001</v>
      </c>
      <c r="EE29">
        <v>1.8669100000000001</v>
      </c>
      <c r="EF29">
        <v>1.87158</v>
      </c>
      <c r="EG29">
        <v>1.8640300000000001</v>
      </c>
      <c r="EH29">
        <v>1.8656900000000001</v>
      </c>
      <c r="EI29">
        <v>1.86555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0.121</v>
      </c>
      <c r="EX29">
        <v>0.13800000000000001</v>
      </c>
      <c r="EY29">
        <v>2</v>
      </c>
      <c r="EZ29">
        <v>342.71</v>
      </c>
      <c r="FA29">
        <v>508.84500000000003</v>
      </c>
      <c r="FB29">
        <v>20.753299999999999</v>
      </c>
      <c r="FC29">
        <v>32.182600000000001</v>
      </c>
      <c r="FD29">
        <v>30.0001</v>
      </c>
      <c r="FE29">
        <v>32.188299999999998</v>
      </c>
      <c r="FF29">
        <v>32.1892</v>
      </c>
      <c r="FG29">
        <v>53.150799999999997</v>
      </c>
      <c r="FH29">
        <v>35.171799999999998</v>
      </c>
      <c r="FI29">
        <v>14.147500000000001</v>
      </c>
      <c r="FJ29">
        <v>20.742599999999999</v>
      </c>
      <c r="FK29">
        <v>1200</v>
      </c>
      <c r="FL29">
        <v>17.9725</v>
      </c>
      <c r="FM29">
        <v>101.116</v>
      </c>
      <c r="FN29">
        <v>101.366</v>
      </c>
    </row>
    <row r="30" spans="1:170" x14ac:dyDescent="0.25">
      <c r="A30">
        <v>14</v>
      </c>
      <c r="B30">
        <v>1598197210</v>
      </c>
      <c r="C30">
        <v>1746.5999999046301</v>
      </c>
      <c r="D30" t="s">
        <v>349</v>
      </c>
      <c r="E30" t="s">
        <v>350</v>
      </c>
      <c r="G30">
        <v>1598197202</v>
      </c>
      <c r="H30">
        <f t="shared" si="0"/>
        <v>2.9758065925358356E-3</v>
      </c>
      <c r="I30">
        <f t="shared" si="1"/>
        <v>52.714978758389087</v>
      </c>
      <c r="J30">
        <f t="shared" si="2"/>
        <v>1577.0989999999999</v>
      </c>
      <c r="K30">
        <f t="shared" si="3"/>
        <v>1059.1250792960871</v>
      </c>
      <c r="L30">
        <f t="shared" si="4"/>
        <v>105.284095674705</v>
      </c>
      <c r="M30">
        <f t="shared" si="5"/>
        <v>156.77415751011856</v>
      </c>
      <c r="N30">
        <f t="shared" si="6"/>
        <v>0.17935123015663762</v>
      </c>
      <c r="O30">
        <f t="shared" si="7"/>
        <v>3.3851670778439531</v>
      </c>
      <c r="P30">
        <f t="shared" si="8"/>
        <v>0.17423457881937099</v>
      </c>
      <c r="Q30">
        <f t="shared" si="9"/>
        <v>0.10934416385038423</v>
      </c>
      <c r="R30">
        <f t="shared" si="10"/>
        <v>321.44249935313974</v>
      </c>
      <c r="S30">
        <f t="shared" si="11"/>
        <v>26.875534009134959</v>
      </c>
      <c r="T30">
        <f t="shared" si="12"/>
        <v>26.769438709677399</v>
      </c>
      <c r="U30">
        <f t="shared" si="13"/>
        <v>3.5309782380211057</v>
      </c>
      <c r="V30">
        <f t="shared" si="14"/>
        <v>56.044573296341461</v>
      </c>
      <c r="W30">
        <f t="shared" si="15"/>
        <v>1.8793834369659581</v>
      </c>
      <c r="X30">
        <f t="shared" si="16"/>
        <v>3.3533727289322455</v>
      </c>
      <c r="Y30">
        <f t="shared" si="17"/>
        <v>1.6515948010551476</v>
      </c>
      <c r="Z30">
        <f t="shared" si="18"/>
        <v>-131.23307073083035</v>
      </c>
      <c r="AA30">
        <f t="shared" si="19"/>
        <v>-159.56544548039568</v>
      </c>
      <c r="AB30">
        <f t="shared" si="20"/>
        <v>-10.10488830699809</v>
      </c>
      <c r="AC30">
        <f t="shared" si="21"/>
        <v>20.53909483491563</v>
      </c>
      <c r="AD30">
        <v>-4.1218036313362003E-2</v>
      </c>
      <c r="AE30">
        <v>4.6270856660050402E-2</v>
      </c>
      <c r="AF30">
        <v>3.4574975097773</v>
      </c>
      <c r="AG30">
        <v>141</v>
      </c>
      <c r="AH30">
        <v>28</v>
      </c>
      <c r="AI30">
        <f t="shared" si="22"/>
        <v>1</v>
      </c>
      <c r="AJ30">
        <f t="shared" si="23"/>
        <v>0</v>
      </c>
      <c r="AK30">
        <f t="shared" si="24"/>
        <v>52749.621739951101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282.34642307692297</v>
      </c>
      <c r="AT30">
        <v>417.07299999999998</v>
      </c>
      <c r="AU30">
        <f t="shared" si="27"/>
        <v>0.32302876696184368</v>
      </c>
      <c r="AV30">
        <v>0.5</v>
      </c>
      <c r="AW30">
        <f t="shared" si="28"/>
        <v>1681.2110899993945</v>
      </c>
      <c r="AX30">
        <f t="shared" si="29"/>
        <v>52.714978758389087</v>
      </c>
      <c r="AY30">
        <f t="shared" si="30"/>
        <v>271.5397727025408</v>
      </c>
      <c r="AZ30">
        <f t="shared" si="31"/>
        <v>0.56904426802981722</v>
      </c>
      <c r="BA30">
        <f t="shared" si="32"/>
        <v>3.1950169183340586E-2</v>
      </c>
      <c r="BB30">
        <f t="shared" si="33"/>
        <v>-1</v>
      </c>
      <c r="BC30" t="s">
        <v>352</v>
      </c>
      <c r="BD30">
        <v>179.74</v>
      </c>
      <c r="BE30">
        <f t="shared" si="34"/>
        <v>237.33299999999997</v>
      </c>
      <c r="BF30">
        <f t="shared" si="35"/>
        <v>0.56766895848060328</v>
      </c>
      <c r="BG30">
        <f t="shared" si="36"/>
        <v>2.3204239456993432</v>
      </c>
      <c r="BH30">
        <f t="shared" si="37"/>
        <v>0.32302876696184363</v>
      </c>
      <c r="BI30" t="e">
        <f t="shared" si="38"/>
        <v>#DIV/0!</v>
      </c>
      <c r="BJ30">
        <v>6499</v>
      </c>
      <c r="BK30">
        <v>300</v>
      </c>
      <c r="BL30">
        <v>300</v>
      </c>
      <c r="BM30">
        <v>300</v>
      </c>
      <c r="BN30">
        <v>9863.4699999999993</v>
      </c>
      <c r="BO30">
        <v>380.762</v>
      </c>
      <c r="BP30">
        <v>-6.55983E-3</v>
      </c>
      <c r="BQ30">
        <v>2.0263399999999998</v>
      </c>
      <c r="BR30">
        <f t="shared" si="39"/>
        <v>2000.01677419355</v>
      </c>
      <c r="BS30">
        <f t="shared" si="40"/>
        <v>1681.2110899993945</v>
      </c>
      <c r="BT30">
        <f t="shared" si="41"/>
        <v>0.84059849481877236</v>
      </c>
      <c r="BU30">
        <f t="shared" si="42"/>
        <v>0.19119698963754486</v>
      </c>
      <c r="BV30">
        <v>0.5</v>
      </c>
      <c r="BW30" t="s">
        <v>281</v>
      </c>
      <c r="BX30">
        <v>1598197202</v>
      </c>
      <c r="BY30">
        <v>1577.0989999999999</v>
      </c>
      <c r="BZ30">
        <v>1600.0590322580599</v>
      </c>
      <c r="CA30">
        <v>18.906009677419402</v>
      </c>
      <c r="CB30">
        <v>17.7383548387097</v>
      </c>
      <c r="CC30">
        <v>500.07003225806397</v>
      </c>
      <c r="CD30">
        <v>99.206693548387094</v>
      </c>
      <c r="CE30">
        <v>0.19997496774193499</v>
      </c>
      <c r="CF30">
        <v>25.895112903225801</v>
      </c>
      <c r="CG30">
        <v>26.769438709677399</v>
      </c>
      <c r="CH30">
        <v>999.9</v>
      </c>
      <c r="CI30">
        <v>10019.414516129</v>
      </c>
      <c r="CJ30">
        <v>0</v>
      </c>
      <c r="CK30">
        <v>124.844741935484</v>
      </c>
      <c r="CL30">
        <v>2000.01677419355</v>
      </c>
      <c r="CM30">
        <v>0.980001096774193</v>
      </c>
      <c r="CN30">
        <v>1.99987741935484E-2</v>
      </c>
      <c r="CO30">
        <v>0</v>
      </c>
      <c r="CP30">
        <v>282.37887096774199</v>
      </c>
      <c r="CQ30">
        <v>5.00054</v>
      </c>
      <c r="CR30">
        <v>7067.6012903225801</v>
      </c>
      <c r="CS30">
        <v>18703.8</v>
      </c>
      <c r="CT30">
        <v>49.866741935483901</v>
      </c>
      <c r="CU30">
        <v>51.213419354838699</v>
      </c>
      <c r="CV30">
        <v>50.342483870967698</v>
      </c>
      <c r="CW30">
        <v>50.162999999999997</v>
      </c>
      <c r="CX30">
        <v>51.143000000000001</v>
      </c>
      <c r="CY30">
        <v>1955.1167741935501</v>
      </c>
      <c r="CZ30">
        <v>39.9</v>
      </c>
      <c r="DA30">
        <v>0</v>
      </c>
      <c r="DB30">
        <v>151.5</v>
      </c>
      <c r="DC30">
        <v>282.34642307692297</v>
      </c>
      <c r="DD30">
        <v>-2.9144957321947902</v>
      </c>
      <c r="DE30">
        <v>-48.702905803517702</v>
      </c>
      <c r="DF30">
        <v>7067.22</v>
      </c>
      <c r="DG30">
        <v>15</v>
      </c>
      <c r="DH30">
        <v>1598197234</v>
      </c>
      <c r="DI30" t="s">
        <v>353</v>
      </c>
      <c r="DJ30">
        <v>14</v>
      </c>
      <c r="DK30">
        <v>0</v>
      </c>
      <c r="DL30">
        <v>0.126</v>
      </c>
      <c r="DM30">
        <v>1600</v>
      </c>
      <c r="DN30">
        <v>17</v>
      </c>
      <c r="DO30">
        <v>0.08</v>
      </c>
      <c r="DP30">
        <v>7.0000000000000007E-2</v>
      </c>
      <c r="DQ30">
        <v>1577.19433962264</v>
      </c>
      <c r="DR30">
        <v>6.5312046444241906E-2</v>
      </c>
      <c r="DS30">
        <v>0.106123982919978</v>
      </c>
      <c r="DT30">
        <v>1</v>
      </c>
      <c r="DU30">
        <v>18.894173584905701</v>
      </c>
      <c r="DV30">
        <v>0.249511369134017</v>
      </c>
      <c r="DW30">
        <v>3.9276005210072802E-2</v>
      </c>
      <c r="DX30">
        <v>0</v>
      </c>
      <c r="DY30">
        <v>1</v>
      </c>
      <c r="DZ30">
        <v>2</v>
      </c>
      <c r="EA30" t="s">
        <v>323</v>
      </c>
      <c r="EB30">
        <v>1.86676</v>
      </c>
      <c r="EC30">
        <v>1.86334</v>
      </c>
      <c r="ED30">
        <v>1.8689499999999999</v>
      </c>
      <c r="EE30">
        <v>1.8669100000000001</v>
      </c>
      <c r="EF30">
        <v>1.87158</v>
      </c>
      <c r="EG30">
        <v>1.8640399999999999</v>
      </c>
      <c r="EH30">
        <v>1.8656900000000001</v>
      </c>
      <c r="EI30">
        <v>1.8655600000000001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0</v>
      </c>
      <c r="EX30">
        <v>0.126</v>
      </c>
      <c r="EY30">
        <v>2</v>
      </c>
      <c r="EZ30">
        <v>341.89100000000002</v>
      </c>
      <c r="FA30">
        <v>507.67700000000002</v>
      </c>
      <c r="FB30">
        <v>20.384699999999999</v>
      </c>
      <c r="FC30">
        <v>32.277999999999999</v>
      </c>
      <c r="FD30">
        <v>29.999600000000001</v>
      </c>
      <c r="FE30">
        <v>32.267200000000003</v>
      </c>
      <c r="FF30">
        <v>32.2669</v>
      </c>
      <c r="FG30">
        <v>66.845500000000001</v>
      </c>
      <c r="FH30">
        <v>37.369500000000002</v>
      </c>
      <c r="FI30">
        <v>9.9541699999999995</v>
      </c>
      <c r="FJ30">
        <v>20.4617</v>
      </c>
      <c r="FK30">
        <v>1600</v>
      </c>
      <c r="FL30">
        <v>17.374600000000001</v>
      </c>
      <c r="FM30">
        <v>101.10899999999999</v>
      </c>
      <c r="FN30">
        <v>101.366</v>
      </c>
    </row>
    <row r="31" spans="1:170" x14ac:dyDescent="0.25">
      <c r="A31">
        <v>15</v>
      </c>
      <c r="B31">
        <v>1598197355.5</v>
      </c>
      <c r="C31">
        <v>1892.0999999046301</v>
      </c>
      <c r="D31" t="s">
        <v>354</v>
      </c>
      <c r="E31" t="s">
        <v>355</v>
      </c>
      <c r="G31">
        <v>1598197347.5</v>
      </c>
      <c r="H31">
        <f t="shared" si="0"/>
        <v>2.6983082337335568E-3</v>
      </c>
      <c r="I31">
        <f t="shared" si="1"/>
        <v>52.67876791144905</v>
      </c>
      <c r="J31">
        <f t="shared" si="2"/>
        <v>1777.0213225806399</v>
      </c>
      <c r="K31">
        <f t="shared" si="3"/>
        <v>1180.8280168420674</v>
      </c>
      <c r="L31">
        <f t="shared" si="4"/>
        <v>117.37540502490096</v>
      </c>
      <c r="M31">
        <f t="shared" si="5"/>
        <v>176.63757507515561</v>
      </c>
      <c r="N31">
        <f t="shared" si="6"/>
        <v>0.15540692815535784</v>
      </c>
      <c r="O31">
        <f t="shared" si="7"/>
        <v>3.3767954114953618</v>
      </c>
      <c r="P31">
        <f t="shared" si="8"/>
        <v>0.15154014831199514</v>
      </c>
      <c r="Q31">
        <f t="shared" si="9"/>
        <v>9.5051994008218732E-2</v>
      </c>
      <c r="R31">
        <f t="shared" si="10"/>
        <v>321.44049149118115</v>
      </c>
      <c r="S31">
        <f t="shared" si="11"/>
        <v>26.972035099070908</v>
      </c>
      <c r="T31">
        <f t="shared" si="12"/>
        <v>27.0145129032258</v>
      </c>
      <c r="U31">
        <f t="shared" si="13"/>
        <v>3.5822116275992411</v>
      </c>
      <c r="V31">
        <f t="shared" si="14"/>
        <v>55.387004334722178</v>
      </c>
      <c r="W31">
        <f t="shared" si="15"/>
        <v>1.8607472838694574</v>
      </c>
      <c r="X31">
        <f t="shared" si="16"/>
        <v>3.3595376861769592</v>
      </c>
      <c r="Y31">
        <f t="shared" si="17"/>
        <v>1.7214643437297836</v>
      </c>
      <c r="Z31">
        <f t="shared" si="18"/>
        <v>-118.99539310764986</v>
      </c>
      <c r="AA31">
        <f t="shared" si="19"/>
        <v>-198.13947248958473</v>
      </c>
      <c r="AB31">
        <f t="shared" si="20"/>
        <v>-12.596220850018149</v>
      </c>
      <c r="AC31">
        <f t="shared" si="21"/>
        <v>-8.290594956071601</v>
      </c>
      <c r="AD31">
        <v>-4.1088587507575498E-2</v>
      </c>
      <c r="AE31">
        <v>4.6125539035216899E-2</v>
      </c>
      <c r="AF31">
        <v>3.44889868345523</v>
      </c>
      <c r="AG31">
        <v>141</v>
      </c>
      <c r="AH31">
        <v>28</v>
      </c>
      <c r="AI31">
        <f t="shared" si="22"/>
        <v>1</v>
      </c>
      <c r="AJ31">
        <f t="shared" si="23"/>
        <v>0</v>
      </c>
      <c r="AK31">
        <f t="shared" si="24"/>
        <v>52585.151507882729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356</v>
      </c>
      <c r="AS31">
        <v>280.40688461538502</v>
      </c>
      <c r="AT31">
        <v>410.25900000000001</v>
      </c>
      <c r="AU31">
        <f t="shared" si="27"/>
        <v>0.3165125332646328</v>
      </c>
      <c r="AV31">
        <v>0.5</v>
      </c>
      <c r="AW31">
        <f t="shared" si="28"/>
        <v>1681.2005222574583</v>
      </c>
      <c r="AX31">
        <f t="shared" si="29"/>
        <v>52.67876791144905</v>
      </c>
      <c r="AY31">
        <f t="shared" si="30"/>
        <v>266.06051811276592</v>
      </c>
      <c r="AZ31">
        <f t="shared" si="31"/>
        <v>0.55818153897903522</v>
      </c>
      <c r="BA31">
        <f t="shared" si="32"/>
        <v>3.1928831332606919E-2</v>
      </c>
      <c r="BB31">
        <f t="shared" si="33"/>
        <v>-1</v>
      </c>
      <c r="BC31" t="s">
        <v>357</v>
      </c>
      <c r="BD31">
        <v>181.26</v>
      </c>
      <c r="BE31">
        <f t="shared" si="34"/>
        <v>228.99900000000002</v>
      </c>
      <c r="BF31">
        <f t="shared" si="35"/>
        <v>0.56704228134015855</v>
      </c>
      <c r="BG31">
        <f t="shared" si="36"/>
        <v>2.2633730552797089</v>
      </c>
      <c r="BH31">
        <f t="shared" si="37"/>
        <v>0.3165125332646328</v>
      </c>
      <c r="BI31" t="e">
        <f t="shared" si="38"/>
        <v>#DIV/0!</v>
      </c>
      <c r="BJ31">
        <v>6501</v>
      </c>
      <c r="BK31">
        <v>300</v>
      </c>
      <c r="BL31">
        <v>300</v>
      </c>
      <c r="BM31">
        <v>300</v>
      </c>
      <c r="BN31">
        <v>9862.7900000000009</v>
      </c>
      <c r="BO31">
        <v>374.73500000000001</v>
      </c>
      <c r="BP31">
        <v>-6.5592200000000002E-3</v>
      </c>
      <c r="BQ31">
        <v>1.60358</v>
      </c>
      <c r="BR31">
        <f t="shared" si="39"/>
        <v>2000.00419354839</v>
      </c>
      <c r="BS31">
        <f t="shared" si="40"/>
        <v>1681.2005222574583</v>
      </c>
      <c r="BT31">
        <f t="shared" si="41"/>
        <v>0.8405984985834889</v>
      </c>
      <c r="BU31">
        <f t="shared" si="42"/>
        <v>0.19119699716697797</v>
      </c>
      <c r="BV31">
        <v>0.5</v>
      </c>
      <c r="BW31" t="s">
        <v>281</v>
      </c>
      <c r="BX31">
        <v>1598197347.5</v>
      </c>
      <c r="BY31">
        <v>1777.0213225806399</v>
      </c>
      <c r="BZ31">
        <v>1800.00774193548</v>
      </c>
      <c r="CA31">
        <v>18.7196161290323</v>
      </c>
      <c r="CB31">
        <v>17.6606387096774</v>
      </c>
      <c r="CC31">
        <v>500.066741935484</v>
      </c>
      <c r="CD31">
        <v>99.200941935483897</v>
      </c>
      <c r="CE31">
        <v>0.19998974193548399</v>
      </c>
      <c r="CF31">
        <v>25.926132258064499</v>
      </c>
      <c r="CG31">
        <v>27.0145129032258</v>
      </c>
      <c r="CH31">
        <v>999.9</v>
      </c>
      <c r="CI31">
        <v>9988.5267741935495</v>
      </c>
      <c r="CJ31">
        <v>0</v>
      </c>
      <c r="CK31">
        <v>125.973709677419</v>
      </c>
      <c r="CL31">
        <v>2000.00419354839</v>
      </c>
      <c r="CM31">
        <v>0.98000193548387105</v>
      </c>
      <c r="CN31">
        <v>1.9997683870967699E-2</v>
      </c>
      <c r="CO31">
        <v>0</v>
      </c>
      <c r="CP31">
        <v>280.43335483870999</v>
      </c>
      <c r="CQ31">
        <v>5.00054</v>
      </c>
      <c r="CR31">
        <v>7038.6612903225796</v>
      </c>
      <c r="CS31">
        <v>18703.677419354801</v>
      </c>
      <c r="CT31">
        <v>49.995870967741901</v>
      </c>
      <c r="CU31">
        <v>51.424999999999997</v>
      </c>
      <c r="CV31">
        <v>50.521999999999998</v>
      </c>
      <c r="CW31">
        <v>50.328419354838701</v>
      </c>
      <c r="CX31">
        <v>51.295999999999999</v>
      </c>
      <c r="CY31">
        <v>1955.10419354839</v>
      </c>
      <c r="CZ31">
        <v>39.9</v>
      </c>
      <c r="DA31">
        <v>0</v>
      </c>
      <c r="DB31">
        <v>144.799999952316</v>
      </c>
      <c r="DC31">
        <v>280.40688461538502</v>
      </c>
      <c r="DD31">
        <v>-0.69049571884827599</v>
      </c>
      <c r="DE31">
        <v>-48.4393162943256</v>
      </c>
      <c r="DF31">
        <v>7038.5826923076902</v>
      </c>
      <c r="DG31">
        <v>15</v>
      </c>
      <c r="DH31">
        <v>1598197380</v>
      </c>
      <c r="DI31" t="s">
        <v>358</v>
      </c>
      <c r="DJ31">
        <v>15</v>
      </c>
      <c r="DK31">
        <v>0.20100000000000001</v>
      </c>
      <c r="DL31">
        <v>0.129</v>
      </c>
      <c r="DM31">
        <v>1800</v>
      </c>
      <c r="DN31">
        <v>18</v>
      </c>
      <c r="DO31">
        <v>0.14000000000000001</v>
      </c>
      <c r="DP31">
        <v>0.08</v>
      </c>
      <c r="DQ31">
        <v>1776.73113207547</v>
      </c>
      <c r="DR31">
        <v>0.69975810353142698</v>
      </c>
      <c r="DS31">
        <v>0.123832820616069</v>
      </c>
      <c r="DT31">
        <v>0</v>
      </c>
      <c r="DU31">
        <v>18.7232094339623</v>
      </c>
      <c r="DV31">
        <v>-8.05370101596493E-2</v>
      </c>
      <c r="DW31">
        <v>3.47650565407766E-2</v>
      </c>
      <c r="DX31">
        <v>1</v>
      </c>
      <c r="DY31">
        <v>1</v>
      </c>
      <c r="DZ31">
        <v>2</v>
      </c>
      <c r="EA31" t="s">
        <v>323</v>
      </c>
      <c r="EB31">
        <v>1.86676</v>
      </c>
      <c r="EC31">
        <v>1.86328</v>
      </c>
      <c r="ED31">
        <v>1.86893</v>
      </c>
      <c r="EE31">
        <v>1.8669100000000001</v>
      </c>
      <c r="EF31">
        <v>1.87161</v>
      </c>
      <c r="EG31">
        <v>1.8640099999999999</v>
      </c>
      <c r="EH31">
        <v>1.8656900000000001</v>
      </c>
      <c r="EI31">
        <v>1.86554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0.20100000000000001</v>
      </c>
      <c r="EX31">
        <v>0.129</v>
      </c>
      <c r="EY31">
        <v>2</v>
      </c>
      <c r="EZ31">
        <v>341.76900000000001</v>
      </c>
      <c r="FA31">
        <v>506.46</v>
      </c>
      <c r="FB31">
        <v>20.534700000000001</v>
      </c>
      <c r="FC31">
        <v>32.388800000000003</v>
      </c>
      <c r="FD31">
        <v>30.001300000000001</v>
      </c>
      <c r="FE31">
        <v>32.366500000000002</v>
      </c>
      <c r="FF31">
        <v>32.363900000000001</v>
      </c>
      <c r="FG31">
        <v>73.369100000000003</v>
      </c>
      <c r="FH31">
        <v>36.760399999999997</v>
      </c>
      <c r="FI31">
        <v>6.1507100000000001</v>
      </c>
      <c r="FJ31">
        <v>20.483699999999999</v>
      </c>
      <c r="FK31">
        <v>1800</v>
      </c>
      <c r="FL31">
        <v>17.621500000000001</v>
      </c>
      <c r="FM31">
        <v>101.083</v>
      </c>
      <c r="FN31">
        <v>101.345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2020-08-23T10:43:17Z</dcterms:created>
  <dcterms:modified xsi:type="dcterms:W3CDTF">2024-11-20T09:07:14Z</dcterms:modified>
</cp:coreProperties>
</file>