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62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H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P29" i="1"/>
  <c r="AO29" i="1"/>
  <c r="AK29" i="1"/>
  <c r="AI29" i="1"/>
  <c r="M29" i="1" s="1"/>
  <c r="X29" i="1"/>
  <c r="W29" i="1"/>
  <c r="V29" i="1"/>
  <c r="O29" i="1"/>
  <c r="J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M28" i="1" s="1"/>
  <c r="X28" i="1"/>
  <c r="W28" i="1"/>
  <c r="V28" i="1"/>
  <c r="O28" i="1"/>
  <c r="BU27" i="1"/>
  <c r="BT27" i="1"/>
  <c r="BS27" i="1"/>
  <c r="BR27" i="1"/>
  <c r="BI27" i="1"/>
  <c r="BH27" i="1"/>
  <c r="BG27" i="1"/>
  <c r="BF27" i="1"/>
  <c r="BE27" i="1"/>
  <c r="BB27" i="1"/>
  <c r="AZ27" i="1"/>
  <c r="AW27" i="1"/>
  <c r="AY27" i="1" s="1"/>
  <c r="AU27" i="1"/>
  <c r="AP27" i="1"/>
  <c r="AO27" i="1"/>
  <c r="AK27" i="1"/>
  <c r="AI27" i="1"/>
  <c r="J27" i="1" s="1"/>
  <c r="X27" i="1"/>
  <c r="W27" i="1"/>
  <c r="V27" i="1" s="1"/>
  <c r="R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R25" i="1" s="1"/>
  <c r="BT25" i="1"/>
  <c r="BS25" i="1"/>
  <c r="BR25" i="1"/>
  <c r="BI25" i="1"/>
  <c r="BH25" i="1"/>
  <c r="BG25" i="1"/>
  <c r="BF25" i="1"/>
  <c r="BE25" i="1"/>
  <c r="BB25" i="1"/>
  <c r="AZ25" i="1"/>
  <c r="AY25" i="1"/>
  <c r="AW25" i="1"/>
  <c r="AU25" i="1"/>
  <c r="AO25" i="1"/>
  <c r="AP25" i="1" s="1"/>
  <c r="AK25" i="1"/>
  <c r="AI25" i="1"/>
  <c r="H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M24" i="1" s="1"/>
  <c r="X24" i="1"/>
  <c r="W24" i="1"/>
  <c r="V24" i="1"/>
  <c r="O24" i="1"/>
  <c r="J24" i="1"/>
  <c r="I24" i="1"/>
  <c r="AX24" i="1" s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I23" i="1" s="1"/>
  <c r="AX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 s="1"/>
  <c r="O22" i="1"/>
  <c r="M22" i="1"/>
  <c r="BU21" i="1"/>
  <c r="BT21" i="1"/>
  <c r="BR21" i="1"/>
  <c r="BS21" i="1" s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/>
  <c r="J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I18" i="1" s="1"/>
  <c r="AX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/>
  <c r="I17" i="1" s="1"/>
  <c r="AX17" i="1" s="1"/>
  <c r="X17" i="1"/>
  <c r="W17" i="1"/>
  <c r="V17" i="1"/>
  <c r="O17" i="1"/>
  <c r="M17" i="1"/>
  <c r="J17" i="1"/>
  <c r="R20" i="1" l="1"/>
  <c r="AW20" i="1"/>
  <c r="AY20" i="1" s="1"/>
  <c r="R29" i="1"/>
  <c r="AW29" i="1"/>
  <c r="H26" i="1"/>
  <c r="AJ26" i="1"/>
  <c r="J26" i="1"/>
  <c r="I26" i="1"/>
  <c r="AX26" i="1" s="1"/>
  <c r="M26" i="1"/>
  <c r="R28" i="1"/>
  <c r="AW28" i="1"/>
  <c r="AY28" i="1"/>
  <c r="BA18" i="1"/>
  <c r="S25" i="1"/>
  <c r="T25" i="1" s="1"/>
  <c r="AW24" i="1"/>
  <c r="AY24" i="1" s="1"/>
  <c r="R24" i="1"/>
  <c r="AW23" i="1"/>
  <c r="R23" i="1"/>
  <c r="AW19" i="1"/>
  <c r="AY19" i="1" s="1"/>
  <c r="R19" i="1"/>
  <c r="BA17" i="1"/>
  <c r="Z25" i="1"/>
  <c r="Z30" i="1"/>
  <c r="AY17" i="1"/>
  <c r="AW22" i="1"/>
  <c r="AY22" i="1" s="1"/>
  <c r="R22" i="1"/>
  <c r="AY30" i="1"/>
  <c r="AW18" i="1"/>
  <c r="AY18" i="1" s="1"/>
  <c r="R18" i="1"/>
  <c r="R26" i="1"/>
  <c r="AW26" i="1"/>
  <c r="AY26" i="1" s="1"/>
  <c r="R21" i="1"/>
  <c r="AW21" i="1"/>
  <c r="AY21" i="1" s="1"/>
  <c r="AY29" i="1"/>
  <c r="BA23" i="1"/>
  <c r="AW17" i="1"/>
  <c r="R17" i="1"/>
  <c r="R30" i="1"/>
  <c r="AW30" i="1"/>
  <c r="M19" i="1"/>
  <c r="I19" i="1"/>
  <c r="AX19" i="1" s="1"/>
  <c r="BA19" i="1" s="1"/>
  <c r="J19" i="1"/>
  <c r="H19" i="1"/>
  <c r="AJ19" i="1"/>
  <c r="AY23" i="1"/>
  <c r="H20" i="1"/>
  <c r="AJ30" i="1"/>
  <c r="I25" i="1"/>
  <c r="AX25" i="1" s="1"/>
  <c r="BA25" i="1" s="1"/>
  <c r="S27" i="1"/>
  <c r="T27" i="1" s="1"/>
  <c r="J25" i="1"/>
  <c r="AJ29" i="1"/>
  <c r="AJ24" i="1"/>
  <c r="H29" i="1"/>
  <c r="M30" i="1"/>
  <c r="I30" i="1"/>
  <c r="AX30" i="1" s="1"/>
  <c r="BA30" i="1" s="1"/>
  <c r="M21" i="1"/>
  <c r="J30" i="1"/>
  <c r="I20" i="1"/>
  <c r="AX20" i="1" s="1"/>
  <c r="J20" i="1"/>
  <c r="H24" i="1"/>
  <c r="M25" i="1"/>
  <c r="I29" i="1"/>
  <c r="AX29" i="1" s="1"/>
  <c r="I21" i="1"/>
  <c r="AX21" i="1" s="1"/>
  <c r="AJ20" i="1"/>
  <c r="AJ28" i="1"/>
  <c r="AJ21" i="1"/>
  <c r="AJ25" i="1"/>
  <c r="H21" i="1"/>
  <c r="H23" i="1"/>
  <c r="I28" i="1"/>
  <c r="AX28" i="1" s="1"/>
  <c r="H18" i="1"/>
  <c r="J18" i="1"/>
  <c r="AJ27" i="1"/>
  <c r="AJ17" i="1"/>
  <c r="H22" i="1"/>
  <c r="M23" i="1"/>
  <c r="I27" i="1"/>
  <c r="AX27" i="1" s="1"/>
  <c r="BA27" i="1" s="1"/>
  <c r="AJ18" i="1"/>
  <c r="J23" i="1"/>
  <c r="H27" i="1"/>
  <c r="H17" i="1"/>
  <c r="M18" i="1"/>
  <c r="I22" i="1"/>
  <c r="AX22" i="1" s="1"/>
  <c r="AJ23" i="1"/>
  <c r="H28" i="1"/>
  <c r="J28" i="1"/>
  <c r="AJ22" i="1"/>
  <c r="AB27" i="1" l="1"/>
  <c r="U27" i="1"/>
  <c r="Y27" i="1" s="1"/>
  <c r="BA28" i="1"/>
  <c r="S22" i="1"/>
  <c r="T22" i="1" s="1"/>
  <c r="Z21" i="1"/>
  <c r="P21" i="1"/>
  <c r="N21" i="1" s="1"/>
  <c r="Q21" i="1" s="1"/>
  <c r="K21" i="1" s="1"/>
  <c r="L21" i="1" s="1"/>
  <c r="S29" i="1"/>
  <c r="T29" i="1" s="1"/>
  <c r="P28" i="1"/>
  <c r="N28" i="1" s="1"/>
  <c r="Q28" i="1" s="1"/>
  <c r="K28" i="1" s="1"/>
  <c r="L28" i="1" s="1"/>
  <c r="Z28" i="1"/>
  <c r="S19" i="1"/>
  <c r="T19" i="1" s="1"/>
  <c r="BA22" i="1"/>
  <c r="S17" i="1"/>
  <c r="T17" i="1" s="1"/>
  <c r="BA20" i="1"/>
  <c r="S23" i="1"/>
  <c r="T23" i="1" s="1"/>
  <c r="U25" i="1"/>
  <c r="Y25" i="1" s="1"/>
  <c r="AB25" i="1"/>
  <c r="AA25" i="1"/>
  <c r="S26" i="1"/>
  <c r="T26" i="1" s="1"/>
  <c r="S18" i="1"/>
  <c r="T18" i="1" s="1"/>
  <c r="S28" i="1"/>
  <c r="T28" i="1" s="1"/>
  <c r="Z20" i="1"/>
  <c r="Z23" i="1"/>
  <c r="Z26" i="1"/>
  <c r="P25" i="1"/>
  <c r="N25" i="1" s="1"/>
  <c r="Q25" i="1" s="1"/>
  <c r="K25" i="1" s="1"/>
  <c r="L25" i="1" s="1"/>
  <c r="BA29" i="1"/>
  <c r="S30" i="1"/>
  <c r="T30" i="1" s="1"/>
  <c r="Z24" i="1"/>
  <c r="BA24" i="1"/>
  <c r="Z17" i="1"/>
  <c r="P17" i="1"/>
  <c r="N17" i="1" s="1"/>
  <c r="Q17" i="1" s="1"/>
  <c r="K17" i="1" s="1"/>
  <c r="L17" i="1" s="1"/>
  <c r="AA27" i="1"/>
  <c r="S24" i="1"/>
  <c r="T24" i="1" s="1"/>
  <c r="P29" i="1"/>
  <c r="N29" i="1" s="1"/>
  <c r="Q29" i="1" s="1"/>
  <c r="K29" i="1" s="1"/>
  <c r="L29" i="1" s="1"/>
  <c r="Z29" i="1"/>
  <c r="S21" i="1"/>
  <c r="T21" i="1" s="1"/>
  <c r="Z22" i="1"/>
  <c r="Z18" i="1"/>
  <c r="P18" i="1"/>
  <c r="N18" i="1" s="1"/>
  <c r="Q18" i="1" s="1"/>
  <c r="K18" i="1" s="1"/>
  <c r="L18" i="1" s="1"/>
  <c r="BA26" i="1"/>
  <c r="Z19" i="1"/>
  <c r="BA21" i="1"/>
  <c r="S20" i="1"/>
  <c r="T20" i="1" s="1"/>
  <c r="Z27" i="1"/>
  <c r="P27" i="1"/>
  <c r="N27" i="1" s="1"/>
  <c r="Q27" i="1" s="1"/>
  <c r="K27" i="1" s="1"/>
  <c r="L27" i="1" s="1"/>
  <c r="U26" i="1" l="1"/>
  <c r="Y26" i="1" s="1"/>
  <c r="AB26" i="1"/>
  <c r="AA26" i="1"/>
  <c r="P26" i="1"/>
  <c r="N26" i="1" s="1"/>
  <c r="Q26" i="1" s="1"/>
  <c r="K26" i="1" s="1"/>
  <c r="L26" i="1" s="1"/>
  <c r="U24" i="1"/>
  <c r="Y24" i="1" s="1"/>
  <c r="AB24" i="1"/>
  <c r="AA24" i="1"/>
  <c r="U20" i="1"/>
  <c r="Y20" i="1" s="1"/>
  <c r="AA20" i="1"/>
  <c r="AB20" i="1"/>
  <c r="AC20" i="1" s="1"/>
  <c r="P20" i="1"/>
  <c r="N20" i="1" s="1"/>
  <c r="Q20" i="1" s="1"/>
  <c r="K20" i="1" s="1"/>
  <c r="L20" i="1" s="1"/>
  <c r="AB22" i="1"/>
  <c r="U22" i="1"/>
  <c r="Y22" i="1" s="1"/>
  <c r="AA22" i="1"/>
  <c r="U28" i="1"/>
  <c r="Y28" i="1" s="1"/>
  <c r="AB28" i="1"/>
  <c r="AA28" i="1"/>
  <c r="P22" i="1"/>
  <c r="N22" i="1" s="1"/>
  <c r="Q22" i="1" s="1"/>
  <c r="K22" i="1" s="1"/>
  <c r="L22" i="1" s="1"/>
  <c r="AC25" i="1"/>
  <c r="AB23" i="1"/>
  <c r="AC23" i="1" s="1"/>
  <c r="AA23" i="1"/>
  <c r="U23" i="1"/>
  <c r="Y23" i="1" s="1"/>
  <c r="AB17" i="1"/>
  <c r="AC17" i="1" s="1"/>
  <c r="U17" i="1"/>
  <c r="Y17" i="1" s="1"/>
  <c r="AA17" i="1"/>
  <c r="P24" i="1"/>
  <c r="N24" i="1" s="1"/>
  <c r="Q24" i="1" s="1"/>
  <c r="K24" i="1" s="1"/>
  <c r="L24" i="1" s="1"/>
  <c r="AA19" i="1"/>
  <c r="AB19" i="1"/>
  <c r="AC19" i="1" s="1"/>
  <c r="U19" i="1"/>
  <c r="Y19" i="1" s="1"/>
  <c r="P19" i="1"/>
  <c r="N19" i="1" s="1"/>
  <c r="Q19" i="1" s="1"/>
  <c r="K19" i="1" s="1"/>
  <c r="L19" i="1" s="1"/>
  <c r="U29" i="1"/>
  <c r="Y29" i="1" s="1"/>
  <c r="AB29" i="1"/>
  <c r="AA29" i="1"/>
  <c r="P23" i="1"/>
  <c r="N23" i="1" s="1"/>
  <c r="Q23" i="1" s="1"/>
  <c r="K23" i="1" s="1"/>
  <c r="L23" i="1" s="1"/>
  <c r="AB18" i="1"/>
  <c r="U18" i="1"/>
  <c r="Y18" i="1" s="1"/>
  <c r="AA18" i="1"/>
  <c r="U30" i="1"/>
  <c r="Y30" i="1" s="1"/>
  <c r="AA30" i="1"/>
  <c r="AB30" i="1"/>
  <c r="AC30" i="1" s="1"/>
  <c r="P30" i="1"/>
  <c r="N30" i="1" s="1"/>
  <c r="Q30" i="1" s="1"/>
  <c r="K30" i="1" s="1"/>
  <c r="L30" i="1" s="1"/>
  <c r="U21" i="1"/>
  <c r="Y21" i="1" s="1"/>
  <c r="AB21" i="1"/>
  <c r="AA21" i="1"/>
  <c r="AC27" i="1"/>
  <c r="AC22" i="1" l="1"/>
  <c r="AC18" i="1"/>
  <c r="AC28" i="1"/>
  <c r="AC29" i="1"/>
  <c r="AC24" i="1"/>
  <c r="AC26" i="1"/>
  <c r="AC21" i="1"/>
</calcChain>
</file>

<file path=xl/sharedStrings.xml><?xml version="1.0" encoding="utf-8"?>
<sst xmlns="http://schemas.openxmlformats.org/spreadsheetml/2006/main" count="771" uniqueCount="355">
  <si>
    <t>File opened</t>
  </si>
  <si>
    <t>2020-06-25 13:15:23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</si>
  <si>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</si>
  <si>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</si>
  <si>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</si>
  <si>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</si>
  <si>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</si>
  <si>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</si>
  <si>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</si>
  <si>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</si>
  <si>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</si>
  <si>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</si>
  <si>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</si>
  <si>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{"ssa_ref": "36614.9", "h2obspan2a": "0.0975941", "co2azero": "0.869071", "co2aspanconc2": "0", "h2obspan1": "0.998578", "h2oaspan2b": "0.0662632", "h2oaspan2a": "0.0661155", "h2oaspanconc2": "0", "chamberpressurezero": "2.59209", "h2oaspan2": "0", "h2oaspanconc1": "12.19", "co2bspan2": "0", "co2aspanconc1": "1002", "flowazero": "0.42932", "h2oaspan1": "1.00223", "co2aspan1": "0.992625", "co2bspanconc2": "0", "co2bspanconc1": "1002", "h2oazero": "1.00263", "oxygen": "21", "h2obspan2": "0", "tazero": "0.00774765", "h2obzero": "1.01783", "flowbzero": "0.22736", "ssb_ref": "36526.8", "co2bspan2a": "0.163389", "h2obspan2b": "0.0963575", "co2aspan2a": "0.164928", "co2bspan2b": "0.162103", "co2bspan1": "0.992131", "h2obspanconc2": "0", "tbzero": "0.197721", "h2obspanconc1": "20", "flowmeterzero": "0.990908", "co2aspan2": "0", "co2aspan2b": "0.163711", "co2bzero": "0.880288"}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</si>
  <si>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</si>
  <si>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</si>
  <si>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</si>
  <si>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</si>
  <si>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</si>
  <si>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</si>
  <si>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</si>
  <si>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</si>
  <si>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</si>
  <si>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13:15:23</t>
  </si>
  <si>
    <t>Stability Definition:	ΔCO2 (Meas2): Slp&lt;0.5	ΔH2O (Meas2): Slp&lt;0.1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</si>
  <si>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</si>
  <si>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</si>
  <si>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</si>
  <si>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</si>
  <si>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</si>
  <si>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</si>
  <si>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</si>
  <si>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</si>
  <si>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</si>
  <si>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</si>
  <si>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</si>
  <si>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</si>
  <si>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</si>
  <si>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</si>
  <si>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</si>
  <si>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</si>
  <si>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</si>
  <si>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</si>
  <si>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</si>
  <si>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</si>
  <si>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</si>
  <si>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</si>
  <si>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</si>
  <si>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</si>
  <si>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</si>
  <si>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</si>
  <si>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</si>
  <si>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</si>
  <si>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</si>
  <si>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</si>
  <si>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</si>
  <si>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</si>
  <si>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</si>
  <si>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</si>
  <si>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</si>
  <si>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</si>
  <si>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</si>
  <si>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</si>
  <si>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</si>
  <si>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</si>
  <si>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</si>
  <si>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</si>
  <si>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</si>
  <si>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</si>
  <si>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</si>
  <si>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</si>
  <si>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1.61963 74.1132 383.059 614.556 842.442 1048.13 1225.96 1401.63</t>
  </si>
  <si>
    <t>Fs_true</t>
  </si>
  <si>
    <t>0.0511076 99.3107 402.59 600.302 800.523 1000.1 1200.74 1401.59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</si>
  <si>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</si>
  <si>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</si>
  <si>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</si>
  <si>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</si>
  <si>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</si>
  <si>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</si>
  <si>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</si>
  <si>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</si>
  <si>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</si>
  <si>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</si>
  <si>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</si>
  <si>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</si>
  <si>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</si>
  <si>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</si>
  <si>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</si>
  <si>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</si>
  <si>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</si>
  <si>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</si>
  <si>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</si>
  <si>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</si>
  <si>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</si>
  <si>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</si>
  <si>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</si>
  <si>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</si>
  <si>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</si>
  <si>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</si>
  <si>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</si>
  <si>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</si>
  <si>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</si>
  <si>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</si>
  <si>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</si>
  <si>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</si>
  <si>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</si>
  <si>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</si>
  <si>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</si>
  <si>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</si>
  <si>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</si>
  <si>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</si>
  <si>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</si>
  <si>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</si>
  <si>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</si>
  <si>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</si>
  <si>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</si>
  <si>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</si>
  <si>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</si>
  <si>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</si>
  <si>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</si>
  <si>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</si>
  <si>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</si>
  <si>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</si>
  <si>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</si>
  <si>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</si>
  <si>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</si>
  <si>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</si>
  <si>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</si>
  <si>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</si>
  <si>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</si>
  <si>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</si>
  <si>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</si>
  <si>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</si>
  <si>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</si>
  <si>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</si>
  <si>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</si>
  <si>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</si>
  <si>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</si>
  <si>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</si>
  <si>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</si>
  <si>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</si>
  <si>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</si>
  <si>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</si>
  <si>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</si>
  <si>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</si>
  <si>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</si>
  <si>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</si>
  <si>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</si>
  <si>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</si>
  <si>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</si>
  <si>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</si>
  <si>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</si>
  <si>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</si>
  <si>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</si>
  <si>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</si>
  <si>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</si>
  <si>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</si>
  <si>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</si>
  <si>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</si>
  <si>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</si>
  <si>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</si>
  <si>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</si>
  <si>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</si>
  <si>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</si>
  <si>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</si>
  <si>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</si>
  <si>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</si>
  <si>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</si>
  <si>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</si>
  <si>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</si>
  <si>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</si>
  <si>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</si>
  <si>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</si>
  <si>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</si>
  <si>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</si>
  <si>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</si>
  <si>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</si>
  <si>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</si>
  <si>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</si>
  <si>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</si>
  <si>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</si>
  <si>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</si>
  <si>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</si>
  <si>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</si>
  <si>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</si>
  <si>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</si>
  <si>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</si>
  <si>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</si>
  <si>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</si>
  <si>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</si>
  <si>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</si>
  <si>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</si>
  <si>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</si>
  <si>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</si>
  <si>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</si>
  <si>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</si>
  <si>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</si>
  <si>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</si>
  <si>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</si>
  <si>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</si>
  <si>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</si>
  <si>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</si>
  <si>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</si>
  <si>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</si>
  <si>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</si>
  <si>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</si>
  <si>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</si>
  <si>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</si>
  <si>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ΔH2O:MN</t>
  </si>
  <si>
    <t>ΔH2O:SLP</t>
  </si>
  <si>
    <t>ΔH2O:SD</t>
  </si>
  <si>
    <t>ΔH2O:OK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</si>
  <si>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</si>
  <si>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</si>
  <si>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</si>
  <si>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</si>
  <si>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</si>
  <si>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</si>
  <si>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</si>
  <si>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</si>
  <si>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</si>
  <si>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</si>
  <si>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</si>
  <si>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</si>
  <si>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</si>
  <si>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</si>
  <si>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</si>
  <si>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</si>
  <si>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</si>
  <si>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</si>
  <si>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</si>
  <si>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</si>
  <si>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</si>
  <si>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</si>
  <si>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</si>
  <si>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</si>
  <si>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</si>
  <si>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</si>
  <si>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</si>
  <si>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</si>
  <si>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</si>
  <si>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</si>
  <si>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</si>
  <si>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</si>
  <si>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</si>
  <si>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</si>
  <si>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</si>
  <si>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</si>
  <si>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</si>
  <si>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</si>
  <si>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</si>
  <si>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</si>
  <si>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</si>
  <si>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</si>
  <si>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</si>
  <si>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</si>
  <si>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</si>
  <si>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</si>
  <si>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</si>
  <si>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</si>
  <si>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</si>
  <si>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</si>
  <si>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</si>
  <si>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</si>
  <si>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</si>
  <si>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</si>
  <si>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</si>
  <si>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</si>
  <si>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</si>
  <si>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</si>
  <si>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</si>
  <si>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</si>
  <si>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</si>
  <si>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</si>
  <si>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</si>
  <si>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</si>
  <si>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20200625 13:22:57</t>
  </si>
  <si>
    <t>13:22:57</t>
  </si>
  <si>
    <t>MPF-4053-20200625-13_22_59</t>
  </si>
  <si>
    <t>DARK-4054-20200625-13_23_07</t>
  </si>
  <si>
    <t>0: Broadleaf</t>
  </si>
  <si>
    <t>13:23:21</t>
  </si>
  <si>
    <t>1/2</t>
  </si>
  <si>
    <t>5</t>
  </si>
  <si>
    <t>11111111</t>
  </si>
  <si>
    <t>oooooooo</t>
  </si>
  <si>
    <t>off</t>
  </si>
  <si>
    <t>20200625 13:25:53</t>
  </si>
  <si>
    <t>13:25:53</t>
  </si>
  <si>
    <t>MPF-4055-20200625-13_25_54</t>
  </si>
  <si>
    <t>DARK-4056-20200625-13_26_02</t>
  </si>
  <si>
    <t>13:25:01</t>
  </si>
  <si>
    <t>20200625 13:27:53</t>
  </si>
  <si>
    <t>13:27:53</t>
  </si>
  <si>
    <t>MPF-4057-20200625-13_27_55</t>
  </si>
  <si>
    <t>DARK-4058-20200625-13_28_02</t>
  </si>
  <si>
    <t>13:27:10</t>
  </si>
  <si>
    <t>20200625 13:29:54</t>
  </si>
  <si>
    <t>13:29:54</t>
  </si>
  <si>
    <t>MPF-4059-20200625-13_29_55</t>
  </si>
  <si>
    <t>DARK-4060-20200625-13_30_03</t>
  </si>
  <si>
    <t>13:29:09</t>
  </si>
  <si>
    <t>2/2</t>
  </si>
  <si>
    <t>20200625 13:31:54</t>
  </si>
  <si>
    <t>13:31:54</t>
  </si>
  <si>
    <t>MPF-4061-20200625-13_31_56</t>
  </si>
  <si>
    <t>DARK-4062-20200625-13_32_03</t>
  </si>
  <si>
    <t>13:31:02</t>
  </si>
  <si>
    <t>20200625 13:33:55</t>
  </si>
  <si>
    <t>13:33:55</t>
  </si>
  <si>
    <t>MPF-4063-20200625-13_33_56</t>
  </si>
  <si>
    <t>DARK-4064-20200625-13_34_04</t>
  </si>
  <si>
    <t>13:33:04</t>
  </si>
  <si>
    <t>20200625 13:35:55</t>
  </si>
  <si>
    <t>13:35:55</t>
  </si>
  <si>
    <t>MPF-4065-20200625-13_35_57</t>
  </si>
  <si>
    <t>DARK-4066-20200625-13_36_04</t>
  </si>
  <si>
    <t>13:34:52</t>
  </si>
  <si>
    <t>20200625 13:38:26</t>
  </si>
  <si>
    <t>13:38:26</t>
  </si>
  <si>
    <t>MPF-4067-20200625-13_38_27</t>
  </si>
  <si>
    <t>DARK-4068-20200625-13_38_35</t>
  </si>
  <si>
    <t>13:37:17</t>
  </si>
  <si>
    <t>0/2</t>
  </si>
  <si>
    <t>20200625 13:40:39</t>
  </si>
  <si>
    <t>13:40:39</t>
  </si>
  <si>
    <t>MPF-4069-20200625-13_40_40</t>
  </si>
  <si>
    <t>DARK-4070-20200625-13_40_48</t>
  </si>
  <si>
    <t>13:39:34</t>
  </si>
  <si>
    <t>20200625 13:43:08</t>
  </si>
  <si>
    <t>13:43:08</t>
  </si>
  <si>
    <t>MPF-4071-20200625-13_43_09</t>
  </si>
  <si>
    <t>DARK-4072-20200625-13_43_17</t>
  </si>
  <si>
    <t>13:41:57</t>
  </si>
  <si>
    <t>20200625 13:45:17</t>
  </si>
  <si>
    <t>13:45:17</t>
  </si>
  <si>
    <t>MPF-4073-20200625-13_45_18</t>
  </si>
  <si>
    <t>DARK-4074-20200625-13_45_26</t>
  </si>
  <si>
    <t>13:44:27</t>
  </si>
  <si>
    <t>20200625 13:47:47</t>
  </si>
  <si>
    <t>13:47:47</t>
  </si>
  <si>
    <t>MPF-4075-20200625-13_47_49</t>
  </si>
  <si>
    <t>DARK-4076-20200625-13_47_56</t>
  </si>
  <si>
    <t>13:46:55</t>
  </si>
  <si>
    <t>20200625 13:50:07</t>
  </si>
  <si>
    <t>13:50:07</t>
  </si>
  <si>
    <t>MPF-4077-20200625-13_50_08</t>
  </si>
  <si>
    <t>DARK-4078-20200625-13_50_16</t>
  </si>
  <si>
    <t>13:50:42</t>
  </si>
  <si>
    <t>20200625 13:52:59</t>
  </si>
  <si>
    <t>13:52:59</t>
  </si>
  <si>
    <t>MPF-4079-20200625-13_53_01</t>
  </si>
  <si>
    <t>DARK-4080-20200625-13_53_08</t>
  </si>
  <si>
    <t>13:52:27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</si>
</sst>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1593109377.9000001</v>
      </c>
      <c r="C17">
        <v>0</v>
      </c>
      <c r="D17" t="s">
        <v>277</v>
      </c>
      <c r="E17" t="s">
        <v>278</v>
      </c>
      <c r="G17">
        <v>1593109369.9548399</v>
      </c>
      <c r="H17">
        <f t="shared" ref="H17:H30" si="0">CC17*AI17*(CA17-CB17)/(100*$B$5*(1000-AI17*CA17))</f>
        <v>8.7511610341360953E-3</v>
      </c>
      <c r="I17">
        <f t="shared" ref="I17:I30" si="1">CC17*AI17*(BZ17-BY17*(1000-AI17*CB17)/(1000-AI17*CA17))/(100*$B$5)</f>
        <v>27.48425831071842</v>
      </c>
      <c r="J17">
        <f t="shared" ref="J17:J30" si="2">BY17 - IF(AI17&gt;1, I17*$B$5*100/(AK17*CI17), 0)</f>
        <v>387.59948387096802</v>
      </c>
      <c r="K17">
        <f t="shared" ref="K17:K30" si="3">((Q17-H17/2)*J17-I17)/(Q17+H17/2)</f>
        <v>295.69559297245689</v>
      </c>
      <c r="L17">
        <f t="shared" ref="L17:L30" si="4">K17*(CD17+CE17)/1000</f>
        <v>29.398687907420946</v>
      </c>
      <c r="M17">
        <f t="shared" ref="M17:M30" si="5">(BY17 - IF(AI17&gt;1, I17*$B$5*100/(AK17*CI17), 0))*(CD17+CE17)/1000</f>
        <v>38.535969186600042</v>
      </c>
      <c r="N17">
        <f t="shared" ref="N17:N30" si="6">2/((1/P17-1/O17)+SIGN(P17)*SQRT((1/P17-1/O17)*(1/P17-1/O17) + 4*BV17/((BV17+1)*(BV17+1))*(2*1/P17*1/O17-1/O17*1/O17)))</f>
        <v>0.57305617650223573</v>
      </c>
      <c r="O17">
        <f t="shared" ref="O17:O30" si="7">AF17+AE17*$B$5+AD17*$B$5*$B$5</f>
        <v>3.3808691021225101</v>
      </c>
      <c r="P17">
        <f t="shared" ref="P17:P30" si="8">H17*(1000-(1000*0.61365*EXP(17.502*T17/(240.97+T17))/(CD17+CE17)+CA17)/2)/(1000*0.61365*EXP(17.502*T17/(240.97+T17))/(CD17+CE17)-CA17)</f>
        <v>0.52405360583161631</v>
      </c>
      <c r="Q17">
        <f t="shared" ref="Q17:Q30" si="9">1/((BV17+1)/(N17/1.6)+1/(O17/1.37)) + BV17/((BV17+1)/(N17/1.6) + BV17/(O17/1.37))</f>
        <v>0.33158629779902732</v>
      </c>
      <c r="R17">
        <f t="shared" ref="R17:R30" si="10">(BS17*BU17)</f>
        <v>353.34154130480692</v>
      </c>
      <c r="S17">
        <f t="shared" ref="S17:S30" si="11">(CF17+(R17+2*0.95*0.0000000567*(((CF17+$B$7)+273)^4-(CF17+273)^4)-44100*H17)/(1.84*29.3*O17+8*0.95*0.0000000567*(CF17+273)^3))</f>
        <v>27.098891508200822</v>
      </c>
      <c r="T17">
        <f t="shared" ref="T17:T30" si="12">($C$7*CG17+$D$7*CH17+$E$7*S17)</f>
        <v>27.097741935483899</v>
      </c>
      <c r="U17">
        <f t="shared" ref="U17:U30" si="13">0.61365*EXP(17.502*T17/(240.97+T17))</f>
        <v>3.5997578627633144</v>
      </c>
      <c r="V17">
        <f t="shared" ref="V17:V30" si="14">(W17/X17*100)</f>
        <v>54.629774198569478</v>
      </c>
      <c r="W17">
        <f t="shared" ref="W17:W30" si="15">CA17*(CD17+CE17)/1000</f>
        <v>1.9861489853951164</v>
      </c>
      <c r="X17">
        <f t="shared" ref="X17:X30" si="16">0.61365*EXP(17.502*CF17/(240.97+CF17))</f>
        <v>3.6356529283387098</v>
      </c>
      <c r="Y17">
        <f t="shared" ref="Y17:Y30" si="17">(U17-CA17*(CD17+CE17)/1000)</f>
        <v>1.613608877368198</v>
      </c>
      <c r="Z17">
        <f t="shared" ref="Z17:Z30" si="18">(-H17*44100)</f>
        <v>-385.92620160540179</v>
      </c>
      <c r="AA17">
        <f t="shared" ref="AA17:AA30" si="19">2*29.3*O17*0.92*(CF17-T17)</f>
        <v>30.834105365143376</v>
      </c>
      <c r="AB17">
        <f t="shared" ref="AB17:AB30" si="20">2*0.95*0.0000000567*(((CF17+$B$7)+273)^4-(T17+273)^4)</f>
        <v>1.971830557309739</v>
      </c>
      <c r="AC17">
        <f t="shared" ref="AC17:AC30" si="21">R17+AB17+Z17+AA17</f>
        <v>0.22127562185822924</v>
      </c>
      <c r="AD17">
        <v>-4.1151559935083598E-2</v>
      </c>
      <c r="AE17">
        <v>4.6196231101782302E-2</v>
      </c>
      <c r="AF17">
        <v>3.4530828796592798</v>
      </c>
      <c r="AG17">
        <v>146</v>
      </c>
      <c r="AH17">
        <v>29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52427.760957332714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312.09223076923098</v>
      </c>
      <c r="AT17">
        <v>395.19499999999999</v>
      </c>
      <c r="AU17">
        <f t="shared" ref="AU17:AU30" si="27">1-AS17/AT17</f>
        <v>0.21028294697748962</v>
      </c>
      <c r="AV17">
        <v>0.5</v>
      </c>
      <c r="AW17">
        <f t="shared" ref="AW17:AW30" si="28">BS17</f>
        <v>1849.2023997089918</v>
      </c>
      <c r="AX17">
        <f t="shared" ref="AX17:AX30" si="29">I17</f>
        <v>27.48425831071842</v>
      </c>
      <c r="AY17">
        <f t="shared" ref="AY17:AY30" si="30">AU17*AV17*AW17</f>
        <v>194.42786508432624</v>
      </c>
      <c r="AZ17">
        <f t="shared" ref="AZ17:AZ30" si="31">BE17/AT17</f>
        <v>0.48354609749617278</v>
      </c>
      <c r="BA17">
        <f t="shared" ref="BA17:BA30" si="32">(AX17-AQ17)/AW17</f>
        <v>1.5403537392770512E-2</v>
      </c>
      <c r="BB17">
        <f t="shared" ref="BB17:BB30" si="33">(AN17-AT17)/AT17</f>
        <v>-1</v>
      </c>
      <c r="BC17" t="s">
        <v>280</v>
      </c>
      <c r="BD17">
        <v>204.1</v>
      </c>
      <c r="BE17">
        <f t="shared" ref="BE17:BE30" si="34">AT17-BD17</f>
        <v>191.095</v>
      </c>
      <c r="BF17">
        <f t="shared" ref="BF17:BF30" si="35">(AT17-AS17)/(AT17-BD17)</f>
        <v>0.43487673267625532</v>
      </c>
      <c r="BG17">
        <f t="shared" ref="BG17:BG30" si="36">(AN17-AT17)/(AN17-BD17)</f>
        <v>1.936281234688878</v>
      </c>
      <c r="BH17">
        <f t="shared" ref="BH17:BH30" si="37">(AT17-AS17)/(AT17-AM17)</f>
        <v>0.21028294697748964</v>
      </c>
      <c r="BI17" t="e">
        <f t="shared" ref="BI17:BI30" si="38">(AN17-AT17)/(AN17-AM17)</f>
        <v>#DIV/0!</v>
      </c>
      <c r="BJ17">
        <v>4053</v>
      </c>
      <c r="BK17">
        <v>300</v>
      </c>
      <c r="BL17">
        <v>300</v>
      </c>
      <c r="BM17">
        <v>300</v>
      </c>
      <c r="BN17">
        <v>9890.86</v>
      </c>
      <c r="BO17">
        <v>373.71899999999999</v>
      </c>
      <c r="BP17">
        <v>-6.4154499999999996E-3</v>
      </c>
      <c r="BQ17">
        <v>0.958588</v>
      </c>
      <c r="BR17">
        <f t="shared" ref="BR17:BR30" si="39">$B$11*CJ17+$C$11*CK17+$F$11*CL17</f>
        <v>2200.02</v>
      </c>
      <c r="BS17">
        <f t="shared" ref="BS17:BS30" si="40">BR17*BT17</f>
        <v>1849.2023997089918</v>
      </c>
      <c r="BT17">
        <f t="shared" ref="BT17:BT30" si="41">($B$11*$D$9+$C$11*$D$9+$F$11*((CY17+CQ17)/MAX(CY17+CQ17+CZ17, 0.1)*$I$9+CZ17/MAX(CY17+CQ17+CZ17, 0.1)*$J$9))/($B$11+$C$11+$F$11)</f>
        <v>0.84053890405950482</v>
      </c>
      <c r="BU17">
        <f t="shared" ref="BU17:BU30" si="42">($B$11*$K$9+$C$11*$K$9+$F$11*((CY17+CQ17)/MAX(CY17+CQ17+CZ17, 0.1)*$P$9+CZ17/MAX(CY17+CQ17+CZ17, 0.1)*$Q$9))/($B$11+$C$11+$F$11)</f>
        <v>0.19107780811900965</v>
      </c>
      <c r="BV17">
        <v>0.5</v>
      </c>
      <c r="BW17" t="s">
        <v>281</v>
      </c>
      <c r="BX17">
        <v>1593109369.9548399</v>
      </c>
      <c r="BY17">
        <v>387.59948387096802</v>
      </c>
      <c r="BZ17">
        <v>399.94812903225801</v>
      </c>
      <c r="CA17">
        <v>19.976929032258099</v>
      </c>
      <c r="CB17">
        <v>16.5469032258064</v>
      </c>
      <c r="CC17">
        <v>500.07435483871001</v>
      </c>
      <c r="CD17">
        <v>99.222170967742002</v>
      </c>
      <c r="CE17">
        <v>0.19996654838709699</v>
      </c>
      <c r="CF17">
        <v>27.266909677419399</v>
      </c>
      <c r="CG17">
        <v>27.097741935483899</v>
      </c>
      <c r="CH17">
        <v>999.9</v>
      </c>
      <c r="CI17">
        <v>10001.6948387097</v>
      </c>
      <c r="CJ17">
        <v>0</v>
      </c>
      <c r="CK17">
        <v>2125.9583870967699</v>
      </c>
      <c r="CL17">
        <v>2200.02</v>
      </c>
      <c r="CM17">
        <v>0.98199499999999995</v>
      </c>
      <c r="CN17">
        <v>1.8004699999999998E-2</v>
      </c>
      <c r="CO17">
        <v>0</v>
      </c>
      <c r="CP17">
        <v>312.15322580645199</v>
      </c>
      <c r="CQ17">
        <v>5.00054</v>
      </c>
      <c r="CR17">
        <v>9681.8329032258007</v>
      </c>
      <c r="CS17">
        <v>20590.6870967742</v>
      </c>
      <c r="CT17">
        <v>48.032064516128997</v>
      </c>
      <c r="CU17">
        <v>49.255903225806399</v>
      </c>
      <c r="CV17">
        <v>48.197258064516099</v>
      </c>
      <c r="CW17">
        <v>48.237580645161302</v>
      </c>
      <c r="CX17">
        <v>49.501903225806501</v>
      </c>
      <c r="CY17">
        <v>2155.5</v>
      </c>
      <c r="CZ17">
        <v>39.520000000000003</v>
      </c>
      <c r="DA17">
        <v>0</v>
      </c>
      <c r="DB17">
        <v>734.09999990463302</v>
      </c>
      <c r="DC17">
        <v>312.09223076923098</v>
      </c>
      <c r="DD17">
        <v>-7.75418802379727</v>
      </c>
      <c r="DE17">
        <v>-202.00307671010299</v>
      </c>
      <c r="DF17">
        <v>9680.8957692307704</v>
      </c>
      <c r="DG17">
        <v>15</v>
      </c>
      <c r="DH17">
        <v>1593109401</v>
      </c>
      <c r="DI17" t="s">
        <v>282</v>
      </c>
      <c r="DJ17">
        <v>68</v>
      </c>
      <c r="DK17">
        <v>-0.39200000000000002</v>
      </c>
      <c r="DL17">
        <v>0.1</v>
      </c>
      <c r="DM17">
        <v>400</v>
      </c>
      <c r="DN17">
        <v>17</v>
      </c>
      <c r="DO17">
        <v>0.47</v>
      </c>
      <c r="DP17">
        <v>0.02</v>
      </c>
      <c r="DQ17">
        <v>-12.283874074074101</v>
      </c>
      <c r="DR17">
        <v>0.327507466975406</v>
      </c>
      <c r="DS17">
        <v>8.3094177237694203E-2</v>
      </c>
      <c r="DT17">
        <v>1</v>
      </c>
      <c r="DU17">
        <v>3.4691183333333302</v>
      </c>
      <c r="DV17">
        <v>-0.38424113137307098</v>
      </c>
      <c r="DW17">
        <v>5.4098952675218699E-2</v>
      </c>
      <c r="DX17">
        <v>0</v>
      </c>
      <c r="DY17">
        <v>1</v>
      </c>
      <c r="DZ17">
        <v>2</v>
      </c>
      <c r="EA17" t="s">
        <v>283</v>
      </c>
      <c r="EB17">
        <v>1.8666499999999999</v>
      </c>
      <c r="EC17">
        <v>1.8631599999999999</v>
      </c>
      <c r="ED17">
        <v>1.8687499999999999</v>
      </c>
      <c r="EE17">
        <v>1.86676</v>
      </c>
      <c r="EF17">
        <v>1.8713900000000001</v>
      </c>
      <c r="EG17">
        <v>1.8638600000000001</v>
      </c>
      <c r="EH17">
        <v>1.86537</v>
      </c>
      <c r="EI17">
        <v>1.8652299999999999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-0.39200000000000002</v>
      </c>
      <c r="EX17">
        <v>0.1</v>
      </c>
      <c r="EY17">
        <v>2</v>
      </c>
      <c r="EZ17">
        <v>333.767</v>
      </c>
      <c r="FA17">
        <v>453.096</v>
      </c>
      <c r="FB17">
        <v>19.640499999999999</v>
      </c>
      <c r="FC17">
        <v>35.911499999999997</v>
      </c>
      <c r="FD17">
        <v>30</v>
      </c>
      <c r="FE17">
        <v>35.851799999999997</v>
      </c>
      <c r="FF17">
        <v>35.829900000000002</v>
      </c>
      <c r="FG17">
        <v>21.826599999999999</v>
      </c>
      <c r="FH17">
        <v>39.319699999999997</v>
      </c>
      <c r="FI17">
        <v>0</v>
      </c>
      <c r="FJ17">
        <v>19.559799999999999</v>
      </c>
      <c r="FK17">
        <v>400</v>
      </c>
      <c r="FL17">
        <v>16.710100000000001</v>
      </c>
      <c r="FM17">
        <v>100.571</v>
      </c>
      <c r="FN17">
        <v>100.738</v>
      </c>
    </row>
    <row r="18" spans="1:170" x14ac:dyDescent="0.25">
      <c r="A18">
        <v>2</v>
      </c>
      <c r="B18">
        <v>1593109553</v>
      </c>
      <c r="C18">
        <v>175.09999990463299</v>
      </c>
      <c r="D18" t="s">
        <v>288</v>
      </c>
      <c r="E18" t="s">
        <v>289</v>
      </c>
      <c r="G18">
        <v>1593109545</v>
      </c>
      <c r="H18">
        <f t="shared" si="0"/>
        <v>8.6754033028188203E-3</v>
      </c>
      <c r="I18">
        <f t="shared" si="1"/>
        <v>20.312121000288727</v>
      </c>
      <c r="J18">
        <f t="shared" si="2"/>
        <v>290.81316129032302</v>
      </c>
      <c r="K18">
        <f t="shared" si="3"/>
        <v>221.76695202566452</v>
      </c>
      <c r="L18">
        <f t="shared" si="4"/>
        <v>22.046637898956941</v>
      </c>
      <c r="M18">
        <f t="shared" si="5"/>
        <v>28.91076603008338</v>
      </c>
      <c r="N18">
        <f t="shared" si="6"/>
        <v>0.56337843222773643</v>
      </c>
      <c r="O18">
        <f t="shared" si="7"/>
        <v>3.3794870732283826</v>
      </c>
      <c r="P18">
        <f t="shared" si="8"/>
        <v>0.51592603020602201</v>
      </c>
      <c r="Q18">
        <f t="shared" si="9"/>
        <v>0.32638345890820675</v>
      </c>
      <c r="R18">
        <f t="shared" si="10"/>
        <v>353.33866224182191</v>
      </c>
      <c r="S18">
        <f t="shared" si="11"/>
        <v>26.757603505591053</v>
      </c>
      <c r="T18">
        <f t="shared" si="12"/>
        <v>26.9854709677419</v>
      </c>
      <c r="U18">
        <f t="shared" si="13"/>
        <v>3.5761066399291073</v>
      </c>
      <c r="V18">
        <f t="shared" si="14"/>
        <v>54.801478344959676</v>
      </c>
      <c r="W18">
        <f t="shared" si="15"/>
        <v>1.950916335350225</v>
      </c>
      <c r="X18">
        <f t="shared" si="16"/>
        <v>3.5599702677175293</v>
      </c>
      <c r="Y18">
        <f t="shared" si="17"/>
        <v>1.6251903045788822</v>
      </c>
      <c r="Z18">
        <f t="shared" si="18"/>
        <v>-382.58528565430998</v>
      </c>
      <c r="AA18">
        <f t="shared" si="19"/>
        <v>-14.023718316508251</v>
      </c>
      <c r="AB18">
        <f t="shared" si="20"/>
        <v>-0.89507022415894233</v>
      </c>
      <c r="AC18">
        <f t="shared" si="21"/>
        <v>-44.165411953155257</v>
      </c>
      <c r="AD18">
        <v>-4.1130192275441603E-2</v>
      </c>
      <c r="AE18">
        <v>4.6172244031924402E-2</v>
      </c>
      <c r="AF18">
        <v>3.4516633542663002</v>
      </c>
      <c r="AG18">
        <v>144</v>
      </c>
      <c r="AH18">
        <v>29</v>
      </c>
      <c r="AI18">
        <f t="shared" si="22"/>
        <v>1</v>
      </c>
      <c r="AJ18">
        <f t="shared" si="23"/>
        <v>0</v>
      </c>
      <c r="AK18">
        <f t="shared" si="24"/>
        <v>52464.087144605379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286.26453846153902</v>
      </c>
      <c r="AT18">
        <v>354.23599999999999</v>
      </c>
      <c r="AU18">
        <f t="shared" si="27"/>
        <v>0.19188185711915495</v>
      </c>
      <c r="AV18">
        <v>0.5</v>
      </c>
      <c r="AW18">
        <f t="shared" si="28"/>
        <v>1849.1899058130837</v>
      </c>
      <c r="AX18">
        <f t="shared" si="29"/>
        <v>20.312121000288727</v>
      </c>
      <c r="AY18">
        <f t="shared" si="30"/>
        <v>177.41299664670487</v>
      </c>
      <c r="AZ18">
        <f t="shared" si="31"/>
        <v>0.43433191431700902</v>
      </c>
      <c r="BA18">
        <f t="shared" si="32"/>
        <v>1.1525112122498769E-2</v>
      </c>
      <c r="BB18">
        <f t="shared" si="33"/>
        <v>-1</v>
      </c>
      <c r="BC18" t="s">
        <v>291</v>
      </c>
      <c r="BD18">
        <v>200.38</v>
      </c>
      <c r="BE18">
        <f t="shared" si="34"/>
        <v>153.85599999999999</v>
      </c>
      <c r="BF18">
        <f t="shared" si="35"/>
        <v>0.44178622568155274</v>
      </c>
      <c r="BG18">
        <f t="shared" si="36"/>
        <v>1.7678211398343149</v>
      </c>
      <c r="BH18">
        <f t="shared" si="37"/>
        <v>0.19188185711915495</v>
      </c>
      <c r="BI18" t="e">
        <f t="shared" si="38"/>
        <v>#DIV/0!</v>
      </c>
      <c r="BJ18">
        <v>4055</v>
      </c>
      <c r="BK18">
        <v>300</v>
      </c>
      <c r="BL18">
        <v>300</v>
      </c>
      <c r="BM18">
        <v>300</v>
      </c>
      <c r="BN18">
        <v>9894.69</v>
      </c>
      <c r="BO18">
        <v>335.75599999999997</v>
      </c>
      <c r="BP18">
        <v>-6.4184799999999998E-3</v>
      </c>
      <c r="BQ18">
        <v>0.31207299999999999</v>
      </c>
      <c r="BR18">
        <f t="shared" si="39"/>
        <v>2200.0054838709698</v>
      </c>
      <c r="BS18">
        <f t="shared" si="40"/>
        <v>1849.1899058130837</v>
      </c>
      <c r="BT18">
        <f t="shared" si="41"/>
        <v>0.84053877109405362</v>
      </c>
      <c r="BU18">
        <f t="shared" si="42"/>
        <v>0.19107754218810744</v>
      </c>
      <c r="BV18">
        <v>0.5</v>
      </c>
      <c r="BW18" t="s">
        <v>281</v>
      </c>
      <c r="BX18">
        <v>1593109545</v>
      </c>
      <c r="BY18">
        <v>290.81316129032302</v>
      </c>
      <c r="BZ18">
        <v>299.945903225807</v>
      </c>
      <c r="CA18">
        <v>19.624251612903201</v>
      </c>
      <c r="CB18">
        <v>16.222664516129001</v>
      </c>
      <c r="CC18">
        <v>500.06980645161298</v>
      </c>
      <c r="CD18">
        <v>99.213541935483903</v>
      </c>
      <c r="CE18">
        <v>0.19999870967741901</v>
      </c>
      <c r="CF18">
        <v>26.9085</v>
      </c>
      <c r="CG18">
        <v>26.9854709677419</v>
      </c>
      <c r="CH18">
        <v>999.9</v>
      </c>
      <c r="CI18">
        <v>9997.3709677419392</v>
      </c>
      <c r="CJ18">
        <v>0</v>
      </c>
      <c r="CK18">
        <v>2130.3480645161299</v>
      </c>
      <c r="CL18">
        <v>2200.0054838709698</v>
      </c>
      <c r="CM18">
        <v>0.98200225806451602</v>
      </c>
      <c r="CN18">
        <v>1.7998129032258101E-2</v>
      </c>
      <c r="CO18">
        <v>0</v>
      </c>
      <c r="CP18">
        <v>286.28522580645199</v>
      </c>
      <c r="CQ18">
        <v>5.00054</v>
      </c>
      <c r="CR18">
        <v>9083.8667741935496</v>
      </c>
      <c r="CS18">
        <v>20590.599999999999</v>
      </c>
      <c r="CT18">
        <v>47.052193548387102</v>
      </c>
      <c r="CU18">
        <v>48.393000000000001</v>
      </c>
      <c r="CV18">
        <v>47.140935483870997</v>
      </c>
      <c r="CW18">
        <v>47.286000000000001</v>
      </c>
      <c r="CX18">
        <v>48.542129032258103</v>
      </c>
      <c r="CY18">
        <v>2155.4961290322599</v>
      </c>
      <c r="CZ18">
        <v>39.51</v>
      </c>
      <c r="DA18">
        <v>0</v>
      </c>
      <c r="DB18">
        <v>174.09999990463299</v>
      </c>
      <c r="DC18">
        <v>286.26453846153902</v>
      </c>
      <c r="DD18">
        <v>-1.1033846272544701</v>
      </c>
      <c r="DE18">
        <v>7.2136751347538899E-2</v>
      </c>
      <c r="DF18">
        <v>9083.7649999999994</v>
      </c>
      <c r="DG18">
        <v>15</v>
      </c>
      <c r="DH18">
        <v>1593109501.5</v>
      </c>
      <c r="DI18" t="s">
        <v>292</v>
      </c>
      <c r="DJ18">
        <v>69</v>
      </c>
      <c r="DK18">
        <v>-0.38800000000000001</v>
      </c>
      <c r="DL18">
        <v>0.108</v>
      </c>
      <c r="DM18">
        <v>300</v>
      </c>
      <c r="DN18">
        <v>17</v>
      </c>
      <c r="DO18">
        <v>0.21</v>
      </c>
      <c r="DP18">
        <v>0.03</v>
      </c>
      <c r="DQ18">
        <v>-9.1225285185185196</v>
      </c>
      <c r="DR18">
        <v>-0.22633166380788</v>
      </c>
      <c r="DS18">
        <v>5.5334489392455097E-2</v>
      </c>
      <c r="DT18">
        <v>1</v>
      </c>
      <c r="DU18">
        <v>3.4862575925925898</v>
      </c>
      <c r="DV18">
        <v>-0.90803938250427996</v>
      </c>
      <c r="DW18">
        <v>0.118303437349254</v>
      </c>
      <c r="DX18">
        <v>0</v>
      </c>
      <c r="DY18">
        <v>1</v>
      </c>
      <c r="DZ18">
        <v>2</v>
      </c>
      <c r="EA18" t="s">
        <v>283</v>
      </c>
      <c r="EB18">
        <v>1.86669</v>
      </c>
      <c r="EC18">
        <v>1.8632</v>
      </c>
      <c r="ED18">
        <v>1.8688100000000001</v>
      </c>
      <c r="EE18">
        <v>1.86676</v>
      </c>
      <c r="EF18">
        <v>1.8714900000000001</v>
      </c>
      <c r="EG18">
        <v>1.8638600000000001</v>
      </c>
      <c r="EH18">
        <v>1.8653900000000001</v>
      </c>
      <c r="EI18">
        <v>1.86528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-0.38800000000000001</v>
      </c>
      <c r="EX18">
        <v>0.108</v>
      </c>
      <c r="EY18">
        <v>2</v>
      </c>
      <c r="EZ18">
        <v>335.80700000000002</v>
      </c>
      <c r="FA18">
        <v>453.25400000000002</v>
      </c>
      <c r="FB18">
        <v>19.3673</v>
      </c>
      <c r="FC18">
        <v>35.665199999999999</v>
      </c>
      <c r="FD18">
        <v>29.999300000000002</v>
      </c>
      <c r="FE18">
        <v>35.647199999999998</v>
      </c>
      <c r="FF18">
        <v>35.634500000000003</v>
      </c>
      <c r="FG18">
        <v>17.2531</v>
      </c>
      <c r="FH18">
        <v>39.807499999999997</v>
      </c>
      <c r="FI18">
        <v>0</v>
      </c>
      <c r="FJ18">
        <v>19.3871</v>
      </c>
      <c r="FK18">
        <v>300</v>
      </c>
      <c r="FL18">
        <v>16.397500000000001</v>
      </c>
      <c r="FM18">
        <v>100.623</v>
      </c>
      <c r="FN18">
        <v>100.813</v>
      </c>
    </row>
    <row r="19" spans="1:170" x14ac:dyDescent="0.25">
      <c r="A19">
        <v>3</v>
      </c>
      <c r="B19">
        <v>1593109673.5</v>
      </c>
      <c r="C19">
        <v>295.59999990463302</v>
      </c>
      <c r="D19" t="s">
        <v>293</v>
      </c>
      <c r="E19" t="s">
        <v>294</v>
      </c>
      <c r="G19">
        <v>1593109665.5</v>
      </c>
      <c r="H19">
        <f t="shared" si="0"/>
        <v>7.7365376922242952E-3</v>
      </c>
      <c r="I19">
        <f t="shared" si="1"/>
        <v>12.731933278981398</v>
      </c>
      <c r="J19">
        <f t="shared" si="2"/>
        <v>194.30787096774199</v>
      </c>
      <c r="K19">
        <f t="shared" si="3"/>
        <v>146.08492494852129</v>
      </c>
      <c r="L19">
        <f t="shared" si="4"/>
        <v>14.522252413950913</v>
      </c>
      <c r="M19">
        <f t="shared" si="5"/>
        <v>19.316078980807369</v>
      </c>
      <c r="N19">
        <f t="shared" si="6"/>
        <v>0.49866241063191524</v>
      </c>
      <c r="O19">
        <f t="shared" si="7"/>
        <v>3.3800418243603372</v>
      </c>
      <c r="P19">
        <f t="shared" si="8"/>
        <v>0.46110215579044594</v>
      </c>
      <c r="Q19">
        <f t="shared" si="9"/>
        <v>0.29132737185458901</v>
      </c>
      <c r="R19">
        <f t="shared" si="10"/>
        <v>353.33804508836715</v>
      </c>
      <c r="S19">
        <f t="shared" si="11"/>
        <v>26.906882541220057</v>
      </c>
      <c r="T19">
        <f t="shared" si="12"/>
        <v>26.977964516128999</v>
      </c>
      <c r="U19">
        <f t="shared" si="13"/>
        <v>3.5745301653468209</v>
      </c>
      <c r="V19">
        <f t="shared" si="14"/>
        <v>55.067040832359325</v>
      </c>
      <c r="W19">
        <f t="shared" si="15"/>
        <v>1.9529703922115087</v>
      </c>
      <c r="X19">
        <f t="shared" si="16"/>
        <v>3.5465323044267789</v>
      </c>
      <c r="Y19">
        <f t="shared" si="17"/>
        <v>1.6215597731353122</v>
      </c>
      <c r="Z19">
        <f t="shared" si="18"/>
        <v>-341.18131222709144</v>
      </c>
      <c r="AA19">
        <f t="shared" si="19"/>
        <v>-24.381092402919204</v>
      </c>
      <c r="AB19">
        <f t="shared" si="20"/>
        <v>-1.5553201108344243</v>
      </c>
      <c r="AC19">
        <f t="shared" si="21"/>
        <v>-13.77967965247792</v>
      </c>
      <c r="AD19">
        <v>-4.11387688569771E-2</v>
      </c>
      <c r="AE19">
        <v>4.6181871996047799E-2</v>
      </c>
      <c r="AF19">
        <v>3.4522331557961499</v>
      </c>
      <c r="AG19">
        <v>142</v>
      </c>
      <c r="AH19">
        <v>28</v>
      </c>
      <c r="AI19">
        <f t="shared" si="22"/>
        <v>1</v>
      </c>
      <c r="AJ19">
        <f t="shared" si="23"/>
        <v>0</v>
      </c>
      <c r="AK19">
        <f t="shared" si="24"/>
        <v>52485.755187014205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280.57561538461499</v>
      </c>
      <c r="AT19">
        <v>334.10700000000003</v>
      </c>
      <c r="AU19">
        <f t="shared" si="27"/>
        <v>0.16022227793905852</v>
      </c>
      <c r="AV19">
        <v>0.5</v>
      </c>
      <c r="AW19">
        <f t="shared" si="28"/>
        <v>1849.186654547776</v>
      </c>
      <c r="AX19">
        <f t="shared" si="29"/>
        <v>12.731933278981398</v>
      </c>
      <c r="AY19">
        <f t="shared" si="30"/>
        <v>148.14044906307578</v>
      </c>
      <c r="AZ19">
        <f t="shared" si="31"/>
        <v>0.39025521763985793</v>
      </c>
      <c r="BA19">
        <f t="shared" si="32"/>
        <v>7.4259314197460411E-3</v>
      </c>
      <c r="BB19">
        <f t="shared" si="33"/>
        <v>-1</v>
      </c>
      <c r="BC19" t="s">
        <v>296</v>
      </c>
      <c r="BD19">
        <v>203.72</v>
      </c>
      <c r="BE19">
        <f t="shared" si="34"/>
        <v>130.38700000000003</v>
      </c>
      <c r="BF19">
        <f t="shared" si="35"/>
        <v>0.41055768301583001</v>
      </c>
      <c r="BG19">
        <f t="shared" si="36"/>
        <v>1.6400304339289222</v>
      </c>
      <c r="BH19">
        <f t="shared" si="37"/>
        <v>0.16022227793905855</v>
      </c>
      <c r="BI19" t="e">
        <f t="shared" si="38"/>
        <v>#DIV/0!</v>
      </c>
      <c r="BJ19">
        <v>4057</v>
      </c>
      <c r="BK19">
        <v>300</v>
      </c>
      <c r="BL19">
        <v>300</v>
      </c>
      <c r="BM19">
        <v>300</v>
      </c>
      <c r="BN19">
        <v>9895.84</v>
      </c>
      <c r="BO19">
        <v>320.24799999999999</v>
      </c>
      <c r="BP19">
        <v>-6.4195600000000004E-3</v>
      </c>
      <c r="BQ19">
        <v>0.54186999999999996</v>
      </c>
      <c r="BR19">
        <f t="shared" si="39"/>
        <v>2200.0016129032301</v>
      </c>
      <c r="BS19">
        <f t="shared" si="40"/>
        <v>1849.186654547776</v>
      </c>
      <c r="BT19">
        <f t="shared" si="41"/>
        <v>0.84053877220003426</v>
      </c>
      <c r="BU19">
        <f t="shared" si="42"/>
        <v>0.19107754440006869</v>
      </c>
      <c r="BV19">
        <v>0.5</v>
      </c>
      <c r="BW19" t="s">
        <v>281</v>
      </c>
      <c r="BX19">
        <v>1593109665.5</v>
      </c>
      <c r="BY19">
        <v>194.30787096774199</v>
      </c>
      <c r="BZ19">
        <v>200.00103225806501</v>
      </c>
      <c r="CA19">
        <v>19.645680645161299</v>
      </c>
      <c r="CB19">
        <v>16.612351612903201</v>
      </c>
      <c r="CC19">
        <v>500.080806451613</v>
      </c>
      <c r="CD19">
        <v>99.2096709677419</v>
      </c>
      <c r="CE19">
        <v>0.199986935483871</v>
      </c>
      <c r="CF19">
        <v>26.8441677419355</v>
      </c>
      <c r="CG19">
        <v>26.977964516128999</v>
      </c>
      <c r="CH19">
        <v>999.9</v>
      </c>
      <c r="CI19">
        <v>9999.8458064516108</v>
      </c>
      <c r="CJ19">
        <v>0</v>
      </c>
      <c r="CK19">
        <v>254.67709677419401</v>
      </c>
      <c r="CL19">
        <v>2200.0016129032301</v>
      </c>
      <c r="CM19">
        <v>0.98200035483870995</v>
      </c>
      <c r="CN19">
        <v>1.7999551612903199E-2</v>
      </c>
      <c r="CO19">
        <v>0</v>
      </c>
      <c r="CP19">
        <v>280.58645161290298</v>
      </c>
      <c r="CQ19">
        <v>5.00054</v>
      </c>
      <c r="CR19">
        <v>8073.5780645161303</v>
      </c>
      <c r="CS19">
        <v>20590.554838709701</v>
      </c>
      <c r="CT19">
        <v>46.634870967741897</v>
      </c>
      <c r="CU19">
        <v>48.0502580645161</v>
      </c>
      <c r="CV19">
        <v>46.683258064516103</v>
      </c>
      <c r="CW19">
        <v>46.9634838709677</v>
      </c>
      <c r="CX19">
        <v>48.1328064516129</v>
      </c>
      <c r="CY19">
        <v>2155.4916129032299</v>
      </c>
      <c r="CZ19">
        <v>39.51</v>
      </c>
      <c r="DA19">
        <v>0</v>
      </c>
      <c r="DB19">
        <v>119.799999952316</v>
      </c>
      <c r="DC19">
        <v>280.57561538461499</v>
      </c>
      <c r="DD19">
        <v>-1.5770256522355599</v>
      </c>
      <c r="DE19">
        <v>-25.133333322031401</v>
      </c>
      <c r="DF19">
        <v>8073.44038461539</v>
      </c>
      <c r="DG19">
        <v>15</v>
      </c>
      <c r="DH19">
        <v>1593109630</v>
      </c>
      <c r="DI19" t="s">
        <v>297</v>
      </c>
      <c r="DJ19">
        <v>70</v>
      </c>
      <c r="DK19">
        <v>-0.378</v>
      </c>
      <c r="DL19">
        <v>0.10199999999999999</v>
      </c>
      <c r="DM19">
        <v>200</v>
      </c>
      <c r="DN19">
        <v>16</v>
      </c>
      <c r="DO19">
        <v>1.55</v>
      </c>
      <c r="DP19">
        <v>0.03</v>
      </c>
      <c r="DQ19">
        <v>-5.7047159259259299</v>
      </c>
      <c r="DR19">
        <v>0.119439039451414</v>
      </c>
      <c r="DS19">
        <v>7.1946072178545206E-2</v>
      </c>
      <c r="DT19">
        <v>1</v>
      </c>
      <c r="DU19">
        <v>3.0241144444444399</v>
      </c>
      <c r="DV19">
        <v>0.10437141223560301</v>
      </c>
      <c r="DW19">
        <v>1.54359456232506E-2</v>
      </c>
      <c r="DX19">
        <v>0</v>
      </c>
      <c r="DY19">
        <v>1</v>
      </c>
      <c r="DZ19">
        <v>2</v>
      </c>
      <c r="EA19" t="s">
        <v>283</v>
      </c>
      <c r="EB19">
        <v>1.86669</v>
      </c>
      <c r="EC19">
        <v>1.8632299999999999</v>
      </c>
      <c r="ED19">
        <v>1.8688199999999999</v>
      </c>
      <c r="EE19">
        <v>1.86676</v>
      </c>
      <c r="EF19">
        <v>1.87148</v>
      </c>
      <c r="EG19">
        <v>1.8638600000000001</v>
      </c>
      <c r="EH19">
        <v>1.8653900000000001</v>
      </c>
      <c r="EI19">
        <v>1.86527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-0.378</v>
      </c>
      <c r="EX19">
        <v>0.10199999999999999</v>
      </c>
      <c r="EY19">
        <v>2</v>
      </c>
      <c r="EZ19">
        <v>337.68799999999999</v>
      </c>
      <c r="FA19">
        <v>452.47899999999998</v>
      </c>
      <c r="FB19">
        <v>19.777799999999999</v>
      </c>
      <c r="FC19">
        <v>35.556399999999996</v>
      </c>
      <c r="FD19">
        <v>30.0001</v>
      </c>
      <c r="FE19">
        <v>35.557600000000001</v>
      </c>
      <c r="FF19">
        <v>35.551900000000003</v>
      </c>
      <c r="FG19">
        <v>12.4895</v>
      </c>
      <c r="FH19">
        <v>39.109099999999998</v>
      </c>
      <c r="FI19">
        <v>0</v>
      </c>
      <c r="FJ19">
        <v>19.775600000000001</v>
      </c>
      <c r="FK19">
        <v>200</v>
      </c>
      <c r="FL19">
        <v>16.622599999999998</v>
      </c>
      <c r="FM19">
        <v>100.639</v>
      </c>
      <c r="FN19">
        <v>100.82899999999999</v>
      </c>
    </row>
    <row r="20" spans="1:170" x14ac:dyDescent="0.25">
      <c r="A20">
        <v>4</v>
      </c>
      <c r="B20">
        <v>1593109794</v>
      </c>
      <c r="C20">
        <v>416.09999990463302</v>
      </c>
      <c r="D20" t="s">
        <v>298</v>
      </c>
      <c r="E20" t="s">
        <v>299</v>
      </c>
      <c r="G20">
        <v>1593109786</v>
      </c>
      <c r="H20">
        <f t="shared" si="0"/>
        <v>7.4950389164370043E-3</v>
      </c>
      <c r="I20">
        <f t="shared" si="1"/>
        <v>4.476130560595637</v>
      </c>
      <c r="J20">
        <f t="shared" si="2"/>
        <v>97.912564516128995</v>
      </c>
      <c r="K20">
        <f t="shared" si="3"/>
        <v>79.54277402266645</v>
      </c>
      <c r="L20">
        <f t="shared" si="4"/>
        <v>7.9076105830359831</v>
      </c>
      <c r="M20">
        <f t="shared" si="5"/>
        <v>9.7338122902188964</v>
      </c>
      <c r="N20">
        <f t="shared" si="6"/>
        <v>0.47774531595772118</v>
      </c>
      <c r="O20">
        <f t="shared" si="7"/>
        <v>3.3800744378404799</v>
      </c>
      <c r="P20">
        <f t="shared" si="8"/>
        <v>0.44315320809252573</v>
      </c>
      <c r="Q20">
        <f t="shared" si="9"/>
        <v>0.27986970763570529</v>
      </c>
      <c r="R20">
        <f t="shared" si="10"/>
        <v>353.34072354141597</v>
      </c>
      <c r="S20">
        <f t="shared" si="11"/>
        <v>26.977604202107042</v>
      </c>
      <c r="T20">
        <f t="shared" si="12"/>
        <v>27.018925806451598</v>
      </c>
      <c r="U20">
        <f t="shared" si="13"/>
        <v>3.5831400722752393</v>
      </c>
      <c r="V20">
        <f t="shared" si="14"/>
        <v>54.891314998880404</v>
      </c>
      <c r="W20">
        <f t="shared" si="15"/>
        <v>1.9485438804508395</v>
      </c>
      <c r="X20">
        <f t="shared" si="16"/>
        <v>3.5498218260768271</v>
      </c>
      <c r="Y20">
        <f t="shared" si="17"/>
        <v>1.6345961918243999</v>
      </c>
      <c r="Z20">
        <f t="shared" si="18"/>
        <v>-330.5312162148719</v>
      </c>
      <c r="AA20">
        <f t="shared" si="19"/>
        <v>-28.97226163879041</v>
      </c>
      <c r="AB20">
        <f t="shared" si="20"/>
        <v>-1.8487068925739145</v>
      </c>
      <c r="AC20">
        <f t="shared" si="21"/>
        <v>-8.0114612048202325</v>
      </c>
      <c r="AD20">
        <v>-4.11392730885917E-2</v>
      </c>
      <c r="AE20">
        <v>4.6182438040208301E-2</v>
      </c>
      <c r="AF20">
        <v>3.45226665411443</v>
      </c>
      <c r="AG20">
        <v>142</v>
      </c>
      <c r="AH20">
        <v>28</v>
      </c>
      <c r="AI20">
        <f t="shared" si="22"/>
        <v>1</v>
      </c>
      <c r="AJ20">
        <f t="shared" si="23"/>
        <v>0</v>
      </c>
      <c r="AK20">
        <f t="shared" si="24"/>
        <v>52483.691082865276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281.55203846153802</v>
      </c>
      <c r="AT20">
        <v>324.28199999999998</v>
      </c>
      <c r="AU20">
        <f t="shared" si="27"/>
        <v>0.13176791045590552</v>
      </c>
      <c r="AV20">
        <v>0.5</v>
      </c>
      <c r="AW20">
        <f t="shared" si="28"/>
        <v>1849.2007455655366</v>
      </c>
      <c r="AX20">
        <f t="shared" si="29"/>
        <v>4.476130560595637</v>
      </c>
      <c r="AY20">
        <f t="shared" si="30"/>
        <v>121.83265912833669</v>
      </c>
      <c r="AZ20">
        <f t="shared" si="31"/>
        <v>0.35136702006278481</v>
      </c>
      <c r="BA20">
        <f t="shared" si="32"/>
        <v>2.9613499636140829E-3</v>
      </c>
      <c r="BB20">
        <f t="shared" si="33"/>
        <v>-1</v>
      </c>
      <c r="BC20" t="s">
        <v>301</v>
      </c>
      <c r="BD20">
        <v>210.34</v>
      </c>
      <c r="BE20">
        <f t="shared" si="34"/>
        <v>113.94199999999998</v>
      </c>
      <c r="BF20">
        <f t="shared" si="35"/>
        <v>0.37501502113761365</v>
      </c>
      <c r="BG20">
        <f t="shared" si="36"/>
        <v>1.5417039079585433</v>
      </c>
      <c r="BH20">
        <f t="shared" si="37"/>
        <v>0.13176791045590555</v>
      </c>
      <c r="BI20" t="e">
        <f t="shared" si="38"/>
        <v>#DIV/0!</v>
      </c>
      <c r="BJ20">
        <v>4059</v>
      </c>
      <c r="BK20">
        <v>300</v>
      </c>
      <c r="BL20">
        <v>300</v>
      </c>
      <c r="BM20">
        <v>300</v>
      </c>
      <c r="BN20">
        <v>9896.2199999999993</v>
      </c>
      <c r="BO20">
        <v>312.08100000000002</v>
      </c>
      <c r="BP20">
        <v>-6.4198399999999996E-3</v>
      </c>
      <c r="BQ20">
        <v>0.56005899999999997</v>
      </c>
      <c r="BR20">
        <f t="shared" si="39"/>
        <v>2200.0183870967699</v>
      </c>
      <c r="BS20">
        <f t="shared" si="40"/>
        <v>1849.2007455655366</v>
      </c>
      <c r="BT20">
        <f t="shared" si="41"/>
        <v>0.84053876840811959</v>
      </c>
      <c r="BU20">
        <f t="shared" si="42"/>
        <v>0.19107753681623929</v>
      </c>
      <c r="BV20">
        <v>0.5</v>
      </c>
      <c r="BW20" t="s">
        <v>281</v>
      </c>
      <c r="BX20">
        <v>1593109786</v>
      </c>
      <c r="BY20">
        <v>97.912564516128995</v>
      </c>
      <c r="BZ20">
        <v>99.996254838709703</v>
      </c>
      <c r="CA20">
        <v>19.600432258064501</v>
      </c>
      <c r="CB20">
        <v>16.661609677419399</v>
      </c>
      <c r="CC20">
        <v>500.07325806451598</v>
      </c>
      <c r="CD20">
        <v>99.213316129032293</v>
      </c>
      <c r="CE20">
        <v>0.19999551612903199</v>
      </c>
      <c r="CF20">
        <v>26.859935483870998</v>
      </c>
      <c r="CG20">
        <v>27.018925806451598</v>
      </c>
      <c r="CH20">
        <v>999.9</v>
      </c>
      <c r="CI20">
        <v>9999.6009677419406</v>
      </c>
      <c r="CJ20">
        <v>0</v>
      </c>
      <c r="CK20">
        <v>261.40064516129002</v>
      </c>
      <c r="CL20">
        <v>2200.0183870967699</v>
      </c>
      <c r="CM20">
        <v>0.98199996774193499</v>
      </c>
      <c r="CN20">
        <v>1.7999822580645201E-2</v>
      </c>
      <c r="CO20">
        <v>0</v>
      </c>
      <c r="CP20">
        <v>281.55529032258102</v>
      </c>
      <c r="CQ20">
        <v>5.00054</v>
      </c>
      <c r="CR20">
        <v>8132.1770967741904</v>
      </c>
      <c r="CS20">
        <v>20590.7096774194</v>
      </c>
      <c r="CT20">
        <v>46.525967741935503</v>
      </c>
      <c r="CU20">
        <v>47.739774193548399</v>
      </c>
      <c r="CV20">
        <v>46.524000000000001</v>
      </c>
      <c r="CW20">
        <v>46.983709677419299</v>
      </c>
      <c r="CX20">
        <v>48.048129032258103</v>
      </c>
      <c r="CY20">
        <v>2155.5070967741899</v>
      </c>
      <c r="CZ20">
        <v>39.51</v>
      </c>
      <c r="DA20">
        <v>0</v>
      </c>
      <c r="DB20">
        <v>119.799999952316</v>
      </c>
      <c r="DC20">
        <v>281.55203846153802</v>
      </c>
      <c r="DD20">
        <v>-1.26594871853386</v>
      </c>
      <c r="DE20">
        <v>16.8482058012716</v>
      </c>
      <c r="DF20">
        <v>8130.6526923076899</v>
      </c>
      <c r="DG20">
        <v>15</v>
      </c>
      <c r="DH20">
        <v>1593109749.5</v>
      </c>
      <c r="DI20" t="s">
        <v>302</v>
      </c>
      <c r="DJ20">
        <v>71</v>
      </c>
      <c r="DK20">
        <v>-0.40400000000000003</v>
      </c>
      <c r="DL20">
        <v>0.10199999999999999</v>
      </c>
      <c r="DM20">
        <v>100</v>
      </c>
      <c r="DN20">
        <v>16</v>
      </c>
      <c r="DO20">
        <v>0.32</v>
      </c>
      <c r="DP20">
        <v>0.03</v>
      </c>
      <c r="DQ20">
        <v>-2.1157648148148098</v>
      </c>
      <c r="DR20">
        <v>0.260736420811855</v>
      </c>
      <c r="DS20">
        <v>5.7257284373733598E-2</v>
      </c>
      <c r="DT20">
        <v>1</v>
      </c>
      <c r="DU20">
        <v>2.9328116666666699</v>
      </c>
      <c r="DV20">
        <v>6.0758970840479903E-2</v>
      </c>
      <c r="DW20">
        <v>8.4524203743770905E-3</v>
      </c>
      <c r="DX20">
        <v>1</v>
      </c>
      <c r="DY20">
        <v>2</v>
      </c>
      <c r="DZ20">
        <v>2</v>
      </c>
      <c r="EA20" t="s">
        <v>303</v>
      </c>
      <c r="EB20">
        <v>1.86673</v>
      </c>
      <c r="EC20">
        <v>1.8632500000000001</v>
      </c>
      <c r="ED20">
        <v>1.8688400000000001</v>
      </c>
      <c r="EE20">
        <v>1.86676</v>
      </c>
      <c r="EF20">
        <v>1.8714900000000001</v>
      </c>
      <c r="EG20">
        <v>1.8638600000000001</v>
      </c>
      <c r="EH20">
        <v>1.8653900000000001</v>
      </c>
      <c r="EI20">
        <v>1.8652899999999999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-0.40400000000000003</v>
      </c>
      <c r="EX20">
        <v>0.10199999999999999</v>
      </c>
      <c r="EY20">
        <v>2</v>
      </c>
      <c r="EZ20">
        <v>337.92899999999997</v>
      </c>
      <c r="FA20">
        <v>451.61</v>
      </c>
      <c r="FB20">
        <v>19.997199999999999</v>
      </c>
      <c r="FC20">
        <v>35.618400000000001</v>
      </c>
      <c r="FD20">
        <v>30.000499999999999</v>
      </c>
      <c r="FE20">
        <v>35.61</v>
      </c>
      <c r="FF20">
        <v>35.603999999999999</v>
      </c>
      <c r="FG20">
        <v>7.5372399999999997</v>
      </c>
      <c r="FH20">
        <v>38.914999999999999</v>
      </c>
      <c r="FI20">
        <v>0</v>
      </c>
      <c r="FJ20">
        <v>19.988600000000002</v>
      </c>
      <c r="FK20">
        <v>100</v>
      </c>
      <c r="FL20">
        <v>16.6586</v>
      </c>
      <c r="FM20">
        <v>100.604</v>
      </c>
      <c r="FN20">
        <v>100.786</v>
      </c>
    </row>
    <row r="21" spans="1:170" x14ac:dyDescent="0.25">
      <c r="A21">
        <v>5</v>
      </c>
      <c r="B21">
        <v>1593109914.5</v>
      </c>
      <c r="C21">
        <v>536.59999990463302</v>
      </c>
      <c r="D21" t="s">
        <v>304</v>
      </c>
      <c r="E21" t="s">
        <v>305</v>
      </c>
      <c r="G21">
        <v>1593109906.5</v>
      </c>
      <c r="H21">
        <f t="shared" si="0"/>
        <v>7.4328584617902689E-3</v>
      </c>
      <c r="I21">
        <f t="shared" si="1"/>
        <v>0.22961766566442177</v>
      </c>
      <c r="J21">
        <f t="shared" si="2"/>
        <v>49.751464516128998</v>
      </c>
      <c r="K21">
        <f t="shared" si="3"/>
        <v>47.634195427293513</v>
      </c>
      <c r="L21">
        <f t="shared" si="4"/>
        <v>4.7353967481452566</v>
      </c>
      <c r="M21">
        <f t="shared" si="5"/>
        <v>4.9458780855181823</v>
      </c>
      <c r="N21">
        <f t="shared" si="6"/>
        <v>0.47686840329961461</v>
      </c>
      <c r="O21">
        <f t="shared" si="7"/>
        <v>3.3805339999777089</v>
      </c>
      <c r="P21">
        <f t="shared" si="8"/>
        <v>0.44240258156294515</v>
      </c>
      <c r="Q21">
        <f t="shared" si="9"/>
        <v>0.27939036283457358</v>
      </c>
      <c r="R21">
        <f t="shared" si="10"/>
        <v>353.33443655645982</v>
      </c>
      <c r="S21">
        <f t="shared" si="11"/>
        <v>26.964622550433461</v>
      </c>
      <c r="T21">
        <f t="shared" si="12"/>
        <v>26.951883870967698</v>
      </c>
      <c r="U21">
        <f t="shared" si="13"/>
        <v>3.5690575284155601</v>
      </c>
      <c r="V21">
        <f t="shared" si="14"/>
        <v>54.883087760272389</v>
      </c>
      <c r="W21">
        <f t="shared" si="15"/>
        <v>1.9451520207357076</v>
      </c>
      <c r="X21">
        <f t="shared" si="16"/>
        <v>3.5441738067509445</v>
      </c>
      <c r="Y21">
        <f t="shared" si="17"/>
        <v>1.6239055076798525</v>
      </c>
      <c r="Z21">
        <f t="shared" si="18"/>
        <v>-327.78905816495086</v>
      </c>
      <c r="AA21">
        <f t="shared" si="19"/>
        <v>-21.693201699993899</v>
      </c>
      <c r="AB21">
        <f t="shared" si="20"/>
        <v>-1.3833937755520322</v>
      </c>
      <c r="AC21">
        <f t="shared" si="21"/>
        <v>2.4687829159630539</v>
      </c>
      <c r="AD21">
        <v>-4.1146378534439802E-2</v>
      </c>
      <c r="AE21">
        <v>4.6190414525644097E-2</v>
      </c>
      <c r="AF21">
        <v>3.4527386850641801</v>
      </c>
      <c r="AG21">
        <v>145</v>
      </c>
      <c r="AH21">
        <v>29</v>
      </c>
      <c r="AI21">
        <f t="shared" si="22"/>
        <v>1</v>
      </c>
      <c r="AJ21">
        <f t="shared" si="23"/>
        <v>0</v>
      </c>
      <c r="AK21">
        <f t="shared" si="24"/>
        <v>52497.091839347508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282.07753846153798</v>
      </c>
      <c r="AT21">
        <v>315.51799999999997</v>
      </c>
      <c r="AU21">
        <f t="shared" si="27"/>
        <v>0.10598590742354475</v>
      </c>
      <c r="AV21">
        <v>0.5</v>
      </c>
      <c r="AW21">
        <f t="shared" si="28"/>
        <v>1849.1650061606008</v>
      </c>
      <c r="AX21">
        <f t="shared" si="29"/>
        <v>0.22961766566442177</v>
      </c>
      <c r="AY21">
        <f t="shared" si="30"/>
        <v>97.992715576897993</v>
      </c>
      <c r="AZ21">
        <f t="shared" si="31"/>
        <v>0.32358851159046392</v>
      </c>
      <c r="BA21">
        <f t="shared" si="32"/>
        <v>6.6495832528080457E-4</v>
      </c>
      <c r="BB21">
        <f t="shared" si="33"/>
        <v>-1</v>
      </c>
      <c r="BC21" t="s">
        <v>307</v>
      </c>
      <c r="BD21">
        <v>213.42</v>
      </c>
      <c r="BE21">
        <f t="shared" si="34"/>
        <v>102.09799999999998</v>
      </c>
      <c r="BF21">
        <f t="shared" si="35"/>
        <v>0.3275329735985229</v>
      </c>
      <c r="BG21">
        <f t="shared" si="36"/>
        <v>1.4783900290506982</v>
      </c>
      <c r="BH21">
        <f t="shared" si="37"/>
        <v>0.10598590742354475</v>
      </c>
      <c r="BI21" t="e">
        <f t="shared" si="38"/>
        <v>#DIV/0!</v>
      </c>
      <c r="BJ21">
        <v>4061</v>
      </c>
      <c r="BK21">
        <v>300</v>
      </c>
      <c r="BL21">
        <v>300</v>
      </c>
      <c r="BM21">
        <v>300</v>
      </c>
      <c r="BN21">
        <v>9891.9599999999991</v>
      </c>
      <c r="BO21">
        <v>306.30700000000002</v>
      </c>
      <c r="BP21">
        <v>-6.4168999999999997E-3</v>
      </c>
      <c r="BQ21">
        <v>0.69799800000000001</v>
      </c>
      <c r="BR21">
        <f t="shared" si="39"/>
        <v>2199.97548387097</v>
      </c>
      <c r="BS21">
        <f t="shared" si="40"/>
        <v>1849.1650061606008</v>
      </c>
      <c r="BT21">
        <f t="shared" si="41"/>
        <v>0.84053891496413402</v>
      </c>
      <c r="BU21">
        <f t="shared" si="42"/>
        <v>0.19107782992826794</v>
      </c>
      <c r="BV21">
        <v>0.5</v>
      </c>
      <c r="BW21" t="s">
        <v>281</v>
      </c>
      <c r="BX21">
        <v>1593109906.5</v>
      </c>
      <c r="BY21">
        <v>49.751464516128998</v>
      </c>
      <c r="BZ21">
        <v>49.991199999999999</v>
      </c>
      <c r="CA21">
        <v>19.566629032258099</v>
      </c>
      <c r="CB21">
        <v>16.652022580645198</v>
      </c>
      <c r="CC21">
        <v>500.06219354838697</v>
      </c>
      <c r="CD21">
        <v>99.211722580645201</v>
      </c>
      <c r="CE21">
        <v>0.19998587096774201</v>
      </c>
      <c r="CF21">
        <v>26.8328548387097</v>
      </c>
      <c r="CG21">
        <v>26.951883870967698</v>
      </c>
      <c r="CH21">
        <v>999.9</v>
      </c>
      <c r="CI21">
        <v>10001.4887096774</v>
      </c>
      <c r="CJ21">
        <v>0</v>
      </c>
      <c r="CK21">
        <v>94.2971838709677</v>
      </c>
      <c r="CL21">
        <v>2199.97548387097</v>
      </c>
      <c r="CM21">
        <v>0.98199629032258096</v>
      </c>
      <c r="CN21">
        <v>1.8003345161290301E-2</v>
      </c>
      <c r="CO21">
        <v>0</v>
      </c>
      <c r="CP21">
        <v>282.06925806451602</v>
      </c>
      <c r="CQ21">
        <v>5.00054</v>
      </c>
      <c r="CR21">
        <v>7160.2848387096801</v>
      </c>
      <c r="CS21">
        <v>20590.293548387101</v>
      </c>
      <c r="CT21">
        <v>47.298161290322597</v>
      </c>
      <c r="CU21">
        <v>48.330290322580602</v>
      </c>
      <c r="CV21">
        <v>47.318225806451601</v>
      </c>
      <c r="CW21">
        <v>47.864677419354798</v>
      </c>
      <c r="CX21">
        <v>48.8062258064516</v>
      </c>
      <c r="CY21">
        <v>2155.4554838709701</v>
      </c>
      <c r="CZ21">
        <v>39.520000000000003</v>
      </c>
      <c r="DA21">
        <v>0</v>
      </c>
      <c r="DB21">
        <v>119.90000009536701</v>
      </c>
      <c r="DC21">
        <v>282.07753846153798</v>
      </c>
      <c r="DD21">
        <v>0.128068380548431</v>
      </c>
      <c r="DE21">
        <v>2001.5203435785299</v>
      </c>
      <c r="DF21">
        <v>7171.5373076923097</v>
      </c>
      <c r="DG21">
        <v>15</v>
      </c>
      <c r="DH21">
        <v>1593109862.5</v>
      </c>
      <c r="DI21" t="s">
        <v>308</v>
      </c>
      <c r="DJ21">
        <v>72</v>
      </c>
      <c r="DK21">
        <v>-0.40100000000000002</v>
      </c>
      <c r="DL21">
        <v>0.104</v>
      </c>
      <c r="DM21">
        <v>50</v>
      </c>
      <c r="DN21">
        <v>17</v>
      </c>
      <c r="DO21">
        <v>0.33</v>
      </c>
      <c r="DP21">
        <v>0.03</v>
      </c>
      <c r="DQ21">
        <v>-0.247693981481481</v>
      </c>
      <c r="DR21">
        <v>1.82481875360952E-3</v>
      </c>
      <c r="DS21">
        <v>4.3608480622079997E-2</v>
      </c>
      <c r="DT21">
        <v>1</v>
      </c>
      <c r="DU21">
        <v>2.9233544444444401</v>
      </c>
      <c r="DV21">
        <v>-8.8918193253272798E-2</v>
      </c>
      <c r="DW21">
        <v>1.1650642434467E-2</v>
      </c>
      <c r="DX21">
        <v>1</v>
      </c>
      <c r="DY21">
        <v>2</v>
      </c>
      <c r="DZ21">
        <v>2</v>
      </c>
      <c r="EA21" t="s">
        <v>303</v>
      </c>
      <c r="EB21">
        <v>1.86676</v>
      </c>
      <c r="EC21">
        <v>1.8632500000000001</v>
      </c>
      <c r="ED21">
        <v>1.8689</v>
      </c>
      <c r="EE21">
        <v>1.8667800000000001</v>
      </c>
      <c r="EF21">
        <v>1.8714900000000001</v>
      </c>
      <c r="EG21">
        <v>1.86392</v>
      </c>
      <c r="EH21">
        <v>1.8653900000000001</v>
      </c>
      <c r="EI21">
        <v>1.8653599999999999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-0.40100000000000002</v>
      </c>
      <c r="EX21">
        <v>0.104</v>
      </c>
      <c r="EY21">
        <v>2</v>
      </c>
      <c r="EZ21">
        <v>335.041</v>
      </c>
      <c r="FA21">
        <v>452.529</v>
      </c>
      <c r="FB21">
        <v>20.696200000000001</v>
      </c>
      <c r="FC21">
        <v>35.648400000000002</v>
      </c>
      <c r="FD21">
        <v>29.9999</v>
      </c>
      <c r="FE21">
        <v>35.639600000000002</v>
      </c>
      <c r="FF21">
        <v>35.633299999999998</v>
      </c>
      <c r="FG21">
        <v>5.0369200000000003</v>
      </c>
      <c r="FH21">
        <v>38.453499999999998</v>
      </c>
      <c r="FI21">
        <v>0</v>
      </c>
      <c r="FJ21">
        <v>20.719799999999999</v>
      </c>
      <c r="FK21">
        <v>50</v>
      </c>
      <c r="FL21">
        <v>16.7423</v>
      </c>
      <c r="FM21">
        <v>100.59399999999999</v>
      </c>
      <c r="FN21">
        <v>100.78100000000001</v>
      </c>
    </row>
    <row r="22" spans="1:170" x14ac:dyDescent="0.25">
      <c r="A22">
        <v>6</v>
      </c>
      <c r="B22">
        <v>1593110035</v>
      </c>
      <c r="C22">
        <v>657.09999990463302</v>
      </c>
      <c r="D22" t="s">
        <v>309</v>
      </c>
      <c r="E22" t="s">
        <v>310</v>
      </c>
      <c r="G22">
        <v>1593110027</v>
      </c>
      <c r="H22">
        <f t="shared" si="0"/>
        <v>7.24196421694523E-3</v>
      </c>
      <c r="I22">
        <f t="shared" si="1"/>
        <v>25.104233532051406</v>
      </c>
      <c r="J22">
        <f t="shared" si="2"/>
        <v>388.83567741935502</v>
      </c>
      <c r="K22">
        <f t="shared" si="3"/>
        <v>287.14985326601385</v>
      </c>
      <c r="L22">
        <f t="shared" si="4"/>
        <v>28.545101137586656</v>
      </c>
      <c r="M22">
        <f t="shared" si="5"/>
        <v>38.653523975703152</v>
      </c>
      <c r="N22">
        <f t="shared" si="6"/>
        <v>0.46151776148076373</v>
      </c>
      <c r="O22">
        <f t="shared" si="7"/>
        <v>3.3830096271295025</v>
      </c>
      <c r="P22">
        <f t="shared" si="8"/>
        <v>0.42917637210037807</v>
      </c>
      <c r="Q22">
        <f t="shared" si="9"/>
        <v>0.27095187823527317</v>
      </c>
      <c r="R22">
        <f t="shared" si="10"/>
        <v>353.33686096364016</v>
      </c>
      <c r="S22">
        <f t="shared" si="11"/>
        <v>27.316347904233297</v>
      </c>
      <c r="T22">
        <f t="shared" si="12"/>
        <v>27.110145161290301</v>
      </c>
      <c r="U22">
        <f t="shared" si="13"/>
        <v>3.6023791068457349</v>
      </c>
      <c r="V22">
        <f t="shared" si="14"/>
        <v>54.641174837305762</v>
      </c>
      <c r="W22">
        <f t="shared" si="15"/>
        <v>1.9719835541095998</v>
      </c>
      <c r="X22">
        <f t="shared" si="16"/>
        <v>3.6089699022416442</v>
      </c>
      <c r="Y22">
        <f t="shared" si="17"/>
        <v>1.6303955527361351</v>
      </c>
      <c r="Z22">
        <f t="shared" si="18"/>
        <v>-319.37062196728465</v>
      </c>
      <c r="AA22">
        <f t="shared" si="19"/>
        <v>5.6815811568560397</v>
      </c>
      <c r="AB22">
        <f t="shared" si="20"/>
        <v>0.36289989197601397</v>
      </c>
      <c r="AC22">
        <f t="shared" si="21"/>
        <v>40.010720045187597</v>
      </c>
      <c r="AD22">
        <v>-4.1184662492841001E-2</v>
      </c>
      <c r="AE22">
        <v>4.6233391622808297E-2</v>
      </c>
      <c r="AF22">
        <v>3.4552814938552499</v>
      </c>
      <c r="AG22">
        <v>144</v>
      </c>
      <c r="AH22">
        <v>29</v>
      </c>
      <c r="AI22">
        <f t="shared" si="22"/>
        <v>1</v>
      </c>
      <c r="AJ22">
        <f t="shared" si="23"/>
        <v>0</v>
      </c>
      <c r="AK22">
        <f t="shared" si="24"/>
        <v>52489.863438834327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277.43180769230798</v>
      </c>
      <c r="AT22">
        <v>343.81</v>
      </c>
      <c r="AU22">
        <f t="shared" si="27"/>
        <v>0.19306649692473177</v>
      </c>
      <c r="AV22">
        <v>0.5</v>
      </c>
      <c r="AW22">
        <f t="shared" si="28"/>
        <v>1849.1804222897092</v>
      </c>
      <c r="AX22">
        <f t="shared" si="29"/>
        <v>25.104233532051406</v>
      </c>
      <c r="AY22">
        <f t="shared" si="30"/>
        <v>178.50739315663517</v>
      </c>
      <c r="AZ22">
        <f t="shared" si="31"/>
        <v>0.44591489485471625</v>
      </c>
      <c r="BA22">
        <f t="shared" si="32"/>
        <v>1.4116650391381703E-2</v>
      </c>
      <c r="BB22">
        <f t="shared" si="33"/>
        <v>-1</v>
      </c>
      <c r="BC22" t="s">
        <v>312</v>
      </c>
      <c r="BD22">
        <v>190.5</v>
      </c>
      <c r="BE22">
        <f t="shared" si="34"/>
        <v>153.31</v>
      </c>
      <c r="BF22">
        <f t="shared" si="35"/>
        <v>0.4329671404845869</v>
      </c>
      <c r="BG22">
        <f t="shared" si="36"/>
        <v>1.8047769028871392</v>
      </c>
      <c r="BH22">
        <f t="shared" si="37"/>
        <v>0.19306649692473174</v>
      </c>
      <c r="BI22" t="e">
        <f t="shared" si="38"/>
        <v>#DIV/0!</v>
      </c>
      <c r="BJ22">
        <v>4063</v>
      </c>
      <c r="BK22">
        <v>300</v>
      </c>
      <c r="BL22">
        <v>300</v>
      </c>
      <c r="BM22">
        <v>300</v>
      </c>
      <c r="BN22">
        <v>9889.5499999999993</v>
      </c>
      <c r="BO22">
        <v>324.73599999999999</v>
      </c>
      <c r="BP22">
        <v>-6.4150300000000004E-3</v>
      </c>
      <c r="BQ22">
        <v>0.79952999999999996</v>
      </c>
      <c r="BR22">
        <f t="shared" si="39"/>
        <v>2199.9941935483898</v>
      </c>
      <c r="BS22">
        <f t="shared" si="40"/>
        <v>1849.1804222897092</v>
      </c>
      <c r="BT22">
        <f t="shared" si="41"/>
        <v>0.84053877401701227</v>
      </c>
      <c r="BU22">
        <f t="shared" si="42"/>
        <v>0.1910775480340248</v>
      </c>
      <c r="BV22">
        <v>0.5</v>
      </c>
      <c r="BW22" t="s">
        <v>281</v>
      </c>
      <c r="BX22">
        <v>1593110027</v>
      </c>
      <c r="BY22">
        <v>388.83567741935502</v>
      </c>
      <c r="BZ22">
        <v>400.00222580645197</v>
      </c>
      <c r="CA22">
        <v>19.8371967741936</v>
      </c>
      <c r="CB22">
        <v>16.998261290322599</v>
      </c>
      <c r="CC22">
        <v>500.06799999999998</v>
      </c>
      <c r="CD22">
        <v>99.208422580645205</v>
      </c>
      <c r="CE22">
        <v>0.19995535483870999</v>
      </c>
      <c r="CF22">
        <v>27.141296774193499</v>
      </c>
      <c r="CG22">
        <v>27.110145161290301</v>
      </c>
      <c r="CH22">
        <v>999.9</v>
      </c>
      <c r="CI22">
        <v>10011.1274193548</v>
      </c>
      <c r="CJ22">
        <v>0</v>
      </c>
      <c r="CK22">
        <v>249.35735483870999</v>
      </c>
      <c r="CL22">
        <v>2199.9941935483898</v>
      </c>
      <c r="CM22">
        <v>0.98200058064516105</v>
      </c>
      <c r="CN22">
        <v>1.7999861290322602E-2</v>
      </c>
      <c r="CO22">
        <v>0</v>
      </c>
      <c r="CP22">
        <v>277.45148387096799</v>
      </c>
      <c r="CQ22">
        <v>5.00054</v>
      </c>
      <c r="CR22">
        <v>7994.70774193548</v>
      </c>
      <c r="CS22">
        <v>20590.474193548402</v>
      </c>
      <c r="CT22">
        <v>47.997709677419301</v>
      </c>
      <c r="CU22">
        <v>48.795999999999999</v>
      </c>
      <c r="CV22">
        <v>47.973580645161299</v>
      </c>
      <c r="CW22">
        <v>48.433129032258002</v>
      </c>
      <c r="CX22">
        <v>49.437064516128999</v>
      </c>
      <c r="CY22">
        <v>2155.4841935483901</v>
      </c>
      <c r="CZ22">
        <v>39.51</v>
      </c>
      <c r="DA22">
        <v>0</v>
      </c>
      <c r="DB22">
        <v>120</v>
      </c>
      <c r="DC22">
        <v>277.43180769230798</v>
      </c>
      <c r="DD22">
        <v>-0.96933333515150299</v>
      </c>
      <c r="DE22">
        <v>-21.144273522387898</v>
      </c>
      <c r="DF22">
        <v>7994.3926923076897</v>
      </c>
      <c r="DG22">
        <v>15</v>
      </c>
      <c r="DH22">
        <v>1593109984.5</v>
      </c>
      <c r="DI22" t="s">
        <v>313</v>
      </c>
      <c r="DJ22">
        <v>73</v>
      </c>
      <c r="DK22">
        <v>-0.309</v>
      </c>
      <c r="DL22">
        <v>0.104</v>
      </c>
      <c r="DM22">
        <v>400</v>
      </c>
      <c r="DN22">
        <v>17</v>
      </c>
      <c r="DO22">
        <v>0.5</v>
      </c>
      <c r="DP22">
        <v>0.03</v>
      </c>
      <c r="DQ22">
        <v>-11.181901851851901</v>
      </c>
      <c r="DR22">
        <v>7.3684619782715705E-2</v>
      </c>
      <c r="DS22">
        <v>8.4068630452745402E-2</v>
      </c>
      <c r="DT22">
        <v>1</v>
      </c>
      <c r="DU22">
        <v>2.83426592592593</v>
      </c>
      <c r="DV22">
        <v>4.4186803887934799E-2</v>
      </c>
      <c r="DW22">
        <v>7.3313523886364296E-3</v>
      </c>
      <c r="DX22">
        <v>1</v>
      </c>
      <c r="DY22">
        <v>2</v>
      </c>
      <c r="DZ22">
        <v>2</v>
      </c>
      <c r="EA22" t="s">
        <v>303</v>
      </c>
      <c r="EB22">
        <v>1.8667199999999999</v>
      </c>
      <c r="EC22">
        <v>1.8632500000000001</v>
      </c>
      <c r="ED22">
        <v>1.8688400000000001</v>
      </c>
      <c r="EE22">
        <v>1.86676</v>
      </c>
      <c r="EF22">
        <v>1.8714900000000001</v>
      </c>
      <c r="EG22">
        <v>1.8638699999999999</v>
      </c>
      <c r="EH22">
        <v>1.8653900000000001</v>
      </c>
      <c r="EI22">
        <v>1.8653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-0.309</v>
      </c>
      <c r="EX22">
        <v>0.104</v>
      </c>
      <c r="EY22">
        <v>2</v>
      </c>
      <c r="EZ22">
        <v>335.7</v>
      </c>
      <c r="FA22">
        <v>453.17899999999997</v>
      </c>
      <c r="FB22">
        <v>20.373100000000001</v>
      </c>
      <c r="FC22">
        <v>35.522300000000001</v>
      </c>
      <c r="FD22">
        <v>30.000299999999999</v>
      </c>
      <c r="FE22">
        <v>35.578299999999999</v>
      </c>
      <c r="FF22">
        <v>35.572699999999998</v>
      </c>
      <c r="FG22">
        <v>21.869299999999999</v>
      </c>
      <c r="FH22">
        <v>37.673400000000001</v>
      </c>
      <c r="FI22">
        <v>0</v>
      </c>
      <c r="FJ22">
        <v>20.2807</v>
      </c>
      <c r="FK22">
        <v>400</v>
      </c>
      <c r="FL22">
        <v>16.9697</v>
      </c>
      <c r="FM22">
        <v>100.613</v>
      </c>
      <c r="FN22">
        <v>100.80800000000001</v>
      </c>
    </row>
    <row r="23" spans="1:170" x14ac:dyDescent="0.25">
      <c r="A23">
        <v>7</v>
      </c>
      <c r="B23">
        <v>1593110155.5</v>
      </c>
      <c r="C23">
        <v>777.59999990463302</v>
      </c>
      <c r="D23" t="s">
        <v>314</v>
      </c>
      <c r="E23" t="s">
        <v>315</v>
      </c>
      <c r="G23">
        <v>1593110147.5</v>
      </c>
      <c r="H23">
        <f t="shared" si="0"/>
        <v>6.7872589060265177E-3</v>
      </c>
      <c r="I23">
        <f t="shared" si="1"/>
        <v>27.252805904486905</v>
      </c>
      <c r="J23">
        <f t="shared" si="2"/>
        <v>388.013483870968</v>
      </c>
      <c r="K23">
        <f t="shared" si="3"/>
        <v>274.22994508019332</v>
      </c>
      <c r="L23">
        <f t="shared" si="4"/>
        <v>27.258219146300043</v>
      </c>
      <c r="M23">
        <f t="shared" si="5"/>
        <v>38.568204402262815</v>
      </c>
      <c r="N23">
        <f t="shared" si="6"/>
        <v>0.44040817624073703</v>
      </c>
      <c r="O23">
        <f t="shared" si="7"/>
        <v>3.3810508782741477</v>
      </c>
      <c r="P23">
        <f t="shared" si="8"/>
        <v>0.41084024297888316</v>
      </c>
      <c r="Q23">
        <f t="shared" si="9"/>
        <v>0.25926610319516497</v>
      </c>
      <c r="R23">
        <f t="shared" si="10"/>
        <v>353.33752254647862</v>
      </c>
      <c r="S23">
        <f t="shared" si="11"/>
        <v>27.274155336622179</v>
      </c>
      <c r="T23">
        <f t="shared" si="12"/>
        <v>26.9975870967742</v>
      </c>
      <c r="U23">
        <f t="shared" si="13"/>
        <v>3.5786525007449157</v>
      </c>
      <c r="V23">
        <f t="shared" si="14"/>
        <v>55.403687491851429</v>
      </c>
      <c r="W23">
        <f t="shared" si="15"/>
        <v>1.9824718060593445</v>
      </c>
      <c r="X23">
        <f t="shared" si="16"/>
        <v>3.5782307925820263</v>
      </c>
      <c r="Y23">
        <f t="shared" si="17"/>
        <v>1.5961806946855712</v>
      </c>
      <c r="Z23">
        <f t="shared" si="18"/>
        <v>-299.31811775576944</v>
      </c>
      <c r="AA23">
        <f t="shared" si="19"/>
        <v>-0.36573442483354646</v>
      </c>
      <c r="AB23">
        <f t="shared" si="20"/>
        <v>-2.3343946007107541E-2</v>
      </c>
      <c r="AC23">
        <f t="shared" si="21"/>
        <v>53.630326419868524</v>
      </c>
      <c r="AD23">
        <v>-4.1154370682053798E-2</v>
      </c>
      <c r="AE23">
        <v>4.6199386411491399E-2</v>
      </c>
      <c r="AF23">
        <v>3.45326958817938</v>
      </c>
      <c r="AG23">
        <v>144</v>
      </c>
      <c r="AH23">
        <v>29</v>
      </c>
      <c r="AI23">
        <f t="shared" si="22"/>
        <v>1</v>
      </c>
      <c r="AJ23">
        <f t="shared" si="23"/>
        <v>0</v>
      </c>
      <c r="AK23">
        <f t="shared" si="24"/>
        <v>52478.118106435621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277.14084615384598</v>
      </c>
      <c r="AT23">
        <v>350.15</v>
      </c>
      <c r="AU23">
        <f t="shared" si="27"/>
        <v>0.20850822175111805</v>
      </c>
      <c r="AV23">
        <v>0.5</v>
      </c>
      <c r="AW23">
        <f t="shared" si="28"/>
        <v>1849.1861319671887</v>
      </c>
      <c r="AX23">
        <f t="shared" si="29"/>
        <v>27.252805904486905</v>
      </c>
      <c r="AY23">
        <f t="shared" si="30"/>
        <v>192.7852560316534</v>
      </c>
      <c r="AZ23">
        <f t="shared" si="31"/>
        <v>0.44172497501070968</v>
      </c>
      <c r="BA23">
        <f t="shared" si="32"/>
        <v>1.5278508429235945E-2</v>
      </c>
      <c r="BB23">
        <f t="shared" si="33"/>
        <v>-1</v>
      </c>
      <c r="BC23" t="s">
        <v>317</v>
      </c>
      <c r="BD23">
        <v>195.48</v>
      </c>
      <c r="BE23">
        <f t="shared" si="34"/>
        <v>154.66999999999999</v>
      </c>
      <c r="BF23">
        <f t="shared" si="35"/>
        <v>0.47203176987233464</v>
      </c>
      <c r="BG23">
        <f t="shared" si="36"/>
        <v>1.7912318395743809</v>
      </c>
      <c r="BH23">
        <f t="shared" si="37"/>
        <v>0.20850822175111808</v>
      </c>
      <c r="BI23" t="e">
        <f t="shared" si="38"/>
        <v>#DIV/0!</v>
      </c>
      <c r="BJ23">
        <v>4065</v>
      </c>
      <c r="BK23">
        <v>300</v>
      </c>
      <c r="BL23">
        <v>300</v>
      </c>
      <c r="BM23">
        <v>300</v>
      </c>
      <c r="BN23">
        <v>9887.66</v>
      </c>
      <c r="BO23">
        <v>328.07799999999997</v>
      </c>
      <c r="BP23">
        <v>-6.4134200000000004E-3</v>
      </c>
      <c r="BQ23">
        <v>0.40273999999999999</v>
      </c>
      <c r="BR23">
        <f t="shared" si="39"/>
        <v>2200.0012903225802</v>
      </c>
      <c r="BS23">
        <f t="shared" si="40"/>
        <v>1849.1861319671887</v>
      </c>
      <c r="BT23">
        <f t="shared" si="41"/>
        <v>0.84053865790962679</v>
      </c>
      <c r="BU23">
        <f t="shared" si="42"/>
        <v>0.19107731581925369</v>
      </c>
      <c r="BV23">
        <v>0.5</v>
      </c>
      <c r="BW23" t="s">
        <v>281</v>
      </c>
      <c r="BX23">
        <v>1593110147.5</v>
      </c>
      <c r="BY23">
        <v>388.013483870968</v>
      </c>
      <c r="BZ23">
        <v>399.96648387096798</v>
      </c>
      <c r="CA23">
        <v>19.944558064516102</v>
      </c>
      <c r="CB23">
        <v>17.284145161290301</v>
      </c>
      <c r="CC23">
        <v>500.06448387096799</v>
      </c>
      <c r="CD23">
        <v>99.199170967741907</v>
      </c>
      <c r="CE23">
        <v>0.19996335483871</v>
      </c>
      <c r="CF23">
        <v>26.995580645161301</v>
      </c>
      <c r="CG23">
        <v>26.9975870967742</v>
      </c>
      <c r="CH23">
        <v>999.9</v>
      </c>
      <c r="CI23">
        <v>10004.6970967742</v>
      </c>
      <c r="CJ23">
        <v>0</v>
      </c>
      <c r="CK23">
        <v>2069.1093548387098</v>
      </c>
      <c r="CL23">
        <v>2200.0012903225802</v>
      </c>
      <c r="CM23">
        <v>0.98200270967741998</v>
      </c>
      <c r="CN23">
        <v>1.7997554838709701E-2</v>
      </c>
      <c r="CO23">
        <v>0</v>
      </c>
      <c r="CP23">
        <v>277.154870967742</v>
      </c>
      <c r="CQ23">
        <v>5.00054</v>
      </c>
      <c r="CR23">
        <v>8819.3706451612907</v>
      </c>
      <c r="CS23">
        <v>20590.558064516099</v>
      </c>
      <c r="CT23">
        <v>48.532064516128997</v>
      </c>
      <c r="CU23">
        <v>49.362677419354803</v>
      </c>
      <c r="CV23">
        <v>48.499935483870999</v>
      </c>
      <c r="CW23">
        <v>48.7398387096774</v>
      </c>
      <c r="CX23">
        <v>49.908999999999999</v>
      </c>
      <c r="CY23">
        <v>2155.4996774193501</v>
      </c>
      <c r="CZ23">
        <v>39.501612903225798</v>
      </c>
      <c r="DA23">
        <v>0</v>
      </c>
      <c r="DB23">
        <v>120.10000014305101</v>
      </c>
      <c r="DC23">
        <v>277.14084615384598</v>
      </c>
      <c r="DD23">
        <v>-0.16417094134330801</v>
      </c>
      <c r="DE23">
        <v>28.614700711141399</v>
      </c>
      <c r="DF23">
        <v>8820.3792307692293</v>
      </c>
      <c r="DG23">
        <v>15</v>
      </c>
      <c r="DH23">
        <v>1593110092.5</v>
      </c>
      <c r="DI23" t="s">
        <v>318</v>
      </c>
      <c r="DJ23">
        <v>74</v>
      </c>
      <c r="DK23">
        <v>-0.443</v>
      </c>
      <c r="DL23">
        <v>0.109</v>
      </c>
      <c r="DM23">
        <v>400</v>
      </c>
      <c r="DN23">
        <v>17</v>
      </c>
      <c r="DO23">
        <v>0.81</v>
      </c>
      <c r="DP23">
        <v>0.03</v>
      </c>
      <c r="DQ23">
        <v>-11.924633333333301</v>
      </c>
      <c r="DR23">
        <v>-0.346018067467042</v>
      </c>
      <c r="DS23">
        <v>7.7577810401342498E-2</v>
      </c>
      <c r="DT23">
        <v>1</v>
      </c>
      <c r="DU23">
        <v>2.6739062962963001</v>
      </c>
      <c r="DV23">
        <v>-5.0928576329332099E-2</v>
      </c>
      <c r="DW23">
        <v>2.4031021024246198E-2</v>
      </c>
      <c r="DX23">
        <v>1</v>
      </c>
      <c r="DY23">
        <v>2</v>
      </c>
      <c r="DZ23">
        <v>2</v>
      </c>
      <c r="EA23" t="s">
        <v>303</v>
      </c>
      <c r="EB23">
        <v>1.8667199999999999</v>
      </c>
      <c r="EC23">
        <v>1.86321</v>
      </c>
      <c r="ED23">
        <v>1.8688499999999999</v>
      </c>
      <c r="EE23">
        <v>1.8668400000000001</v>
      </c>
      <c r="EF23">
        <v>1.87148</v>
      </c>
      <c r="EG23">
        <v>1.8639300000000001</v>
      </c>
      <c r="EH23">
        <v>1.8654200000000001</v>
      </c>
      <c r="EI23">
        <v>1.86534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-0.443</v>
      </c>
      <c r="EX23">
        <v>0.109</v>
      </c>
      <c r="EY23">
        <v>2</v>
      </c>
      <c r="EZ23">
        <v>336.13400000000001</v>
      </c>
      <c r="FA23">
        <v>454.17599999999999</v>
      </c>
      <c r="FB23">
        <v>18.7224</v>
      </c>
      <c r="FC23">
        <v>35.402999999999999</v>
      </c>
      <c r="FD23">
        <v>29.996500000000001</v>
      </c>
      <c r="FE23">
        <v>35.458599999999997</v>
      </c>
      <c r="FF23">
        <v>35.459600000000002</v>
      </c>
      <c r="FG23">
        <v>21.8795</v>
      </c>
      <c r="FH23">
        <v>36.272199999999998</v>
      </c>
      <c r="FI23">
        <v>0</v>
      </c>
      <c r="FJ23">
        <v>19.625</v>
      </c>
      <c r="FK23">
        <v>400</v>
      </c>
      <c r="FL23">
        <v>17.111799999999999</v>
      </c>
      <c r="FM23">
        <v>100.645</v>
      </c>
      <c r="FN23">
        <v>100.84399999999999</v>
      </c>
    </row>
    <row r="24" spans="1:170" x14ac:dyDescent="0.25">
      <c r="A24">
        <v>8</v>
      </c>
      <c r="B24">
        <v>1593110306</v>
      </c>
      <c r="C24">
        <v>928.09999990463302</v>
      </c>
      <c r="D24" t="s">
        <v>319</v>
      </c>
      <c r="E24" t="s">
        <v>320</v>
      </c>
      <c r="G24">
        <v>1593110298</v>
      </c>
      <c r="H24">
        <f t="shared" si="0"/>
        <v>6.096163038937976E-3</v>
      </c>
      <c r="I24">
        <f t="shared" si="1"/>
        <v>30.218636956371505</v>
      </c>
      <c r="J24">
        <f t="shared" si="2"/>
        <v>486.66777419354798</v>
      </c>
      <c r="K24">
        <f t="shared" si="3"/>
        <v>340.43092792134473</v>
      </c>
      <c r="L24">
        <f t="shared" si="4"/>
        <v>33.837531900394445</v>
      </c>
      <c r="M24">
        <f t="shared" si="5"/>
        <v>48.372914983720058</v>
      </c>
      <c r="N24">
        <f t="shared" si="6"/>
        <v>0.37714978861152981</v>
      </c>
      <c r="O24">
        <f t="shared" si="7"/>
        <v>3.3793646605261776</v>
      </c>
      <c r="P24">
        <f t="shared" si="8"/>
        <v>0.3552289378315186</v>
      </c>
      <c r="Q24">
        <f t="shared" si="9"/>
        <v>0.22388134084978459</v>
      </c>
      <c r="R24">
        <f t="shared" si="10"/>
        <v>353.33840080010162</v>
      </c>
      <c r="S24">
        <f t="shared" si="11"/>
        <v>27.112056176764941</v>
      </c>
      <c r="T24">
        <f t="shared" si="12"/>
        <v>26.997800000000002</v>
      </c>
      <c r="U24">
        <f t="shared" si="13"/>
        <v>3.5786972504591938</v>
      </c>
      <c r="V24">
        <f t="shared" si="14"/>
        <v>54.679087532233986</v>
      </c>
      <c r="W24">
        <f t="shared" si="15"/>
        <v>1.9201205489464988</v>
      </c>
      <c r="X24">
        <f t="shared" si="16"/>
        <v>3.5116177602901009</v>
      </c>
      <c r="Y24">
        <f t="shared" si="17"/>
        <v>1.6585767015126951</v>
      </c>
      <c r="Z24">
        <f t="shared" si="18"/>
        <v>-268.84079001716475</v>
      </c>
      <c r="AA24">
        <f t="shared" si="19"/>
        <v>-58.624671153386792</v>
      </c>
      <c r="AB24">
        <f t="shared" si="20"/>
        <v>-3.7377648328760666</v>
      </c>
      <c r="AC24">
        <f t="shared" si="21"/>
        <v>22.135174796674029</v>
      </c>
      <c r="AD24">
        <v>-4.1128299831510201E-2</v>
      </c>
      <c r="AE24">
        <v>4.6170119597824202E-2</v>
      </c>
      <c r="AF24">
        <v>3.4515376206565702</v>
      </c>
      <c r="AG24">
        <v>144</v>
      </c>
      <c r="AH24">
        <v>29</v>
      </c>
      <c r="AI24">
        <f t="shared" si="22"/>
        <v>1</v>
      </c>
      <c r="AJ24">
        <f t="shared" si="23"/>
        <v>0</v>
      </c>
      <c r="AK24">
        <f t="shared" si="24"/>
        <v>52502.094818755293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280.440576923077</v>
      </c>
      <c r="AT24">
        <v>358.827</v>
      </c>
      <c r="AU24">
        <f t="shared" si="27"/>
        <v>0.21845185305710824</v>
      </c>
      <c r="AV24">
        <v>0.5</v>
      </c>
      <c r="AW24">
        <f t="shared" si="28"/>
        <v>1849.1858706767268</v>
      </c>
      <c r="AX24">
        <f t="shared" si="29"/>
        <v>30.218636956371505</v>
      </c>
      <c r="AY24">
        <f t="shared" si="30"/>
        <v>201.97904004817653</v>
      </c>
      <c r="AZ24">
        <f t="shared" si="31"/>
        <v>0.45979538886427163</v>
      </c>
      <c r="BA24">
        <f t="shared" si="32"/>
        <v>1.6882368317548711E-2</v>
      </c>
      <c r="BB24">
        <f t="shared" si="33"/>
        <v>-1</v>
      </c>
      <c r="BC24" t="s">
        <v>322</v>
      </c>
      <c r="BD24">
        <v>193.84</v>
      </c>
      <c r="BE24">
        <f t="shared" si="34"/>
        <v>164.98699999999999</v>
      </c>
      <c r="BF24">
        <f t="shared" si="35"/>
        <v>0.47510666341543878</v>
      </c>
      <c r="BG24">
        <f t="shared" si="36"/>
        <v>1.8511504333470903</v>
      </c>
      <c r="BH24">
        <f t="shared" si="37"/>
        <v>0.21845185305710829</v>
      </c>
      <c r="BI24" t="e">
        <f t="shared" si="38"/>
        <v>#DIV/0!</v>
      </c>
      <c r="BJ24">
        <v>4067</v>
      </c>
      <c r="BK24">
        <v>300</v>
      </c>
      <c r="BL24">
        <v>300</v>
      </c>
      <c r="BM24">
        <v>300</v>
      </c>
      <c r="BN24">
        <v>9883.9699999999993</v>
      </c>
      <c r="BO24">
        <v>335.97300000000001</v>
      </c>
      <c r="BP24">
        <v>-6.41072E-3</v>
      </c>
      <c r="BQ24">
        <v>0.66989100000000001</v>
      </c>
      <c r="BR24">
        <f t="shared" si="39"/>
        <v>2200.0003225806399</v>
      </c>
      <c r="BS24">
        <f t="shared" si="40"/>
        <v>1849.1858706767268</v>
      </c>
      <c r="BT24">
        <f t="shared" si="41"/>
        <v>0.84053890887961258</v>
      </c>
      <c r="BU24">
        <f t="shared" si="42"/>
        <v>0.19107781775922511</v>
      </c>
      <c r="BV24">
        <v>0.5</v>
      </c>
      <c r="BW24" t="s">
        <v>281</v>
      </c>
      <c r="BX24">
        <v>1593110298</v>
      </c>
      <c r="BY24">
        <v>486.66777419354798</v>
      </c>
      <c r="BZ24">
        <v>499.93990322580601</v>
      </c>
      <c r="CA24">
        <v>19.317851612903201</v>
      </c>
      <c r="CB24">
        <v>16.926861290322599</v>
      </c>
      <c r="CC24">
        <v>500.07716129032298</v>
      </c>
      <c r="CD24">
        <v>99.196167741935497</v>
      </c>
      <c r="CE24">
        <v>0.20000670967741899</v>
      </c>
      <c r="CF24">
        <v>26.676019354838701</v>
      </c>
      <c r="CG24">
        <v>26.997800000000002</v>
      </c>
      <c r="CH24">
        <v>999.9</v>
      </c>
      <c r="CI24">
        <v>9998.6619354838695</v>
      </c>
      <c r="CJ24">
        <v>0</v>
      </c>
      <c r="CK24">
        <v>129.63274193548401</v>
      </c>
      <c r="CL24">
        <v>2200.0003225806399</v>
      </c>
      <c r="CM24">
        <v>0.98199603225806398</v>
      </c>
      <c r="CN24">
        <v>1.8003516129032299E-2</v>
      </c>
      <c r="CO24">
        <v>0</v>
      </c>
      <c r="CP24">
        <v>280.46303225806503</v>
      </c>
      <c r="CQ24">
        <v>5.00054</v>
      </c>
      <c r="CR24">
        <v>7344.7954838709702</v>
      </c>
      <c r="CS24">
        <v>20590.5225806452</v>
      </c>
      <c r="CT24">
        <v>49.116741935483901</v>
      </c>
      <c r="CU24">
        <v>50.090451612903202</v>
      </c>
      <c r="CV24">
        <v>49.2195161290323</v>
      </c>
      <c r="CW24">
        <v>49.253999999999998</v>
      </c>
      <c r="CX24">
        <v>50.457258064516097</v>
      </c>
      <c r="CY24">
        <v>2155.48032258065</v>
      </c>
      <c r="CZ24">
        <v>39.520000000000003</v>
      </c>
      <c r="DA24">
        <v>0</v>
      </c>
      <c r="DB24">
        <v>150.200000047684</v>
      </c>
      <c r="DC24">
        <v>280.440576923077</v>
      </c>
      <c r="DD24">
        <v>-2.2766153767939499</v>
      </c>
      <c r="DE24">
        <v>-652.54700906947005</v>
      </c>
      <c r="DF24">
        <v>7317.6207692307698</v>
      </c>
      <c r="DG24">
        <v>15</v>
      </c>
      <c r="DH24">
        <v>1593110237.5</v>
      </c>
      <c r="DI24" t="s">
        <v>323</v>
      </c>
      <c r="DJ24">
        <v>75</v>
      </c>
      <c r="DK24">
        <v>-0.3</v>
      </c>
      <c r="DL24">
        <v>0.10199999999999999</v>
      </c>
      <c r="DM24">
        <v>500</v>
      </c>
      <c r="DN24">
        <v>17</v>
      </c>
      <c r="DO24">
        <v>0.22</v>
      </c>
      <c r="DP24">
        <v>0.03</v>
      </c>
      <c r="DQ24">
        <v>-13.335761111111101</v>
      </c>
      <c r="DR24">
        <v>0.633994739851372</v>
      </c>
      <c r="DS24">
        <v>0.12712862750812201</v>
      </c>
      <c r="DT24">
        <v>0</v>
      </c>
      <c r="DU24">
        <v>2.4613609259259301</v>
      </c>
      <c r="DV24">
        <v>-0.70431117209836003</v>
      </c>
      <c r="DW24">
        <v>9.4421395787586196E-2</v>
      </c>
      <c r="DX24">
        <v>0</v>
      </c>
      <c r="DY24">
        <v>0</v>
      </c>
      <c r="DZ24">
        <v>2</v>
      </c>
      <c r="EA24" t="s">
        <v>324</v>
      </c>
      <c r="EB24">
        <v>1.8667199999999999</v>
      </c>
      <c r="EC24">
        <v>1.86321</v>
      </c>
      <c r="ED24">
        <v>1.86883</v>
      </c>
      <c r="EE24">
        <v>1.86676</v>
      </c>
      <c r="EF24">
        <v>1.87148</v>
      </c>
      <c r="EG24">
        <v>1.8638600000000001</v>
      </c>
      <c r="EH24">
        <v>1.8653900000000001</v>
      </c>
      <c r="EI24">
        <v>1.8652599999999999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</v>
      </c>
      <c r="EX24">
        <v>0.10199999999999999</v>
      </c>
      <c r="EY24">
        <v>2</v>
      </c>
      <c r="EZ24">
        <v>335.30799999999999</v>
      </c>
      <c r="FA24">
        <v>455.06799999999998</v>
      </c>
      <c r="FB24">
        <v>19.859200000000001</v>
      </c>
      <c r="FC24">
        <v>35.335900000000002</v>
      </c>
      <c r="FD24">
        <v>30.000299999999999</v>
      </c>
      <c r="FE24">
        <v>35.368000000000002</v>
      </c>
      <c r="FF24">
        <v>35.367600000000003</v>
      </c>
      <c r="FG24">
        <v>26.3003</v>
      </c>
      <c r="FH24">
        <v>36.131399999999999</v>
      </c>
      <c r="FI24">
        <v>0</v>
      </c>
      <c r="FJ24">
        <v>19.639500000000002</v>
      </c>
      <c r="FK24">
        <v>500</v>
      </c>
      <c r="FL24">
        <v>17.0961</v>
      </c>
      <c r="FM24">
        <v>100.664</v>
      </c>
      <c r="FN24">
        <v>100.872</v>
      </c>
    </row>
    <row r="25" spans="1:170" x14ac:dyDescent="0.25">
      <c r="A25">
        <v>9</v>
      </c>
      <c r="B25">
        <v>1593110439.0999999</v>
      </c>
      <c r="C25">
        <v>1061.1999998092699</v>
      </c>
      <c r="D25" t="s">
        <v>325</v>
      </c>
      <c r="E25" t="s">
        <v>326</v>
      </c>
      <c r="G25">
        <v>1593110431.0999999</v>
      </c>
      <c r="H25">
        <f t="shared" si="0"/>
        <v>4.2334473726857932E-3</v>
      </c>
      <c r="I25">
        <f t="shared" si="1"/>
        <v>32.976869050471883</v>
      </c>
      <c r="J25">
        <f t="shared" si="2"/>
        <v>585.78851612903202</v>
      </c>
      <c r="K25">
        <f t="shared" si="3"/>
        <v>359.5632830860236</v>
      </c>
      <c r="L25">
        <f t="shared" si="4"/>
        <v>35.739016623051214</v>
      </c>
      <c r="M25">
        <f t="shared" si="5"/>
        <v>58.224814658061931</v>
      </c>
      <c r="N25">
        <f t="shared" si="6"/>
        <v>0.25628254676003648</v>
      </c>
      <c r="O25">
        <f t="shared" si="7"/>
        <v>3.3800008712073826</v>
      </c>
      <c r="P25">
        <f t="shared" si="8"/>
        <v>0.24595568324485245</v>
      </c>
      <c r="Q25">
        <f t="shared" si="9"/>
        <v>0.15461545613325764</v>
      </c>
      <c r="R25">
        <f t="shared" si="10"/>
        <v>353.33269078525456</v>
      </c>
      <c r="S25">
        <f t="shared" si="11"/>
        <v>27.41370562009978</v>
      </c>
      <c r="T25">
        <f t="shared" si="12"/>
        <v>27.036280645161298</v>
      </c>
      <c r="U25">
        <f t="shared" si="13"/>
        <v>3.5867934494838321</v>
      </c>
      <c r="V25">
        <f t="shared" si="14"/>
        <v>55.16774072217806</v>
      </c>
      <c r="W25">
        <f t="shared" si="15"/>
        <v>1.9233938042113481</v>
      </c>
      <c r="X25">
        <f t="shared" si="16"/>
        <v>3.486446570102375</v>
      </c>
      <c r="Y25">
        <f t="shared" si="17"/>
        <v>1.663399645272484</v>
      </c>
      <c r="Z25">
        <f t="shared" si="18"/>
        <v>-186.69502913544349</v>
      </c>
      <c r="AA25">
        <f t="shared" si="19"/>
        <v>-87.903009971897816</v>
      </c>
      <c r="AB25">
        <f t="shared" si="20"/>
        <v>-5.6010821672798423</v>
      </c>
      <c r="AC25">
        <f t="shared" si="21"/>
        <v>73.133569510633393</v>
      </c>
      <c r="AD25">
        <v>-4.1138135690149402E-2</v>
      </c>
      <c r="AE25">
        <v>4.6181161210815197E-2</v>
      </c>
      <c r="AF25">
        <v>3.4521910915463501</v>
      </c>
      <c r="AG25">
        <v>143</v>
      </c>
      <c r="AH25">
        <v>29</v>
      </c>
      <c r="AI25">
        <f t="shared" si="22"/>
        <v>1</v>
      </c>
      <c r="AJ25">
        <f t="shared" si="23"/>
        <v>0</v>
      </c>
      <c r="AK25">
        <f t="shared" si="24"/>
        <v>52535.537007544561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327</v>
      </c>
      <c r="AS25">
        <v>282.25030769230801</v>
      </c>
      <c r="AT25">
        <v>363.07400000000001</v>
      </c>
      <c r="AU25">
        <f t="shared" si="27"/>
        <v>0.22260941931312073</v>
      </c>
      <c r="AV25">
        <v>0.5</v>
      </c>
      <c r="AW25">
        <f t="shared" si="28"/>
        <v>1849.1584739026075</v>
      </c>
      <c r="AX25">
        <f t="shared" si="29"/>
        <v>32.976869050471883</v>
      </c>
      <c r="AY25">
        <f t="shared" si="30"/>
        <v>205.82004704669799</v>
      </c>
      <c r="AZ25">
        <f t="shared" si="31"/>
        <v>0.46082616766829909</v>
      </c>
      <c r="BA25">
        <f t="shared" si="32"/>
        <v>1.8374233214725217E-2</v>
      </c>
      <c r="BB25">
        <f t="shared" si="33"/>
        <v>-1</v>
      </c>
      <c r="BC25" t="s">
        <v>328</v>
      </c>
      <c r="BD25">
        <v>195.76</v>
      </c>
      <c r="BE25">
        <f t="shared" si="34"/>
        <v>167.31400000000002</v>
      </c>
      <c r="BF25">
        <f t="shared" si="35"/>
        <v>0.4830659257903821</v>
      </c>
      <c r="BG25">
        <f t="shared" si="36"/>
        <v>1.8546894156109524</v>
      </c>
      <c r="BH25">
        <f t="shared" si="37"/>
        <v>0.22260941931312073</v>
      </c>
      <c r="BI25" t="e">
        <f t="shared" si="38"/>
        <v>#DIV/0!</v>
      </c>
      <c r="BJ25">
        <v>4069</v>
      </c>
      <c r="BK25">
        <v>300</v>
      </c>
      <c r="BL25">
        <v>300</v>
      </c>
      <c r="BM25">
        <v>300</v>
      </c>
      <c r="BN25">
        <v>9881.1</v>
      </c>
      <c r="BO25">
        <v>341.786</v>
      </c>
      <c r="BP25">
        <v>-6.4085499999999998E-3</v>
      </c>
      <c r="BQ25">
        <v>0.69094800000000001</v>
      </c>
      <c r="BR25">
        <f t="shared" si="39"/>
        <v>2199.9680645161302</v>
      </c>
      <c r="BS25">
        <f t="shared" si="40"/>
        <v>1849.1584739026075</v>
      </c>
      <c r="BT25">
        <f t="shared" si="41"/>
        <v>0.84053878041603247</v>
      </c>
      <c r="BU25">
        <f t="shared" si="42"/>
        <v>0.19107756083206531</v>
      </c>
      <c r="BV25">
        <v>0.5</v>
      </c>
      <c r="BW25" t="s">
        <v>281</v>
      </c>
      <c r="BX25">
        <v>1593110431.0999999</v>
      </c>
      <c r="BY25">
        <v>585.78851612903202</v>
      </c>
      <c r="BZ25">
        <v>599.96909677419399</v>
      </c>
      <c r="CA25">
        <v>19.3508903225806</v>
      </c>
      <c r="CB25">
        <v>17.690529032258102</v>
      </c>
      <c r="CC25">
        <v>500.07506451612898</v>
      </c>
      <c r="CD25">
        <v>99.195648387096796</v>
      </c>
      <c r="CE25">
        <v>0.199974870967742</v>
      </c>
      <c r="CF25">
        <v>26.553887096774201</v>
      </c>
      <c r="CG25">
        <v>27.036280645161298</v>
      </c>
      <c r="CH25">
        <v>999.9</v>
      </c>
      <c r="CI25">
        <v>10001.105483871001</v>
      </c>
      <c r="CJ25">
        <v>0</v>
      </c>
      <c r="CK25">
        <v>288.58703225806403</v>
      </c>
      <c r="CL25">
        <v>2199.9680645161302</v>
      </c>
      <c r="CM25">
        <v>0.98200135483870998</v>
      </c>
      <c r="CN25">
        <v>1.79989774193548E-2</v>
      </c>
      <c r="CO25">
        <v>0</v>
      </c>
      <c r="CP25">
        <v>282.242387096774</v>
      </c>
      <c r="CQ25">
        <v>5.00054</v>
      </c>
      <c r="CR25">
        <v>8468.4135483870996</v>
      </c>
      <c r="CS25">
        <v>20590.2580645161</v>
      </c>
      <c r="CT25">
        <v>49.677064516129001</v>
      </c>
      <c r="CU25">
        <v>50.896838709677397</v>
      </c>
      <c r="CV25">
        <v>49.927064516129001</v>
      </c>
      <c r="CW25">
        <v>49.8546774193548</v>
      </c>
      <c r="CX25">
        <v>50.937129032257999</v>
      </c>
      <c r="CY25">
        <v>2155.45806451613</v>
      </c>
      <c r="CZ25">
        <v>39.51</v>
      </c>
      <c r="DA25">
        <v>0</v>
      </c>
      <c r="DB25">
        <v>132.59999990463299</v>
      </c>
      <c r="DC25">
        <v>282.25030769230801</v>
      </c>
      <c r="DD25">
        <v>4.6974368660671402E-2</v>
      </c>
      <c r="DE25">
        <v>-30.436923042964199</v>
      </c>
      <c r="DF25">
        <v>8467.9684615384595</v>
      </c>
      <c r="DG25">
        <v>15</v>
      </c>
      <c r="DH25">
        <v>1593110374.0999999</v>
      </c>
      <c r="DI25" t="s">
        <v>329</v>
      </c>
      <c r="DJ25">
        <v>76</v>
      </c>
      <c r="DK25">
        <v>-0.35</v>
      </c>
      <c r="DL25">
        <v>0.111</v>
      </c>
      <c r="DM25">
        <v>600</v>
      </c>
      <c r="DN25">
        <v>17</v>
      </c>
      <c r="DO25">
        <v>0.19</v>
      </c>
      <c r="DP25">
        <v>0.04</v>
      </c>
      <c r="DQ25">
        <v>-14.2253333333333</v>
      </c>
      <c r="DR25">
        <v>0.41699439679816702</v>
      </c>
      <c r="DS25">
        <v>0.10797453574973299</v>
      </c>
      <c r="DT25">
        <v>1</v>
      </c>
      <c r="DU25">
        <v>1.6616379629629601</v>
      </c>
      <c r="DV25">
        <v>-1.6288576329331301E-2</v>
      </c>
      <c r="DW25">
        <v>1.0663630536587899E-2</v>
      </c>
      <c r="DX25">
        <v>1</v>
      </c>
      <c r="DY25">
        <v>2</v>
      </c>
      <c r="DZ25">
        <v>2</v>
      </c>
      <c r="EA25" t="s">
        <v>303</v>
      </c>
      <c r="EB25">
        <v>1.8666199999999999</v>
      </c>
      <c r="EC25">
        <v>1.86311</v>
      </c>
      <c r="ED25">
        <v>1.8687499999999999</v>
      </c>
      <c r="EE25">
        <v>1.86676</v>
      </c>
      <c r="EF25">
        <v>1.8714200000000001</v>
      </c>
      <c r="EG25">
        <v>1.8638600000000001</v>
      </c>
      <c r="EH25">
        <v>1.8653299999999999</v>
      </c>
      <c r="EI25">
        <v>1.8652299999999999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-0.35</v>
      </c>
      <c r="EX25">
        <v>0.111</v>
      </c>
      <c r="EY25">
        <v>2</v>
      </c>
      <c r="EZ25">
        <v>336.26100000000002</v>
      </c>
      <c r="FA25">
        <v>456.72</v>
      </c>
      <c r="FB25">
        <v>18.677700000000002</v>
      </c>
      <c r="FC25">
        <v>35.231200000000001</v>
      </c>
      <c r="FD25">
        <v>30.0001</v>
      </c>
      <c r="FE25">
        <v>35.277700000000003</v>
      </c>
      <c r="FF25">
        <v>35.283999999999999</v>
      </c>
      <c r="FG25">
        <v>30.574300000000001</v>
      </c>
      <c r="FH25">
        <v>32.995399999999997</v>
      </c>
      <c r="FI25">
        <v>0</v>
      </c>
      <c r="FJ25">
        <v>18.666599999999999</v>
      </c>
      <c r="FK25">
        <v>600</v>
      </c>
      <c r="FL25">
        <v>17.684699999999999</v>
      </c>
      <c r="FM25">
        <v>100.681</v>
      </c>
      <c r="FN25">
        <v>100.895</v>
      </c>
    </row>
    <row r="26" spans="1:170" x14ac:dyDescent="0.25">
      <c r="A26">
        <v>10</v>
      </c>
      <c r="B26">
        <v>1593110588.0999999</v>
      </c>
      <c r="C26">
        <v>1210.1999998092699</v>
      </c>
      <c r="D26" t="s">
        <v>330</v>
      </c>
      <c r="E26" t="s">
        <v>331</v>
      </c>
      <c r="G26">
        <v>1593110580.0999999</v>
      </c>
      <c r="H26">
        <f t="shared" si="0"/>
        <v>4.1434722589435242E-3</v>
      </c>
      <c r="I26">
        <f t="shared" si="1"/>
        <v>34.925594168845642</v>
      </c>
      <c r="J26">
        <f t="shared" si="2"/>
        <v>684.86577419354899</v>
      </c>
      <c r="K26">
        <f t="shared" si="3"/>
        <v>438.77746187858418</v>
      </c>
      <c r="L26">
        <f t="shared" si="4"/>
        <v>43.613299965523268</v>
      </c>
      <c r="M26">
        <f t="shared" si="5"/>
        <v>68.073816549603947</v>
      </c>
      <c r="N26">
        <f t="shared" si="6"/>
        <v>0.25073864465845203</v>
      </c>
      <c r="O26">
        <f t="shared" si="7"/>
        <v>3.3789376219239187</v>
      </c>
      <c r="P26">
        <f t="shared" si="8"/>
        <v>0.24084147410263965</v>
      </c>
      <c r="Q26">
        <f t="shared" si="9"/>
        <v>0.15138259150630715</v>
      </c>
      <c r="R26">
        <f t="shared" si="10"/>
        <v>353.33825856649514</v>
      </c>
      <c r="S26">
        <f t="shared" si="11"/>
        <v>27.215861085049578</v>
      </c>
      <c r="T26">
        <f t="shared" si="12"/>
        <v>26.921358064516099</v>
      </c>
      <c r="U26">
        <f t="shared" si="13"/>
        <v>3.5626614317343996</v>
      </c>
      <c r="V26">
        <f t="shared" si="14"/>
        <v>55.192727239684615</v>
      </c>
      <c r="W26">
        <f t="shared" si="15"/>
        <v>1.8996022161681052</v>
      </c>
      <c r="X26">
        <f t="shared" si="16"/>
        <v>3.441761824739574</v>
      </c>
      <c r="Y26">
        <f t="shared" si="17"/>
        <v>1.6630592155662944</v>
      </c>
      <c r="Z26">
        <f t="shared" si="18"/>
        <v>-182.7271266194094</v>
      </c>
      <c r="AA26">
        <f t="shared" si="19"/>
        <v>-106.78411484998415</v>
      </c>
      <c r="AB26">
        <f t="shared" si="20"/>
        <v>-6.7949524730295687</v>
      </c>
      <c r="AC26">
        <f t="shared" si="21"/>
        <v>57.032064624072007</v>
      </c>
      <c r="AD26">
        <v>-4.11216982519595E-2</v>
      </c>
      <c r="AE26">
        <v>4.61627087464484E-2</v>
      </c>
      <c r="AF26">
        <v>3.4510989974388599</v>
      </c>
      <c r="AG26">
        <v>144</v>
      </c>
      <c r="AH26">
        <v>29</v>
      </c>
      <c r="AI26">
        <f t="shared" si="22"/>
        <v>1</v>
      </c>
      <c r="AJ26">
        <f t="shared" si="23"/>
        <v>0</v>
      </c>
      <c r="AK26">
        <f t="shared" si="24"/>
        <v>52553.811886758092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332</v>
      </c>
      <c r="AS26">
        <v>283.58465384615403</v>
      </c>
      <c r="AT26">
        <v>365.69499999999999</v>
      </c>
      <c r="AU26">
        <f t="shared" si="27"/>
        <v>0.22453231833589726</v>
      </c>
      <c r="AV26">
        <v>0.5</v>
      </c>
      <c r="AW26">
        <f t="shared" si="28"/>
        <v>1849.1901771284865</v>
      </c>
      <c r="AX26">
        <f t="shared" si="29"/>
        <v>34.925594168845642</v>
      </c>
      <c r="AY26">
        <f t="shared" si="30"/>
        <v>207.6014787573138</v>
      </c>
      <c r="AZ26">
        <f t="shared" si="31"/>
        <v>0.47415195723211961</v>
      </c>
      <c r="BA26">
        <f t="shared" si="32"/>
        <v>1.9427744432772551E-2</v>
      </c>
      <c r="BB26">
        <f t="shared" si="33"/>
        <v>-1</v>
      </c>
      <c r="BC26" t="s">
        <v>333</v>
      </c>
      <c r="BD26">
        <v>192.3</v>
      </c>
      <c r="BE26">
        <f t="shared" si="34"/>
        <v>173.39499999999998</v>
      </c>
      <c r="BF26">
        <f t="shared" si="35"/>
        <v>0.47354506274025188</v>
      </c>
      <c r="BG26">
        <f t="shared" si="36"/>
        <v>1.901690067602704</v>
      </c>
      <c r="BH26">
        <f t="shared" si="37"/>
        <v>0.22453231833589732</v>
      </c>
      <c r="BI26" t="e">
        <f t="shared" si="38"/>
        <v>#DIV/0!</v>
      </c>
      <c r="BJ26">
        <v>4071</v>
      </c>
      <c r="BK26">
        <v>300</v>
      </c>
      <c r="BL26">
        <v>300</v>
      </c>
      <c r="BM26">
        <v>300</v>
      </c>
      <c r="BN26">
        <v>9879.16</v>
      </c>
      <c r="BO26">
        <v>343.97899999999998</v>
      </c>
      <c r="BP26">
        <v>-6.4067999999999998E-3</v>
      </c>
      <c r="BQ26">
        <v>1.72983</v>
      </c>
      <c r="BR26">
        <f t="shared" si="39"/>
        <v>2200.0061290322601</v>
      </c>
      <c r="BS26">
        <f t="shared" si="40"/>
        <v>1849.1901771284865</v>
      </c>
      <c r="BT26">
        <f t="shared" si="41"/>
        <v>0.84053864792727162</v>
      </c>
      <c r="BU26">
        <f t="shared" si="42"/>
        <v>0.19107729585454331</v>
      </c>
      <c r="BV26">
        <v>0.5</v>
      </c>
      <c r="BW26" t="s">
        <v>281</v>
      </c>
      <c r="BX26">
        <v>1593110580.0999999</v>
      </c>
      <c r="BY26">
        <v>684.86577419354899</v>
      </c>
      <c r="BZ26">
        <v>699.96929032258095</v>
      </c>
      <c r="CA26">
        <v>19.111203225806499</v>
      </c>
      <c r="CB26">
        <v>17.485683870967701</v>
      </c>
      <c r="CC26">
        <v>500.05993548387102</v>
      </c>
      <c r="CD26">
        <v>99.197325806451602</v>
      </c>
      <c r="CE26">
        <v>0.19998548387096801</v>
      </c>
      <c r="CF26">
        <v>26.335164516129002</v>
      </c>
      <c r="CG26">
        <v>26.921358064516099</v>
      </c>
      <c r="CH26">
        <v>999.9</v>
      </c>
      <c r="CI26">
        <v>9996.9403225806509</v>
      </c>
      <c r="CJ26">
        <v>0</v>
      </c>
      <c r="CK26">
        <v>284.77354838709698</v>
      </c>
      <c r="CL26">
        <v>2200.0061290322601</v>
      </c>
      <c r="CM26">
        <v>0.98200303225806496</v>
      </c>
      <c r="CN26">
        <v>1.7997216129032299E-2</v>
      </c>
      <c r="CO26">
        <v>0</v>
      </c>
      <c r="CP26">
        <v>283.60083870967702</v>
      </c>
      <c r="CQ26">
        <v>5.00054</v>
      </c>
      <c r="CR26">
        <v>8479.7045161290298</v>
      </c>
      <c r="CS26">
        <v>20590.609677419401</v>
      </c>
      <c r="CT26">
        <v>50.152935483870898</v>
      </c>
      <c r="CU26">
        <v>51.883000000000003</v>
      </c>
      <c r="CV26">
        <v>50.543999999999997</v>
      </c>
      <c r="CW26">
        <v>50.443225806451601</v>
      </c>
      <c r="CX26">
        <v>51.293999999999997</v>
      </c>
      <c r="CY26">
        <v>2155.5051612903198</v>
      </c>
      <c r="CZ26">
        <v>39.500967741935497</v>
      </c>
      <c r="DA26">
        <v>0</v>
      </c>
      <c r="DB26">
        <v>148.19999980926499</v>
      </c>
      <c r="DC26">
        <v>283.58465384615403</v>
      </c>
      <c r="DD26">
        <v>-1.00885470179869</v>
      </c>
      <c r="DE26">
        <v>-46.194188010459698</v>
      </c>
      <c r="DF26">
        <v>8479.3492307692304</v>
      </c>
      <c r="DG26">
        <v>15</v>
      </c>
      <c r="DH26">
        <v>1593110517.0999999</v>
      </c>
      <c r="DI26" t="s">
        <v>334</v>
      </c>
      <c r="DJ26">
        <v>77</v>
      </c>
      <c r="DK26">
        <v>-0.19900000000000001</v>
      </c>
      <c r="DL26">
        <v>0.113</v>
      </c>
      <c r="DM26">
        <v>700</v>
      </c>
      <c r="DN26">
        <v>17</v>
      </c>
      <c r="DO26">
        <v>0.23</v>
      </c>
      <c r="DP26">
        <v>0.04</v>
      </c>
      <c r="DQ26">
        <v>-15.1011222222222</v>
      </c>
      <c r="DR26">
        <v>-0.14964894225279801</v>
      </c>
      <c r="DS26">
        <v>9.0411650483828002E-2</v>
      </c>
      <c r="DT26">
        <v>1</v>
      </c>
      <c r="DU26">
        <v>1.63479333333333</v>
      </c>
      <c r="DV26">
        <v>-4.7803499142401E-2</v>
      </c>
      <c r="DW26">
        <v>4.1762242472073899E-2</v>
      </c>
      <c r="DX26">
        <v>1</v>
      </c>
      <c r="DY26">
        <v>2</v>
      </c>
      <c r="DZ26">
        <v>2</v>
      </c>
      <c r="EA26" t="s">
        <v>303</v>
      </c>
      <c r="EB26">
        <v>1.8667400000000001</v>
      </c>
      <c r="EC26">
        <v>1.86324</v>
      </c>
      <c r="ED26">
        <v>1.8688499999999999</v>
      </c>
      <c r="EE26">
        <v>1.8667800000000001</v>
      </c>
      <c r="EF26">
        <v>1.87148</v>
      </c>
      <c r="EG26">
        <v>1.86388</v>
      </c>
      <c r="EH26">
        <v>1.8653900000000001</v>
      </c>
      <c r="EI26">
        <v>1.86534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-0.19900000000000001</v>
      </c>
      <c r="EX26">
        <v>0.113</v>
      </c>
      <c r="EY26">
        <v>2</v>
      </c>
      <c r="EZ26">
        <v>335.67</v>
      </c>
      <c r="FA26">
        <v>454.41199999999998</v>
      </c>
      <c r="FB26">
        <v>18.875900000000001</v>
      </c>
      <c r="FC26">
        <v>35.368400000000001</v>
      </c>
      <c r="FD26">
        <v>29.997900000000001</v>
      </c>
      <c r="FE26">
        <v>35.338200000000001</v>
      </c>
      <c r="FF26">
        <v>35.340600000000002</v>
      </c>
      <c r="FG26">
        <v>34.715200000000003</v>
      </c>
      <c r="FH26">
        <v>34.777999999999999</v>
      </c>
      <c r="FI26">
        <v>0</v>
      </c>
      <c r="FJ26">
        <v>19.070499999999999</v>
      </c>
      <c r="FK26">
        <v>700</v>
      </c>
      <c r="FL26">
        <v>17.279399999999999</v>
      </c>
      <c r="FM26">
        <v>100.661</v>
      </c>
      <c r="FN26">
        <v>100.871</v>
      </c>
    </row>
    <row r="27" spans="1:170" x14ac:dyDescent="0.25">
      <c r="A27">
        <v>11</v>
      </c>
      <c r="B27">
        <v>1593110717.0999999</v>
      </c>
      <c r="C27">
        <v>1339.1999998092699</v>
      </c>
      <c r="D27" t="s">
        <v>335</v>
      </c>
      <c r="E27" t="s">
        <v>336</v>
      </c>
      <c r="G27">
        <v>1593110709.1419401</v>
      </c>
      <c r="H27">
        <f t="shared" si="0"/>
        <v>3.8510941302292078E-3</v>
      </c>
      <c r="I27">
        <f t="shared" si="1"/>
        <v>36.481637391634038</v>
      </c>
      <c r="J27">
        <f t="shared" si="2"/>
        <v>784.161838709677</v>
      </c>
      <c r="K27">
        <f t="shared" si="3"/>
        <v>502.75696981291782</v>
      </c>
      <c r="L27">
        <f t="shared" si="4"/>
        <v>49.976243691020258</v>
      </c>
      <c r="M27">
        <f t="shared" si="5"/>
        <v>77.949119550020825</v>
      </c>
      <c r="N27">
        <f t="shared" si="6"/>
        <v>0.22862794497300531</v>
      </c>
      <c r="O27">
        <f t="shared" si="7"/>
        <v>3.3785634135365759</v>
      </c>
      <c r="P27">
        <f t="shared" si="8"/>
        <v>0.22036751926507417</v>
      </c>
      <c r="Q27">
        <f t="shared" si="9"/>
        <v>0.1384470008609513</v>
      </c>
      <c r="R27">
        <f t="shared" si="10"/>
        <v>353.33753025152805</v>
      </c>
      <c r="S27">
        <f t="shared" si="11"/>
        <v>27.399876797860191</v>
      </c>
      <c r="T27">
        <f t="shared" si="12"/>
        <v>27.066506451612899</v>
      </c>
      <c r="U27">
        <f t="shared" si="13"/>
        <v>3.5931640650514285</v>
      </c>
      <c r="V27">
        <f t="shared" si="14"/>
        <v>54.939393029192843</v>
      </c>
      <c r="W27">
        <f t="shared" si="15"/>
        <v>1.9040289665514953</v>
      </c>
      <c r="X27">
        <f t="shared" si="16"/>
        <v>3.4656898476103697</v>
      </c>
      <c r="Y27">
        <f t="shared" si="17"/>
        <v>1.6891350984999332</v>
      </c>
      <c r="Z27">
        <f t="shared" si="18"/>
        <v>-169.83325114310807</v>
      </c>
      <c r="AA27">
        <f t="shared" si="19"/>
        <v>-111.82123374927568</v>
      </c>
      <c r="AB27">
        <f t="shared" si="20"/>
        <v>-7.125624826112233</v>
      </c>
      <c r="AC27">
        <f t="shared" si="21"/>
        <v>64.557420533032058</v>
      </c>
      <c r="AD27">
        <v>-4.1115913680512498E-2</v>
      </c>
      <c r="AE27">
        <v>4.6156215058242897E-2</v>
      </c>
      <c r="AF27">
        <v>3.4507146381421401</v>
      </c>
      <c r="AG27">
        <v>145</v>
      </c>
      <c r="AH27">
        <v>29</v>
      </c>
      <c r="AI27">
        <f t="shared" si="22"/>
        <v>1</v>
      </c>
      <c r="AJ27">
        <f t="shared" si="23"/>
        <v>0</v>
      </c>
      <c r="AK27">
        <f t="shared" si="24"/>
        <v>52526.267121883997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282.610538461538</v>
      </c>
      <c r="AT27">
        <v>365.40499999999997</v>
      </c>
      <c r="AU27">
        <f t="shared" si="27"/>
        <v>0.22658272748994124</v>
      </c>
      <c r="AV27">
        <v>0.5</v>
      </c>
      <c r="AW27">
        <f t="shared" si="28"/>
        <v>1849.1839448703488</v>
      </c>
      <c r="AX27">
        <f t="shared" si="29"/>
        <v>36.481637391634038</v>
      </c>
      <c r="AY27">
        <f t="shared" si="30"/>
        <v>209.49657092966638</v>
      </c>
      <c r="AZ27">
        <f t="shared" si="31"/>
        <v>0.47318728534092303</v>
      </c>
      <c r="BA27">
        <f t="shared" si="32"/>
        <v>2.0269285538417312E-2</v>
      </c>
      <c r="BB27">
        <f t="shared" si="33"/>
        <v>-1</v>
      </c>
      <c r="BC27" t="s">
        <v>338</v>
      </c>
      <c r="BD27">
        <v>192.5</v>
      </c>
      <c r="BE27">
        <f t="shared" si="34"/>
        <v>172.90499999999997</v>
      </c>
      <c r="BF27">
        <f t="shared" si="35"/>
        <v>0.47884365136035389</v>
      </c>
      <c r="BG27">
        <f t="shared" si="36"/>
        <v>1.898207792207792</v>
      </c>
      <c r="BH27">
        <f t="shared" si="37"/>
        <v>0.22658272748994124</v>
      </c>
      <c r="BI27" t="e">
        <f t="shared" si="38"/>
        <v>#DIV/0!</v>
      </c>
      <c r="BJ27">
        <v>4073</v>
      </c>
      <c r="BK27">
        <v>300</v>
      </c>
      <c r="BL27">
        <v>300</v>
      </c>
      <c r="BM27">
        <v>300</v>
      </c>
      <c r="BN27">
        <v>9880.08</v>
      </c>
      <c r="BO27">
        <v>341.57900000000001</v>
      </c>
      <c r="BP27">
        <v>-6.4077200000000004E-3</v>
      </c>
      <c r="BQ27">
        <v>0.36843900000000002</v>
      </c>
      <c r="BR27">
        <f t="shared" si="39"/>
        <v>2199.9983870967699</v>
      </c>
      <c r="BS27">
        <f t="shared" si="40"/>
        <v>1849.1839448703488</v>
      </c>
      <c r="BT27">
        <f t="shared" si="41"/>
        <v>0.84053877299002311</v>
      </c>
      <c r="BU27">
        <f t="shared" si="42"/>
        <v>0.19107754598004661</v>
      </c>
      <c r="BV27">
        <v>0.5</v>
      </c>
      <c r="BW27" t="s">
        <v>281</v>
      </c>
      <c r="BX27">
        <v>1593110709.1419401</v>
      </c>
      <c r="BY27">
        <v>784.161838709677</v>
      </c>
      <c r="BZ27">
        <v>799.960193548387</v>
      </c>
      <c r="CA27">
        <v>19.154377419354802</v>
      </c>
      <c r="CB27">
        <v>17.643661290322601</v>
      </c>
      <c r="CC27">
        <v>500.07129032258098</v>
      </c>
      <c r="CD27">
        <v>99.204390322580693</v>
      </c>
      <c r="CE27">
        <v>0.199987322580645</v>
      </c>
      <c r="CF27">
        <v>26.4525935483871</v>
      </c>
      <c r="CG27">
        <v>27.066506451612899</v>
      </c>
      <c r="CH27">
        <v>999.9</v>
      </c>
      <c r="CI27">
        <v>9994.8222580645197</v>
      </c>
      <c r="CJ27">
        <v>0</v>
      </c>
      <c r="CK27">
        <v>278.70293548387099</v>
      </c>
      <c r="CL27">
        <v>2199.9983870967699</v>
      </c>
      <c r="CM27">
        <v>0.98200200000000004</v>
      </c>
      <c r="CN27">
        <v>1.7998299999999998E-2</v>
      </c>
      <c r="CO27">
        <v>0</v>
      </c>
      <c r="CP27">
        <v>282.62816129032302</v>
      </c>
      <c r="CQ27">
        <v>5.00054</v>
      </c>
      <c r="CR27">
        <v>8425.0425806451603</v>
      </c>
      <c r="CS27">
        <v>20590.529032258099</v>
      </c>
      <c r="CT27">
        <v>49.830387096774203</v>
      </c>
      <c r="CU27">
        <v>51.902999999999999</v>
      </c>
      <c r="CV27">
        <v>50.295999999999999</v>
      </c>
      <c r="CW27">
        <v>50.429129032257997</v>
      </c>
      <c r="CX27">
        <v>51.03</v>
      </c>
      <c r="CY27">
        <v>2155.4883870967701</v>
      </c>
      <c r="CZ27">
        <v>39.51</v>
      </c>
      <c r="DA27">
        <v>0</v>
      </c>
      <c r="DB27">
        <v>128.09999990463299</v>
      </c>
      <c r="DC27">
        <v>282.610538461538</v>
      </c>
      <c r="DD27">
        <v>-2.1785299205343098</v>
      </c>
      <c r="DE27">
        <v>-41.985982636128703</v>
      </c>
      <c r="DF27">
        <v>8425.4296153846208</v>
      </c>
      <c r="DG27">
        <v>15</v>
      </c>
      <c r="DH27">
        <v>1593110667.0999999</v>
      </c>
      <c r="DI27" t="s">
        <v>339</v>
      </c>
      <c r="DJ27">
        <v>78</v>
      </c>
      <c r="DK27">
        <v>-0.35799999999999998</v>
      </c>
      <c r="DL27">
        <v>0.114</v>
      </c>
      <c r="DM27">
        <v>800</v>
      </c>
      <c r="DN27">
        <v>17</v>
      </c>
      <c r="DO27">
        <v>0.33</v>
      </c>
      <c r="DP27">
        <v>0.04</v>
      </c>
      <c r="DQ27">
        <v>-15.878096296296301</v>
      </c>
      <c r="DR27">
        <v>0.38963199788520098</v>
      </c>
      <c r="DS27">
        <v>0.12657150513527299</v>
      </c>
      <c r="DT27">
        <v>1</v>
      </c>
      <c r="DU27">
        <v>1.51825351851852</v>
      </c>
      <c r="DV27">
        <v>-9.6570627609810597E-2</v>
      </c>
      <c r="DW27">
        <v>1.57937900545339E-2</v>
      </c>
      <c r="DX27">
        <v>1</v>
      </c>
      <c r="DY27">
        <v>2</v>
      </c>
      <c r="DZ27">
        <v>2</v>
      </c>
      <c r="EA27" t="s">
        <v>303</v>
      </c>
      <c r="EB27">
        <v>1.8666100000000001</v>
      </c>
      <c r="EC27">
        <v>1.8631</v>
      </c>
      <c r="ED27">
        <v>1.8687400000000001</v>
      </c>
      <c r="EE27">
        <v>1.8667400000000001</v>
      </c>
      <c r="EF27">
        <v>1.87134</v>
      </c>
      <c r="EG27">
        <v>1.8638399999999999</v>
      </c>
      <c r="EH27">
        <v>1.86527</v>
      </c>
      <c r="EI27">
        <v>1.8652299999999999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-0.35799999999999998</v>
      </c>
      <c r="EX27">
        <v>0.114</v>
      </c>
      <c r="EY27">
        <v>2</v>
      </c>
      <c r="EZ27">
        <v>334.66300000000001</v>
      </c>
      <c r="FA27">
        <v>455.16699999999997</v>
      </c>
      <c r="FB27">
        <v>18.500599999999999</v>
      </c>
      <c r="FC27">
        <v>35.591799999999999</v>
      </c>
      <c r="FD27">
        <v>30.000699999999998</v>
      </c>
      <c r="FE27">
        <v>35.494799999999998</v>
      </c>
      <c r="FF27">
        <v>35.4861</v>
      </c>
      <c r="FG27">
        <v>38.764099999999999</v>
      </c>
      <c r="FH27">
        <v>34.041800000000002</v>
      </c>
      <c r="FI27">
        <v>0</v>
      </c>
      <c r="FJ27">
        <v>18.0242</v>
      </c>
      <c r="FK27">
        <v>800</v>
      </c>
      <c r="FL27">
        <v>17.682200000000002</v>
      </c>
      <c r="FM27">
        <v>100.619</v>
      </c>
      <c r="FN27">
        <v>100.818</v>
      </c>
    </row>
    <row r="28" spans="1:170" x14ac:dyDescent="0.25">
      <c r="A28">
        <v>12</v>
      </c>
      <c r="B28">
        <v>1593110867.5999999</v>
      </c>
      <c r="C28">
        <v>1489.6999998092699</v>
      </c>
      <c r="D28" t="s">
        <v>340</v>
      </c>
      <c r="E28" t="s">
        <v>341</v>
      </c>
      <c r="G28">
        <v>1593110859.6483901</v>
      </c>
      <c r="H28">
        <f t="shared" si="0"/>
        <v>3.8827932108755014E-3</v>
      </c>
      <c r="I28">
        <f t="shared" si="1"/>
        <v>36.70788318504529</v>
      </c>
      <c r="J28">
        <f t="shared" si="2"/>
        <v>983.74796774193499</v>
      </c>
      <c r="K28">
        <f t="shared" si="3"/>
        <v>696.0527749231577</v>
      </c>
      <c r="L28">
        <f t="shared" si="4"/>
        <v>69.190818278736785</v>
      </c>
      <c r="M28">
        <f t="shared" si="5"/>
        <v>97.789031694648685</v>
      </c>
      <c r="N28">
        <f t="shared" si="6"/>
        <v>0.22944766459579224</v>
      </c>
      <c r="O28">
        <f t="shared" si="7"/>
        <v>3.3789582493927313</v>
      </c>
      <c r="P28">
        <f t="shared" si="8"/>
        <v>0.22112999251013887</v>
      </c>
      <c r="Q28">
        <f t="shared" si="9"/>
        <v>0.13892843412869987</v>
      </c>
      <c r="R28">
        <f t="shared" si="10"/>
        <v>353.33933218046002</v>
      </c>
      <c r="S28">
        <f t="shared" si="11"/>
        <v>27.242231651362136</v>
      </c>
      <c r="T28">
        <f t="shared" si="12"/>
        <v>27.0124967741936</v>
      </c>
      <c r="U28">
        <f t="shared" si="13"/>
        <v>3.5817875177246248</v>
      </c>
      <c r="V28">
        <f t="shared" si="14"/>
        <v>54.856163981683835</v>
      </c>
      <c r="W28">
        <f t="shared" si="15"/>
        <v>1.8843451838138545</v>
      </c>
      <c r="X28">
        <f t="shared" si="16"/>
        <v>3.4350655369249417</v>
      </c>
      <c r="Y28">
        <f t="shared" si="17"/>
        <v>1.6974423339107703</v>
      </c>
      <c r="Z28">
        <f t="shared" si="18"/>
        <v>-171.23118059960962</v>
      </c>
      <c r="AA28">
        <f t="shared" si="19"/>
        <v>-129.39690532421903</v>
      </c>
      <c r="AB28">
        <f t="shared" si="20"/>
        <v>-8.2362140054659019</v>
      </c>
      <c r="AC28">
        <f t="shared" si="21"/>
        <v>44.475032251165459</v>
      </c>
      <c r="AD28">
        <v>-4.1122017122920899E-2</v>
      </c>
      <c r="AE28">
        <v>4.6163066707037299E-2</v>
      </c>
      <c r="AF28">
        <v>3.4511201844703399</v>
      </c>
      <c r="AG28">
        <v>146</v>
      </c>
      <c r="AH28">
        <v>29</v>
      </c>
      <c r="AI28">
        <f t="shared" si="22"/>
        <v>1</v>
      </c>
      <c r="AJ28">
        <f t="shared" si="23"/>
        <v>0</v>
      </c>
      <c r="AK28">
        <f t="shared" si="24"/>
        <v>52560.151901630306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279.41330769230802</v>
      </c>
      <c r="AT28">
        <v>355.697</v>
      </c>
      <c r="AU28">
        <f t="shared" si="27"/>
        <v>0.21446256872476288</v>
      </c>
      <c r="AV28">
        <v>0.5</v>
      </c>
      <c r="AW28">
        <f t="shared" si="28"/>
        <v>1849.1934287413176</v>
      </c>
      <c r="AX28">
        <f t="shared" si="29"/>
        <v>36.70788318504529</v>
      </c>
      <c r="AY28">
        <f t="shared" si="30"/>
        <v>198.29138639840735</v>
      </c>
      <c r="AZ28">
        <f t="shared" si="31"/>
        <v>0.46240761097226013</v>
      </c>
      <c r="BA28">
        <f t="shared" si="32"/>
        <v>2.0391529949742332E-2</v>
      </c>
      <c r="BB28">
        <f t="shared" si="33"/>
        <v>-1</v>
      </c>
      <c r="BC28" t="s">
        <v>343</v>
      </c>
      <c r="BD28">
        <v>191.22</v>
      </c>
      <c r="BE28">
        <f t="shared" si="34"/>
        <v>164.477</v>
      </c>
      <c r="BF28">
        <f t="shared" si="35"/>
        <v>0.46379549911350509</v>
      </c>
      <c r="BG28">
        <f t="shared" si="36"/>
        <v>1.8601453822821881</v>
      </c>
      <c r="BH28">
        <f t="shared" si="37"/>
        <v>0.21446256872476288</v>
      </c>
      <c r="BI28" t="e">
        <f t="shared" si="38"/>
        <v>#DIV/0!</v>
      </c>
      <c r="BJ28">
        <v>4075</v>
      </c>
      <c r="BK28">
        <v>300</v>
      </c>
      <c r="BL28">
        <v>300</v>
      </c>
      <c r="BM28">
        <v>300</v>
      </c>
      <c r="BN28">
        <v>9880.76</v>
      </c>
      <c r="BO28">
        <v>334.74799999999999</v>
      </c>
      <c r="BP28">
        <v>-6.4082000000000002E-3</v>
      </c>
      <c r="BQ28">
        <v>0.480377</v>
      </c>
      <c r="BR28">
        <f t="shared" si="39"/>
        <v>2200.0096774193498</v>
      </c>
      <c r="BS28">
        <f t="shared" si="40"/>
        <v>1849.1934287413176</v>
      </c>
      <c r="BT28">
        <f t="shared" si="41"/>
        <v>0.84053877022507195</v>
      </c>
      <c r="BU28">
        <f t="shared" si="42"/>
        <v>0.19107754045014425</v>
      </c>
      <c r="BV28">
        <v>0.5</v>
      </c>
      <c r="BW28" t="s">
        <v>281</v>
      </c>
      <c r="BX28">
        <v>1593110859.6483901</v>
      </c>
      <c r="BY28">
        <v>983.74796774193499</v>
      </c>
      <c r="BZ28">
        <v>999.95664516129</v>
      </c>
      <c r="CA28">
        <v>18.956325806451598</v>
      </c>
      <c r="CB28">
        <v>17.432870967741898</v>
      </c>
      <c r="CC28">
        <v>500.07254838709702</v>
      </c>
      <c r="CD28">
        <v>99.204561290322602</v>
      </c>
      <c r="CE28">
        <v>0.19999648387096799</v>
      </c>
      <c r="CF28">
        <v>26.302174193548399</v>
      </c>
      <c r="CG28">
        <v>27.0124967741936</v>
      </c>
      <c r="CH28">
        <v>999.9</v>
      </c>
      <c r="CI28">
        <v>9996.2887096774193</v>
      </c>
      <c r="CJ28">
        <v>0</v>
      </c>
      <c r="CK28">
        <v>275.52616129032299</v>
      </c>
      <c r="CL28">
        <v>2200.0096774193498</v>
      </c>
      <c r="CM28">
        <v>0.98200083870967803</v>
      </c>
      <c r="CN28">
        <v>1.7999519354838699E-2</v>
      </c>
      <c r="CO28">
        <v>0</v>
      </c>
      <c r="CP28">
        <v>279.41996774193501</v>
      </c>
      <c r="CQ28">
        <v>5.00054</v>
      </c>
      <c r="CR28">
        <v>8328.1493548387098</v>
      </c>
      <c r="CS28">
        <v>20590.6129032258</v>
      </c>
      <c r="CT28">
        <v>49.580354838709702</v>
      </c>
      <c r="CU28">
        <v>51.8546774193548</v>
      </c>
      <c r="CV28">
        <v>50.112741935483903</v>
      </c>
      <c r="CW28">
        <v>50.4150322580645</v>
      </c>
      <c r="CX28">
        <v>50.846548387096803</v>
      </c>
      <c r="CY28">
        <v>2155.4996774193501</v>
      </c>
      <c r="CZ28">
        <v>39.51</v>
      </c>
      <c r="DA28">
        <v>0</v>
      </c>
      <c r="DB28">
        <v>149.700000047684</v>
      </c>
      <c r="DC28">
        <v>279.41330769230802</v>
      </c>
      <c r="DD28">
        <v>-2.9919316236664102</v>
      </c>
      <c r="DE28">
        <v>-77.544957242459702</v>
      </c>
      <c r="DF28">
        <v>8327.7434615384609</v>
      </c>
      <c r="DG28">
        <v>15</v>
      </c>
      <c r="DH28">
        <v>1593110815.5999999</v>
      </c>
      <c r="DI28" t="s">
        <v>344</v>
      </c>
      <c r="DJ28">
        <v>79</v>
      </c>
      <c r="DK28">
        <v>3.5000000000000003E-2</v>
      </c>
      <c r="DL28">
        <v>0.111</v>
      </c>
      <c r="DM28">
        <v>1000</v>
      </c>
      <c r="DN28">
        <v>17</v>
      </c>
      <c r="DO28">
        <v>0.22</v>
      </c>
      <c r="DP28">
        <v>0.04</v>
      </c>
      <c r="DQ28">
        <v>-16.260377777777801</v>
      </c>
      <c r="DR28">
        <v>0.31270274788503999</v>
      </c>
      <c r="DS28">
        <v>0.11638196479006099</v>
      </c>
      <c r="DT28">
        <v>1</v>
      </c>
      <c r="DU28">
        <v>1.5479833333333299</v>
      </c>
      <c r="DV28">
        <v>-0.24977210059969601</v>
      </c>
      <c r="DW28">
        <v>3.2654369170540203E-2</v>
      </c>
      <c r="DX28">
        <v>0</v>
      </c>
      <c r="DY28">
        <v>1</v>
      </c>
      <c r="DZ28">
        <v>2</v>
      </c>
      <c r="EA28" t="s">
        <v>283</v>
      </c>
      <c r="EB28">
        <v>1.8666199999999999</v>
      </c>
      <c r="EC28">
        <v>1.8631</v>
      </c>
      <c r="ED28">
        <v>1.8687400000000001</v>
      </c>
      <c r="EE28">
        <v>1.8667499999999999</v>
      </c>
      <c r="EF28">
        <v>1.87137</v>
      </c>
      <c r="EG28">
        <v>1.86385</v>
      </c>
      <c r="EH28">
        <v>1.8653299999999999</v>
      </c>
      <c r="EI28">
        <v>1.8652299999999999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3.5000000000000003E-2</v>
      </c>
      <c r="EX28">
        <v>0.111</v>
      </c>
      <c r="EY28">
        <v>2</v>
      </c>
      <c r="EZ28">
        <v>333.36099999999999</v>
      </c>
      <c r="FA28">
        <v>454.654</v>
      </c>
      <c r="FB28">
        <v>18.517399999999999</v>
      </c>
      <c r="FC28">
        <v>35.831499999999998</v>
      </c>
      <c r="FD28">
        <v>30.000499999999999</v>
      </c>
      <c r="FE28">
        <v>35.686500000000002</v>
      </c>
      <c r="FF28">
        <v>35.668199999999999</v>
      </c>
      <c r="FG28">
        <v>46.514800000000001</v>
      </c>
      <c r="FH28">
        <v>36.196100000000001</v>
      </c>
      <c r="FI28">
        <v>0</v>
      </c>
      <c r="FJ28">
        <v>18.516100000000002</v>
      </c>
      <c r="FK28">
        <v>1000</v>
      </c>
      <c r="FL28">
        <v>17.5001</v>
      </c>
      <c r="FM28">
        <v>100.58</v>
      </c>
      <c r="FN28">
        <v>100.776</v>
      </c>
    </row>
    <row r="29" spans="1:170" x14ac:dyDescent="0.25">
      <c r="A29">
        <v>13</v>
      </c>
      <c r="B29">
        <v>1593111007.2</v>
      </c>
      <c r="C29">
        <v>1629.2999999523199</v>
      </c>
      <c r="D29" t="s">
        <v>345</v>
      </c>
      <c r="E29" t="s">
        <v>346</v>
      </c>
      <c r="G29">
        <v>1593110999.1612899</v>
      </c>
      <c r="H29">
        <f t="shared" si="0"/>
        <v>4.3236377480808646E-3</v>
      </c>
      <c r="I29">
        <f t="shared" si="1"/>
        <v>37.734688141615244</v>
      </c>
      <c r="J29">
        <f t="shared" si="2"/>
        <v>1182.854</v>
      </c>
      <c r="K29">
        <f t="shared" si="3"/>
        <v>909.21114388977526</v>
      </c>
      <c r="L29">
        <f t="shared" si="4"/>
        <v>90.381288896456752</v>
      </c>
      <c r="M29">
        <f t="shared" si="5"/>
        <v>117.58310466692875</v>
      </c>
      <c r="N29">
        <f t="shared" si="6"/>
        <v>0.25596312583932468</v>
      </c>
      <c r="O29">
        <f t="shared" si="7"/>
        <v>3.3773391327129954</v>
      </c>
      <c r="P29">
        <f t="shared" si="8"/>
        <v>0.24565366466021707</v>
      </c>
      <c r="Q29">
        <f t="shared" si="9"/>
        <v>0.15442520464841508</v>
      </c>
      <c r="R29">
        <f t="shared" si="10"/>
        <v>353.34200661069269</v>
      </c>
      <c r="S29">
        <f t="shared" si="11"/>
        <v>27.289760245688967</v>
      </c>
      <c r="T29">
        <f t="shared" si="12"/>
        <v>27.156158064516099</v>
      </c>
      <c r="U29">
        <f t="shared" si="13"/>
        <v>3.6121178352078025</v>
      </c>
      <c r="V29">
        <f t="shared" si="14"/>
        <v>55.153260836254567</v>
      </c>
      <c r="W29">
        <f t="shared" si="15"/>
        <v>1.9111195405836205</v>
      </c>
      <c r="X29">
        <f t="shared" si="16"/>
        <v>3.4651070700199846</v>
      </c>
      <c r="Y29">
        <f t="shared" si="17"/>
        <v>1.700998294624182</v>
      </c>
      <c r="Z29">
        <f t="shared" si="18"/>
        <v>-190.67242469036611</v>
      </c>
      <c r="AA29">
        <f t="shared" si="19"/>
        <v>-128.62361817262695</v>
      </c>
      <c r="AB29">
        <f t="shared" si="20"/>
        <v>-8.2028650401303675</v>
      </c>
      <c r="AC29">
        <f t="shared" si="21"/>
        <v>25.843098707569283</v>
      </c>
      <c r="AD29">
        <v>-4.1096990560864598E-2</v>
      </c>
      <c r="AE29">
        <v>4.6134972198681803E-2</v>
      </c>
      <c r="AF29">
        <v>3.4494571505590899</v>
      </c>
      <c r="AG29">
        <v>145</v>
      </c>
      <c r="AH29">
        <v>29</v>
      </c>
      <c r="AI29">
        <f t="shared" si="22"/>
        <v>1</v>
      </c>
      <c r="AJ29">
        <f t="shared" si="23"/>
        <v>0</v>
      </c>
      <c r="AK29">
        <f t="shared" si="24"/>
        <v>52503.615551211034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277.53569230769199</v>
      </c>
      <c r="AT29">
        <v>352.89</v>
      </c>
      <c r="AU29">
        <f t="shared" si="27"/>
        <v>0.21353483434585285</v>
      </c>
      <c r="AV29">
        <v>0.5</v>
      </c>
      <c r="AW29">
        <f t="shared" si="28"/>
        <v>1849.2048394617118</v>
      </c>
      <c r="AX29">
        <f t="shared" si="29"/>
        <v>37.734688141615244</v>
      </c>
      <c r="AY29">
        <f t="shared" si="30"/>
        <v>197.43482453300302</v>
      </c>
      <c r="AZ29">
        <f t="shared" si="31"/>
        <v>0.46515911473830368</v>
      </c>
      <c r="BA29">
        <f t="shared" si="32"/>
        <v>2.0946672491345301E-2</v>
      </c>
      <c r="BB29">
        <f t="shared" si="33"/>
        <v>-1</v>
      </c>
      <c r="BC29" t="s">
        <v>348</v>
      </c>
      <c r="BD29">
        <v>188.74</v>
      </c>
      <c r="BE29">
        <f t="shared" si="34"/>
        <v>164.14999999999998</v>
      </c>
      <c r="BF29">
        <f t="shared" si="35"/>
        <v>0.45905761615783131</v>
      </c>
      <c r="BG29">
        <f t="shared" si="36"/>
        <v>1.8697149517855249</v>
      </c>
      <c r="BH29">
        <f t="shared" si="37"/>
        <v>0.21353483434585283</v>
      </c>
      <c r="BI29" t="e">
        <f t="shared" si="38"/>
        <v>#DIV/0!</v>
      </c>
      <c r="BJ29">
        <v>4077</v>
      </c>
      <c r="BK29">
        <v>300</v>
      </c>
      <c r="BL29">
        <v>300</v>
      </c>
      <c r="BM29">
        <v>300</v>
      </c>
      <c r="BN29">
        <v>9884.4599999999991</v>
      </c>
      <c r="BO29">
        <v>329.38499999999999</v>
      </c>
      <c r="BP29">
        <v>-6.41072E-3</v>
      </c>
      <c r="BQ29">
        <v>0.46591199999999999</v>
      </c>
      <c r="BR29">
        <f t="shared" si="39"/>
        <v>2200.0229032258098</v>
      </c>
      <c r="BS29">
        <f t="shared" si="40"/>
        <v>1849.2048394617118</v>
      </c>
      <c r="BT29">
        <f t="shared" si="41"/>
        <v>0.84053890382245255</v>
      </c>
      <c r="BU29">
        <f t="shared" si="42"/>
        <v>0.19107780764490515</v>
      </c>
      <c r="BV29">
        <v>0.5</v>
      </c>
      <c r="BW29" t="s">
        <v>281</v>
      </c>
      <c r="BX29">
        <v>1593110999.1612899</v>
      </c>
      <c r="BY29">
        <v>1182.854</v>
      </c>
      <c r="BZ29">
        <v>1199.99096774194</v>
      </c>
      <c r="CA29">
        <v>19.2253419354839</v>
      </c>
      <c r="CB29">
        <v>17.529393548387102</v>
      </c>
      <c r="CC29">
        <v>500.07587096774199</v>
      </c>
      <c r="CD29">
        <v>99.206229032258094</v>
      </c>
      <c r="CE29">
        <v>0.20004145161290299</v>
      </c>
      <c r="CF29">
        <v>26.4497419354839</v>
      </c>
      <c r="CG29">
        <v>27.156158064516099</v>
      </c>
      <c r="CH29">
        <v>999.9</v>
      </c>
      <c r="CI29">
        <v>9990.0370967741892</v>
      </c>
      <c r="CJ29">
        <v>0</v>
      </c>
      <c r="CK29">
        <v>1267.8021290322599</v>
      </c>
      <c r="CL29">
        <v>2200.0229032258098</v>
      </c>
      <c r="CM29">
        <v>0.981994451612903</v>
      </c>
      <c r="CN29">
        <v>1.8005322580645199E-2</v>
      </c>
      <c r="CO29">
        <v>0</v>
      </c>
      <c r="CP29">
        <v>277.571741935484</v>
      </c>
      <c r="CQ29">
        <v>5.00054</v>
      </c>
      <c r="CR29">
        <v>8599.8112903225792</v>
      </c>
      <c r="CS29">
        <v>20590.716129032298</v>
      </c>
      <c r="CT29">
        <v>48.937161290322599</v>
      </c>
      <c r="CU29">
        <v>51.031967741935503</v>
      </c>
      <c r="CV29">
        <v>49.376677419354799</v>
      </c>
      <c r="CW29">
        <v>49.769838709677401</v>
      </c>
      <c r="CX29">
        <v>50.3444838709677</v>
      </c>
      <c r="CY29">
        <v>2155.5009677419398</v>
      </c>
      <c r="CZ29">
        <v>39.520000000000003</v>
      </c>
      <c r="DA29">
        <v>0</v>
      </c>
      <c r="DB29">
        <v>139.09999990463299</v>
      </c>
      <c r="DC29">
        <v>277.53569230769199</v>
      </c>
      <c r="DD29">
        <v>-1.4557265027887201</v>
      </c>
      <c r="DE29">
        <v>-762.20922787355505</v>
      </c>
      <c r="DF29">
        <v>8614.7884615384592</v>
      </c>
      <c r="DG29">
        <v>15</v>
      </c>
      <c r="DH29">
        <v>1593111042.7</v>
      </c>
      <c r="DI29" t="s">
        <v>349</v>
      </c>
      <c r="DJ29">
        <v>80</v>
      </c>
      <c r="DK29">
        <v>-0.161</v>
      </c>
      <c r="DL29">
        <v>0.115</v>
      </c>
      <c r="DM29">
        <v>1200</v>
      </c>
      <c r="DN29">
        <v>18</v>
      </c>
      <c r="DO29">
        <v>0.43</v>
      </c>
      <c r="DP29">
        <v>0.06</v>
      </c>
      <c r="DQ29">
        <v>-16.970327777777801</v>
      </c>
      <c r="DR29">
        <v>0.31411473485638503</v>
      </c>
      <c r="DS29">
        <v>0.142323375161229</v>
      </c>
      <c r="DT29">
        <v>1</v>
      </c>
      <c r="DU29">
        <v>1.68628611111111</v>
      </c>
      <c r="DV29">
        <v>8.8965266658694905E-2</v>
      </c>
      <c r="DW29">
        <v>2.1742456198488899E-2</v>
      </c>
      <c r="DX29">
        <v>1</v>
      </c>
      <c r="DY29">
        <v>2</v>
      </c>
      <c r="DZ29">
        <v>2</v>
      </c>
      <c r="EA29" t="s">
        <v>303</v>
      </c>
      <c r="EB29">
        <v>1.8666199999999999</v>
      </c>
      <c r="EC29">
        <v>1.8631200000000001</v>
      </c>
      <c r="ED29">
        <v>1.8687400000000001</v>
      </c>
      <c r="EE29">
        <v>1.86676</v>
      </c>
      <c r="EF29">
        <v>1.87141</v>
      </c>
      <c r="EG29">
        <v>1.86385</v>
      </c>
      <c r="EH29">
        <v>1.86534</v>
      </c>
      <c r="EI29">
        <v>1.86524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-0.161</v>
      </c>
      <c r="EX29">
        <v>0.115</v>
      </c>
      <c r="EY29">
        <v>2</v>
      </c>
      <c r="EZ29">
        <v>334.69400000000002</v>
      </c>
      <c r="FA29">
        <v>454.76100000000002</v>
      </c>
      <c r="FB29">
        <v>18.281300000000002</v>
      </c>
      <c r="FC29">
        <v>35.869799999999998</v>
      </c>
      <c r="FD29">
        <v>30</v>
      </c>
      <c r="FE29">
        <v>35.748199999999997</v>
      </c>
      <c r="FF29">
        <v>35.724299999999999</v>
      </c>
      <c r="FG29">
        <v>53.922899999999998</v>
      </c>
      <c r="FH29">
        <v>37.021999999999998</v>
      </c>
      <c r="FI29">
        <v>0</v>
      </c>
      <c r="FJ29">
        <v>17.195499999999999</v>
      </c>
      <c r="FK29">
        <v>1200</v>
      </c>
      <c r="FL29">
        <v>17.4221</v>
      </c>
      <c r="FM29">
        <v>100.574</v>
      </c>
      <c r="FN29">
        <v>100.77500000000001</v>
      </c>
    </row>
    <row r="30" spans="1:170" x14ac:dyDescent="0.25">
      <c r="A30">
        <v>14</v>
      </c>
      <c r="B30">
        <v>1593111179.7</v>
      </c>
      <c r="C30">
        <v>1801.7999999523199</v>
      </c>
      <c r="D30" t="s">
        <v>350</v>
      </c>
      <c r="E30" t="s">
        <v>351</v>
      </c>
      <c r="G30">
        <v>1593111171.7</v>
      </c>
      <c r="H30">
        <f t="shared" si="0"/>
        <v>5.7562615260561209E-3</v>
      </c>
      <c r="I30">
        <f t="shared" si="1"/>
        <v>36.028167038580371</v>
      </c>
      <c r="J30">
        <f t="shared" si="2"/>
        <v>1581.9661290322599</v>
      </c>
      <c r="K30">
        <f t="shared" si="3"/>
        <v>1367.8110529869557</v>
      </c>
      <c r="L30">
        <f t="shared" si="4"/>
        <v>135.95417399172538</v>
      </c>
      <c r="M30">
        <f t="shared" si="5"/>
        <v>157.24021083599129</v>
      </c>
      <c r="N30">
        <f t="shared" si="6"/>
        <v>0.34887548703455062</v>
      </c>
      <c r="O30">
        <f t="shared" si="7"/>
        <v>3.3794950657719269</v>
      </c>
      <c r="P30">
        <f t="shared" si="8"/>
        <v>0.33003070571603671</v>
      </c>
      <c r="Q30">
        <f t="shared" si="9"/>
        <v>0.20787745176215366</v>
      </c>
      <c r="R30">
        <f t="shared" si="10"/>
        <v>353.33928069677705</v>
      </c>
      <c r="S30">
        <f t="shared" si="11"/>
        <v>26.722153582451902</v>
      </c>
      <c r="T30">
        <f t="shared" si="12"/>
        <v>26.933535483871001</v>
      </c>
      <c r="U30">
        <f t="shared" si="13"/>
        <v>3.5652117754896602</v>
      </c>
      <c r="V30">
        <f t="shared" si="14"/>
        <v>55.005792618384973</v>
      </c>
      <c r="W30">
        <f t="shared" si="15"/>
        <v>1.8790754995937708</v>
      </c>
      <c r="X30">
        <f t="shared" si="16"/>
        <v>3.4161411192277127</v>
      </c>
      <c r="Y30">
        <f t="shared" si="17"/>
        <v>1.6861362758958893</v>
      </c>
      <c r="Z30">
        <f t="shared" si="18"/>
        <v>-253.85113329907495</v>
      </c>
      <c r="AA30">
        <f t="shared" si="19"/>
        <v>-132.07340050597639</v>
      </c>
      <c r="AB30">
        <f t="shared" si="20"/>
        <v>-8.3979844447747674</v>
      </c>
      <c r="AC30">
        <f t="shared" si="21"/>
        <v>-40.983237553049037</v>
      </c>
      <c r="AD30">
        <v>-4.1130315837547102E-2</v>
      </c>
      <c r="AE30">
        <v>4.6172382741212499E-2</v>
      </c>
      <c r="AF30">
        <v>3.4516715636396902</v>
      </c>
      <c r="AG30">
        <v>144</v>
      </c>
      <c r="AH30">
        <v>29</v>
      </c>
      <c r="AI30">
        <f t="shared" si="22"/>
        <v>1</v>
      </c>
      <c r="AJ30">
        <f t="shared" si="23"/>
        <v>0</v>
      </c>
      <c r="AK30">
        <f t="shared" si="24"/>
        <v>52586.564390790831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276.23038461538499</v>
      </c>
      <c r="AT30">
        <v>341.96600000000001</v>
      </c>
      <c r="AU30">
        <f t="shared" si="27"/>
        <v>0.19222851214628067</v>
      </c>
      <c r="AV30">
        <v>0.5</v>
      </c>
      <c r="AW30">
        <f t="shared" si="28"/>
        <v>1849.1931577735797</v>
      </c>
      <c r="AX30">
        <f t="shared" si="29"/>
        <v>36.028167038580371</v>
      </c>
      <c r="AY30">
        <f t="shared" si="30"/>
        <v>177.73382469494885</v>
      </c>
      <c r="AZ30">
        <f t="shared" si="31"/>
        <v>0.45351292233730839</v>
      </c>
      <c r="BA30">
        <f t="shared" si="32"/>
        <v>2.0023958493963993E-2</v>
      </c>
      <c r="BB30">
        <f t="shared" si="33"/>
        <v>-1</v>
      </c>
      <c r="BC30" t="s">
        <v>353</v>
      </c>
      <c r="BD30">
        <v>186.88</v>
      </c>
      <c r="BE30">
        <f t="shared" si="34"/>
        <v>155.08600000000001</v>
      </c>
      <c r="BF30">
        <f t="shared" si="35"/>
        <v>0.42386556739238235</v>
      </c>
      <c r="BG30">
        <f t="shared" si="36"/>
        <v>1.829869434931507</v>
      </c>
      <c r="BH30">
        <f t="shared" si="37"/>
        <v>0.19222851214628067</v>
      </c>
      <c r="BI30" t="e">
        <f t="shared" si="38"/>
        <v>#DIV/0!</v>
      </c>
      <c r="BJ30">
        <v>4079</v>
      </c>
      <c r="BK30">
        <v>300</v>
      </c>
      <c r="BL30">
        <v>300</v>
      </c>
      <c r="BM30">
        <v>300</v>
      </c>
      <c r="BN30">
        <v>9887.9</v>
      </c>
      <c r="BO30">
        <v>322.88099999999997</v>
      </c>
      <c r="BP30">
        <v>-6.4135700000000004E-3</v>
      </c>
      <c r="BQ30">
        <v>0.76193200000000005</v>
      </c>
      <c r="BR30">
        <f t="shared" si="39"/>
        <v>2200.0093548387099</v>
      </c>
      <c r="BS30">
        <f t="shared" si="40"/>
        <v>1849.1931577735797</v>
      </c>
      <c r="BT30">
        <f t="shared" si="41"/>
        <v>0.84053877030407009</v>
      </c>
      <c r="BU30">
        <f t="shared" si="42"/>
        <v>0.19107754060814067</v>
      </c>
      <c r="BV30">
        <v>0.5</v>
      </c>
      <c r="BW30" t="s">
        <v>281</v>
      </c>
      <c r="BX30">
        <v>1593111171.7</v>
      </c>
      <c r="BY30">
        <v>1581.9661290322599</v>
      </c>
      <c r="BZ30">
        <v>1600.0174193548401</v>
      </c>
      <c r="CA30">
        <v>18.905048387096802</v>
      </c>
      <c r="CB30">
        <v>16.646380645161301</v>
      </c>
      <c r="CC30">
        <v>500.068161290322</v>
      </c>
      <c r="CD30">
        <v>99.195499999999996</v>
      </c>
      <c r="CE30">
        <v>0.19993454838709701</v>
      </c>
      <c r="CF30">
        <v>26.208635483870999</v>
      </c>
      <c r="CG30">
        <v>26.933535483871001</v>
      </c>
      <c r="CH30">
        <v>999.9</v>
      </c>
      <c r="CI30">
        <v>9999.2193548387095</v>
      </c>
      <c r="CJ30">
        <v>0</v>
      </c>
      <c r="CK30">
        <v>258.65170967741898</v>
      </c>
      <c r="CL30">
        <v>2200.0093548387099</v>
      </c>
      <c r="CM30">
        <v>0.98200161290322596</v>
      </c>
      <c r="CN30">
        <v>1.79987258064516E-2</v>
      </c>
      <c r="CO30">
        <v>0</v>
      </c>
      <c r="CP30">
        <v>276.23625806451599</v>
      </c>
      <c r="CQ30">
        <v>5.00054</v>
      </c>
      <c r="CR30">
        <v>8494.8038709677403</v>
      </c>
      <c r="CS30">
        <v>20590.625806451601</v>
      </c>
      <c r="CT30">
        <v>48.106612903225802</v>
      </c>
      <c r="CU30">
        <v>49.485741935483901</v>
      </c>
      <c r="CV30">
        <v>48.225612903225802</v>
      </c>
      <c r="CW30">
        <v>48.306290322580601</v>
      </c>
      <c r="CX30">
        <v>49.423096774193503</v>
      </c>
      <c r="CY30">
        <v>2155.4993548387101</v>
      </c>
      <c r="CZ30">
        <v>39.51</v>
      </c>
      <c r="DA30">
        <v>0</v>
      </c>
      <c r="DB30">
        <v>171.700000047684</v>
      </c>
      <c r="DC30">
        <v>276.23038461538499</v>
      </c>
      <c r="DD30">
        <v>-2.2662564149239999</v>
      </c>
      <c r="DE30">
        <v>-1082.7935108133599</v>
      </c>
      <c r="DF30">
        <v>8481.9434615384598</v>
      </c>
      <c r="DG30">
        <v>15</v>
      </c>
      <c r="DH30">
        <v>1593111147.2</v>
      </c>
      <c r="DI30" t="s">
        <v>354</v>
      </c>
      <c r="DJ30">
        <v>81</v>
      </c>
      <c r="DK30">
        <v>-0.26700000000000002</v>
      </c>
      <c r="DL30">
        <v>0.109</v>
      </c>
      <c r="DM30">
        <v>1600</v>
      </c>
      <c r="DN30">
        <v>17</v>
      </c>
      <c r="DO30">
        <v>0.28999999999999998</v>
      </c>
      <c r="DP30">
        <v>0.05</v>
      </c>
      <c r="DQ30">
        <v>-18.059850000000001</v>
      </c>
      <c r="DR30">
        <v>0.176091938250407</v>
      </c>
      <c r="DS30">
        <v>0.22510942750549501</v>
      </c>
      <c r="DT30">
        <v>1</v>
      </c>
      <c r="DU30">
        <v>2.2587000000000002</v>
      </c>
      <c r="DV30">
        <v>3.1434373927959697E-2</v>
      </c>
      <c r="DW30">
        <v>6.4739468584416093E-2</v>
      </c>
      <c r="DX30">
        <v>1</v>
      </c>
      <c r="DY30">
        <v>2</v>
      </c>
      <c r="DZ30">
        <v>2</v>
      </c>
      <c r="EA30" t="s">
        <v>303</v>
      </c>
      <c r="EB30">
        <v>1.8667400000000001</v>
      </c>
      <c r="EC30">
        <v>1.8632500000000001</v>
      </c>
      <c r="ED30">
        <v>1.8688400000000001</v>
      </c>
      <c r="EE30">
        <v>1.8668199999999999</v>
      </c>
      <c r="EF30">
        <v>1.8714900000000001</v>
      </c>
      <c r="EG30">
        <v>1.86392</v>
      </c>
      <c r="EH30">
        <v>1.8653999999999999</v>
      </c>
      <c r="EI30">
        <v>1.8653900000000001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-0.26700000000000002</v>
      </c>
      <c r="EX30">
        <v>0.109</v>
      </c>
      <c r="EY30">
        <v>2</v>
      </c>
      <c r="EZ30">
        <v>335.88200000000001</v>
      </c>
      <c r="FA30">
        <v>455.53699999999998</v>
      </c>
      <c r="FB30">
        <v>19.617599999999999</v>
      </c>
      <c r="FC30">
        <v>35.680100000000003</v>
      </c>
      <c r="FD30">
        <v>29.999600000000001</v>
      </c>
      <c r="FE30">
        <v>35.637900000000002</v>
      </c>
      <c r="FF30">
        <v>35.609699999999997</v>
      </c>
      <c r="FG30">
        <v>67.848299999999995</v>
      </c>
      <c r="FH30">
        <v>40.891800000000003</v>
      </c>
      <c r="FI30">
        <v>0</v>
      </c>
      <c r="FJ30">
        <v>19.6145</v>
      </c>
      <c r="FK30">
        <v>1600</v>
      </c>
      <c r="FL30">
        <v>16.7348</v>
      </c>
      <c r="FM30">
        <v>100.598</v>
      </c>
      <c r="FN30">
        <v>100.80200000000001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2020-06-25T13:53:33Z</dcterms:created>
  <dcterms:modified xsi:type="dcterms:W3CDTF">2024-11-20T08:58:29Z</dcterms:modified>
</cp:coreProperties>
</file>