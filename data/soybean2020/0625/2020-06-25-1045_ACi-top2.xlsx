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DELL\Desktop\博士学习资料\past test data\2020_soybean_CO2_curves\0625\"/>
    </mc:Choice>
  </mc:AlternateContent>
  <bookViews>
    <workbookView xWindow="240" yWindow="12" windowWidth="16092" windowHeight="9660"/>
  </bookViews>
  <sheets>
    <sheet name="Measurements" sheetId="1" r:id="rId1"/>
    <sheet name="Remarks" sheetId="2" r:id="rId2"/>
  </sheets>
  <calcPr calcId="162913"/>
</workbook>
</file>

<file path=xl/calcChain.xml><?xml version="1.0" encoding="utf-8"?>
<calcChain xmlns="http://schemas.openxmlformats.org/spreadsheetml/2006/main">
  <c r="BU30" i="1" l="1"/>
  <c r="BT30" i="1"/>
  <c r="BR30" i="1"/>
  <c r="BS30" i="1" s="1"/>
  <c r="BI30" i="1"/>
  <c r="BH30" i="1"/>
  <c r="BG30" i="1"/>
  <c r="BF30" i="1"/>
  <c r="BE30" i="1"/>
  <c r="BB30" i="1"/>
  <c r="AZ30" i="1"/>
  <c r="AU30" i="1"/>
  <c r="AO30" i="1"/>
  <c r="AP30" i="1" s="1"/>
  <c r="AK30" i="1"/>
  <c r="AI30" i="1"/>
  <c r="I30" i="1" s="1"/>
  <c r="AX30" i="1" s="1"/>
  <c r="X30" i="1"/>
  <c r="W30" i="1"/>
  <c r="V30" i="1"/>
  <c r="O30" i="1"/>
  <c r="BU29" i="1"/>
  <c r="BT29" i="1"/>
  <c r="BR29" i="1"/>
  <c r="BS29" i="1" s="1"/>
  <c r="BI29" i="1"/>
  <c r="BH29" i="1"/>
  <c r="BG29" i="1"/>
  <c r="BF29" i="1"/>
  <c r="BE29" i="1"/>
  <c r="AZ29" i="1" s="1"/>
  <c r="BB29" i="1"/>
  <c r="AU29" i="1"/>
  <c r="AO29" i="1"/>
  <c r="AP29" i="1" s="1"/>
  <c r="AK29" i="1"/>
  <c r="AI29" i="1"/>
  <c r="AJ29" i="1" s="1"/>
  <c r="X29" i="1"/>
  <c r="W29" i="1"/>
  <c r="V29" i="1"/>
  <c r="O29" i="1"/>
  <c r="BU28" i="1"/>
  <c r="BT28" i="1"/>
  <c r="BR28" i="1"/>
  <c r="BS28" i="1" s="1"/>
  <c r="BI28" i="1"/>
  <c r="BH28" i="1"/>
  <c r="BG28" i="1"/>
  <c r="BF28" i="1"/>
  <c r="BE28" i="1"/>
  <c r="AZ28" i="1" s="1"/>
  <c r="BB28" i="1"/>
  <c r="AU28" i="1"/>
  <c r="AP28" i="1"/>
  <c r="AO28" i="1"/>
  <c r="AK28" i="1"/>
  <c r="AI28" i="1"/>
  <c r="H28" i="1" s="1"/>
  <c r="X28" i="1"/>
  <c r="W28" i="1"/>
  <c r="V28" i="1"/>
  <c r="O28" i="1"/>
  <c r="BU27" i="1"/>
  <c r="BT27" i="1"/>
  <c r="BR27" i="1"/>
  <c r="BS27" i="1" s="1"/>
  <c r="BI27" i="1"/>
  <c r="BH27" i="1"/>
  <c r="BG27" i="1"/>
  <c r="BF27" i="1"/>
  <c r="BE27" i="1"/>
  <c r="BB27" i="1"/>
  <c r="AZ27" i="1"/>
  <c r="AU27" i="1"/>
  <c r="AP27" i="1"/>
  <c r="AO27" i="1"/>
  <c r="AK27" i="1"/>
  <c r="AI27" i="1" s="1"/>
  <c r="X27" i="1"/>
  <c r="W27" i="1"/>
  <c r="V27" i="1"/>
  <c r="O27" i="1"/>
  <c r="BU26" i="1"/>
  <c r="BT26" i="1"/>
  <c r="BS26" i="1"/>
  <c r="BR26" i="1"/>
  <c r="BI26" i="1"/>
  <c r="BH26" i="1"/>
  <c r="BG26" i="1"/>
  <c r="BF26" i="1"/>
  <c r="BE26" i="1"/>
  <c r="BB26" i="1"/>
  <c r="AZ26" i="1"/>
  <c r="AW26" i="1"/>
  <c r="AY26" i="1" s="1"/>
  <c r="AU26" i="1"/>
  <c r="AO26" i="1"/>
  <c r="AP26" i="1" s="1"/>
  <c r="AK26" i="1"/>
  <c r="AI26" i="1" s="1"/>
  <c r="X26" i="1"/>
  <c r="W26" i="1"/>
  <c r="V26" i="1"/>
  <c r="R26" i="1"/>
  <c r="O26" i="1"/>
  <c r="BU25" i="1"/>
  <c r="BT25" i="1"/>
  <c r="BS25" i="1" s="1"/>
  <c r="BR25" i="1"/>
  <c r="BI25" i="1"/>
  <c r="BH25" i="1"/>
  <c r="BG25" i="1"/>
  <c r="BF25" i="1"/>
  <c r="BE25" i="1"/>
  <c r="BB25" i="1"/>
  <c r="AZ25" i="1"/>
  <c r="AU25" i="1"/>
  <c r="AO25" i="1"/>
  <c r="AP25" i="1" s="1"/>
  <c r="AK25" i="1"/>
  <c r="AI25" i="1" s="1"/>
  <c r="X25" i="1"/>
  <c r="W25" i="1"/>
  <c r="V25" i="1" s="1"/>
  <c r="O25" i="1"/>
  <c r="BU24" i="1"/>
  <c r="BT24" i="1"/>
  <c r="BR24" i="1"/>
  <c r="BS24" i="1" s="1"/>
  <c r="BI24" i="1"/>
  <c r="BH24" i="1"/>
  <c r="BG24" i="1"/>
  <c r="BF24" i="1"/>
  <c r="BE24" i="1"/>
  <c r="BB24" i="1"/>
  <c r="AZ24" i="1"/>
  <c r="AU24" i="1"/>
  <c r="AO24" i="1"/>
  <c r="AP24" i="1" s="1"/>
  <c r="AK24" i="1"/>
  <c r="AI24" i="1"/>
  <c r="J24" i="1" s="1"/>
  <c r="X24" i="1"/>
  <c r="W24" i="1"/>
  <c r="V24" i="1"/>
  <c r="O24" i="1"/>
  <c r="BU23" i="1"/>
  <c r="BT23" i="1"/>
  <c r="BR23" i="1"/>
  <c r="BS23" i="1" s="1"/>
  <c r="BI23" i="1"/>
  <c r="BH23" i="1"/>
  <c r="BG23" i="1"/>
  <c r="BF23" i="1"/>
  <c r="BE23" i="1"/>
  <c r="AZ23" i="1" s="1"/>
  <c r="BB23" i="1"/>
  <c r="AU23" i="1"/>
  <c r="AO23" i="1"/>
  <c r="AP23" i="1" s="1"/>
  <c r="AK23" i="1"/>
  <c r="AI23" i="1"/>
  <c r="M23" i="1" s="1"/>
  <c r="X23" i="1"/>
  <c r="W23" i="1"/>
  <c r="V23" i="1"/>
  <c r="O23" i="1"/>
  <c r="BU22" i="1"/>
  <c r="BT22" i="1"/>
  <c r="BR22" i="1"/>
  <c r="BS22" i="1" s="1"/>
  <c r="BI22" i="1"/>
  <c r="BH22" i="1"/>
  <c r="BG22" i="1"/>
  <c r="BF22" i="1"/>
  <c r="BE22" i="1"/>
  <c r="BB22" i="1"/>
  <c r="AZ22" i="1"/>
  <c r="AX22" i="1"/>
  <c r="AU22" i="1"/>
  <c r="AP22" i="1"/>
  <c r="AO22" i="1"/>
  <c r="AK22" i="1"/>
  <c r="AI22" i="1"/>
  <c r="H22" i="1" s="1"/>
  <c r="X22" i="1"/>
  <c r="W22" i="1"/>
  <c r="V22" i="1"/>
  <c r="O22" i="1"/>
  <c r="M22" i="1"/>
  <c r="J22" i="1"/>
  <c r="I22" i="1"/>
  <c r="BU21" i="1"/>
  <c r="BT21" i="1"/>
  <c r="BR21" i="1"/>
  <c r="BS21" i="1" s="1"/>
  <c r="BI21" i="1"/>
  <c r="BH21" i="1"/>
  <c r="BG21" i="1"/>
  <c r="BF21" i="1"/>
  <c r="BE21" i="1"/>
  <c r="BB21" i="1"/>
  <c r="AZ21" i="1"/>
  <c r="AU21" i="1"/>
  <c r="AO21" i="1"/>
  <c r="AP21" i="1" s="1"/>
  <c r="AK21" i="1"/>
  <c r="AI21" i="1"/>
  <c r="M21" i="1" s="1"/>
  <c r="X21" i="1"/>
  <c r="W21" i="1"/>
  <c r="V21" i="1" s="1"/>
  <c r="O21" i="1"/>
  <c r="BU20" i="1"/>
  <c r="BT20" i="1"/>
  <c r="BS20" i="1" s="1"/>
  <c r="BR20" i="1"/>
  <c r="BI20" i="1"/>
  <c r="BH20" i="1"/>
  <c r="BG20" i="1"/>
  <c r="BF20" i="1"/>
  <c r="BE20" i="1"/>
  <c r="BB20" i="1"/>
  <c r="AZ20" i="1"/>
  <c r="AU20" i="1"/>
  <c r="AO20" i="1"/>
  <c r="AP20" i="1" s="1"/>
  <c r="AK20" i="1"/>
  <c r="AI20" i="1"/>
  <c r="M20" i="1" s="1"/>
  <c r="X20" i="1"/>
  <c r="W20" i="1"/>
  <c r="V20" i="1" s="1"/>
  <c r="O20" i="1"/>
  <c r="BU19" i="1"/>
  <c r="BT19" i="1"/>
  <c r="BR19" i="1"/>
  <c r="BS19" i="1" s="1"/>
  <c r="BI19" i="1"/>
  <c r="BH19" i="1"/>
  <c r="BG19" i="1"/>
  <c r="BF19" i="1"/>
  <c r="BE19" i="1"/>
  <c r="AZ19" i="1" s="1"/>
  <c r="BB19" i="1"/>
  <c r="AU19" i="1"/>
  <c r="AO19" i="1"/>
  <c r="AP19" i="1" s="1"/>
  <c r="AK19" i="1"/>
  <c r="AI19" i="1"/>
  <c r="I19" i="1" s="1"/>
  <c r="AX19" i="1" s="1"/>
  <c r="X19" i="1"/>
  <c r="W19" i="1"/>
  <c r="V19" i="1"/>
  <c r="O19" i="1"/>
  <c r="BU18" i="1"/>
  <c r="BT18" i="1"/>
  <c r="BR18" i="1"/>
  <c r="BS18" i="1" s="1"/>
  <c r="BI18" i="1"/>
  <c r="BH18" i="1"/>
  <c r="BG18" i="1"/>
  <c r="BF18" i="1"/>
  <c r="BE18" i="1"/>
  <c r="BB18" i="1"/>
  <c r="AZ18" i="1"/>
  <c r="AU18" i="1"/>
  <c r="AO18" i="1"/>
  <c r="AP18" i="1" s="1"/>
  <c r="AK18" i="1"/>
  <c r="AI18" i="1"/>
  <c r="M18" i="1" s="1"/>
  <c r="X18" i="1"/>
  <c r="W18" i="1"/>
  <c r="V18" i="1"/>
  <c r="O18" i="1"/>
  <c r="BU17" i="1"/>
  <c r="BT17" i="1"/>
  <c r="BR17" i="1"/>
  <c r="BS17" i="1" s="1"/>
  <c r="BI17" i="1"/>
  <c r="BH17" i="1"/>
  <c r="BG17" i="1"/>
  <c r="BF17" i="1"/>
  <c r="BE17" i="1"/>
  <c r="BB17" i="1"/>
  <c r="AZ17" i="1"/>
  <c r="AU17" i="1"/>
  <c r="AP17" i="1"/>
  <c r="AO17" i="1"/>
  <c r="AK17" i="1"/>
  <c r="AI17" i="1" s="1"/>
  <c r="X17" i="1"/>
  <c r="W17" i="1"/>
  <c r="V17" i="1"/>
  <c r="O17" i="1"/>
  <c r="AW21" i="1" l="1"/>
  <c r="R21" i="1"/>
  <c r="R29" i="1"/>
  <c r="AW29" i="1"/>
  <c r="J27" i="1"/>
  <c r="I27" i="1"/>
  <c r="AX27" i="1" s="1"/>
  <c r="H27" i="1"/>
  <c r="AJ27" i="1"/>
  <c r="M27" i="1"/>
  <c r="AW25" i="1"/>
  <c r="R25" i="1"/>
  <c r="I26" i="1"/>
  <c r="AX26" i="1" s="1"/>
  <c r="BA26" i="1" s="1"/>
  <c r="J26" i="1"/>
  <c r="H26" i="1"/>
  <c r="M26" i="1"/>
  <c r="AJ26" i="1"/>
  <c r="R19" i="1"/>
  <c r="AW19" i="1"/>
  <c r="BA19" i="1" s="1"/>
  <c r="I17" i="1"/>
  <c r="AX17" i="1" s="1"/>
  <c r="BA17" i="1" s="1"/>
  <c r="H17" i="1"/>
  <c r="AJ17" i="1"/>
  <c r="J17" i="1"/>
  <c r="M17" i="1"/>
  <c r="R17" i="1"/>
  <c r="AW17" i="1"/>
  <c r="AW20" i="1"/>
  <c r="R20" i="1"/>
  <c r="Z22" i="1"/>
  <c r="AW28" i="1"/>
  <c r="AY28" i="1" s="1"/>
  <c r="R28" i="1"/>
  <c r="J25" i="1"/>
  <c r="H25" i="1"/>
  <c r="M25" i="1"/>
  <c r="AJ25" i="1"/>
  <c r="I25" i="1"/>
  <c r="AX25" i="1" s="1"/>
  <c r="BA25" i="1" s="1"/>
  <c r="AY25" i="1"/>
  <c r="AY17" i="1"/>
  <c r="AY29" i="1"/>
  <c r="AW18" i="1"/>
  <c r="AY18" i="1" s="1"/>
  <c r="R18" i="1"/>
  <c r="R30" i="1"/>
  <c r="AW30" i="1"/>
  <c r="AY30" i="1" s="1"/>
  <c r="AY24" i="1"/>
  <c r="R27" i="1"/>
  <c r="AW27" i="1"/>
  <c r="AY27" i="1" s="1"/>
  <c r="R24" i="1"/>
  <c r="AW24" i="1"/>
  <c r="AY21" i="1"/>
  <c r="R23" i="1"/>
  <c r="AW23" i="1"/>
  <c r="AY23" i="1" s="1"/>
  <c r="AY20" i="1"/>
  <c r="AW22" i="1"/>
  <c r="AY22" i="1" s="1"/>
  <c r="R22" i="1"/>
  <c r="Z28" i="1"/>
  <c r="J21" i="1"/>
  <c r="AJ30" i="1"/>
  <c r="AJ21" i="1"/>
  <c r="J20" i="1"/>
  <c r="AJ24" i="1"/>
  <c r="I29" i="1"/>
  <c r="AX29" i="1" s="1"/>
  <c r="BA29" i="1" s="1"/>
  <c r="AJ18" i="1"/>
  <c r="H23" i="1"/>
  <c r="M24" i="1"/>
  <c r="I28" i="1"/>
  <c r="AX28" i="1" s="1"/>
  <c r="H21" i="1"/>
  <c r="AJ20" i="1"/>
  <c r="I20" i="1"/>
  <c r="AX20" i="1" s="1"/>
  <c r="BA20" i="1" s="1"/>
  <c r="H29" i="1"/>
  <c r="H24" i="1"/>
  <c r="I23" i="1"/>
  <c r="AX23" i="1" s="1"/>
  <c r="J28" i="1"/>
  <c r="AJ28" i="1"/>
  <c r="AJ23" i="1"/>
  <c r="I18" i="1"/>
  <c r="AX18" i="1" s="1"/>
  <c r="J23" i="1"/>
  <c r="H19" i="1"/>
  <c r="I24" i="1"/>
  <c r="AX24" i="1" s="1"/>
  <c r="BA24" i="1" s="1"/>
  <c r="S26" i="1"/>
  <c r="T26" i="1" s="1"/>
  <c r="AA26" i="1" s="1"/>
  <c r="J29" i="1"/>
  <c r="J19" i="1"/>
  <c r="H18" i="1"/>
  <c r="J18" i="1"/>
  <c r="I21" i="1"/>
  <c r="AX21" i="1" s="1"/>
  <c r="BA21" i="1" s="1"/>
  <c r="H30" i="1"/>
  <c r="H20" i="1"/>
  <c r="M30" i="1"/>
  <c r="AJ19" i="1"/>
  <c r="M19" i="1"/>
  <c r="AJ22" i="1"/>
  <c r="M28" i="1"/>
  <c r="M29" i="1"/>
  <c r="J30" i="1"/>
  <c r="BA22" i="1" l="1"/>
  <c r="S18" i="1"/>
  <c r="T18" i="1" s="1"/>
  <c r="P18" i="1" s="1"/>
  <c r="N18" i="1" s="1"/>
  <c r="Q18" i="1" s="1"/>
  <c r="K18" i="1" s="1"/>
  <c r="L18" i="1" s="1"/>
  <c r="Z18" i="1"/>
  <c r="S30" i="1"/>
  <c r="T30" i="1" s="1"/>
  <c r="S19" i="1"/>
  <c r="T19" i="1" s="1"/>
  <c r="S23" i="1"/>
  <c r="T23" i="1" s="1"/>
  <c r="BA30" i="1"/>
  <c r="S22" i="1"/>
  <c r="T22" i="1" s="1"/>
  <c r="P25" i="1"/>
  <c r="N25" i="1" s="1"/>
  <c r="Q25" i="1" s="1"/>
  <c r="K25" i="1" s="1"/>
  <c r="L25" i="1" s="1"/>
  <c r="Z25" i="1"/>
  <c r="S24" i="1"/>
  <c r="T24" i="1" s="1"/>
  <c r="BA28" i="1"/>
  <c r="Z27" i="1"/>
  <c r="P27" i="1"/>
  <c r="N27" i="1" s="1"/>
  <c r="Q27" i="1" s="1"/>
  <c r="K27" i="1" s="1"/>
  <c r="L27" i="1" s="1"/>
  <c r="Z30" i="1"/>
  <c r="P30" i="1"/>
  <c r="N30" i="1" s="1"/>
  <c r="Q30" i="1" s="1"/>
  <c r="K30" i="1" s="1"/>
  <c r="L30" i="1" s="1"/>
  <c r="AY19" i="1"/>
  <c r="S29" i="1"/>
  <c r="T29" i="1" s="1"/>
  <c r="Z19" i="1"/>
  <c r="Z26" i="1"/>
  <c r="P26" i="1"/>
  <c r="N26" i="1" s="1"/>
  <c r="Q26" i="1" s="1"/>
  <c r="K26" i="1" s="1"/>
  <c r="L26" i="1" s="1"/>
  <c r="S25" i="1"/>
  <c r="T25" i="1" s="1"/>
  <c r="Z21" i="1"/>
  <c r="S27" i="1"/>
  <c r="T27" i="1" s="1"/>
  <c r="Z23" i="1"/>
  <c r="P23" i="1"/>
  <c r="N23" i="1" s="1"/>
  <c r="Q23" i="1" s="1"/>
  <c r="K23" i="1" s="1"/>
  <c r="L23" i="1" s="1"/>
  <c r="S17" i="1"/>
  <c r="T17" i="1" s="1"/>
  <c r="S21" i="1"/>
  <c r="T21" i="1" s="1"/>
  <c r="P21" i="1" s="1"/>
  <c r="N21" i="1" s="1"/>
  <c r="Q21" i="1" s="1"/>
  <c r="K21" i="1" s="1"/>
  <c r="L21" i="1" s="1"/>
  <c r="AB26" i="1"/>
  <c r="AC26" i="1" s="1"/>
  <c r="U26" i="1"/>
  <c r="Y26" i="1" s="1"/>
  <c r="Z17" i="1"/>
  <c r="P17" i="1"/>
  <c r="N17" i="1" s="1"/>
  <c r="Q17" i="1" s="1"/>
  <c r="K17" i="1" s="1"/>
  <c r="L17" i="1" s="1"/>
  <c r="BA18" i="1"/>
  <c r="BA23" i="1"/>
  <c r="Z24" i="1"/>
  <c r="Z29" i="1"/>
  <c r="S28" i="1"/>
  <c r="T28" i="1" s="1"/>
  <c r="BA27" i="1"/>
  <c r="S20" i="1"/>
  <c r="T20" i="1" s="1"/>
  <c r="P20" i="1"/>
  <c r="N20" i="1" s="1"/>
  <c r="Q20" i="1" s="1"/>
  <c r="K20" i="1" s="1"/>
  <c r="L20" i="1" s="1"/>
  <c r="Z20" i="1"/>
  <c r="AB23" i="1" l="1"/>
  <c r="AA23" i="1"/>
  <c r="U23" i="1"/>
  <c r="Y23" i="1" s="1"/>
  <c r="AA30" i="1"/>
  <c r="AB30" i="1"/>
  <c r="AC30" i="1" s="1"/>
  <c r="U30" i="1"/>
  <c r="Y30" i="1" s="1"/>
  <c r="AA25" i="1"/>
  <c r="U25" i="1"/>
  <c r="Y25" i="1" s="1"/>
  <c r="AB25" i="1"/>
  <c r="AC25" i="1" s="1"/>
  <c r="AB18" i="1"/>
  <c r="U18" i="1"/>
  <c r="Y18" i="1" s="1"/>
  <c r="AA18" i="1"/>
  <c r="AB21" i="1"/>
  <c r="AC21" i="1" s="1"/>
  <c r="U21" i="1"/>
  <c r="Y21" i="1" s="1"/>
  <c r="AA21" i="1"/>
  <c r="AB24" i="1"/>
  <c r="AC24" i="1" s="1"/>
  <c r="AA24" i="1"/>
  <c r="U24" i="1"/>
  <c r="Y24" i="1" s="1"/>
  <c r="U17" i="1"/>
  <c r="Y17" i="1" s="1"/>
  <c r="AB17" i="1"/>
  <c r="AA17" i="1"/>
  <c r="U22" i="1"/>
  <c r="Y22" i="1" s="1"/>
  <c r="AB22" i="1"/>
  <c r="AA22" i="1"/>
  <c r="P22" i="1"/>
  <c r="N22" i="1" s="1"/>
  <c r="Q22" i="1" s="1"/>
  <c r="K22" i="1" s="1"/>
  <c r="L22" i="1" s="1"/>
  <c r="U27" i="1"/>
  <c r="Y27" i="1" s="1"/>
  <c r="AB27" i="1"/>
  <c r="AC27" i="1" s="1"/>
  <c r="AA27" i="1"/>
  <c r="U19" i="1"/>
  <c r="Y19" i="1" s="1"/>
  <c r="AB19" i="1"/>
  <c r="AC19" i="1" s="1"/>
  <c r="AA19" i="1"/>
  <c r="U29" i="1"/>
  <c r="Y29" i="1" s="1"/>
  <c r="AB29" i="1"/>
  <c r="AA29" i="1"/>
  <c r="AB20" i="1"/>
  <c r="U20" i="1"/>
  <c r="Y20" i="1" s="1"/>
  <c r="AA20" i="1"/>
  <c r="AB28" i="1"/>
  <c r="AA28" i="1"/>
  <c r="U28" i="1"/>
  <c r="Y28" i="1" s="1"/>
  <c r="P28" i="1"/>
  <c r="N28" i="1" s="1"/>
  <c r="Q28" i="1" s="1"/>
  <c r="K28" i="1" s="1"/>
  <c r="L28" i="1" s="1"/>
  <c r="P29" i="1"/>
  <c r="N29" i="1" s="1"/>
  <c r="Q29" i="1" s="1"/>
  <c r="K29" i="1" s="1"/>
  <c r="L29" i="1" s="1"/>
  <c r="P19" i="1"/>
  <c r="N19" i="1" s="1"/>
  <c r="Q19" i="1" s="1"/>
  <c r="K19" i="1" s="1"/>
  <c r="L19" i="1" s="1"/>
  <c r="P24" i="1"/>
  <c r="N24" i="1" s="1"/>
  <c r="Q24" i="1" s="1"/>
  <c r="K24" i="1" s="1"/>
  <c r="L24" i="1" s="1"/>
  <c r="AC29" i="1" l="1"/>
  <c r="AC28" i="1"/>
  <c r="AC20" i="1"/>
  <c r="AC17" i="1"/>
  <c r="AC18" i="1"/>
  <c r="AC22" i="1"/>
  <c r="AC23" i="1"/>
</calcChain>
</file>

<file path=xl/sharedStrings.xml><?xml version="1.0" encoding="utf-8"?>
<sst xmlns="http://schemas.openxmlformats.org/spreadsheetml/2006/main" count="771" uniqueCount="355">
  <si>
    <t>File opened</t>
  </si>
  <si>
    <t>2020-06-25 10:45:40</t>
  </si>
  <si>
    <t>Console s/n</t>
  </si>
  <si>
    <t>68C-571038</t>
  </si>
  <si>
    <t>Console ver</t>
  </si>
  <si>
    <t>Bluestem v.1.3.4</t>
  </si>
  <si>
    <t>Scripts ver</t>
  </si>
  <si>
    <t>2018.05  1.3.4, Mar 2018</t>
  </si>
  <si>
    <t>Head s/n</t>
  </si>
  <si>
    <t>68H-581038</t>
  </si>
  <si>
    <t>Head ver</t>
  </si>
  <si>
    <t>1.4.0</t>
  </si>
  <si>
    <t>Head cal</t>
  </si>
  <si>
    <t>{"ssa_ref": "36614.9", "h2obspan2a": "0.0975941", "co2azero": "0.869071", "co2aspanconc2": "0", "h2obspan1": "0.998578", "h2oaspan2b": "0.0662632", "h2oaspan2a": "0.0661155", "h2oaspanconc2": "0", "chamberpressurezero": "2.59209", "h2oaspan2": "0", "h2oaspanconc1": "12.19", "co2bspan2": "0", "co2aspanconc1": "1002", "flowazero": "0.42932", "h2oaspan1": "1.00223", "co2aspan1": "0.992625", "co2bspanconc2": "0", "co2bspanconc1": "1002", "h2oazero": "1.00263", "oxygen": "21", "h2obspan2": "0", "tazero": "0.00774765", "h2obzero": "1.01783", "flowbzero": "0.22736", "ssb_ref": "36526.8", "co2bspan2a": "0.163389", "h2obspan2b": "0.0963575", "co2aspan2a": "0.164928", "co2bspan2b": "0.162103", "co2bspan1": "0.992131", "h2obspanconc2": "0", "tbzero": "0.197721", "h2obspanconc1": "20", "flowmeterzero": "0.990908", "co2aspan2": "0", "co2aspan2b": "0.163711", "co2bzero": "0.880288"}</t>
  </si>
  <si>
    <t>Chamber type</t>
  </si>
  <si>
    <t>6800-01A</t>
  </si>
  <si>
    <t>Chamber s/n</t>
  </si>
  <si>
    <t>MPF-551037</t>
  </si>
  <si>
    <t>Chamber rev</t>
  </si>
  <si>
    <t>0</t>
  </si>
  <si>
    <t>Chamber cal</t>
  </si>
  <si>
    <t>Fluorometer</t>
  </si>
  <si>
    <t>Flr. Version</t>
  </si>
  <si>
    <t>10:45:40</t>
  </si>
  <si>
    <t>Stability Definition:	ΔCO2 (Meas2): Slp&lt;0.5	ΔH2O (Meas2): Slp&lt;0.1</t>
  </si>
  <si>
    <t>SysConst</t>
  </si>
  <si>
    <t>AvgTime</t>
  </si>
  <si>
    <t>4</t>
  </si>
  <si>
    <t>Oxygen</t>
  </si>
  <si>
    <t>21</t>
  </si>
  <si>
    <t>Chamber</t>
  </si>
  <si>
    <t>6800-01A 2 cm²</t>
  </si>
  <si>
    <t>Const</t>
  </si>
  <si>
    <t>S</t>
  </si>
  <si>
    <t>CustomBLC</t>
  </si>
  <si>
    <t>LTConst</t>
  </si>
  <si>
    <t>deltaTw</t>
  </si>
  <si>
    <t>fT1</t>
  </si>
  <si>
    <t>fT2</t>
  </si>
  <si>
    <t>fTeb</t>
  </si>
  <si>
    <t>LQConst</t>
  </si>
  <si>
    <t>Leaf</t>
  </si>
  <si>
    <t>standard</t>
  </si>
  <si>
    <t>Ambient</t>
  </si>
  <si>
    <t>Sun+Sky</t>
  </si>
  <si>
    <t>abs_ambient</t>
  </si>
  <si>
    <t>abs_redLED</t>
  </si>
  <si>
    <t>abs_greenLED</t>
  </si>
  <si>
    <t>abs_blueLED</t>
  </si>
  <si>
    <t>abs_whiteLED</t>
  </si>
  <si>
    <t>abs_redFlr</t>
  </si>
  <si>
    <t>abs_blueFlr</t>
  </si>
  <si>
    <t>k_ambient</t>
  </si>
  <si>
    <t>k_redLED</t>
  </si>
  <si>
    <t>k_greenLED</t>
  </si>
  <si>
    <t>k_blueLED</t>
  </si>
  <si>
    <t>k_whiteLED</t>
  </si>
  <si>
    <t>k_redFlr</t>
  </si>
  <si>
    <t>k_blueFlr</t>
  </si>
  <si>
    <t>QConst</t>
  </si>
  <si>
    <t>fQ_Amb_in</t>
  </si>
  <si>
    <t>fQ_Amb_out</t>
  </si>
  <si>
    <t>fQ_HeadLS</t>
  </si>
  <si>
    <t>fQ_ConsoleLS</t>
  </si>
  <si>
    <t>fQ_Flr</t>
  </si>
  <si>
    <t>LeakConst</t>
  </si>
  <si>
    <t>fan_a</t>
  </si>
  <si>
    <t>fan_b</t>
  </si>
  <si>
    <t>fan_c</t>
  </si>
  <si>
    <t>fan_d</t>
  </si>
  <si>
    <t>Fs_meas</t>
  </si>
  <si>
    <t>1.61963 74.1132 383.059 614.556 842.442 1048.13 1225.96 1401.63</t>
  </si>
  <si>
    <t>Fs_true</t>
  </si>
  <si>
    <t>0.0511076 99.3107 402.59 600.302 800.523 1000.1 1200.74 1401.59</t>
  </si>
  <si>
    <t>leak_wt</t>
  </si>
  <si>
    <t>Sys</t>
  </si>
  <si>
    <t>UserDefVar</t>
  </si>
  <si>
    <t>GasEx</t>
  </si>
  <si>
    <t>Leak</t>
  </si>
  <si>
    <t>FLR</t>
  </si>
  <si>
    <t>MPF</t>
  </si>
  <si>
    <t>LeafQ</t>
  </si>
  <si>
    <t>Meas</t>
  </si>
  <si>
    <t>FlrLS</t>
  </si>
  <si>
    <t>FlrStats</t>
  </si>
  <si>
    <t>Match</t>
  </si>
  <si>
    <t>Stability</t>
  </si>
  <si>
    <t>Auxiliary</t>
  </si>
  <si>
    <t>Status</t>
  </si>
  <si>
    <t>obs</t>
  </si>
  <si>
    <t>time</t>
  </si>
  <si>
    <t>elapsed</t>
  </si>
  <si>
    <t>date</t>
  </si>
  <si>
    <t>hhmmss</t>
  </si>
  <si>
    <t>plant</t>
  </si>
  <si>
    <t>TIME</t>
  </si>
  <si>
    <t>E</t>
  </si>
  <si>
    <t>A</t>
  </si>
  <si>
    <t>Ca</t>
  </si>
  <si>
    <t>Ci</t>
  </si>
  <si>
    <t>Pci</t>
  </si>
  <si>
    <t>Pca</t>
  </si>
  <si>
    <t>gsw</t>
  </si>
  <si>
    <t>gbw</t>
  </si>
  <si>
    <t>gtw</t>
  </si>
  <si>
    <t>gtc</t>
  </si>
  <si>
    <t>Rabs</t>
  </si>
  <si>
    <t>TleafEB</t>
  </si>
  <si>
    <t>TleafCnd</t>
  </si>
  <si>
    <t>SVPleaf</t>
  </si>
  <si>
    <t>RHcham</t>
  </si>
  <si>
    <t>VPcham</t>
  </si>
  <si>
    <t>SVPcham</t>
  </si>
  <si>
    <t>VPDleaf</t>
  </si>
  <si>
    <t>LatHFlux</t>
  </si>
  <si>
    <t>SenHFlux</t>
  </si>
  <si>
    <t>NetTherm</t>
  </si>
  <si>
    <t>EBSum</t>
  </si>
  <si>
    <t>blfa_1</t>
  </si>
  <si>
    <t>blfa_2</t>
  </si>
  <si>
    <t>blfa_3</t>
  </si>
  <si>
    <t>LeakPct</t>
  </si>
  <si>
    <t>CorrFact</t>
  </si>
  <si>
    <t>CorrFactPct</t>
  </si>
  <si>
    <t>Fan</t>
  </si>
  <si>
    <t>DarkAdaptedID</t>
  </si>
  <si>
    <t>Fo</t>
  </si>
  <si>
    <t>Fm</t>
  </si>
  <si>
    <t>Fv</t>
  </si>
  <si>
    <t>Fv/Fm</t>
  </si>
  <si>
    <t>Adark</t>
  </si>
  <si>
    <t>LightAdaptedID</t>
  </si>
  <si>
    <t>Fs</t>
  </si>
  <si>
    <t>Fm'</t>
  </si>
  <si>
    <t>PhiPS2</t>
  </si>
  <si>
    <t>PS2/1</t>
  </si>
  <si>
    <t>Qabs_fs</t>
  </si>
  <si>
    <t>Afs</t>
  </si>
  <si>
    <t>ETR</t>
  </si>
  <si>
    <t>Fv'/Fm'</t>
  </si>
  <si>
    <t>PhiCO2</t>
  </si>
  <si>
    <t>NPQ</t>
  </si>
  <si>
    <t>DarkPulseID</t>
  </si>
  <si>
    <t>Fo'</t>
  </si>
  <si>
    <t>Fv'</t>
  </si>
  <si>
    <t>qP</t>
  </si>
  <si>
    <t>qN</t>
  </si>
  <si>
    <t>qP_Fo</t>
  </si>
  <si>
    <t>qN_Fo</t>
  </si>
  <si>
    <t>ID</t>
  </si>
  <si>
    <t>P1_dur</t>
  </si>
  <si>
    <t>P2_dur</t>
  </si>
  <si>
    <t>P3_dur</t>
  </si>
  <si>
    <t>P1_Qmax</t>
  </si>
  <si>
    <t>P1_Fmax</t>
  </si>
  <si>
    <t>P2_dQdt</t>
  </si>
  <si>
    <t>P3_ΔF</t>
  </si>
  <si>
    <t>Qin</t>
  </si>
  <si>
    <t>Qabs</t>
  </si>
  <si>
    <t>alpha</t>
  </si>
  <si>
    <t>convert</t>
  </si>
  <si>
    <t>K</t>
  </si>
  <si>
    <t>Geometry</t>
  </si>
  <si>
    <t>CO2_s</t>
  </si>
  <si>
    <t>CO2_r</t>
  </si>
  <si>
    <t>H2O_s</t>
  </si>
  <si>
    <t>H2O_r</t>
  </si>
  <si>
    <t>Flow</t>
  </si>
  <si>
    <t>Pa</t>
  </si>
  <si>
    <t>ΔPcham</t>
  </si>
  <si>
    <t>Tair</t>
  </si>
  <si>
    <t>Tleaf</t>
  </si>
  <si>
    <t>Tleaf2</t>
  </si>
  <si>
    <t>Fan_speed</t>
  </si>
  <si>
    <t>Qamb_in</t>
  </si>
  <si>
    <t>Qamb_out</t>
  </si>
  <si>
    <t>Q</t>
  </si>
  <si>
    <t>f_red</t>
  </si>
  <si>
    <t>f_blue</t>
  </si>
  <si>
    <t>f_farred</t>
  </si>
  <si>
    <t>F</t>
  </si>
  <si>
    <t>Q_modavg</t>
  </si>
  <si>
    <t>F_dc</t>
  </si>
  <si>
    <t>Pc</t>
  </si>
  <si>
    <t>Tled</t>
  </si>
  <si>
    <t>TDigital</t>
  </si>
  <si>
    <t>TPreamp</t>
  </si>
  <si>
    <t>TPwrSpy</t>
  </si>
  <si>
    <t>TDrive</t>
  </si>
  <si>
    <t>Q_red</t>
  </si>
  <si>
    <t>Q_blue</t>
  </si>
  <si>
    <t>Q_farred</t>
  </si>
  <si>
    <t>TSPF</t>
  </si>
  <si>
    <t>F_avg</t>
  </si>
  <si>
    <t>dF/dt</t>
  </si>
  <si>
    <t>dF_dc/dt</t>
  </si>
  <si>
    <t>F_dc_avg</t>
  </si>
  <si>
    <t>period</t>
  </si>
  <si>
    <t>count</t>
  </si>
  <si>
    <t>co2_adj</t>
  </si>
  <si>
    <t>h2o_adj</t>
  </si>
  <si>
    <t>co2_at</t>
  </si>
  <si>
    <t>h2o_at</t>
  </si>
  <si>
    <t>co2_cv</t>
  </si>
  <si>
    <t>h2o_cv</t>
  </si>
  <si>
    <t>ΔCO2:MN</t>
  </si>
  <si>
    <t>ΔCO2:SLP</t>
  </si>
  <si>
    <t>ΔCO2:SD</t>
  </si>
  <si>
    <t>ΔCO2:OK</t>
  </si>
  <si>
    <t>ΔH2O:MN</t>
  </si>
  <si>
    <t>ΔH2O:SLP</t>
  </si>
  <si>
    <t>ΔH2O:SD</t>
  </si>
  <si>
    <t>ΔH2O:OK</t>
  </si>
  <si>
    <t>Stable</t>
  </si>
  <si>
    <t>Total</t>
  </si>
  <si>
    <t>State</t>
  </si>
  <si>
    <t>ADC_CH1</t>
  </si>
  <si>
    <t>ADC_CH2</t>
  </si>
  <si>
    <t>ADC_CH3</t>
  </si>
  <si>
    <t>ADC_CH4</t>
  </si>
  <si>
    <t>ADC_CH5</t>
  </si>
  <si>
    <t>ADC_CH6</t>
  </si>
  <si>
    <t>ADC_CH7</t>
  </si>
  <si>
    <t>ADC_CH8</t>
  </si>
  <si>
    <t>DAC_1</t>
  </si>
  <si>
    <t>DAC_2</t>
  </si>
  <si>
    <t>DAC_3</t>
  </si>
  <si>
    <t>DAC_4</t>
  </si>
  <si>
    <t>GPIO</t>
  </si>
  <si>
    <t>GPIO_dir</t>
  </si>
  <si>
    <t>excit_5v</t>
  </si>
  <si>
    <t>power_12v</t>
  </si>
  <si>
    <t>power_5v</t>
  </si>
  <si>
    <t>ch1_pullup</t>
  </si>
  <si>
    <t>AuxPower</t>
  </si>
  <si>
    <t>MatchValveR</t>
  </si>
  <si>
    <t>MatchValveS</t>
  </si>
  <si>
    <t>MatchCO2</t>
  </si>
  <si>
    <t>MatchH2O</t>
  </si>
  <si>
    <t>DIAG</t>
  </si>
  <si>
    <t>Flow_s</t>
  </si>
  <si>
    <t>Flow_r</t>
  </si>
  <si>
    <t>Txchg</t>
  </si>
  <si>
    <t>Tirga</t>
  </si>
  <si>
    <t>Tchopper</t>
  </si>
  <si>
    <t>Ts</t>
  </si>
  <si>
    <t>Tr</t>
  </si>
  <si>
    <t>CO2_%</t>
  </si>
  <si>
    <t>Desiccant_%</t>
  </si>
  <si>
    <t>Humidifier_%</t>
  </si>
  <si>
    <t>Txchg_sp</t>
  </si>
  <si>
    <t>CO2_r_sp</t>
  </si>
  <si>
    <t>H2O_r_sp</t>
  </si>
  <si>
    <t>SS_s</t>
  </si>
  <si>
    <t>SS_r</t>
  </si>
  <si>
    <t>s</t>
  </si>
  <si>
    <t>mol m⁻² s⁻¹</t>
  </si>
  <si>
    <t>µmol m⁻² s⁻¹</t>
  </si>
  <si>
    <t>µmol mol⁻¹</t>
  </si>
  <si>
    <t>W m⁻²</t>
  </si>
  <si>
    <t>°C</t>
  </si>
  <si>
    <t>kPa</t>
  </si>
  <si>
    <t>%</t>
  </si>
  <si>
    <t>µmol s⁻¹</t>
  </si>
  <si>
    <t>µmol µmol⁻¹</t>
  </si>
  <si>
    <t>ms</t>
  </si>
  <si>
    <t>mol m⁻² s⁻²</t>
  </si>
  <si>
    <t>J/µmol</t>
  </si>
  <si>
    <t>mmol mol⁻¹</t>
  </si>
  <si>
    <t>rpm</t>
  </si>
  <si>
    <t>min⁻¹</t>
  </si>
  <si>
    <t>secs</t>
  </si>
  <si>
    <t>µmol/mol</t>
  </si>
  <si>
    <t>mmol/mol</t>
  </si>
  <si>
    <t>µmol mol⁻¹ min⁻¹</t>
  </si>
  <si>
    <t>mmol mol⁻¹ min⁻¹</t>
  </si>
  <si>
    <t>V</t>
  </si>
  <si>
    <t>20200625 10:50:52</t>
  </si>
  <si>
    <t>10:50:52</t>
  </si>
  <si>
    <t>MPF-3947-20200625-10_50_53</t>
  </si>
  <si>
    <t>DARK-3948-20200625-10_51_01</t>
  </si>
  <si>
    <t>0: Broadleaf</t>
  </si>
  <si>
    <t>10:49:40</t>
  </si>
  <si>
    <t>1/2</t>
  </si>
  <si>
    <t>5</t>
  </si>
  <si>
    <t>11111111</t>
  </si>
  <si>
    <t>oooooooo</t>
  </si>
  <si>
    <t>off</t>
  </si>
  <si>
    <t>20200625 10:52:58</t>
  </si>
  <si>
    <t>10:52:58</t>
  </si>
  <si>
    <t>MPF-3949-20200625-10_53_00</t>
  </si>
  <si>
    <t>DARK-3950-20200625-10_53_07</t>
  </si>
  <si>
    <t>10:52:07</t>
  </si>
  <si>
    <t>2/2</t>
  </si>
  <si>
    <t>20200625 10:55:10</t>
  </si>
  <si>
    <t>10:55:10</t>
  </si>
  <si>
    <t>MPF-3951-20200625-10_55_11</t>
  </si>
  <si>
    <t>DARK-3952-20200625-10_55_19</t>
  </si>
  <si>
    <t>10:54:23</t>
  </si>
  <si>
    <t>20200625 10:57:10</t>
  </si>
  <si>
    <t>10:57:10</t>
  </si>
  <si>
    <t>MPF-3953-20200625-10_57_12</t>
  </si>
  <si>
    <t>DARK-3954-20200625-10_57_19</t>
  </si>
  <si>
    <t>10:56:27</t>
  </si>
  <si>
    <t>20200625 10:59:25</t>
  </si>
  <si>
    <t>10:59:25</t>
  </si>
  <si>
    <t>MPF-3955-20200625-10_59_27</t>
  </si>
  <si>
    <t>DARK-3956-20200625-10_59_34</t>
  </si>
  <si>
    <t>10:58:34</t>
  </si>
  <si>
    <t>20200625 11:01:26</t>
  </si>
  <si>
    <t>11:01:26</t>
  </si>
  <si>
    <t>MPF-3957-20200625-11_01_27</t>
  </si>
  <si>
    <t>DARK-3958-20200625-11_01_35</t>
  </si>
  <si>
    <t>11:00:49</t>
  </si>
  <si>
    <t>20200625 11:03:26</t>
  </si>
  <si>
    <t>11:03:26</t>
  </si>
  <si>
    <t>MPF-3959-20200625-11_03_28</t>
  </si>
  <si>
    <t>DARK-3960-20200625-11_03_35</t>
  </si>
  <si>
    <t>11:02:25</t>
  </si>
  <si>
    <t>20200625 11:05:31</t>
  </si>
  <si>
    <t>11:05:31</t>
  </si>
  <si>
    <t>MPF-3961-20200625-11_05_32</t>
  </si>
  <si>
    <t>DARK-3962-20200625-11_05_40</t>
  </si>
  <si>
    <t>11:04:58</t>
  </si>
  <si>
    <t>20200625 11:07:31</t>
  </si>
  <si>
    <t>11:07:31</t>
  </si>
  <si>
    <t>MPF-3963-20200625-11_07_33</t>
  </si>
  <si>
    <t>DARK-3964-20200625-11_07_40</t>
  </si>
  <si>
    <t>11:06:49</t>
  </si>
  <si>
    <t>20200625 11:09:36</t>
  </si>
  <si>
    <t>11:09:36</t>
  </si>
  <si>
    <t>MPF-3965-20200625-11_09_38</t>
  </si>
  <si>
    <t>DARK-3966-20200625-11_09_45</t>
  </si>
  <si>
    <t>11:08:36</t>
  </si>
  <si>
    <t>20200625 11:11:48</t>
  </si>
  <si>
    <t>11:11:48</t>
  </si>
  <si>
    <t>MPF-3967-20200625-11_11_50</t>
  </si>
  <si>
    <t>DARK-3968-20200625-11_11_57</t>
  </si>
  <si>
    <t>11:10:55</t>
  </si>
  <si>
    <t>20200625 11:14:19</t>
  </si>
  <si>
    <t>11:14:19</t>
  </si>
  <si>
    <t>MPF-3969-20200625-11_14_20</t>
  </si>
  <si>
    <t>DARK-3970-20200625-11_14_28</t>
  </si>
  <si>
    <t>11:13:10</t>
  </si>
  <si>
    <t>0/2</t>
  </si>
  <si>
    <t>20200625 11:16:45</t>
  </si>
  <si>
    <t>11:16:45</t>
  </si>
  <si>
    <t>MPF-3971-20200625-11_16_46</t>
  </si>
  <si>
    <t>DARK-3972-20200625-11_16_54</t>
  </si>
  <si>
    <t>11:15:18</t>
  </si>
  <si>
    <t>20200625 11:19:06</t>
  </si>
  <si>
    <t>11:19:06</t>
  </si>
  <si>
    <t>MPF-3973-20200625-11_19_07</t>
  </si>
  <si>
    <t>DARK-3974-20200625-11_19_15</t>
  </si>
  <si>
    <t>11:18:13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</si>
</sst>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FN30"/>
  <sheetViews>
    <sheetView tabSelected="1" workbookViewId="0"/>
  </sheetViews>
  <sheetFormatPr defaultRowHeight="14.4" x14ac:dyDescent="0.25"/>
  <sheetData>
    <row r="2" spans="1:170" x14ac:dyDescent="0.25">
      <c r="A2" t="s">
        <v>25</v>
      </c>
      <c r="B2" t="s">
        <v>26</v>
      </c>
      <c r="C2" t="s">
        <v>28</v>
      </c>
      <c r="D2" t="s">
        <v>30</v>
      </c>
    </row>
    <row r="3" spans="1:170" x14ac:dyDescent="0.25">
      <c r="B3" t="s">
        <v>27</v>
      </c>
      <c r="C3" t="s">
        <v>29</v>
      </c>
      <c r="D3" t="s">
        <v>31</v>
      </c>
    </row>
    <row r="4" spans="1:170" x14ac:dyDescent="0.25">
      <c r="A4" t="s">
        <v>32</v>
      </c>
      <c r="B4" t="s">
        <v>33</v>
      </c>
      <c r="C4" t="s">
        <v>34</v>
      </c>
    </row>
    <row r="5" spans="1:170" x14ac:dyDescent="0.25">
      <c r="B5">
        <v>2</v>
      </c>
      <c r="C5">
        <v>2</v>
      </c>
    </row>
    <row r="6" spans="1:170" x14ac:dyDescent="0.25">
      <c r="A6" t="s">
        <v>35</v>
      </c>
      <c r="B6" t="s">
        <v>36</v>
      </c>
      <c r="C6" t="s">
        <v>37</v>
      </c>
      <c r="D6" t="s">
        <v>38</v>
      </c>
      <c r="E6" t="s">
        <v>39</v>
      </c>
    </row>
    <row r="7" spans="1:170" x14ac:dyDescent="0.25">
      <c r="B7">
        <v>0</v>
      </c>
      <c r="C7">
        <v>1</v>
      </c>
      <c r="D7">
        <v>0</v>
      </c>
      <c r="E7">
        <v>0</v>
      </c>
    </row>
    <row r="8" spans="1:170" x14ac:dyDescent="0.25">
      <c r="A8" t="s">
        <v>40</v>
      </c>
      <c r="B8" t="s">
        <v>41</v>
      </c>
      <c r="C8" t="s">
        <v>43</v>
      </c>
      <c r="D8" t="s">
        <v>45</v>
      </c>
      <c r="E8" t="s">
        <v>46</v>
      </c>
      <c r="F8" t="s">
        <v>47</v>
      </c>
      <c r="G8" t="s">
        <v>48</v>
      </c>
      <c r="H8" t="s">
        <v>49</v>
      </c>
      <c r="I8" t="s">
        <v>50</v>
      </c>
      <c r="J8" t="s">
        <v>51</v>
      </c>
      <c r="K8" t="s">
        <v>52</v>
      </c>
      <c r="L8" t="s">
        <v>53</v>
      </c>
      <c r="M8" t="s">
        <v>54</v>
      </c>
      <c r="N8" t="s">
        <v>55</v>
      </c>
      <c r="O8" t="s">
        <v>56</v>
      </c>
      <c r="P8" t="s">
        <v>57</v>
      </c>
      <c r="Q8" t="s">
        <v>58</v>
      </c>
    </row>
    <row r="9" spans="1:170" x14ac:dyDescent="0.25">
      <c r="B9" t="s">
        <v>42</v>
      </c>
      <c r="C9" t="s">
        <v>44</v>
      </c>
      <c r="D9">
        <v>0.49</v>
      </c>
      <c r="E9">
        <v>0.84</v>
      </c>
      <c r="F9">
        <v>0.7</v>
      </c>
      <c r="G9">
        <v>0.87</v>
      </c>
      <c r="H9">
        <v>0.75</v>
      </c>
      <c r="I9">
        <v>0.84</v>
      </c>
      <c r="J9">
        <v>0.87</v>
      </c>
      <c r="K9">
        <v>0.39</v>
      </c>
      <c r="L9">
        <v>0.18</v>
      </c>
      <c r="M9">
        <v>0.23</v>
      </c>
      <c r="N9">
        <v>0.26</v>
      </c>
      <c r="O9">
        <v>0.21</v>
      </c>
      <c r="P9">
        <v>0.19</v>
      </c>
      <c r="Q9">
        <v>0.25</v>
      </c>
    </row>
    <row r="10" spans="1:170" x14ac:dyDescent="0.25">
      <c r="A10" t="s">
        <v>59</v>
      </c>
      <c r="B10" t="s">
        <v>60</v>
      </c>
      <c r="C10" t="s">
        <v>61</v>
      </c>
      <c r="D10" t="s">
        <v>62</v>
      </c>
      <c r="E10" t="s">
        <v>63</v>
      </c>
      <c r="F10" t="s">
        <v>64</v>
      </c>
    </row>
    <row r="11" spans="1:170" x14ac:dyDescent="0.25">
      <c r="B11">
        <v>0</v>
      </c>
      <c r="C11">
        <v>0</v>
      </c>
      <c r="D11">
        <v>0</v>
      </c>
      <c r="E11">
        <v>0</v>
      </c>
      <c r="F11">
        <v>1</v>
      </c>
    </row>
    <row r="12" spans="1:170" x14ac:dyDescent="0.25">
      <c r="A12" t="s">
        <v>65</v>
      </c>
      <c r="B12" t="s">
        <v>66</v>
      </c>
      <c r="C12" t="s">
        <v>67</v>
      </c>
      <c r="D12" t="s">
        <v>68</v>
      </c>
      <c r="E12" t="s">
        <v>69</v>
      </c>
      <c r="F12" t="s">
        <v>70</v>
      </c>
      <c r="G12" t="s">
        <v>72</v>
      </c>
      <c r="H12" t="s">
        <v>74</v>
      </c>
    </row>
    <row r="13" spans="1:170" x14ac:dyDescent="0.25">
      <c r="B13">
        <v>-6276</v>
      </c>
      <c r="C13">
        <v>6.6</v>
      </c>
      <c r="D13">
        <v>1.7090000000000001E-5</v>
      </c>
      <c r="E13">
        <v>3.11</v>
      </c>
      <c r="F13" t="s">
        <v>71</v>
      </c>
      <c r="G13" t="s">
        <v>73</v>
      </c>
      <c r="H13">
        <v>0</v>
      </c>
    </row>
    <row r="14" spans="1:170" x14ac:dyDescent="0.25">
      <c r="A14" t="s">
        <v>75</v>
      </c>
      <c r="B14" t="s">
        <v>75</v>
      </c>
      <c r="C14" t="s">
        <v>75</v>
      </c>
      <c r="D14" t="s">
        <v>75</v>
      </c>
      <c r="E14" t="s">
        <v>75</v>
      </c>
      <c r="F14" t="s">
        <v>76</v>
      </c>
      <c r="G14" t="s">
        <v>77</v>
      </c>
      <c r="H14" t="s">
        <v>77</v>
      </c>
      <c r="I14" t="s">
        <v>77</v>
      </c>
      <c r="J14" t="s">
        <v>77</v>
      </c>
      <c r="K14" t="s">
        <v>77</v>
      </c>
      <c r="L14" t="s">
        <v>77</v>
      </c>
      <c r="M14" t="s">
        <v>77</v>
      </c>
      <c r="N14" t="s">
        <v>77</v>
      </c>
      <c r="O14" t="s">
        <v>77</v>
      </c>
      <c r="P14" t="s">
        <v>77</v>
      </c>
      <c r="Q14" t="s">
        <v>77</v>
      </c>
      <c r="R14" t="s">
        <v>77</v>
      </c>
      <c r="S14" t="s">
        <v>77</v>
      </c>
      <c r="T14" t="s">
        <v>77</v>
      </c>
      <c r="U14" t="s">
        <v>77</v>
      </c>
      <c r="V14" t="s">
        <v>77</v>
      </c>
      <c r="W14" t="s">
        <v>77</v>
      </c>
      <c r="X14" t="s">
        <v>77</v>
      </c>
      <c r="Y14" t="s">
        <v>77</v>
      </c>
      <c r="Z14" t="s">
        <v>77</v>
      </c>
      <c r="AA14" t="s">
        <v>77</v>
      </c>
      <c r="AB14" t="s">
        <v>77</v>
      </c>
      <c r="AC14" t="s">
        <v>77</v>
      </c>
      <c r="AD14" t="s">
        <v>77</v>
      </c>
      <c r="AE14" t="s">
        <v>77</v>
      </c>
      <c r="AF14" t="s">
        <v>77</v>
      </c>
      <c r="AG14" t="s">
        <v>78</v>
      </c>
      <c r="AH14" t="s">
        <v>78</v>
      </c>
      <c r="AI14" t="s">
        <v>78</v>
      </c>
      <c r="AJ14" t="s">
        <v>78</v>
      </c>
      <c r="AK14" t="s">
        <v>78</v>
      </c>
      <c r="AL14" t="s">
        <v>79</v>
      </c>
      <c r="AM14" t="s">
        <v>79</v>
      </c>
      <c r="AN14" t="s">
        <v>79</v>
      </c>
      <c r="AO14" t="s">
        <v>79</v>
      </c>
      <c r="AP14" t="s">
        <v>79</v>
      </c>
      <c r="AQ14" t="s">
        <v>79</v>
      </c>
      <c r="AR14" t="s">
        <v>79</v>
      </c>
      <c r="AS14" t="s">
        <v>79</v>
      </c>
      <c r="AT14" t="s">
        <v>79</v>
      </c>
      <c r="AU14" t="s">
        <v>79</v>
      </c>
      <c r="AV14" t="s">
        <v>79</v>
      </c>
      <c r="AW14" t="s">
        <v>79</v>
      </c>
      <c r="AX14" t="s">
        <v>79</v>
      </c>
      <c r="AY14" t="s">
        <v>79</v>
      </c>
      <c r="AZ14" t="s">
        <v>79</v>
      </c>
      <c r="BA14" t="s">
        <v>79</v>
      </c>
      <c r="BB14" t="s">
        <v>79</v>
      </c>
      <c r="BC14" t="s">
        <v>79</v>
      </c>
      <c r="BD14" t="s">
        <v>79</v>
      </c>
      <c r="BE14" t="s">
        <v>79</v>
      </c>
      <c r="BF14" t="s">
        <v>79</v>
      </c>
      <c r="BG14" t="s">
        <v>79</v>
      </c>
      <c r="BH14" t="s">
        <v>79</v>
      </c>
      <c r="BI14" t="s">
        <v>79</v>
      </c>
      <c r="BJ14" t="s">
        <v>80</v>
      </c>
      <c r="BK14" t="s">
        <v>80</v>
      </c>
      <c r="BL14" t="s">
        <v>80</v>
      </c>
      <c r="BM14" t="s">
        <v>80</v>
      </c>
      <c r="BN14" t="s">
        <v>80</v>
      </c>
      <c r="BO14" t="s">
        <v>80</v>
      </c>
      <c r="BP14" t="s">
        <v>80</v>
      </c>
      <c r="BQ14" t="s">
        <v>80</v>
      </c>
      <c r="BR14" t="s">
        <v>81</v>
      </c>
      <c r="BS14" t="s">
        <v>81</v>
      </c>
      <c r="BT14" t="s">
        <v>81</v>
      </c>
      <c r="BU14" t="s">
        <v>81</v>
      </c>
      <c r="BV14" t="s">
        <v>32</v>
      </c>
      <c r="BW14" t="s">
        <v>32</v>
      </c>
      <c r="BX14" t="s">
        <v>82</v>
      </c>
      <c r="BY14" t="s">
        <v>82</v>
      </c>
      <c r="BZ14" t="s">
        <v>82</v>
      </c>
      <c r="CA14" t="s">
        <v>82</v>
      </c>
      <c r="CB14" t="s">
        <v>82</v>
      </c>
      <c r="CC14" t="s">
        <v>82</v>
      </c>
      <c r="CD14" t="s">
        <v>82</v>
      </c>
      <c r="CE14" t="s">
        <v>82</v>
      </c>
      <c r="CF14" t="s">
        <v>82</v>
      </c>
      <c r="CG14" t="s">
        <v>82</v>
      </c>
      <c r="CH14" t="s">
        <v>82</v>
      </c>
      <c r="CI14" t="s">
        <v>82</v>
      </c>
      <c r="CJ14" t="s">
        <v>82</v>
      </c>
      <c r="CK14" t="s">
        <v>82</v>
      </c>
      <c r="CL14" t="s">
        <v>83</v>
      </c>
      <c r="CM14" t="s">
        <v>83</v>
      </c>
      <c r="CN14" t="s">
        <v>83</v>
      </c>
      <c r="CO14" t="s">
        <v>83</v>
      </c>
      <c r="CP14" t="s">
        <v>83</v>
      </c>
      <c r="CQ14" t="s">
        <v>83</v>
      </c>
      <c r="CR14" t="s">
        <v>83</v>
      </c>
      <c r="CS14" t="s">
        <v>83</v>
      </c>
      <c r="CT14" t="s">
        <v>83</v>
      </c>
      <c r="CU14" t="s">
        <v>83</v>
      </c>
      <c r="CV14" t="s">
        <v>83</v>
      </c>
      <c r="CW14" t="s">
        <v>83</v>
      </c>
      <c r="CX14" t="s">
        <v>83</v>
      </c>
      <c r="CY14" t="s">
        <v>83</v>
      </c>
      <c r="CZ14" t="s">
        <v>83</v>
      </c>
      <c r="DA14" t="s">
        <v>83</v>
      </c>
      <c r="DB14" t="s">
        <v>83</v>
      </c>
      <c r="DC14" t="s">
        <v>84</v>
      </c>
      <c r="DD14" t="s">
        <v>84</v>
      </c>
      <c r="DE14" t="s">
        <v>84</v>
      </c>
      <c r="DF14" t="s">
        <v>84</v>
      </c>
      <c r="DG14" t="s">
        <v>84</v>
      </c>
      <c r="DH14" t="s">
        <v>85</v>
      </c>
      <c r="DI14" t="s">
        <v>85</v>
      </c>
      <c r="DJ14" t="s">
        <v>85</v>
      </c>
      <c r="DK14" t="s">
        <v>85</v>
      </c>
      <c r="DL14" t="s">
        <v>85</v>
      </c>
      <c r="DM14" t="s">
        <v>85</v>
      </c>
      <c r="DN14" t="s">
        <v>85</v>
      </c>
      <c r="DO14" t="s">
        <v>85</v>
      </c>
      <c r="DP14" t="s">
        <v>85</v>
      </c>
      <c r="DQ14" t="s">
        <v>86</v>
      </c>
      <c r="DR14" t="s">
        <v>86</v>
      </c>
      <c r="DS14" t="s">
        <v>86</v>
      </c>
      <c r="DT14" t="s">
        <v>86</v>
      </c>
      <c r="DU14" t="s">
        <v>86</v>
      </c>
      <c r="DV14" t="s">
        <v>86</v>
      </c>
      <c r="DW14" t="s">
        <v>86</v>
      </c>
      <c r="DX14" t="s">
        <v>86</v>
      </c>
      <c r="DY14" t="s">
        <v>86</v>
      </c>
      <c r="DZ14" t="s">
        <v>86</v>
      </c>
      <c r="EA14" t="s">
        <v>86</v>
      </c>
      <c r="EB14" t="s">
        <v>87</v>
      </c>
      <c r="EC14" t="s">
        <v>87</v>
      </c>
      <c r="ED14" t="s">
        <v>87</v>
      </c>
      <c r="EE14" t="s">
        <v>87</v>
      </c>
      <c r="EF14" t="s">
        <v>87</v>
      </c>
      <c r="EG14" t="s">
        <v>87</v>
      </c>
      <c r="EH14" t="s">
        <v>87</v>
      </c>
      <c r="EI14" t="s">
        <v>87</v>
      </c>
      <c r="EJ14" t="s">
        <v>87</v>
      </c>
      <c r="EK14" t="s">
        <v>87</v>
      </c>
      <c r="EL14" t="s">
        <v>87</v>
      </c>
      <c r="EM14" t="s">
        <v>87</v>
      </c>
      <c r="EN14" t="s">
        <v>87</v>
      </c>
      <c r="EO14" t="s">
        <v>87</v>
      </c>
      <c r="EP14" t="s">
        <v>87</v>
      </c>
      <c r="EQ14" t="s">
        <v>87</v>
      </c>
      <c r="ER14" t="s">
        <v>87</v>
      </c>
      <c r="ES14" t="s">
        <v>87</v>
      </c>
      <c r="ET14" t="s">
        <v>87</v>
      </c>
      <c r="EU14" t="s">
        <v>88</v>
      </c>
      <c r="EV14" t="s">
        <v>88</v>
      </c>
      <c r="EW14" t="s">
        <v>88</v>
      </c>
      <c r="EX14" t="s">
        <v>88</v>
      </c>
      <c r="EY14" t="s">
        <v>88</v>
      </c>
      <c r="EZ14" t="s">
        <v>88</v>
      </c>
      <c r="FA14" t="s">
        <v>88</v>
      </c>
      <c r="FB14" t="s">
        <v>88</v>
      </c>
      <c r="FC14" t="s">
        <v>88</v>
      </c>
      <c r="FD14" t="s">
        <v>88</v>
      </c>
      <c r="FE14" t="s">
        <v>88</v>
      </c>
      <c r="FF14" t="s">
        <v>88</v>
      </c>
      <c r="FG14" t="s">
        <v>88</v>
      </c>
      <c r="FH14" t="s">
        <v>88</v>
      </c>
      <c r="FI14" t="s">
        <v>88</v>
      </c>
      <c r="FJ14" t="s">
        <v>88</v>
      </c>
      <c r="FK14" t="s">
        <v>88</v>
      </c>
      <c r="FL14" t="s">
        <v>88</v>
      </c>
      <c r="FM14" t="s">
        <v>88</v>
      </c>
      <c r="FN14" t="s">
        <v>88</v>
      </c>
    </row>
    <row r="15" spans="1:170" x14ac:dyDescent="0.25">
      <c r="A15" t="s">
        <v>89</v>
      </c>
      <c r="B15" t="s">
        <v>90</v>
      </c>
      <c r="C15" t="s">
        <v>91</v>
      </c>
      <c r="D15" t="s">
        <v>92</v>
      </c>
      <c r="E15" t="s">
        <v>93</v>
      </c>
      <c r="F15" t="s">
        <v>94</v>
      </c>
      <c r="G15" t="s">
        <v>95</v>
      </c>
      <c r="H15" t="s">
        <v>96</v>
      </c>
      <c r="I15" t="s">
        <v>97</v>
      </c>
      <c r="J15" t="s">
        <v>98</v>
      </c>
      <c r="K15" t="s">
        <v>99</v>
      </c>
      <c r="L15" t="s">
        <v>100</v>
      </c>
      <c r="M15" t="s">
        <v>101</v>
      </c>
      <c r="N15" t="s">
        <v>102</v>
      </c>
      <c r="O15" t="s">
        <v>103</v>
      </c>
      <c r="P15" t="s">
        <v>104</v>
      </c>
      <c r="Q15" t="s">
        <v>105</v>
      </c>
      <c r="R15" t="s">
        <v>106</v>
      </c>
      <c r="S15" t="s">
        <v>107</v>
      </c>
      <c r="T15" t="s">
        <v>108</v>
      </c>
      <c r="U15" t="s">
        <v>109</v>
      </c>
      <c r="V15" t="s">
        <v>110</v>
      </c>
      <c r="W15" t="s">
        <v>111</v>
      </c>
      <c r="X15" t="s">
        <v>112</v>
      </c>
      <c r="Y15" t="s">
        <v>113</v>
      </c>
      <c r="Z15" t="s">
        <v>114</v>
      </c>
      <c r="AA15" t="s">
        <v>115</v>
      </c>
      <c r="AB15" t="s">
        <v>116</v>
      </c>
      <c r="AC15" t="s">
        <v>117</v>
      </c>
      <c r="AD15" t="s">
        <v>118</v>
      </c>
      <c r="AE15" t="s">
        <v>119</v>
      </c>
      <c r="AF15" t="s">
        <v>120</v>
      </c>
      <c r="AG15" t="s">
        <v>78</v>
      </c>
      <c r="AH15" t="s">
        <v>121</v>
      </c>
      <c r="AI15" t="s">
        <v>122</v>
      </c>
      <c r="AJ15" t="s">
        <v>123</v>
      </c>
      <c r="AK15" t="s">
        <v>124</v>
      </c>
      <c r="AL15" t="s">
        <v>125</v>
      </c>
      <c r="AM15" t="s">
        <v>126</v>
      </c>
      <c r="AN15" t="s">
        <v>127</v>
      </c>
      <c r="AO15" t="s">
        <v>128</v>
      </c>
      <c r="AP15" t="s">
        <v>129</v>
      </c>
      <c r="AQ15" t="s">
        <v>130</v>
      </c>
      <c r="AR15" t="s">
        <v>131</v>
      </c>
      <c r="AS15" t="s">
        <v>132</v>
      </c>
      <c r="AT15" t="s">
        <v>133</v>
      </c>
      <c r="AU15" t="s">
        <v>134</v>
      </c>
      <c r="AV15" t="s">
        <v>135</v>
      </c>
      <c r="AW15" t="s">
        <v>136</v>
      </c>
      <c r="AX15" t="s">
        <v>137</v>
      </c>
      <c r="AY15" t="s">
        <v>138</v>
      </c>
      <c r="AZ15" t="s">
        <v>139</v>
      </c>
      <c r="BA15" t="s">
        <v>140</v>
      </c>
      <c r="BB15" t="s">
        <v>141</v>
      </c>
      <c r="BC15" t="s">
        <v>142</v>
      </c>
      <c r="BD15" t="s">
        <v>143</v>
      </c>
      <c r="BE15" t="s">
        <v>144</v>
      </c>
      <c r="BF15" t="s">
        <v>145</v>
      </c>
      <c r="BG15" t="s">
        <v>146</v>
      </c>
      <c r="BH15" t="s">
        <v>147</v>
      </c>
      <c r="BI15" t="s">
        <v>148</v>
      </c>
      <c r="BJ15" t="s">
        <v>149</v>
      </c>
      <c r="BK15" t="s">
        <v>150</v>
      </c>
      <c r="BL15" t="s">
        <v>151</v>
      </c>
      <c r="BM15" t="s">
        <v>152</v>
      </c>
      <c r="BN15" t="s">
        <v>153</v>
      </c>
      <c r="BO15" t="s">
        <v>154</v>
      </c>
      <c r="BP15" t="s">
        <v>155</v>
      </c>
      <c r="BQ15" t="s">
        <v>156</v>
      </c>
      <c r="BR15" t="s">
        <v>157</v>
      </c>
      <c r="BS15" t="s">
        <v>158</v>
      </c>
      <c r="BT15" t="s">
        <v>159</v>
      </c>
      <c r="BU15" t="s">
        <v>160</v>
      </c>
      <c r="BV15" t="s">
        <v>161</v>
      </c>
      <c r="BW15" t="s">
        <v>162</v>
      </c>
      <c r="BX15" t="s">
        <v>95</v>
      </c>
      <c r="BY15" t="s">
        <v>163</v>
      </c>
      <c r="BZ15" t="s">
        <v>164</v>
      </c>
      <c r="CA15" t="s">
        <v>165</v>
      </c>
      <c r="CB15" t="s">
        <v>166</v>
      </c>
      <c r="CC15" t="s">
        <v>167</v>
      </c>
      <c r="CD15" t="s">
        <v>168</v>
      </c>
      <c r="CE15" t="s">
        <v>169</v>
      </c>
      <c r="CF15" t="s">
        <v>170</v>
      </c>
      <c r="CG15" t="s">
        <v>171</v>
      </c>
      <c r="CH15" t="s">
        <v>172</v>
      </c>
      <c r="CI15" t="s">
        <v>173</v>
      </c>
      <c r="CJ15" t="s">
        <v>174</v>
      </c>
      <c r="CK15" t="s">
        <v>175</v>
      </c>
      <c r="CL15" t="s">
        <v>176</v>
      </c>
      <c r="CM15" t="s">
        <v>177</v>
      </c>
      <c r="CN15" t="s">
        <v>178</v>
      </c>
      <c r="CO15" t="s">
        <v>179</v>
      </c>
      <c r="CP15" t="s">
        <v>180</v>
      </c>
      <c r="CQ15" t="s">
        <v>181</v>
      </c>
      <c r="CR15" t="s">
        <v>182</v>
      </c>
      <c r="CS15" t="s">
        <v>183</v>
      </c>
      <c r="CT15" t="s">
        <v>184</v>
      </c>
      <c r="CU15" t="s">
        <v>185</v>
      </c>
      <c r="CV15" t="s">
        <v>186</v>
      </c>
      <c r="CW15" t="s">
        <v>187</v>
      </c>
      <c r="CX15" t="s">
        <v>188</v>
      </c>
      <c r="CY15" t="s">
        <v>189</v>
      </c>
      <c r="CZ15" t="s">
        <v>190</v>
      </c>
      <c r="DA15" t="s">
        <v>191</v>
      </c>
      <c r="DB15" t="s">
        <v>192</v>
      </c>
      <c r="DC15" t="s">
        <v>193</v>
      </c>
      <c r="DD15" t="s">
        <v>194</v>
      </c>
      <c r="DE15" t="s">
        <v>195</v>
      </c>
      <c r="DF15" t="s">
        <v>196</v>
      </c>
      <c r="DG15" t="s">
        <v>197</v>
      </c>
      <c r="DH15" t="s">
        <v>90</v>
      </c>
      <c r="DI15" t="s">
        <v>93</v>
      </c>
      <c r="DJ15" t="s">
        <v>198</v>
      </c>
      <c r="DK15" t="s">
        <v>199</v>
      </c>
      <c r="DL15" t="s">
        <v>200</v>
      </c>
      <c r="DM15" t="s">
        <v>201</v>
      </c>
      <c r="DN15" t="s">
        <v>202</v>
      </c>
      <c r="DO15" t="s">
        <v>203</v>
      </c>
      <c r="DP15" t="s">
        <v>204</v>
      </c>
      <c r="DQ15" t="s">
        <v>205</v>
      </c>
      <c r="DR15" t="s">
        <v>206</v>
      </c>
      <c r="DS15" t="s">
        <v>207</v>
      </c>
      <c r="DT15" t="s">
        <v>208</v>
      </c>
      <c r="DU15" t="s">
        <v>209</v>
      </c>
      <c r="DV15" t="s">
        <v>210</v>
      </c>
      <c r="DW15" t="s">
        <v>211</v>
      </c>
      <c r="DX15" t="s">
        <v>212</v>
      </c>
      <c r="DY15" t="s">
        <v>213</v>
      </c>
      <c r="DZ15" t="s">
        <v>214</v>
      </c>
      <c r="EA15" t="s">
        <v>215</v>
      </c>
      <c r="EB15" t="s">
        <v>216</v>
      </c>
      <c r="EC15" t="s">
        <v>217</v>
      </c>
      <c r="ED15" t="s">
        <v>218</v>
      </c>
      <c r="EE15" t="s">
        <v>219</v>
      </c>
      <c r="EF15" t="s">
        <v>220</v>
      </c>
      <c r="EG15" t="s">
        <v>221</v>
      </c>
      <c r="EH15" t="s">
        <v>222</v>
      </c>
      <c r="EI15" t="s">
        <v>223</v>
      </c>
      <c r="EJ15" t="s">
        <v>224</v>
      </c>
      <c r="EK15" t="s">
        <v>225</v>
      </c>
      <c r="EL15" t="s">
        <v>226</v>
      </c>
      <c r="EM15" t="s">
        <v>227</v>
      </c>
      <c r="EN15" t="s">
        <v>228</v>
      </c>
      <c r="EO15" t="s">
        <v>229</v>
      </c>
      <c r="EP15" t="s">
        <v>230</v>
      </c>
      <c r="EQ15" t="s">
        <v>231</v>
      </c>
      <c r="ER15" t="s">
        <v>232</v>
      </c>
      <c r="ES15" t="s">
        <v>233</v>
      </c>
      <c r="ET15" t="s">
        <v>234</v>
      </c>
      <c r="EU15" t="s">
        <v>235</v>
      </c>
      <c r="EV15" t="s">
        <v>236</v>
      </c>
      <c r="EW15" t="s">
        <v>237</v>
      </c>
      <c r="EX15" t="s">
        <v>238</v>
      </c>
      <c r="EY15" t="s">
        <v>239</v>
      </c>
      <c r="EZ15" t="s">
        <v>240</v>
      </c>
      <c r="FA15" t="s">
        <v>241</v>
      </c>
      <c r="FB15" t="s">
        <v>242</v>
      </c>
      <c r="FC15" t="s">
        <v>243</v>
      </c>
      <c r="FD15" t="s">
        <v>244</v>
      </c>
      <c r="FE15" t="s">
        <v>245</v>
      </c>
      <c r="FF15" t="s">
        <v>246</v>
      </c>
      <c r="FG15" t="s">
        <v>247</v>
      </c>
      <c r="FH15" t="s">
        <v>248</v>
      </c>
      <c r="FI15" t="s">
        <v>249</v>
      </c>
      <c r="FJ15" t="s">
        <v>250</v>
      </c>
      <c r="FK15" t="s">
        <v>251</v>
      </c>
      <c r="FL15" t="s">
        <v>252</v>
      </c>
      <c r="FM15" t="s">
        <v>253</v>
      </c>
      <c r="FN15" t="s">
        <v>254</v>
      </c>
    </row>
    <row r="16" spans="1:170" x14ac:dyDescent="0.25">
      <c r="B16" t="s">
        <v>255</v>
      </c>
      <c r="C16" t="s">
        <v>255</v>
      </c>
      <c r="G16" t="s">
        <v>255</v>
      </c>
      <c r="H16" t="s">
        <v>256</v>
      </c>
      <c r="I16" t="s">
        <v>257</v>
      </c>
      <c r="J16" t="s">
        <v>258</v>
      </c>
      <c r="K16" t="s">
        <v>258</v>
      </c>
      <c r="L16" t="s">
        <v>168</v>
      </c>
      <c r="M16" t="s">
        <v>168</v>
      </c>
      <c r="N16" t="s">
        <v>256</v>
      </c>
      <c r="O16" t="s">
        <v>256</v>
      </c>
      <c r="P16" t="s">
        <v>256</v>
      </c>
      <c r="Q16" t="s">
        <v>256</v>
      </c>
      <c r="R16" t="s">
        <v>259</v>
      </c>
      <c r="S16" t="s">
        <v>260</v>
      </c>
      <c r="T16" t="s">
        <v>260</v>
      </c>
      <c r="U16" t="s">
        <v>261</v>
      </c>
      <c r="V16" t="s">
        <v>262</v>
      </c>
      <c r="W16" t="s">
        <v>261</v>
      </c>
      <c r="X16" t="s">
        <v>261</v>
      </c>
      <c r="Y16" t="s">
        <v>261</v>
      </c>
      <c r="Z16" t="s">
        <v>259</v>
      </c>
      <c r="AA16" t="s">
        <v>259</v>
      </c>
      <c r="AB16" t="s">
        <v>259</v>
      </c>
      <c r="AC16" t="s">
        <v>259</v>
      </c>
      <c r="AG16" t="s">
        <v>263</v>
      </c>
      <c r="AH16" t="s">
        <v>262</v>
      </c>
      <c r="AJ16" t="s">
        <v>262</v>
      </c>
      <c r="AK16" t="s">
        <v>263</v>
      </c>
      <c r="AQ16" t="s">
        <v>257</v>
      </c>
      <c r="AW16" t="s">
        <v>257</v>
      </c>
      <c r="AX16" t="s">
        <v>257</v>
      </c>
      <c r="AY16" t="s">
        <v>257</v>
      </c>
      <c r="BA16" t="s">
        <v>264</v>
      </c>
      <c r="BK16" t="s">
        <v>265</v>
      </c>
      <c r="BL16" t="s">
        <v>265</v>
      </c>
      <c r="BM16" t="s">
        <v>265</v>
      </c>
      <c r="BN16" t="s">
        <v>257</v>
      </c>
      <c r="BP16" t="s">
        <v>266</v>
      </c>
      <c r="BR16" t="s">
        <v>257</v>
      </c>
      <c r="BS16" t="s">
        <v>257</v>
      </c>
      <c r="BU16" t="s">
        <v>267</v>
      </c>
      <c r="BX16" t="s">
        <v>255</v>
      </c>
      <c r="BY16" t="s">
        <v>258</v>
      </c>
      <c r="BZ16" t="s">
        <v>258</v>
      </c>
      <c r="CA16" t="s">
        <v>268</v>
      </c>
      <c r="CB16" t="s">
        <v>268</v>
      </c>
      <c r="CC16" t="s">
        <v>263</v>
      </c>
      <c r="CD16" t="s">
        <v>261</v>
      </c>
      <c r="CE16" t="s">
        <v>261</v>
      </c>
      <c r="CF16" t="s">
        <v>260</v>
      </c>
      <c r="CG16" t="s">
        <v>260</v>
      </c>
      <c r="CH16" t="s">
        <v>260</v>
      </c>
      <c r="CI16" t="s">
        <v>269</v>
      </c>
      <c r="CJ16" t="s">
        <v>257</v>
      </c>
      <c r="CK16" t="s">
        <v>257</v>
      </c>
      <c r="CL16" t="s">
        <v>257</v>
      </c>
      <c r="CQ16" t="s">
        <v>257</v>
      </c>
      <c r="CT16" t="s">
        <v>260</v>
      </c>
      <c r="CU16" t="s">
        <v>260</v>
      </c>
      <c r="CV16" t="s">
        <v>260</v>
      </c>
      <c r="CW16" t="s">
        <v>260</v>
      </c>
      <c r="CX16" t="s">
        <v>260</v>
      </c>
      <c r="CY16" t="s">
        <v>257</v>
      </c>
      <c r="CZ16" t="s">
        <v>257</v>
      </c>
      <c r="DA16" t="s">
        <v>257</v>
      </c>
      <c r="DB16" t="s">
        <v>255</v>
      </c>
      <c r="DD16" t="s">
        <v>270</v>
      </c>
      <c r="DE16" t="s">
        <v>270</v>
      </c>
      <c r="DG16" t="s">
        <v>255</v>
      </c>
      <c r="DH16" t="s">
        <v>271</v>
      </c>
      <c r="DK16" t="s">
        <v>272</v>
      </c>
      <c r="DL16" t="s">
        <v>273</v>
      </c>
      <c r="DM16" t="s">
        <v>272</v>
      </c>
      <c r="DN16" t="s">
        <v>273</v>
      </c>
      <c r="DO16" t="s">
        <v>262</v>
      </c>
      <c r="DP16" t="s">
        <v>262</v>
      </c>
      <c r="DQ16" t="s">
        <v>258</v>
      </c>
      <c r="DR16" t="s">
        <v>274</v>
      </c>
      <c r="DS16" t="s">
        <v>258</v>
      </c>
      <c r="DU16" t="s">
        <v>268</v>
      </c>
      <c r="DV16" t="s">
        <v>275</v>
      </c>
      <c r="DW16" t="s">
        <v>268</v>
      </c>
      <c r="EB16" t="s">
        <v>276</v>
      </c>
      <c r="EC16" t="s">
        <v>276</v>
      </c>
      <c r="ED16" t="s">
        <v>276</v>
      </c>
      <c r="EE16" t="s">
        <v>276</v>
      </c>
      <c r="EF16" t="s">
        <v>276</v>
      </c>
      <c r="EG16" t="s">
        <v>276</v>
      </c>
      <c r="EH16" t="s">
        <v>276</v>
      </c>
      <c r="EI16" t="s">
        <v>276</v>
      </c>
      <c r="EJ16" t="s">
        <v>276</v>
      </c>
      <c r="EK16" t="s">
        <v>276</v>
      </c>
      <c r="EL16" t="s">
        <v>276</v>
      </c>
      <c r="EM16" t="s">
        <v>276</v>
      </c>
      <c r="ET16" t="s">
        <v>276</v>
      </c>
      <c r="EU16" t="s">
        <v>262</v>
      </c>
      <c r="EV16" t="s">
        <v>262</v>
      </c>
      <c r="EW16" t="s">
        <v>272</v>
      </c>
      <c r="EX16" t="s">
        <v>273</v>
      </c>
      <c r="EZ16" t="s">
        <v>263</v>
      </c>
      <c r="FA16" t="s">
        <v>263</v>
      </c>
      <c r="FB16" t="s">
        <v>260</v>
      </c>
      <c r="FC16" t="s">
        <v>260</v>
      </c>
      <c r="FD16" t="s">
        <v>260</v>
      </c>
      <c r="FE16" t="s">
        <v>260</v>
      </c>
      <c r="FF16" t="s">
        <v>260</v>
      </c>
      <c r="FG16" t="s">
        <v>262</v>
      </c>
      <c r="FH16" t="s">
        <v>262</v>
      </c>
      <c r="FI16" t="s">
        <v>262</v>
      </c>
      <c r="FJ16" t="s">
        <v>260</v>
      </c>
      <c r="FK16" t="s">
        <v>258</v>
      </c>
      <c r="FL16" t="s">
        <v>268</v>
      </c>
      <c r="FM16" t="s">
        <v>262</v>
      </c>
      <c r="FN16" t="s">
        <v>262</v>
      </c>
    </row>
    <row r="17" spans="1:170" x14ac:dyDescent="0.25">
      <c r="A17">
        <v>1</v>
      </c>
      <c r="B17">
        <v>1593100252</v>
      </c>
      <c r="C17">
        <v>0</v>
      </c>
      <c r="D17" t="s">
        <v>277</v>
      </c>
      <c r="E17" t="s">
        <v>278</v>
      </c>
      <c r="G17">
        <v>1593100244.0193501</v>
      </c>
      <c r="H17">
        <f t="shared" ref="H17:H30" si="0">CC17*AI17*(CA17-CB17)/(100*$B$5*(1000-AI17*CA17))</f>
        <v>7.7875570791203306E-3</v>
      </c>
      <c r="I17">
        <f t="shared" ref="I17:I30" si="1">CC17*AI17*(BZ17-BY17*(1000-AI17*CB17)/(1000-AI17*CA17))/(100*$B$5)</f>
        <v>28.476979947987083</v>
      </c>
      <c r="J17">
        <f t="shared" ref="J17:J30" si="2">BY17 - IF(AI17&gt;1, I17*$B$5*100/(AK17*CI17), 0)</f>
        <v>387.36522580645197</v>
      </c>
      <c r="K17">
        <f t="shared" ref="K17:K30" si="3">((Q17-H17/2)*J17-I17)/(Q17+H17/2)</f>
        <v>282.62584159401439</v>
      </c>
      <c r="L17">
        <f t="shared" ref="L17:L30" si="4">K17*(CD17+CE17)/1000</f>
        <v>28.10456015607658</v>
      </c>
      <c r="M17">
        <f t="shared" ref="M17:M30" si="5">(BY17 - IF(AI17&gt;1, I17*$B$5*100/(AK17*CI17), 0))*(CD17+CE17)/1000</f>
        <v>38.519935861661786</v>
      </c>
      <c r="N17">
        <f t="shared" ref="N17:N30" si="6">2/((1/P17-1/O17)+SIGN(P17)*SQRT((1/P17-1/O17)*(1/P17-1/O17) + 4*BV17/((BV17+1)*(BV17+1))*(2*1/P17*1/O17-1/O17*1/O17)))</f>
        <v>0.50868107671295226</v>
      </c>
      <c r="O17">
        <f t="shared" ref="O17:O30" si="7">AF17+AE17*$B$5+AD17*$B$5*$B$5</f>
        <v>3.3797491819066665</v>
      </c>
      <c r="P17">
        <f t="shared" ref="P17:P30" si="8">H17*(1000-(1000*0.61365*EXP(17.502*T17/(240.97+T17))/(CD17+CE17)+CA17)/2)/(1000*0.61365*EXP(17.502*T17/(240.97+T17))/(CD17+CE17)-CA17)</f>
        <v>0.46965656607725692</v>
      </c>
      <c r="Q17">
        <f t="shared" ref="Q17:Q30" si="9">1/((BV17+1)/(N17/1.6)+1/(O17/1.37)) + BV17/((BV17+1)/(N17/1.6) + BV17/(O17/1.37))</f>
        <v>0.29679167031265269</v>
      </c>
      <c r="R17">
        <f t="shared" ref="R17:R30" si="10">(BS17*BU17)</f>
        <v>353.33541100513833</v>
      </c>
      <c r="S17">
        <f t="shared" ref="S17:S30" si="11">(CF17+(R17+2*0.95*0.0000000567*(((CF17+$B$7)+273)^4-(CF17+273)^4)-44100*H17)/(1.84*29.3*O17+8*0.95*0.0000000567*(CF17+273)^3))</f>
        <v>27.246071293473047</v>
      </c>
      <c r="T17">
        <f t="shared" ref="T17:T30" si="12">($C$7*CG17+$D$7*CH17+$E$7*S17)</f>
        <v>27.043858064516101</v>
      </c>
      <c r="U17">
        <f t="shared" ref="U17:U30" si="13">0.61365*EXP(17.502*T17/(240.97+T17))</f>
        <v>3.5883895959469316</v>
      </c>
      <c r="V17">
        <f t="shared" ref="V17:V30" si="14">(W17/X17*100)</f>
        <v>54.849216884918114</v>
      </c>
      <c r="W17">
        <f t="shared" ref="W17:W30" si="15">CA17*(CD17+CE17)/1000</f>
        <v>1.9857354158103349</v>
      </c>
      <c r="X17">
        <f t="shared" ref="X17:X30" si="16">0.61365*EXP(17.502*CF17/(240.97+CF17))</f>
        <v>3.6203532677170318</v>
      </c>
      <c r="Y17">
        <f t="shared" ref="Y17:Y30" si="17">(U17-CA17*(CD17+CE17)/1000)</f>
        <v>1.6026541801365968</v>
      </c>
      <c r="Z17">
        <f t="shared" ref="Z17:Z30" si="18">(-H17*44100)</f>
        <v>-343.43126718920655</v>
      </c>
      <c r="AA17">
        <f t="shared" ref="AA17:AA30" si="19">2*29.3*O17*0.92*(CF17-T17)</f>
        <v>27.53648779464466</v>
      </c>
      <c r="AB17">
        <f t="shared" ref="AB17:AB30" si="20">2*0.95*0.0000000567*(((CF17+$B$7)+273)^4-(T17+273)^4)</f>
        <v>1.7604253337394697</v>
      </c>
      <c r="AC17">
        <f t="shared" ref="AC17:AC30" si="21">R17+AB17+Z17+AA17</f>
        <v>39.201056944315908</v>
      </c>
      <c r="AD17">
        <v>-4.1134244457992998E-2</v>
      </c>
      <c r="AE17">
        <v>4.6176792961829097E-2</v>
      </c>
      <c r="AF17">
        <v>3.4519325738149802</v>
      </c>
      <c r="AG17">
        <v>133</v>
      </c>
      <c r="AH17">
        <v>27</v>
      </c>
      <c r="AI17">
        <f t="shared" ref="AI17:AI30" si="22">IF(AG17*$H$13&gt;=AK17,1,(AK17/(AK17-AG17*$H$13)))</f>
        <v>1</v>
      </c>
      <c r="AJ17">
        <f t="shared" ref="AJ17:AJ30" si="23">(AI17-1)*100</f>
        <v>0</v>
      </c>
      <c r="AK17">
        <f t="shared" ref="AK17:AK30" si="24">MAX(0,($B$13+$C$13*CI17)/(1+$D$13*CI17)*CD17/(CF17+273)*$E$13)</f>
        <v>52419.560856219912</v>
      </c>
      <c r="AL17">
        <v>0</v>
      </c>
      <c r="AM17">
        <v>0</v>
      </c>
      <c r="AN17">
        <v>0</v>
      </c>
      <c r="AO17">
        <f t="shared" ref="AO17:AO30" si="25">AN17-AM17</f>
        <v>0</v>
      </c>
      <c r="AP17" t="e">
        <f t="shared" ref="AP17:AP30" si="26">AO17/AN17</f>
        <v>#DIV/0!</v>
      </c>
      <c r="AQ17">
        <v>-1</v>
      </c>
      <c r="AR17" t="s">
        <v>279</v>
      </c>
      <c r="AS17">
        <v>308.88400000000001</v>
      </c>
      <c r="AT17">
        <v>401.84500000000003</v>
      </c>
      <c r="AU17">
        <f t="shared" ref="AU17:AU30" si="27">1-AS17/AT17</f>
        <v>0.23133546516691761</v>
      </c>
      <c r="AV17">
        <v>0.5</v>
      </c>
      <c r="AW17">
        <f t="shared" ref="AW17:AW30" si="28">BS17</f>
        <v>1849.1725872298707</v>
      </c>
      <c r="AX17">
        <f t="shared" ref="AX17:AX30" si="29">I17</f>
        <v>28.476979947987083</v>
      </c>
      <c r="AY17">
        <f t="shared" ref="AY17:AY30" si="30">AU17*AV17*AW17</f>
        <v>213.88960032036732</v>
      </c>
      <c r="AZ17">
        <f t="shared" ref="AZ17:AZ30" si="31">BE17/AT17</f>
        <v>0.5013500230188257</v>
      </c>
      <c r="BA17">
        <f t="shared" ref="BA17:BA30" si="32">(AX17-AQ17)/AW17</f>
        <v>1.5940632124632939E-2</v>
      </c>
      <c r="BB17">
        <f t="shared" ref="BB17:BB30" si="33">(AN17-AT17)/AT17</f>
        <v>-1</v>
      </c>
      <c r="BC17" t="s">
        <v>280</v>
      </c>
      <c r="BD17">
        <v>200.38</v>
      </c>
      <c r="BE17">
        <f t="shared" ref="BE17:BE30" si="34">AT17-BD17</f>
        <v>201.46500000000003</v>
      </c>
      <c r="BF17">
        <f t="shared" ref="BF17:BF30" si="35">(AT17-AS17)/(AT17-BD17)</f>
        <v>0.4614250614250614</v>
      </c>
      <c r="BG17">
        <f t="shared" ref="BG17:BG30" si="36">(AN17-AT17)/(AN17-BD17)</f>
        <v>2.0054147120471106</v>
      </c>
      <c r="BH17">
        <f t="shared" ref="BH17:BH30" si="37">(AT17-AS17)/(AT17-AM17)</f>
        <v>0.23133546516691761</v>
      </c>
      <c r="BI17" t="e">
        <f t="shared" ref="BI17:BI30" si="38">(AN17-AT17)/(AN17-AM17)</f>
        <v>#DIV/0!</v>
      </c>
      <c r="BJ17">
        <v>3947</v>
      </c>
      <c r="BK17">
        <v>300</v>
      </c>
      <c r="BL17">
        <v>300</v>
      </c>
      <c r="BM17">
        <v>300</v>
      </c>
      <c r="BN17">
        <v>9883.09</v>
      </c>
      <c r="BO17">
        <v>374.036</v>
      </c>
      <c r="BP17">
        <v>-6.4104399999999999E-3</v>
      </c>
      <c r="BQ17">
        <v>0.445129</v>
      </c>
      <c r="BR17">
        <f t="shared" ref="BR17:BR30" si="39">$B$11*CJ17+$C$11*CK17+$F$11*CL17</f>
        <v>2199.9848387096799</v>
      </c>
      <c r="BS17">
        <f t="shared" ref="BS17:BS30" si="40">BR17*BT17</f>
        <v>1849.1725872298707</v>
      </c>
      <c r="BT17">
        <f t="shared" ref="BT17:BT30" si="41">($B$11*$D$9+$C$11*$D$9+$F$11*((CY17+CQ17)/MAX(CY17+CQ17+CZ17, 0.1)*$I$9+CZ17/MAX(CY17+CQ17+CZ17, 0.1)*$J$9))/($B$11+$C$11+$F$11)</f>
        <v>0.84053878676474647</v>
      </c>
      <c r="BU17">
        <f t="shared" ref="BU17:BU30" si="42">($B$11*$K$9+$C$11*$K$9+$F$11*((CY17+CQ17)/MAX(CY17+CQ17+CZ17, 0.1)*$P$9+CZ17/MAX(CY17+CQ17+CZ17, 0.1)*$Q$9))/($B$11+$C$11+$F$11)</f>
        <v>0.19107757352949295</v>
      </c>
      <c r="BV17">
        <v>0.5</v>
      </c>
      <c r="BW17" t="s">
        <v>281</v>
      </c>
      <c r="BX17">
        <v>1593100244.0193501</v>
      </c>
      <c r="BY17">
        <v>387.36522580645197</v>
      </c>
      <c r="BZ17">
        <v>399.96119354838697</v>
      </c>
      <c r="CA17">
        <v>19.969006451612898</v>
      </c>
      <c r="CB17">
        <v>16.916545161290301</v>
      </c>
      <c r="CC17">
        <v>500.05858064516099</v>
      </c>
      <c r="CD17">
        <v>99.240845161290295</v>
      </c>
      <c r="CE17">
        <v>0.20002690322580599</v>
      </c>
      <c r="CF17">
        <v>27.1949838709677</v>
      </c>
      <c r="CG17">
        <v>27.043858064516101</v>
      </c>
      <c r="CH17">
        <v>999.9</v>
      </c>
      <c r="CI17">
        <v>9995.6051612903193</v>
      </c>
      <c r="CJ17">
        <v>0</v>
      </c>
      <c r="CK17">
        <v>127.686951612903</v>
      </c>
      <c r="CL17">
        <v>2199.9848387096799</v>
      </c>
      <c r="CM17">
        <v>0.98199777419354795</v>
      </c>
      <c r="CN17">
        <v>1.8001958064516099E-2</v>
      </c>
      <c r="CO17">
        <v>0</v>
      </c>
      <c r="CP17">
        <v>308.98512903225799</v>
      </c>
      <c r="CQ17">
        <v>5.00054</v>
      </c>
      <c r="CR17">
        <v>8476.6932258064498</v>
      </c>
      <c r="CS17">
        <v>20590.380645161302</v>
      </c>
      <c r="CT17">
        <v>48.790064516129</v>
      </c>
      <c r="CU17">
        <v>49.352645161290297</v>
      </c>
      <c r="CV17">
        <v>48.937064516128999</v>
      </c>
      <c r="CW17">
        <v>48.243774193548397</v>
      </c>
      <c r="CX17">
        <v>50.0945161290323</v>
      </c>
      <c r="CY17">
        <v>2155.4674193548399</v>
      </c>
      <c r="CZ17">
        <v>39.510645161290299</v>
      </c>
      <c r="DA17">
        <v>0</v>
      </c>
      <c r="DB17">
        <v>742.70000004768394</v>
      </c>
      <c r="DC17">
        <v>308.88400000000001</v>
      </c>
      <c r="DD17">
        <v>-14.4597606858904</v>
      </c>
      <c r="DE17">
        <v>1782.1552162599501</v>
      </c>
      <c r="DF17">
        <v>8487.6876923076907</v>
      </c>
      <c r="DG17">
        <v>15</v>
      </c>
      <c r="DH17">
        <v>1593100180.0999999</v>
      </c>
      <c r="DI17" t="s">
        <v>282</v>
      </c>
      <c r="DJ17">
        <v>15</v>
      </c>
      <c r="DK17">
        <v>-0.40100000000000002</v>
      </c>
      <c r="DL17">
        <v>9.7000000000000003E-2</v>
      </c>
      <c r="DM17">
        <v>399</v>
      </c>
      <c r="DN17">
        <v>16</v>
      </c>
      <c r="DO17">
        <v>0.33</v>
      </c>
      <c r="DP17">
        <v>0.02</v>
      </c>
      <c r="DQ17">
        <v>-12.5911796296296</v>
      </c>
      <c r="DR17">
        <v>1.9657523659001499E-2</v>
      </c>
      <c r="DS17">
        <v>0.103333527561878</v>
      </c>
      <c r="DT17">
        <v>1</v>
      </c>
      <c r="DU17">
        <v>3.0831050000000002</v>
      </c>
      <c r="DV17">
        <v>-0.34345421815968302</v>
      </c>
      <c r="DW17">
        <v>4.7278166668331401E-2</v>
      </c>
      <c r="DX17">
        <v>0</v>
      </c>
      <c r="DY17">
        <v>1</v>
      </c>
      <c r="DZ17">
        <v>2</v>
      </c>
      <c r="EA17" t="s">
        <v>283</v>
      </c>
      <c r="EB17">
        <v>1.86676</v>
      </c>
      <c r="EC17">
        <v>1.86327</v>
      </c>
      <c r="ED17">
        <v>1.8689199999999999</v>
      </c>
      <c r="EE17">
        <v>1.8669</v>
      </c>
      <c r="EF17">
        <v>1.87151</v>
      </c>
      <c r="EG17">
        <v>1.8640099999999999</v>
      </c>
      <c r="EH17">
        <v>1.86554</v>
      </c>
      <c r="EI17">
        <v>1.86548</v>
      </c>
      <c r="EJ17" t="s">
        <v>284</v>
      </c>
      <c r="EK17" t="s">
        <v>19</v>
      </c>
      <c r="EL17" t="s">
        <v>19</v>
      </c>
      <c r="EM17" t="s">
        <v>19</v>
      </c>
      <c r="EN17" t="s">
        <v>285</v>
      </c>
      <c r="EO17" t="s">
        <v>286</v>
      </c>
      <c r="EP17" t="s">
        <v>287</v>
      </c>
      <c r="EQ17" t="s">
        <v>287</v>
      </c>
      <c r="ER17" t="s">
        <v>287</v>
      </c>
      <c r="ES17" t="s">
        <v>287</v>
      </c>
      <c r="ET17">
        <v>0</v>
      </c>
      <c r="EU17">
        <v>100</v>
      </c>
      <c r="EV17">
        <v>100</v>
      </c>
      <c r="EW17">
        <v>-0.40100000000000002</v>
      </c>
      <c r="EX17">
        <v>9.7000000000000003E-2</v>
      </c>
      <c r="EY17">
        <v>2</v>
      </c>
      <c r="EZ17">
        <v>346.69200000000001</v>
      </c>
      <c r="FA17">
        <v>480.05599999999998</v>
      </c>
      <c r="FB17">
        <v>19.916399999999999</v>
      </c>
      <c r="FC17">
        <v>34.691499999999998</v>
      </c>
      <c r="FD17">
        <v>30</v>
      </c>
      <c r="FE17">
        <v>34.529699999999998</v>
      </c>
      <c r="FF17">
        <v>34.497799999999998</v>
      </c>
      <c r="FG17">
        <v>21.8249</v>
      </c>
      <c r="FH17">
        <v>30.027100000000001</v>
      </c>
      <c r="FI17">
        <v>10.1225</v>
      </c>
      <c r="FJ17">
        <v>19.900700000000001</v>
      </c>
      <c r="FK17">
        <v>400</v>
      </c>
      <c r="FL17">
        <v>17.019200000000001</v>
      </c>
      <c r="FM17">
        <v>100.874</v>
      </c>
      <c r="FN17">
        <v>100.72799999999999</v>
      </c>
    </row>
    <row r="18" spans="1:170" x14ac:dyDescent="0.25">
      <c r="A18">
        <v>2</v>
      </c>
      <c r="B18">
        <v>1593100378.7</v>
      </c>
      <c r="C18">
        <v>126.700000047684</v>
      </c>
      <c r="D18" t="s">
        <v>288</v>
      </c>
      <c r="E18" t="s">
        <v>289</v>
      </c>
      <c r="G18">
        <v>1593100370.67419</v>
      </c>
      <c r="H18">
        <f t="shared" si="0"/>
        <v>6.5881627434689009E-3</v>
      </c>
      <c r="I18">
        <f t="shared" si="1"/>
        <v>20.966146517427923</v>
      </c>
      <c r="J18">
        <f t="shared" si="2"/>
        <v>290.821387096774</v>
      </c>
      <c r="K18">
        <f t="shared" si="3"/>
        <v>200.10302911638624</v>
      </c>
      <c r="L18">
        <f t="shared" si="4"/>
        <v>19.898178748853095</v>
      </c>
      <c r="M18">
        <f t="shared" si="5"/>
        <v>28.919182133296008</v>
      </c>
      <c r="N18">
        <f t="shared" si="6"/>
        <v>0.42183363873313051</v>
      </c>
      <c r="O18">
        <f t="shared" si="7"/>
        <v>3.3810265916147566</v>
      </c>
      <c r="P18">
        <f t="shared" si="8"/>
        <v>0.39462440246222524</v>
      </c>
      <c r="Q18">
        <f t="shared" si="9"/>
        <v>0.24893849485996589</v>
      </c>
      <c r="R18">
        <f t="shared" si="10"/>
        <v>353.34010443571714</v>
      </c>
      <c r="S18">
        <f t="shared" si="11"/>
        <v>27.230192624557787</v>
      </c>
      <c r="T18">
        <f t="shared" si="12"/>
        <v>27.0024612903226</v>
      </c>
      <c r="U18">
        <f t="shared" si="13"/>
        <v>3.5796771204191193</v>
      </c>
      <c r="V18">
        <f t="shared" si="14"/>
        <v>55.227961944921724</v>
      </c>
      <c r="W18">
        <f t="shared" si="15"/>
        <v>1.9658455683951208</v>
      </c>
      <c r="X18">
        <f t="shared" si="16"/>
        <v>3.5595113402077709</v>
      </c>
      <c r="Y18">
        <f t="shared" si="17"/>
        <v>1.6138315520239985</v>
      </c>
      <c r="Z18">
        <f t="shared" si="18"/>
        <v>-290.53797698697855</v>
      </c>
      <c r="AA18">
        <f t="shared" si="19"/>
        <v>-17.526902613996164</v>
      </c>
      <c r="AB18">
        <f t="shared" si="20"/>
        <v>-1.1182359412405647</v>
      </c>
      <c r="AC18">
        <f t="shared" si="21"/>
        <v>44.15698889350184</v>
      </c>
      <c r="AD18">
        <v>-4.1153995141223303E-2</v>
      </c>
      <c r="AE18">
        <v>4.6198964834010002E-2</v>
      </c>
      <c r="AF18">
        <v>3.4532446425116299</v>
      </c>
      <c r="AG18">
        <v>137</v>
      </c>
      <c r="AH18">
        <v>27</v>
      </c>
      <c r="AI18">
        <f t="shared" si="22"/>
        <v>1</v>
      </c>
      <c r="AJ18">
        <f t="shared" si="23"/>
        <v>0</v>
      </c>
      <c r="AK18">
        <f t="shared" si="24"/>
        <v>52494.156907090452</v>
      </c>
      <c r="AL18">
        <v>0</v>
      </c>
      <c r="AM18">
        <v>0</v>
      </c>
      <c r="AN18">
        <v>0</v>
      </c>
      <c r="AO18">
        <f t="shared" si="25"/>
        <v>0</v>
      </c>
      <c r="AP18" t="e">
        <f t="shared" si="26"/>
        <v>#DIV/0!</v>
      </c>
      <c r="AQ18">
        <v>-1</v>
      </c>
      <c r="AR18" t="s">
        <v>290</v>
      </c>
      <c r="AS18">
        <v>278.56403846153802</v>
      </c>
      <c r="AT18">
        <v>350.08499999999998</v>
      </c>
      <c r="AU18">
        <f t="shared" si="27"/>
        <v>0.20429598965526075</v>
      </c>
      <c r="AV18">
        <v>0.5</v>
      </c>
      <c r="AW18">
        <f t="shared" si="28"/>
        <v>1849.1974932574499</v>
      </c>
      <c r="AX18">
        <f t="shared" si="29"/>
        <v>20.966146517427923</v>
      </c>
      <c r="AY18">
        <f t="shared" si="30"/>
        <v>188.89181597652905</v>
      </c>
      <c r="AZ18">
        <f t="shared" si="31"/>
        <v>0.45824585457817385</v>
      </c>
      <c r="BA18">
        <f t="shared" si="32"/>
        <v>1.187874556261349E-2</v>
      </c>
      <c r="BB18">
        <f t="shared" si="33"/>
        <v>-1</v>
      </c>
      <c r="BC18" t="s">
        <v>291</v>
      </c>
      <c r="BD18">
        <v>189.66</v>
      </c>
      <c r="BE18">
        <f t="shared" si="34"/>
        <v>160.42499999999998</v>
      </c>
      <c r="BF18">
        <f t="shared" si="35"/>
        <v>0.44582179547116702</v>
      </c>
      <c r="BG18">
        <f t="shared" si="36"/>
        <v>1.8458557418538437</v>
      </c>
      <c r="BH18">
        <f t="shared" si="37"/>
        <v>0.20429598965526077</v>
      </c>
      <c r="BI18" t="e">
        <f t="shared" si="38"/>
        <v>#DIV/0!</v>
      </c>
      <c r="BJ18">
        <v>3949</v>
      </c>
      <c r="BK18">
        <v>300</v>
      </c>
      <c r="BL18">
        <v>300</v>
      </c>
      <c r="BM18">
        <v>300</v>
      </c>
      <c r="BN18">
        <v>9881.7099999999991</v>
      </c>
      <c r="BO18">
        <v>331.06400000000002</v>
      </c>
      <c r="BP18">
        <v>-6.40925E-3</v>
      </c>
      <c r="BQ18">
        <v>1.38168</v>
      </c>
      <c r="BR18">
        <f t="shared" si="39"/>
        <v>2200.0145161290302</v>
      </c>
      <c r="BS18">
        <f t="shared" si="40"/>
        <v>1849.1974932574499</v>
      </c>
      <c r="BT18">
        <f t="shared" si="41"/>
        <v>0.84053876904010161</v>
      </c>
      <c r="BU18">
        <f t="shared" si="42"/>
        <v>0.19107753808020345</v>
      </c>
      <c r="BV18">
        <v>0.5</v>
      </c>
      <c r="BW18" t="s">
        <v>281</v>
      </c>
      <c r="BX18">
        <v>1593100370.67419</v>
      </c>
      <c r="BY18">
        <v>290.821387096774</v>
      </c>
      <c r="BZ18">
        <v>299.97296774193597</v>
      </c>
      <c r="CA18">
        <v>19.769229032258099</v>
      </c>
      <c r="CB18">
        <v>17.186419354838701</v>
      </c>
      <c r="CC18">
        <v>500.06935483871001</v>
      </c>
      <c r="CD18">
        <v>99.239658064516107</v>
      </c>
      <c r="CE18">
        <v>0.20000977419354801</v>
      </c>
      <c r="CF18">
        <v>26.906306451612899</v>
      </c>
      <c r="CG18">
        <v>27.0024612903226</v>
      </c>
      <c r="CH18">
        <v>999.9</v>
      </c>
      <c r="CI18">
        <v>10000.524193548399</v>
      </c>
      <c r="CJ18">
        <v>0</v>
      </c>
      <c r="CK18">
        <v>173.293322580645</v>
      </c>
      <c r="CL18">
        <v>2200.0145161290302</v>
      </c>
      <c r="CM18">
        <v>0.98200148387096797</v>
      </c>
      <c r="CN18">
        <v>1.79988419354839E-2</v>
      </c>
      <c r="CO18">
        <v>0</v>
      </c>
      <c r="CP18">
        <v>278.58948387096802</v>
      </c>
      <c r="CQ18">
        <v>5.00054</v>
      </c>
      <c r="CR18">
        <v>7927.5070967741904</v>
      </c>
      <c r="CS18">
        <v>20590.674193548399</v>
      </c>
      <c r="CT18">
        <v>49.271903225806497</v>
      </c>
      <c r="CU18">
        <v>49.774000000000001</v>
      </c>
      <c r="CV18">
        <v>49.348580645161299</v>
      </c>
      <c r="CW18">
        <v>48.959387096774201</v>
      </c>
      <c r="CX18">
        <v>50.528064516129</v>
      </c>
      <c r="CY18">
        <v>2155.50451612903</v>
      </c>
      <c r="CZ18">
        <v>39.51</v>
      </c>
      <c r="DA18">
        <v>0</v>
      </c>
      <c r="DB18">
        <v>125.80000019073501</v>
      </c>
      <c r="DC18">
        <v>278.56403846153802</v>
      </c>
      <c r="DD18">
        <v>-4.1597606774303904</v>
      </c>
      <c r="DE18">
        <v>-137.289230743492</v>
      </c>
      <c r="DF18">
        <v>7926.70346153846</v>
      </c>
      <c r="DG18">
        <v>15</v>
      </c>
      <c r="DH18">
        <v>1593100327.0999999</v>
      </c>
      <c r="DI18" t="s">
        <v>292</v>
      </c>
      <c r="DJ18">
        <v>16</v>
      </c>
      <c r="DK18">
        <v>-0.43</v>
      </c>
      <c r="DL18">
        <v>0.111</v>
      </c>
      <c r="DM18">
        <v>300</v>
      </c>
      <c r="DN18">
        <v>17</v>
      </c>
      <c r="DO18">
        <v>0.28999999999999998</v>
      </c>
      <c r="DP18">
        <v>0.03</v>
      </c>
      <c r="DQ18">
        <v>-9.1449277777777809</v>
      </c>
      <c r="DR18">
        <v>-2.87501101294159E-2</v>
      </c>
      <c r="DS18">
        <v>5.2765828682426699E-2</v>
      </c>
      <c r="DT18">
        <v>1</v>
      </c>
      <c r="DU18">
        <v>2.5881474074074098</v>
      </c>
      <c r="DV18">
        <v>-8.0617508694211998E-2</v>
      </c>
      <c r="DW18">
        <v>2.92017471690122E-2</v>
      </c>
      <c r="DX18">
        <v>1</v>
      </c>
      <c r="DY18">
        <v>2</v>
      </c>
      <c r="DZ18">
        <v>2</v>
      </c>
      <c r="EA18" t="s">
        <v>293</v>
      </c>
      <c r="EB18">
        <v>1.8667400000000001</v>
      </c>
      <c r="EC18">
        <v>1.8632500000000001</v>
      </c>
      <c r="ED18">
        <v>1.8689</v>
      </c>
      <c r="EE18">
        <v>1.8668199999999999</v>
      </c>
      <c r="EF18">
        <v>1.8714900000000001</v>
      </c>
      <c r="EG18">
        <v>1.86399</v>
      </c>
      <c r="EH18">
        <v>1.86551</v>
      </c>
      <c r="EI18">
        <v>1.8653900000000001</v>
      </c>
      <c r="EJ18" t="s">
        <v>284</v>
      </c>
      <c r="EK18" t="s">
        <v>19</v>
      </c>
      <c r="EL18" t="s">
        <v>19</v>
      </c>
      <c r="EM18" t="s">
        <v>19</v>
      </c>
      <c r="EN18" t="s">
        <v>285</v>
      </c>
      <c r="EO18" t="s">
        <v>286</v>
      </c>
      <c r="EP18" t="s">
        <v>287</v>
      </c>
      <c r="EQ18" t="s">
        <v>287</v>
      </c>
      <c r="ER18" t="s">
        <v>287</v>
      </c>
      <c r="ES18" t="s">
        <v>287</v>
      </c>
      <c r="ET18">
        <v>0</v>
      </c>
      <c r="EU18">
        <v>100</v>
      </c>
      <c r="EV18">
        <v>100</v>
      </c>
      <c r="EW18">
        <v>-0.43</v>
      </c>
      <c r="EX18">
        <v>0.111</v>
      </c>
      <c r="EY18">
        <v>2</v>
      </c>
      <c r="EZ18">
        <v>342.34399999999999</v>
      </c>
      <c r="FA18">
        <v>479.16399999999999</v>
      </c>
      <c r="FB18">
        <v>18.812000000000001</v>
      </c>
      <c r="FC18">
        <v>34.8446</v>
      </c>
      <c r="FD18">
        <v>30.000900000000001</v>
      </c>
      <c r="FE18">
        <v>34.668700000000001</v>
      </c>
      <c r="FF18">
        <v>34.644799999999996</v>
      </c>
      <c r="FG18">
        <v>17.344899999999999</v>
      </c>
      <c r="FH18">
        <v>28.656700000000001</v>
      </c>
      <c r="FI18">
        <v>8.24329</v>
      </c>
      <c r="FJ18">
        <v>18.8203</v>
      </c>
      <c r="FK18">
        <v>300</v>
      </c>
      <c r="FL18">
        <v>17.140499999999999</v>
      </c>
      <c r="FM18">
        <v>100.854</v>
      </c>
      <c r="FN18">
        <v>100.709</v>
      </c>
    </row>
    <row r="19" spans="1:170" x14ac:dyDescent="0.25">
      <c r="A19">
        <v>3</v>
      </c>
      <c r="B19">
        <v>1593100510.2</v>
      </c>
      <c r="C19">
        <v>258.200000047684</v>
      </c>
      <c r="D19" t="s">
        <v>294</v>
      </c>
      <c r="E19" t="s">
        <v>295</v>
      </c>
      <c r="G19">
        <v>1593100502.19032</v>
      </c>
      <c r="H19">
        <f t="shared" si="0"/>
        <v>7.3577695957337654E-3</v>
      </c>
      <c r="I19">
        <f t="shared" si="1"/>
        <v>13.119662977572617</v>
      </c>
      <c r="J19">
        <f t="shared" si="2"/>
        <v>194.179870967742</v>
      </c>
      <c r="K19">
        <f t="shared" si="3"/>
        <v>142.61364989616879</v>
      </c>
      <c r="L19">
        <f t="shared" si="4"/>
        <v>14.180520573202932</v>
      </c>
      <c r="M19">
        <f t="shared" si="5"/>
        <v>19.307910969004158</v>
      </c>
      <c r="N19">
        <f t="shared" si="6"/>
        <v>0.47515244427206083</v>
      </c>
      <c r="O19">
        <f t="shared" si="7"/>
        <v>3.3813189079714157</v>
      </c>
      <c r="P19">
        <f t="shared" si="8"/>
        <v>0.44093201132504772</v>
      </c>
      <c r="Q19">
        <f t="shared" si="9"/>
        <v>0.27845142116520916</v>
      </c>
      <c r="R19">
        <f t="shared" si="10"/>
        <v>353.33855992520461</v>
      </c>
      <c r="S19">
        <f t="shared" si="11"/>
        <v>26.908789059417714</v>
      </c>
      <c r="T19">
        <f t="shared" si="12"/>
        <v>26.903490322580598</v>
      </c>
      <c r="U19">
        <f t="shared" si="13"/>
        <v>3.5589222339873072</v>
      </c>
      <c r="V19">
        <f t="shared" si="14"/>
        <v>55.132305819661312</v>
      </c>
      <c r="W19">
        <f t="shared" si="15"/>
        <v>1.9456226698086547</v>
      </c>
      <c r="X19">
        <f t="shared" si="16"/>
        <v>3.5290065250904235</v>
      </c>
      <c r="Y19">
        <f t="shared" si="17"/>
        <v>1.6132995641786525</v>
      </c>
      <c r="Z19">
        <f t="shared" si="18"/>
        <v>-324.47763917185904</v>
      </c>
      <c r="AA19">
        <f t="shared" si="19"/>
        <v>-26.167373539823689</v>
      </c>
      <c r="AB19">
        <f t="shared" si="20"/>
        <v>-1.6673161321318783</v>
      </c>
      <c r="AC19">
        <f t="shared" si="21"/>
        <v>1.0262310813900051</v>
      </c>
      <c r="AD19">
        <v>-4.1158515263815802E-2</v>
      </c>
      <c r="AE19">
        <v>4.6204039067604501E-2</v>
      </c>
      <c r="AF19">
        <v>3.4535448908914699</v>
      </c>
      <c r="AG19">
        <v>141</v>
      </c>
      <c r="AH19">
        <v>28</v>
      </c>
      <c r="AI19">
        <f t="shared" si="22"/>
        <v>1</v>
      </c>
      <c r="AJ19">
        <f t="shared" si="23"/>
        <v>0</v>
      </c>
      <c r="AK19">
        <f t="shared" si="24"/>
        <v>52525.179064200631</v>
      </c>
      <c r="AL19">
        <v>0</v>
      </c>
      <c r="AM19">
        <v>0</v>
      </c>
      <c r="AN19">
        <v>0</v>
      </c>
      <c r="AO19">
        <f t="shared" si="25"/>
        <v>0</v>
      </c>
      <c r="AP19" t="e">
        <f t="shared" si="26"/>
        <v>#DIV/0!</v>
      </c>
      <c r="AQ19">
        <v>-1</v>
      </c>
      <c r="AR19" t="s">
        <v>296</v>
      </c>
      <c r="AS19">
        <v>271.57184615384602</v>
      </c>
      <c r="AT19">
        <v>330.97500000000002</v>
      </c>
      <c r="AU19">
        <f t="shared" si="27"/>
        <v>0.17947927742625269</v>
      </c>
      <c r="AV19">
        <v>0.5</v>
      </c>
      <c r="AW19">
        <f t="shared" si="28"/>
        <v>1849.1893642251944</v>
      </c>
      <c r="AX19">
        <f t="shared" si="29"/>
        <v>13.119662977572617</v>
      </c>
      <c r="AY19">
        <f t="shared" si="30"/>
        <v>165.94558545772475</v>
      </c>
      <c r="AZ19">
        <f t="shared" si="31"/>
        <v>0.41083163380920013</v>
      </c>
      <c r="BA19">
        <f t="shared" si="32"/>
        <v>7.6355960350705998E-3</v>
      </c>
      <c r="BB19">
        <f t="shared" si="33"/>
        <v>-1</v>
      </c>
      <c r="BC19" t="s">
        <v>297</v>
      </c>
      <c r="BD19">
        <v>195</v>
      </c>
      <c r="BE19">
        <f t="shared" si="34"/>
        <v>135.97500000000002</v>
      </c>
      <c r="BF19">
        <f t="shared" si="35"/>
        <v>0.43686820258248932</v>
      </c>
      <c r="BG19">
        <f t="shared" si="36"/>
        <v>1.6973076923076924</v>
      </c>
      <c r="BH19">
        <f t="shared" si="37"/>
        <v>0.17947927742625272</v>
      </c>
      <c r="BI19" t="e">
        <f t="shared" si="38"/>
        <v>#DIV/0!</v>
      </c>
      <c r="BJ19">
        <v>3951</v>
      </c>
      <c r="BK19">
        <v>300</v>
      </c>
      <c r="BL19">
        <v>300</v>
      </c>
      <c r="BM19">
        <v>300</v>
      </c>
      <c r="BN19">
        <v>9881.2999999999993</v>
      </c>
      <c r="BO19">
        <v>313.73899999999998</v>
      </c>
      <c r="BP19">
        <v>-6.4086500000000001E-3</v>
      </c>
      <c r="BQ19">
        <v>0.67864999999999998</v>
      </c>
      <c r="BR19">
        <f t="shared" si="39"/>
        <v>2200.0048387096799</v>
      </c>
      <c r="BS19">
        <f t="shared" si="40"/>
        <v>1849.1893642251944</v>
      </c>
      <c r="BT19">
        <f t="shared" si="41"/>
        <v>0.84053877141004762</v>
      </c>
      <c r="BU19">
        <f t="shared" si="42"/>
        <v>0.19107754282009543</v>
      </c>
      <c r="BV19">
        <v>0.5</v>
      </c>
      <c r="BW19" t="s">
        <v>281</v>
      </c>
      <c r="BX19">
        <v>1593100502.19032</v>
      </c>
      <c r="BY19">
        <v>194.179870967742</v>
      </c>
      <c r="BZ19">
        <v>199.99819354838701</v>
      </c>
      <c r="CA19">
        <v>19.5671483870968</v>
      </c>
      <c r="CB19">
        <v>16.682141935483902</v>
      </c>
      <c r="CC19">
        <v>500.08893548387101</v>
      </c>
      <c r="CD19">
        <v>99.233135483870996</v>
      </c>
      <c r="CE19">
        <v>0.19998738709677399</v>
      </c>
      <c r="CF19">
        <v>26.7599451612903</v>
      </c>
      <c r="CG19">
        <v>26.903490322580598</v>
      </c>
      <c r="CH19">
        <v>999.9</v>
      </c>
      <c r="CI19">
        <v>10002.280000000001</v>
      </c>
      <c r="CJ19">
        <v>0</v>
      </c>
      <c r="CK19">
        <v>54.329674193548399</v>
      </c>
      <c r="CL19">
        <v>2200.0048387096799</v>
      </c>
      <c r="CM19">
        <v>0.98200193548387105</v>
      </c>
      <c r="CN19">
        <v>1.79983677419355E-2</v>
      </c>
      <c r="CO19">
        <v>0</v>
      </c>
      <c r="CP19">
        <v>271.570870967742</v>
      </c>
      <c r="CQ19">
        <v>5.00054</v>
      </c>
      <c r="CR19">
        <v>6976.1883870967704</v>
      </c>
      <c r="CS19">
        <v>20590.599999999999</v>
      </c>
      <c r="CT19">
        <v>49.762</v>
      </c>
      <c r="CU19">
        <v>50.386870967741899</v>
      </c>
      <c r="CV19">
        <v>49.822161290322597</v>
      </c>
      <c r="CW19">
        <v>49.580354838709702</v>
      </c>
      <c r="CX19">
        <v>51.01</v>
      </c>
      <c r="CY19">
        <v>2155.4948387096802</v>
      </c>
      <c r="CZ19">
        <v>39.51</v>
      </c>
      <c r="DA19">
        <v>0</v>
      </c>
      <c r="DB19">
        <v>130.59999990463299</v>
      </c>
      <c r="DC19">
        <v>271.57184615384602</v>
      </c>
      <c r="DD19">
        <v>-1.31562394207364</v>
      </c>
      <c r="DE19">
        <v>3806.08923253494</v>
      </c>
      <c r="DF19">
        <v>6991.5349999999999</v>
      </c>
      <c r="DG19">
        <v>15</v>
      </c>
      <c r="DH19">
        <v>1593100463.7</v>
      </c>
      <c r="DI19" t="s">
        <v>298</v>
      </c>
      <c r="DJ19">
        <v>17</v>
      </c>
      <c r="DK19">
        <v>-0.41499999999999998</v>
      </c>
      <c r="DL19">
        <v>0.104</v>
      </c>
      <c r="DM19">
        <v>200</v>
      </c>
      <c r="DN19">
        <v>17</v>
      </c>
      <c r="DO19">
        <v>0.35</v>
      </c>
      <c r="DP19">
        <v>0.03</v>
      </c>
      <c r="DQ19">
        <v>-5.8215957407407402</v>
      </c>
      <c r="DR19">
        <v>7.96969551045031E-2</v>
      </c>
      <c r="DS19">
        <v>5.96630541613377E-2</v>
      </c>
      <c r="DT19">
        <v>1</v>
      </c>
      <c r="DU19">
        <v>2.8790316666666702</v>
      </c>
      <c r="DV19">
        <v>8.1313859867682706E-2</v>
      </c>
      <c r="DW19">
        <v>1.97830498669198E-2</v>
      </c>
      <c r="DX19">
        <v>1</v>
      </c>
      <c r="DY19">
        <v>2</v>
      </c>
      <c r="DZ19">
        <v>2</v>
      </c>
      <c r="EA19" t="s">
        <v>293</v>
      </c>
      <c r="EB19">
        <v>1.86677</v>
      </c>
      <c r="EC19">
        <v>1.8632899999999999</v>
      </c>
      <c r="ED19">
        <v>1.86894</v>
      </c>
      <c r="EE19">
        <v>1.8669</v>
      </c>
      <c r="EF19">
        <v>1.87154</v>
      </c>
      <c r="EG19">
        <v>1.8640099999999999</v>
      </c>
      <c r="EH19">
        <v>1.86554</v>
      </c>
      <c r="EI19">
        <v>1.8654900000000001</v>
      </c>
      <c r="EJ19" t="s">
        <v>284</v>
      </c>
      <c r="EK19" t="s">
        <v>19</v>
      </c>
      <c r="EL19" t="s">
        <v>19</v>
      </c>
      <c r="EM19" t="s">
        <v>19</v>
      </c>
      <c r="EN19" t="s">
        <v>285</v>
      </c>
      <c r="EO19" t="s">
        <v>286</v>
      </c>
      <c r="EP19" t="s">
        <v>287</v>
      </c>
      <c r="EQ19" t="s">
        <v>287</v>
      </c>
      <c r="ER19" t="s">
        <v>287</v>
      </c>
      <c r="ES19" t="s">
        <v>287</v>
      </c>
      <c r="ET19">
        <v>0</v>
      </c>
      <c r="EU19">
        <v>100</v>
      </c>
      <c r="EV19">
        <v>100</v>
      </c>
      <c r="EW19">
        <v>-0.41499999999999998</v>
      </c>
      <c r="EX19">
        <v>0.104</v>
      </c>
      <c r="EY19">
        <v>2</v>
      </c>
      <c r="EZ19">
        <v>338.98399999999998</v>
      </c>
      <c r="FA19">
        <v>476.12400000000002</v>
      </c>
      <c r="FB19">
        <v>19.753299999999999</v>
      </c>
      <c r="FC19">
        <v>35.210799999999999</v>
      </c>
      <c r="FD19">
        <v>30.000299999999999</v>
      </c>
      <c r="FE19">
        <v>34.970100000000002</v>
      </c>
      <c r="FF19">
        <v>34.935699999999997</v>
      </c>
      <c r="FG19">
        <v>12.664199999999999</v>
      </c>
      <c r="FH19">
        <v>31.88</v>
      </c>
      <c r="FI19">
        <v>5.9807499999999996</v>
      </c>
      <c r="FJ19">
        <v>19.8125</v>
      </c>
      <c r="FK19">
        <v>200</v>
      </c>
      <c r="FL19">
        <v>16.677700000000002</v>
      </c>
      <c r="FM19">
        <v>100.786</v>
      </c>
      <c r="FN19">
        <v>100.639</v>
      </c>
    </row>
    <row r="20" spans="1:170" x14ac:dyDescent="0.25">
      <c r="A20">
        <v>4</v>
      </c>
      <c r="B20">
        <v>1593100630.7</v>
      </c>
      <c r="C20">
        <v>378.700000047684</v>
      </c>
      <c r="D20" t="s">
        <v>299</v>
      </c>
      <c r="E20" t="s">
        <v>300</v>
      </c>
      <c r="G20">
        <v>1593100622.7</v>
      </c>
      <c r="H20">
        <f t="shared" si="0"/>
        <v>6.8839945282919224E-3</v>
      </c>
      <c r="I20">
        <f t="shared" si="1"/>
        <v>4.5479912215938469</v>
      </c>
      <c r="J20">
        <f t="shared" si="2"/>
        <v>97.8716935483871</v>
      </c>
      <c r="K20">
        <f t="shared" si="3"/>
        <v>77.848167903406605</v>
      </c>
      <c r="L20">
        <f t="shared" si="4"/>
        <v>7.7410054360764491</v>
      </c>
      <c r="M20">
        <f t="shared" si="5"/>
        <v>9.732089170500819</v>
      </c>
      <c r="N20">
        <f t="shared" si="6"/>
        <v>0.43692756221041679</v>
      </c>
      <c r="O20">
        <f t="shared" si="7"/>
        <v>3.3818598139820049</v>
      </c>
      <c r="P20">
        <f t="shared" si="8"/>
        <v>0.40781504203119745</v>
      </c>
      <c r="Q20">
        <f t="shared" si="9"/>
        <v>0.25733822281485863</v>
      </c>
      <c r="R20">
        <f t="shared" si="10"/>
        <v>353.33841014836941</v>
      </c>
      <c r="S20">
        <f t="shared" si="11"/>
        <v>27.300217690468475</v>
      </c>
      <c r="T20">
        <f t="shared" si="12"/>
        <v>27.059845161290301</v>
      </c>
      <c r="U20">
        <f t="shared" si="13"/>
        <v>3.5917592341547593</v>
      </c>
      <c r="V20">
        <f t="shared" si="14"/>
        <v>54.623842761489783</v>
      </c>
      <c r="W20">
        <f t="shared" si="15"/>
        <v>1.960098471047379</v>
      </c>
      <c r="X20">
        <f t="shared" si="16"/>
        <v>3.5883569737229526</v>
      </c>
      <c r="Y20">
        <f t="shared" si="17"/>
        <v>1.6316607631073803</v>
      </c>
      <c r="Z20">
        <f t="shared" si="18"/>
        <v>-303.58415869767379</v>
      </c>
      <c r="AA20">
        <f t="shared" si="19"/>
        <v>-2.9430432992201316</v>
      </c>
      <c r="AB20">
        <f t="shared" si="20"/>
        <v>-0.18790609007299977</v>
      </c>
      <c r="AC20">
        <f t="shared" si="21"/>
        <v>46.623302061402491</v>
      </c>
      <c r="AD20">
        <v>-4.1166879819822498E-2</v>
      </c>
      <c r="AE20">
        <v>4.6213429014497397E-2</v>
      </c>
      <c r="AF20">
        <v>3.4541004752323001</v>
      </c>
      <c r="AG20">
        <v>125</v>
      </c>
      <c r="AH20">
        <v>25</v>
      </c>
      <c r="AI20">
        <f t="shared" si="22"/>
        <v>1</v>
      </c>
      <c r="AJ20">
        <f t="shared" si="23"/>
        <v>0</v>
      </c>
      <c r="AK20">
        <f t="shared" si="24"/>
        <v>52485.822916076679</v>
      </c>
      <c r="AL20">
        <v>0</v>
      </c>
      <c r="AM20">
        <v>0</v>
      </c>
      <c r="AN20">
        <v>0</v>
      </c>
      <c r="AO20">
        <f t="shared" si="25"/>
        <v>0</v>
      </c>
      <c r="AP20" t="e">
        <f t="shared" si="26"/>
        <v>#DIV/0!</v>
      </c>
      <c r="AQ20">
        <v>-1</v>
      </c>
      <c r="AR20" t="s">
        <v>301</v>
      </c>
      <c r="AS20">
        <v>271.964807692308</v>
      </c>
      <c r="AT20">
        <v>316.911</v>
      </c>
      <c r="AU20">
        <f t="shared" si="27"/>
        <v>0.14182591423993485</v>
      </c>
      <c r="AV20">
        <v>0.5</v>
      </c>
      <c r="AW20">
        <f t="shared" si="28"/>
        <v>1849.1912319672028</v>
      </c>
      <c r="AX20">
        <f t="shared" si="29"/>
        <v>4.5479912215938469</v>
      </c>
      <c r="AY20">
        <f t="shared" si="30"/>
        <v>131.13161853910998</v>
      </c>
      <c r="AZ20">
        <f t="shared" si="31"/>
        <v>0.37679664006613844</v>
      </c>
      <c r="BA20">
        <f t="shared" si="32"/>
        <v>3.0002257882716619E-3</v>
      </c>
      <c r="BB20">
        <f t="shared" si="33"/>
        <v>-1</v>
      </c>
      <c r="BC20" t="s">
        <v>302</v>
      </c>
      <c r="BD20">
        <v>197.5</v>
      </c>
      <c r="BE20">
        <f t="shared" si="34"/>
        <v>119.411</v>
      </c>
      <c r="BF20">
        <f t="shared" si="35"/>
        <v>0.37639909478768291</v>
      </c>
      <c r="BG20">
        <f t="shared" si="36"/>
        <v>1.6046126582278482</v>
      </c>
      <c r="BH20">
        <f t="shared" si="37"/>
        <v>0.14182591423993487</v>
      </c>
      <c r="BI20" t="e">
        <f t="shared" si="38"/>
        <v>#DIV/0!</v>
      </c>
      <c r="BJ20">
        <v>3953</v>
      </c>
      <c r="BK20">
        <v>300</v>
      </c>
      <c r="BL20">
        <v>300</v>
      </c>
      <c r="BM20">
        <v>300</v>
      </c>
      <c r="BN20">
        <v>9878.7800000000007</v>
      </c>
      <c r="BO20">
        <v>305.07499999999999</v>
      </c>
      <c r="BP20">
        <v>-6.4069299999999999E-3</v>
      </c>
      <c r="BQ20">
        <v>7.5103799999999998E-2</v>
      </c>
      <c r="BR20">
        <f t="shared" si="39"/>
        <v>2200.0074193548398</v>
      </c>
      <c r="BS20">
        <f t="shared" si="40"/>
        <v>1849.1912319672028</v>
      </c>
      <c r="BT20">
        <f t="shared" si="41"/>
        <v>0.84053863441491705</v>
      </c>
      <c r="BU20">
        <f t="shared" si="42"/>
        <v>0.19107726882983414</v>
      </c>
      <c r="BV20">
        <v>0.5</v>
      </c>
      <c r="BW20" t="s">
        <v>281</v>
      </c>
      <c r="BX20">
        <v>1593100622.7</v>
      </c>
      <c r="BY20">
        <v>97.8716935483871</v>
      </c>
      <c r="BZ20">
        <v>99.960022580645102</v>
      </c>
      <c r="CA20">
        <v>19.711919354838699</v>
      </c>
      <c r="CB20">
        <v>17.013074193548398</v>
      </c>
      <c r="CC20">
        <v>500.08780645161301</v>
      </c>
      <c r="CD20">
        <v>99.237306451612895</v>
      </c>
      <c r="CE20">
        <v>0.19991403225806501</v>
      </c>
      <c r="CF20">
        <v>27.0437032258065</v>
      </c>
      <c r="CG20">
        <v>27.059845161290301</v>
      </c>
      <c r="CH20">
        <v>999.9</v>
      </c>
      <c r="CI20">
        <v>10003.892258064499</v>
      </c>
      <c r="CJ20">
        <v>0</v>
      </c>
      <c r="CK20">
        <v>173.728935483871</v>
      </c>
      <c r="CL20">
        <v>2200.0074193548398</v>
      </c>
      <c r="CM20">
        <v>0.98200548387096798</v>
      </c>
      <c r="CN20">
        <v>1.7994641935483901E-2</v>
      </c>
      <c r="CO20">
        <v>0</v>
      </c>
      <c r="CP20">
        <v>271.96119354838697</v>
      </c>
      <c r="CQ20">
        <v>5.00054</v>
      </c>
      <c r="CR20">
        <v>7842.2019354838703</v>
      </c>
      <c r="CS20">
        <v>20590.632258064499</v>
      </c>
      <c r="CT20">
        <v>50.070129032258002</v>
      </c>
      <c r="CU20">
        <v>50.7134838709677</v>
      </c>
      <c r="CV20">
        <v>50.139000000000003</v>
      </c>
      <c r="CW20">
        <v>49.878935483870997</v>
      </c>
      <c r="CX20">
        <v>51.308129032258002</v>
      </c>
      <c r="CY20">
        <v>2155.5074193548398</v>
      </c>
      <c r="CZ20">
        <v>39.5</v>
      </c>
      <c r="DA20">
        <v>0</v>
      </c>
      <c r="DB20">
        <v>119.700000047684</v>
      </c>
      <c r="DC20">
        <v>271.964807692308</v>
      </c>
      <c r="DD20">
        <v>-1.4651965708044199</v>
      </c>
      <c r="DE20">
        <v>-35.622906234374099</v>
      </c>
      <c r="DF20">
        <v>7841.7680769230801</v>
      </c>
      <c r="DG20">
        <v>15</v>
      </c>
      <c r="DH20">
        <v>1593100587.2</v>
      </c>
      <c r="DI20" t="s">
        <v>303</v>
      </c>
      <c r="DJ20">
        <v>18</v>
      </c>
      <c r="DK20">
        <v>-0.36899999999999999</v>
      </c>
      <c r="DL20">
        <v>0.104</v>
      </c>
      <c r="DM20">
        <v>100</v>
      </c>
      <c r="DN20">
        <v>17</v>
      </c>
      <c r="DO20">
        <v>0.75</v>
      </c>
      <c r="DP20">
        <v>0.03</v>
      </c>
      <c r="DQ20">
        <v>-2.11133888888889</v>
      </c>
      <c r="DR20">
        <v>8.2750737564334598E-2</v>
      </c>
      <c r="DS20">
        <v>4.27554605421675E-2</v>
      </c>
      <c r="DT20">
        <v>1</v>
      </c>
      <c r="DU20">
        <v>2.7089305555555598</v>
      </c>
      <c r="DV20">
        <v>-6.7495711835339006E-2</v>
      </c>
      <c r="DW20">
        <v>1.48343674317028E-2</v>
      </c>
      <c r="DX20">
        <v>1</v>
      </c>
      <c r="DY20">
        <v>2</v>
      </c>
      <c r="DZ20">
        <v>2</v>
      </c>
      <c r="EA20" t="s">
        <v>293</v>
      </c>
      <c r="EB20">
        <v>1.86676</v>
      </c>
      <c r="EC20">
        <v>1.8632500000000001</v>
      </c>
      <c r="ED20">
        <v>1.8689</v>
      </c>
      <c r="EE20">
        <v>1.8668499999999999</v>
      </c>
      <c r="EF20">
        <v>1.8714900000000001</v>
      </c>
      <c r="EG20">
        <v>1.8640000000000001</v>
      </c>
      <c r="EH20">
        <v>1.86554</v>
      </c>
      <c r="EI20">
        <v>1.86544</v>
      </c>
      <c r="EJ20" t="s">
        <v>284</v>
      </c>
      <c r="EK20" t="s">
        <v>19</v>
      </c>
      <c r="EL20" t="s">
        <v>19</v>
      </c>
      <c r="EM20" t="s">
        <v>19</v>
      </c>
      <c r="EN20" t="s">
        <v>285</v>
      </c>
      <c r="EO20" t="s">
        <v>286</v>
      </c>
      <c r="EP20" t="s">
        <v>287</v>
      </c>
      <c r="EQ20" t="s">
        <v>287</v>
      </c>
      <c r="ER20" t="s">
        <v>287</v>
      </c>
      <c r="ES20" t="s">
        <v>287</v>
      </c>
      <c r="ET20">
        <v>0</v>
      </c>
      <c r="EU20">
        <v>100</v>
      </c>
      <c r="EV20">
        <v>100</v>
      </c>
      <c r="EW20">
        <v>-0.36899999999999999</v>
      </c>
      <c r="EX20">
        <v>0.104</v>
      </c>
      <c r="EY20">
        <v>2</v>
      </c>
      <c r="EZ20">
        <v>355.1</v>
      </c>
      <c r="FA20">
        <v>476.05099999999999</v>
      </c>
      <c r="FB20">
        <v>19.786200000000001</v>
      </c>
      <c r="FC20">
        <v>35.381999999999998</v>
      </c>
      <c r="FD20">
        <v>30.000800000000002</v>
      </c>
      <c r="FE20">
        <v>35.182600000000001</v>
      </c>
      <c r="FF20">
        <v>35.151000000000003</v>
      </c>
      <c r="FG20">
        <v>7.8014299999999999</v>
      </c>
      <c r="FH20">
        <v>28.7562</v>
      </c>
      <c r="FI20">
        <v>4.0993700000000004</v>
      </c>
      <c r="FJ20">
        <v>19.751200000000001</v>
      </c>
      <c r="FK20">
        <v>100</v>
      </c>
      <c r="FL20">
        <v>17.089700000000001</v>
      </c>
      <c r="FM20">
        <v>100.747</v>
      </c>
      <c r="FN20">
        <v>100.602</v>
      </c>
    </row>
    <row r="21" spans="1:170" x14ac:dyDescent="0.25">
      <c r="A21">
        <v>5</v>
      </c>
      <c r="B21">
        <v>1593100765.7</v>
      </c>
      <c r="C21">
        <v>513.70000004768394</v>
      </c>
      <c r="D21" t="s">
        <v>304</v>
      </c>
      <c r="E21" t="s">
        <v>305</v>
      </c>
      <c r="G21">
        <v>1593100757.7</v>
      </c>
      <c r="H21">
        <f t="shared" si="0"/>
        <v>7.929315676712444E-3</v>
      </c>
      <c r="I21">
        <f t="shared" si="1"/>
        <v>0.17920561154487877</v>
      </c>
      <c r="J21">
        <f t="shared" si="2"/>
        <v>49.748212903225799</v>
      </c>
      <c r="K21">
        <f t="shared" si="3"/>
        <v>47.880654539515803</v>
      </c>
      <c r="L21">
        <f t="shared" si="4"/>
        <v>4.7613304996863741</v>
      </c>
      <c r="M21">
        <f t="shared" si="5"/>
        <v>4.9470435540001612</v>
      </c>
      <c r="N21">
        <f t="shared" si="6"/>
        <v>0.52047843225308799</v>
      </c>
      <c r="O21">
        <f t="shared" si="7"/>
        <v>3.3805013958322818</v>
      </c>
      <c r="P21">
        <f t="shared" si="8"/>
        <v>0.47970883746090276</v>
      </c>
      <c r="Q21">
        <f t="shared" si="9"/>
        <v>0.30321444143606752</v>
      </c>
      <c r="R21">
        <f t="shared" si="10"/>
        <v>353.33670470775064</v>
      </c>
      <c r="S21">
        <f t="shared" si="11"/>
        <v>27.052958194392367</v>
      </c>
      <c r="T21">
        <f t="shared" si="12"/>
        <v>26.978280645161298</v>
      </c>
      <c r="U21">
        <f t="shared" si="13"/>
        <v>3.5745965452479274</v>
      </c>
      <c r="V21">
        <f t="shared" si="14"/>
        <v>55.119277834262469</v>
      </c>
      <c r="W21">
        <f t="shared" si="15"/>
        <v>1.9767630216081791</v>
      </c>
      <c r="X21">
        <f t="shared" si="16"/>
        <v>3.5863369392321962</v>
      </c>
      <c r="Y21">
        <f t="shared" si="17"/>
        <v>1.5978335236397483</v>
      </c>
      <c r="Z21">
        <f t="shared" si="18"/>
        <v>-349.68282134301876</v>
      </c>
      <c r="AA21">
        <f t="shared" si="19"/>
        <v>10.175406210937789</v>
      </c>
      <c r="AB21">
        <f t="shared" si="20"/>
        <v>0.64963965008277147</v>
      </c>
      <c r="AC21">
        <f t="shared" si="21"/>
        <v>14.478929225752418</v>
      </c>
      <c r="AD21">
        <v>-4.1145874416440201E-2</v>
      </c>
      <c r="AE21">
        <v>4.6189848609026397E-2</v>
      </c>
      <c r="AF21">
        <v>3.45270519627999</v>
      </c>
      <c r="AG21">
        <v>141</v>
      </c>
      <c r="AH21">
        <v>28</v>
      </c>
      <c r="AI21">
        <f t="shared" si="22"/>
        <v>1</v>
      </c>
      <c r="AJ21">
        <f t="shared" si="23"/>
        <v>0</v>
      </c>
      <c r="AK21">
        <f t="shared" si="24"/>
        <v>52461.907524503396</v>
      </c>
      <c r="AL21">
        <v>0</v>
      </c>
      <c r="AM21">
        <v>0</v>
      </c>
      <c r="AN21">
        <v>0</v>
      </c>
      <c r="AO21">
        <f t="shared" si="25"/>
        <v>0</v>
      </c>
      <c r="AP21" t="e">
        <f t="shared" si="26"/>
        <v>#DIV/0!</v>
      </c>
      <c r="AQ21">
        <v>-1</v>
      </c>
      <c r="AR21" t="s">
        <v>306</v>
      </c>
      <c r="AS21">
        <v>273.07873076923102</v>
      </c>
      <c r="AT21">
        <v>309.35700000000003</v>
      </c>
      <c r="AU21">
        <f t="shared" si="27"/>
        <v>0.1172699154399901</v>
      </c>
      <c r="AV21">
        <v>0.5</v>
      </c>
      <c r="AW21">
        <f t="shared" si="28"/>
        <v>1849.1766868057546</v>
      </c>
      <c r="AX21">
        <f t="shared" si="29"/>
        <v>0.17920561154487877</v>
      </c>
      <c r="AY21">
        <f t="shared" si="30"/>
        <v>108.42639684765595</v>
      </c>
      <c r="AZ21">
        <f t="shared" si="31"/>
        <v>0.35078242936154674</v>
      </c>
      <c r="BA21">
        <f t="shared" si="32"/>
        <v>6.3769223349977673E-4</v>
      </c>
      <c r="BB21">
        <f t="shared" si="33"/>
        <v>-1</v>
      </c>
      <c r="BC21" t="s">
        <v>307</v>
      </c>
      <c r="BD21">
        <v>200.84</v>
      </c>
      <c r="BE21">
        <f t="shared" si="34"/>
        <v>108.51700000000002</v>
      </c>
      <c r="BF21">
        <f t="shared" si="35"/>
        <v>0.33430954809632596</v>
      </c>
      <c r="BG21">
        <f t="shared" si="36"/>
        <v>1.5403156741684925</v>
      </c>
      <c r="BH21">
        <f t="shared" si="37"/>
        <v>0.11726991543999007</v>
      </c>
      <c r="BI21" t="e">
        <f t="shared" si="38"/>
        <v>#DIV/0!</v>
      </c>
      <c r="BJ21">
        <v>3955</v>
      </c>
      <c r="BK21">
        <v>300</v>
      </c>
      <c r="BL21">
        <v>300</v>
      </c>
      <c r="BM21">
        <v>300</v>
      </c>
      <c r="BN21">
        <v>9877.56</v>
      </c>
      <c r="BO21">
        <v>299.36599999999999</v>
      </c>
      <c r="BP21">
        <v>-6.4057899999999997E-3</v>
      </c>
      <c r="BQ21">
        <v>0.32281500000000002</v>
      </c>
      <c r="BR21">
        <f t="shared" si="39"/>
        <v>2199.9893548387099</v>
      </c>
      <c r="BS21">
        <f t="shared" si="40"/>
        <v>1849.1766868057546</v>
      </c>
      <c r="BT21">
        <f t="shared" si="41"/>
        <v>0.84053892476280878</v>
      </c>
      <c r="BU21">
        <f t="shared" si="42"/>
        <v>0.1910778495256179</v>
      </c>
      <c r="BV21">
        <v>0.5</v>
      </c>
      <c r="BW21" t="s">
        <v>281</v>
      </c>
      <c r="BX21">
        <v>1593100757.7</v>
      </c>
      <c r="BY21">
        <v>49.748212903225799</v>
      </c>
      <c r="BZ21">
        <v>49.977648387096799</v>
      </c>
      <c r="CA21">
        <v>19.878625806451598</v>
      </c>
      <c r="CB21">
        <v>16.770416129032299</v>
      </c>
      <c r="CC21">
        <v>500.07512903225802</v>
      </c>
      <c r="CD21">
        <v>99.241635483870994</v>
      </c>
      <c r="CE21">
        <v>0.19999800000000001</v>
      </c>
      <c r="CF21">
        <v>27.0341129032258</v>
      </c>
      <c r="CG21">
        <v>26.978280645161298</v>
      </c>
      <c r="CH21">
        <v>999.9</v>
      </c>
      <c r="CI21">
        <v>9998.3516129032305</v>
      </c>
      <c r="CJ21">
        <v>0</v>
      </c>
      <c r="CK21">
        <v>176.479548387097</v>
      </c>
      <c r="CL21">
        <v>2199.9893548387099</v>
      </c>
      <c r="CM21">
        <v>0.98199377419354805</v>
      </c>
      <c r="CN21">
        <v>1.8005887096774201E-2</v>
      </c>
      <c r="CO21">
        <v>0</v>
      </c>
      <c r="CP21">
        <v>273.06132258064503</v>
      </c>
      <c r="CQ21">
        <v>5.00054</v>
      </c>
      <c r="CR21">
        <v>7881.55064516129</v>
      </c>
      <c r="CS21">
        <v>20590.400000000001</v>
      </c>
      <c r="CT21">
        <v>50.304064516129003</v>
      </c>
      <c r="CU21">
        <v>50.929000000000002</v>
      </c>
      <c r="CV21">
        <v>50.381</v>
      </c>
      <c r="CW21">
        <v>50.094580645161301</v>
      </c>
      <c r="CX21">
        <v>51.533999999999999</v>
      </c>
      <c r="CY21">
        <v>2155.4683870967701</v>
      </c>
      <c r="CZ21">
        <v>39.5209677419355</v>
      </c>
      <c r="DA21">
        <v>0</v>
      </c>
      <c r="DB21">
        <v>134.09999990463299</v>
      </c>
      <c r="DC21">
        <v>273.07873076923102</v>
      </c>
      <c r="DD21">
        <v>4.7521435390002701E-3</v>
      </c>
      <c r="DE21">
        <v>18.769914539988999</v>
      </c>
      <c r="DF21">
        <v>7881.5607692307703</v>
      </c>
      <c r="DG21">
        <v>15</v>
      </c>
      <c r="DH21">
        <v>1593100714.7</v>
      </c>
      <c r="DI21" t="s">
        <v>308</v>
      </c>
      <c r="DJ21">
        <v>19</v>
      </c>
      <c r="DK21">
        <v>-0.32700000000000001</v>
      </c>
      <c r="DL21">
        <v>0.11</v>
      </c>
      <c r="DM21">
        <v>50</v>
      </c>
      <c r="DN21">
        <v>17</v>
      </c>
      <c r="DO21">
        <v>0.86</v>
      </c>
      <c r="DP21">
        <v>0.03</v>
      </c>
      <c r="DQ21">
        <v>-0.229381555555556</v>
      </c>
      <c r="DR21">
        <v>2.9222275586052001E-2</v>
      </c>
      <c r="DS21">
        <v>3.1194224479485701E-2</v>
      </c>
      <c r="DT21">
        <v>1</v>
      </c>
      <c r="DU21">
        <v>3.0975257407407399</v>
      </c>
      <c r="DV21">
        <v>8.6714922813040995E-2</v>
      </c>
      <c r="DW21">
        <v>1.54984968926921E-2</v>
      </c>
      <c r="DX21">
        <v>1</v>
      </c>
      <c r="DY21">
        <v>2</v>
      </c>
      <c r="DZ21">
        <v>2</v>
      </c>
      <c r="EA21" t="s">
        <v>293</v>
      </c>
      <c r="EB21">
        <v>1.86676</v>
      </c>
      <c r="EC21">
        <v>1.8632599999999999</v>
      </c>
      <c r="ED21">
        <v>1.8689</v>
      </c>
      <c r="EE21">
        <v>1.8669</v>
      </c>
      <c r="EF21">
        <v>1.87151</v>
      </c>
      <c r="EG21">
        <v>1.8640099999999999</v>
      </c>
      <c r="EH21">
        <v>1.86554</v>
      </c>
      <c r="EI21">
        <v>1.8655299999999999</v>
      </c>
      <c r="EJ21" t="s">
        <v>284</v>
      </c>
      <c r="EK21" t="s">
        <v>19</v>
      </c>
      <c r="EL21" t="s">
        <v>19</v>
      </c>
      <c r="EM21" t="s">
        <v>19</v>
      </c>
      <c r="EN21" t="s">
        <v>285</v>
      </c>
      <c r="EO21" t="s">
        <v>286</v>
      </c>
      <c r="EP21" t="s">
        <v>287</v>
      </c>
      <c r="EQ21" t="s">
        <v>287</v>
      </c>
      <c r="ER21" t="s">
        <v>287</v>
      </c>
      <c r="ES21" t="s">
        <v>287</v>
      </c>
      <c r="ET21">
        <v>0</v>
      </c>
      <c r="EU21">
        <v>100</v>
      </c>
      <c r="EV21">
        <v>100</v>
      </c>
      <c r="EW21">
        <v>-0.32700000000000001</v>
      </c>
      <c r="EX21">
        <v>0.11</v>
      </c>
      <c r="EY21">
        <v>2</v>
      </c>
      <c r="EZ21">
        <v>338.21300000000002</v>
      </c>
      <c r="FA21">
        <v>475.98599999999999</v>
      </c>
      <c r="FB21">
        <v>20.106999999999999</v>
      </c>
      <c r="FC21">
        <v>35.530999999999999</v>
      </c>
      <c r="FD21">
        <v>30.000499999999999</v>
      </c>
      <c r="FE21">
        <v>35.375799999999998</v>
      </c>
      <c r="FF21">
        <v>35.347299999999997</v>
      </c>
      <c r="FG21">
        <v>5.3313800000000002</v>
      </c>
      <c r="FH21">
        <v>30.525300000000001</v>
      </c>
      <c r="FI21">
        <v>1.83815</v>
      </c>
      <c r="FJ21">
        <v>20.120200000000001</v>
      </c>
      <c r="FK21">
        <v>50</v>
      </c>
      <c r="FL21">
        <v>16.718399999999999</v>
      </c>
      <c r="FM21">
        <v>100.71299999999999</v>
      </c>
      <c r="FN21">
        <v>100.575</v>
      </c>
    </row>
    <row r="22" spans="1:170" x14ac:dyDescent="0.25">
      <c r="A22">
        <v>6</v>
      </c>
      <c r="B22">
        <v>1593100886.2</v>
      </c>
      <c r="C22">
        <v>634.20000004768394</v>
      </c>
      <c r="D22" t="s">
        <v>309</v>
      </c>
      <c r="E22" t="s">
        <v>310</v>
      </c>
      <c r="G22">
        <v>1593100878.2</v>
      </c>
      <c r="H22">
        <f t="shared" si="0"/>
        <v>7.701966393898768E-3</v>
      </c>
      <c r="I22">
        <f t="shared" si="1"/>
        <v>28.263726388504665</v>
      </c>
      <c r="J22">
        <f t="shared" si="2"/>
        <v>387.468677419355</v>
      </c>
      <c r="K22">
        <f t="shared" si="3"/>
        <v>282.76948283805297</v>
      </c>
      <c r="L22">
        <f t="shared" si="4"/>
        <v>28.120235183382196</v>
      </c>
      <c r="M22">
        <f t="shared" si="5"/>
        <v>38.532129513659285</v>
      </c>
      <c r="N22">
        <f t="shared" si="6"/>
        <v>0.5046648045938007</v>
      </c>
      <c r="O22">
        <f t="shared" si="7"/>
        <v>3.3800661222714381</v>
      </c>
      <c r="P22">
        <f t="shared" si="8"/>
        <v>0.466232465496973</v>
      </c>
      <c r="Q22">
        <f t="shared" si="9"/>
        <v>0.29460400727016378</v>
      </c>
      <c r="R22">
        <f t="shared" si="10"/>
        <v>353.33386468964545</v>
      </c>
      <c r="S22">
        <f t="shared" si="11"/>
        <v>27.307483215048286</v>
      </c>
      <c r="T22">
        <f t="shared" si="12"/>
        <v>27.016138709677399</v>
      </c>
      <c r="U22">
        <f t="shared" si="13"/>
        <v>3.58255366172892</v>
      </c>
      <c r="V22">
        <f t="shared" si="14"/>
        <v>54.714658675649964</v>
      </c>
      <c r="W22">
        <f t="shared" si="15"/>
        <v>1.9857435198793332</v>
      </c>
      <c r="X22">
        <f t="shared" si="16"/>
        <v>3.6292715114077136</v>
      </c>
      <c r="Y22">
        <f t="shared" si="17"/>
        <v>1.5968101418495868</v>
      </c>
      <c r="Z22">
        <f t="shared" si="18"/>
        <v>-339.65671797093569</v>
      </c>
      <c r="AA22">
        <f t="shared" si="19"/>
        <v>40.236116178502883</v>
      </c>
      <c r="AB22">
        <f t="shared" si="20"/>
        <v>2.5722627570019103</v>
      </c>
      <c r="AC22">
        <f t="shared" si="21"/>
        <v>56.485525654214555</v>
      </c>
      <c r="AD22">
        <v>-4.1139144522748999E-2</v>
      </c>
      <c r="AE22">
        <v>4.6182293713787001E-2</v>
      </c>
      <c r="AF22">
        <v>3.4522581129348602</v>
      </c>
      <c r="AG22">
        <v>143</v>
      </c>
      <c r="AH22">
        <v>29</v>
      </c>
      <c r="AI22">
        <f t="shared" si="22"/>
        <v>1</v>
      </c>
      <c r="AJ22">
        <f t="shared" si="23"/>
        <v>0</v>
      </c>
      <c r="AK22">
        <f t="shared" si="24"/>
        <v>52418.331233825789</v>
      </c>
      <c r="AL22">
        <v>0</v>
      </c>
      <c r="AM22">
        <v>0</v>
      </c>
      <c r="AN22">
        <v>0</v>
      </c>
      <c r="AO22">
        <f t="shared" si="25"/>
        <v>0</v>
      </c>
      <c r="AP22" t="e">
        <f t="shared" si="26"/>
        <v>#DIV/0!</v>
      </c>
      <c r="AQ22">
        <v>-1</v>
      </c>
      <c r="AR22" t="s">
        <v>311</v>
      </c>
      <c r="AS22">
        <v>264.86200000000002</v>
      </c>
      <c r="AT22">
        <v>335.16300000000001</v>
      </c>
      <c r="AU22">
        <f t="shared" si="27"/>
        <v>0.20975167306653775</v>
      </c>
      <c r="AV22">
        <v>0.5</v>
      </c>
      <c r="AW22">
        <f t="shared" si="28"/>
        <v>1849.1637268293293</v>
      </c>
      <c r="AX22">
        <f t="shared" si="29"/>
        <v>28.263726388504665</v>
      </c>
      <c r="AY22">
        <f t="shared" si="30"/>
        <v>193.932592738203</v>
      </c>
      <c r="AZ22">
        <f t="shared" si="31"/>
        <v>0.44850714428501953</v>
      </c>
      <c r="BA22">
        <f t="shared" si="32"/>
        <v>1.5825384179843149E-2</v>
      </c>
      <c r="BB22">
        <f t="shared" si="33"/>
        <v>-1</v>
      </c>
      <c r="BC22" t="s">
        <v>312</v>
      </c>
      <c r="BD22">
        <v>184.84</v>
      </c>
      <c r="BE22">
        <f t="shared" si="34"/>
        <v>150.32300000000001</v>
      </c>
      <c r="BF22">
        <f t="shared" si="35"/>
        <v>0.46766629191806963</v>
      </c>
      <c r="BG22">
        <f t="shared" si="36"/>
        <v>1.8132601168578231</v>
      </c>
      <c r="BH22">
        <f t="shared" si="37"/>
        <v>0.20975167306653772</v>
      </c>
      <c r="BI22" t="e">
        <f t="shared" si="38"/>
        <v>#DIV/0!</v>
      </c>
      <c r="BJ22">
        <v>3957</v>
      </c>
      <c r="BK22">
        <v>300</v>
      </c>
      <c r="BL22">
        <v>300</v>
      </c>
      <c r="BM22">
        <v>300</v>
      </c>
      <c r="BN22">
        <v>9875.7199999999993</v>
      </c>
      <c r="BO22">
        <v>316.065</v>
      </c>
      <c r="BP22">
        <v>-6.4045400000000002E-3</v>
      </c>
      <c r="BQ22">
        <v>1.2737099999999999</v>
      </c>
      <c r="BR22">
        <f t="shared" si="39"/>
        <v>2199.9741935483898</v>
      </c>
      <c r="BS22">
        <f t="shared" si="40"/>
        <v>1849.1637268293293</v>
      </c>
      <c r="BT22">
        <f t="shared" si="41"/>
        <v>0.84053882643358191</v>
      </c>
      <c r="BU22">
        <f t="shared" si="42"/>
        <v>0.19107765286716377</v>
      </c>
      <c r="BV22">
        <v>0.5</v>
      </c>
      <c r="BW22" t="s">
        <v>281</v>
      </c>
      <c r="BX22">
        <v>1593100878.2</v>
      </c>
      <c r="BY22">
        <v>387.468677419355</v>
      </c>
      <c r="BZ22">
        <v>399.96616129032299</v>
      </c>
      <c r="CA22">
        <v>19.9681</v>
      </c>
      <c r="CB22">
        <v>16.9492451612903</v>
      </c>
      <c r="CC22">
        <v>500.06861290322598</v>
      </c>
      <c r="CD22">
        <v>99.245816129032306</v>
      </c>
      <c r="CE22">
        <v>0.199975903225806</v>
      </c>
      <c r="CF22">
        <v>27.236941935483902</v>
      </c>
      <c r="CG22">
        <v>27.016138709677399</v>
      </c>
      <c r="CH22">
        <v>999.9</v>
      </c>
      <c r="CI22">
        <v>9996.2951612903198</v>
      </c>
      <c r="CJ22">
        <v>0</v>
      </c>
      <c r="CK22">
        <v>178.71</v>
      </c>
      <c r="CL22">
        <v>2199.9741935483898</v>
      </c>
      <c r="CM22">
        <v>0.98199806451612903</v>
      </c>
      <c r="CN22">
        <v>1.8002432258064499E-2</v>
      </c>
      <c r="CO22">
        <v>0</v>
      </c>
      <c r="CP22">
        <v>264.86700000000002</v>
      </c>
      <c r="CQ22">
        <v>5.00054</v>
      </c>
      <c r="CR22">
        <v>7753.7680645161299</v>
      </c>
      <c r="CS22">
        <v>20590.2806451613</v>
      </c>
      <c r="CT22">
        <v>50.608677419354798</v>
      </c>
      <c r="CU22">
        <v>51.247935483870997</v>
      </c>
      <c r="CV22">
        <v>50.628999999999998</v>
      </c>
      <c r="CW22">
        <v>50.401000000000003</v>
      </c>
      <c r="CX22">
        <v>51.795999999999999</v>
      </c>
      <c r="CY22">
        <v>2155.4641935483901</v>
      </c>
      <c r="CZ22">
        <v>39.513548387096797</v>
      </c>
      <c r="DA22">
        <v>0</v>
      </c>
      <c r="DB22">
        <v>119.799999952316</v>
      </c>
      <c r="DC22">
        <v>264.86200000000002</v>
      </c>
      <c r="DD22">
        <v>1.1868717741167401</v>
      </c>
      <c r="DE22">
        <v>22.1705983312192</v>
      </c>
      <c r="DF22">
        <v>7753.88807692308</v>
      </c>
      <c r="DG22">
        <v>15</v>
      </c>
      <c r="DH22">
        <v>1593100849.2</v>
      </c>
      <c r="DI22" t="s">
        <v>313</v>
      </c>
      <c r="DJ22">
        <v>20</v>
      </c>
      <c r="DK22">
        <v>-0.29699999999999999</v>
      </c>
      <c r="DL22">
        <v>0.104</v>
      </c>
      <c r="DM22">
        <v>400</v>
      </c>
      <c r="DN22">
        <v>17</v>
      </c>
      <c r="DO22">
        <v>0.41</v>
      </c>
      <c r="DP22">
        <v>0.03</v>
      </c>
      <c r="DQ22">
        <v>-12.5178222222222</v>
      </c>
      <c r="DR22">
        <v>0.12801189250998801</v>
      </c>
      <c r="DS22">
        <v>0.102481130452222</v>
      </c>
      <c r="DT22">
        <v>1</v>
      </c>
      <c r="DU22">
        <v>3.0311664814814798</v>
      </c>
      <c r="DV22">
        <v>-8.9527958833619706E-2</v>
      </c>
      <c r="DW22">
        <v>1.70671919577806E-2</v>
      </c>
      <c r="DX22">
        <v>1</v>
      </c>
      <c r="DY22">
        <v>2</v>
      </c>
      <c r="DZ22">
        <v>2</v>
      </c>
      <c r="EA22" t="s">
        <v>293</v>
      </c>
      <c r="EB22">
        <v>1.86676</v>
      </c>
      <c r="EC22">
        <v>1.86327</v>
      </c>
      <c r="ED22">
        <v>1.8689199999999999</v>
      </c>
      <c r="EE22">
        <v>1.8669</v>
      </c>
      <c r="EF22">
        <v>1.87151</v>
      </c>
      <c r="EG22">
        <v>1.8640099999999999</v>
      </c>
      <c r="EH22">
        <v>1.86554</v>
      </c>
      <c r="EI22">
        <v>1.8655299999999999</v>
      </c>
      <c r="EJ22" t="s">
        <v>284</v>
      </c>
      <c r="EK22" t="s">
        <v>19</v>
      </c>
      <c r="EL22" t="s">
        <v>19</v>
      </c>
      <c r="EM22" t="s">
        <v>19</v>
      </c>
      <c r="EN22" t="s">
        <v>285</v>
      </c>
      <c r="EO22" t="s">
        <v>286</v>
      </c>
      <c r="EP22" t="s">
        <v>287</v>
      </c>
      <c r="EQ22" t="s">
        <v>287</v>
      </c>
      <c r="ER22" t="s">
        <v>287</v>
      </c>
      <c r="ES22" t="s">
        <v>287</v>
      </c>
      <c r="ET22">
        <v>0</v>
      </c>
      <c r="EU22">
        <v>100</v>
      </c>
      <c r="EV22">
        <v>100</v>
      </c>
      <c r="EW22">
        <v>-0.29699999999999999</v>
      </c>
      <c r="EX22">
        <v>0.104</v>
      </c>
      <c r="EY22">
        <v>2</v>
      </c>
      <c r="EZ22">
        <v>336.84800000000001</v>
      </c>
      <c r="FA22">
        <v>476.411</v>
      </c>
      <c r="FB22">
        <v>20.316500000000001</v>
      </c>
      <c r="FC22">
        <v>35.646999999999998</v>
      </c>
      <c r="FD22">
        <v>30.000499999999999</v>
      </c>
      <c r="FE22">
        <v>35.54</v>
      </c>
      <c r="FF22">
        <v>35.517299999999999</v>
      </c>
      <c r="FG22">
        <v>21.974599999999999</v>
      </c>
      <c r="FH22">
        <v>28.694299999999998</v>
      </c>
      <c r="FI22">
        <v>0</v>
      </c>
      <c r="FJ22">
        <v>20.311900000000001</v>
      </c>
      <c r="FK22">
        <v>400</v>
      </c>
      <c r="FL22">
        <v>17.015599999999999</v>
      </c>
      <c r="FM22">
        <v>100.682</v>
      </c>
      <c r="FN22">
        <v>100.54600000000001</v>
      </c>
    </row>
    <row r="23" spans="1:170" x14ac:dyDescent="0.25">
      <c r="A23">
        <v>7</v>
      </c>
      <c r="B23">
        <v>1593101006.7</v>
      </c>
      <c r="C23">
        <v>754.70000004768394</v>
      </c>
      <c r="D23" t="s">
        <v>314</v>
      </c>
      <c r="E23" t="s">
        <v>315</v>
      </c>
      <c r="G23">
        <v>1593100998.7</v>
      </c>
      <c r="H23">
        <f t="shared" si="0"/>
        <v>7.3985753990657597E-3</v>
      </c>
      <c r="I23">
        <f t="shared" si="1"/>
        <v>29.466432548787637</v>
      </c>
      <c r="J23">
        <f t="shared" si="2"/>
        <v>387.07009677419398</v>
      </c>
      <c r="K23">
        <f t="shared" si="3"/>
        <v>274.7532211708492</v>
      </c>
      <c r="L23">
        <f t="shared" si="4"/>
        <v>27.324585436133919</v>
      </c>
      <c r="M23">
        <f t="shared" si="5"/>
        <v>38.494653070881768</v>
      </c>
      <c r="N23">
        <f t="shared" si="6"/>
        <v>0.48552612113784427</v>
      </c>
      <c r="O23">
        <f t="shared" si="7"/>
        <v>3.3819007351941606</v>
      </c>
      <c r="P23">
        <f t="shared" si="8"/>
        <v>0.44986091337793771</v>
      </c>
      <c r="Q23">
        <f t="shared" si="9"/>
        <v>0.28414881767932076</v>
      </c>
      <c r="R23">
        <f t="shared" si="10"/>
        <v>353.34164459762968</v>
      </c>
      <c r="S23">
        <f t="shared" si="11"/>
        <v>27.364707898971254</v>
      </c>
      <c r="T23">
        <f t="shared" si="12"/>
        <v>27.0379677419355</v>
      </c>
      <c r="U23">
        <f t="shared" si="13"/>
        <v>3.5871487745565758</v>
      </c>
      <c r="V23">
        <f t="shared" si="14"/>
        <v>55.075390715830785</v>
      </c>
      <c r="W23">
        <f t="shared" si="15"/>
        <v>1.9974587166700746</v>
      </c>
      <c r="X23">
        <f t="shared" si="16"/>
        <v>3.6267717590534101</v>
      </c>
      <c r="Y23">
        <f t="shared" si="17"/>
        <v>1.5896900578865012</v>
      </c>
      <c r="Z23">
        <f t="shared" si="18"/>
        <v>-326.2771750988</v>
      </c>
      <c r="AA23">
        <f t="shared" si="19"/>
        <v>34.135363088829436</v>
      </c>
      <c r="AB23">
        <f t="shared" si="20"/>
        <v>2.1811724320046171</v>
      </c>
      <c r="AC23">
        <f t="shared" si="21"/>
        <v>63.38100501966376</v>
      </c>
      <c r="AD23">
        <v>-4.1167512648757898E-2</v>
      </c>
      <c r="AE23">
        <v>4.6214139420416203E-2</v>
      </c>
      <c r="AF23">
        <v>3.4541425069483598</v>
      </c>
      <c r="AG23">
        <v>143</v>
      </c>
      <c r="AH23">
        <v>29</v>
      </c>
      <c r="AI23">
        <f t="shared" si="22"/>
        <v>1</v>
      </c>
      <c r="AJ23">
        <f t="shared" si="23"/>
        <v>0</v>
      </c>
      <c r="AK23">
        <f t="shared" si="24"/>
        <v>52455.173363133865</v>
      </c>
      <c r="AL23">
        <v>0</v>
      </c>
      <c r="AM23">
        <v>0</v>
      </c>
      <c r="AN23">
        <v>0</v>
      </c>
      <c r="AO23">
        <f t="shared" si="25"/>
        <v>0</v>
      </c>
      <c r="AP23" t="e">
        <f t="shared" si="26"/>
        <v>#DIV/0!</v>
      </c>
      <c r="AQ23">
        <v>-1</v>
      </c>
      <c r="AR23" t="s">
        <v>316</v>
      </c>
      <c r="AS23">
        <v>264.97803846153801</v>
      </c>
      <c r="AT23">
        <v>344.67</v>
      </c>
      <c r="AU23">
        <f t="shared" si="27"/>
        <v>0.2312123525066353</v>
      </c>
      <c r="AV23">
        <v>0.5</v>
      </c>
      <c r="AW23">
        <f t="shared" si="28"/>
        <v>1849.2029418183154</v>
      </c>
      <c r="AX23">
        <f t="shared" si="29"/>
        <v>29.466432548787637</v>
      </c>
      <c r="AY23">
        <f t="shared" si="30"/>
        <v>213.77928122000168</v>
      </c>
      <c r="AZ23">
        <f t="shared" si="31"/>
        <v>0.46470537035425191</v>
      </c>
      <c r="BA23">
        <f t="shared" si="32"/>
        <v>1.647544023417467E-2</v>
      </c>
      <c r="BB23">
        <f t="shared" si="33"/>
        <v>-1</v>
      </c>
      <c r="BC23" t="s">
        <v>317</v>
      </c>
      <c r="BD23">
        <v>184.5</v>
      </c>
      <c r="BE23">
        <f t="shared" si="34"/>
        <v>160.17000000000002</v>
      </c>
      <c r="BF23">
        <f t="shared" si="35"/>
        <v>0.49754611686621714</v>
      </c>
      <c r="BG23">
        <f t="shared" si="36"/>
        <v>1.868130081300813</v>
      </c>
      <c r="BH23">
        <f t="shared" si="37"/>
        <v>0.23121235250663535</v>
      </c>
      <c r="BI23" t="e">
        <f t="shared" si="38"/>
        <v>#DIV/0!</v>
      </c>
      <c r="BJ23">
        <v>3959</v>
      </c>
      <c r="BK23">
        <v>300</v>
      </c>
      <c r="BL23">
        <v>300</v>
      </c>
      <c r="BM23">
        <v>300</v>
      </c>
      <c r="BN23">
        <v>9876.2199999999993</v>
      </c>
      <c r="BO23">
        <v>321.21800000000002</v>
      </c>
      <c r="BP23">
        <v>-6.4045999999999999E-3</v>
      </c>
      <c r="BQ23">
        <v>0.94940199999999997</v>
      </c>
      <c r="BR23">
        <f t="shared" si="39"/>
        <v>2200.0206451612898</v>
      </c>
      <c r="BS23">
        <f t="shared" si="40"/>
        <v>1849.2029418183154</v>
      </c>
      <c r="BT23">
        <f t="shared" si="41"/>
        <v>0.84053890398048736</v>
      </c>
      <c r="BU23">
        <f t="shared" si="42"/>
        <v>0.19107780796097479</v>
      </c>
      <c r="BV23">
        <v>0.5</v>
      </c>
      <c r="BW23" t="s">
        <v>281</v>
      </c>
      <c r="BX23">
        <v>1593100998.7</v>
      </c>
      <c r="BY23">
        <v>387.07009677419398</v>
      </c>
      <c r="BZ23">
        <v>400.00016129032298</v>
      </c>
      <c r="CA23">
        <v>20.084777419354801</v>
      </c>
      <c r="CB23">
        <v>17.1852387096774</v>
      </c>
      <c r="CC23">
        <v>500.07793548387099</v>
      </c>
      <c r="CD23">
        <v>99.251396774193594</v>
      </c>
      <c r="CE23">
        <v>0.199977516129032</v>
      </c>
      <c r="CF23">
        <v>27.225190322580598</v>
      </c>
      <c r="CG23">
        <v>27.0379677419355</v>
      </c>
      <c r="CH23">
        <v>999.9</v>
      </c>
      <c r="CI23">
        <v>10002.625806451601</v>
      </c>
      <c r="CJ23">
        <v>0</v>
      </c>
      <c r="CK23">
        <v>180.815</v>
      </c>
      <c r="CL23">
        <v>2200.0206451612898</v>
      </c>
      <c r="CM23">
        <v>0.98199538709677403</v>
      </c>
      <c r="CN23">
        <v>1.8004329032258098E-2</v>
      </c>
      <c r="CO23">
        <v>0</v>
      </c>
      <c r="CP23">
        <v>264.984225806452</v>
      </c>
      <c r="CQ23">
        <v>5.00054</v>
      </c>
      <c r="CR23">
        <v>7754.4303225806398</v>
      </c>
      <c r="CS23">
        <v>20590.703225806501</v>
      </c>
      <c r="CT23">
        <v>50.6268064516129</v>
      </c>
      <c r="CU23">
        <v>51.211419354838696</v>
      </c>
      <c r="CV23">
        <v>50.592548387096798</v>
      </c>
      <c r="CW23">
        <v>50.308290322580604</v>
      </c>
      <c r="CX23">
        <v>51.739677419354798</v>
      </c>
      <c r="CY23">
        <v>2155.5003225806399</v>
      </c>
      <c r="CZ23">
        <v>39.520000000000003</v>
      </c>
      <c r="DA23">
        <v>0</v>
      </c>
      <c r="DB23">
        <v>119.89999985694899</v>
      </c>
      <c r="DC23">
        <v>264.97803846153801</v>
      </c>
      <c r="DD23">
        <v>0.81767522096272904</v>
      </c>
      <c r="DE23">
        <v>-10.7162393377698</v>
      </c>
      <c r="DF23">
        <v>7754.3442307692303</v>
      </c>
      <c r="DG23">
        <v>15</v>
      </c>
      <c r="DH23">
        <v>1593100945.2</v>
      </c>
      <c r="DI23" t="s">
        <v>318</v>
      </c>
      <c r="DJ23">
        <v>21</v>
      </c>
      <c r="DK23">
        <v>-0.32600000000000001</v>
      </c>
      <c r="DL23">
        <v>0.109</v>
      </c>
      <c r="DM23">
        <v>400</v>
      </c>
      <c r="DN23">
        <v>17</v>
      </c>
      <c r="DO23">
        <v>0.32</v>
      </c>
      <c r="DP23">
        <v>0.02</v>
      </c>
      <c r="DQ23">
        <v>-12.913140740740699</v>
      </c>
      <c r="DR23">
        <v>-7.8204230989146403E-2</v>
      </c>
      <c r="DS23">
        <v>7.1087633759504096E-2</v>
      </c>
      <c r="DT23">
        <v>1</v>
      </c>
      <c r="DU23">
        <v>2.9088379629629602</v>
      </c>
      <c r="DV23">
        <v>-9.3009536878207802E-2</v>
      </c>
      <c r="DW23">
        <v>1.2188144570553099E-2</v>
      </c>
      <c r="DX23">
        <v>1</v>
      </c>
      <c r="DY23">
        <v>2</v>
      </c>
      <c r="DZ23">
        <v>2</v>
      </c>
      <c r="EA23" t="s">
        <v>293</v>
      </c>
      <c r="EB23">
        <v>1.8667400000000001</v>
      </c>
      <c r="EC23">
        <v>1.8632500000000001</v>
      </c>
      <c r="ED23">
        <v>1.8689</v>
      </c>
      <c r="EE23">
        <v>1.8668199999999999</v>
      </c>
      <c r="EF23">
        <v>1.8714900000000001</v>
      </c>
      <c r="EG23">
        <v>1.8640000000000001</v>
      </c>
      <c r="EH23">
        <v>1.86554</v>
      </c>
      <c r="EI23">
        <v>1.8654299999999999</v>
      </c>
      <c r="EJ23" t="s">
        <v>284</v>
      </c>
      <c r="EK23" t="s">
        <v>19</v>
      </c>
      <c r="EL23" t="s">
        <v>19</v>
      </c>
      <c r="EM23" t="s">
        <v>19</v>
      </c>
      <c r="EN23" t="s">
        <v>285</v>
      </c>
      <c r="EO23" t="s">
        <v>286</v>
      </c>
      <c r="EP23" t="s">
        <v>287</v>
      </c>
      <c r="EQ23" t="s">
        <v>287</v>
      </c>
      <c r="ER23" t="s">
        <v>287</v>
      </c>
      <c r="ES23" t="s">
        <v>287</v>
      </c>
      <c r="ET23">
        <v>0</v>
      </c>
      <c r="EU23">
        <v>100</v>
      </c>
      <c r="EV23">
        <v>100</v>
      </c>
      <c r="EW23">
        <v>-0.32600000000000001</v>
      </c>
      <c r="EX23">
        <v>0.109</v>
      </c>
      <c r="EY23">
        <v>2</v>
      </c>
      <c r="EZ23">
        <v>336.72</v>
      </c>
      <c r="FA23">
        <v>476.041</v>
      </c>
      <c r="FB23">
        <v>19.3371</v>
      </c>
      <c r="FC23">
        <v>35.7958</v>
      </c>
      <c r="FD23">
        <v>30.000599999999999</v>
      </c>
      <c r="FE23">
        <v>35.700400000000002</v>
      </c>
      <c r="FF23">
        <v>35.683500000000002</v>
      </c>
      <c r="FG23">
        <v>21.977799999999998</v>
      </c>
      <c r="FH23">
        <v>28.5974</v>
      </c>
      <c r="FI23">
        <v>0</v>
      </c>
      <c r="FJ23">
        <v>19.323499999999999</v>
      </c>
      <c r="FK23">
        <v>400</v>
      </c>
      <c r="FL23">
        <v>17.188600000000001</v>
      </c>
      <c r="FM23">
        <v>100.651</v>
      </c>
      <c r="FN23">
        <v>100.511</v>
      </c>
    </row>
    <row r="24" spans="1:170" x14ac:dyDescent="0.25">
      <c r="A24">
        <v>8</v>
      </c>
      <c r="B24">
        <v>1593101131.2</v>
      </c>
      <c r="C24">
        <v>879.20000004768394</v>
      </c>
      <c r="D24" t="s">
        <v>319</v>
      </c>
      <c r="E24" t="s">
        <v>320</v>
      </c>
      <c r="G24">
        <v>1593101123.2</v>
      </c>
      <c r="H24">
        <f t="shared" si="0"/>
        <v>7.1064832685889916E-3</v>
      </c>
      <c r="I24">
        <f t="shared" si="1"/>
        <v>34.569574374502182</v>
      </c>
      <c r="J24">
        <f t="shared" si="2"/>
        <v>484.81141935483902</v>
      </c>
      <c r="K24">
        <f t="shared" si="3"/>
        <v>345.21257617538328</v>
      </c>
      <c r="L24">
        <f t="shared" si="4"/>
        <v>34.334111799797952</v>
      </c>
      <c r="M24">
        <f t="shared" si="5"/>
        <v>48.218317126115032</v>
      </c>
      <c r="N24">
        <f t="shared" si="6"/>
        <v>0.45755981852347594</v>
      </c>
      <c r="O24">
        <f t="shared" si="7"/>
        <v>3.381859489269726</v>
      </c>
      <c r="P24">
        <f t="shared" si="8"/>
        <v>0.42574026146049787</v>
      </c>
      <c r="Q24">
        <f t="shared" si="9"/>
        <v>0.26876189901267866</v>
      </c>
      <c r="R24">
        <f t="shared" si="10"/>
        <v>353.34094719477906</v>
      </c>
      <c r="S24">
        <f t="shared" si="11"/>
        <v>27.198277181790452</v>
      </c>
      <c r="T24">
        <f t="shared" si="12"/>
        <v>27.021245161290299</v>
      </c>
      <c r="U24">
        <f t="shared" si="13"/>
        <v>3.5836281328884136</v>
      </c>
      <c r="V24">
        <f t="shared" si="14"/>
        <v>55.060629175932561</v>
      </c>
      <c r="W24">
        <f t="shared" si="15"/>
        <v>1.9698201479189725</v>
      </c>
      <c r="X24">
        <f t="shared" si="16"/>
        <v>3.5775474733950126</v>
      </c>
      <c r="Y24">
        <f t="shared" si="17"/>
        <v>1.6138079849694411</v>
      </c>
      <c r="Z24">
        <f t="shared" si="18"/>
        <v>-313.39591214477451</v>
      </c>
      <c r="AA24">
        <f t="shared" si="19"/>
        <v>-5.27206986435439</v>
      </c>
      <c r="AB24">
        <f t="shared" si="20"/>
        <v>-0.33645737014452548</v>
      </c>
      <c r="AC24">
        <f t="shared" si="21"/>
        <v>34.336507815505655</v>
      </c>
      <c r="AD24">
        <v>-4.1166874798300598E-2</v>
      </c>
      <c r="AE24">
        <v>4.6213423377399199E-2</v>
      </c>
      <c r="AF24">
        <v>3.4541001417081301</v>
      </c>
      <c r="AG24">
        <v>144</v>
      </c>
      <c r="AH24">
        <v>29</v>
      </c>
      <c r="AI24">
        <f t="shared" si="22"/>
        <v>1</v>
      </c>
      <c r="AJ24">
        <f t="shared" si="23"/>
        <v>0</v>
      </c>
      <c r="AK24">
        <f t="shared" si="24"/>
        <v>52495.250877470142</v>
      </c>
      <c r="AL24">
        <v>0</v>
      </c>
      <c r="AM24">
        <v>0</v>
      </c>
      <c r="AN24">
        <v>0</v>
      </c>
      <c r="AO24">
        <f t="shared" si="25"/>
        <v>0</v>
      </c>
      <c r="AP24" t="e">
        <f t="shared" si="26"/>
        <v>#DIV/0!</v>
      </c>
      <c r="AQ24">
        <v>-1</v>
      </c>
      <c r="AR24" t="s">
        <v>321</v>
      </c>
      <c r="AS24">
        <v>271.39892307692298</v>
      </c>
      <c r="AT24">
        <v>355.75099999999998</v>
      </c>
      <c r="AU24">
        <f t="shared" si="27"/>
        <v>0.23710988000898658</v>
      </c>
      <c r="AV24">
        <v>0.5</v>
      </c>
      <c r="AW24">
        <f t="shared" si="28"/>
        <v>1849.2032997091073</v>
      </c>
      <c r="AX24">
        <f t="shared" si="29"/>
        <v>34.569574374502182</v>
      </c>
      <c r="AY24">
        <f t="shared" si="30"/>
        <v>219.23218625312424</v>
      </c>
      <c r="AZ24">
        <f t="shared" si="31"/>
        <v>0.47311462230605111</v>
      </c>
      <c r="BA24">
        <f t="shared" si="32"/>
        <v>1.9235080523649035E-2</v>
      </c>
      <c r="BB24">
        <f t="shared" si="33"/>
        <v>-1</v>
      </c>
      <c r="BC24" t="s">
        <v>322</v>
      </c>
      <c r="BD24">
        <v>187.44</v>
      </c>
      <c r="BE24">
        <f t="shared" si="34"/>
        <v>168.31099999999998</v>
      </c>
      <c r="BF24">
        <f t="shared" si="35"/>
        <v>0.50116793865568499</v>
      </c>
      <c r="BG24">
        <f t="shared" si="36"/>
        <v>1.8979460093896712</v>
      </c>
      <c r="BH24">
        <f t="shared" si="37"/>
        <v>0.23710988000898661</v>
      </c>
      <c r="BI24" t="e">
        <f t="shared" si="38"/>
        <v>#DIV/0!</v>
      </c>
      <c r="BJ24">
        <v>3961</v>
      </c>
      <c r="BK24">
        <v>300</v>
      </c>
      <c r="BL24">
        <v>300</v>
      </c>
      <c r="BM24">
        <v>300</v>
      </c>
      <c r="BN24">
        <v>9879.7800000000007</v>
      </c>
      <c r="BO24">
        <v>333.62</v>
      </c>
      <c r="BP24">
        <v>-6.4074900000000001E-3</v>
      </c>
      <c r="BQ24">
        <v>1.0718399999999999</v>
      </c>
      <c r="BR24">
        <f t="shared" si="39"/>
        <v>2200.0216129032301</v>
      </c>
      <c r="BS24">
        <f t="shared" si="40"/>
        <v>1849.2032997091073</v>
      </c>
      <c r="BT24">
        <f t="shared" si="41"/>
        <v>0.84053869692163163</v>
      </c>
      <c r="BU24">
        <f t="shared" si="42"/>
        <v>0.19107739384326325</v>
      </c>
      <c r="BV24">
        <v>0.5</v>
      </c>
      <c r="BW24" t="s">
        <v>281</v>
      </c>
      <c r="BX24">
        <v>1593101123.2</v>
      </c>
      <c r="BY24">
        <v>484.81141935483902</v>
      </c>
      <c r="BZ24">
        <v>500.015290322581</v>
      </c>
      <c r="CA24">
        <v>19.8055709677419</v>
      </c>
      <c r="CB24">
        <v>17.019658064516101</v>
      </c>
      <c r="CC24">
        <v>500.06841935483902</v>
      </c>
      <c r="CD24">
        <v>99.257893548387102</v>
      </c>
      <c r="CE24">
        <v>0.19998883870967701</v>
      </c>
      <c r="CF24">
        <v>26.992329032258102</v>
      </c>
      <c r="CG24">
        <v>27.021245161290299</v>
      </c>
      <c r="CH24">
        <v>999.9</v>
      </c>
      <c r="CI24">
        <v>10001.816129032301</v>
      </c>
      <c r="CJ24">
        <v>0</v>
      </c>
      <c r="CK24">
        <v>181.306903225806</v>
      </c>
      <c r="CL24">
        <v>2200.0216129032301</v>
      </c>
      <c r="CM24">
        <v>0.982002516129032</v>
      </c>
      <c r="CN24">
        <v>1.79977580645161E-2</v>
      </c>
      <c r="CO24">
        <v>0</v>
      </c>
      <c r="CP24">
        <v>271.43235483871001</v>
      </c>
      <c r="CQ24">
        <v>5.00054</v>
      </c>
      <c r="CR24">
        <v>7858.7516129032301</v>
      </c>
      <c r="CS24">
        <v>20590.7419354839</v>
      </c>
      <c r="CT24">
        <v>49.6973548387097</v>
      </c>
      <c r="CU24">
        <v>50.634806451612903</v>
      </c>
      <c r="CV24">
        <v>49.806096774193499</v>
      </c>
      <c r="CW24">
        <v>49.518000000000001</v>
      </c>
      <c r="CX24">
        <v>50.951354838709698</v>
      </c>
      <c r="CY24">
        <v>2155.5167741935502</v>
      </c>
      <c r="CZ24">
        <v>39.504838709677401</v>
      </c>
      <c r="DA24">
        <v>0</v>
      </c>
      <c r="DB24">
        <v>123.59999990463299</v>
      </c>
      <c r="DC24">
        <v>271.39892307692298</v>
      </c>
      <c r="DD24">
        <v>1.10317948410751</v>
      </c>
      <c r="DE24">
        <v>54.310769155860903</v>
      </c>
      <c r="DF24">
        <v>7858.7688461538501</v>
      </c>
      <c r="DG24">
        <v>15</v>
      </c>
      <c r="DH24">
        <v>1593101098.2</v>
      </c>
      <c r="DI24" t="s">
        <v>323</v>
      </c>
      <c r="DJ24">
        <v>22</v>
      </c>
      <c r="DK24">
        <v>-0.33800000000000002</v>
      </c>
      <c r="DL24">
        <v>0.105</v>
      </c>
      <c r="DM24">
        <v>500</v>
      </c>
      <c r="DN24">
        <v>17</v>
      </c>
      <c r="DO24">
        <v>0.24</v>
      </c>
      <c r="DP24">
        <v>0.03</v>
      </c>
      <c r="DQ24">
        <v>-15.237381481481499</v>
      </c>
      <c r="DR24">
        <v>0.30618913664952102</v>
      </c>
      <c r="DS24">
        <v>9.0777104051778607E-2</v>
      </c>
      <c r="DT24">
        <v>1</v>
      </c>
      <c r="DU24">
        <v>2.7926407407407399</v>
      </c>
      <c r="DV24">
        <v>-7.2392544311036505E-2</v>
      </c>
      <c r="DW24">
        <v>1.1528202431565601E-2</v>
      </c>
      <c r="DX24">
        <v>1</v>
      </c>
      <c r="DY24">
        <v>2</v>
      </c>
      <c r="DZ24">
        <v>2</v>
      </c>
      <c r="EA24" t="s">
        <v>293</v>
      </c>
      <c r="EB24">
        <v>1.86676</v>
      </c>
      <c r="EC24">
        <v>1.8632500000000001</v>
      </c>
      <c r="ED24">
        <v>1.8689</v>
      </c>
      <c r="EE24">
        <v>1.8668499999999999</v>
      </c>
      <c r="EF24">
        <v>1.8714900000000001</v>
      </c>
      <c r="EG24">
        <v>1.8640000000000001</v>
      </c>
      <c r="EH24">
        <v>1.86554</v>
      </c>
      <c r="EI24">
        <v>1.86548</v>
      </c>
      <c r="EJ24" t="s">
        <v>284</v>
      </c>
      <c r="EK24" t="s">
        <v>19</v>
      </c>
      <c r="EL24" t="s">
        <v>19</v>
      </c>
      <c r="EM24" t="s">
        <v>19</v>
      </c>
      <c r="EN24" t="s">
        <v>285</v>
      </c>
      <c r="EO24" t="s">
        <v>286</v>
      </c>
      <c r="EP24" t="s">
        <v>287</v>
      </c>
      <c r="EQ24" t="s">
        <v>287</v>
      </c>
      <c r="ER24" t="s">
        <v>287</v>
      </c>
      <c r="ES24" t="s">
        <v>287</v>
      </c>
      <c r="ET24">
        <v>0</v>
      </c>
      <c r="EU24">
        <v>100</v>
      </c>
      <c r="EV24">
        <v>100</v>
      </c>
      <c r="EW24">
        <v>-0.33800000000000002</v>
      </c>
      <c r="EX24">
        <v>0.105</v>
      </c>
      <c r="EY24">
        <v>2</v>
      </c>
      <c r="EZ24">
        <v>335.76600000000002</v>
      </c>
      <c r="FA24">
        <v>474.928</v>
      </c>
      <c r="FB24">
        <v>19.146899999999999</v>
      </c>
      <c r="FC24">
        <v>36.0548</v>
      </c>
      <c r="FD24">
        <v>30.001200000000001</v>
      </c>
      <c r="FE24">
        <v>35.921300000000002</v>
      </c>
      <c r="FF24">
        <v>35.898299999999999</v>
      </c>
      <c r="FG24">
        <v>26.3291</v>
      </c>
      <c r="FH24">
        <v>30.084599999999998</v>
      </c>
      <c r="FI24">
        <v>0</v>
      </c>
      <c r="FJ24">
        <v>19.131</v>
      </c>
      <c r="FK24">
        <v>500</v>
      </c>
      <c r="FL24">
        <v>17.0215</v>
      </c>
      <c r="FM24">
        <v>100.61</v>
      </c>
      <c r="FN24">
        <v>100.467</v>
      </c>
    </row>
    <row r="25" spans="1:170" x14ac:dyDescent="0.25">
      <c r="A25">
        <v>9</v>
      </c>
      <c r="B25">
        <v>1593101251.7</v>
      </c>
      <c r="C25">
        <v>999.70000004768394</v>
      </c>
      <c r="D25" t="s">
        <v>324</v>
      </c>
      <c r="E25" t="s">
        <v>325</v>
      </c>
      <c r="G25">
        <v>1593101243.7</v>
      </c>
      <c r="H25">
        <f t="shared" si="0"/>
        <v>7.0302821404871286E-3</v>
      </c>
      <c r="I25">
        <f t="shared" si="1"/>
        <v>37.576511517524906</v>
      </c>
      <c r="J25">
        <f t="shared" si="2"/>
        <v>583.30264516129</v>
      </c>
      <c r="K25">
        <f t="shared" si="3"/>
        <v>429.42081397809631</v>
      </c>
      <c r="L25">
        <f t="shared" si="4"/>
        <v>42.710516999599875</v>
      </c>
      <c r="M25">
        <f t="shared" si="5"/>
        <v>58.015719618433785</v>
      </c>
      <c r="N25">
        <f t="shared" si="6"/>
        <v>0.45495322797197713</v>
      </c>
      <c r="O25">
        <f t="shared" si="7"/>
        <v>3.3823662776478836</v>
      </c>
      <c r="P25">
        <f t="shared" si="8"/>
        <v>0.4234861727203818</v>
      </c>
      <c r="Q25">
        <f t="shared" si="9"/>
        <v>0.26732445945858779</v>
      </c>
      <c r="R25">
        <f t="shared" si="10"/>
        <v>353.34164427217422</v>
      </c>
      <c r="S25">
        <f t="shared" si="11"/>
        <v>26.996417432100536</v>
      </c>
      <c r="T25">
        <f t="shared" si="12"/>
        <v>26.868474193548401</v>
      </c>
      <c r="U25">
        <f t="shared" si="13"/>
        <v>3.5516043131758419</v>
      </c>
      <c r="V25">
        <f t="shared" si="14"/>
        <v>55.102824809475607</v>
      </c>
      <c r="W25">
        <f t="shared" si="15"/>
        <v>1.9460927042393714</v>
      </c>
      <c r="X25">
        <f t="shared" si="16"/>
        <v>3.5317476208673733</v>
      </c>
      <c r="Y25">
        <f t="shared" si="17"/>
        <v>1.6055116089364705</v>
      </c>
      <c r="Z25">
        <f t="shared" si="18"/>
        <v>-310.03544239548239</v>
      </c>
      <c r="AA25">
        <f t="shared" si="19"/>
        <v>-17.383849723760729</v>
      </c>
      <c r="AB25">
        <f t="shared" si="20"/>
        <v>-1.1071892311747582</v>
      </c>
      <c r="AC25">
        <f t="shared" si="21"/>
        <v>24.815162921756357</v>
      </c>
      <c r="AD25">
        <v>-4.11747123042258E-2</v>
      </c>
      <c r="AE25">
        <v>4.6222221664403297E-2</v>
      </c>
      <c r="AF25">
        <v>3.4546206835359801</v>
      </c>
      <c r="AG25">
        <v>146</v>
      </c>
      <c r="AH25">
        <v>29</v>
      </c>
      <c r="AI25">
        <f t="shared" si="22"/>
        <v>1</v>
      </c>
      <c r="AJ25">
        <f t="shared" si="23"/>
        <v>0</v>
      </c>
      <c r="AK25">
        <f t="shared" si="24"/>
        <v>52543.288550301935</v>
      </c>
      <c r="AL25">
        <v>0</v>
      </c>
      <c r="AM25">
        <v>0</v>
      </c>
      <c r="AN25">
        <v>0</v>
      </c>
      <c r="AO25">
        <f t="shared" si="25"/>
        <v>0</v>
      </c>
      <c r="AP25" t="e">
        <f t="shared" si="26"/>
        <v>#DIV/0!</v>
      </c>
      <c r="AQ25">
        <v>-1</v>
      </c>
      <c r="AR25" t="s">
        <v>326</v>
      </c>
      <c r="AS25">
        <v>275.77757692307699</v>
      </c>
      <c r="AT25">
        <v>366.95600000000002</v>
      </c>
      <c r="AU25">
        <f t="shared" si="27"/>
        <v>0.2484723592935475</v>
      </c>
      <c r="AV25">
        <v>0.5</v>
      </c>
      <c r="AW25">
        <f t="shared" si="28"/>
        <v>1849.2029416444755</v>
      </c>
      <c r="AX25">
        <f t="shared" si="29"/>
        <v>37.576511517524906</v>
      </c>
      <c r="AY25">
        <f t="shared" si="30"/>
        <v>229.73790886148552</v>
      </c>
      <c r="AZ25">
        <f t="shared" si="31"/>
        <v>0.48544239636359676</v>
      </c>
      <c r="BA25">
        <f t="shared" si="32"/>
        <v>2.0861156257527498E-2</v>
      </c>
      <c r="BB25">
        <f t="shared" si="33"/>
        <v>-1</v>
      </c>
      <c r="BC25" t="s">
        <v>327</v>
      </c>
      <c r="BD25">
        <v>188.82</v>
      </c>
      <c r="BE25">
        <f t="shared" si="34"/>
        <v>178.13600000000002</v>
      </c>
      <c r="BF25">
        <f t="shared" si="35"/>
        <v>0.5118472575836609</v>
      </c>
      <c r="BG25">
        <f t="shared" si="36"/>
        <v>1.9434170109098614</v>
      </c>
      <c r="BH25">
        <f t="shared" si="37"/>
        <v>0.24847235929354752</v>
      </c>
      <c r="BI25" t="e">
        <f t="shared" si="38"/>
        <v>#DIV/0!</v>
      </c>
      <c r="BJ25">
        <v>3963</v>
      </c>
      <c r="BK25">
        <v>300</v>
      </c>
      <c r="BL25">
        <v>300</v>
      </c>
      <c r="BM25">
        <v>300</v>
      </c>
      <c r="BN25">
        <v>9883.17</v>
      </c>
      <c r="BO25">
        <v>340.88400000000001</v>
      </c>
      <c r="BP25">
        <v>-6.4101100000000001E-3</v>
      </c>
      <c r="BQ25">
        <v>0.48025499999999999</v>
      </c>
      <c r="BR25">
        <f t="shared" si="39"/>
        <v>2200.0206451612898</v>
      </c>
      <c r="BS25">
        <f t="shared" si="40"/>
        <v>1849.2029416444755</v>
      </c>
      <c r="BT25">
        <f t="shared" si="41"/>
        <v>0.84053890390147001</v>
      </c>
      <c r="BU25">
        <f t="shared" si="42"/>
        <v>0.19107780780293993</v>
      </c>
      <c r="BV25">
        <v>0.5</v>
      </c>
      <c r="BW25" t="s">
        <v>281</v>
      </c>
      <c r="BX25">
        <v>1593101243.7</v>
      </c>
      <c r="BY25">
        <v>583.30264516129</v>
      </c>
      <c r="BZ25">
        <v>599.97132258064505</v>
      </c>
      <c r="CA25">
        <v>19.566438709677399</v>
      </c>
      <c r="CB25">
        <v>16.809719354838698</v>
      </c>
      <c r="CC25">
        <v>500.06719354838702</v>
      </c>
      <c r="CD25">
        <v>99.260767741935496</v>
      </c>
      <c r="CE25">
        <v>0.19998406451612899</v>
      </c>
      <c r="CF25">
        <v>26.773141935483899</v>
      </c>
      <c r="CG25">
        <v>26.868474193548401</v>
      </c>
      <c r="CH25">
        <v>999.9</v>
      </c>
      <c r="CI25">
        <v>10003.430645161299</v>
      </c>
      <c r="CJ25">
        <v>0</v>
      </c>
      <c r="CK25">
        <v>36.1684548387097</v>
      </c>
      <c r="CL25">
        <v>2200.0206451612898</v>
      </c>
      <c r="CM25">
        <v>0.98199648387096805</v>
      </c>
      <c r="CN25">
        <v>1.80030419354839E-2</v>
      </c>
      <c r="CO25">
        <v>0</v>
      </c>
      <c r="CP25">
        <v>275.78500000000003</v>
      </c>
      <c r="CQ25">
        <v>5.00054</v>
      </c>
      <c r="CR25">
        <v>6857.8548387096798</v>
      </c>
      <c r="CS25">
        <v>20590.7096774194</v>
      </c>
      <c r="CT25">
        <v>48.840419354838701</v>
      </c>
      <c r="CU25">
        <v>49.852548387096803</v>
      </c>
      <c r="CV25">
        <v>49.005741935483897</v>
      </c>
      <c r="CW25">
        <v>48.8223225806451</v>
      </c>
      <c r="CX25">
        <v>50.177161290322601</v>
      </c>
      <c r="CY25">
        <v>2155.5006451612899</v>
      </c>
      <c r="CZ25">
        <v>39.520000000000003</v>
      </c>
      <c r="DA25">
        <v>0</v>
      </c>
      <c r="DB25">
        <v>119.89999985694899</v>
      </c>
      <c r="DC25">
        <v>275.77757692307699</v>
      </c>
      <c r="DD25">
        <v>-0.19094016848845699</v>
      </c>
      <c r="DE25">
        <v>-82.225299147422305</v>
      </c>
      <c r="DF25">
        <v>6857.1596153846103</v>
      </c>
      <c r="DG25">
        <v>15</v>
      </c>
      <c r="DH25">
        <v>1593101209.2</v>
      </c>
      <c r="DI25" t="s">
        <v>328</v>
      </c>
      <c r="DJ25">
        <v>23</v>
      </c>
      <c r="DK25">
        <v>-0.22900000000000001</v>
      </c>
      <c r="DL25">
        <v>0.10199999999999999</v>
      </c>
      <c r="DM25">
        <v>600</v>
      </c>
      <c r="DN25">
        <v>17</v>
      </c>
      <c r="DO25">
        <v>0.37</v>
      </c>
      <c r="DP25">
        <v>0.03</v>
      </c>
      <c r="DQ25">
        <v>-16.721690740740701</v>
      </c>
      <c r="DR25">
        <v>0.35620674671234098</v>
      </c>
      <c r="DS25">
        <v>0.279884666239056</v>
      </c>
      <c r="DT25">
        <v>1</v>
      </c>
      <c r="DU25">
        <v>2.76344907407407</v>
      </c>
      <c r="DV25">
        <v>-6.1586506575181797E-2</v>
      </c>
      <c r="DW25">
        <v>1.02636996557841E-2</v>
      </c>
      <c r="DX25">
        <v>1</v>
      </c>
      <c r="DY25">
        <v>2</v>
      </c>
      <c r="DZ25">
        <v>2</v>
      </c>
      <c r="EA25" t="s">
        <v>293</v>
      </c>
      <c r="EB25">
        <v>1.86677</v>
      </c>
      <c r="EC25">
        <v>1.8632899999999999</v>
      </c>
      <c r="ED25">
        <v>1.86893</v>
      </c>
      <c r="EE25">
        <v>1.8669100000000001</v>
      </c>
      <c r="EF25">
        <v>1.87158</v>
      </c>
      <c r="EG25">
        <v>1.8640300000000001</v>
      </c>
      <c r="EH25">
        <v>1.86554</v>
      </c>
      <c r="EI25">
        <v>1.86554</v>
      </c>
      <c r="EJ25" t="s">
        <v>284</v>
      </c>
      <c r="EK25" t="s">
        <v>19</v>
      </c>
      <c r="EL25" t="s">
        <v>19</v>
      </c>
      <c r="EM25" t="s">
        <v>19</v>
      </c>
      <c r="EN25" t="s">
        <v>285</v>
      </c>
      <c r="EO25" t="s">
        <v>286</v>
      </c>
      <c r="EP25" t="s">
        <v>287</v>
      </c>
      <c r="EQ25" t="s">
        <v>287</v>
      </c>
      <c r="ER25" t="s">
        <v>287</v>
      </c>
      <c r="ES25" t="s">
        <v>287</v>
      </c>
      <c r="ET25">
        <v>0</v>
      </c>
      <c r="EU25">
        <v>100</v>
      </c>
      <c r="EV25">
        <v>100</v>
      </c>
      <c r="EW25">
        <v>-0.22900000000000001</v>
      </c>
      <c r="EX25">
        <v>0.10199999999999999</v>
      </c>
      <c r="EY25">
        <v>2</v>
      </c>
      <c r="EZ25">
        <v>333.87599999999998</v>
      </c>
      <c r="FA25">
        <v>474.70299999999997</v>
      </c>
      <c r="FB25">
        <v>20.391200000000001</v>
      </c>
      <c r="FC25">
        <v>36.217100000000002</v>
      </c>
      <c r="FD25">
        <v>29.999300000000002</v>
      </c>
      <c r="FE25">
        <v>36.087200000000003</v>
      </c>
      <c r="FF25">
        <v>36.057699999999997</v>
      </c>
      <c r="FG25">
        <v>30.524100000000001</v>
      </c>
      <c r="FH25">
        <v>31.320900000000002</v>
      </c>
      <c r="FI25">
        <v>0</v>
      </c>
      <c r="FJ25">
        <v>20.459</v>
      </c>
      <c r="FK25">
        <v>600</v>
      </c>
      <c r="FL25">
        <v>16.831</v>
      </c>
      <c r="FM25">
        <v>100.583</v>
      </c>
      <c r="FN25">
        <v>100.452</v>
      </c>
    </row>
    <row r="26" spans="1:170" x14ac:dyDescent="0.25">
      <c r="A26">
        <v>10</v>
      </c>
      <c r="B26">
        <v>1593101376.7</v>
      </c>
      <c r="C26">
        <v>1124.7000000476801</v>
      </c>
      <c r="D26" t="s">
        <v>329</v>
      </c>
      <c r="E26" t="s">
        <v>330</v>
      </c>
      <c r="G26">
        <v>1593101368.7</v>
      </c>
      <c r="H26">
        <f t="shared" si="0"/>
        <v>5.5257943269131742E-3</v>
      </c>
      <c r="I26">
        <f t="shared" si="1"/>
        <v>39.641833984262149</v>
      </c>
      <c r="J26">
        <f t="shared" si="2"/>
        <v>682.72719354838705</v>
      </c>
      <c r="K26">
        <f t="shared" si="3"/>
        <v>477.15674745633299</v>
      </c>
      <c r="L26">
        <f t="shared" si="4"/>
        <v>47.45300986870523</v>
      </c>
      <c r="M26">
        <f t="shared" si="5"/>
        <v>67.896892217897204</v>
      </c>
      <c r="N26">
        <f t="shared" si="6"/>
        <v>0.34982731067132666</v>
      </c>
      <c r="O26">
        <f t="shared" si="7"/>
        <v>3.3826423810676705</v>
      </c>
      <c r="P26">
        <f t="shared" si="8"/>
        <v>0.33089916262325481</v>
      </c>
      <c r="Q26">
        <f t="shared" si="9"/>
        <v>0.20842720755500221</v>
      </c>
      <c r="R26">
        <f t="shared" si="10"/>
        <v>353.3424678493077</v>
      </c>
      <c r="S26">
        <f t="shared" si="11"/>
        <v>27.439761688444026</v>
      </c>
      <c r="T26">
        <f t="shared" si="12"/>
        <v>26.962212903225801</v>
      </c>
      <c r="U26">
        <f t="shared" si="13"/>
        <v>3.5712240474106687</v>
      </c>
      <c r="V26">
        <f t="shared" si="14"/>
        <v>55.072237230153796</v>
      </c>
      <c r="W26">
        <f t="shared" si="15"/>
        <v>1.9566394863760268</v>
      </c>
      <c r="X26">
        <f t="shared" si="16"/>
        <v>3.5528599976772046</v>
      </c>
      <c r="Y26">
        <f t="shared" si="17"/>
        <v>1.6145845610346419</v>
      </c>
      <c r="Z26">
        <f t="shared" si="18"/>
        <v>-243.68752981687098</v>
      </c>
      <c r="AA26">
        <f t="shared" si="19"/>
        <v>-15.998118101380568</v>
      </c>
      <c r="AB26">
        <f t="shared" si="20"/>
        <v>-1.0198425888199036</v>
      </c>
      <c r="AC26">
        <f t="shared" si="21"/>
        <v>92.636977342236221</v>
      </c>
      <c r="AD26">
        <v>-4.1178982478173698E-2</v>
      </c>
      <c r="AE26">
        <v>4.6227015308747697E-2</v>
      </c>
      <c r="AF26">
        <v>3.4549042803628698</v>
      </c>
      <c r="AG26">
        <v>143</v>
      </c>
      <c r="AH26">
        <v>29</v>
      </c>
      <c r="AI26">
        <f t="shared" si="22"/>
        <v>1</v>
      </c>
      <c r="AJ26">
        <f t="shared" si="23"/>
        <v>0</v>
      </c>
      <c r="AK26">
        <f t="shared" si="24"/>
        <v>52530.511294560478</v>
      </c>
      <c r="AL26">
        <v>0</v>
      </c>
      <c r="AM26">
        <v>0</v>
      </c>
      <c r="AN26">
        <v>0</v>
      </c>
      <c r="AO26">
        <f t="shared" si="25"/>
        <v>0</v>
      </c>
      <c r="AP26" t="e">
        <f t="shared" si="26"/>
        <v>#DIV/0!</v>
      </c>
      <c r="AQ26">
        <v>-1</v>
      </c>
      <c r="AR26" t="s">
        <v>331</v>
      </c>
      <c r="AS26">
        <v>276.65580769230797</v>
      </c>
      <c r="AT26">
        <v>369.04199999999997</v>
      </c>
      <c r="AU26">
        <f t="shared" si="27"/>
        <v>0.25034059079370918</v>
      </c>
      <c r="AV26">
        <v>0.5</v>
      </c>
      <c r="AW26">
        <f t="shared" si="28"/>
        <v>1849.2119029349269</v>
      </c>
      <c r="AX26">
        <f t="shared" si="29"/>
        <v>39.641833984262149</v>
      </c>
      <c r="AY26">
        <f t="shared" si="30"/>
        <v>231.4664001417444</v>
      </c>
      <c r="AZ26">
        <f t="shared" si="31"/>
        <v>0.49333680177323991</v>
      </c>
      <c r="BA26">
        <f t="shared" si="32"/>
        <v>2.1977921470091425E-2</v>
      </c>
      <c r="BB26">
        <f t="shared" si="33"/>
        <v>-1</v>
      </c>
      <c r="BC26" t="s">
        <v>332</v>
      </c>
      <c r="BD26">
        <v>186.98</v>
      </c>
      <c r="BE26">
        <f t="shared" si="34"/>
        <v>182.06199999999998</v>
      </c>
      <c r="BF26">
        <f t="shared" si="35"/>
        <v>0.50744357585708166</v>
      </c>
      <c r="BG26">
        <f t="shared" si="36"/>
        <v>1.9736977216814633</v>
      </c>
      <c r="BH26">
        <f t="shared" si="37"/>
        <v>0.25034059079370913</v>
      </c>
      <c r="BI26" t="e">
        <f t="shared" si="38"/>
        <v>#DIV/0!</v>
      </c>
      <c r="BJ26">
        <v>3965</v>
      </c>
      <c r="BK26">
        <v>300</v>
      </c>
      <c r="BL26">
        <v>300</v>
      </c>
      <c r="BM26">
        <v>300</v>
      </c>
      <c r="BN26">
        <v>9887.4599999999991</v>
      </c>
      <c r="BO26">
        <v>343.85</v>
      </c>
      <c r="BP26">
        <v>-6.4133699999999998E-3</v>
      </c>
      <c r="BQ26">
        <v>1.3496699999999999</v>
      </c>
      <c r="BR26">
        <f t="shared" si="39"/>
        <v>2200.0319354838698</v>
      </c>
      <c r="BS26">
        <f t="shared" si="40"/>
        <v>1849.2119029349269</v>
      </c>
      <c r="BT26">
        <f t="shared" si="41"/>
        <v>0.84053866360272433</v>
      </c>
      <c r="BU26">
        <f t="shared" si="42"/>
        <v>0.19107732720544882</v>
      </c>
      <c r="BV26">
        <v>0.5</v>
      </c>
      <c r="BW26" t="s">
        <v>281</v>
      </c>
      <c r="BX26">
        <v>1593101368.7</v>
      </c>
      <c r="BY26">
        <v>682.72719354838705</v>
      </c>
      <c r="BZ26">
        <v>700.08993548387105</v>
      </c>
      <c r="CA26">
        <v>19.674700000000001</v>
      </c>
      <c r="CB26">
        <v>17.508248387096799</v>
      </c>
      <c r="CC26">
        <v>500.08741935483903</v>
      </c>
      <c r="CD26">
        <v>99.249522580645205</v>
      </c>
      <c r="CE26">
        <v>0.19999819354838699</v>
      </c>
      <c r="CF26">
        <v>26.8744870967742</v>
      </c>
      <c r="CG26">
        <v>26.962212903225801</v>
      </c>
      <c r="CH26">
        <v>999.9</v>
      </c>
      <c r="CI26">
        <v>10005.6016129032</v>
      </c>
      <c r="CJ26">
        <v>0</v>
      </c>
      <c r="CK26">
        <v>139.19741935483901</v>
      </c>
      <c r="CL26">
        <v>2200.0319354838698</v>
      </c>
      <c r="CM26">
        <v>0.98200335483871004</v>
      </c>
      <c r="CN26">
        <v>1.7996877419354799E-2</v>
      </c>
      <c r="CO26">
        <v>0</v>
      </c>
      <c r="CP26">
        <v>276.64487096774201</v>
      </c>
      <c r="CQ26">
        <v>5.00054</v>
      </c>
      <c r="CR26">
        <v>6856.9406451612904</v>
      </c>
      <c r="CS26">
        <v>20590.858064516098</v>
      </c>
      <c r="CT26">
        <v>47.771838709677397</v>
      </c>
      <c r="CU26">
        <v>48.7135161290323</v>
      </c>
      <c r="CV26">
        <v>47.900967741935503</v>
      </c>
      <c r="CW26">
        <v>47.691290322580599</v>
      </c>
      <c r="CX26">
        <v>49.199387096774203</v>
      </c>
      <c r="CY26">
        <v>2155.5293548387099</v>
      </c>
      <c r="CZ26">
        <v>39.502580645161302</v>
      </c>
      <c r="DA26">
        <v>0</v>
      </c>
      <c r="DB26">
        <v>124.09999990463299</v>
      </c>
      <c r="DC26">
        <v>276.65580769230797</v>
      </c>
      <c r="DD26">
        <v>-1.09972649166704</v>
      </c>
      <c r="DE26">
        <v>226.786325208975</v>
      </c>
      <c r="DF26">
        <v>6857.6907692307695</v>
      </c>
      <c r="DG26">
        <v>15</v>
      </c>
      <c r="DH26">
        <v>1593101316.2</v>
      </c>
      <c r="DI26" t="s">
        <v>333</v>
      </c>
      <c r="DJ26">
        <v>24</v>
      </c>
      <c r="DK26">
        <v>-0.20899999999999999</v>
      </c>
      <c r="DL26">
        <v>0.105</v>
      </c>
      <c r="DM26">
        <v>700</v>
      </c>
      <c r="DN26">
        <v>17</v>
      </c>
      <c r="DO26">
        <v>0.1</v>
      </c>
      <c r="DP26">
        <v>0.03</v>
      </c>
      <c r="DQ26">
        <v>-17.372699999999998</v>
      </c>
      <c r="DR26">
        <v>0.23124802744421699</v>
      </c>
      <c r="DS26">
        <v>0.113408858821784</v>
      </c>
      <c r="DT26">
        <v>1</v>
      </c>
      <c r="DU26">
        <v>2.1571253703703701</v>
      </c>
      <c r="DV26">
        <v>9.2308244711259896E-2</v>
      </c>
      <c r="DW26">
        <v>1.57764513581292E-2</v>
      </c>
      <c r="DX26">
        <v>1</v>
      </c>
      <c r="DY26">
        <v>2</v>
      </c>
      <c r="DZ26">
        <v>2</v>
      </c>
      <c r="EA26" t="s">
        <v>293</v>
      </c>
      <c r="EB26">
        <v>1.8668199999999999</v>
      </c>
      <c r="EC26">
        <v>1.86337</v>
      </c>
      <c r="ED26">
        <v>1.8689899999999999</v>
      </c>
      <c r="EE26">
        <v>1.8669100000000001</v>
      </c>
      <c r="EF26">
        <v>1.87164</v>
      </c>
      <c r="EG26">
        <v>1.8640399999999999</v>
      </c>
      <c r="EH26">
        <v>1.8655900000000001</v>
      </c>
      <c r="EI26">
        <v>1.86554</v>
      </c>
      <c r="EJ26" t="s">
        <v>284</v>
      </c>
      <c r="EK26" t="s">
        <v>19</v>
      </c>
      <c r="EL26" t="s">
        <v>19</v>
      </c>
      <c r="EM26" t="s">
        <v>19</v>
      </c>
      <c r="EN26" t="s">
        <v>285</v>
      </c>
      <c r="EO26" t="s">
        <v>286</v>
      </c>
      <c r="EP26" t="s">
        <v>287</v>
      </c>
      <c r="EQ26" t="s">
        <v>287</v>
      </c>
      <c r="ER26" t="s">
        <v>287</v>
      </c>
      <c r="ES26" t="s">
        <v>287</v>
      </c>
      <c r="ET26">
        <v>0</v>
      </c>
      <c r="EU26">
        <v>100</v>
      </c>
      <c r="EV26">
        <v>100</v>
      </c>
      <c r="EW26">
        <v>-0.20899999999999999</v>
      </c>
      <c r="EX26">
        <v>0.105</v>
      </c>
      <c r="EY26">
        <v>2</v>
      </c>
      <c r="EZ26">
        <v>336.226</v>
      </c>
      <c r="FA26">
        <v>478.12700000000001</v>
      </c>
      <c r="FB26">
        <v>21.290800000000001</v>
      </c>
      <c r="FC26">
        <v>35.908499999999997</v>
      </c>
      <c r="FD26">
        <v>29.998100000000001</v>
      </c>
      <c r="FE26">
        <v>35.940899999999999</v>
      </c>
      <c r="FF26">
        <v>35.922699999999999</v>
      </c>
      <c r="FG26">
        <v>34.6098</v>
      </c>
      <c r="FH26">
        <v>26.250499999999999</v>
      </c>
      <c r="FI26">
        <v>0</v>
      </c>
      <c r="FJ26">
        <v>21.3127</v>
      </c>
      <c r="FK26">
        <v>700</v>
      </c>
      <c r="FL26">
        <v>17.603100000000001</v>
      </c>
      <c r="FM26">
        <v>100.643</v>
      </c>
      <c r="FN26">
        <v>100.544</v>
      </c>
    </row>
    <row r="27" spans="1:170" x14ac:dyDescent="0.25">
      <c r="A27">
        <v>11</v>
      </c>
      <c r="B27">
        <v>1593101508.7</v>
      </c>
      <c r="C27">
        <v>1256.7000000476801</v>
      </c>
      <c r="D27" t="s">
        <v>334</v>
      </c>
      <c r="E27" t="s">
        <v>335</v>
      </c>
      <c r="G27">
        <v>1593101500.7032299</v>
      </c>
      <c r="H27">
        <f t="shared" si="0"/>
        <v>4.8584288267004378E-3</v>
      </c>
      <c r="I27">
        <f t="shared" si="1"/>
        <v>41.266506508848359</v>
      </c>
      <c r="J27">
        <f t="shared" si="2"/>
        <v>782.01806451612902</v>
      </c>
      <c r="K27">
        <f t="shared" si="3"/>
        <v>536.49338616613886</v>
      </c>
      <c r="L27">
        <f t="shared" si="4"/>
        <v>53.342491760889587</v>
      </c>
      <c r="M27">
        <f t="shared" si="5"/>
        <v>77.75453200163102</v>
      </c>
      <c r="N27">
        <f t="shared" si="6"/>
        <v>0.30207014642213648</v>
      </c>
      <c r="O27">
        <f t="shared" si="7"/>
        <v>3.3803721958276403</v>
      </c>
      <c r="P27">
        <f t="shared" si="8"/>
        <v>0.28783530210170771</v>
      </c>
      <c r="Q27">
        <f t="shared" si="9"/>
        <v>0.18112009687931568</v>
      </c>
      <c r="R27">
        <f t="shared" si="10"/>
        <v>353.33331218339117</v>
      </c>
      <c r="S27">
        <f t="shared" si="11"/>
        <v>27.573033940694259</v>
      </c>
      <c r="T27">
        <f t="shared" si="12"/>
        <v>27.0608258064516</v>
      </c>
      <c r="U27">
        <f t="shared" si="13"/>
        <v>3.591966016932608</v>
      </c>
      <c r="V27">
        <f t="shared" si="14"/>
        <v>55.243840594184071</v>
      </c>
      <c r="W27">
        <f t="shared" si="15"/>
        <v>1.9605614393671047</v>
      </c>
      <c r="X27">
        <f t="shared" si="16"/>
        <v>3.5489231347422061</v>
      </c>
      <c r="Y27">
        <f t="shared" si="17"/>
        <v>1.6314045775655033</v>
      </c>
      <c r="Z27">
        <f t="shared" si="18"/>
        <v>-214.25671125748931</v>
      </c>
      <c r="AA27">
        <f t="shared" si="19"/>
        <v>-37.395598939116496</v>
      </c>
      <c r="AB27">
        <f t="shared" si="20"/>
        <v>-2.3864347625058215</v>
      </c>
      <c r="AC27">
        <f t="shared" si="21"/>
        <v>99.294567224279547</v>
      </c>
      <c r="AD27">
        <v>-4.1143876776306897E-2</v>
      </c>
      <c r="AE27">
        <v>4.6187606082973898E-2</v>
      </c>
      <c r="AF27">
        <v>3.45257249076692</v>
      </c>
      <c r="AG27">
        <v>137</v>
      </c>
      <c r="AH27">
        <v>27</v>
      </c>
      <c r="AI27">
        <f t="shared" si="22"/>
        <v>1</v>
      </c>
      <c r="AJ27">
        <f t="shared" si="23"/>
        <v>0</v>
      </c>
      <c r="AK27">
        <f t="shared" si="24"/>
        <v>52490.397051862776</v>
      </c>
      <c r="AL27">
        <v>0</v>
      </c>
      <c r="AM27">
        <v>0</v>
      </c>
      <c r="AN27">
        <v>0</v>
      </c>
      <c r="AO27">
        <f t="shared" si="25"/>
        <v>0</v>
      </c>
      <c r="AP27" t="e">
        <f t="shared" si="26"/>
        <v>#DIV/0!</v>
      </c>
      <c r="AQ27">
        <v>-1</v>
      </c>
      <c r="AR27" t="s">
        <v>336</v>
      </c>
      <c r="AS27">
        <v>277.05342307692302</v>
      </c>
      <c r="AT27">
        <v>367.94099999999997</v>
      </c>
      <c r="AU27">
        <f t="shared" si="27"/>
        <v>0.24701671442725048</v>
      </c>
      <c r="AV27">
        <v>0.5</v>
      </c>
      <c r="AW27">
        <f t="shared" si="28"/>
        <v>1849.1600231587947</v>
      </c>
      <c r="AX27">
        <f t="shared" si="29"/>
        <v>41.266506508848359</v>
      </c>
      <c r="AY27">
        <f t="shared" si="30"/>
        <v>228.38671668545194</v>
      </c>
      <c r="AZ27">
        <f t="shared" si="31"/>
        <v>0.4861132627241867</v>
      </c>
      <c r="BA27">
        <f t="shared" si="32"/>
        <v>2.2857138365260217E-2</v>
      </c>
      <c r="BB27">
        <f t="shared" si="33"/>
        <v>-1</v>
      </c>
      <c r="BC27" t="s">
        <v>337</v>
      </c>
      <c r="BD27">
        <v>189.08</v>
      </c>
      <c r="BE27">
        <f t="shared" si="34"/>
        <v>178.86099999999996</v>
      </c>
      <c r="BF27">
        <f t="shared" si="35"/>
        <v>0.50814642053369363</v>
      </c>
      <c r="BG27">
        <f t="shared" si="36"/>
        <v>1.9459540935053943</v>
      </c>
      <c r="BH27">
        <f t="shared" si="37"/>
        <v>0.24701671442725046</v>
      </c>
      <c r="BI27" t="e">
        <f t="shared" si="38"/>
        <v>#DIV/0!</v>
      </c>
      <c r="BJ27">
        <v>3967</v>
      </c>
      <c r="BK27">
        <v>300</v>
      </c>
      <c r="BL27">
        <v>300</v>
      </c>
      <c r="BM27">
        <v>300</v>
      </c>
      <c r="BN27">
        <v>9890.4599999999991</v>
      </c>
      <c r="BO27">
        <v>343.98599999999999</v>
      </c>
      <c r="BP27">
        <v>-6.4163099999999997E-3</v>
      </c>
      <c r="BQ27">
        <v>1.43082</v>
      </c>
      <c r="BR27">
        <f t="shared" si="39"/>
        <v>2199.9696774193499</v>
      </c>
      <c r="BS27">
        <f t="shared" si="40"/>
        <v>1849.1600231587947</v>
      </c>
      <c r="BT27">
        <f t="shared" si="41"/>
        <v>0.84053886839382785</v>
      </c>
      <c r="BU27">
        <f t="shared" si="42"/>
        <v>0.19107773678765552</v>
      </c>
      <c r="BV27">
        <v>0.5</v>
      </c>
      <c r="BW27" t="s">
        <v>281</v>
      </c>
      <c r="BX27">
        <v>1593101500.7032299</v>
      </c>
      <c r="BY27">
        <v>782.01806451612902</v>
      </c>
      <c r="BZ27">
        <v>800.041612903226</v>
      </c>
      <c r="CA27">
        <v>19.718393548387098</v>
      </c>
      <c r="CB27">
        <v>17.813638709677399</v>
      </c>
      <c r="CC27">
        <v>500.077838709677</v>
      </c>
      <c r="CD27">
        <v>99.228070967741999</v>
      </c>
      <c r="CE27">
        <v>0.19998003225806499</v>
      </c>
      <c r="CF27">
        <v>26.855629032258101</v>
      </c>
      <c r="CG27">
        <v>27.0608258064516</v>
      </c>
      <c r="CH27">
        <v>999.9</v>
      </c>
      <c r="CI27">
        <v>9999.2329032258094</v>
      </c>
      <c r="CJ27">
        <v>0</v>
      </c>
      <c r="CK27">
        <v>255.23329032258101</v>
      </c>
      <c r="CL27">
        <v>2199.9696774193499</v>
      </c>
      <c r="CM27">
        <v>0.98199654838709705</v>
      </c>
      <c r="CN27">
        <v>1.8003141935483899E-2</v>
      </c>
      <c r="CO27">
        <v>0</v>
      </c>
      <c r="CP27">
        <v>277.04964516129002</v>
      </c>
      <c r="CQ27">
        <v>5.00054</v>
      </c>
      <c r="CR27">
        <v>7812.8635483871003</v>
      </c>
      <c r="CS27">
        <v>20590.2387096774</v>
      </c>
      <c r="CT27">
        <v>46.542096774193503</v>
      </c>
      <c r="CU27">
        <v>47.417129032258103</v>
      </c>
      <c r="CV27">
        <v>46.774000000000001</v>
      </c>
      <c r="CW27">
        <v>46.177193548387102</v>
      </c>
      <c r="CX27">
        <v>48.031967741935503</v>
      </c>
      <c r="CY27">
        <v>2155.4516129032299</v>
      </c>
      <c r="CZ27">
        <v>39.516451612903197</v>
      </c>
      <c r="DA27">
        <v>0</v>
      </c>
      <c r="DB27">
        <v>131.200000047684</v>
      </c>
      <c r="DC27">
        <v>277.05342307692302</v>
      </c>
      <c r="DD27">
        <v>-1.4297094067078899</v>
      </c>
      <c r="DE27">
        <v>-743.79076703987198</v>
      </c>
      <c r="DF27">
        <v>7807.5453846153896</v>
      </c>
      <c r="DG27">
        <v>15</v>
      </c>
      <c r="DH27">
        <v>1593101455.7</v>
      </c>
      <c r="DI27" t="s">
        <v>338</v>
      </c>
      <c r="DJ27">
        <v>25</v>
      </c>
      <c r="DK27">
        <v>-0.16300000000000001</v>
      </c>
      <c r="DL27">
        <v>0.11700000000000001</v>
      </c>
      <c r="DM27">
        <v>800</v>
      </c>
      <c r="DN27">
        <v>18</v>
      </c>
      <c r="DO27">
        <v>0.26</v>
      </c>
      <c r="DP27">
        <v>0.04</v>
      </c>
      <c r="DQ27">
        <v>-18.046118518518501</v>
      </c>
      <c r="DR27">
        <v>0.48968864930234302</v>
      </c>
      <c r="DS27">
        <v>0.12221048793278</v>
      </c>
      <c r="DT27">
        <v>1</v>
      </c>
      <c r="DU27">
        <v>1.90546296296296</v>
      </c>
      <c r="DV27">
        <v>-4.87172246345992E-3</v>
      </c>
      <c r="DW27">
        <v>1.3998182813674499E-3</v>
      </c>
      <c r="DX27">
        <v>1</v>
      </c>
      <c r="DY27">
        <v>2</v>
      </c>
      <c r="DZ27">
        <v>2</v>
      </c>
      <c r="EA27" t="s">
        <v>293</v>
      </c>
      <c r="EB27">
        <v>1.86676</v>
      </c>
      <c r="EC27">
        <v>1.8632500000000001</v>
      </c>
      <c r="ED27">
        <v>1.8689</v>
      </c>
      <c r="EE27">
        <v>1.8668800000000001</v>
      </c>
      <c r="EF27">
        <v>1.8714999999999999</v>
      </c>
      <c r="EG27">
        <v>1.8640099999999999</v>
      </c>
      <c r="EH27">
        <v>1.86554</v>
      </c>
      <c r="EI27">
        <v>1.86551</v>
      </c>
      <c r="EJ27" t="s">
        <v>284</v>
      </c>
      <c r="EK27" t="s">
        <v>19</v>
      </c>
      <c r="EL27" t="s">
        <v>19</v>
      </c>
      <c r="EM27" t="s">
        <v>19</v>
      </c>
      <c r="EN27" t="s">
        <v>285</v>
      </c>
      <c r="EO27" t="s">
        <v>286</v>
      </c>
      <c r="EP27" t="s">
        <v>287</v>
      </c>
      <c r="EQ27" t="s">
        <v>287</v>
      </c>
      <c r="ER27" t="s">
        <v>287</v>
      </c>
      <c r="ES27" t="s">
        <v>287</v>
      </c>
      <c r="ET27">
        <v>0</v>
      </c>
      <c r="EU27">
        <v>100</v>
      </c>
      <c r="EV27">
        <v>100</v>
      </c>
      <c r="EW27">
        <v>-0.16300000000000001</v>
      </c>
      <c r="EX27">
        <v>0.11700000000000001</v>
      </c>
      <c r="EY27">
        <v>2</v>
      </c>
      <c r="EZ27">
        <v>343.22800000000001</v>
      </c>
      <c r="FA27">
        <v>480.59899999999999</v>
      </c>
      <c r="FB27">
        <v>19.3369</v>
      </c>
      <c r="FC27">
        <v>35.294899999999998</v>
      </c>
      <c r="FD27">
        <v>29.998799999999999</v>
      </c>
      <c r="FE27">
        <v>35.514099999999999</v>
      </c>
      <c r="FF27">
        <v>35.526200000000003</v>
      </c>
      <c r="FG27">
        <v>38.579099999999997</v>
      </c>
      <c r="FH27">
        <v>25.369399999999999</v>
      </c>
      <c r="FI27">
        <v>0</v>
      </c>
      <c r="FJ27">
        <v>19.316700000000001</v>
      </c>
      <c r="FK27">
        <v>800</v>
      </c>
      <c r="FL27">
        <v>17.738600000000002</v>
      </c>
      <c r="FM27">
        <v>100.74299999999999</v>
      </c>
      <c r="FN27">
        <v>100.67100000000001</v>
      </c>
    </row>
    <row r="28" spans="1:170" x14ac:dyDescent="0.25">
      <c r="A28">
        <v>12</v>
      </c>
      <c r="B28">
        <v>1593101659.3</v>
      </c>
      <c r="C28">
        <v>1407.2999999523199</v>
      </c>
      <c r="D28" t="s">
        <v>339</v>
      </c>
      <c r="E28" t="s">
        <v>340</v>
      </c>
      <c r="G28">
        <v>1593101651.2128999</v>
      </c>
      <c r="H28">
        <f t="shared" si="0"/>
        <v>4.6543033853003665E-3</v>
      </c>
      <c r="I28">
        <f t="shared" si="1"/>
        <v>41.269005479468561</v>
      </c>
      <c r="J28">
        <f t="shared" si="2"/>
        <v>981.65161290322601</v>
      </c>
      <c r="K28">
        <f t="shared" si="3"/>
        <v>715.99603877537788</v>
      </c>
      <c r="L28">
        <f t="shared" si="4"/>
        <v>71.195069880383116</v>
      </c>
      <c r="M28">
        <f t="shared" si="5"/>
        <v>97.610533290619856</v>
      </c>
      <c r="N28">
        <f t="shared" si="6"/>
        <v>0.28316541991537814</v>
      </c>
      <c r="O28">
        <f t="shared" si="7"/>
        <v>3.3817506556907642</v>
      </c>
      <c r="P28">
        <f t="shared" si="8"/>
        <v>0.27062166231238532</v>
      </c>
      <c r="Q28">
        <f t="shared" si="9"/>
        <v>0.17021923682216367</v>
      </c>
      <c r="R28">
        <f t="shared" si="10"/>
        <v>353.33429145366063</v>
      </c>
      <c r="S28">
        <f t="shared" si="11"/>
        <v>27.423851376439487</v>
      </c>
      <c r="T28">
        <f t="shared" si="12"/>
        <v>26.9803</v>
      </c>
      <c r="U28">
        <f t="shared" si="13"/>
        <v>3.5750205891906095</v>
      </c>
      <c r="V28">
        <f t="shared" si="14"/>
        <v>54.500441313307803</v>
      </c>
      <c r="W28">
        <f t="shared" si="15"/>
        <v>1.9120665088831506</v>
      </c>
      <c r="X28">
        <f t="shared" si="16"/>
        <v>3.5083505065421665</v>
      </c>
      <c r="Y28">
        <f t="shared" si="17"/>
        <v>1.6629540803074589</v>
      </c>
      <c r="Z28">
        <f t="shared" si="18"/>
        <v>-205.25477929174616</v>
      </c>
      <c r="AA28">
        <f t="shared" si="19"/>
        <v>-58.357888568502112</v>
      </c>
      <c r="AB28">
        <f t="shared" si="20"/>
        <v>-3.7175106892811574</v>
      </c>
      <c r="AC28">
        <f t="shared" si="21"/>
        <v>86.004112904131205</v>
      </c>
      <c r="AD28">
        <v>-4.11651917506227E-2</v>
      </c>
      <c r="AE28">
        <v>4.6211534008937599E-2</v>
      </c>
      <c r="AF28">
        <v>3.45398835467538</v>
      </c>
      <c r="AG28">
        <v>141</v>
      </c>
      <c r="AH28">
        <v>28</v>
      </c>
      <c r="AI28">
        <f t="shared" si="22"/>
        <v>1</v>
      </c>
      <c r="AJ28">
        <f t="shared" si="23"/>
        <v>0</v>
      </c>
      <c r="AK28">
        <f t="shared" si="24"/>
        <v>52550.876361021394</v>
      </c>
      <c r="AL28">
        <v>0</v>
      </c>
      <c r="AM28">
        <v>0</v>
      </c>
      <c r="AN28">
        <v>0</v>
      </c>
      <c r="AO28">
        <f t="shared" si="25"/>
        <v>0</v>
      </c>
      <c r="AP28" t="e">
        <f t="shared" si="26"/>
        <v>#DIV/0!</v>
      </c>
      <c r="AQ28">
        <v>-1</v>
      </c>
      <c r="AR28" t="s">
        <v>341</v>
      </c>
      <c r="AS28">
        <v>273.169307692308</v>
      </c>
      <c r="AT28">
        <v>358.89</v>
      </c>
      <c r="AU28">
        <f t="shared" si="27"/>
        <v>0.23884948677224771</v>
      </c>
      <c r="AV28">
        <v>0.5</v>
      </c>
      <c r="AW28">
        <f t="shared" si="28"/>
        <v>1849.1695545478474</v>
      </c>
      <c r="AX28">
        <f t="shared" si="29"/>
        <v>41.269005479468561</v>
      </c>
      <c r="AY28">
        <f t="shared" si="30"/>
        <v>220.83659952930964</v>
      </c>
      <c r="AZ28">
        <f t="shared" si="31"/>
        <v>0.47978489230683496</v>
      </c>
      <c r="BA28">
        <f t="shared" si="32"/>
        <v>2.2858371951621295E-2</v>
      </c>
      <c r="BB28">
        <f t="shared" si="33"/>
        <v>-1</v>
      </c>
      <c r="BC28" t="s">
        <v>342</v>
      </c>
      <c r="BD28">
        <v>186.7</v>
      </c>
      <c r="BE28">
        <f t="shared" si="34"/>
        <v>172.19</v>
      </c>
      <c r="BF28">
        <f t="shared" si="35"/>
        <v>0.49782619378414539</v>
      </c>
      <c r="BG28">
        <f t="shared" si="36"/>
        <v>1.9222817354043922</v>
      </c>
      <c r="BH28">
        <f t="shared" si="37"/>
        <v>0.23884948677224774</v>
      </c>
      <c r="BI28" t="e">
        <f t="shared" si="38"/>
        <v>#DIV/0!</v>
      </c>
      <c r="BJ28">
        <v>3969</v>
      </c>
      <c r="BK28">
        <v>300</v>
      </c>
      <c r="BL28">
        <v>300</v>
      </c>
      <c r="BM28">
        <v>300</v>
      </c>
      <c r="BN28">
        <v>9888.2199999999993</v>
      </c>
      <c r="BO28">
        <v>335.88499999999999</v>
      </c>
      <c r="BP28">
        <v>-6.4145699999999996E-3</v>
      </c>
      <c r="BQ28">
        <v>1.21661</v>
      </c>
      <c r="BR28">
        <f t="shared" si="39"/>
        <v>2199.9816129032301</v>
      </c>
      <c r="BS28">
        <f t="shared" si="40"/>
        <v>1849.1695545478474</v>
      </c>
      <c r="BT28">
        <f t="shared" si="41"/>
        <v>0.84053864073326057</v>
      </c>
      <c r="BU28">
        <f t="shared" si="42"/>
        <v>0.19107728146652117</v>
      </c>
      <c r="BV28">
        <v>0.5</v>
      </c>
      <c r="BW28" t="s">
        <v>281</v>
      </c>
      <c r="BX28">
        <v>1593101651.2128999</v>
      </c>
      <c r="BY28">
        <v>981.65161290322601</v>
      </c>
      <c r="BZ28">
        <v>999.98409677419397</v>
      </c>
      <c r="CA28">
        <v>19.229309677419401</v>
      </c>
      <c r="CB28">
        <v>17.403654838709699</v>
      </c>
      <c r="CC28">
        <v>500.07309677419403</v>
      </c>
      <c r="CD28">
        <v>99.235038709677497</v>
      </c>
      <c r="CE28">
        <v>0.19996654838709699</v>
      </c>
      <c r="CF28">
        <v>26.660209677419399</v>
      </c>
      <c r="CG28">
        <v>26.9803</v>
      </c>
      <c r="CH28">
        <v>999.9</v>
      </c>
      <c r="CI28">
        <v>10003.7106451613</v>
      </c>
      <c r="CJ28">
        <v>0</v>
      </c>
      <c r="CK28">
        <v>44.520961290322603</v>
      </c>
      <c r="CL28">
        <v>2199.9816129032301</v>
      </c>
      <c r="CM28">
        <v>0.98200361290322602</v>
      </c>
      <c r="CN28">
        <v>1.7996606451612902E-2</v>
      </c>
      <c r="CO28">
        <v>0</v>
      </c>
      <c r="CP28">
        <v>273.20090322580597</v>
      </c>
      <c r="CQ28">
        <v>5.00054</v>
      </c>
      <c r="CR28">
        <v>6725.43806451613</v>
      </c>
      <c r="CS28">
        <v>20590.377419354802</v>
      </c>
      <c r="CT28">
        <v>47.185161290322597</v>
      </c>
      <c r="CU28">
        <v>47.749935483870999</v>
      </c>
      <c r="CV28">
        <v>47.27</v>
      </c>
      <c r="CW28">
        <v>47.076225806451603</v>
      </c>
      <c r="CX28">
        <v>48.631</v>
      </c>
      <c r="CY28">
        <v>2155.4816129032301</v>
      </c>
      <c r="CZ28">
        <v>39.5</v>
      </c>
      <c r="DA28">
        <v>0</v>
      </c>
      <c r="DB28">
        <v>149.799999952316</v>
      </c>
      <c r="DC28">
        <v>273.169307692308</v>
      </c>
      <c r="DD28">
        <v>-3.2421196498702902</v>
      </c>
      <c r="DE28">
        <v>-24.759658101195502</v>
      </c>
      <c r="DF28">
        <v>6725.3</v>
      </c>
      <c r="DG28">
        <v>15</v>
      </c>
      <c r="DH28">
        <v>1593101590.2</v>
      </c>
      <c r="DI28" t="s">
        <v>343</v>
      </c>
      <c r="DJ28">
        <v>26</v>
      </c>
      <c r="DK28">
        <v>0.28899999999999998</v>
      </c>
      <c r="DL28">
        <v>0.114</v>
      </c>
      <c r="DM28">
        <v>1000</v>
      </c>
      <c r="DN28">
        <v>17</v>
      </c>
      <c r="DO28">
        <v>0.27</v>
      </c>
      <c r="DP28">
        <v>0.04</v>
      </c>
      <c r="DQ28">
        <v>-18.394351851851901</v>
      </c>
      <c r="DR28">
        <v>0.75890100188431797</v>
      </c>
      <c r="DS28">
        <v>0.113435102576631</v>
      </c>
      <c r="DT28">
        <v>0</v>
      </c>
      <c r="DU28">
        <v>1.8600425925925901</v>
      </c>
      <c r="DV28">
        <v>-0.34100354303071301</v>
      </c>
      <c r="DW28">
        <v>4.56305665984248E-2</v>
      </c>
      <c r="DX28">
        <v>0</v>
      </c>
      <c r="DY28">
        <v>0</v>
      </c>
      <c r="DZ28">
        <v>2</v>
      </c>
      <c r="EA28" t="s">
        <v>344</v>
      </c>
      <c r="EB28">
        <v>1.8667899999999999</v>
      </c>
      <c r="EC28">
        <v>1.86334</v>
      </c>
      <c r="ED28">
        <v>1.869</v>
      </c>
      <c r="EE28">
        <v>1.8669100000000001</v>
      </c>
      <c r="EF28">
        <v>1.87157</v>
      </c>
      <c r="EG28">
        <v>1.86402</v>
      </c>
      <c r="EH28">
        <v>1.86557</v>
      </c>
      <c r="EI28">
        <v>1.86554</v>
      </c>
      <c r="EJ28" t="s">
        <v>284</v>
      </c>
      <c r="EK28" t="s">
        <v>19</v>
      </c>
      <c r="EL28" t="s">
        <v>19</v>
      </c>
      <c r="EM28" t="s">
        <v>19</v>
      </c>
      <c r="EN28" t="s">
        <v>285</v>
      </c>
      <c r="EO28" t="s">
        <v>286</v>
      </c>
      <c r="EP28" t="s">
        <v>287</v>
      </c>
      <c r="EQ28" t="s">
        <v>287</v>
      </c>
      <c r="ER28" t="s">
        <v>287</v>
      </c>
      <c r="ES28" t="s">
        <v>287</v>
      </c>
      <c r="ET28">
        <v>0</v>
      </c>
      <c r="EU28">
        <v>100</v>
      </c>
      <c r="EV28">
        <v>100</v>
      </c>
      <c r="EW28">
        <v>0.28899999999999998</v>
      </c>
      <c r="EX28">
        <v>0.114</v>
      </c>
      <c r="EY28">
        <v>2</v>
      </c>
      <c r="EZ28">
        <v>338.41699999999997</v>
      </c>
      <c r="FA28">
        <v>483.315</v>
      </c>
      <c r="FB28">
        <v>21.295200000000001</v>
      </c>
      <c r="FC28">
        <v>34.875700000000002</v>
      </c>
      <c r="FD28">
        <v>29.9985</v>
      </c>
      <c r="FE28">
        <v>35.107500000000002</v>
      </c>
      <c r="FF28">
        <v>35.128500000000003</v>
      </c>
      <c r="FG28">
        <v>46.2575</v>
      </c>
      <c r="FH28">
        <v>26.044899999999998</v>
      </c>
      <c r="FI28">
        <v>0</v>
      </c>
      <c r="FJ28">
        <v>21.2973</v>
      </c>
      <c r="FK28">
        <v>1000</v>
      </c>
      <c r="FL28">
        <v>17.572800000000001</v>
      </c>
      <c r="FM28">
        <v>100.821</v>
      </c>
      <c r="FN28">
        <v>100.77500000000001</v>
      </c>
    </row>
    <row r="29" spans="1:170" x14ac:dyDescent="0.25">
      <c r="A29">
        <v>13</v>
      </c>
      <c r="B29">
        <v>1593101805.2</v>
      </c>
      <c r="C29">
        <v>1553.2000000476801</v>
      </c>
      <c r="D29" t="s">
        <v>345</v>
      </c>
      <c r="E29" t="s">
        <v>346</v>
      </c>
      <c r="G29">
        <v>1593101797.2741899</v>
      </c>
      <c r="H29">
        <f t="shared" si="0"/>
        <v>3.3781695884364882E-3</v>
      </c>
      <c r="I29">
        <f t="shared" si="1"/>
        <v>42.430096505228228</v>
      </c>
      <c r="J29">
        <f t="shared" si="2"/>
        <v>1181.4387096774201</v>
      </c>
      <c r="K29">
        <f t="shared" si="3"/>
        <v>815.54393268481067</v>
      </c>
      <c r="L29">
        <f t="shared" si="4"/>
        <v>81.094756943586788</v>
      </c>
      <c r="M29">
        <f t="shared" si="5"/>
        <v>117.47801824682693</v>
      </c>
      <c r="N29">
        <f t="shared" si="6"/>
        <v>0.20608152793699525</v>
      </c>
      <c r="O29">
        <f t="shared" si="7"/>
        <v>3.3825901608730629</v>
      </c>
      <c r="P29">
        <f t="shared" si="8"/>
        <v>0.19935189943059001</v>
      </c>
      <c r="Q29">
        <f t="shared" si="9"/>
        <v>0.12518126084561523</v>
      </c>
      <c r="R29">
        <f t="shared" si="10"/>
        <v>353.33644727501519</v>
      </c>
      <c r="S29">
        <f t="shared" si="11"/>
        <v>27.675836164276674</v>
      </c>
      <c r="T29">
        <f t="shared" si="12"/>
        <v>27.019448387096801</v>
      </c>
      <c r="U29">
        <f t="shared" si="13"/>
        <v>3.5832500335801609</v>
      </c>
      <c r="V29">
        <f t="shared" si="14"/>
        <v>55.565309164647047</v>
      </c>
      <c r="W29">
        <f t="shared" si="15"/>
        <v>1.9450652575878784</v>
      </c>
      <c r="X29">
        <f t="shared" si="16"/>
        <v>3.5005028979941488</v>
      </c>
      <c r="Y29">
        <f t="shared" si="17"/>
        <v>1.6381847759922825</v>
      </c>
      <c r="Z29">
        <f t="shared" si="18"/>
        <v>-148.97727885004912</v>
      </c>
      <c r="AA29">
        <f t="shared" si="19"/>
        <v>-72.446031442374164</v>
      </c>
      <c r="AB29">
        <f t="shared" si="20"/>
        <v>-4.6138339796525818</v>
      </c>
      <c r="AC29">
        <f t="shared" si="21"/>
        <v>127.29930300293935</v>
      </c>
      <c r="AD29">
        <v>-4.1178174836510303E-2</v>
      </c>
      <c r="AE29">
        <v>4.6226108660227201E-2</v>
      </c>
      <c r="AF29">
        <v>3.4548506428986498</v>
      </c>
      <c r="AG29">
        <v>129</v>
      </c>
      <c r="AH29">
        <v>26</v>
      </c>
      <c r="AI29">
        <f t="shared" si="22"/>
        <v>1</v>
      </c>
      <c r="AJ29">
        <f t="shared" si="23"/>
        <v>0</v>
      </c>
      <c r="AK29">
        <f t="shared" si="24"/>
        <v>52573.473188401593</v>
      </c>
      <c r="AL29">
        <v>0</v>
      </c>
      <c r="AM29">
        <v>0</v>
      </c>
      <c r="AN29">
        <v>0</v>
      </c>
      <c r="AO29">
        <f t="shared" si="25"/>
        <v>0</v>
      </c>
      <c r="AP29" t="e">
        <f t="shared" si="26"/>
        <v>#DIV/0!</v>
      </c>
      <c r="AQ29">
        <v>-1</v>
      </c>
      <c r="AR29" t="s">
        <v>347</v>
      </c>
      <c r="AS29">
        <v>270.27688461538497</v>
      </c>
      <c r="AT29">
        <v>353.22300000000001</v>
      </c>
      <c r="AU29">
        <f t="shared" si="27"/>
        <v>0.23482648464175615</v>
      </c>
      <c r="AV29">
        <v>0.5</v>
      </c>
      <c r="AW29">
        <f t="shared" si="28"/>
        <v>1849.1770362358091</v>
      </c>
      <c r="AX29">
        <f t="shared" si="29"/>
        <v>42.430096505228228</v>
      </c>
      <c r="AY29">
        <f t="shared" si="30"/>
        <v>217.11787144975818</v>
      </c>
      <c r="AZ29">
        <f t="shared" si="31"/>
        <v>0.47953559083072167</v>
      </c>
      <c r="BA29">
        <f t="shared" si="32"/>
        <v>2.3486175554956423E-2</v>
      </c>
      <c r="BB29">
        <f t="shared" si="33"/>
        <v>-1</v>
      </c>
      <c r="BC29" t="s">
        <v>348</v>
      </c>
      <c r="BD29">
        <v>183.84</v>
      </c>
      <c r="BE29">
        <f t="shared" si="34"/>
        <v>169.38300000000001</v>
      </c>
      <c r="BF29">
        <f t="shared" si="35"/>
        <v>0.48969563288296369</v>
      </c>
      <c r="BG29">
        <f t="shared" si="36"/>
        <v>1.9213609660574413</v>
      </c>
      <c r="BH29">
        <f t="shared" si="37"/>
        <v>0.23482648464175618</v>
      </c>
      <c r="BI29" t="e">
        <f t="shared" si="38"/>
        <v>#DIV/0!</v>
      </c>
      <c r="BJ29">
        <v>3971</v>
      </c>
      <c r="BK29">
        <v>300</v>
      </c>
      <c r="BL29">
        <v>300</v>
      </c>
      <c r="BM29">
        <v>300</v>
      </c>
      <c r="BN29">
        <v>9886.1299999999992</v>
      </c>
      <c r="BO29">
        <v>330.06900000000002</v>
      </c>
      <c r="BP29">
        <v>-6.4129499999999997E-3</v>
      </c>
      <c r="BQ29">
        <v>0.97238199999999997</v>
      </c>
      <c r="BR29">
        <f t="shared" si="39"/>
        <v>2199.9899999999998</v>
      </c>
      <c r="BS29">
        <f t="shared" si="40"/>
        <v>1849.1770362358091</v>
      </c>
      <c r="BT29">
        <f t="shared" si="41"/>
        <v>0.84053883710190014</v>
      </c>
      <c r="BU29">
        <f t="shared" si="42"/>
        <v>0.19107767420380042</v>
      </c>
      <c r="BV29">
        <v>0.5</v>
      </c>
      <c r="BW29" t="s">
        <v>281</v>
      </c>
      <c r="BX29">
        <v>1593101797.2741899</v>
      </c>
      <c r="BY29">
        <v>1181.4387096774201</v>
      </c>
      <c r="BZ29">
        <v>1200.00451612903</v>
      </c>
      <c r="CA29">
        <v>19.560896774193498</v>
      </c>
      <c r="CB29">
        <v>18.2362516129032</v>
      </c>
      <c r="CC29">
        <v>500.071967741935</v>
      </c>
      <c r="CD29">
        <v>99.236467741935499</v>
      </c>
      <c r="CE29">
        <v>0.19993745161290299</v>
      </c>
      <c r="CF29">
        <v>26.622183870967699</v>
      </c>
      <c r="CG29">
        <v>27.019448387096801</v>
      </c>
      <c r="CH29">
        <v>999.9</v>
      </c>
      <c r="CI29">
        <v>10006.7216129032</v>
      </c>
      <c r="CJ29">
        <v>0</v>
      </c>
      <c r="CK29">
        <v>303.06512903225803</v>
      </c>
      <c r="CL29">
        <v>2199.9899999999998</v>
      </c>
      <c r="CM29">
        <v>0.98199680645161302</v>
      </c>
      <c r="CN29">
        <v>1.8002987096774201E-2</v>
      </c>
      <c r="CO29">
        <v>0</v>
      </c>
      <c r="CP29">
        <v>270.29519354838698</v>
      </c>
      <c r="CQ29">
        <v>5.00054</v>
      </c>
      <c r="CR29">
        <v>7985.83612903226</v>
      </c>
      <c r="CS29">
        <v>20590.412903225799</v>
      </c>
      <c r="CT29">
        <v>47.656999999999996</v>
      </c>
      <c r="CU29">
        <v>48.235709677419401</v>
      </c>
      <c r="CV29">
        <v>47.731709677419403</v>
      </c>
      <c r="CW29">
        <v>47.5017741935484</v>
      </c>
      <c r="CX29">
        <v>49.052064516129001</v>
      </c>
      <c r="CY29">
        <v>2155.4735483871</v>
      </c>
      <c r="CZ29">
        <v>39.514516129032302</v>
      </c>
      <c r="DA29">
        <v>0</v>
      </c>
      <c r="DB29">
        <v>145.59999990463299</v>
      </c>
      <c r="DC29">
        <v>270.27688461538497</v>
      </c>
      <c r="DD29">
        <v>-1.7153846207154999</v>
      </c>
      <c r="DE29">
        <v>-71.938461564816805</v>
      </c>
      <c r="DF29">
        <v>7984.9146153846104</v>
      </c>
      <c r="DG29">
        <v>15</v>
      </c>
      <c r="DH29">
        <v>1593101718.2</v>
      </c>
      <c r="DI29" t="s">
        <v>349</v>
      </c>
      <c r="DJ29">
        <v>27</v>
      </c>
      <c r="DK29">
        <v>0.247</v>
      </c>
      <c r="DL29">
        <v>0.124</v>
      </c>
      <c r="DM29">
        <v>1200</v>
      </c>
      <c r="DN29">
        <v>18</v>
      </c>
      <c r="DO29">
        <v>0.28000000000000003</v>
      </c>
      <c r="DP29">
        <v>0.05</v>
      </c>
      <c r="DQ29">
        <v>-18.593705555555601</v>
      </c>
      <c r="DR29">
        <v>0.38913422542982501</v>
      </c>
      <c r="DS29">
        <v>0.127839347123018</v>
      </c>
      <c r="DT29">
        <v>1</v>
      </c>
      <c r="DU29">
        <v>1.31894666666667</v>
      </c>
      <c r="DV29">
        <v>5.22216359783262E-2</v>
      </c>
      <c r="DW29">
        <v>1.0024673265202899E-2</v>
      </c>
      <c r="DX29">
        <v>1</v>
      </c>
      <c r="DY29">
        <v>2</v>
      </c>
      <c r="DZ29">
        <v>2</v>
      </c>
      <c r="EA29" t="s">
        <v>293</v>
      </c>
      <c r="EB29">
        <v>1.86676</v>
      </c>
      <c r="EC29">
        <v>1.8632500000000001</v>
      </c>
      <c r="ED29">
        <v>1.8689</v>
      </c>
      <c r="EE29">
        <v>1.8668800000000001</v>
      </c>
      <c r="EF29">
        <v>1.8714900000000001</v>
      </c>
      <c r="EG29">
        <v>1.8640099999999999</v>
      </c>
      <c r="EH29">
        <v>1.86554</v>
      </c>
      <c r="EI29">
        <v>1.86547</v>
      </c>
      <c r="EJ29" t="s">
        <v>284</v>
      </c>
      <c r="EK29" t="s">
        <v>19</v>
      </c>
      <c r="EL29" t="s">
        <v>19</v>
      </c>
      <c r="EM29" t="s">
        <v>19</v>
      </c>
      <c r="EN29" t="s">
        <v>285</v>
      </c>
      <c r="EO29" t="s">
        <v>286</v>
      </c>
      <c r="EP29" t="s">
        <v>287</v>
      </c>
      <c r="EQ29" t="s">
        <v>287</v>
      </c>
      <c r="ER29" t="s">
        <v>287</v>
      </c>
      <c r="ES29" t="s">
        <v>287</v>
      </c>
      <c r="ET29">
        <v>0</v>
      </c>
      <c r="EU29">
        <v>100</v>
      </c>
      <c r="EV29">
        <v>100</v>
      </c>
      <c r="EW29">
        <v>0.247</v>
      </c>
      <c r="EX29">
        <v>0.124</v>
      </c>
      <c r="EY29">
        <v>2</v>
      </c>
      <c r="EZ29">
        <v>350.69099999999997</v>
      </c>
      <c r="FA29">
        <v>485.226</v>
      </c>
      <c r="FB29">
        <v>18.851700000000001</v>
      </c>
      <c r="FC29">
        <v>34.472000000000001</v>
      </c>
      <c r="FD29">
        <v>29.999300000000002</v>
      </c>
      <c r="FE29">
        <v>34.706600000000002</v>
      </c>
      <c r="FF29">
        <v>34.7395</v>
      </c>
      <c r="FG29">
        <v>53.644100000000002</v>
      </c>
      <c r="FH29">
        <v>23.507899999999999</v>
      </c>
      <c r="FI29">
        <v>0</v>
      </c>
      <c r="FJ29">
        <v>18.869199999999999</v>
      </c>
      <c r="FK29">
        <v>1200</v>
      </c>
      <c r="FL29">
        <v>18.003299999999999</v>
      </c>
      <c r="FM29">
        <v>100.898</v>
      </c>
      <c r="FN29">
        <v>100.867</v>
      </c>
    </row>
    <row r="30" spans="1:170" x14ac:dyDescent="0.25">
      <c r="A30">
        <v>14</v>
      </c>
      <c r="B30">
        <v>1593101946.3</v>
      </c>
      <c r="C30">
        <v>1694.2999999523199</v>
      </c>
      <c r="D30" t="s">
        <v>350</v>
      </c>
      <c r="E30" t="s">
        <v>351</v>
      </c>
      <c r="G30">
        <v>1593101938.2871001</v>
      </c>
      <c r="H30">
        <f t="shared" si="0"/>
        <v>4.0912255160083658E-3</v>
      </c>
      <c r="I30">
        <f t="shared" si="1"/>
        <v>41.949576339832241</v>
      </c>
      <c r="J30">
        <f t="shared" si="2"/>
        <v>1580.57290322581</v>
      </c>
      <c r="K30">
        <f t="shared" si="3"/>
        <v>1259.1018486984817</v>
      </c>
      <c r="L30">
        <f t="shared" si="4"/>
        <v>125.19700972142911</v>
      </c>
      <c r="M30">
        <f t="shared" si="5"/>
        <v>157.16202889793104</v>
      </c>
      <c r="N30">
        <f t="shared" si="6"/>
        <v>0.24590415400912419</v>
      </c>
      <c r="O30">
        <f t="shared" si="7"/>
        <v>3.3798117376130081</v>
      </c>
      <c r="P30">
        <f t="shared" si="8"/>
        <v>0.23637952200615781</v>
      </c>
      <c r="Q30">
        <f t="shared" si="9"/>
        <v>0.14856221289089963</v>
      </c>
      <c r="R30">
        <f t="shared" si="10"/>
        <v>353.33188627363705</v>
      </c>
      <c r="S30">
        <f t="shared" si="11"/>
        <v>27.378933637009897</v>
      </c>
      <c r="T30">
        <f t="shared" si="12"/>
        <v>27.0047741935484</v>
      </c>
      <c r="U30">
        <f t="shared" si="13"/>
        <v>3.580163412719664</v>
      </c>
      <c r="V30">
        <f t="shared" si="14"/>
        <v>54.904940682236514</v>
      </c>
      <c r="W30">
        <f t="shared" si="15"/>
        <v>1.9066627132886524</v>
      </c>
      <c r="X30">
        <f t="shared" si="16"/>
        <v>3.4726614574151036</v>
      </c>
      <c r="Y30">
        <f t="shared" si="17"/>
        <v>1.6735006994310115</v>
      </c>
      <c r="Z30">
        <f t="shared" si="18"/>
        <v>-180.42304525596893</v>
      </c>
      <c r="AA30">
        <f t="shared" si="19"/>
        <v>-94.404249827303616</v>
      </c>
      <c r="AB30">
        <f t="shared" si="20"/>
        <v>-6.0127003102282277</v>
      </c>
      <c r="AC30">
        <f t="shared" si="21"/>
        <v>72.491890880136268</v>
      </c>
      <c r="AD30">
        <v>-4.1135211585815103E-2</v>
      </c>
      <c r="AE30">
        <v>4.61778786475344E-2</v>
      </c>
      <c r="AF30">
        <v>3.4519968266611998</v>
      </c>
      <c r="AG30">
        <v>137</v>
      </c>
      <c r="AH30">
        <v>27</v>
      </c>
      <c r="AI30">
        <f t="shared" si="22"/>
        <v>1</v>
      </c>
      <c r="AJ30">
        <f t="shared" si="23"/>
        <v>0</v>
      </c>
      <c r="AK30">
        <f t="shared" si="24"/>
        <v>52544.565272598898</v>
      </c>
      <c r="AL30">
        <v>0</v>
      </c>
      <c r="AM30">
        <v>0</v>
      </c>
      <c r="AN30">
        <v>0</v>
      </c>
      <c r="AO30">
        <f t="shared" si="25"/>
        <v>0</v>
      </c>
      <c r="AP30" t="e">
        <f t="shared" si="26"/>
        <v>#DIV/0!</v>
      </c>
      <c r="AQ30">
        <v>-1</v>
      </c>
      <c r="AR30" t="s">
        <v>352</v>
      </c>
      <c r="AS30">
        <v>267.97646153846199</v>
      </c>
      <c r="AT30">
        <v>340.95499999999998</v>
      </c>
      <c r="AU30">
        <f t="shared" si="27"/>
        <v>0.21404155522440793</v>
      </c>
      <c r="AV30">
        <v>0.5</v>
      </c>
      <c r="AW30">
        <f t="shared" si="28"/>
        <v>1849.1529313486142</v>
      </c>
      <c r="AX30">
        <f t="shared" si="29"/>
        <v>41.949576339832241</v>
      </c>
      <c r="AY30">
        <f t="shared" si="30"/>
        <v>197.89778463681512</v>
      </c>
      <c r="AZ30">
        <f t="shared" si="31"/>
        <v>0.46110190494346759</v>
      </c>
      <c r="BA30">
        <f t="shared" si="32"/>
        <v>2.3226622099075649E-2</v>
      </c>
      <c r="BB30">
        <f t="shared" si="33"/>
        <v>-1</v>
      </c>
      <c r="BC30" t="s">
        <v>353</v>
      </c>
      <c r="BD30">
        <v>183.74</v>
      </c>
      <c r="BE30">
        <f t="shared" si="34"/>
        <v>157.21499999999997</v>
      </c>
      <c r="BF30">
        <f t="shared" si="35"/>
        <v>0.46419577305942822</v>
      </c>
      <c r="BG30">
        <f t="shared" si="36"/>
        <v>1.8556384020899095</v>
      </c>
      <c r="BH30">
        <f t="shared" si="37"/>
        <v>0.2140415552244079</v>
      </c>
      <c r="BI30" t="e">
        <f t="shared" si="38"/>
        <v>#DIV/0!</v>
      </c>
      <c r="BJ30">
        <v>3973</v>
      </c>
      <c r="BK30">
        <v>300</v>
      </c>
      <c r="BL30">
        <v>300</v>
      </c>
      <c r="BM30">
        <v>300</v>
      </c>
      <c r="BN30">
        <v>9883.7800000000007</v>
      </c>
      <c r="BO30">
        <v>322.16500000000002</v>
      </c>
      <c r="BP30">
        <v>-6.4111699999999999E-3</v>
      </c>
      <c r="BQ30">
        <v>0.90368700000000002</v>
      </c>
      <c r="BR30">
        <f t="shared" si="39"/>
        <v>2199.9612903225802</v>
      </c>
      <c r="BS30">
        <f t="shared" si="40"/>
        <v>1849.1529313486142</v>
      </c>
      <c r="BT30">
        <f t="shared" si="41"/>
        <v>0.84053884924378508</v>
      </c>
      <c r="BU30">
        <f t="shared" si="42"/>
        <v>0.19107769848757017</v>
      </c>
      <c r="BV30">
        <v>0.5</v>
      </c>
      <c r="BW30" t="s">
        <v>281</v>
      </c>
      <c r="BX30">
        <v>1593101938.2871001</v>
      </c>
      <c r="BY30">
        <v>1580.57290322581</v>
      </c>
      <c r="BZ30">
        <v>1599.9361290322599</v>
      </c>
      <c r="CA30">
        <v>19.175238709677402</v>
      </c>
      <c r="CB30">
        <v>17.570393548387099</v>
      </c>
      <c r="CC30">
        <v>500.08254838709701</v>
      </c>
      <c r="CD30">
        <v>99.233574193548407</v>
      </c>
      <c r="CE30">
        <v>0.20001003225806499</v>
      </c>
      <c r="CF30">
        <v>26.486674193548399</v>
      </c>
      <c r="CG30">
        <v>27.0047741935484</v>
      </c>
      <c r="CH30">
        <v>999.9</v>
      </c>
      <c r="CI30">
        <v>9996.5725806451592</v>
      </c>
      <c r="CJ30">
        <v>0</v>
      </c>
      <c r="CK30">
        <v>301.154870967742</v>
      </c>
      <c r="CL30">
        <v>2199.9612903225802</v>
      </c>
      <c r="CM30">
        <v>0.98199696774193501</v>
      </c>
      <c r="CN30">
        <v>1.80025677419355E-2</v>
      </c>
      <c r="CO30">
        <v>0</v>
      </c>
      <c r="CP30">
        <v>267.97164516128998</v>
      </c>
      <c r="CQ30">
        <v>5.00054</v>
      </c>
      <c r="CR30">
        <v>7862.3703225806403</v>
      </c>
      <c r="CS30">
        <v>20590.158064516101</v>
      </c>
      <c r="CT30">
        <v>48.277999999999999</v>
      </c>
      <c r="CU30">
        <v>49.058129032258002</v>
      </c>
      <c r="CV30">
        <v>48.387</v>
      </c>
      <c r="CW30">
        <v>48.271935483870998</v>
      </c>
      <c r="CX30">
        <v>49.616806451612902</v>
      </c>
      <c r="CY30">
        <v>2155.4416129032302</v>
      </c>
      <c r="CZ30">
        <v>39.514838709677399</v>
      </c>
      <c r="DA30">
        <v>0</v>
      </c>
      <c r="DB30">
        <v>140.39999985694899</v>
      </c>
      <c r="DC30">
        <v>267.97646153846199</v>
      </c>
      <c r="DD30">
        <v>-2.8204444436295901</v>
      </c>
      <c r="DE30">
        <v>-77.104615410265495</v>
      </c>
      <c r="DF30">
        <v>7861.8396153846197</v>
      </c>
      <c r="DG30">
        <v>15</v>
      </c>
      <c r="DH30">
        <v>1593101893.3</v>
      </c>
      <c r="DI30" t="s">
        <v>354</v>
      </c>
      <c r="DJ30">
        <v>28</v>
      </c>
      <c r="DK30">
        <v>0.17100000000000001</v>
      </c>
      <c r="DL30">
        <v>0.11799999999999999</v>
      </c>
      <c r="DM30">
        <v>1600</v>
      </c>
      <c r="DN30">
        <v>17</v>
      </c>
      <c r="DO30">
        <v>0.49</v>
      </c>
      <c r="DP30">
        <v>0.05</v>
      </c>
      <c r="DQ30">
        <v>-19.443088888888902</v>
      </c>
      <c r="DR30">
        <v>0.49688304298083802</v>
      </c>
      <c r="DS30">
        <v>0.13966046348816299</v>
      </c>
      <c r="DT30">
        <v>1</v>
      </c>
      <c r="DU30">
        <v>1.59995833333333</v>
      </c>
      <c r="DV30">
        <v>5.0143329684184001E-2</v>
      </c>
      <c r="DW30">
        <v>7.6242189035263704E-3</v>
      </c>
      <c r="DX30">
        <v>1</v>
      </c>
      <c r="DY30">
        <v>2</v>
      </c>
      <c r="DZ30">
        <v>2</v>
      </c>
      <c r="EA30" t="s">
        <v>293</v>
      </c>
      <c r="EB30">
        <v>1.86676</v>
      </c>
      <c r="EC30">
        <v>1.8632500000000001</v>
      </c>
      <c r="ED30">
        <v>1.8689100000000001</v>
      </c>
      <c r="EE30">
        <v>1.8669100000000001</v>
      </c>
      <c r="EF30">
        <v>1.87151</v>
      </c>
      <c r="EG30">
        <v>1.8640099999999999</v>
      </c>
      <c r="EH30">
        <v>1.86554</v>
      </c>
      <c r="EI30">
        <v>1.8655200000000001</v>
      </c>
      <c r="EJ30" t="s">
        <v>284</v>
      </c>
      <c r="EK30" t="s">
        <v>19</v>
      </c>
      <c r="EL30" t="s">
        <v>19</v>
      </c>
      <c r="EM30" t="s">
        <v>19</v>
      </c>
      <c r="EN30" t="s">
        <v>285</v>
      </c>
      <c r="EO30" t="s">
        <v>286</v>
      </c>
      <c r="EP30" t="s">
        <v>287</v>
      </c>
      <c r="EQ30" t="s">
        <v>287</v>
      </c>
      <c r="ER30" t="s">
        <v>287</v>
      </c>
      <c r="ES30" t="s">
        <v>287</v>
      </c>
      <c r="ET30">
        <v>0</v>
      </c>
      <c r="EU30">
        <v>100</v>
      </c>
      <c r="EV30">
        <v>100</v>
      </c>
      <c r="EW30">
        <v>0.17100000000000001</v>
      </c>
      <c r="EX30">
        <v>0.11799999999999999</v>
      </c>
      <c r="EY30">
        <v>2</v>
      </c>
      <c r="EZ30">
        <v>343.23200000000003</v>
      </c>
      <c r="FA30">
        <v>484.53899999999999</v>
      </c>
      <c r="FB30">
        <v>19.625</v>
      </c>
      <c r="FC30">
        <v>34.502800000000001</v>
      </c>
      <c r="FD30">
        <v>30.001300000000001</v>
      </c>
      <c r="FE30">
        <v>34.604700000000001</v>
      </c>
      <c r="FF30">
        <v>34.623100000000001</v>
      </c>
      <c r="FG30">
        <v>67.479200000000006</v>
      </c>
      <c r="FH30">
        <v>26.085000000000001</v>
      </c>
      <c r="FI30">
        <v>0</v>
      </c>
      <c r="FJ30">
        <v>19.605699999999999</v>
      </c>
      <c r="FK30">
        <v>1600</v>
      </c>
      <c r="FL30">
        <v>17.566199999999998</v>
      </c>
      <c r="FM30">
        <v>100.89</v>
      </c>
      <c r="FN30">
        <v>100.86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4"/>
  <sheetViews>
    <sheetView workbookViewId="0"/>
  </sheetViews>
  <sheetFormatPr defaultRowHeight="14.4" x14ac:dyDescent="0.25"/>
  <sheetData>
    <row r="1" spans="1:2" x14ac:dyDescent="0.25">
      <c r="A1" t="s">
        <v>0</v>
      </c>
      <c r="B1" t="s">
        <v>1</v>
      </c>
    </row>
    <row r="2" spans="1:2" x14ac:dyDescent="0.25">
      <c r="A2" t="s">
        <v>2</v>
      </c>
      <c r="B2" t="s">
        <v>3</v>
      </c>
    </row>
    <row r="3" spans="1:2" x14ac:dyDescent="0.25">
      <c r="A3" t="s">
        <v>4</v>
      </c>
      <c r="B3" t="s">
        <v>5</v>
      </c>
    </row>
    <row r="4" spans="1:2" x14ac:dyDescent="0.25">
      <c r="A4" t="s">
        <v>6</v>
      </c>
      <c r="B4" t="s">
        <v>7</v>
      </c>
    </row>
    <row r="5" spans="1:2" x14ac:dyDescent="0.25">
      <c r="A5" t="s">
        <v>8</v>
      </c>
      <c r="B5" t="s">
        <v>9</v>
      </c>
    </row>
    <row r="6" spans="1:2" x14ac:dyDescent="0.25">
      <c r="A6" t="s">
        <v>10</v>
      </c>
      <c r="B6" t="s">
        <v>11</v>
      </c>
    </row>
    <row r="7" spans="1:2" x14ac:dyDescent="0.25">
      <c r="A7" t="s">
        <v>12</v>
      </c>
      <c r="B7" t="s">
        <v>13</v>
      </c>
    </row>
    <row r="8" spans="1:2" x14ac:dyDescent="0.25">
      <c r="A8" t="s">
        <v>14</v>
      </c>
      <c r="B8" t="s">
        <v>15</v>
      </c>
    </row>
    <row r="9" spans="1:2" x14ac:dyDescent="0.25">
      <c r="A9" t="s">
        <v>16</v>
      </c>
      <c r="B9" t="s">
        <v>17</v>
      </c>
    </row>
    <row r="10" spans="1:2" x14ac:dyDescent="0.25">
      <c r="A10" t="s">
        <v>18</v>
      </c>
      <c r="B10" t="s">
        <v>19</v>
      </c>
    </row>
    <row r="11" spans="1:2" x14ac:dyDescent="0.25">
      <c r="A11" t="s">
        <v>20</v>
      </c>
      <c r="B11" t="s">
        <v>19</v>
      </c>
    </row>
    <row r="12" spans="1:2" x14ac:dyDescent="0.25">
      <c r="A12" t="s">
        <v>21</v>
      </c>
      <c r="B12" t="s">
        <v>17</v>
      </c>
    </row>
    <row r="13" spans="1:2" x14ac:dyDescent="0.25">
      <c r="A13" t="s">
        <v>22</v>
      </c>
      <c r="B13" t="s">
        <v>11</v>
      </c>
    </row>
    <row r="14" spans="1:2" x14ac:dyDescent="0.25">
      <c r="A14" t="s">
        <v>23</v>
      </c>
      <c r="B14" t="s">
        <v>24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Measurements</vt:lpstr>
      <vt:lpstr>Remarks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DELL</cp:lastModifiedBy>
  <dcterms:created xsi:type="dcterms:W3CDTF">2020-06-25T11:21:58Z</dcterms:created>
  <dcterms:modified xsi:type="dcterms:W3CDTF">2024-11-20T08:56:24Z</dcterms:modified>
</cp:coreProperties>
</file>