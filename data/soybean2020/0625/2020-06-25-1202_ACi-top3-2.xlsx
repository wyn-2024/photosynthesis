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62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H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/>
  <c r="J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H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J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O26" i="1"/>
  <c r="AP26" i="1" s="1"/>
  <c r="AK26" i="1"/>
  <c r="AI26" i="1" s="1"/>
  <c r="X26" i="1"/>
  <c r="W26" i="1"/>
  <c r="V26" i="1"/>
  <c r="O26" i="1"/>
  <c r="BU25" i="1"/>
  <c r="BT25" i="1"/>
  <c r="BS25" i="1" s="1"/>
  <c r="BR25" i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H25" i="1" s="1"/>
  <c r="X25" i="1"/>
  <c r="W25" i="1"/>
  <c r="V25" i="1" s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J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I20" i="1" s="1"/>
  <c r="AX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J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H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R18" i="1" l="1"/>
  <c r="AW18" i="1"/>
  <c r="AY18" i="1" s="1"/>
  <c r="AW29" i="1"/>
  <c r="R29" i="1"/>
  <c r="AW25" i="1"/>
  <c r="R25" i="1"/>
  <c r="Z30" i="1"/>
  <c r="J22" i="1"/>
  <c r="I22" i="1"/>
  <c r="AX22" i="1" s="1"/>
  <c r="M22" i="1"/>
  <c r="H22" i="1"/>
  <c r="AJ22" i="1"/>
  <c r="AW23" i="1"/>
  <c r="AY23" i="1" s="1"/>
  <c r="R23" i="1"/>
  <c r="AW27" i="1"/>
  <c r="AY27" i="1" s="1"/>
  <c r="R27" i="1"/>
  <c r="AY25" i="1"/>
  <c r="R26" i="1"/>
  <c r="AW26" i="1"/>
  <c r="R30" i="1"/>
  <c r="AW30" i="1"/>
  <c r="AY17" i="1"/>
  <c r="R28" i="1"/>
  <c r="AW28" i="1"/>
  <c r="AY28" i="1" s="1"/>
  <c r="AW24" i="1"/>
  <c r="AY24" i="1" s="1"/>
  <c r="R24" i="1"/>
  <c r="AY26" i="1"/>
  <c r="Z18" i="1"/>
  <c r="R19" i="1"/>
  <c r="AW19" i="1"/>
  <c r="AY19" i="1" s="1"/>
  <c r="I17" i="1"/>
  <c r="AX17" i="1" s="1"/>
  <c r="BA17" i="1" s="1"/>
  <c r="H17" i="1"/>
  <c r="M17" i="1"/>
  <c r="AJ17" i="1"/>
  <c r="J17" i="1"/>
  <c r="AY21" i="1"/>
  <c r="AW21" i="1"/>
  <c r="R21" i="1"/>
  <c r="R17" i="1"/>
  <c r="AW17" i="1"/>
  <c r="M26" i="1"/>
  <c r="J26" i="1"/>
  <c r="H26" i="1"/>
  <c r="I26" i="1"/>
  <c r="AX26" i="1" s="1"/>
  <c r="BA26" i="1" s="1"/>
  <c r="AJ26" i="1"/>
  <c r="AW20" i="1"/>
  <c r="BA20" i="1" s="1"/>
  <c r="R20" i="1"/>
  <c r="AY30" i="1"/>
  <c r="Z25" i="1"/>
  <c r="AY29" i="1"/>
  <c r="AW22" i="1"/>
  <c r="AY22" i="1" s="1"/>
  <c r="R22" i="1"/>
  <c r="Z28" i="1"/>
  <c r="I30" i="1"/>
  <c r="AX30" i="1" s="1"/>
  <c r="BA30" i="1" s="1"/>
  <c r="J25" i="1"/>
  <c r="AJ29" i="1"/>
  <c r="H29" i="1"/>
  <c r="AJ19" i="1"/>
  <c r="M25" i="1"/>
  <c r="H19" i="1"/>
  <c r="I24" i="1"/>
  <c r="AX24" i="1" s="1"/>
  <c r="AJ28" i="1"/>
  <c r="AJ23" i="1"/>
  <c r="J18" i="1"/>
  <c r="AJ27" i="1"/>
  <c r="AJ30" i="1"/>
  <c r="AJ25" i="1"/>
  <c r="I25" i="1"/>
  <c r="AX25" i="1" s="1"/>
  <c r="BA25" i="1" s="1"/>
  <c r="M20" i="1"/>
  <c r="AJ18" i="1"/>
  <c r="H23" i="1"/>
  <c r="M24" i="1"/>
  <c r="I28" i="1"/>
  <c r="AX28" i="1" s="1"/>
  <c r="BA28" i="1" s="1"/>
  <c r="M19" i="1"/>
  <c r="I23" i="1"/>
  <c r="AX23" i="1" s="1"/>
  <c r="BA23" i="1" s="1"/>
  <c r="J28" i="1"/>
  <c r="I18" i="1"/>
  <c r="AX18" i="1" s="1"/>
  <c r="BA18" i="1" s="1"/>
  <c r="H27" i="1"/>
  <c r="M28" i="1"/>
  <c r="AJ21" i="1"/>
  <c r="I21" i="1"/>
  <c r="AX21" i="1" s="1"/>
  <c r="BA21" i="1" s="1"/>
  <c r="H20" i="1"/>
  <c r="J30" i="1"/>
  <c r="J20" i="1"/>
  <c r="I29" i="1"/>
  <c r="AX29" i="1" s="1"/>
  <c r="BA29" i="1" s="1"/>
  <c r="M29" i="1"/>
  <c r="M23" i="1"/>
  <c r="I27" i="1"/>
  <c r="AX27" i="1" s="1"/>
  <c r="J21" i="1"/>
  <c r="AJ20" i="1"/>
  <c r="M30" i="1"/>
  <c r="I19" i="1"/>
  <c r="AX19" i="1" s="1"/>
  <c r="M18" i="1"/>
  <c r="H21" i="1"/>
  <c r="AJ24" i="1"/>
  <c r="H24" i="1"/>
  <c r="S19" i="1" l="1"/>
  <c r="T19" i="1" s="1"/>
  <c r="Z22" i="1"/>
  <c r="Z21" i="1"/>
  <c r="P21" i="1"/>
  <c r="N21" i="1" s="1"/>
  <c r="Q21" i="1" s="1"/>
  <c r="K21" i="1" s="1"/>
  <c r="L21" i="1" s="1"/>
  <c r="S26" i="1"/>
  <c r="T26" i="1" s="1"/>
  <c r="S27" i="1"/>
  <c r="T27" i="1" s="1"/>
  <c r="Z17" i="1"/>
  <c r="S23" i="1"/>
  <c r="T23" i="1" s="1"/>
  <c r="S22" i="1"/>
  <c r="T22" i="1" s="1"/>
  <c r="P22" i="1" s="1"/>
  <c r="N22" i="1" s="1"/>
  <c r="Q22" i="1" s="1"/>
  <c r="K22" i="1" s="1"/>
  <c r="L22" i="1" s="1"/>
  <c r="Z24" i="1"/>
  <c r="P24" i="1"/>
  <c r="N24" i="1" s="1"/>
  <c r="Q24" i="1" s="1"/>
  <c r="K24" i="1" s="1"/>
  <c r="L24" i="1" s="1"/>
  <c r="P23" i="1"/>
  <c r="N23" i="1" s="1"/>
  <c r="Q23" i="1" s="1"/>
  <c r="K23" i="1" s="1"/>
  <c r="L23" i="1" s="1"/>
  <c r="Z23" i="1"/>
  <c r="S20" i="1"/>
  <c r="T20" i="1" s="1"/>
  <c r="BA27" i="1"/>
  <c r="Z26" i="1"/>
  <c r="S29" i="1"/>
  <c r="T29" i="1" s="1"/>
  <c r="P29" i="1" s="1"/>
  <c r="N29" i="1" s="1"/>
  <c r="Q29" i="1" s="1"/>
  <c r="K29" i="1" s="1"/>
  <c r="L29" i="1" s="1"/>
  <c r="S21" i="1"/>
  <c r="T21" i="1" s="1"/>
  <c r="S30" i="1"/>
  <c r="T30" i="1" s="1"/>
  <c r="S18" i="1"/>
  <c r="T18" i="1" s="1"/>
  <c r="Z27" i="1"/>
  <c r="P27" i="1"/>
  <c r="N27" i="1" s="1"/>
  <c r="Q27" i="1" s="1"/>
  <c r="K27" i="1" s="1"/>
  <c r="L27" i="1" s="1"/>
  <c r="BA22" i="1"/>
  <c r="BA19" i="1"/>
  <c r="S24" i="1"/>
  <c r="T24" i="1" s="1"/>
  <c r="S28" i="1"/>
  <c r="T28" i="1" s="1"/>
  <c r="S25" i="1"/>
  <c r="T25" i="1" s="1"/>
  <c r="AY20" i="1"/>
  <c r="BA24" i="1"/>
  <c r="Z19" i="1"/>
  <c r="P19" i="1"/>
  <c r="N19" i="1" s="1"/>
  <c r="Q19" i="1" s="1"/>
  <c r="K19" i="1" s="1"/>
  <c r="L19" i="1" s="1"/>
  <c r="S17" i="1"/>
  <c r="T17" i="1" s="1"/>
  <c r="Z20" i="1"/>
  <c r="Z29" i="1"/>
  <c r="U17" i="1" l="1"/>
  <c r="Y17" i="1" s="1"/>
  <c r="AB17" i="1"/>
  <c r="AA17" i="1"/>
  <c r="AB20" i="1"/>
  <c r="U20" i="1"/>
  <c r="Y20" i="1" s="1"/>
  <c r="AA20" i="1"/>
  <c r="AA25" i="1"/>
  <c r="AB25" i="1"/>
  <c r="AC25" i="1" s="1"/>
  <c r="U25" i="1"/>
  <c r="Y25" i="1" s="1"/>
  <c r="P25" i="1"/>
  <c r="N25" i="1" s="1"/>
  <c r="Q25" i="1" s="1"/>
  <c r="K25" i="1" s="1"/>
  <c r="L25" i="1" s="1"/>
  <c r="AB21" i="1"/>
  <c r="U21" i="1"/>
  <c r="Y21" i="1" s="1"/>
  <c r="AA21" i="1"/>
  <c r="U28" i="1"/>
  <c r="Y28" i="1" s="1"/>
  <c r="AA28" i="1"/>
  <c r="AB28" i="1"/>
  <c r="AC28" i="1" s="1"/>
  <c r="P28" i="1"/>
  <c r="N28" i="1" s="1"/>
  <c r="Q28" i="1" s="1"/>
  <c r="K28" i="1" s="1"/>
  <c r="L28" i="1" s="1"/>
  <c r="U22" i="1"/>
  <c r="Y22" i="1" s="1"/>
  <c r="AB22" i="1"/>
  <c r="AA22" i="1"/>
  <c r="U24" i="1"/>
  <c r="Y24" i="1" s="1"/>
  <c r="AB24" i="1"/>
  <c r="AC24" i="1" s="1"/>
  <c r="AA24" i="1"/>
  <c r="AB23" i="1"/>
  <c r="AC23" i="1" s="1"/>
  <c r="U23" i="1"/>
  <c r="Y23" i="1" s="1"/>
  <c r="AA23" i="1"/>
  <c r="P17" i="1"/>
  <c r="N17" i="1" s="1"/>
  <c r="Q17" i="1" s="1"/>
  <c r="K17" i="1" s="1"/>
  <c r="L17" i="1" s="1"/>
  <c r="AB18" i="1"/>
  <c r="U18" i="1"/>
  <c r="Y18" i="1" s="1"/>
  <c r="AA18" i="1"/>
  <c r="P18" i="1"/>
  <c r="N18" i="1" s="1"/>
  <c r="Q18" i="1" s="1"/>
  <c r="K18" i="1" s="1"/>
  <c r="L18" i="1" s="1"/>
  <c r="AB30" i="1"/>
  <c r="U30" i="1"/>
  <c r="Y30" i="1" s="1"/>
  <c r="AA30" i="1"/>
  <c r="P30" i="1"/>
  <c r="N30" i="1" s="1"/>
  <c r="Q30" i="1" s="1"/>
  <c r="K30" i="1" s="1"/>
  <c r="L30" i="1" s="1"/>
  <c r="P20" i="1"/>
  <c r="N20" i="1" s="1"/>
  <c r="Q20" i="1" s="1"/>
  <c r="K20" i="1" s="1"/>
  <c r="L20" i="1" s="1"/>
  <c r="U29" i="1"/>
  <c r="Y29" i="1" s="1"/>
  <c r="AB29" i="1"/>
  <c r="AA29" i="1"/>
  <c r="U27" i="1"/>
  <c r="Y27" i="1" s="1"/>
  <c r="AB27" i="1"/>
  <c r="AA27" i="1"/>
  <c r="U26" i="1"/>
  <c r="Y26" i="1" s="1"/>
  <c r="AB26" i="1"/>
  <c r="AA26" i="1"/>
  <c r="P26" i="1"/>
  <c r="N26" i="1" s="1"/>
  <c r="Q26" i="1" s="1"/>
  <c r="K26" i="1" s="1"/>
  <c r="L26" i="1" s="1"/>
  <c r="U19" i="1"/>
  <c r="Y19" i="1" s="1"/>
  <c r="AB19" i="1"/>
  <c r="AC19" i="1" s="1"/>
  <c r="AA19" i="1"/>
  <c r="AC30" i="1" l="1"/>
  <c r="AC18" i="1"/>
  <c r="AC26" i="1"/>
  <c r="AC22" i="1"/>
  <c r="AC27" i="1"/>
  <c r="AC20" i="1"/>
  <c r="AC17" i="1"/>
  <c r="AC29" i="1"/>
  <c r="AC21" i="1"/>
</calcChain>
</file>

<file path=xl/sharedStrings.xml><?xml version="1.0" encoding="utf-8"?>
<sst xmlns="http://schemas.openxmlformats.org/spreadsheetml/2006/main" count="771" uniqueCount="355">
  <si>
    <t>File opened</t>
  </si>
  <si>
    <t>2020-06-25 12:03:03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</si>
  <si>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</si>
  <si>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</si>
  <si>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</si>
  <si>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</si>
  <si>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</si>
  <si>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</si>
  <si>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</si>
  <si>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</si>
  <si>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</si>
  <si>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</si>
  <si>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</si>
  <si>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{"ssa_ref": "36614.9", "h2obspan2a": "0.0975941", "co2azero": "0.869071", "co2aspanconc2": "0", "h2obspan1": "0.998578", "h2oaspan2b": "0.0662632", "h2oaspan2a": "0.0661155", "h2oaspanconc2": "0", "chamberpressurezero": "2.59209", "h2oaspan2": "0", "h2oaspanconc1": "12.19", "co2bspan2": "0", "co2aspanconc1": "1002", "flowazero": "0.42932", "h2oaspan1": "1.00223", "co2aspan1": "0.992625", "co2bspanconc2": "0", "co2bspanconc1": "1002", "h2oazero": "1.00263", "oxygen": "21", "h2obspan2": "0", "tazero": "0.00774765", "h2obzero": "1.01783", "flowbzero": "0.22736", "ssb_ref": "36526.8", "co2bspan2a": "0.163389", "h2obspan2b": "0.0963575", "co2aspan2a": "0.164928", "co2bspan2b": "0.162103", "co2bspan1": "0.992131", "h2obspanconc2": "0", "tbzero": "0.197721", "h2obspanconc1": "20", "flowmeterzero": "0.990908", "co2aspan2": "0", "co2aspan2b": "0.163711", "co2bzero": "0.880288"}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</si>
  <si>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</si>
  <si>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</si>
  <si>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</si>
  <si>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</si>
  <si>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</si>
  <si>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</si>
  <si>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</si>
  <si>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</si>
  <si>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</si>
  <si>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12:03:03</t>
  </si>
  <si>
    <t>Stability Definition:	ΔCO2 (Meas2): Slp&lt;0.5	ΔH2O (Meas2): Slp&lt;0.1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</si>
  <si>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</si>
  <si>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</si>
  <si>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</si>
  <si>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</si>
  <si>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</si>
  <si>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</si>
  <si>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</si>
  <si>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</si>
  <si>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</si>
  <si>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</si>
  <si>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</si>
  <si>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</si>
  <si>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</si>
  <si>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</si>
  <si>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</si>
  <si>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</si>
  <si>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</si>
  <si>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</si>
  <si>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</si>
  <si>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</si>
  <si>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</si>
  <si>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</si>
  <si>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</si>
  <si>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</si>
  <si>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</si>
  <si>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</si>
  <si>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</si>
  <si>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</si>
  <si>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</si>
  <si>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</si>
  <si>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</si>
  <si>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</si>
  <si>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</si>
  <si>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</si>
  <si>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</si>
  <si>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</si>
  <si>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</si>
  <si>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</si>
  <si>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</si>
  <si>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</si>
  <si>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</si>
  <si>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</si>
  <si>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</si>
  <si>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</si>
  <si>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</si>
  <si>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</si>
  <si>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1.61963 74.1132 383.059 614.556 842.442 1048.13 1225.96 1401.63</t>
  </si>
  <si>
    <t>Fs_true</t>
  </si>
  <si>
    <t>0.0511076 99.3107 402.59 600.302 800.523 1000.1 1200.74 1401.59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</si>
  <si>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</si>
  <si>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</si>
  <si>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</si>
  <si>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</si>
  <si>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</si>
  <si>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</si>
  <si>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</si>
  <si>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</si>
  <si>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</si>
  <si>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</si>
  <si>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</si>
  <si>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</si>
  <si>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</si>
  <si>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</si>
  <si>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</si>
  <si>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</si>
  <si>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</si>
  <si>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</si>
  <si>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</si>
  <si>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</si>
  <si>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</si>
  <si>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</si>
  <si>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</si>
  <si>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</si>
  <si>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</si>
  <si>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</si>
  <si>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</si>
  <si>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</si>
  <si>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</si>
  <si>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</si>
  <si>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</si>
  <si>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</si>
  <si>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</si>
  <si>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</si>
  <si>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</si>
  <si>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</si>
  <si>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</si>
  <si>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</si>
  <si>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</si>
  <si>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</si>
  <si>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</si>
  <si>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</si>
  <si>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</si>
  <si>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</si>
  <si>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</si>
  <si>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</si>
  <si>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</si>
  <si>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</si>
  <si>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</si>
  <si>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</si>
  <si>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</si>
  <si>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</si>
  <si>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</si>
  <si>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</si>
  <si>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</si>
  <si>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</si>
  <si>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</si>
  <si>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</si>
  <si>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</si>
  <si>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</si>
  <si>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</si>
  <si>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</si>
  <si>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</si>
  <si>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</si>
  <si>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</si>
  <si>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</si>
  <si>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</si>
  <si>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</si>
  <si>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</si>
  <si>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</si>
  <si>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</si>
  <si>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</si>
  <si>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</si>
  <si>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</si>
  <si>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</si>
  <si>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</si>
  <si>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</si>
  <si>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</si>
  <si>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</si>
  <si>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</si>
  <si>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</si>
  <si>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</si>
  <si>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</si>
  <si>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</si>
  <si>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</si>
  <si>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</si>
  <si>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</si>
  <si>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</si>
  <si>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</si>
  <si>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</si>
  <si>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</si>
  <si>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</si>
  <si>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</si>
  <si>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</si>
  <si>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</si>
  <si>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</si>
  <si>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</si>
  <si>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</si>
  <si>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</si>
  <si>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</si>
  <si>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</si>
  <si>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</si>
  <si>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</si>
  <si>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</si>
  <si>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</si>
  <si>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</si>
  <si>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</si>
  <si>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</si>
  <si>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</si>
  <si>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</si>
  <si>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</si>
  <si>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</si>
  <si>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</si>
  <si>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</si>
  <si>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</si>
  <si>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</si>
  <si>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</si>
  <si>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</si>
  <si>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</si>
  <si>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</si>
  <si>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</si>
  <si>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</si>
  <si>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</si>
  <si>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</si>
  <si>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</si>
  <si>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</si>
  <si>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</si>
  <si>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</si>
  <si>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</si>
  <si>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</si>
  <si>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</si>
  <si>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</si>
  <si>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</si>
  <si>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</si>
  <si>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</si>
  <si>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ΔH2O:MN</t>
  </si>
  <si>
    <t>ΔH2O:SLP</t>
  </si>
  <si>
    <t>ΔH2O:SD</t>
  </si>
  <si>
    <t>ΔH2O:OK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</si>
  <si>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</si>
  <si>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</si>
  <si>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</si>
  <si>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</si>
  <si>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</si>
  <si>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</si>
  <si>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</si>
  <si>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</si>
  <si>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</si>
  <si>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</si>
  <si>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</si>
  <si>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</si>
  <si>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</si>
  <si>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</si>
  <si>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</si>
  <si>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</si>
  <si>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</si>
  <si>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</si>
  <si>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</si>
  <si>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</si>
  <si>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</si>
  <si>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</si>
  <si>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</si>
  <si>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</si>
  <si>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</si>
  <si>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</si>
  <si>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</si>
  <si>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</si>
  <si>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</si>
  <si>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</si>
  <si>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</si>
  <si>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</si>
  <si>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</si>
  <si>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</si>
  <si>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</si>
  <si>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</si>
  <si>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</si>
  <si>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</si>
  <si>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</si>
  <si>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</si>
  <si>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</si>
  <si>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</si>
  <si>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</si>
  <si>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</si>
  <si>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</si>
  <si>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</si>
  <si>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</si>
  <si>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</si>
  <si>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</si>
  <si>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</si>
  <si>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</si>
  <si>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</si>
  <si>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</si>
  <si>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</si>
  <si>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</si>
  <si>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</si>
  <si>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</si>
  <si>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</si>
  <si>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</si>
  <si>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</si>
  <si>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</si>
  <si>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</si>
  <si>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</si>
  <si>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</si>
  <si>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20200625 12:06:31</t>
  </si>
  <si>
    <t>12:06:31</t>
  </si>
  <si>
    <t>MPF-3997-20200625-12_06_33</t>
  </si>
  <si>
    <t>DARK-3998-20200625-12_06_40</t>
  </si>
  <si>
    <t>0: Broadleaf</t>
  </si>
  <si>
    <t>12:05:11</t>
  </si>
  <si>
    <t>2/2</t>
  </si>
  <si>
    <t>5</t>
  </si>
  <si>
    <t>11111111</t>
  </si>
  <si>
    <t>oooooooo</t>
  </si>
  <si>
    <t>off</t>
  </si>
  <si>
    <t>20200625 12:08:40</t>
  </si>
  <si>
    <t>12:08:40</t>
  </si>
  <si>
    <t>MPF-3999-20200625-12_08_41</t>
  </si>
  <si>
    <t>DARK-4000-20200625-12_08_49</t>
  </si>
  <si>
    <t>12:07:39</t>
  </si>
  <si>
    <t>20200625 12:10:43</t>
  </si>
  <si>
    <t>12:10:43</t>
  </si>
  <si>
    <t>MPF-4001-20200625-12_10_44</t>
  </si>
  <si>
    <t>DARK-4002-20200625-12_10_52</t>
  </si>
  <si>
    <t>12:09:56</t>
  </si>
  <si>
    <t>20200625 12:12:43</t>
  </si>
  <si>
    <t>12:12:43</t>
  </si>
  <si>
    <t>MPF-4003-20200625-12_12_45</t>
  </si>
  <si>
    <t>DARK-4004-20200625-12_12_52</t>
  </si>
  <si>
    <t>12:11:57</t>
  </si>
  <si>
    <t>20200625 12:15:14</t>
  </si>
  <si>
    <t>12:15:14</t>
  </si>
  <si>
    <t>MPF-4005-20200625-12_15_15</t>
  </si>
  <si>
    <t>DARK-4006-20200625-12_15_23</t>
  </si>
  <si>
    <t>12:14:07</t>
  </si>
  <si>
    <t>1/2</t>
  </si>
  <si>
    <t>20200625 12:17:22</t>
  </si>
  <si>
    <t>12:17:22</t>
  </si>
  <si>
    <t>MPF-4007-20200625-12_17_24</t>
  </si>
  <si>
    <t>DARK-4008-20200625-12_17_31</t>
  </si>
  <si>
    <t>12:16:38</t>
  </si>
  <si>
    <t>20200625 12:19:23</t>
  </si>
  <si>
    <t>12:19:23</t>
  </si>
  <si>
    <t>MPF-4009-20200625-12_19_24</t>
  </si>
  <si>
    <t>DARK-4010-20200625-12_19_32</t>
  </si>
  <si>
    <t>12:18:24</t>
  </si>
  <si>
    <t>20200625 12:21:53</t>
  </si>
  <si>
    <t>12:21:53</t>
  </si>
  <si>
    <t>MPF-4011-20200625-12_21_55</t>
  </si>
  <si>
    <t>DARK-4012-20200625-12_22_02</t>
  </si>
  <si>
    <t>12:20:45</t>
  </si>
  <si>
    <t>20200625 12:24:24</t>
  </si>
  <si>
    <t>12:24:24</t>
  </si>
  <si>
    <t>MPF-4013-20200625-12_24_25</t>
  </si>
  <si>
    <t>DARK-4014-20200625-12_24_33</t>
  </si>
  <si>
    <t>12:23:50</t>
  </si>
  <si>
    <t>0/2</t>
  </si>
  <si>
    <t>20200625 12:26:29</t>
  </si>
  <si>
    <t>12:26:29</t>
  </si>
  <si>
    <t>MPF-4015-20200625-12_26_31</t>
  </si>
  <si>
    <t>DARK-4016-20200625-12_26_38</t>
  </si>
  <si>
    <t>12:25:44</t>
  </si>
  <si>
    <t>20200625 12:28:34</t>
  </si>
  <si>
    <t>12:28:34</t>
  </si>
  <si>
    <t>MPF-4017-20200625-12_28_36</t>
  </si>
  <si>
    <t>DARK-4018-20200625-12_28_43</t>
  </si>
  <si>
    <t>12:27:53</t>
  </si>
  <si>
    <t>20200625 12:31:05</t>
  </si>
  <si>
    <t>12:31:05</t>
  </si>
  <si>
    <t>MPF-4019-20200625-12_31_06</t>
  </si>
  <si>
    <t>DARK-4020-20200625-12_31_14</t>
  </si>
  <si>
    <t>12:30:06</t>
  </si>
  <si>
    <t>20200625 12:33:05</t>
  </si>
  <si>
    <t>12:33:05</t>
  </si>
  <si>
    <t>MPF-4021-20200625-12_33_07</t>
  </si>
  <si>
    <t>DARK-4022-20200625-12_33_14</t>
  </si>
  <si>
    <t>12:32:05</t>
  </si>
  <si>
    <t>20200625 12:35:08</t>
  </si>
  <si>
    <t>12:35:08</t>
  </si>
  <si>
    <t>MPF-4023-20200625-12_35_10</t>
  </si>
  <si>
    <t>DARK-4024-20200625-12_35_17</t>
  </si>
  <si>
    <t>12:34:27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</si>
</sst>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1593104791.5999999</v>
      </c>
      <c r="C17">
        <v>0</v>
      </c>
      <c r="D17" t="s">
        <v>277</v>
      </c>
      <c r="E17" t="s">
        <v>278</v>
      </c>
      <c r="G17">
        <v>1593104783.5999999</v>
      </c>
      <c r="H17">
        <f t="shared" ref="H17:H30" si="0">CC17*AI17*(CA17-CB17)/(100*$B$5*(1000-AI17*CA17))</f>
        <v>7.0949519078803329E-3</v>
      </c>
      <c r="I17">
        <f t="shared" ref="I17:I30" si="1">CC17*AI17*(BZ17-BY17*(1000-AI17*CB17)/(1000-AI17*CA17))/(100*$B$5)</f>
        <v>28.315224944438157</v>
      </c>
      <c r="J17">
        <f t="shared" ref="J17:J30" si="2">BY17 - IF(AI17&gt;1, I17*$B$5*100/(AK17*CI17), 0)</f>
        <v>387.57758064516099</v>
      </c>
      <c r="K17">
        <f t="shared" ref="K17:K30" si="3">((Q17-H17/2)*J17-I17)/(Q17+H17/2)</f>
        <v>271.30916253416711</v>
      </c>
      <c r="L17">
        <f t="shared" ref="L17:L30" si="4">K17*(CD17+CE17)/1000</f>
        <v>26.971695828307169</v>
      </c>
      <c r="M17">
        <f t="shared" ref="M17:M30" si="5">(BY17 - IF(AI17&gt;1, I17*$B$5*100/(AK17*CI17), 0))*(CD17+CE17)/1000</f>
        <v>38.530304385558686</v>
      </c>
      <c r="N17">
        <f t="shared" ref="N17:N30" si="6">2/((1/P17-1/O17)+SIGN(P17)*SQRT((1/P17-1/O17)*(1/P17-1/O17) + 4*BV17/((BV17+1)*(BV17+1))*(2*1/P17*1/O17-1/O17*1/O17)))</f>
        <v>0.44830189529983244</v>
      </c>
      <c r="O17">
        <f t="shared" ref="O17:O30" si="7">AF17+AE17*$B$5+AD17*$B$5*$B$5</f>
        <v>3.3803364623706642</v>
      </c>
      <c r="P17">
        <f t="shared" ref="P17:P30" si="8">H17*(1000-(1000*0.61365*EXP(17.502*T17/(240.97+T17))/(CD17+CE17)+CA17)/2)/(1000*0.61365*EXP(17.502*T17/(240.97+T17))/(CD17+CE17)-CA17)</f>
        <v>0.41769801823148556</v>
      </c>
      <c r="Q17">
        <f t="shared" ref="Q17:Q30" si="9">1/((BV17+1)/(N17/1.6)+1/(O17/1.37)) + BV17/((BV17+1)/(N17/1.6) + BV17/(O17/1.37))</f>
        <v>0.26363659470256778</v>
      </c>
      <c r="R17">
        <f t="shared" ref="R17:R30" si="10">(BS17*BU17)</f>
        <v>353.33613551802102</v>
      </c>
      <c r="S17">
        <f t="shared" ref="S17:S30" si="11">(CF17+(R17+2*0.95*0.0000000567*(((CF17+$B$7)+273)^4-(CF17+273)^4)-44100*H17)/(1.84*29.3*O17+8*0.95*0.0000000567*(CF17+273)^3))</f>
        <v>27.014240792190755</v>
      </c>
      <c r="T17">
        <f t="shared" ref="T17:T30" si="12">($C$7*CG17+$D$7*CH17+$E$7*S17)</f>
        <v>26.998654838709701</v>
      </c>
      <c r="U17">
        <f t="shared" ref="U17:U30" si="13">0.61365*EXP(17.502*T17/(240.97+T17))</f>
        <v>3.5788769322603877</v>
      </c>
      <c r="V17">
        <f t="shared" ref="V17:V30" si="14">(W17/X17*100)</f>
        <v>54.743854237699885</v>
      </c>
      <c r="W17">
        <f t="shared" ref="W17:W30" si="15">CA17*(CD17+CE17)/1000</f>
        <v>1.9371080100599802</v>
      </c>
      <c r="X17">
        <f t="shared" ref="X17:X30" si="16">0.61365*EXP(17.502*CF17/(240.97+CF17))</f>
        <v>3.538494022815756</v>
      </c>
      <c r="Y17">
        <f t="shared" ref="Y17:Y30" si="17">(U17-CA17*(CD17+CE17)/1000)</f>
        <v>1.6417689222004075</v>
      </c>
      <c r="Z17">
        <f t="shared" ref="Z17:Z30" si="18">(-H17*44100)</f>
        <v>-312.88737913752266</v>
      </c>
      <c r="AA17">
        <f t="shared" ref="AA17:AA30" si="19">2*29.3*O17*0.92*(CF17-T17)</f>
        <v>-35.185388187284666</v>
      </c>
      <c r="AB17">
        <f t="shared" ref="AB17:AB30" si="20">2*0.95*0.0000000567*(((CF17+$B$7)+273)^4-(T17+273)^4)</f>
        <v>-2.2441520264544494</v>
      </c>
      <c r="AC17">
        <f t="shared" ref="AC17:AC30" si="21">R17+AB17+Z17+AA17</f>
        <v>3.019216166759243</v>
      </c>
      <c r="AD17">
        <v>-4.1143324285557101E-2</v>
      </c>
      <c r="AE17">
        <v>4.6186985863706301E-2</v>
      </c>
      <c r="AF17">
        <v>3.4525357877854801</v>
      </c>
      <c r="AG17">
        <v>142</v>
      </c>
      <c r="AH17">
        <v>28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52498.160380142675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259.86450000000002</v>
      </c>
      <c r="AT17">
        <v>336.613</v>
      </c>
      <c r="AU17">
        <f t="shared" ref="AU17:AU30" si="27">1-AS17/AT17</f>
        <v>0.22800218648715287</v>
      </c>
      <c r="AV17">
        <v>0.5</v>
      </c>
      <c r="AW17">
        <f t="shared" ref="AW17:AW30" si="28">BS17</f>
        <v>1849.173948096086</v>
      </c>
      <c r="AX17">
        <f t="shared" ref="AX17:AX30" si="29">I17</f>
        <v>28.315224944438157</v>
      </c>
      <c r="AY17">
        <f t="shared" ref="AY17:AY30" si="30">AU17*AV17*AW17</f>
        <v>210.80785168049425</v>
      </c>
      <c r="AZ17">
        <f t="shared" ref="AZ17:AZ30" si="31">BE17/AT17</f>
        <v>0.45474476624491628</v>
      </c>
      <c r="BA17">
        <f t="shared" ref="BA17:BA30" si="32">(AX17-AQ17)/AW17</f>
        <v>1.5853146197858339E-2</v>
      </c>
      <c r="BB17">
        <f t="shared" ref="BB17:BB30" si="33">(AN17-AT17)/AT17</f>
        <v>-1</v>
      </c>
      <c r="BC17" t="s">
        <v>280</v>
      </c>
      <c r="BD17">
        <v>183.54</v>
      </c>
      <c r="BE17">
        <f t="shared" ref="BE17:BE30" si="34">AT17-BD17</f>
        <v>153.07300000000001</v>
      </c>
      <c r="BF17">
        <f t="shared" ref="BF17:BF30" si="35">(AT17-AS17)/(AT17-BD17)</f>
        <v>0.50138496011706812</v>
      </c>
      <c r="BG17">
        <f t="shared" ref="BG17:BG30" si="36">(AN17-AT17)/(AN17-BD17)</f>
        <v>1.8340034869783155</v>
      </c>
      <c r="BH17">
        <f t="shared" ref="BH17:BH30" si="37">(AT17-AS17)/(AT17-AM17)</f>
        <v>0.22800218648715284</v>
      </c>
      <c r="BI17" t="e">
        <f t="shared" ref="BI17:BI30" si="38">(AN17-AT17)/(AN17-AM17)</f>
        <v>#DIV/0!</v>
      </c>
      <c r="BJ17">
        <v>3997</v>
      </c>
      <c r="BK17">
        <v>300</v>
      </c>
      <c r="BL17">
        <v>300</v>
      </c>
      <c r="BM17">
        <v>300</v>
      </c>
      <c r="BN17">
        <v>9884.51</v>
      </c>
      <c r="BO17">
        <v>315.68</v>
      </c>
      <c r="BP17">
        <v>-6.4113E-3</v>
      </c>
      <c r="BQ17">
        <v>0.695465</v>
      </c>
      <c r="BR17">
        <f t="shared" ref="BR17:BR30" si="39">$B$11*CJ17+$C$11*CK17+$F$11*CL17</f>
        <v>2199.9861290322601</v>
      </c>
      <c r="BS17">
        <f t="shared" ref="BS17:BS30" si="40">BR17*BT17</f>
        <v>1849.173948096086</v>
      </c>
      <c r="BT17">
        <f t="shared" ref="BT17:BT30" si="41">($B$11*$D$9+$C$11*$D$9+$F$11*((CY17+CQ17)/MAX(CY17+CQ17+CZ17, 0.1)*$I$9+CZ17/MAX(CY17+CQ17+CZ17, 0.1)*$J$9))/($B$11+$C$11+$F$11)</f>
        <v>0.84053891235646516</v>
      </c>
      <c r="BU17">
        <f t="shared" ref="BU17:BU30" si="42">($B$11*$K$9+$C$11*$K$9+$F$11*((CY17+CQ17)/MAX(CY17+CQ17+CZ17, 0.1)*$P$9+CZ17/MAX(CY17+CQ17+CZ17, 0.1)*$Q$9))/($B$11+$C$11+$F$11)</f>
        <v>0.19107782471293022</v>
      </c>
      <c r="BV17">
        <v>0.5</v>
      </c>
      <c r="BW17" t="s">
        <v>281</v>
      </c>
      <c r="BX17">
        <v>1593104783.5999999</v>
      </c>
      <c r="BY17">
        <v>387.57758064516099</v>
      </c>
      <c r="BZ17">
        <v>400.002322580645</v>
      </c>
      <c r="CA17">
        <v>19.485432258064499</v>
      </c>
      <c r="CB17">
        <v>16.703038709677401</v>
      </c>
      <c r="CC17">
        <v>500.05174193548402</v>
      </c>
      <c r="CD17">
        <v>99.213158064516094</v>
      </c>
      <c r="CE17">
        <v>0.19998219354838701</v>
      </c>
      <c r="CF17">
        <v>26.805583870967698</v>
      </c>
      <c r="CG17">
        <v>26.998654838709701</v>
      </c>
      <c r="CH17">
        <v>999.9</v>
      </c>
      <c r="CI17">
        <v>10000.6016129032</v>
      </c>
      <c r="CJ17">
        <v>0</v>
      </c>
      <c r="CK17">
        <v>236.06135483871</v>
      </c>
      <c r="CL17">
        <v>2199.9861290322601</v>
      </c>
      <c r="CM17">
        <v>0.98199506451612895</v>
      </c>
      <c r="CN17">
        <v>1.80045322580645E-2</v>
      </c>
      <c r="CO17">
        <v>0</v>
      </c>
      <c r="CP17">
        <v>259.82900000000001</v>
      </c>
      <c r="CQ17">
        <v>5.00054</v>
      </c>
      <c r="CR17">
        <v>7760.88064516129</v>
      </c>
      <c r="CS17">
        <v>20590.374193548399</v>
      </c>
      <c r="CT17">
        <v>48.596548387096803</v>
      </c>
      <c r="CU17">
        <v>49.725612903225802</v>
      </c>
      <c r="CV17">
        <v>48.892806451612898</v>
      </c>
      <c r="CW17">
        <v>48.701290322580597</v>
      </c>
      <c r="CX17">
        <v>49.9695483870968</v>
      </c>
      <c r="CY17">
        <v>2155.4661290322601</v>
      </c>
      <c r="CZ17">
        <v>39.520000000000003</v>
      </c>
      <c r="DA17">
        <v>0</v>
      </c>
      <c r="DB17">
        <v>767</v>
      </c>
      <c r="DC17">
        <v>259.86450000000002</v>
      </c>
      <c r="DD17">
        <v>0.70471794165728596</v>
      </c>
      <c r="DE17">
        <v>20.908376065681299</v>
      </c>
      <c r="DF17">
        <v>7761.13807692308</v>
      </c>
      <c r="DG17">
        <v>15</v>
      </c>
      <c r="DH17">
        <v>1593104711.5999999</v>
      </c>
      <c r="DI17" t="s">
        <v>282</v>
      </c>
      <c r="DJ17">
        <v>40</v>
      </c>
      <c r="DK17">
        <v>-0.311</v>
      </c>
      <c r="DL17">
        <v>0.106</v>
      </c>
      <c r="DM17">
        <v>400</v>
      </c>
      <c r="DN17">
        <v>17</v>
      </c>
      <c r="DO17">
        <v>0.45</v>
      </c>
      <c r="DP17">
        <v>0.03</v>
      </c>
      <c r="DQ17">
        <v>-12.440414814814799</v>
      </c>
      <c r="DR17">
        <v>0.27601417953115498</v>
      </c>
      <c r="DS17">
        <v>5.8696414198658897E-2</v>
      </c>
      <c r="DT17">
        <v>1</v>
      </c>
      <c r="DU17">
        <v>2.79244648148148</v>
      </c>
      <c r="DV17">
        <v>-9.7321578044595194E-2</v>
      </c>
      <c r="DW17">
        <v>1.2768902205982801E-2</v>
      </c>
      <c r="DX17">
        <v>1</v>
      </c>
      <c r="DY17">
        <v>2</v>
      </c>
      <c r="DZ17">
        <v>2</v>
      </c>
      <c r="EA17" t="s">
        <v>283</v>
      </c>
      <c r="EB17">
        <v>1.86676</v>
      </c>
      <c r="EC17">
        <v>1.8632500000000001</v>
      </c>
      <c r="ED17">
        <v>1.8689</v>
      </c>
      <c r="EE17">
        <v>1.8668899999999999</v>
      </c>
      <c r="EF17">
        <v>1.8714999999999999</v>
      </c>
      <c r="EG17">
        <v>1.8640000000000001</v>
      </c>
      <c r="EH17">
        <v>1.86551</v>
      </c>
      <c r="EI17">
        <v>1.86544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-0.311</v>
      </c>
      <c r="EX17">
        <v>0.106</v>
      </c>
      <c r="EY17">
        <v>2</v>
      </c>
      <c r="EZ17">
        <v>337.786</v>
      </c>
      <c r="FA17">
        <v>470.42099999999999</v>
      </c>
      <c r="FB17">
        <v>19.623999999999999</v>
      </c>
      <c r="FC17">
        <v>35.105499999999999</v>
      </c>
      <c r="FD17">
        <v>30.0002</v>
      </c>
      <c r="FE17">
        <v>35.009700000000002</v>
      </c>
      <c r="FF17">
        <v>34.994100000000003</v>
      </c>
      <c r="FG17">
        <v>21.824200000000001</v>
      </c>
      <c r="FH17">
        <v>39.371200000000002</v>
      </c>
      <c r="FI17">
        <v>0</v>
      </c>
      <c r="FJ17">
        <v>19.6236</v>
      </c>
      <c r="FK17">
        <v>400</v>
      </c>
      <c r="FL17">
        <v>16.712599999999998</v>
      </c>
      <c r="FM17">
        <v>100.749</v>
      </c>
      <c r="FN17">
        <v>100.816</v>
      </c>
    </row>
    <row r="18" spans="1:170" x14ac:dyDescent="0.25">
      <c r="A18">
        <v>2</v>
      </c>
      <c r="B18">
        <v>1593104920.0999999</v>
      </c>
      <c r="C18">
        <v>128.5</v>
      </c>
      <c r="D18" t="s">
        <v>288</v>
      </c>
      <c r="E18" t="s">
        <v>289</v>
      </c>
      <c r="G18">
        <v>1593104912.0999999</v>
      </c>
      <c r="H18">
        <f t="shared" si="0"/>
        <v>6.1749006628668713E-3</v>
      </c>
      <c r="I18">
        <f t="shared" si="1"/>
        <v>21.255597323621842</v>
      </c>
      <c r="J18">
        <f t="shared" si="2"/>
        <v>290.79893548387099</v>
      </c>
      <c r="K18">
        <f t="shared" si="3"/>
        <v>192.62315492231639</v>
      </c>
      <c r="L18">
        <f t="shared" si="4"/>
        <v>19.149261669373139</v>
      </c>
      <c r="M18">
        <f t="shared" si="5"/>
        <v>28.90921868142787</v>
      </c>
      <c r="N18">
        <f t="shared" si="6"/>
        <v>0.39104512342348396</v>
      </c>
      <c r="O18">
        <f t="shared" si="7"/>
        <v>3.3808878249658401</v>
      </c>
      <c r="P18">
        <f t="shared" si="8"/>
        <v>0.36754319967122834</v>
      </c>
      <c r="Q18">
        <f t="shared" si="9"/>
        <v>0.23170825723769978</v>
      </c>
      <c r="R18">
        <f t="shared" si="10"/>
        <v>353.33536793681077</v>
      </c>
      <c r="S18">
        <f t="shared" si="11"/>
        <v>27.060653346348161</v>
      </c>
      <c r="T18">
        <f t="shared" si="12"/>
        <v>26.894929032258101</v>
      </c>
      <c r="U18">
        <f t="shared" si="13"/>
        <v>3.5571318197496051</v>
      </c>
      <c r="V18">
        <f t="shared" si="14"/>
        <v>55.155709308973464</v>
      </c>
      <c r="W18">
        <f t="shared" si="15"/>
        <v>1.9330636661882759</v>
      </c>
      <c r="X18">
        <f t="shared" si="16"/>
        <v>3.5047390205056783</v>
      </c>
      <c r="Y18">
        <f t="shared" si="17"/>
        <v>1.6240681535613293</v>
      </c>
      <c r="Z18">
        <f t="shared" si="18"/>
        <v>-272.31311923242902</v>
      </c>
      <c r="AA18">
        <f t="shared" si="19"/>
        <v>-45.970364945954159</v>
      </c>
      <c r="AB18">
        <f t="shared" si="20"/>
        <v>-2.9276413200269897</v>
      </c>
      <c r="AC18">
        <f t="shared" si="21"/>
        <v>32.124242438400628</v>
      </c>
      <c r="AD18">
        <v>-4.1151849437341903E-2</v>
      </c>
      <c r="AE18">
        <v>4.6196556093429E-2</v>
      </c>
      <c r="AF18">
        <v>3.4531021105283499</v>
      </c>
      <c r="AG18">
        <v>142</v>
      </c>
      <c r="AH18">
        <v>28</v>
      </c>
      <c r="AI18">
        <f t="shared" si="22"/>
        <v>1</v>
      </c>
      <c r="AJ18">
        <f t="shared" si="23"/>
        <v>0</v>
      </c>
      <c r="AK18">
        <f t="shared" si="24"/>
        <v>52537.131296684864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255.214807692308</v>
      </c>
      <c r="AT18">
        <v>321.10300000000001</v>
      </c>
      <c r="AU18">
        <f t="shared" si="27"/>
        <v>0.20519332521867439</v>
      </c>
      <c r="AV18">
        <v>0.5</v>
      </c>
      <c r="AW18">
        <f t="shared" si="28"/>
        <v>1849.1725642251915</v>
      </c>
      <c r="AX18">
        <f t="shared" si="29"/>
        <v>21.255597323621842</v>
      </c>
      <c r="AY18">
        <f t="shared" si="30"/>
        <v>189.7189336782549</v>
      </c>
      <c r="AZ18">
        <f t="shared" si="31"/>
        <v>0.4282208512533362</v>
      </c>
      <c r="BA18">
        <f t="shared" si="32"/>
        <v>1.2035435607356093E-2</v>
      </c>
      <c r="BB18">
        <f t="shared" si="33"/>
        <v>-1</v>
      </c>
      <c r="BC18" t="s">
        <v>291</v>
      </c>
      <c r="BD18">
        <v>183.6</v>
      </c>
      <c r="BE18">
        <f t="shared" si="34"/>
        <v>137.50300000000001</v>
      </c>
      <c r="BF18">
        <f t="shared" si="35"/>
        <v>0.47917639838906789</v>
      </c>
      <c r="BG18">
        <f t="shared" si="36"/>
        <v>1.7489270152505447</v>
      </c>
      <c r="BH18">
        <f t="shared" si="37"/>
        <v>0.20519332521867439</v>
      </c>
      <c r="BI18" t="e">
        <f t="shared" si="38"/>
        <v>#DIV/0!</v>
      </c>
      <c r="BJ18">
        <v>3999</v>
      </c>
      <c r="BK18">
        <v>300</v>
      </c>
      <c r="BL18">
        <v>300</v>
      </c>
      <c r="BM18">
        <v>300</v>
      </c>
      <c r="BN18">
        <v>9881.5499999999993</v>
      </c>
      <c r="BO18">
        <v>303.92099999999999</v>
      </c>
      <c r="BP18">
        <v>-6.4090900000000001E-3</v>
      </c>
      <c r="BQ18">
        <v>0.89245600000000003</v>
      </c>
      <c r="BR18">
        <f t="shared" si="39"/>
        <v>2199.9848387096799</v>
      </c>
      <c r="BS18">
        <f t="shared" si="40"/>
        <v>1849.1725642251915</v>
      </c>
      <c r="BT18">
        <f t="shared" si="41"/>
        <v>0.840538776308002</v>
      </c>
      <c r="BU18">
        <f t="shared" si="42"/>
        <v>0.19107755261600437</v>
      </c>
      <c r="BV18">
        <v>0.5</v>
      </c>
      <c r="BW18" t="s">
        <v>281</v>
      </c>
      <c r="BX18">
        <v>1593104912.0999999</v>
      </c>
      <c r="BY18">
        <v>290.79893548387099</v>
      </c>
      <c r="BZ18">
        <v>300.01809677419402</v>
      </c>
      <c r="CA18">
        <v>19.444761290322599</v>
      </c>
      <c r="CB18">
        <v>17.0231806451613</v>
      </c>
      <c r="CC18">
        <v>500.07264516128998</v>
      </c>
      <c r="CD18">
        <v>99.213070967741899</v>
      </c>
      <c r="CE18">
        <v>0.200011935483871</v>
      </c>
      <c r="CF18">
        <v>26.6427193548387</v>
      </c>
      <c r="CG18">
        <v>26.894929032258101</v>
      </c>
      <c r="CH18">
        <v>999.9</v>
      </c>
      <c r="CI18">
        <v>10002.6825806452</v>
      </c>
      <c r="CJ18">
        <v>0</v>
      </c>
      <c r="CK18">
        <v>225.88716129032301</v>
      </c>
      <c r="CL18">
        <v>2199.9848387096799</v>
      </c>
      <c r="CM18">
        <v>0.98200058064516105</v>
      </c>
      <c r="CN18">
        <v>1.79997903225807E-2</v>
      </c>
      <c r="CO18">
        <v>0</v>
      </c>
      <c r="CP18">
        <v>255.23135483870999</v>
      </c>
      <c r="CQ18">
        <v>5.00054</v>
      </c>
      <c r="CR18">
        <v>7666.5258064516102</v>
      </c>
      <c r="CS18">
        <v>20590.390322580599</v>
      </c>
      <c r="CT18">
        <v>49.225580645161301</v>
      </c>
      <c r="CU18">
        <v>50.221580645161303</v>
      </c>
      <c r="CV18">
        <v>49.544064516128998</v>
      </c>
      <c r="CW18">
        <v>49.009774193548402</v>
      </c>
      <c r="CX18">
        <v>50.457387096774198</v>
      </c>
      <c r="CY18">
        <v>2155.4748387096802</v>
      </c>
      <c r="CZ18">
        <v>39.51</v>
      </c>
      <c r="DA18">
        <v>0</v>
      </c>
      <c r="DB18">
        <v>127.799999952316</v>
      </c>
      <c r="DC18">
        <v>255.214807692308</v>
      </c>
      <c r="DD18">
        <v>0.25275214398796297</v>
      </c>
      <c r="DE18">
        <v>-1.3863247908429099</v>
      </c>
      <c r="DF18">
        <v>7666.55961538462</v>
      </c>
      <c r="DG18">
        <v>15</v>
      </c>
      <c r="DH18">
        <v>1593104859.5999999</v>
      </c>
      <c r="DI18" t="s">
        <v>292</v>
      </c>
      <c r="DJ18">
        <v>41</v>
      </c>
      <c r="DK18">
        <v>-0.41599999999999998</v>
      </c>
      <c r="DL18">
        <v>0.109</v>
      </c>
      <c r="DM18">
        <v>300</v>
      </c>
      <c r="DN18">
        <v>17</v>
      </c>
      <c r="DO18">
        <v>0.39</v>
      </c>
      <c r="DP18">
        <v>0.03</v>
      </c>
      <c r="DQ18">
        <v>-9.1959668518518498</v>
      </c>
      <c r="DR18">
        <v>-0.34486710120082098</v>
      </c>
      <c r="DS18">
        <v>7.4801752945989702E-2</v>
      </c>
      <c r="DT18">
        <v>1</v>
      </c>
      <c r="DU18">
        <v>2.4334116666666699</v>
      </c>
      <c r="DV18">
        <v>-4.7749662664309203E-2</v>
      </c>
      <c r="DW18">
        <v>7.4151115392075403E-2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1.86327</v>
      </c>
      <c r="ED18">
        <v>1.8689100000000001</v>
      </c>
      <c r="EE18">
        <v>1.8669</v>
      </c>
      <c r="EF18">
        <v>1.8715299999999999</v>
      </c>
      <c r="EG18">
        <v>1.8640099999999999</v>
      </c>
      <c r="EH18">
        <v>1.86554</v>
      </c>
      <c r="EI18">
        <v>1.8655299999999999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-0.41599999999999998</v>
      </c>
      <c r="EX18">
        <v>0.109</v>
      </c>
      <c r="EY18">
        <v>2</v>
      </c>
      <c r="EZ18">
        <v>337.608</v>
      </c>
      <c r="FA18">
        <v>470.255</v>
      </c>
      <c r="FB18">
        <v>19.204499999999999</v>
      </c>
      <c r="FC18">
        <v>35.0991</v>
      </c>
      <c r="FD18">
        <v>29.995999999999999</v>
      </c>
      <c r="FE18">
        <v>35.049300000000002</v>
      </c>
      <c r="FF18">
        <v>35.041200000000003</v>
      </c>
      <c r="FG18">
        <v>17.265699999999999</v>
      </c>
      <c r="FH18">
        <v>39.0745</v>
      </c>
      <c r="FI18">
        <v>0</v>
      </c>
      <c r="FJ18">
        <v>19.439599999999999</v>
      </c>
      <c r="FK18">
        <v>300</v>
      </c>
      <c r="FL18">
        <v>16.7639</v>
      </c>
      <c r="FM18">
        <v>100.753</v>
      </c>
      <c r="FN18">
        <v>100.82899999999999</v>
      </c>
    </row>
    <row r="19" spans="1:170" x14ac:dyDescent="0.25">
      <c r="A19">
        <v>3</v>
      </c>
      <c r="B19">
        <v>1593105043.0999999</v>
      </c>
      <c r="C19">
        <v>251.5</v>
      </c>
      <c r="D19" t="s">
        <v>293</v>
      </c>
      <c r="E19" t="s">
        <v>294</v>
      </c>
      <c r="G19">
        <v>1593105035.0999999</v>
      </c>
      <c r="H19">
        <f t="shared" si="0"/>
        <v>6.7035435959536746E-3</v>
      </c>
      <c r="I19">
        <f t="shared" si="1"/>
        <v>13.348124882361619</v>
      </c>
      <c r="J19">
        <f t="shared" si="2"/>
        <v>194.208032258065</v>
      </c>
      <c r="K19">
        <f t="shared" si="3"/>
        <v>135.94754962555197</v>
      </c>
      <c r="L19">
        <f t="shared" si="4"/>
        <v>13.515495221244349</v>
      </c>
      <c r="M19">
        <f t="shared" si="5"/>
        <v>19.307576628933951</v>
      </c>
      <c r="N19">
        <f t="shared" si="6"/>
        <v>0.42034319798627523</v>
      </c>
      <c r="O19">
        <f t="shared" si="7"/>
        <v>3.3804395907933729</v>
      </c>
      <c r="P19">
        <f t="shared" si="8"/>
        <v>0.39331492090511966</v>
      </c>
      <c r="Q19">
        <f t="shared" si="9"/>
        <v>0.24810524042238374</v>
      </c>
      <c r="R19">
        <f t="shared" si="10"/>
        <v>353.33630218650791</v>
      </c>
      <c r="S19">
        <f t="shared" si="11"/>
        <v>27.168279916296921</v>
      </c>
      <c r="T19">
        <f t="shared" si="12"/>
        <v>27.042303225806499</v>
      </c>
      <c r="U19">
        <f t="shared" si="13"/>
        <v>3.5880620261996343</v>
      </c>
      <c r="V19">
        <f t="shared" si="14"/>
        <v>54.637319842269214</v>
      </c>
      <c r="W19">
        <f t="shared" si="15"/>
        <v>1.9407439384792846</v>
      </c>
      <c r="X19">
        <f t="shared" si="16"/>
        <v>3.5520482045641293</v>
      </c>
      <c r="Y19">
        <f t="shared" si="17"/>
        <v>1.6473180877203497</v>
      </c>
      <c r="Z19">
        <f t="shared" si="18"/>
        <v>-295.62627258155703</v>
      </c>
      <c r="AA19">
        <f t="shared" si="19"/>
        <v>-31.292270599044475</v>
      </c>
      <c r="AB19">
        <f t="shared" si="20"/>
        <v>-1.9968698662475393</v>
      </c>
      <c r="AC19">
        <f t="shared" si="21"/>
        <v>24.420889139658851</v>
      </c>
      <c r="AD19">
        <v>-4.1144918806740399E-2</v>
      </c>
      <c r="AE19">
        <v>4.6188775853422299E-2</v>
      </c>
      <c r="AF19">
        <v>3.45264171431349</v>
      </c>
      <c r="AG19">
        <v>141</v>
      </c>
      <c r="AH19">
        <v>28</v>
      </c>
      <c r="AI19">
        <f t="shared" si="22"/>
        <v>1</v>
      </c>
      <c r="AJ19">
        <f t="shared" si="23"/>
        <v>0</v>
      </c>
      <c r="AK19">
        <f t="shared" si="24"/>
        <v>52488.811840483984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254.52076923076899</v>
      </c>
      <c r="AT19">
        <v>310.45400000000001</v>
      </c>
      <c r="AU19">
        <f t="shared" si="27"/>
        <v>0.18016592077805738</v>
      </c>
      <c r="AV19">
        <v>0.5</v>
      </c>
      <c r="AW19">
        <f t="shared" si="28"/>
        <v>1849.1798803542879</v>
      </c>
      <c r="AX19">
        <f t="shared" si="29"/>
        <v>13.348124882361619</v>
      </c>
      <c r="AY19">
        <f t="shared" si="30"/>
        <v>166.57959791414413</v>
      </c>
      <c r="AZ19">
        <f t="shared" si="31"/>
        <v>0.40242354744986375</v>
      </c>
      <c r="BA19">
        <f t="shared" si="32"/>
        <v>7.7591828868550277E-3</v>
      </c>
      <c r="BB19">
        <f t="shared" si="33"/>
        <v>-1</v>
      </c>
      <c r="BC19" t="s">
        <v>296</v>
      </c>
      <c r="BD19">
        <v>185.52</v>
      </c>
      <c r="BE19">
        <f t="shared" si="34"/>
        <v>124.934</v>
      </c>
      <c r="BF19">
        <f t="shared" si="35"/>
        <v>0.44770223293283667</v>
      </c>
      <c r="BG19">
        <f t="shared" si="36"/>
        <v>1.6734260457093575</v>
      </c>
      <c r="BH19">
        <f t="shared" si="37"/>
        <v>0.18016592077805735</v>
      </c>
      <c r="BI19" t="e">
        <f t="shared" si="38"/>
        <v>#DIV/0!</v>
      </c>
      <c r="BJ19">
        <v>4001</v>
      </c>
      <c r="BK19">
        <v>300</v>
      </c>
      <c r="BL19">
        <v>300</v>
      </c>
      <c r="BM19">
        <v>300</v>
      </c>
      <c r="BN19">
        <v>9879.7900000000009</v>
      </c>
      <c r="BO19">
        <v>294.60300000000001</v>
      </c>
      <c r="BP19">
        <v>-6.4075699999999996E-3</v>
      </c>
      <c r="BQ19">
        <v>0.852661</v>
      </c>
      <c r="BR19">
        <f t="shared" si="39"/>
        <v>2199.9938709677399</v>
      </c>
      <c r="BS19">
        <f t="shared" si="40"/>
        <v>1849.1798803542879</v>
      </c>
      <c r="BT19">
        <f t="shared" si="41"/>
        <v>0.8405386509285433</v>
      </c>
      <c r="BU19">
        <f t="shared" si="42"/>
        <v>0.1910773018570868</v>
      </c>
      <c r="BV19">
        <v>0.5</v>
      </c>
      <c r="BW19" t="s">
        <v>281</v>
      </c>
      <c r="BX19">
        <v>1593105035.0999999</v>
      </c>
      <c r="BY19">
        <v>194.208032258065</v>
      </c>
      <c r="BZ19">
        <v>200.06729032258099</v>
      </c>
      <c r="CA19">
        <v>19.5212516129032</v>
      </c>
      <c r="CB19">
        <v>16.8925129032258</v>
      </c>
      <c r="CC19">
        <v>500.063548387097</v>
      </c>
      <c r="CD19">
        <v>99.216987096774204</v>
      </c>
      <c r="CE19">
        <v>0.19999583870967699</v>
      </c>
      <c r="CF19">
        <v>26.8706</v>
      </c>
      <c r="CG19">
        <v>27.042303225806499</v>
      </c>
      <c r="CH19">
        <v>999.9</v>
      </c>
      <c r="CI19">
        <v>10000.603225806501</v>
      </c>
      <c r="CJ19">
        <v>0</v>
      </c>
      <c r="CK19">
        <v>221.94412903225799</v>
      </c>
      <c r="CL19">
        <v>2199.9938709677399</v>
      </c>
      <c r="CM19">
        <v>0.98200290322580697</v>
      </c>
      <c r="CN19">
        <v>1.7997351612903199E-2</v>
      </c>
      <c r="CO19">
        <v>0</v>
      </c>
      <c r="CP19">
        <v>254.51374193548401</v>
      </c>
      <c r="CQ19">
        <v>5.00054</v>
      </c>
      <c r="CR19">
        <v>7641.9906451612896</v>
      </c>
      <c r="CS19">
        <v>20590.487096774199</v>
      </c>
      <c r="CT19">
        <v>49.686999999999998</v>
      </c>
      <c r="CU19">
        <v>50.75</v>
      </c>
      <c r="CV19">
        <v>50.0741935483871</v>
      </c>
      <c r="CW19">
        <v>49.433258064516103</v>
      </c>
      <c r="CX19">
        <v>50.889000000000003</v>
      </c>
      <c r="CY19">
        <v>2155.4929032258101</v>
      </c>
      <c r="CZ19">
        <v>39.500967741935497</v>
      </c>
      <c r="DA19">
        <v>0</v>
      </c>
      <c r="DB19">
        <v>122.299999952316</v>
      </c>
      <c r="DC19">
        <v>254.52076923076899</v>
      </c>
      <c r="DD19">
        <v>0.225846151811223</v>
      </c>
      <c r="DE19">
        <v>-7.0294016588578501</v>
      </c>
      <c r="DF19">
        <v>7641.8111538461499</v>
      </c>
      <c r="DG19">
        <v>15</v>
      </c>
      <c r="DH19">
        <v>1593104996.0999999</v>
      </c>
      <c r="DI19" t="s">
        <v>297</v>
      </c>
      <c r="DJ19">
        <v>42</v>
      </c>
      <c r="DK19">
        <v>-0.39200000000000002</v>
      </c>
      <c r="DL19">
        <v>0.10199999999999999</v>
      </c>
      <c r="DM19">
        <v>200</v>
      </c>
      <c r="DN19">
        <v>16</v>
      </c>
      <c r="DO19">
        <v>0.47</v>
      </c>
      <c r="DP19">
        <v>0.03</v>
      </c>
      <c r="DQ19">
        <v>-5.8473120370370397</v>
      </c>
      <c r="DR19">
        <v>4.9331000571699E-2</v>
      </c>
      <c r="DS19">
        <v>5.7961794644775001E-2</v>
      </c>
      <c r="DT19">
        <v>1</v>
      </c>
      <c r="DU19">
        <v>2.6196840740740699</v>
      </c>
      <c r="DV19">
        <v>8.8247272727279197E-2</v>
      </c>
      <c r="DW19">
        <v>1.32600307969195E-2</v>
      </c>
      <c r="DX19">
        <v>1</v>
      </c>
      <c r="DY19">
        <v>2</v>
      </c>
      <c r="DZ19">
        <v>2</v>
      </c>
      <c r="EA19" t="s">
        <v>283</v>
      </c>
      <c r="EB19">
        <v>1.8667499999999999</v>
      </c>
      <c r="EC19">
        <v>1.8632500000000001</v>
      </c>
      <c r="ED19">
        <v>1.8689</v>
      </c>
      <c r="EE19">
        <v>1.8668100000000001</v>
      </c>
      <c r="EF19">
        <v>1.8714900000000001</v>
      </c>
      <c r="EG19">
        <v>1.86399</v>
      </c>
      <c r="EH19">
        <v>1.8654900000000001</v>
      </c>
      <c r="EI19">
        <v>1.8653900000000001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-0.39200000000000002</v>
      </c>
      <c r="EX19">
        <v>0.10199999999999999</v>
      </c>
      <c r="EY19">
        <v>2</v>
      </c>
      <c r="EZ19">
        <v>338.58800000000002</v>
      </c>
      <c r="FA19">
        <v>469.36200000000002</v>
      </c>
      <c r="FB19">
        <v>19.6449</v>
      </c>
      <c r="FC19">
        <v>35.0989</v>
      </c>
      <c r="FD19">
        <v>30.000299999999999</v>
      </c>
      <c r="FE19">
        <v>35.084400000000002</v>
      </c>
      <c r="FF19">
        <v>35.0794</v>
      </c>
      <c r="FG19">
        <v>12.5261</v>
      </c>
      <c r="FH19">
        <v>39.395200000000003</v>
      </c>
      <c r="FI19">
        <v>0</v>
      </c>
      <c r="FJ19">
        <v>19.634599999999999</v>
      </c>
      <c r="FK19">
        <v>200</v>
      </c>
      <c r="FL19">
        <v>16.9575</v>
      </c>
      <c r="FM19">
        <v>100.74</v>
      </c>
      <c r="FN19">
        <v>100.819</v>
      </c>
    </row>
    <row r="20" spans="1:170" x14ac:dyDescent="0.25">
      <c r="A20">
        <v>4</v>
      </c>
      <c r="B20">
        <v>1593105163.5999999</v>
      </c>
      <c r="C20">
        <v>372</v>
      </c>
      <c r="D20" t="s">
        <v>298</v>
      </c>
      <c r="E20" t="s">
        <v>299</v>
      </c>
      <c r="G20">
        <v>1593105155.5999999</v>
      </c>
      <c r="H20">
        <f t="shared" si="0"/>
        <v>6.2362504164408519E-3</v>
      </c>
      <c r="I20">
        <f t="shared" si="1"/>
        <v>4.8233816194061374</v>
      </c>
      <c r="J20">
        <f t="shared" si="2"/>
        <v>97.854877419354807</v>
      </c>
      <c r="K20">
        <f t="shared" si="3"/>
        <v>74.759560829460781</v>
      </c>
      <c r="L20">
        <f t="shared" si="4"/>
        <v>7.4322121489326687</v>
      </c>
      <c r="M20">
        <f t="shared" si="5"/>
        <v>9.7282300848113685</v>
      </c>
      <c r="N20">
        <f t="shared" si="6"/>
        <v>0.39183438794897812</v>
      </c>
      <c r="O20">
        <f t="shared" si="7"/>
        <v>3.380868139003649</v>
      </c>
      <c r="P20">
        <f t="shared" si="8"/>
        <v>0.3682404410507607</v>
      </c>
      <c r="Q20">
        <f t="shared" si="9"/>
        <v>0.23215161523088598</v>
      </c>
      <c r="R20">
        <f t="shared" si="10"/>
        <v>353.33871544062532</v>
      </c>
      <c r="S20">
        <f t="shared" si="11"/>
        <v>27.23838352914451</v>
      </c>
      <c r="T20">
        <f t="shared" si="12"/>
        <v>27.040209677419401</v>
      </c>
      <c r="U20">
        <f t="shared" si="13"/>
        <v>3.5876210036040823</v>
      </c>
      <c r="V20">
        <f t="shared" si="14"/>
        <v>55.040211791631819</v>
      </c>
      <c r="W20">
        <f t="shared" si="15"/>
        <v>1.9509017284671195</v>
      </c>
      <c r="X20">
        <f t="shared" si="16"/>
        <v>3.5445025826803414</v>
      </c>
      <c r="Y20">
        <f t="shared" si="17"/>
        <v>1.6367192751369628</v>
      </c>
      <c r="Z20">
        <f t="shared" si="18"/>
        <v>-275.01864336504156</v>
      </c>
      <c r="AA20">
        <f t="shared" si="19"/>
        <v>-37.506919168230162</v>
      </c>
      <c r="AB20">
        <f t="shared" si="20"/>
        <v>-2.3926872914085409</v>
      </c>
      <c r="AC20">
        <f t="shared" si="21"/>
        <v>38.420465615945055</v>
      </c>
      <c r="AD20">
        <v>-4.11515450428626E-2</v>
      </c>
      <c r="AE20">
        <v>4.61962143839596E-2</v>
      </c>
      <c r="AF20">
        <v>3.4530818904071801</v>
      </c>
      <c r="AG20">
        <v>142</v>
      </c>
      <c r="AH20">
        <v>28</v>
      </c>
      <c r="AI20">
        <f t="shared" si="22"/>
        <v>1</v>
      </c>
      <c r="AJ20">
        <f t="shared" si="23"/>
        <v>0</v>
      </c>
      <c r="AK20">
        <f t="shared" si="24"/>
        <v>52503.206427330173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257.25030769230801</v>
      </c>
      <c r="AT20">
        <v>300.72899999999998</v>
      </c>
      <c r="AU20">
        <f t="shared" si="27"/>
        <v>0.14457765066785033</v>
      </c>
      <c r="AV20">
        <v>0.5</v>
      </c>
      <c r="AW20">
        <f t="shared" si="28"/>
        <v>1849.1870126122046</v>
      </c>
      <c r="AX20">
        <f t="shared" si="29"/>
        <v>4.8233816194061374</v>
      </c>
      <c r="AY20">
        <f t="shared" si="30"/>
        <v>133.67555696448653</v>
      </c>
      <c r="AZ20">
        <f t="shared" si="31"/>
        <v>0.37119466363403597</v>
      </c>
      <c r="BA20">
        <f t="shared" si="32"/>
        <v>3.1491577540228841E-3</v>
      </c>
      <c r="BB20">
        <f t="shared" si="33"/>
        <v>-1</v>
      </c>
      <c r="BC20" t="s">
        <v>301</v>
      </c>
      <c r="BD20">
        <v>189.1</v>
      </c>
      <c r="BE20">
        <f t="shared" si="34"/>
        <v>111.62899999999999</v>
      </c>
      <c r="BF20">
        <f t="shared" si="35"/>
        <v>0.38949280480602688</v>
      </c>
      <c r="BG20">
        <f t="shared" si="36"/>
        <v>1.5903172924378635</v>
      </c>
      <c r="BH20">
        <f t="shared" si="37"/>
        <v>0.14457765066785036</v>
      </c>
      <c r="BI20" t="e">
        <f t="shared" si="38"/>
        <v>#DIV/0!</v>
      </c>
      <c r="BJ20">
        <v>4003</v>
      </c>
      <c r="BK20">
        <v>300</v>
      </c>
      <c r="BL20">
        <v>300</v>
      </c>
      <c r="BM20">
        <v>300</v>
      </c>
      <c r="BN20">
        <v>9877.24</v>
      </c>
      <c r="BO20">
        <v>288.42</v>
      </c>
      <c r="BP20">
        <v>-6.4056E-3</v>
      </c>
      <c r="BQ20">
        <v>0.366425</v>
      </c>
      <c r="BR20">
        <f t="shared" si="39"/>
        <v>2200.0016129032301</v>
      </c>
      <c r="BS20">
        <f t="shared" si="40"/>
        <v>1849.1870126122046</v>
      </c>
      <c r="BT20">
        <f t="shared" si="41"/>
        <v>0.84053893495647336</v>
      </c>
      <c r="BU20">
        <f t="shared" si="42"/>
        <v>0.19107786991294667</v>
      </c>
      <c r="BV20">
        <v>0.5</v>
      </c>
      <c r="BW20" t="s">
        <v>281</v>
      </c>
      <c r="BX20">
        <v>1593105155.5999999</v>
      </c>
      <c r="BY20">
        <v>97.854877419354807</v>
      </c>
      <c r="BZ20">
        <v>100.02804516129</v>
      </c>
      <c r="CA20">
        <v>19.623841935483899</v>
      </c>
      <c r="CB20">
        <v>17.178612903225801</v>
      </c>
      <c r="CC20">
        <v>500.06532258064499</v>
      </c>
      <c r="CD20">
        <v>99.2149</v>
      </c>
      <c r="CE20">
        <v>0.19997170967741901</v>
      </c>
      <c r="CF20">
        <v>26.834432258064499</v>
      </c>
      <c r="CG20">
        <v>27.040209677419401</v>
      </c>
      <c r="CH20">
        <v>999.9</v>
      </c>
      <c r="CI20">
        <v>10002.424193548401</v>
      </c>
      <c r="CJ20">
        <v>0</v>
      </c>
      <c r="CK20">
        <v>223.551806451613</v>
      </c>
      <c r="CL20">
        <v>2200.0016129032301</v>
      </c>
      <c r="CM20">
        <v>0.98199396774193504</v>
      </c>
      <c r="CN20">
        <v>1.8005683870967699E-2</v>
      </c>
      <c r="CO20">
        <v>0</v>
      </c>
      <c r="CP20">
        <v>257.25712903225798</v>
      </c>
      <c r="CQ20">
        <v>5.00054</v>
      </c>
      <c r="CR20">
        <v>7721.0896774193598</v>
      </c>
      <c r="CS20">
        <v>20590.5225806452</v>
      </c>
      <c r="CT20">
        <v>50.241677419354801</v>
      </c>
      <c r="CU20">
        <v>51.302225806451602</v>
      </c>
      <c r="CV20">
        <v>50.640999999999998</v>
      </c>
      <c r="CW20">
        <v>49.921064516129</v>
      </c>
      <c r="CX20">
        <v>51.397064516128999</v>
      </c>
      <c r="CY20">
        <v>2155.4796774193501</v>
      </c>
      <c r="CZ20">
        <v>39.521935483870998</v>
      </c>
      <c r="DA20">
        <v>0</v>
      </c>
      <c r="DB20">
        <v>119.90000009536701</v>
      </c>
      <c r="DC20">
        <v>257.25030769230801</v>
      </c>
      <c r="DD20">
        <v>-0.27398290539510101</v>
      </c>
      <c r="DE20">
        <v>20.265982894999802</v>
      </c>
      <c r="DF20">
        <v>7721.2176923076904</v>
      </c>
      <c r="DG20">
        <v>15</v>
      </c>
      <c r="DH20">
        <v>1593105117.5999999</v>
      </c>
      <c r="DI20" t="s">
        <v>302</v>
      </c>
      <c r="DJ20">
        <v>43</v>
      </c>
      <c r="DK20">
        <v>-0.41199999999999998</v>
      </c>
      <c r="DL20">
        <v>0.111</v>
      </c>
      <c r="DM20">
        <v>100</v>
      </c>
      <c r="DN20">
        <v>17</v>
      </c>
      <c r="DO20">
        <v>0.52</v>
      </c>
      <c r="DP20">
        <v>0.04</v>
      </c>
      <c r="DQ20">
        <v>-2.1793312962962998</v>
      </c>
      <c r="DR20">
        <v>6.2475060034302803E-2</v>
      </c>
      <c r="DS20">
        <v>2.9889206713281099E-2</v>
      </c>
      <c r="DT20">
        <v>1</v>
      </c>
      <c r="DU20">
        <v>2.4475301851851801</v>
      </c>
      <c r="DV20">
        <v>-6.5936192109798302E-3</v>
      </c>
      <c r="DW20">
        <v>1.24121416796948E-2</v>
      </c>
      <c r="DX20">
        <v>1</v>
      </c>
      <c r="DY20">
        <v>2</v>
      </c>
      <c r="DZ20">
        <v>2</v>
      </c>
      <c r="EA20" t="s">
        <v>283</v>
      </c>
      <c r="EB20">
        <v>1.8666799999999999</v>
      </c>
      <c r="EC20">
        <v>1.8632200000000001</v>
      </c>
      <c r="ED20">
        <v>1.8688400000000001</v>
      </c>
      <c r="EE20">
        <v>1.86676</v>
      </c>
      <c r="EF20">
        <v>1.87147</v>
      </c>
      <c r="EG20">
        <v>1.86388</v>
      </c>
      <c r="EH20">
        <v>1.8653999999999999</v>
      </c>
      <c r="EI20">
        <v>1.8653900000000001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-0.41199999999999998</v>
      </c>
      <c r="EX20">
        <v>0.111</v>
      </c>
      <c r="EY20">
        <v>2</v>
      </c>
      <c r="EZ20">
        <v>337.88900000000001</v>
      </c>
      <c r="FA20">
        <v>469.52699999999999</v>
      </c>
      <c r="FB20">
        <v>18.462599999999998</v>
      </c>
      <c r="FC20">
        <v>35.118099999999998</v>
      </c>
      <c r="FD20">
        <v>30.000399999999999</v>
      </c>
      <c r="FE20">
        <v>35.1051</v>
      </c>
      <c r="FF20">
        <v>35.106999999999999</v>
      </c>
      <c r="FG20">
        <v>7.6058199999999996</v>
      </c>
      <c r="FH20">
        <v>38.524299999999997</v>
      </c>
      <c r="FI20">
        <v>0</v>
      </c>
      <c r="FJ20">
        <v>18.448</v>
      </c>
      <c r="FK20">
        <v>100</v>
      </c>
      <c r="FL20">
        <v>17.215499999999999</v>
      </c>
      <c r="FM20">
        <v>100.74</v>
      </c>
      <c r="FN20">
        <v>100.82299999999999</v>
      </c>
    </row>
    <row r="21" spans="1:170" x14ac:dyDescent="0.25">
      <c r="A21">
        <v>5</v>
      </c>
      <c r="B21">
        <v>1593105314.0999999</v>
      </c>
      <c r="C21">
        <v>522.5</v>
      </c>
      <c r="D21" t="s">
        <v>303</v>
      </c>
      <c r="E21" t="s">
        <v>304</v>
      </c>
      <c r="G21">
        <v>1593105306.0999999</v>
      </c>
      <c r="H21">
        <f t="shared" si="0"/>
        <v>7.6115667606277641E-3</v>
      </c>
      <c r="I21">
        <f t="shared" si="1"/>
        <v>0.43976535690154916</v>
      </c>
      <c r="J21">
        <f t="shared" si="2"/>
        <v>49.702693548387103</v>
      </c>
      <c r="K21">
        <f t="shared" si="3"/>
        <v>46.875173480928446</v>
      </c>
      <c r="L21">
        <f t="shared" si="4"/>
        <v>4.6602039556777184</v>
      </c>
      <c r="M21">
        <f t="shared" si="5"/>
        <v>4.9413084129975413</v>
      </c>
      <c r="N21">
        <f t="shared" si="6"/>
        <v>0.48805677428204713</v>
      </c>
      <c r="O21">
        <f t="shared" si="7"/>
        <v>3.3794022481209791</v>
      </c>
      <c r="P21">
        <f t="shared" si="8"/>
        <v>0.45200906364877047</v>
      </c>
      <c r="Q21">
        <f t="shared" si="9"/>
        <v>0.28552221695582619</v>
      </c>
      <c r="R21">
        <f t="shared" si="10"/>
        <v>353.33792356025731</v>
      </c>
      <c r="S21">
        <f t="shared" si="11"/>
        <v>26.897228552024146</v>
      </c>
      <c r="T21">
        <f t="shared" si="12"/>
        <v>26.979132258064499</v>
      </c>
      <c r="U21">
        <f t="shared" si="13"/>
        <v>3.5747753699272042</v>
      </c>
      <c r="V21">
        <f t="shared" si="14"/>
        <v>55.025784300296444</v>
      </c>
      <c r="W21">
        <f t="shared" si="15"/>
        <v>1.947139134167148</v>
      </c>
      <c r="X21">
        <f t="shared" si="16"/>
        <v>3.5385940589976439</v>
      </c>
      <c r="Y21">
        <f t="shared" si="17"/>
        <v>1.6276362357600562</v>
      </c>
      <c r="Z21">
        <f t="shared" si="18"/>
        <v>-335.67009414368442</v>
      </c>
      <c r="AA21">
        <f t="shared" si="19"/>
        <v>-31.5312697079756</v>
      </c>
      <c r="AB21">
        <f t="shared" si="20"/>
        <v>-2.0114537726954405</v>
      </c>
      <c r="AC21">
        <f t="shared" si="21"/>
        <v>-15.874894064098175</v>
      </c>
      <c r="AD21">
        <v>-4.1128880915128202E-2</v>
      </c>
      <c r="AE21">
        <v>4.6170771915091099E-2</v>
      </c>
      <c r="AF21">
        <v>3.45157622795131</v>
      </c>
      <c r="AG21">
        <v>141</v>
      </c>
      <c r="AH21">
        <v>28</v>
      </c>
      <c r="AI21">
        <f t="shared" si="22"/>
        <v>1</v>
      </c>
      <c r="AJ21">
        <f t="shared" si="23"/>
        <v>0</v>
      </c>
      <c r="AK21">
        <f t="shared" si="24"/>
        <v>52480.489112675794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259.64630769230803</v>
      </c>
      <c r="AT21">
        <v>292.64800000000002</v>
      </c>
      <c r="AU21">
        <f t="shared" si="27"/>
        <v>0.11276923918048987</v>
      </c>
      <c r="AV21">
        <v>0.5</v>
      </c>
      <c r="AW21">
        <f t="shared" si="28"/>
        <v>1849.1834245495666</v>
      </c>
      <c r="AX21">
        <f t="shared" si="29"/>
        <v>0.43976535690154916</v>
      </c>
      <c r="AY21">
        <f t="shared" si="30"/>
        <v>104.26550394581371</v>
      </c>
      <c r="AZ21">
        <f t="shared" si="31"/>
        <v>0.33824936442415471</v>
      </c>
      <c r="BA21">
        <f t="shared" si="32"/>
        <v>7.7859521007347043E-4</v>
      </c>
      <c r="BB21">
        <f t="shared" si="33"/>
        <v>-1</v>
      </c>
      <c r="BC21" t="s">
        <v>306</v>
      </c>
      <c r="BD21">
        <v>193.66</v>
      </c>
      <c r="BE21">
        <f t="shared" si="34"/>
        <v>98.988000000000028</v>
      </c>
      <c r="BF21">
        <f t="shared" si="35"/>
        <v>0.33339083836113453</v>
      </c>
      <c r="BG21">
        <f t="shared" si="36"/>
        <v>1.5111432407311784</v>
      </c>
      <c r="BH21">
        <f t="shared" si="37"/>
        <v>0.11276923918048985</v>
      </c>
      <c r="BI21" t="e">
        <f t="shared" si="38"/>
        <v>#DIV/0!</v>
      </c>
      <c r="BJ21">
        <v>4005</v>
      </c>
      <c r="BK21">
        <v>300</v>
      </c>
      <c r="BL21">
        <v>300</v>
      </c>
      <c r="BM21">
        <v>300</v>
      </c>
      <c r="BN21">
        <v>9876.58</v>
      </c>
      <c r="BO21">
        <v>284.608</v>
      </c>
      <c r="BP21">
        <v>-6.4046499999999996E-3</v>
      </c>
      <c r="BQ21">
        <v>0.99240099999999998</v>
      </c>
      <c r="BR21">
        <f t="shared" si="39"/>
        <v>2199.9974193548401</v>
      </c>
      <c r="BS21">
        <f t="shared" si="40"/>
        <v>1849.1834245495666</v>
      </c>
      <c r="BT21">
        <f t="shared" si="41"/>
        <v>0.84053890621919392</v>
      </c>
      <c r="BU21">
        <f t="shared" si="42"/>
        <v>0.19107781243838759</v>
      </c>
      <c r="BV21">
        <v>0.5</v>
      </c>
      <c r="BW21" t="s">
        <v>281</v>
      </c>
      <c r="BX21">
        <v>1593105306.0999999</v>
      </c>
      <c r="BY21">
        <v>49.702693548387103</v>
      </c>
      <c r="BZ21">
        <v>50.029880645161299</v>
      </c>
      <c r="CA21">
        <v>19.585512903225801</v>
      </c>
      <c r="CB21">
        <v>16.600929032258101</v>
      </c>
      <c r="CC21">
        <v>500.069064516129</v>
      </c>
      <c r="CD21">
        <v>99.217316129032298</v>
      </c>
      <c r="CE21">
        <v>0.20000032258064501</v>
      </c>
      <c r="CF21">
        <v>26.806064516128998</v>
      </c>
      <c r="CG21">
        <v>26.979132258064499</v>
      </c>
      <c r="CH21">
        <v>999.9</v>
      </c>
      <c r="CI21">
        <v>9996.6719354838697</v>
      </c>
      <c r="CJ21">
        <v>0</v>
      </c>
      <c r="CK21">
        <v>224.75351612903199</v>
      </c>
      <c r="CL21">
        <v>2199.9974193548401</v>
      </c>
      <c r="CM21">
        <v>0.98199383870967705</v>
      </c>
      <c r="CN21">
        <v>1.8005877419354801E-2</v>
      </c>
      <c r="CO21">
        <v>0</v>
      </c>
      <c r="CP21">
        <v>259.67351612903201</v>
      </c>
      <c r="CQ21">
        <v>5.00054</v>
      </c>
      <c r="CR21">
        <v>7784.9890322580604</v>
      </c>
      <c r="CS21">
        <v>20590.467741935499</v>
      </c>
      <c r="CT21">
        <v>50.677225806451602</v>
      </c>
      <c r="CU21">
        <v>51.796064516129</v>
      </c>
      <c r="CV21">
        <v>51.112741935483903</v>
      </c>
      <c r="CW21">
        <v>50.239612903225797</v>
      </c>
      <c r="CX21">
        <v>51.731580645161301</v>
      </c>
      <c r="CY21">
        <v>2155.4735483871</v>
      </c>
      <c r="CZ21">
        <v>39.519677419354799</v>
      </c>
      <c r="DA21">
        <v>0</v>
      </c>
      <c r="DB21">
        <v>150</v>
      </c>
      <c r="DC21">
        <v>259.64630769230803</v>
      </c>
      <c r="DD21">
        <v>-9.5589741446377594E-2</v>
      </c>
      <c r="DE21">
        <v>-0.85914536308747003</v>
      </c>
      <c r="DF21">
        <v>7785.0673076923104</v>
      </c>
      <c r="DG21">
        <v>15</v>
      </c>
      <c r="DH21">
        <v>1593105247.5999999</v>
      </c>
      <c r="DI21" t="s">
        <v>307</v>
      </c>
      <c r="DJ21">
        <v>44</v>
      </c>
      <c r="DK21">
        <v>-0.37</v>
      </c>
      <c r="DL21">
        <v>0.10299999999999999</v>
      </c>
      <c r="DM21">
        <v>50</v>
      </c>
      <c r="DN21">
        <v>16</v>
      </c>
      <c r="DO21">
        <v>0.47</v>
      </c>
      <c r="DP21">
        <v>0.03</v>
      </c>
      <c r="DQ21">
        <v>-0.32560438888888898</v>
      </c>
      <c r="DR21">
        <v>6.8213895940543501E-2</v>
      </c>
      <c r="DS21">
        <v>4.4896373079371298E-2</v>
      </c>
      <c r="DT21">
        <v>1</v>
      </c>
      <c r="DU21">
        <v>2.9523018518518498</v>
      </c>
      <c r="DV21">
        <v>0.26979284162379402</v>
      </c>
      <c r="DW21">
        <v>3.9204362289119998E-2</v>
      </c>
      <c r="DX21">
        <v>0</v>
      </c>
      <c r="DY21">
        <v>1</v>
      </c>
      <c r="DZ21">
        <v>2</v>
      </c>
      <c r="EA21" t="s">
        <v>308</v>
      </c>
      <c r="EB21">
        <v>1.8667400000000001</v>
      </c>
      <c r="EC21">
        <v>1.8632500000000001</v>
      </c>
      <c r="ED21">
        <v>1.8689</v>
      </c>
      <c r="EE21">
        <v>1.8668</v>
      </c>
      <c r="EF21">
        <v>1.8714900000000001</v>
      </c>
      <c r="EG21">
        <v>1.86398</v>
      </c>
      <c r="EH21">
        <v>1.8654999999999999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-0.37</v>
      </c>
      <c r="EX21">
        <v>0.10299999999999999</v>
      </c>
      <c r="EY21">
        <v>2</v>
      </c>
      <c r="EZ21">
        <v>338.851</v>
      </c>
      <c r="FA21">
        <v>466.79300000000001</v>
      </c>
      <c r="FB21">
        <v>19.2759</v>
      </c>
      <c r="FC21">
        <v>35.3018</v>
      </c>
      <c r="FD21">
        <v>30.000299999999999</v>
      </c>
      <c r="FE21">
        <v>35.2286</v>
      </c>
      <c r="FF21">
        <v>35.223100000000002</v>
      </c>
      <c r="FG21">
        <v>5.09924</v>
      </c>
      <c r="FH21">
        <v>41.2044</v>
      </c>
      <c r="FI21">
        <v>0</v>
      </c>
      <c r="FJ21">
        <v>19.287800000000001</v>
      </c>
      <c r="FK21">
        <v>50</v>
      </c>
      <c r="FL21">
        <v>16.575800000000001</v>
      </c>
      <c r="FM21">
        <v>100.714</v>
      </c>
      <c r="FN21">
        <v>100.801</v>
      </c>
    </row>
    <row r="22" spans="1:170" x14ac:dyDescent="0.25">
      <c r="A22">
        <v>6</v>
      </c>
      <c r="B22">
        <v>1593105442.5999999</v>
      </c>
      <c r="C22">
        <v>651</v>
      </c>
      <c r="D22" t="s">
        <v>309</v>
      </c>
      <c r="E22" t="s">
        <v>310</v>
      </c>
      <c r="G22">
        <v>1593105434.5999999</v>
      </c>
      <c r="H22">
        <f t="shared" si="0"/>
        <v>7.7179756574908536E-3</v>
      </c>
      <c r="I22">
        <f t="shared" si="1"/>
        <v>28.286553606716655</v>
      </c>
      <c r="J22">
        <f t="shared" si="2"/>
        <v>387.51096774193502</v>
      </c>
      <c r="K22">
        <f t="shared" si="3"/>
        <v>280.63615311132673</v>
      </c>
      <c r="L22">
        <f t="shared" si="4"/>
        <v>27.899968937921781</v>
      </c>
      <c r="M22">
        <f t="shared" si="5"/>
        <v>38.525128866112695</v>
      </c>
      <c r="N22">
        <f t="shared" si="6"/>
        <v>0.4940336647904236</v>
      </c>
      <c r="O22">
        <f t="shared" si="7"/>
        <v>3.3796603890412062</v>
      </c>
      <c r="P22">
        <f t="shared" si="8"/>
        <v>0.45713600008294852</v>
      </c>
      <c r="Q22">
        <f t="shared" si="9"/>
        <v>0.28879512278528124</v>
      </c>
      <c r="R22">
        <f t="shared" si="10"/>
        <v>353.33861140888752</v>
      </c>
      <c r="S22">
        <f t="shared" si="11"/>
        <v>27.121300633649717</v>
      </c>
      <c r="T22">
        <f t="shared" si="12"/>
        <v>27.077980645161301</v>
      </c>
      <c r="U22">
        <f t="shared" si="13"/>
        <v>3.5955850364248505</v>
      </c>
      <c r="V22">
        <f t="shared" si="14"/>
        <v>54.69916902361782</v>
      </c>
      <c r="W22">
        <f t="shared" si="15"/>
        <v>1.9640300447478867</v>
      </c>
      <c r="X22">
        <f t="shared" si="16"/>
        <v>3.590603074609533</v>
      </c>
      <c r="Y22">
        <f t="shared" si="17"/>
        <v>1.6315549916769638</v>
      </c>
      <c r="Z22">
        <f t="shared" si="18"/>
        <v>-340.36272649534664</v>
      </c>
      <c r="AA22">
        <f t="shared" si="19"/>
        <v>-4.3035468549847877</v>
      </c>
      <c r="AB22">
        <f t="shared" si="20"/>
        <v>-0.27498929771459679</v>
      </c>
      <c r="AC22">
        <f t="shared" si="21"/>
        <v>8.397348760841524</v>
      </c>
      <c r="AD22">
        <v>-4.1132871710495303E-2</v>
      </c>
      <c r="AE22">
        <v>4.6175251932503603E-2</v>
      </c>
      <c r="AF22">
        <v>3.4518413720181802</v>
      </c>
      <c r="AG22">
        <v>142</v>
      </c>
      <c r="AH22">
        <v>28</v>
      </c>
      <c r="AI22">
        <f t="shared" si="22"/>
        <v>1</v>
      </c>
      <c r="AJ22">
        <f t="shared" si="23"/>
        <v>0</v>
      </c>
      <c r="AK22">
        <f t="shared" si="24"/>
        <v>52441.932290449462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254.94119230769201</v>
      </c>
      <c r="AT22">
        <v>326.73599999999999</v>
      </c>
      <c r="AU22">
        <f t="shared" si="27"/>
        <v>0.21973338625773708</v>
      </c>
      <c r="AV22">
        <v>0.5</v>
      </c>
      <c r="AW22">
        <f t="shared" si="28"/>
        <v>1849.1896351929317</v>
      </c>
      <c r="AX22">
        <f t="shared" si="29"/>
        <v>28.286553606716655</v>
      </c>
      <c r="AY22">
        <f t="shared" si="30"/>
        <v>203.1643501868262</v>
      </c>
      <c r="AZ22">
        <f t="shared" si="31"/>
        <v>0.44701532735909111</v>
      </c>
      <c r="BA22">
        <f t="shared" si="32"/>
        <v>1.5837506899967616E-2</v>
      </c>
      <c r="BB22">
        <f t="shared" si="33"/>
        <v>-1</v>
      </c>
      <c r="BC22" t="s">
        <v>312</v>
      </c>
      <c r="BD22">
        <v>180.68</v>
      </c>
      <c r="BE22">
        <f t="shared" si="34"/>
        <v>146.05599999999998</v>
      </c>
      <c r="BF22">
        <f t="shared" si="35"/>
        <v>0.49155671586451766</v>
      </c>
      <c r="BG22">
        <f t="shared" si="36"/>
        <v>1.8083683860969668</v>
      </c>
      <c r="BH22">
        <f t="shared" si="37"/>
        <v>0.21973338625773708</v>
      </c>
      <c r="BI22" t="e">
        <f t="shared" si="38"/>
        <v>#DIV/0!</v>
      </c>
      <c r="BJ22">
        <v>4007</v>
      </c>
      <c r="BK22">
        <v>300</v>
      </c>
      <c r="BL22">
        <v>300</v>
      </c>
      <c r="BM22">
        <v>300</v>
      </c>
      <c r="BN22">
        <v>9879.4</v>
      </c>
      <c r="BO22">
        <v>305.78800000000001</v>
      </c>
      <c r="BP22">
        <v>-6.4070100000000003E-3</v>
      </c>
      <c r="BQ22">
        <v>0.57492100000000002</v>
      </c>
      <c r="BR22">
        <f t="shared" si="39"/>
        <v>2200.0051612903198</v>
      </c>
      <c r="BS22">
        <f t="shared" si="40"/>
        <v>1849.1896351929317</v>
      </c>
      <c r="BT22">
        <f t="shared" si="41"/>
        <v>0.84053877133104904</v>
      </c>
      <c r="BU22">
        <f t="shared" si="42"/>
        <v>0.19107754266209837</v>
      </c>
      <c r="BV22">
        <v>0.5</v>
      </c>
      <c r="BW22" t="s">
        <v>281</v>
      </c>
      <c r="BX22">
        <v>1593105434.5999999</v>
      </c>
      <c r="BY22">
        <v>387.51096774193502</v>
      </c>
      <c r="BZ22">
        <v>400.02029032258099</v>
      </c>
      <c r="CA22">
        <v>19.755500000000001</v>
      </c>
      <c r="CB22">
        <v>16.729690322580598</v>
      </c>
      <c r="CC22">
        <v>500.06470967741899</v>
      </c>
      <c r="CD22">
        <v>99.216883870967706</v>
      </c>
      <c r="CE22">
        <v>0.19998964516129</v>
      </c>
      <c r="CF22">
        <v>27.0543612903226</v>
      </c>
      <c r="CG22">
        <v>27.077980645161301</v>
      </c>
      <c r="CH22">
        <v>999.9</v>
      </c>
      <c r="CI22">
        <v>9997.6854838709696</v>
      </c>
      <c r="CJ22">
        <v>0</v>
      </c>
      <c r="CK22">
        <v>233.212677419355</v>
      </c>
      <c r="CL22">
        <v>2200.0051612903198</v>
      </c>
      <c r="CM22">
        <v>0.98200219354838703</v>
      </c>
      <c r="CN22">
        <v>1.79980967741936E-2</v>
      </c>
      <c r="CO22">
        <v>0</v>
      </c>
      <c r="CP22">
        <v>254.91648387096799</v>
      </c>
      <c r="CQ22">
        <v>5.00054</v>
      </c>
      <c r="CR22">
        <v>7672.53548387097</v>
      </c>
      <c r="CS22">
        <v>20590.5741935484</v>
      </c>
      <c r="CT22">
        <v>49.890935483870997</v>
      </c>
      <c r="CU22">
        <v>51.155064516129002</v>
      </c>
      <c r="CV22">
        <v>50.417064516129003</v>
      </c>
      <c r="CW22">
        <v>49.503806451612903</v>
      </c>
      <c r="CX22">
        <v>51.040161290322601</v>
      </c>
      <c r="CY22">
        <v>2155.4951612903201</v>
      </c>
      <c r="CZ22">
        <v>39.51</v>
      </c>
      <c r="DA22">
        <v>0</v>
      </c>
      <c r="DB22">
        <v>128</v>
      </c>
      <c r="DC22">
        <v>254.94119230769201</v>
      </c>
      <c r="DD22">
        <v>0.53863248273396303</v>
      </c>
      <c r="DE22">
        <v>7.45606834160363</v>
      </c>
      <c r="DF22">
        <v>7672.7226923076896</v>
      </c>
      <c r="DG22">
        <v>15</v>
      </c>
      <c r="DH22">
        <v>1593105398.5999999</v>
      </c>
      <c r="DI22" t="s">
        <v>313</v>
      </c>
      <c r="DJ22">
        <v>45</v>
      </c>
      <c r="DK22">
        <v>-0.35</v>
      </c>
      <c r="DL22">
        <v>0.1</v>
      </c>
      <c r="DM22">
        <v>400</v>
      </c>
      <c r="DN22">
        <v>16</v>
      </c>
      <c r="DO22">
        <v>0.22</v>
      </c>
      <c r="DP22">
        <v>0.03</v>
      </c>
      <c r="DQ22">
        <v>-12.507887037036999</v>
      </c>
      <c r="DR22">
        <v>-8.7342710120062603E-2</v>
      </c>
      <c r="DS22">
        <v>5.1065665954425903E-2</v>
      </c>
      <c r="DT22">
        <v>1</v>
      </c>
      <c r="DU22">
        <v>3.0146824074074101</v>
      </c>
      <c r="DV22">
        <v>8.8867375643224097E-2</v>
      </c>
      <c r="DW22">
        <v>1.63589946869407E-2</v>
      </c>
      <c r="DX22">
        <v>1</v>
      </c>
      <c r="DY22">
        <v>2</v>
      </c>
      <c r="DZ22">
        <v>2</v>
      </c>
      <c r="EA22" t="s">
        <v>283</v>
      </c>
      <c r="EB22">
        <v>1.8667</v>
      </c>
      <c r="EC22">
        <v>1.8632299999999999</v>
      </c>
      <c r="ED22">
        <v>1.8688899999999999</v>
      </c>
      <c r="EE22">
        <v>1.86683</v>
      </c>
      <c r="EF22">
        <v>1.8714900000000001</v>
      </c>
      <c r="EG22">
        <v>1.8638999999999999</v>
      </c>
      <c r="EH22">
        <v>1.86547</v>
      </c>
      <c r="EI22">
        <v>1.8653900000000001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-0.35</v>
      </c>
      <c r="EX22">
        <v>0.1</v>
      </c>
      <c r="EY22">
        <v>2</v>
      </c>
      <c r="EZ22">
        <v>337.928</v>
      </c>
      <c r="FA22">
        <v>467.483</v>
      </c>
      <c r="FB22">
        <v>19.503699999999998</v>
      </c>
      <c r="FC22">
        <v>35.3217</v>
      </c>
      <c r="FD22">
        <v>30.001100000000001</v>
      </c>
      <c r="FE22">
        <v>35.284199999999998</v>
      </c>
      <c r="FF22">
        <v>35.2776</v>
      </c>
      <c r="FG22">
        <v>21.739699999999999</v>
      </c>
      <c r="FH22">
        <v>40.811999999999998</v>
      </c>
      <c r="FI22">
        <v>0</v>
      </c>
      <c r="FJ22">
        <v>19.4328</v>
      </c>
      <c r="FK22">
        <v>400</v>
      </c>
      <c r="FL22">
        <v>16.842500000000001</v>
      </c>
      <c r="FM22">
        <v>100.709</v>
      </c>
      <c r="FN22">
        <v>100.79600000000001</v>
      </c>
    </row>
    <row r="23" spans="1:170" x14ac:dyDescent="0.25">
      <c r="A23">
        <v>7</v>
      </c>
      <c r="B23">
        <v>1593105563.0999999</v>
      </c>
      <c r="C23">
        <v>771.5</v>
      </c>
      <c r="D23" t="s">
        <v>314</v>
      </c>
      <c r="E23" t="s">
        <v>315</v>
      </c>
      <c r="G23">
        <v>1593105555.0999999</v>
      </c>
      <c r="H23">
        <f t="shared" si="0"/>
        <v>7.5213311395380834E-3</v>
      </c>
      <c r="I23">
        <f t="shared" si="1"/>
        <v>29.729619938588726</v>
      </c>
      <c r="J23">
        <f t="shared" si="2"/>
        <v>386.95393548387102</v>
      </c>
      <c r="K23">
        <f t="shared" si="3"/>
        <v>274.07612169415177</v>
      </c>
      <c r="L23">
        <f t="shared" si="4"/>
        <v>27.247851810016726</v>
      </c>
      <c r="M23">
        <f t="shared" si="5"/>
        <v>38.469836139659122</v>
      </c>
      <c r="N23">
        <f t="shared" si="6"/>
        <v>0.48782791914571461</v>
      </c>
      <c r="O23">
        <f t="shared" si="7"/>
        <v>3.3803263125429952</v>
      </c>
      <c r="P23">
        <f t="shared" si="8"/>
        <v>0.45182173707740814</v>
      </c>
      <c r="Q23">
        <f t="shared" si="9"/>
        <v>0.28540181487936234</v>
      </c>
      <c r="R23">
        <f t="shared" si="10"/>
        <v>353.33921813540724</v>
      </c>
      <c r="S23">
        <f t="shared" si="11"/>
        <v>27.099127590836719</v>
      </c>
      <c r="T23">
        <f t="shared" si="12"/>
        <v>27.014945161290299</v>
      </c>
      <c r="U23">
        <f t="shared" si="13"/>
        <v>3.5823025624628571</v>
      </c>
      <c r="V23">
        <f t="shared" si="14"/>
        <v>55.181536155164288</v>
      </c>
      <c r="W23">
        <f t="shared" si="15"/>
        <v>1.9735816671148196</v>
      </c>
      <c r="X23">
        <f t="shared" si="16"/>
        <v>3.5765254188744025</v>
      </c>
      <c r="Y23">
        <f t="shared" si="17"/>
        <v>1.6087208953480374</v>
      </c>
      <c r="Z23">
        <f t="shared" si="18"/>
        <v>-331.69070325362947</v>
      </c>
      <c r="AA23">
        <f t="shared" si="19"/>
        <v>-5.008076955700421</v>
      </c>
      <c r="AB23">
        <f t="shared" si="20"/>
        <v>-0.31973676250050309</v>
      </c>
      <c r="AC23">
        <f t="shared" si="21"/>
        <v>16.320701163576853</v>
      </c>
      <c r="AD23">
        <v>-4.1143167355068899E-2</v>
      </c>
      <c r="AE23">
        <v>4.6186809695485401E-2</v>
      </c>
      <c r="AF23">
        <v>3.4525253625722998</v>
      </c>
      <c r="AG23">
        <v>143</v>
      </c>
      <c r="AH23">
        <v>29</v>
      </c>
      <c r="AI23">
        <f t="shared" si="22"/>
        <v>1</v>
      </c>
      <c r="AJ23">
        <f t="shared" si="23"/>
        <v>0</v>
      </c>
      <c r="AK23">
        <f t="shared" si="24"/>
        <v>52466.224683546265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257.38442307692299</v>
      </c>
      <c r="AT23">
        <v>334.34</v>
      </c>
      <c r="AU23">
        <f t="shared" si="27"/>
        <v>0.23017161249948259</v>
      </c>
      <c r="AV23">
        <v>0.5</v>
      </c>
      <c r="AW23">
        <f t="shared" si="28"/>
        <v>1849.1923939526521</v>
      </c>
      <c r="AX23">
        <f t="shared" si="29"/>
        <v>29.729619938588726</v>
      </c>
      <c r="AY23">
        <f t="shared" si="30"/>
        <v>212.81579756893021</v>
      </c>
      <c r="AZ23">
        <f t="shared" si="31"/>
        <v>0.45032003349883348</v>
      </c>
      <c r="BA23">
        <f t="shared" si="32"/>
        <v>1.6617859796029179E-2</v>
      </c>
      <c r="BB23">
        <f t="shared" si="33"/>
        <v>-1</v>
      </c>
      <c r="BC23" t="s">
        <v>317</v>
      </c>
      <c r="BD23">
        <v>183.78</v>
      </c>
      <c r="BE23">
        <f t="shared" si="34"/>
        <v>150.55999999999997</v>
      </c>
      <c r="BF23">
        <f t="shared" si="35"/>
        <v>0.5111289646856868</v>
      </c>
      <c r="BG23">
        <f t="shared" si="36"/>
        <v>1.8192403961258024</v>
      </c>
      <c r="BH23">
        <f t="shared" si="37"/>
        <v>0.23017161249948254</v>
      </c>
      <c r="BI23" t="e">
        <f t="shared" si="38"/>
        <v>#DIV/0!</v>
      </c>
      <c r="BJ23">
        <v>4009</v>
      </c>
      <c r="BK23">
        <v>300</v>
      </c>
      <c r="BL23">
        <v>300</v>
      </c>
      <c r="BM23">
        <v>300</v>
      </c>
      <c r="BN23">
        <v>9881.52</v>
      </c>
      <c r="BO23">
        <v>311.41399999999999</v>
      </c>
      <c r="BP23">
        <v>-6.4086999999999998E-3</v>
      </c>
      <c r="BQ23">
        <v>0.37847900000000001</v>
      </c>
      <c r="BR23">
        <f t="shared" si="39"/>
        <v>2200.0083870967701</v>
      </c>
      <c r="BS23">
        <f t="shared" si="40"/>
        <v>1849.1923939526521</v>
      </c>
      <c r="BT23">
        <f t="shared" si="41"/>
        <v>0.84053879285111699</v>
      </c>
      <c r="BU23">
        <f t="shared" si="42"/>
        <v>0.19107758570223404</v>
      </c>
      <c r="BV23">
        <v>0.5</v>
      </c>
      <c r="BW23" t="s">
        <v>281</v>
      </c>
      <c r="BX23">
        <v>1593105555.0999999</v>
      </c>
      <c r="BY23">
        <v>386.95393548387102</v>
      </c>
      <c r="BZ23">
        <v>400.00870967741901</v>
      </c>
      <c r="CA23">
        <v>19.851532258064498</v>
      </c>
      <c r="CB23">
        <v>16.903003225806501</v>
      </c>
      <c r="CC23">
        <v>500.047387096774</v>
      </c>
      <c r="CD23">
        <v>99.217116129032306</v>
      </c>
      <c r="CE23">
        <v>0.19997880645161301</v>
      </c>
      <c r="CF23">
        <v>26.987464516128998</v>
      </c>
      <c r="CG23">
        <v>27.014945161290299</v>
      </c>
      <c r="CH23">
        <v>999.9</v>
      </c>
      <c r="CI23">
        <v>10000.164516129</v>
      </c>
      <c r="CJ23">
        <v>0</v>
      </c>
      <c r="CK23">
        <v>243.18638709677401</v>
      </c>
      <c r="CL23">
        <v>2200.0083870967701</v>
      </c>
      <c r="CM23">
        <v>0.98199806451612903</v>
      </c>
      <c r="CN23">
        <v>1.8001754838709701E-2</v>
      </c>
      <c r="CO23">
        <v>0</v>
      </c>
      <c r="CP23">
        <v>257.35793548387102</v>
      </c>
      <c r="CQ23">
        <v>5.00054</v>
      </c>
      <c r="CR23">
        <v>7718.6325806451596</v>
      </c>
      <c r="CS23">
        <v>20590.5967741936</v>
      </c>
      <c r="CT23">
        <v>49.296193548387102</v>
      </c>
      <c r="CU23">
        <v>50.645000000000003</v>
      </c>
      <c r="CV23">
        <v>49.836387096774203</v>
      </c>
      <c r="CW23">
        <v>49.0238709677419</v>
      </c>
      <c r="CX23">
        <v>50.489774193548399</v>
      </c>
      <c r="CY23">
        <v>2155.49548387097</v>
      </c>
      <c r="CZ23">
        <v>39.511612903225803</v>
      </c>
      <c r="DA23">
        <v>0</v>
      </c>
      <c r="DB23">
        <v>120</v>
      </c>
      <c r="DC23">
        <v>257.38442307692299</v>
      </c>
      <c r="DD23">
        <v>1.19135042607483</v>
      </c>
      <c r="DE23">
        <v>39.329914552718499</v>
      </c>
      <c r="DF23">
        <v>7719.0953846153898</v>
      </c>
      <c r="DG23">
        <v>15</v>
      </c>
      <c r="DH23">
        <v>1593105504.0999999</v>
      </c>
      <c r="DI23" t="s">
        <v>318</v>
      </c>
      <c r="DJ23">
        <v>46</v>
      </c>
      <c r="DK23">
        <v>-0.34300000000000003</v>
      </c>
      <c r="DL23">
        <v>0.107</v>
      </c>
      <c r="DM23">
        <v>400</v>
      </c>
      <c r="DN23">
        <v>17</v>
      </c>
      <c r="DO23">
        <v>0.19</v>
      </c>
      <c r="DP23">
        <v>0.03</v>
      </c>
      <c r="DQ23">
        <v>-13.025361111111099</v>
      </c>
      <c r="DR23">
        <v>-0.128823785020026</v>
      </c>
      <c r="DS23">
        <v>7.9796118481360895E-2</v>
      </c>
      <c r="DT23">
        <v>1</v>
      </c>
      <c r="DU23">
        <v>2.9516214814814798</v>
      </c>
      <c r="DV23">
        <v>-3.1859028016009101E-2</v>
      </c>
      <c r="DW23">
        <v>4.2749093156538897E-3</v>
      </c>
      <c r="DX23">
        <v>1</v>
      </c>
      <c r="DY23">
        <v>2</v>
      </c>
      <c r="DZ23">
        <v>2</v>
      </c>
      <c r="EA23" t="s">
        <v>283</v>
      </c>
      <c r="EB23">
        <v>1.8667499999999999</v>
      </c>
      <c r="EC23">
        <v>1.8632200000000001</v>
      </c>
      <c r="ED23">
        <v>1.86886</v>
      </c>
      <c r="EE23">
        <v>1.8667800000000001</v>
      </c>
      <c r="EF23">
        <v>1.87148</v>
      </c>
      <c r="EG23">
        <v>1.86389</v>
      </c>
      <c r="EH23">
        <v>1.8654200000000001</v>
      </c>
      <c r="EI23">
        <v>1.8653900000000001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-0.34300000000000003</v>
      </c>
      <c r="EX23">
        <v>0.107</v>
      </c>
      <c r="EY23">
        <v>2</v>
      </c>
      <c r="EZ23">
        <v>337.17399999999998</v>
      </c>
      <c r="FA23">
        <v>468.03100000000001</v>
      </c>
      <c r="FB23">
        <v>18.997800000000002</v>
      </c>
      <c r="FC23">
        <v>35.302399999999999</v>
      </c>
      <c r="FD23">
        <v>30.0001</v>
      </c>
      <c r="FE23">
        <v>35.293900000000001</v>
      </c>
      <c r="FF23">
        <v>35.290399999999998</v>
      </c>
      <c r="FG23">
        <v>21.733599999999999</v>
      </c>
      <c r="FH23">
        <v>40.436</v>
      </c>
      <c r="FI23">
        <v>0</v>
      </c>
      <c r="FJ23">
        <v>18.998000000000001</v>
      </c>
      <c r="FK23">
        <v>400</v>
      </c>
      <c r="FL23">
        <v>16.8781</v>
      </c>
      <c r="FM23">
        <v>100.711</v>
      </c>
      <c r="FN23">
        <v>100.79900000000001</v>
      </c>
    </row>
    <row r="24" spans="1:170" x14ac:dyDescent="0.25">
      <c r="A24">
        <v>8</v>
      </c>
      <c r="B24">
        <v>1593105713.5999999</v>
      </c>
      <c r="C24">
        <v>922</v>
      </c>
      <c r="D24" t="s">
        <v>319</v>
      </c>
      <c r="E24" t="s">
        <v>320</v>
      </c>
      <c r="G24">
        <v>1593105705.5999999</v>
      </c>
      <c r="H24">
        <f t="shared" si="0"/>
        <v>6.8408928080192387E-3</v>
      </c>
      <c r="I24">
        <f t="shared" si="1"/>
        <v>35.142534691914008</v>
      </c>
      <c r="J24">
        <f t="shared" si="2"/>
        <v>484.61345161290302</v>
      </c>
      <c r="K24">
        <f t="shared" si="3"/>
        <v>336.30731576098481</v>
      </c>
      <c r="L24">
        <f t="shared" si="4"/>
        <v>33.434571622736541</v>
      </c>
      <c r="M24">
        <f t="shared" si="5"/>
        <v>48.178681812585403</v>
      </c>
      <c r="N24">
        <f t="shared" si="6"/>
        <v>0.43433884661891953</v>
      </c>
      <c r="O24">
        <f t="shared" si="7"/>
        <v>3.3800315459710832</v>
      </c>
      <c r="P24">
        <f t="shared" si="8"/>
        <v>0.40554363249465908</v>
      </c>
      <c r="Q24">
        <f t="shared" si="9"/>
        <v>0.25589265043320852</v>
      </c>
      <c r="R24">
        <f t="shared" si="10"/>
        <v>353.34097785349553</v>
      </c>
      <c r="S24">
        <f t="shared" si="11"/>
        <v>27.172562283866405</v>
      </c>
      <c r="T24">
        <f t="shared" si="12"/>
        <v>27.0200580645161</v>
      </c>
      <c r="U24">
        <f t="shared" si="13"/>
        <v>3.583378325492232</v>
      </c>
      <c r="V24">
        <f t="shared" si="14"/>
        <v>54.86972637720401</v>
      </c>
      <c r="W24">
        <f t="shared" si="15"/>
        <v>1.9530678422081447</v>
      </c>
      <c r="X24">
        <f t="shared" si="16"/>
        <v>3.559463425754497</v>
      </c>
      <c r="Y24">
        <f t="shared" si="17"/>
        <v>1.6303104832840873</v>
      </c>
      <c r="Z24">
        <f t="shared" si="18"/>
        <v>-301.68337283364843</v>
      </c>
      <c r="AA24">
        <f t="shared" si="19"/>
        <v>-20.770038799355309</v>
      </c>
      <c r="AB24">
        <f t="shared" si="20"/>
        <v>-1.3256569018194435</v>
      </c>
      <c r="AC24">
        <f t="shared" si="21"/>
        <v>29.561909318672331</v>
      </c>
      <c r="AD24">
        <v>-4.1138609944954899E-2</v>
      </c>
      <c r="AE24">
        <v>4.6181693603381403E-2</v>
      </c>
      <c r="AF24">
        <v>3.4522225985441399</v>
      </c>
      <c r="AG24">
        <v>142</v>
      </c>
      <c r="AH24">
        <v>28</v>
      </c>
      <c r="AI24">
        <f t="shared" si="22"/>
        <v>1</v>
      </c>
      <c r="AJ24">
        <f t="shared" si="23"/>
        <v>0</v>
      </c>
      <c r="AK24">
        <f t="shared" si="24"/>
        <v>52474.878864313985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265.246884615385</v>
      </c>
      <c r="AT24">
        <v>352.08199999999999</v>
      </c>
      <c r="AU24">
        <f t="shared" si="27"/>
        <v>0.24663321437794317</v>
      </c>
      <c r="AV24">
        <v>0.5</v>
      </c>
      <c r="AW24">
        <f t="shared" si="28"/>
        <v>1849.1991771283406</v>
      </c>
      <c r="AX24">
        <f t="shared" si="29"/>
        <v>35.142534691914008</v>
      </c>
      <c r="AY24">
        <f t="shared" si="30"/>
        <v>228.03696854010505</v>
      </c>
      <c r="AZ24">
        <f t="shared" si="31"/>
        <v>0.46614709073454474</v>
      </c>
      <c r="BA24">
        <f t="shared" si="32"/>
        <v>1.9544965809491919E-2</v>
      </c>
      <c r="BB24">
        <f t="shared" si="33"/>
        <v>-1</v>
      </c>
      <c r="BC24" t="s">
        <v>322</v>
      </c>
      <c r="BD24">
        <v>187.96</v>
      </c>
      <c r="BE24">
        <f t="shared" si="34"/>
        <v>164.12199999999999</v>
      </c>
      <c r="BF24">
        <f t="shared" si="35"/>
        <v>0.52908882041782945</v>
      </c>
      <c r="BG24">
        <f t="shared" si="36"/>
        <v>1.8731751436475845</v>
      </c>
      <c r="BH24">
        <f t="shared" si="37"/>
        <v>0.24663321437794319</v>
      </c>
      <c r="BI24" t="e">
        <f t="shared" si="38"/>
        <v>#DIV/0!</v>
      </c>
      <c r="BJ24">
        <v>4011</v>
      </c>
      <c r="BK24">
        <v>300</v>
      </c>
      <c r="BL24">
        <v>300</v>
      </c>
      <c r="BM24">
        <v>300</v>
      </c>
      <c r="BN24">
        <v>9883.6299999999992</v>
      </c>
      <c r="BO24">
        <v>326.73500000000001</v>
      </c>
      <c r="BP24">
        <v>-6.4103600000000004E-3</v>
      </c>
      <c r="BQ24">
        <v>0.51885999999999999</v>
      </c>
      <c r="BR24">
        <f t="shared" si="39"/>
        <v>2200.0161290322599</v>
      </c>
      <c r="BS24">
        <f t="shared" si="40"/>
        <v>1849.1991771283406</v>
      </c>
      <c r="BT24">
        <f t="shared" si="41"/>
        <v>0.84053891820409687</v>
      </c>
      <c r="BU24">
        <f t="shared" si="42"/>
        <v>0.19107783640819373</v>
      </c>
      <c r="BV24">
        <v>0.5</v>
      </c>
      <c r="BW24" t="s">
        <v>281</v>
      </c>
      <c r="BX24">
        <v>1593105705.5999999</v>
      </c>
      <c r="BY24">
        <v>484.61345161290302</v>
      </c>
      <c r="BZ24">
        <v>499.994483870968</v>
      </c>
      <c r="CA24">
        <v>19.645264516129</v>
      </c>
      <c r="CB24">
        <v>16.963022580645202</v>
      </c>
      <c r="CC24">
        <v>500.06687096774198</v>
      </c>
      <c r="CD24">
        <v>99.216738709677401</v>
      </c>
      <c r="CE24">
        <v>0.19998538709677399</v>
      </c>
      <c r="CF24">
        <v>26.906077419354801</v>
      </c>
      <c r="CG24">
        <v>27.0200580645161</v>
      </c>
      <c r="CH24">
        <v>999.9</v>
      </c>
      <c r="CI24">
        <v>9999.0948387096796</v>
      </c>
      <c r="CJ24">
        <v>0</v>
      </c>
      <c r="CK24">
        <v>251.457129032258</v>
      </c>
      <c r="CL24">
        <v>2200.0161290322599</v>
      </c>
      <c r="CM24">
        <v>0.98199454838709699</v>
      </c>
      <c r="CN24">
        <v>1.80050967741936E-2</v>
      </c>
      <c r="CO24">
        <v>0</v>
      </c>
      <c r="CP24">
        <v>265.225161290323</v>
      </c>
      <c r="CQ24">
        <v>5.00054</v>
      </c>
      <c r="CR24">
        <v>7933.8283870967798</v>
      </c>
      <c r="CS24">
        <v>20590.661290322601</v>
      </c>
      <c r="CT24">
        <v>48.794064516128998</v>
      </c>
      <c r="CU24">
        <v>50.235774193548401</v>
      </c>
      <c r="CV24">
        <v>49.332387096774198</v>
      </c>
      <c r="CW24">
        <v>48.612741935483903</v>
      </c>
      <c r="CX24">
        <v>50.044193548387099</v>
      </c>
      <c r="CY24">
        <v>2155.4951612903201</v>
      </c>
      <c r="CZ24">
        <v>39.5209677419355</v>
      </c>
      <c r="DA24">
        <v>0</v>
      </c>
      <c r="DB24">
        <v>150.09999990463299</v>
      </c>
      <c r="DC24">
        <v>265.246884615385</v>
      </c>
      <c r="DD24">
        <v>0.37357264758513697</v>
      </c>
      <c r="DE24">
        <v>46.183247939521202</v>
      </c>
      <c r="DF24">
        <v>7934.26</v>
      </c>
      <c r="DG24">
        <v>15</v>
      </c>
      <c r="DH24">
        <v>1593105645.0999999</v>
      </c>
      <c r="DI24" t="s">
        <v>323</v>
      </c>
      <c r="DJ24">
        <v>47</v>
      </c>
      <c r="DK24">
        <v>-0.38600000000000001</v>
      </c>
      <c r="DL24">
        <v>0.10100000000000001</v>
      </c>
      <c r="DM24">
        <v>500</v>
      </c>
      <c r="DN24">
        <v>16</v>
      </c>
      <c r="DO24">
        <v>0.17</v>
      </c>
      <c r="DP24">
        <v>0.02</v>
      </c>
      <c r="DQ24">
        <v>-15.362859259259301</v>
      </c>
      <c r="DR24">
        <v>-5.7414293882245199E-2</v>
      </c>
      <c r="DS24">
        <v>9.7049144706896698E-2</v>
      </c>
      <c r="DT24">
        <v>1</v>
      </c>
      <c r="DU24">
        <v>2.71014388888889</v>
      </c>
      <c r="DV24">
        <v>-0.33443252144084801</v>
      </c>
      <c r="DW24">
        <v>5.2483241361080499E-2</v>
      </c>
      <c r="DX24">
        <v>0</v>
      </c>
      <c r="DY24">
        <v>1</v>
      </c>
      <c r="DZ24">
        <v>2</v>
      </c>
      <c r="EA24" t="s">
        <v>308</v>
      </c>
      <c r="EB24">
        <v>1.86676</v>
      </c>
      <c r="EC24">
        <v>1.8632500000000001</v>
      </c>
      <c r="ED24">
        <v>1.8689</v>
      </c>
      <c r="EE24">
        <v>1.8667899999999999</v>
      </c>
      <c r="EF24">
        <v>1.8714900000000001</v>
      </c>
      <c r="EG24">
        <v>1.86392</v>
      </c>
      <c r="EH24">
        <v>1.86551</v>
      </c>
      <c r="EI24">
        <v>1.8653900000000001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-0.38600000000000001</v>
      </c>
      <c r="EX24">
        <v>0.10100000000000001</v>
      </c>
      <c r="EY24">
        <v>2</v>
      </c>
      <c r="EZ24">
        <v>337.52199999999999</v>
      </c>
      <c r="FA24">
        <v>467.363</v>
      </c>
      <c r="FB24">
        <v>19.470500000000001</v>
      </c>
      <c r="FC24">
        <v>35.308799999999998</v>
      </c>
      <c r="FD24">
        <v>30.000399999999999</v>
      </c>
      <c r="FE24">
        <v>35.316600000000001</v>
      </c>
      <c r="FF24">
        <v>35.319299999999998</v>
      </c>
      <c r="FG24">
        <v>26.078099999999999</v>
      </c>
      <c r="FH24">
        <v>40.542900000000003</v>
      </c>
      <c r="FI24">
        <v>0</v>
      </c>
      <c r="FJ24">
        <v>19.450500000000002</v>
      </c>
      <c r="FK24">
        <v>500</v>
      </c>
      <c r="FL24">
        <v>16.945900000000002</v>
      </c>
      <c r="FM24">
        <v>100.702</v>
      </c>
      <c r="FN24">
        <v>100.792</v>
      </c>
    </row>
    <row r="25" spans="1:170" x14ac:dyDescent="0.25">
      <c r="A25">
        <v>9</v>
      </c>
      <c r="B25">
        <v>1593105864.0999999</v>
      </c>
      <c r="C25">
        <v>1072.5</v>
      </c>
      <c r="D25" t="s">
        <v>324</v>
      </c>
      <c r="E25" t="s">
        <v>325</v>
      </c>
      <c r="G25">
        <v>1593105856.1096799</v>
      </c>
      <c r="H25">
        <f t="shared" si="0"/>
        <v>6.3391003567778038E-3</v>
      </c>
      <c r="I25">
        <f t="shared" si="1"/>
        <v>38.408454007676411</v>
      </c>
      <c r="J25">
        <f t="shared" si="2"/>
        <v>583.18522580645197</v>
      </c>
      <c r="K25">
        <f t="shared" si="3"/>
        <v>408.10115542440064</v>
      </c>
      <c r="L25">
        <f t="shared" si="4"/>
        <v>40.57074404668785</v>
      </c>
      <c r="M25">
        <f t="shared" si="5"/>
        <v>57.976455625072099</v>
      </c>
      <c r="N25">
        <f t="shared" si="6"/>
        <v>0.40103681539326597</v>
      </c>
      <c r="O25">
        <f t="shared" si="7"/>
        <v>3.3813536963288255</v>
      </c>
      <c r="P25">
        <f t="shared" si="8"/>
        <v>0.37636237870766331</v>
      </c>
      <c r="Q25">
        <f t="shared" si="9"/>
        <v>0.2373167692724642</v>
      </c>
      <c r="R25">
        <f t="shared" si="10"/>
        <v>353.33691712153717</v>
      </c>
      <c r="S25">
        <f t="shared" si="11"/>
        <v>27.138298290638431</v>
      </c>
      <c r="T25">
        <f t="shared" si="12"/>
        <v>26.990819354838699</v>
      </c>
      <c r="U25">
        <f t="shared" si="13"/>
        <v>3.5772302567803211</v>
      </c>
      <c r="V25">
        <f t="shared" si="14"/>
        <v>55.244784888323473</v>
      </c>
      <c r="W25">
        <f t="shared" si="15"/>
        <v>1.9493441560708793</v>
      </c>
      <c r="X25">
        <f t="shared" si="16"/>
        <v>3.528557781538022</v>
      </c>
      <c r="Y25">
        <f t="shared" si="17"/>
        <v>1.6278861007094418</v>
      </c>
      <c r="Z25">
        <f t="shared" si="18"/>
        <v>-279.55432573390112</v>
      </c>
      <c r="AA25">
        <f t="shared" si="19"/>
        <v>-42.481329482461788</v>
      </c>
      <c r="AB25">
        <f t="shared" si="20"/>
        <v>-2.7079243069722954</v>
      </c>
      <c r="AC25">
        <f t="shared" si="21"/>
        <v>28.593337598201956</v>
      </c>
      <c r="AD25">
        <v>-4.1159053211988997E-2</v>
      </c>
      <c r="AE25">
        <v>4.6204642961555797E-2</v>
      </c>
      <c r="AF25">
        <v>3.4535806232536701</v>
      </c>
      <c r="AG25">
        <v>143</v>
      </c>
      <c r="AH25">
        <v>29</v>
      </c>
      <c r="AI25">
        <f t="shared" si="22"/>
        <v>1</v>
      </c>
      <c r="AJ25">
        <f t="shared" si="23"/>
        <v>0</v>
      </c>
      <c r="AK25">
        <f t="shared" si="24"/>
        <v>52525.790494585002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270.024230769231</v>
      </c>
      <c r="AT25">
        <v>363.25400000000002</v>
      </c>
      <c r="AU25">
        <f t="shared" si="27"/>
        <v>0.25665173468363467</v>
      </c>
      <c r="AV25">
        <v>0.5</v>
      </c>
      <c r="AW25">
        <f t="shared" si="28"/>
        <v>1849.1833739026852</v>
      </c>
      <c r="AX25">
        <f t="shared" si="29"/>
        <v>38.408454007676411</v>
      </c>
      <c r="AY25">
        <f t="shared" si="30"/>
        <v>237.29806033013017</v>
      </c>
      <c r="AZ25">
        <f t="shared" si="31"/>
        <v>0.49522923353906634</v>
      </c>
      <c r="BA25">
        <f t="shared" si="32"/>
        <v>2.1311274243454404E-2</v>
      </c>
      <c r="BB25">
        <f t="shared" si="33"/>
        <v>-1</v>
      </c>
      <c r="BC25" t="s">
        <v>327</v>
      </c>
      <c r="BD25">
        <v>183.36</v>
      </c>
      <c r="BE25">
        <f t="shared" si="34"/>
        <v>179.89400000000001</v>
      </c>
      <c r="BF25">
        <f t="shared" si="35"/>
        <v>0.51824835308998085</v>
      </c>
      <c r="BG25">
        <f t="shared" si="36"/>
        <v>1.9810972949389178</v>
      </c>
      <c r="BH25">
        <f t="shared" si="37"/>
        <v>0.25665173468363461</v>
      </c>
      <c r="BI25" t="e">
        <f t="shared" si="38"/>
        <v>#DIV/0!</v>
      </c>
      <c r="BJ25">
        <v>4013</v>
      </c>
      <c r="BK25">
        <v>300</v>
      </c>
      <c r="BL25">
        <v>300</v>
      </c>
      <c r="BM25">
        <v>300</v>
      </c>
      <c r="BN25">
        <v>9885.3700000000008</v>
      </c>
      <c r="BO25">
        <v>336.01400000000001</v>
      </c>
      <c r="BP25">
        <v>-6.4118400000000002E-3</v>
      </c>
      <c r="BQ25">
        <v>0.14965800000000001</v>
      </c>
      <c r="BR25">
        <f t="shared" si="39"/>
        <v>2199.9980645161299</v>
      </c>
      <c r="BS25">
        <f t="shared" si="40"/>
        <v>1849.1833739026852</v>
      </c>
      <c r="BT25">
        <f t="shared" si="41"/>
        <v>0.84053863670529938</v>
      </c>
      <c r="BU25">
        <f t="shared" si="42"/>
        <v>0.19107727341059894</v>
      </c>
      <c r="BV25">
        <v>0.5</v>
      </c>
      <c r="BW25" t="s">
        <v>281</v>
      </c>
      <c r="BX25">
        <v>1593105856.1096799</v>
      </c>
      <c r="BY25">
        <v>583.18522580645197</v>
      </c>
      <c r="BZ25">
        <v>600.02564516128996</v>
      </c>
      <c r="CA25">
        <v>19.608454838709701</v>
      </c>
      <c r="CB25">
        <v>17.1227870967742</v>
      </c>
      <c r="CC25">
        <v>500.05077419354802</v>
      </c>
      <c r="CD25">
        <v>99.213499999999996</v>
      </c>
      <c r="CE25">
        <v>0.199950580645161</v>
      </c>
      <c r="CF25">
        <v>26.7577838709677</v>
      </c>
      <c r="CG25">
        <v>26.990819354838699</v>
      </c>
      <c r="CH25">
        <v>999.9</v>
      </c>
      <c r="CI25">
        <v>10004.390322580601</v>
      </c>
      <c r="CJ25">
        <v>0</v>
      </c>
      <c r="CK25">
        <v>70.3925451612903</v>
      </c>
      <c r="CL25">
        <v>2199.9980645161299</v>
      </c>
      <c r="CM25">
        <v>0.98200580645161295</v>
      </c>
      <c r="CN25">
        <v>1.7994303225806502E-2</v>
      </c>
      <c r="CO25">
        <v>0</v>
      </c>
      <c r="CP25">
        <v>270.01232258064499</v>
      </c>
      <c r="CQ25">
        <v>5.00054</v>
      </c>
      <c r="CR25">
        <v>6899.1577419354799</v>
      </c>
      <c r="CS25">
        <v>20590.545161290302</v>
      </c>
      <c r="CT25">
        <v>48.340451612903202</v>
      </c>
      <c r="CU25">
        <v>49.723516129032198</v>
      </c>
      <c r="CV25">
        <v>48.842516129032198</v>
      </c>
      <c r="CW25">
        <v>48.195354838709697</v>
      </c>
      <c r="CX25">
        <v>49.602516129032203</v>
      </c>
      <c r="CY25">
        <v>2155.4980645161299</v>
      </c>
      <c r="CZ25">
        <v>39.5</v>
      </c>
      <c r="DA25">
        <v>0</v>
      </c>
      <c r="DB25">
        <v>150</v>
      </c>
      <c r="DC25">
        <v>270.024230769231</v>
      </c>
      <c r="DD25">
        <v>0.55760684319650899</v>
      </c>
      <c r="DE25">
        <v>-383.15692350218802</v>
      </c>
      <c r="DF25">
        <v>6894.3061538461498</v>
      </c>
      <c r="DG25">
        <v>15</v>
      </c>
      <c r="DH25">
        <v>1593105830.5999999</v>
      </c>
      <c r="DI25" t="s">
        <v>328</v>
      </c>
      <c r="DJ25">
        <v>48</v>
      </c>
      <c r="DK25">
        <v>-0.32900000000000001</v>
      </c>
      <c r="DL25">
        <v>0.112</v>
      </c>
      <c r="DM25">
        <v>600</v>
      </c>
      <c r="DN25">
        <v>17</v>
      </c>
      <c r="DO25">
        <v>0.28999999999999998</v>
      </c>
      <c r="DP25">
        <v>0.04</v>
      </c>
      <c r="DQ25">
        <v>-16.8930333333333</v>
      </c>
      <c r="DR25">
        <v>0.59109110305683199</v>
      </c>
      <c r="DS25">
        <v>9.2658740668229697E-2</v>
      </c>
      <c r="DT25">
        <v>0</v>
      </c>
      <c r="DU25">
        <v>2.4536229629629598</v>
      </c>
      <c r="DV25">
        <v>0.29061614066091301</v>
      </c>
      <c r="DW25">
        <v>4.7870770739782902E-2</v>
      </c>
      <c r="DX25">
        <v>0</v>
      </c>
      <c r="DY25">
        <v>0</v>
      </c>
      <c r="DZ25">
        <v>2</v>
      </c>
      <c r="EA25" t="s">
        <v>329</v>
      </c>
      <c r="EB25">
        <v>1.86676</v>
      </c>
      <c r="EC25">
        <v>1.8632500000000001</v>
      </c>
      <c r="ED25">
        <v>1.8689</v>
      </c>
      <c r="EE25">
        <v>1.8668800000000001</v>
      </c>
      <c r="EF25">
        <v>1.8714999999999999</v>
      </c>
      <c r="EG25">
        <v>1.8640000000000001</v>
      </c>
      <c r="EH25">
        <v>1.8655299999999999</v>
      </c>
      <c r="EI25">
        <v>1.86541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-0.32900000000000001</v>
      </c>
      <c r="EX25">
        <v>0.112</v>
      </c>
      <c r="EY25">
        <v>2</v>
      </c>
      <c r="EZ25">
        <v>336.50700000000001</v>
      </c>
      <c r="FA25">
        <v>468.79199999999997</v>
      </c>
      <c r="FB25">
        <v>19.5733</v>
      </c>
      <c r="FC25">
        <v>35.244100000000003</v>
      </c>
      <c r="FD25">
        <v>29.997199999999999</v>
      </c>
      <c r="FE25">
        <v>35.284999999999997</v>
      </c>
      <c r="FF25">
        <v>35.284199999999998</v>
      </c>
      <c r="FG25">
        <v>30.278500000000001</v>
      </c>
      <c r="FH25">
        <v>40.041800000000002</v>
      </c>
      <c r="FI25">
        <v>0</v>
      </c>
      <c r="FJ25">
        <v>19.6309</v>
      </c>
      <c r="FK25">
        <v>600</v>
      </c>
      <c r="FL25">
        <v>17.124400000000001</v>
      </c>
      <c r="FM25">
        <v>100.71</v>
      </c>
      <c r="FN25">
        <v>100.81399999999999</v>
      </c>
    </row>
    <row r="26" spans="1:170" x14ac:dyDescent="0.25">
      <c r="A26">
        <v>10</v>
      </c>
      <c r="B26">
        <v>1593105989.5999999</v>
      </c>
      <c r="C26">
        <v>1198</v>
      </c>
      <c r="D26" t="s">
        <v>330</v>
      </c>
      <c r="E26" t="s">
        <v>331</v>
      </c>
      <c r="G26">
        <v>1593105981.6064501</v>
      </c>
      <c r="H26">
        <f t="shared" si="0"/>
        <v>5.1978159694419431E-3</v>
      </c>
      <c r="I26">
        <f t="shared" si="1"/>
        <v>40.519316869334311</v>
      </c>
      <c r="J26">
        <f t="shared" si="2"/>
        <v>682.40548387096806</v>
      </c>
      <c r="K26">
        <f t="shared" si="3"/>
        <v>456.74111208131063</v>
      </c>
      <c r="L26">
        <f t="shared" si="4"/>
        <v>45.404410030989517</v>
      </c>
      <c r="M26">
        <f t="shared" si="5"/>
        <v>67.837594596821219</v>
      </c>
      <c r="N26">
        <f t="shared" si="6"/>
        <v>0.32220490659090706</v>
      </c>
      <c r="O26">
        <f t="shared" si="7"/>
        <v>3.3813038044913721</v>
      </c>
      <c r="P26">
        <f t="shared" si="8"/>
        <v>0.30606782562123841</v>
      </c>
      <c r="Q26">
        <f t="shared" si="9"/>
        <v>0.19267487245992973</v>
      </c>
      <c r="R26">
        <f t="shared" si="10"/>
        <v>353.33809161757796</v>
      </c>
      <c r="S26">
        <f t="shared" si="11"/>
        <v>27.325969219169867</v>
      </c>
      <c r="T26">
        <f t="shared" si="12"/>
        <v>26.966025806451601</v>
      </c>
      <c r="U26">
        <f t="shared" si="13"/>
        <v>3.5720240955821612</v>
      </c>
      <c r="V26">
        <f t="shared" si="14"/>
        <v>54.943425999183226</v>
      </c>
      <c r="W26">
        <f t="shared" si="15"/>
        <v>1.9305195314790367</v>
      </c>
      <c r="X26">
        <f t="shared" si="16"/>
        <v>3.5136497158144726</v>
      </c>
      <c r="Y26">
        <f t="shared" si="17"/>
        <v>1.6415045641031245</v>
      </c>
      <c r="Z26">
        <f t="shared" si="18"/>
        <v>-229.22368425238969</v>
      </c>
      <c r="AA26">
        <f t="shared" si="19"/>
        <v>-51.074928519587147</v>
      </c>
      <c r="AB26">
        <f t="shared" si="20"/>
        <v>-3.2541867253539007</v>
      </c>
      <c r="AC26">
        <f t="shared" si="21"/>
        <v>69.785292120247206</v>
      </c>
      <c r="AD26">
        <v>-4.1158281712615499E-2</v>
      </c>
      <c r="AE26">
        <v>4.6203776885921997E-2</v>
      </c>
      <c r="AF26">
        <v>3.45352937756999</v>
      </c>
      <c r="AG26">
        <v>142</v>
      </c>
      <c r="AH26">
        <v>28</v>
      </c>
      <c r="AI26">
        <f t="shared" si="22"/>
        <v>1</v>
      </c>
      <c r="AJ26">
        <f t="shared" si="23"/>
        <v>0</v>
      </c>
      <c r="AK26">
        <f t="shared" si="24"/>
        <v>52537.368540916126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332</v>
      </c>
      <c r="AS26">
        <v>271.50761538461501</v>
      </c>
      <c r="AT26">
        <v>366.69799999999998</v>
      </c>
      <c r="AU26">
        <f t="shared" si="27"/>
        <v>0.25958795688927938</v>
      </c>
      <c r="AV26">
        <v>0.5</v>
      </c>
      <c r="AW26">
        <f t="shared" si="28"/>
        <v>1849.1861924649568</v>
      </c>
      <c r="AX26">
        <f t="shared" si="29"/>
        <v>40.519316869334311</v>
      </c>
      <c r="AY26">
        <f t="shared" si="30"/>
        <v>240.01323280492196</v>
      </c>
      <c r="AZ26">
        <f t="shared" si="31"/>
        <v>0.48224424458273557</v>
      </c>
      <c r="BA26">
        <f t="shared" si="32"/>
        <v>2.2452750857926994E-2</v>
      </c>
      <c r="BB26">
        <f t="shared" si="33"/>
        <v>-1</v>
      </c>
      <c r="BC26" t="s">
        <v>333</v>
      </c>
      <c r="BD26">
        <v>189.86</v>
      </c>
      <c r="BE26">
        <f t="shared" si="34"/>
        <v>176.83799999999997</v>
      </c>
      <c r="BF26">
        <f t="shared" si="35"/>
        <v>0.53829145667438549</v>
      </c>
      <c r="BG26">
        <f t="shared" si="36"/>
        <v>1.931412619825134</v>
      </c>
      <c r="BH26">
        <f t="shared" si="37"/>
        <v>0.25958795688927938</v>
      </c>
      <c r="BI26" t="e">
        <f t="shared" si="38"/>
        <v>#DIV/0!</v>
      </c>
      <c r="BJ26">
        <v>4015</v>
      </c>
      <c r="BK26">
        <v>300</v>
      </c>
      <c r="BL26">
        <v>300</v>
      </c>
      <c r="BM26">
        <v>300</v>
      </c>
      <c r="BN26">
        <v>9889.59</v>
      </c>
      <c r="BO26">
        <v>339.23700000000002</v>
      </c>
      <c r="BP26">
        <v>-6.4148299999999998E-3</v>
      </c>
      <c r="BQ26">
        <v>0.79223600000000005</v>
      </c>
      <c r="BR26">
        <f t="shared" si="39"/>
        <v>2200.0009677419398</v>
      </c>
      <c r="BS26">
        <f t="shared" si="40"/>
        <v>1849.1861924649568</v>
      </c>
      <c r="BT26">
        <f t="shared" si="41"/>
        <v>0.84053880865468167</v>
      </c>
      <c r="BU26">
        <f t="shared" si="42"/>
        <v>0.19107761730936348</v>
      </c>
      <c r="BV26">
        <v>0.5</v>
      </c>
      <c r="BW26" t="s">
        <v>281</v>
      </c>
      <c r="BX26">
        <v>1593105981.6064501</v>
      </c>
      <c r="BY26">
        <v>682.40548387096806</v>
      </c>
      <c r="BZ26">
        <v>700.02996774193502</v>
      </c>
      <c r="CA26">
        <v>19.419867741935501</v>
      </c>
      <c r="CB26">
        <v>17.381354838709701</v>
      </c>
      <c r="CC26">
        <v>500.05816129032303</v>
      </c>
      <c r="CD26">
        <v>99.209529032258104</v>
      </c>
      <c r="CE26">
        <v>0.19998070967741899</v>
      </c>
      <c r="CF26">
        <v>26.685845161290299</v>
      </c>
      <c r="CG26">
        <v>26.966025806451601</v>
      </c>
      <c r="CH26">
        <v>999.9</v>
      </c>
      <c r="CI26">
        <v>10004.603225806501</v>
      </c>
      <c r="CJ26">
        <v>0</v>
      </c>
      <c r="CK26">
        <v>58.6736838709677</v>
      </c>
      <c r="CL26">
        <v>2200.0009677419398</v>
      </c>
      <c r="CM26">
        <v>0.98199758064516096</v>
      </c>
      <c r="CN26">
        <v>1.8002193548387099E-2</v>
      </c>
      <c r="CO26">
        <v>0</v>
      </c>
      <c r="CP26">
        <v>271.52683870967701</v>
      </c>
      <c r="CQ26">
        <v>5.00054</v>
      </c>
      <c r="CR26">
        <v>6887.0264516129</v>
      </c>
      <c r="CS26">
        <v>20590.525806451598</v>
      </c>
      <c r="CT26">
        <v>47.739548387096697</v>
      </c>
      <c r="CU26">
        <v>48.979612903225799</v>
      </c>
      <c r="CV26">
        <v>48.185225806451598</v>
      </c>
      <c r="CW26">
        <v>47.576354838709698</v>
      </c>
      <c r="CX26">
        <v>49.108677419354798</v>
      </c>
      <c r="CY26">
        <v>2155.4838709677401</v>
      </c>
      <c r="CZ26">
        <v>39.5125806451613</v>
      </c>
      <c r="DA26">
        <v>0</v>
      </c>
      <c r="DB26">
        <v>124.799999952316</v>
      </c>
      <c r="DC26">
        <v>271.50761538461501</v>
      </c>
      <c r="DD26">
        <v>-1.07172648780762</v>
      </c>
      <c r="DE26">
        <v>55.101880318253698</v>
      </c>
      <c r="DF26">
        <v>6887.5403846153804</v>
      </c>
      <c r="DG26">
        <v>15</v>
      </c>
      <c r="DH26">
        <v>1593105944.0999999</v>
      </c>
      <c r="DI26" t="s">
        <v>334</v>
      </c>
      <c r="DJ26">
        <v>49</v>
      </c>
      <c r="DK26">
        <v>-0.2</v>
      </c>
      <c r="DL26">
        <v>0.107</v>
      </c>
      <c r="DM26">
        <v>700</v>
      </c>
      <c r="DN26">
        <v>17</v>
      </c>
      <c r="DO26">
        <v>0.35</v>
      </c>
      <c r="DP26">
        <v>0.04</v>
      </c>
      <c r="DQ26">
        <v>-17.667451851851901</v>
      </c>
      <c r="DR26">
        <v>0.46720004162369899</v>
      </c>
      <c r="DS26">
        <v>9.4773030506497505E-2</v>
      </c>
      <c r="DT26">
        <v>1</v>
      </c>
      <c r="DU26">
        <v>2.0487483333333301</v>
      </c>
      <c r="DV26">
        <v>-7.8942564067806906E-2</v>
      </c>
      <c r="DW26">
        <v>3.05284794025125E-2</v>
      </c>
      <c r="DX26">
        <v>1</v>
      </c>
      <c r="DY26">
        <v>2</v>
      </c>
      <c r="DZ26">
        <v>2</v>
      </c>
      <c r="EA26" t="s">
        <v>283</v>
      </c>
      <c r="EB26">
        <v>1.86676</v>
      </c>
      <c r="EC26">
        <v>1.8632500000000001</v>
      </c>
      <c r="ED26">
        <v>1.8689</v>
      </c>
      <c r="EE26">
        <v>1.8668899999999999</v>
      </c>
      <c r="EF26">
        <v>1.87151</v>
      </c>
      <c r="EG26">
        <v>1.8640099999999999</v>
      </c>
      <c r="EH26">
        <v>1.86554</v>
      </c>
      <c r="EI26">
        <v>1.86544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</v>
      </c>
      <c r="EX26">
        <v>0.107</v>
      </c>
      <c r="EY26">
        <v>2</v>
      </c>
      <c r="EZ26">
        <v>338.00599999999997</v>
      </c>
      <c r="FA26">
        <v>470.78100000000001</v>
      </c>
      <c r="FB26">
        <v>20.3384</v>
      </c>
      <c r="FC26">
        <v>34.996499999999997</v>
      </c>
      <c r="FD26">
        <v>29.9985</v>
      </c>
      <c r="FE26">
        <v>35.101700000000001</v>
      </c>
      <c r="FF26">
        <v>35.1023</v>
      </c>
      <c r="FG26">
        <v>34.369999999999997</v>
      </c>
      <c r="FH26">
        <v>38.758499999999998</v>
      </c>
      <c r="FI26">
        <v>0</v>
      </c>
      <c r="FJ26">
        <v>20.3565</v>
      </c>
      <c r="FK26">
        <v>700</v>
      </c>
      <c r="FL26">
        <v>17.344200000000001</v>
      </c>
      <c r="FM26">
        <v>100.758</v>
      </c>
      <c r="FN26">
        <v>100.881</v>
      </c>
    </row>
    <row r="27" spans="1:170" x14ac:dyDescent="0.25">
      <c r="A27">
        <v>11</v>
      </c>
      <c r="B27">
        <v>1593106114.5999999</v>
      </c>
      <c r="C27">
        <v>1323</v>
      </c>
      <c r="D27" t="s">
        <v>335</v>
      </c>
      <c r="E27" t="s">
        <v>336</v>
      </c>
      <c r="G27">
        <v>1593106106.63871</v>
      </c>
      <c r="H27">
        <f t="shared" si="0"/>
        <v>4.7578781619065699E-3</v>
      </c>
      <c r="I27">
        <f t="shared" si="1"/>
        <v>42.415632747282224</v>
      </c>
      <c r="J27">
        <f t="shared" si="2"/>
        <v>781.50754838709702</v>
      </c>
      <c r="K27">
        <f t="shared" si="3"/>
        <v>520.42469030474979</v>
      </c>
      <c r="L27">
        <f t="shared" si="4"/>
        <v>51.741191450345255</v>
      </c>
      <c r="M27">
        <f t="shared" si="5"/>
        <v>77.698334522345959</v>
      </c>
      <c r="N27">
        <f t="shared" si="6"/>
        <v>0.29027791918810658</v>
      </c>
      <c r="O27">
        <f t="shared" si="7"/>
        <v>3.3794336553238984</v>
      </c>
      <c r="P27">
        <f t="shared" si="8"/>
        <v>0.27710326324247703</v>
      </c>
      <c r="Q27">
        <f t="shared" si="9"/>
        <v>0.17432339512808687</v>
      </c>
      <c r="R27">
        <f t="shared" si="10"/>
        <v>353.33979631774031</v>
      </c>
      <c r="S27">
        <f t="shared" si="11"/>
        <v>27.520590364853195</v>
      </c>
      <c r="T27">
        <f t="shared" si="12"/>
        <v>27.0870483870968</v>
      </c>
      <c r="U27">
        <f t="shared" si="13"/>
        <v>3.597499271115991</v>
      </c>
      <c r="V27">
        <f t="shared" si="14"/>
        <v>54.850128015153345</v>
      </c>
      <c r="W27">
        <f t="shared" si="15"/>
        <v>1.9379557100492644</v>
      </c>
      <c r="X27">
        <f t="shared" si="16"/>
        <v>3.5331835679834125</v>
      </c>
      <c r="Y27">
        <f t="shared" si="17"/>
        <v>1.6595435610667266</v>
      </c>
      <c r="Z27">
        <f t="shared" si="18"/>
        <v>-209.82242694007974</v>
      </c>
      <c r="AA27">
        <f t="shared" si="19"/>
        <v>-55.932364642119857</v>
      </c>
      <c r="AB27">
        <f t="shared" si="20"/>
        <v>-3.5694863089729143</v>
      </c>
      <c r="AC27">
        <f t="shared" si="21"/>
        <v>84.015518426567809</v>
      </c>
      <c r="AD27">
        <v>-4.1129366455494101E-2</v>
      </c>
      <c r="AE27">
        <v>4.6171316976687499E-2</v>
      </c>
      <c r="AF27">
        <v>3.4516084871924999</v>
      </c>
      <c r="AG27">
        <v>140</v>
      </c>
      <c r="AH27">
        <v>28</v>
      </c>
      <c r="AI27">
        <f t="shared" si="22"/>
        <v>1</v>
      </c>
      <c r="AJ27">
        <f t="shared" si="23"/>
        <v>0</v>
      </c>
      <c r="AK27">
        <f t="shared" si="24"/>
        <v>52485.719132026024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272.66688461538502</v>
      </c>
      <c r="AT27">
        <v>368.49200000000002</v>
      </c>
      <c r="AU27">
        <f t="shared" si="27"/>
        <v>0.26004666420062039</v>
      </c>
      <c r="AV27">
        <v>0.5</v>
      </c>
      <c r="AW27">
        <f t="shared" si="28"/>
        <v>1849.1946505295684</v>
      </c>
      <c r="AX27">
        <f t="shared" si="29"/>
        <v>42.415632747282224</v>
      </c>
      <c r="AY27">
        <f t="shared" si="30"/>
        <v>240.43845016392314</v>
      </c>
      <c r="AZ27">
        <f t="shared" si="31"/>
        <v>0.48183406966772685</v>
      </c>
      <c r="BA27">
        <f t="shared" si="32"/>
        <v>2.3478130187565137E-2</v>
      </c>
      <c r="BB27">
        <f t="shared" si="33"/>
        <v>-1</v>
      </c>
      <c r="BC27" t="s">
        <v>338</v>
      </c>
      <c r="BD27">
        <v>190.94</v>
      </c>
      <c r="BE27">
        <f t="shared" si="34"/>
        <v>177.55200000000002</v>
      </c>
      <c r="BF27">
        <f t="shared" si="35"/>
        <v>0.53970169519135236</v>
      </c>
      <c r="BG27">
        <f t="shared" si="36"/>
        <v>1.9298837331098775</v>
      </c>
      <c r="BH27">
        <f t="shared" si="37"/>
        <v>0.26004666420062034</v>
      </c>
      <c r="BI27" t="e">
        <f t="shared" si="38"/>
        <v>#DIV/0!</v>
      </c>
      <c r="BJ27">
        <v>4017</v>
      </c>
      <c r="BK27">
        <v>300</v>
      </c>
      <c r="BL27">
        <v>300</v>
      </c>
      <c r="BM27">
        <v>300</v>
      </c>
      <c r="BN27">
        <v>9892.24</v>
      </c>
      <c r="BO27">
        <v>341.12900000000002</v>
      </c>
      <c r="BP27">
        <v>-6.4170800000000004E-3</v>
      </c>
      <c r="BQ27">
        <v>0.72363299999999997</v>
      </c>
      <c r="BR27">
        <f t="shared" si="39"/>
        <v>2200.01096774194</v>
      </c>
      <c r="BS27">
        <f t="shared" si="40"/>
        <v>1849.1946505295684</v>
      </c>
      <c r="BT27">
        <f t="shared" si="41"/>
        <v>0.8405388325984372</v>
      </c>
      <c r="BU27">
        <f t="shared" si="42"/>
        <v>0.19107766519687455</v>
      </c>
      <c r="BV27">
        <v>0.5</v>
      </c>
      <c r="BW27" t="s">
        <v>281</v>
      </c>
      <c r="BX27">
        <v>1593106106.63871</v>
      </c>
      <c r="BY27">
        <v>781.50754838709702</v>
      </c>
      <c r="BZ27">
        <v>799.95870967741905</v>
      </c>
      <c r="CA27">
        <v>19.4924</v>
      </c>
      <c r="CB27">
        <v>17.626590322580601</v>
      </c>
      <c r="CC27">
        <v>500.06554838709701</v>
      </c>
      <c r="CD27">
        <v>99.221106451612897</v>
      </c>
      <c r="CE27">
        <v>0.19998638709677399</v>
      </c>
      <c r="CF27">
        <v>26.7800516129032</v>
      </c>
      <c r="CG27">
        <v>27.0870483870968</v>
      </c>
      <c r="CH27">
        <v>999.9</v>
      </c>
      <c r="CI27">
        <v>9996.4080645161303</v>
      </c>
      <c r="CJ27">
        <v>0</v>
      </c>
      <c r="CK27">
        <v>256.30525806451601</v>
      </c>
      <c r="CL27">
        <v>2200.01096774194</v>
      </c>
      <c r="CM27">
        <v>0.981997161290323</v>
      </c>
      <c r="CN27">
        <v>1.8002683870967699E-2</v>
      </c>
      <c r="CO27">
        <v>0</v>
      </c>
      <c r="CP27">
        <v>272.66877419354802</v>
      </c>
      <c r="CQ27">
        <v>5.00054</v>
      </c>
      <c r="CR27">
        <v>8100.3954838709697</v>
      </c>
      <c r="CS27">
        <v>20590.6161290323</v>
      </c>
      <c r="CT27">
        <v>47.048064516129003</v>
      </c>
      <c r="CU27">
        <v>48.146999999999998</v>
      </c>
      <c r="CV27">
        <v>47.4695161290323</v>
      </c>
      <c r="CW27">
        <v>46.796129032258101</v>
      </c>
      <c r="CX27">
        <v>48.421064516129</v>
      </c>
      <c r="CY27">
        <v>2155.4919354838698</v>
      </c>
      <c r="CZ27">
        <v>39.514516129032302</v>
      </c>
      <c r="DA27">
        <v>0</v>
      </c>
      <c r="DB27">
        <v>124.10000014305101</v>
      </c>
      <c r="DC27">
        <v>272.66688461538502</v>
      </c>
      <c r="DD27">
        <v>-0.73911110623024101</v>
      </c>
      <c r="DE27">
        <v>243.66940228772901</v>
      </c>
      <c r="DF27">
        <v>8099.9080769230804</v>
      </c>
      <c r="DG27">
        <v>15</v>
      </c>
      <c r="DH27">
        <v>1593106073.0999999</v>
      </c>
      <c r="DI27" t="s">
        <v>339</v>
      </c>
      <c r="DJ27">
        <v>50</v>
      </c>
      <c r="DK27">
        <v>-0.24099999999999999</v>
      </c>
      <c r="DL27">
        <v>0.11600000000000001</v>
      </c>
      <c r="DM27">
        <v>800</v>
      </c>
      <c r="DN27">
        <v>17</v>
      </c>
      <c r="DO27">
        <v>0.16</v>
      </c>
      <c r="DP27">
        <v>0.04</v>
      </c>
      <c r="DQ27">
        <v>-18.515020370370401</v>
      </c>
      <c r="DR27">
        <v>0.48279022941216898</v>
      </c>
      <c r="DS27">
        <v>0.13876149852872299</v>
      </c>
      <c r="DT27">
        <v>1</v>
      </c>
      <c r="DU27">
        <v>1.8701279629629599</v>
      </c>
      <c r="DV27">
        <v>-5.6669449600281301E-2</v>
      </c>
      <c r="DW27">
        <v>1.98745525344112E-2</v>
      </c>
      <c r="DX27">
        <v>1</v>
      </c>
      <c r="DY27">
        <v>2</v>
      </c>
      <c r="DZ27">
        <v>2</v>
      </c>
      <c r="EA27" t="s">
        <v>283</v>
      </c>
      <c r="EB27">
        <v>1.86673</v>
      </c>
      <c r="EC27">
        <v>1.8632299999999999</v>
      </c>
      <c r="ED27">
        <v>1.8688899999999999</v>
      </c>
      <c r="EE27">
        <v>1.8667800000000001</v>
      </c>
      <c r="EF27">
        <v>1.8714900000000001</v>
      </c>
      <c r="EG27">
        <v>1.8638999999999999</v>
      </c>
      <c r="EH27">
        <v>1.86548</v>
      </c>
      <c r="EI27">
        <v>1.8653900000000001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-0.24099999999999999</v>
      </c>
      <c r="EX27">
        <v>0.11600000000000001</v>
      </c>
      <c r="EY27">
        <v>2</v>
      </c>
      <c r="EZ27">
        <v>339.91699999999997</v>
      </c>
      <c r="FA27">
        <v>472.43200000000002</v>
      </c>
      <c r="FB27">
        <v>19.3523</v>
      </c>
      <c r="FC27">
        <v>34.5471</v>
      </c>
      <c r="FD27">
        <v>29.999400000000001</v>
      </c>
      <c r="FE27">
        <v>34.759300000000003</v>
      </c>
      <c r="FF27">
        <v>34.779299999999999</v>
      </c>
      <c r="FG27">
        <v>38.3812</v>
      </c>
      <c r="FH27">
        <v>37.010899999999999</v>
      </c>
      <c r="FI27">
        <v>0</v>
      </c>
      <c r="FJ27">
        <v>19.294899999999998</v>
      </c>
      <c r="FK27">
        <v>800</v>
      </c>
      <c r="FL27">
        <v>17.7742</v>
      </c>
      <c r="FM27">
        <v>100.833</v>
      </c>
      <c r="FN27">
        <v>100.97199999999999</v>
      </c>
    </row>
    <row r="28" spans="1:170" x14ac:dyDescent="0.25">
      <c r="A28">
        <v>12</v>
      </c>
      <c r="B28">
        <v>1593106265.2</v>
      </c>
      <c r="C28">
        <v>1473.60000014305</v>
      </c>
      <c r="D28" t="s">
        <v>340</v>
      </c>
      <c r="E28" t="s">
        <v>341</v>
      </c>
      <c r="G28">
        <v>1593106257.1483901</v>
      </c>
      <c r="H28">
        <f t="shared" si="0"/>
        <v>5.70118798026748E-3</v>
      </c>
      <c r="I28">
        <f t="shared" si="1"/>
        <v>42.989035059338001</v>
      </c>
      <c r="J28">
        <f t="shared" si="2"/>
        <v>980.63983870967695</v>
      </c>
      <c r="K28">
        <f t="shared" si="3"/>
        <v>753.31978202409573</v>
      </c>
      <c r="L28">
        <f t="shared" si="4"/>
        <v>74.893690240656937</v>
      </c>
      <c r="M28">
        <f t="shared" si="5"/>
        <v>97.493439135016828</v>
      </c>
      <c r="N28">
        <f t="shared" si="6"/>
        <v>0.3541295420535826</v>
      </c>
      <c r="O28">
        <f t="shared" si="7"/>
        <v>3.3780361743088503</v>
      </c>
      <c r="P28">
        <f t="shared" si="8"/>
        <v>0.3347219425267276</v>
      </c>
      <c r="Q28">
        <f t="shared" si="9"/>
        <v>0.21085622902000867</v>
      </c>
      <c r="R28">
        <f t="shared" si="10"/>
        <v>353.33743195837565</v>
      </c>
      <c r="S28">
        <f t="shared" si="11"/>
        <v>27.064680365107211</v>
      </c>
      <c r="T28">
        <f t="shared" si="12"/>
        <v>27.007596774193502</v>
      </c>
      <c r="U28">
        <f t="shared" si="13"/>
        <v>3.5807569437942179</v>
      </c>
      <c r="V28">
        <f t="shared" si="14"/>
        <v>55.532938259830367</v>
      </c>
      <c r="W28">
        <f t="shared" si="15"/>
        <v>1.934374297225762</v>
      </c>
      <c r="X28">
        <f t="shared" si="16"/>
        <v>3.4832918225488303</v>
      </c>
      <c r="Y28">
        <f t="shared" si="17"/>
        <v>1.6463826465684559</v>
      </c>
      <c r="Z28">
        <f t="shared" si="18"/>
        <v>-251.42238992979586</v>
      </c>
      <c r="AA28">
        <f t="shared" si="19"/>
        <v>-85.425650251544425</v>
      </c>
      <c r="AB28">
        <f t="shared" si="20"/>
        <v>-5.4451930289841721</v>
      </c>
      <c r="AC28">
        <f t="shared" si="21"/>
        <v>11.044198748051173</v>
      </c>
      <c r="AD28">
        <v>-4.1107764021205903E-2</v>
      </c>
      <c r="AE28">
        <v>4.6147066351721798E-2</v>
      </c>
      <c r="AF28">
        <v>3.4501730976902301</v>
      </c>
      <c r="AG28">
        <v>139</v>
      </c>
      <c r="AH28">
        <v>28</v>
      </c>
      <c r="AI28">
        <f t="shared" si="22"/>
        <v>1</v>
      </c>
      <c r="AJ28">
        <f t="shared" si="23"/>
        <v>0</v>
      </c>
      <c r="AK28">
        <f t="shared" si="24"/>
        <v>52501.51079797915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268.89284615384599</v>
      </c>
      <c r="AT28">
        <v>357.642</v>
      </c>
      <c r="AU28">
        <f t="shared" si="27"/>
        <v>0.24815081518992177</v>
      </c>
      <c r="AV28">
        <v>0.5</v>
      </c>
      <c r="AW28">
        <f t="shared" si="28"/>
        <v>1849.186083580104</v>
      </c>
      <c r="AX28">
        <f t="shared" si="29"/>
        <v>42.989035059338001</v>
      </c>
      <c r="AY28">
        <f t="shared" si="30"/>
        <v>229.4385170391308</v>
      </c>
      <c r="AZ28">
        <f t="shared" si="31"/>
        <v>0.48194004059925849</v>
      </c>
      <c r="BA28">
        <f t="shared" si="32"/>
        <v>2.3788322576045635E-2</v>
      </c>
      <c r="BB28">
        <f t="shared" si="33"/>
        <v>-1</v>
      </c>
      <c r="BC28" t="s">
        <v>343</v>
      </c>
      <c r="BD28">
        <v>185.28</v>
      </c>
      <c r="BE28">
        <f t="shared" si="34"/>
        <v>172.36199999999999</v>
      </c>
      <c r="BF28">
        <f t="shared" si="35"/>
        <v>0.51489976819805994</v>
      </c>
      <c r="BG28">
        <f t="shared" si="36"/>
        <v>1.9302784974093263</v>
      </c>
      <c r="BH28">
        <f t="shared" si="37"/>
        <v>0.24815081518992177</v>
      </c>
      <c r="BI28" t="e">
        <f t="shared" si="38"/>
        <v>#DIV/0!</v>
      </c>
      <c r="BJ28">
        <v>4019</v>
      </c>
      <c r="BK28">
        <v>300</v>
      </c>
      <c r="BL28">
        <v>300</v>
      </c>
      <c r="BM28">
        <v>300</v>
      </c>
      <c r="BN28">
        <v>9893.4500000000007</v>
      </c>
      <c r="BO28">
        <v>332.02300000000002</v>
      </c>
      <c r="BP28">
        <v>-6.4179099999999998E-3</v>
      </c>
      <c r="BQ28">
        <v>1.7149700000000001</v>
      </c>
      <c r="BR28">
        <f t="shared" si="39"/>
        <v>2200.0012903225802</v>
      </c>
      <c r="BS28">
        <f t="shared" si="40"/>
        <v>1849.186083580104</v>
      </c>
      <c r="BT28">
        <f t="shared" si="41"/>
        <v>0.84053863591551026</v>
      </c>
      <c r="BU28">
        <f t="shared" si="42"/>
        <v>0.19107727183102047</v>
      </c>
      <c r="BV28">
        <v>0.5</v>
      </c>
      <c r="BW28" t="s">
        <v>281</v>
      </c>
      <c r="BX28">
        <v>1593106257.1483901</v>
      </c>
      <c r="BY28">
        <v>980.63983870967695</v>
      </c>
      <c r="BZ28">
        <v>1000.06938709677</v>
      </c>
      <c r="CA28">
        <v>19.456945161290299</v>
      </c>
      <c r="CB28">
        <v>17.2211161290323</v>
      </c>
      <c r="CC28">
        <v>500.06151612903199</v>
      </c>
      <c r="CD28">
        <v>99.218187096774201</v>
      </c>
      <c r="CE28">
        <v>0.20000425806451599</v>
      </c>
      <c r="CF28">
        <v>26.538525806451599</v>
      </c>
      <c r="CG28">
        <v>27.007596774193502</v>
      </c>
      <c r="CH28">
        <v>999.9</v>
      </c>
      <c r="CI28">
        <v>9991.4516129032309</v>
      </c>
      <c r="CJ28">
        <v>0</v>
      </c>
      <c r="CK28">
        <v>253.639935483871</v>
      </c>
      <c r="CL28">
        <v>2200.0012903225802</v>
      </c>
      <c r="CM28">
        <v>0.98200464516129005</v>
      </c>
      <c r="CN28">
        <v>1.79955903225806E-2</v>
      </c>
      <c r="CO28">
        <v>0</v>
      </c>
      <c r="CP28">
        <v>268.94187096774198</v>
      </c>
      <c r="CQ28">
        <v>5.00054</v>
      </c>
      <c r="CR28">
        <v>7899.5877419354802</v>
      </c>
      <c r="CS28">
        <v>20590.577419354799</v>
      </c>
      <c r="CT28">
        <v>46.749870967741899</v>
      </c>
      <c r="CU28">
        <v>47.973580645161299</v>
      </c>
      <c r="CV28">
        <v>47.179000000000002</v>
      </c>
      <c r="CW28">
        <v>46.618774193548397</v>
      </c>
      <c r="CX28">
        <v>48.108677419354798</v>
      </c>
      <c r="CY28">
        <v>2155.5012903225802</v>
      </c>
      <c r="CZ28">
        <v>39.5</v>
      </c>
      <c r="DA28">
        <v>0</v>
      </c>
      <c r="DB28">
        <v>149.89999985694899</v>
      </c>
      <c r="DC28">
        <v>268.89284615384599</v>
      </c>
      <c r="DD28">
        <v>-2.44670085076879</v>
      </c>
      <c r="DE28">
        <v>-91.161709361509494</v>
      </c>
      <c r="DF28">
        <v>7898.8146153846201</v>
      </c>
      <c r="DG28">
        <v>15</v>
      </c>
      <c r="DH28">
        <v>1593106206.0999999</v>
      </c>
      <c r="DI28" t="s">
        <v>344</v>
      </c>
      <c r="DJ28">
        <v>51</v>
      </c>
      <c r="DK28">
        <v>0.123</v>
      </c>
      <c r="DL28">
        <v>0.11700000000000001</v>
      </c>
      <c r="DM28">
        <v>1000</v>
      </c>
      <c r="DN28">
        <v>17</v>
      </c>
      <c r="DO28">
        <v>0.16</v>
      </c>
      <c r="DP28">
        <v>0.04</v>
      </c>
      <c r="DQ28">
        <v>-19.399764814814802</v>
      </c>
      <c r="DR28">
        <v>-0.48787007539548299</v>
      </c>
      <c r="DS28">
        <v>0.18423348125097799</v>
      </c>
      <c r="DT28">
        <v>1</v>
      </c>
      <c r="DU28">
        <v>2.1548474074074102</v>
      </c>
      <c r="DV28">
        <v>0.76677218699607497</v>
      </c>
      <c r="DW28">
        <v>0.10272451893085099</v>
      </c>
      <c r="DX28">
        <v>0</v>
      </c>
      <c r="DY28">
        <v>1</v>
      </c>
      <c r="DZ28">
        <v>2</v>
      </c>
      <c r="EA28" t="s">
        <v>308</v>
      </c>
      <c r="EB28">
        <v>1.86676</v>
      </c>
      <c r="EC28">
        <v>1.8632500000000001</v>
      </c>
      <c r="ED28">
        <v>1.8689</v>
      </c>
      <c r="EE28">
        <v>1.8668100000000001</v>
      </c>
      <c r="EF28">
        <v>1.8714900000000001</v>
      </c>
      <c r="EG28">
        <v>1.86398</v>
      </c>
      <c r="EH28">
        <v>1.8655299999999999</v>
      </c>
      <c r="EI28">
        <v>1.8654200000000001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0.123</v>
      </c>
      <c r="EX28">
        <v>0.11700000000000001</v>
      </c>
      <c r="EY28">
        <v>2</v>
      </c>
      <c r="EZ28">
        <v>341.16500000000002</v>
      </c>
      <c r="FA28">
        <v>472.95600000000002</v>
      </c>
      <c r="FB28">
        <v>19.354399999999998</v>
      </c>
      <c r="FC28">
        <v>34.384</v>
      </c>
      <c r="FD28">
        <v>30.001000000000001</v>
      </c>
      <c r="FE28">
        <v>34.549700000000001</v>
      </c>
      <c r="FF28">
        <v>34.573300000000003</v>
      </c>
      <c r="FG28">
        <v>46.0535</v>
      </c>
      <c r="FH28">
        <v>39.369700000000002</v>
      </c>
      <c r="FI28">
        <v>0</v>
      </c>
      <c r="FJ28">
        <v>19.3231</v>
      </c>
      <c r="FK28">
        <v>1000</v>
      </c>
      <c r="FL28">
        <v>17.1096</v>
      </c>
      <c r="FM28">
        <v>100.86</v>
      </c>
      <c r="FN28">
        <v>101</v>
      </c>
    </row>
    <row r="29" spans="1:170" x14ac:dyDescent="0.25">
      <c r="A29">
        <v>13</v>
      </c>
      <c r="B29">
        <v>1593106385.7</v>
      </c>
      <c r="C29">
        <v>1594.10000014305</v>
      </c>
      <c r="D29" t="s">
        <v>345</v>
      </c>
      <c r="E29" t="s">
        <v>346</v>
      </c>
      <c r="G29">
        <v>1593106377.7</v>
      </c>
      <c r="H29">
        <f t="shared" si="0"/>
        <v>4.8499697670998437E-3</v>
      </c>
      <c r="I29">
        <f t="shared" si="1"/>
        <v>43.287345672789094</v>
      </c>
      <c r="J29">
        <f t="shared" si="2"/>
        <v>1180.3712903225801</v>
      </c>
      <c r="K29">
        <f t="shared" si="3"/>
        <v>907.68237241489976</v>
      </c>
      <c r="L29">
        <f t="shared" si="4"/>
        <v>90.239291546341391</v>
      </c>
      <c r="M29">
        <f t="shared" si="5"/>
        <v>117.34927573503906</v>
      </c>
      <c r="N29">
        <f t="shared" si="6"/>
        <v>0.29545758153832818</v>
      </c>
      <c r="O29">
        <f t="shared" si="7"/>
        <v>3.3798246879889824</v>
      </c>
      <c r="P29">
        <f t="shared" si="8"/>
        <v>0.28182192789963251</v>
      </c>
      <c r="Q29">
        <f t="shared" si="9"/>
        <v>0.17731136495007047</v>
      </c>
      <c r="R29">
        <f t="shared" si="10"/>
        <v>353.33860083466072</v>
      </c>
      <c r="S29">
        <f t="shared" si="11"/>
        <v>27.222311701858864</v>
      </c>
      <c r="T29">
        <f t="shared" si="12"/>
        <v>27.003067741935499</v>
      </c>
      <c r="U29">
        <f t="shared" si="13"/>
        <v>3.5798046224462392</v>
      </c>
      <c r="V29">
        <f t="shared" si="14"/>
        <v>55.127213979549794</v>
      </c>
      <c r="W29">
        <f t="shared" si="15"/>
        <v>1.916190336666461</v>
      </c>
      <c r="X29">
        <f t="shared" si="16"/>
        <v>3.4759426394689532</v>
      </c>
      <c r="Y29">
        <f t="shared" si="17"/>
        <v>1.6636142857797782</v>
      </c>
      <c r="Z29">
        <f t="shared" si="18"/>
        <v>-213.88366672910311</v>
      </c>
      <c r="AA29">
        <f t="shared" si="19"/>
        <v>-91.174737259095025</v>
      </c>
      <c r="AB29">
        <f t="shared" si="20"/>
        <v>-5.8074028456617688</v>
      </c>
      <c r="AC29">
        <f t="shared" si="21"/>
        <v>42.472794000800803</v>
      </c>
      <c r="AD29">
        <v>-4.1135411803066402E-2</v>
      </c>
      <c r="AE29">
        <v>4.6178103408938999E-2</v>
      </c>
      <c r="AF29">
        <v>3.4520101283833702</v>
      </c>
      <c r="AG29">
        <v>139</v>
      </c>
      <c r="AH29">
        <v>28</v>
      </c>
      <c r="AI29">
        <f t="shared" si="22"/>
        <v>1</v>
      </c>
      <c r="AJ29">
        <f t="shared" si="23"/>
        <v>0</v>
      </c>
      <c r="AK29">
        <f t="shared" si="24"/>
        <v>52541.647694462292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266.14046153846198</v>
      </c>
      <c r="AT29">
        <v>348.58699999999999</v>
      </c>
      <c r="AU29">
        <f t="shared" si="27"/>
        <v>0.23651638891162896</v>
      </c>
      <c r="AV29">
        <v>0.5</v>
      </c>
      <c r="AW29">
        <f t="shared" si="28"/>
        <v>1849.1920642252583</v>
      </c>
      <c r="AX29">
        <f t="shared" si="29"/>
        <v>43.287345672789094</v>
      </c>
      <c r="AY29">
        <f t="shared" si="30"/>
        <v>218.68211471729958</v>
      </c>
      <c r="AZ29">
        <f t="shared" si="31"/>
        <v>0.46928600320723374</v>
      </c>
      <c r="BA29">
        <f t="shared" si="32"/>
        <v>2.3949565072000144E-2</v>
      </c>
      <c r="BB29">
        <f t="shared" si="33"/>
        <v>-1</v>
      </c>
      <c r="BC29" t="s">
        <v>348</v>
      </c>
      <c r="BD29">
        <v>185</v>
      </c>
      <c r="BE29">
        <f t="shared" si="34"/>
        <v>163.58699999999999</v>
      </c>
      <c r="BF29">
        <f t="shared" si="35"/>
        <v>0.50399199485006763</v>
      </c>
      <c r="BG29">
        <f t="shared" si="36"/>
        <v>1.884254054054054</v>
      </c>
      <c r="BH29">
        <f t="shared" si="37"/>
        <v>0.23651638891162899</v>
      </c>
      <c r="BI29" t="e">
        <f t="shared" si="38"/>
        <v>#DIV/0!</v>
      </c>
      <c r="BJ29">
        <v>4021</v>
      </c>
      <c r="BK29">
        <v>300</v>
      </c>
      <c r="BL29">
        <v>300</v>
      </c>
      <c r="BM29">
        <v>300</v>
      </c>
      <c r="BN29">
        <v>9893.8700000000008</v>
      </c>
      <c r="BO29">
        <v>325.75400000000002</v>
      </c>
      <c r="BP29">
        <v>-6.4181899999999998E-3</v>
      </c>
      <c r="BQ29">
        <v>0.70486499999999996</v>
      </c>
      <c r="BR29">
        <f t="shared" si="39"/>
        <v>2200.0083870967701</v>
      </c>
      <c r="BS29">
        <f t="shared" si="40"/>
        <v>1849.1920642252583</v>
      </c>
      <c r="BT29">
        <f t="shared" si="41"/>
        <v>0.84053864297560033</v>
      </c>
      <c r="BU29">
        <f t="shared" si="42"/>
        <v>0.19107728595120069</v>
      </c>
      <c r="BV29">
        <v>0.5</v>
      </c>
      <c r="BW29" t="s">
        <v>281</v>
      </c>
      <c r="BX29">
        <v>1593106377.7</v>
      </c>
      <c r="BY29">
        <v>1180.3712903225801</v>
      </c>
      <c r="BZ29">
        <v>1199.9735483871</v>
      </c>
      <c r="CA29">
        <v>19.274222580645201</v>
      </c>
      <c r="CB29">
        <v>17.371877419354799</v>
      </c>
      <c r="CC29">
        <v>500.06596774193503</v>
      </c>
      <c r="CD29">
        <v>99.217264516129006</v>
      </c>
      <c r="CE29">
        <v>0.199992322580645</v>
      </c>
      <c r="CF29">
        <v>26.5026935483871</v>
      </c>
      <c r="CG29">
        <v>27.003067741935499</v>
      </c>
      <c r="CH29">
        <v>999.9</v>
      </c>
      <c r="CI29">
        <v>9998.2645161290293</v>
      </c>
      <c r="CJ29">
        <v>0</v>
      </c>
      <c r="CK29">
        <v>283.09309677419299</v>
      </c>
      <c r="CL29">
        <v>2200.0083870967701</v>
      </c>
      <c r="CM29">
        <v>0.98200412903225798</v>
      </c>
      <c r="CN29">
        <v>1.7996158064516099E-2</v>
      </c>
      <c r="CO29">
        <v>0</v>
      </c>
      <c r="CP29">
        <v>266.16874193548398</v>
      </c>
      <c r="CQ29">
        <v>5.00054</v>
      </c>
      <c r="CR29">
        <v>7764.7835483871004</v>
      </c>
      <c r="CS29">
        <v>20590.635483870999</v>
      </c>
      <c r="CT29">
        <v>46.729548387096798</v>
      </c>
      <c r="CU29">
        <v>48.015999999999998</v>
      </c>
      <c r="CV29">
        <v>47.140999999999998</v>
      </c>
      <c r="CW29">
        <v>46.679064516129003</v>
      </c>
      <c r="CX29">
        <v>48.100548387096801</v>
      </c>
      <c r="CY29">
        <v>2155.5077419354802</v>
      </c>
      <c r="CZ29">
        <v>39.500645161290301</v>
      </c>
      <c r="DA29">
        <v>0</v>
      </c>
      <c r="DB29">
        <v>119.90000009536701</v>
      </c>
      <c r="DC29">
        <v>266.14046153846198</v>
      </c>
      <c r="DD29">
        <v>-1.0560683794755601</v>
      </c>
      <c r="DE29">
        <v>-74.548034235165204</v>
      </c>
      <c r="DF29">
        <v>7764.2049999999999</v>
      </c>
      <c r="DG29">
        <v>15</v>
      </c>
      <c r="DH29">
        <v>1593106325.2</v>
      </c>
      <c r="DI29" t="s">
        <v>349</v>
      </c>
      <c r="DJ29">
        <v>52</v>
      </c>
      <c r="DK29">
        <v>0.22900000000000001</v>
      </c>
      <c r="DL29">
        <v>0.114</v>
      </c>
      <c r="DM29">
        <v>1200</v>
      </c>
      <c r="DN29">
        <v>17</v>
      </c>
      <c r="DO29">
        <v>0.24</v>
      </c>
      <c r="DP29">
        <v>0.03</v>
      </c>
      <c r="DQ29">
        <v>-19.642924074074099</v>
      </c>
      <c r="DR29">
        <v>0.33852258433382199</v>
      </c>
      <c r="DS29">
        <v>0.16732240550327299</v>
      </c>
      <c r="DT29">
        <v>1</v>
      </c>
      <c r="DU29">
        <v>1.8940066666666699</v>
      </c>
      <c r="DV29">
        <v>8.56406174957072E-2</v>
      </c>
      <c r="DW29">
        <v>1.11595317172428E-2</v>
      </c>
      <c r="DX29">
        <v>1</v>
      </c>
      <c r="DY29">
        <v>2</v>
      </c>
      <c r="DZ29">
        <v>2</v>
      </c>
      <c r="EA29" t="s">
        <v>283</v>
      </c>
      <c r="EB29">
        <v>1.8667499999999999</v>
      </c>
      <c r="EC29">
        <v>1.8632500000000001</v>
      </c>
      <c r="ED29">
        <v>1.8688899999999999</v>
      </c>
      <c r="EE29">
        <v>1.8668</v>
      </c>
      <c r="EF29">
        <v>1.8714900000000001</v>
      </c>
      <c r="EG29">
        <v>1.8639699999999999</v>
      </c>
      <c r="EH29">
        <v>1.8655299999999999</v>
      </c>
      <c r="EI29">
        <v>1.8654299999999999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0.22900000000000001</v>
      </c>
      <c r="EX29">
        <v>0.114</v>
      </c>
      <c r="EY29">
        <v>2</v>
      </c>
      <c r="EZ29">
        <v>340.94600000000003</v>
      </c>
      <c r="FA29">
        <v>472.23700000000002</v>
      </c>
      <c r="FB29">
        <v>19.018899999999999</v>
      </c>
      <c r="FC29">
        <v>34.3934</v>
      </c>
      <c r="FD29">
        <v>29.999300000000002</v>
      </c>
      <c r="FE29">
        <v>34.498399999999997</v>
      </c>
      <c r="FF29">
        <v>34.516399999999997</v>
      </c>
      <c r="FG29">
        <v>53.424799999999998</v>
      </c>
      <c r="FH29">
        <v>37.955500000000001</v>
      </c>
      <c r="FI29">
        <v>0</v>
      </c>
      <c r="FJ29">
        <v>19.411100000000001</v>
      </c>
      <c r="FK29">
        <v>1200</v>
      </c>
      <c r="FL29">
        <v>17.373899999999999</v>
      </c>
      <c r="FM29">
        <v>100.854</v>
      </c>
      <c r="FN29">
        <v>100.994</v>
      </c>
    </row>
    <row r="30" spans="1:170" x14ac:dyDescent="0.25">
      <c r="A30">
        <v>14</v>
      </c>
      <c r="B30">
        <v>1593106508.7</v>
      </c>
      <c r="C30">
        <v>1717.10000014305</v>
      </c>
      <c r="D30" t="s">
        <v>350</v>
      </c>
      <c r="E30" t="s">
        <v>351</v>
      </c>
      <c r="G30">
        <v>1593106500.7</v>
      </c>
      <c r="H30">
        <f t="shared" si="0"/>
        <v>4.8846648741601379E-3</v>
      </c>
      <c r="I30">
        <f t="shared" si="1"/>
        <v>42.979099134610543</v>
      </c>
      <c r="J30">
        <f t="shared" si="2"/>
        <v>1579.76419354839</v>
      </c>
      <c r="K30">
        <f t="shared" si="3"/>
        <v>1299.7030917482632</v>
      </c>
      <c r="L30">
        <f t="shared" si="4"/>
        <v>129.21365670753497</v>
      </c>
      <c r="M30">
        <f t="shared" si="5"/>
        <v>157.05672278538708</v>
      </c>
      <c r="N30">
        <f t="shared" si="6"/>
        <v>0.29764536666527158</v>
      </c>
      <c r="O30">
        <f t="shared" si="7"/>
        <v>3.3809875610703526</v>
      </c>
      <c r="P30">
        <f t="shared" si="8"/>
        <v>0.28381662919063361</v>
      </c>
      <c r="Q30">
        <f t="shared" si="9"/>
        <v>0.1785743009848387</v>
      </c>
      <c r="R30">
        <f t="shared" si="10"/>
        <v>353.33604189891116</v>
      </c>
      <c r="S30">
        <f t="shared" si="11"/>
        <v>27.198205515763661</v>
      </c>
      <c r="T30">
        <f t="shared" si="12"/>
        <v>26.989906451612899</v>
      </c>
      <c r="U30">
        <f t="shared" si="13"/>
        <v>3.5770384475352142</v>
      </c>
      <c r="V30">
        <f t="shared" si="14"/>
        <v>55.094194486501358</v>
      </c>
      <c r="W30">
        <f t="shared" si="15"/>
        <v>1.9132399514402669</v>
      </c>
      <c r="X30">
        <f t="shared" si="16"/>
        <v>3.4726707038234861</v>
      </c>
      <c r="Y30">
        <f t="shared" si="17"/>
        <v>1.6637984960949472</v>
      </c>
      <c r="Z30">
        <f t="shared" si="18"/>
        <v>-215.41372095046208</v>
      </c>
      <c r="AA30">
        <f t="shared" si="19"/>
        <v>-91.718831314844593</v>
      </c>
      <c r="AB30">
        <f t="shared" si="20"/>
        <v>-5.8391983604355291</v>
      </c>
      <c r="AC30">
        <f t="shared" si="21"/>
        <v>40.364291273168945</v>
      </c>
      <c r="AD30">
        <v>-4.1153391620529001E-2</v>
      </c>
      <c r="AE30">
        <v>4.6198287329159302E-2</v>
      </c>
      <c r="AF30">
        <v>3.45320455289415</v>
      </c>
      <c r="AG30">
        <v>140</v>
      </c>
      <c r="AH30">
        <v>28</v>
      </c>
      <c r="AI30">
        <f t="shared" si="22"/>
        <v>1</v>
      </c>
      <c r="AJ30">
        <f t="shared" si="23"/>
        <v>0</v>
      </c>
      <c r="AK30">
        <f t="shared" si="24"/>
        <v>52566.489580047193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263.11976923076901</v>
      </c>
      <c r="AT30">
        <v>338.88400000000001</v>
      </c>
      <c r="AU30">
        <f t="shared" si="27"/>
        <v>0.22356980786709024</v>
      </c>
      <c r="AV30">
        <v>0.5</v>
      </c>
      <c r="AW30">
        <f t="shared" si="28"/>
        <v>1849.1787674510699</v>
      </c>
      <c r="AX30">
        <f t="shared" si="29"/>
        <v>42.979099134610543</v>
      </c>
      <c r="AY30">
        <f t="shared" si="30"/>
        <v>206.71027087546923</v>
      </c>
      <c r="AZ30">
        <f t="shared" si="31"/>
        <v>0.46093648564110434</v>
      </c>
      <c r="BA30">
        <f t="shared" si="32"/>
        <v>2.3783043537338393E-2</v>
      </c>
      <c r="BB30">
        <f t="shared" si="33"/>
        <v>-1</v>
      </c>
      <c r="BC30" t="s">
        <v>353</v>
      </c>
      <c r="BD30">
        <v>182.68</v>
      </c>
      <c r="BE30">
        <f t="shared" si="34"/>
        <v>156.20400000000001</v>
      </c>
      <c r="BF30">
        <f t="shared" si="35"/>
        <v>0.48503387089466982</v>
      </c>
      <c r="BG30">
        <f t="shared" si="36"/>
        <v>1.8550689730676593</v>
      </c>
      <c r="BH30">
        <f t="shared" si="37"/>
        <v>0.22356980786709021</v>
      </c>
      <c r="BI30" t="e">
        <f t="shared" si="38"/>
        <v>#DIV/0!</v>
      </c>
      <c r="BJ30">
        <v>4023</v>
      </c>
      <c r="BK30">
        <v>300</v>
      </c>
      <c r="BL30">
        <v>300</v>
      </c>
      <c r="BM30">
        <v>300</v>
      </c>
      <c r="BN30">
        <v>9893.6</v>
      </c>
      <c r="BO30">
        <v>317.56</v>
      </c>
      <c r="BP30">
        <v>-6.4182600000000003E-3</v>
      </c>
      <c r="BQ30">
        <v>0.80896000000000001</v>
      </c>
      <c r="BR30">
        <f t="shared" si="39"/>
        <v>2199.9925806451602</v>
      </c>
      <c r="BS30">
        <f t="shared" si="40"/>
        <v>1849.1787674510699</v>
      </c>
      <c r="BT30">
        <f t="shared" si="41"/>
        <v>0.84053863804794648</v>
      </c>
      <c r="BU30">
        <f t="shared" si="42"/>
        <v>0.19107727609589298</v>
      </c>
      <c r="BV30">
        <v>0.5</v>
      </c>
      <c r="BW30" t="s">
        <v>281</v>
      </c>
      <c r="BX30">
        <v>1593106500.7</v>
      </c>
      <c r="BY30">
        <v>1579.76419354839</v>
      </c>
      <c r="BZ30">
        <v>1600.03967741935</v>
      </c>
      <c r="CA30">
        <v>19.244435483871001</v>
      </c>
      <c r="CB30">
        <v>17.328435483871001</v>
      </c>
      <c r="CC30">
        <v>500.06912903225799</v>
      </c>
      <c r="CD30">
        <v>99.2178161290323</v>
      </c>
      <c r="CE30">
        <v>0.200010548387097</v>
      </c>
      <c r="CF30">
        <v>26.486719354838701</v>
      </c>
      <c r="CG30">
        <v>26.989906451612899</v>
      </c>
      <c r="CH30">
        <v>999.9</v>
      </c>
      <c r="CI30">
        <v>10002.5790322581</v>
      </c>
      <c r="CJ30">
        <v>0</v>
      </c>
      <c r="CK30">
        <v>1899.00870967742</v>
      </c>
      <c r="CL30">
        <v>2199.9925806451602</v>
      </c>
      <c r="CM30">
        <v>0.98200554838709697</v>
      </c>
      <c r="CN30">
        <v>1.79945967741936E-2</v>
      </c>
      <c r="CO30">
        <v>0</v>
      </c>
      <c r="CP30">
        <v>263.164806451613</v>
      </c>
      <c r="CQ30">
        <v>5.00054</v>
      </c>
      <c r="CR30">
        <v>7979.3396774193598</v>
      </c>
      <c r="CS30">
        <v>20590.5</v>
      </c>
      <c r="CT30">
        <v>46.872677419354801</v>
      </c>
      <c r="CU30">
        <v>48.314161290322602</v>
      </c>
      <c r="CV30">
        <v>47.308064516129001</v>
      </c>
      <c r="CW30">
        <v>46.989741935483899</v>
      </c>
      <c r="CX30">
        <v>48.372806451612902</v>
      </c>
      <c r="CY30">
        <v>2155.4925806451602</v>
      </c>
      <c r="CZ30">
        <v>39.5</v>
      </c>
      <c r="DA30">
        <v>0</v>
      </c>
      <c r="DB30">
        <v>122.5</v>
      </c>
      <c r="DC30">
        <v>263.11976923076901</v>
      </c>
      <c r="DD30">
        <v>-4.1154187928122399</v>
      </c>
      <c r="DE30">
        <v>-73.270427510253697</v>
      </c>
      <c r="DF30">
        <v>7978.7815384615396</v>
      </c>
      <c r="DG30">
        <v>15</v>
      </c>
      <c r="DH30">
        <v>1593106467.2</v>
      </c>
      <c r="DI30" t="s">
        <v>354</v>
      </c>
      <c r="DJ30">
        <v>53</v>
      </c>
      <c r="DK30">
        <v>0.189</v>
      </c>
      <c r="DL30">
        <v>0.114</v>
      </c>
      <c r="DM30">
        <v>1600</v>
      </c>
      <c r="DN30">
        <v>17</v>
      </c>
      <c r="DO30">
        <v>0.36</v>
      </c>
      <c r="DP30">
        <v>0.05</v>
      </c>
      <c r="DQ30">
        <v>-20.283662962963</v>
      </c>
      <c r="DR30">
        <v>0.439359634076602</v>
      </c>
      <c r="DS30">
        <v>0.30551602873408001</v>
      </c>
      <c r="DT30">
        <v>1</v>
      </c>
      <c r="DU30">
        <v>1.91537425925926</v>
      </c>
      <c r="DV30">
        <v>5.1010771869636297E-2</v>
      </c>
      <c r="DW30">
        <v>2.07484951352436E-2</v>
      </c>
      <c r="DX30">
        <v>1</v>
      </c>
      <c r="DY30">
        <v>2</v>
      </c>
      <c r="DZ30">
        <v>2</v>
      </c>
      <c r="EA30" t="s">
        <v>283</v>
      </c>
      <c r="EB30">
        <v>1.86676</v>
      </c>
      <c r="EC30">
        <v>1.8632500000000001</v>
      </c>
      <c r="ED30">
        <v>1.8689</v>
      </c>
      <c r="EE30">
        <v>1.8668</v>
      </c>
      <c r="EF30">
        <v>1.8714900000000001</v>
      </c>
      <c r="EG30">
        <v>1.8639699999999999</v>
      </c>
      <c r="EH30">
        <v>1.8655299999999999</v>
      </c>
      <c r="EI30">
        <v>1.86541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0.189</v>
      </c>
      <c r="EX30">
        <v>0.114</v>
      </c>
      <c r="EY30">
        <v>2</v>
      </c>
      <c r="EZ30">
        <v>340.1</v>
      </c>
      <c r="FA30">
        <v>474.24200000000002</v>
      </c>
      <c r="FB30">
        <v>19.3963</v>
      </c>
      <c r="FC30">
        <v>34.362200000000001</v>
      </c>
      <c r="FD30">
        <v>30.0001</v>
      </c>
      <c r="FE30">
        <v>34.442100000000003</v>
      </c>
      <c r="FF30">
        <v>34.447899999999997</v>
      </c>
      <c r="FG30">
        <v>67.310599999999994</v>
      </c>
      <c r="FH30">
        <v>38.128</v>
      </c>
      <c r="FI30">
        <v>0</v>
      </c>
      <c r="FJ30">
        <v>19.370200000000001</v>
      </c>
      <c r="FK30">
        <v>1600</v>
      </c>
      <c r="FL30">
        <v>17.265899999999998</v>
      </c>
      <c r="FM30">
        <v>100.86</v>
      </c>
      <c r="FN30">
        <v>101.004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2020-06-25T12:35:51Z</dcterms:created>
  <dcterms:modified xsi:type="dcterms:W3CDTF">2024-11-20T08:57:03Z</dcterms:modified>
</cp:coreProperties>
</file>