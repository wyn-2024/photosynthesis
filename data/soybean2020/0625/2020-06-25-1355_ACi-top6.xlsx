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625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0" i="1" l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/>
  <c r="M30" i="1" s="1"/>
  <c r="X30" i="1"/>
  <c r="W30" i="1"/>
  <c r="V30" i="1"/>
  <c r="O30" i="1"/>
  <c r="BU29" i="1"/>
  <c r="BT29" i="1"/>
  <c r="BR29" i="1"/>
  <c r="BS29" i="1" s="1"/>
  <c r="BI29" i="1"/>
  <c r="BH29" i="1"/>
  <c r="BG29" i="1"/>
  <c r="BF29" i="1"/>
  <c r="BE29" i="1"/>
  <c r="BB29" i="1"/>
  <c r="AZ29" i="1"/>
  <c r="AU29" i="1"/>
  <c r="AO29" i="1"/>
  <c r="AP29" i="1" s="1"/>
  <c r="AK29" i="1"/>
  <c r="AI29" i="1" s="1"/>
  <c r="X29" i="1"/>
  <c r="W29" i="1"/>
  <c r="V29" i="1"/>
  <c r="O29" i="1"/>
  <c r="BU28" i="1"/>
  <c r="BT28" i="1"/>
  <c r="BR28" i="1"/>
  <c r="BS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/>
  <c r="M28" i="1" s="1"/>
  <c r="X28" i="1"/>
  <c r="W28" i="1"/>
  <c r="V28" i="1"/>
  <c r="O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P27" i="1"/>
  <c r="AO27" i="1"/>
  <c r="AK27" i="1"/>
  <c r="AI27" i="1"/>
  <c r="H27" i="1" s="1"/>
  <c r="X27" i="1"/>
  <c r="W27" i="1"/>
  <c r="V27" i="1"/>
  <c r="O27" i="1"/>
  <c r="M27" i="1"/>
  <c r="BU26" i="1"/>
  <c r="BT26" i="1"/>
  <c r="BR26" i="1"/>
  <c r="BS26" i="1" s="1"/>
  <c r="BI26" i="1"/>
  <c r="BH26" i="1"/>
  <c r="BG26" i="1"/>
  <c r="BF26" i="1"/>
  <c r="BE26" i="1"/>
  <c r="AZ26" i="1" s="1"/>
  <c r="BB26" i="1"/>
  <c r="AU26" i="1"/>
  <c r="AO26" i="1"/>
  <c r="AP26" i="1" s="1"/>
  <c r="AK26" i="1"/>
  <c r="AI26" i="1" s="1"/>
  <c r="X26" i="1"/>
  <c r="W26" i="1"/>
  <c r="V26" i="1"/>
  <c r="O26" i="1"/>
  <c r="BU25" i="1"/>
  <c r="R25" i="1" s="1"/>
  <c r="BT25" i="1"/>
  <c r="BS25" i="1"/>
  <c r="BR25" i="1"/>
  <c r="BI25" i="1"/>
  <c r="BH25" i="1"/>
  <c r="BG25" i="1"/>
  <c r="BF25" i="1"/>
  <c r="BE25" i="1"/>
  <c r="BB25" i="1"/>
  <c r="AZ25" i="1"/>
  <c r="AW25" i="1"/>
  <c r="AY25" i="1" s="1"/>
  <c r="AU25" i="1"/>
  <c r="AO25" i="1"/>
  <c r="AP25" i="1" s="1"/>
  <c r="AK25" i="1"/>
  <c r="AI25" i="1"/>
  <c r="M25" i="1" s="1"/>
  <c r="X25" i="1"/>
  <c r="W25" i="1"/>
  <c r="V25" i="1"/>
  <c r="O25" i="1"/>
  <c r="BU24" i="1"/>
  <c r="BT24" i="1"/>
  <c r="BR24" i="1"/>
  <c r="BS24" i="1" s="1"/>
  <c r="BI24" i="1"/>
  <c r="BH24" i="1"/>
  <c r="BG24" i="1"/>
  <c r="BF24" i="1"/>
  <c r="BE24" i="1"/>
  <c r="BB24" i="1"/>
  <c r="AZ24" i="1"/>
  <c r="AU24" i="1"/>
  <c r="AO24" i="1"/>
  <c r="AP24" i="1" s="1"/>
  <c r="AK24" i="1"/>
  <c r="AI24" i="1" s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/>
  <c r="I23" i="1" s="1"/>
  <c r="AX23" i="1" s="1"/>
  <c r="X23" i="1"/>
  <c r="W23" i="1"/>
  <c r="V23" i="1"/>
  <c r="O23" i="1"/>
  <c r="BU22" i="1"/>
  <c r="BT22" i="1"/>
  <c r="BR22" i="1"/>
  <c r="BS22" i="1" s="1"/>
  <c r="BI22" i="1"/>
  <c r="BH22" i="1"/>
  <c r="BG22" i="1"/>
  <c r="BF22" i="1"/>
  <c r="BE22" i="1"/>
  <c r="BB22" i="1"/>
  <c r="AZ22" i="1"/>
  <c r="AU22" i="1"/>
  <c r="AO22" i="1"/>
  <c r="AP22" i="1" s="1"/>
  <c r="AK22" i="1"/>
  <c r="AI22" i="1"/>
  <c r="J22" i="1" s="1"/>
  <c r="X22" i="1"/>
  <c r="W22" i="1"/>
  <c r="V22" i="1"/>
  <c r="O22" i="1"/>
  <c r="M22" i="1"/>
  <c r="BU21" i="1"/>
  <c r="BT21" i="1"/>
  <c r="BR21" i="1"/>
  <c r="BS21" i="1" s="1"/>
  <c r="BI21" i="1"/>
  <c r="BH21" i="1"/>
  <c r="BG21" i="1"/>
  <c r="BF21" i="1"/>
  <c r="BE21" i="1"/>
  <c r="AZ21" i="1" s="1"/>
  <c r="BB21" i="1"/>
  <c r="AU21" i="1"/>
  <c r="AO21" i="1"/>
  <c r="AP21" i="1" s="1"/>
  <c r="AK21" i="1"/>
  <c r="AI21" i="1"/>
  <c r="H21" i="1" s="1"/>
  <c r="X21" i="1"/>
  <c r="W21" i="1"/>
  <c r="V21" i="1"/>
  <c r="O21" i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M20" i="1" s="1"/>
  <c r="X20" i="1"/>
  <c r="W20" i="1"/>
  <c r="V20" i="1"/>
  <c r="O20" i="1"/>
  <c r="BU19" i="1"/>
  <c r="BT19" i="1"/>
  <c r="BR19" i="1"/>
  <c r="BS19" i="1" s="1"/>
  <c r="BI19" i="1"/>
  <c r="BH19" i="1"/>
  <c r="BG19" i="1"/>
  <c r="BF19" i="1"/>
  <c r="BE19" i="1"/>
  <c r="BB19" i="1"/>
  <c r="AZ19" i="1"/>
  <c r="AU19" i="1"/>
  <c r="AO19" i="1"/>
  <c r="AP19" i="1" s="1"/>
  <c r="AK19" i="1"/>
  <c r="AI19" i="1"/>
  <c r="J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O18" i="1"/>
  <c r="AP18" i="1" s="1"/>
  <c r="AK18" i="1"/>
  <c r="AI18" i="1"/>
  <c r="M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P17" i="1"/>
  <c r="AO17" i="1"/>
  <c r="AK17" i="1"/>
  <c r="AI17" i="1"/>
  <c r="I17" i="1" s="1"/>
  <c r="AX17" i="1" s="1"/>
  <c r="X17" i="1"/>
  <c r="W17" i="1"/>
  <c r="V17" i="1"/>
  <c r="O17" i="1"/>
  <c r="M17" i="1"/>
  <c r="J17" i="1"/>
  <c r="R21" i="1" l="1"/>
  <c r="AW21" i="1"/>
  <c r="Z27" i="1"/>
  <c r="S25" i="1"/>
  <c r="T25" i="1" s="1"/>
  <c r="I26" i="1"/>
  <c r="AX26" i="1" s="1"/>
  <c r="BA26" i="1" s="1"/>
  <c r="J26" i="1"/>
  <c r="H26" i="1"/>
  <c r="M26" i="1"/>
  <c r="AJ26" i="1"/>
  <c r="AY18" i="1"/>
  <c r="R19" i="1"/>
  <c r="AW19" i="1"/>
  <c r="AY19" i="1" s="1"/>
  <c r="AW27" i="1"/>
  <c r="AY27" i="1" s="1"/>
  <c r="R27" i="1"/>
  <c r="Z21" i="1"/>
  <c r="R30" i="1"/>
  <c r="AW30" i="1"/>
  <c r="AY30" i="1" s="1"/>
  <c r="R29" i="1"/>
  <c r="AW29" i="1"/>
  <c r="AY29" i="1" s="1"/>
  <c r="AW17" i="1"/>
  <c r="BA17" i="1" s="1"/>
  <c r="R17" i="1"/>
  <c r="R24" i="1"/>
  <c r="AW24" i="1"/>
  <c r="AY24" i="1" s="1"/>
  <c r="AW28" i="1"/>
  <c r="AY28" i="1" s="1"/>
  <c r="R28" i="1"/>
  <c r="AW20" i="1"/>
  <c r="AY20" i="1" s="1"/>
  <c r="R20" i="1"/>
  <c r="AY26" i="1"/>
  <c r="AY22" i="1"/>
  <c r="AW23" i="1"/>
  <c r="AY23" i="1" s="1"/>
  <c r="R23" i="1"/>
  <c r="J29" i="1"/>
  <c r="I29" i="1"/>
  <c r="AX29" i="1" s="1"/>
  <c r="M29" i="1"/>
  <c r="H29" i="1"/>
  <c r="AJ29" i="1"/>
  <c r="AY21" i="1"/>
  <c r="R26" i="1"/>
  <c r="AW26" i="1"/>
  <c r="AW18" i="1"/>
  <c r="R18" i="1"/>
  <c r="AW22" i="1"/>
  <c r="R22" i="1"/>
  <c r="M24" i="1"/>
  <c r="I24" i="1"/>
  <c r="AX24" i="1" s="1"/>
  <c r="BA24" i="1" s="1"/>
  <c r="H24" i="1"/>
  <c r="AJ24" i="1"/>
  <c r="J24" i="1"/>
  <c r="AJ25" i="1"/>
  <c r="H20" i="1"/>
  <c r="M21" i="1"/>
  <c r="J30" i="1"/>
  <c r="AJ21" i="1"/>
  <c r="I21" i="1"/>
  <c r="AX21" i="1" s="1"/>
  <c r="BA21" i="1" s="1"/>
  <c r="H30" i="1"/>
  <c r="H25" i="1"/>
  <c r="I30" i="1"/>
  <c r="AX30" i="1" s="1"/>
  <c r="I25" i="1"/>
  <c r="AX25" i="1" s="1"/>
  <c r="BA25" i="1" s="1"/>
  <c r="I20" i="1"/>
  <c r="AX20" i="1" s="1"/>
  <c r="J25" i="1"/>
  <c r="J20" i="1"/>
  <c r="J21" i="1"/>
  <c r="H19" i="1"/>
  <c r="I19" i="1"/>
  <c r="AX19" i="1" s="1"/>
  <c r="H28" i="1"/>
  <c r="I18" i="1"/>
  <c r="AX18" i="1" s="1"/>
  <c r="BA18" i="1" s="1"/>
  <c r="AJ30" i="1"/>
  <c r="AJ19" i="1"/>
  <c r="H23" i="1"/>
  <c r="H18" i="1"/>
  <c r="M19" i="1"/>
  <c r="J28" i="1"/>
  <c r="J23" i="1"/>
  <c r="AJ22" i="1"/>
  <c r="AJ17" i="1"/>
  <c r="H22" i="1"/>
  <c r="M23" i="1"/>
  <c r="I27" i="1"/>
  <c r="AX27" i="1" s="1"/>
  <c r="BA27" i="1" s="1"/>
  <c r="AJ28" i="1"/>
  <c r="AJ23" i="1"/>
  <c r="AJ18" i="1"/>
  <c r="I28" i="1"/>
  <c r="AX28" i="1" s="1"/>
  <c r="J18" i="1"/>
  <c r="AJ27" i="1"/>
  <c r="H17" i="1"/>
  <c r="I22" i="1"/>
  <c r="AX22" i="1" s="1"/>
  <c r="J27" i="1"/>
  <c r="AJ20" i="1"/>
  <c r="S27" i="1" l="1"/>
  <c r="T27" i="1" s="1"/>
  <c r="Z22" i="1"/>
  <c r="Z20" i="1"/>
  <c r="S28" i="1"/>
  <c r="T28" i="1" s="1"/>
  <c r="Z24" i="1"/>
  <c r="Z23" i="1"/>
  <c r="S24" i="1"/>
  <c r="T24" i="1" s="1"/>
  <c r="S17" i="1"/>
  <c r="T17" i="1" s="1"/>
  <c r="P28" i="1"/>
  <c r="N28" i="1" s="1"/>
  <c r="Q28" i="1" s="1"/>
  <c r="K28" i="1" s="1"/>
  <c r="L28" i="1" s="1"/>
  <c r="Z28" i="1"/>
  <c r="BA22" i="1"/>
  <c r="S26" i="1"/>
  <c r="T26" i="1" s="1"/>
  <c r="BA23" i="1"/>
  <c r="P29" i="1"/>
  <c r="N29" i="1" s="1"/>
  <c r="Q29" i="1" s="1"/>
  <c r="K29" i="1" s="1"/>
  <c r="L29" i="1" s="1"/>
  <c r="Z29" i="1"/>
  <c r="AY17" i="1"/>
  <c r="BA29" i="1"/>
  <c r="S21" i="1"/>
  <c r="T21" i="1" s="1"/>
  <c r="S19" i="1"/>
  <c r="T19" i="1" s="1"/>
  <c r="S20" i="1"/>
  <c r="T20" i="1" s="1"/>
  <c r="U25" i="1"/>
  <c r="Y25" i="1" s="1"/>
  <c r="AB25" i="1"/>
  <c r="AA25" i="1"/>
  <c r="BA20" i="1"/>
  <c r="BA28" i="1"/>
  <c r="Z25" i="1"/>
  <c r="P25" i="1"/>
  <c r="N25" i="1" s="1"/>
  <c r="Q25" i="1" s="1"/>
  <c r="K25" i="1" s="1"/>
  <c r="L25" i="1" s="1"/>
  <c r="S23" i="1"/>
  <c r="T23" i="1" s="1"/>
  <c r="P23" i="1" s="1"/>
  <c r="N23" i="1" s="1"/>
  <c r="Q23" i="1" s="1"/>
  <c r="K23" i="1" s="1"/>
  <c r="L23" i="1" s="1"/>
  <c r="Z18" i="1"/>
  <c r="P18" i="1"/>
  <c r="N18" i="1" s="1"/>
  <c r="Q18" i="1" s="1"/>
  <c r="K18" i="1" s="1"/>
  <c r="L18" i="1" s="1"/>
  <c r="Z26" i="1"/>
  <c r="P26" i="1"/>
  <c r="N26" i="1" s="1"/>
  <c r="Q26" i="1" s="1"/>
  <c r="K26" i="1" s="1"/>
  <c r="L26" i="1" s="1"/>
  <c r="S22" i="1"/>
  <c r="T22" i="1" s="1"/>
  <c r="S18" i="1"/>
  <c r="T18" i="1" s="1"/>
  <c r="BA19" i="1"/>
  <c r="Z19" i="1"/>
  <c r="S29" i="1"/>
  <c r="T29" i="1" s="1"/>
  <c r="Z17" i="1"/>
  <c r="S30" i="1"/>
  <c r="T30" i="1" s="1"/>
  <c r="BA30" i="1"/>
  <c r="Z30" i="1"/>
  <c r="P30" i="1"/>
  <c r="N30" i="1" s="1"/>
  <c r="Q30" i="1" s="1"/>
  <c r="K30" i="1" s="1"/>
  <c r="L30" i="1" s="1"/>
  <c r="U26" i="1" l="1"/>
  <c r="Y26" i="1" s="1"/>
  <c r="AB26" i="1"/>
  <c r="AA26" i="1"/>
  <c r="AA24" i="1"/>
  <c r="AB24" i="1"/>
  <c r="U24" i="1"/>
  <c r="Y24" i="1" s="1"/>
  <c r="U20" i="1"/>
  <c r="Y20" i="1" s="1"/>
  <c r="AB20" i="1"/>
  <c r="AA20" i="1"/>
  <c r="U22" i="1"/>
  <c r="Y22" i="1" s="1"/>
  <c r="AB22" i="1"/>
  <c r="AC22" i="1" s="1"/>
  <c r="AA22" i="1"/>
  <c r="AB17" i="1"/>
  <c r="U17" i="1"/>
  <c r="Y17" i="1" s="1"/>
  <c r="AA17" i="1"/>
  <c r="AB27" i="1"/>
  <c r="U27" i="1"/>
  <c r="Y27" i="1" s="1"/>
  <c r="AA27" i="1"/>
  <c r="P27" i="1"/>
  <c r="N27" i="1" s="1"/>
  <c r="Q27" i="1" s="1"/>
  <c r="K27" i="1" s="1"/>
  <c r="L27" i="1" s="1"/>
  <c r="AB23" i="1"/>
  <c r="AA23" i="1"/>
  <c r="U23" i="1"/>
  <c r="Y23" i="1" s="1"/>
  <c r="AC25" i="1"/>
  <c r="U30" i="1"/>
  <c r="Y30" i="1" s="1"/>
  <c r="AA30" i="1"/>
  <c r="AB30" i="1"/>
  <c r="AC30" i="1" s="1"/>
  <c r="P24" i="1"/>
  <c r="N24" i="1" s="1"/>
  <c r="Q24" i="1" s="1"/>
  <c r="K24" i="1" s="1"/>
  <c r="L24" i="1" s="1"/>
  <c r="P17" i="1"/>
  <c r="N17" i="1" s="1"/>
  <c r="Q17" i="1" s="1"/>
  <c r="K17" i="1" s="1"/>
  <c r="L17" i="1" s="1"/>
  <c r="AB28" i="1"/>
  <c r="AA28" i="1"/>
  <c r="U28" i="1"/>
  <c r="Y28" i="1" s="1"/>
  <c r="U29" i="1"/>
  <c r="Y29" i="1" s="1"/>
  <c r="AA29" i="1"/>
  <c r="AB29" i="1"/>
  <c r="AC29" i="1" s="1"/>
  <c r="U19" i="1"/>
  <c r="Y19" i="1" s="1"/>
  <c r="AB19" i="1"/>
  <c r="AA19" i="1"/>
  <c r="P20" i="1"/>
  <c r="N20" i="1" s="1"/>
  <c r="Q20" i="1" s="1"/>
  <c r="K20" i="1" s="1"/>
  <c r="L20" i="1" s="1"/>
  <c r="U21" i="1"/>
  <c r="Y21" i="1" s="1"/>
  <c r="AB21" i="1"/>
  <c r="P21" i="1"/>
  <c r="N21" i="1" s="1"/>
  <c r="Q21" i="1" s="1"/>
  <c r="K21" i="1" s="1"/>
  <c r="L21" i="1" s="1"/>
  <c r="AA21" i="1"/>
  <c r="P22" i="1"/>
  <c r="N22" i="1" s="1"/>
  <c r="Q22" i="1" s="1"/>
  <c r="K22" i="1" s="1"/>
  <c r="L22" i="1" s="1"/>
  <c r="P19" i="1"/>
  <c r="N19" i="1" s="1"/>
  <c r="Q19" i="1" s="1"/>
  <c r="K19" i="1" s="1"/>
  <c r="L19" i="1" s="1"/>
  <c r="AB18" i="1"/>
  <c r="U18" i="1"/>
  <c r="Y18" i="1" s="1"/>
  <c r="AA18" i="1"/>
  <c r="AC27" i="1" l="1"/>
  <c r="AC23" i="1"/>
  <c r="AC21" i="1"/>
  <c r="AC17" i="1"/>
  <c r="AC19" i="1"/>
  <c r="AC20" i="1"/>
  <c r="AC28" i="1"/>
  <c r="AC24" i="1"/>
  <c r="AC26" i="1"/>
  <c r="AC18" i="1"/>
</calcChain>
</file>

<file path=xl/sharedStrings.xml><?xml version="1.0" encoding="utf-8"?>
<sst xmlns="http://schemas.openxmlformats.org/spreadsheetml/2006/main" count="771" uniqueCount="354">
  <si>
    <t>File opened</t>
  </si>
  <si>
    <t>2020-06-25 13:55:10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</si>
  <si>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</si>
  <si>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</si>
  <si>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</si>
  <si>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</si>
  <si>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</si>
  <si>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</si>
  <si>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</si>
  <si>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</si>
  <si>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</si>
  <si>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</si>
  <si>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</si>
  <si>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{"ssa_ref": "36614.9", "h2obspan2a": "0.0975941", "co2azero": "0.869071", "co2aspanconc2": "0", "h2obspan1": "0.998578", "h2oaspan2b": "0.0662632", "h2oaspan2a": "0.0661155", "h2oaspanconc2": "0", "chamberpressurezero": "2.59209", "h2oaspan2": "0", "h2oaspanconc1": "12.19", "co2bspan2": "0", "co2aspanconc1": "1002", "flowazero": "0.42932", "h2oaspan1": "1.00223", "co2aspan1": "0.992625", "co2bspanconc2": "0", "co2bspanconc1": "1002", "h2oazero": "1.00263", "oxygen": "21", "h2obspan2": "0", "tazero": "0.00774765", "h2obzero": "1.01783", "flowbzero": "0.22736", "ssb_ref": "36526.8", "co2bspan2a": "0.163389", "h2obspan2b": "0.0963575", "co2aspan2a": "0.164928", "co2bspan2b": "0.162103", "co2bspan1": "0.992131", "h2obspanconc2": "0", "tbzero": "0.197721", "h2obspanconc1": "20", "flowmeterzero": "0.990908", "co2aspan2": "0", "co2aspan2b": "0.163711", "co2bzero": "0.880288"}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</si>
  <si>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</si>
  <si>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</si>
  <si>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</si>
  <si>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</si>
  <si>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</si>
  <si>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</si>
  <si>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</si>
  <si>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</si>
  <si>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</si>
  <si>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13:55:10</t>
  </si>
  <si>
    <t>Stability Definition:	ΔCO2 (Meas2): Slp&lt;0.5	ΔH2O (Meas2): Slp&lt;0.1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</si>
  <si>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</si>
  <si>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</si>
  <si>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</si>
  <si>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</si>
  <si>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</si>
  <si>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</si>
  <si>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</si>
  <si>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</si>
  <si>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</si>
  <si>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</si>
  <si>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</si>
  <si>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</si>
  <si>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</si>
  <si>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</si>
  <si>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</si>
  <si>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</si>
  <si>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</si>
  <si>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</si>
  <si>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</si>
  <si>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</si>
  <si>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</si>
  <si>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</si>
  <si>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</si>
  <si>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</si>
  <si>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</si>
  <si>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</si>
  <si>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</si>
  <si>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</si>
  <si>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</si>
  <si>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</si>
  <si>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</si>
  <si>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</si>
  <si>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</si>
  <si>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</si>
  <si>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</si>
  <si>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</si>
  <si>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</si>
  <si>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</si>
  <si>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</si>
  <si>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</si>
  <si>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</si>
  <si>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</si>
  <si>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</si>
  <si>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</si>
  <si>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</si>
  <si>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</si>
  <si>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1.61963 74.1132 383.059 614.556 842.442 1048.13 1225.96 1401.63</t>
  </si>
  <si>
    <t>Fs_true</t>
  </si>
  <si>
    <t>0.0511076 99.3107 402.59 600.302 800.523 1000.1 1200.74 1401.59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</si>
  <si>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</si>
  <si>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</si>
  <si>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</si>
  <si>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</si>
  <si>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</si>
  <si>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</si>
  <si>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</si>
  <si>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</si>
  <si>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</si>
  <si>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</si>
  <si>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</si>
  <si>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</si>
  <si>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</si>
  <si>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</si>
  <si>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</si>
  <si>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</si>
  <si>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</si>
  <si>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</si>
  <si>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</si>
  <si>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</si>
  <si>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</si>
  <si>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</si>
  <si>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</si>
  <si>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</si>
  <si>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</si>
  <si>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</si>
  <si>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</si>
  <si>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</si>
  <si>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</si>
  <si>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</si>
  <si>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</si>
  <si>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</si>
  <si>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</si>
  <si>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</si>
  <si>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</si>
  <si>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</si>
  <si>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</si>
  <si>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</si>
  <si>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</si>
  <si>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</si>
  <si>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</si>
  <si>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</si>
  <si>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</si>
  <si>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</si>
  <si>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</si>
  <si>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</si>
  <si>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</si>
  <si>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</si>
  <si>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</si>
  <si>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</si>
  <si>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</si>
  <si>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</si>
  <si>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</si>
  <si>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</si>
  <si>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</si>
  <si>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</si>
  <si>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</si>
  <si>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</si>
  <si>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</si>
  <si>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</si>
  <si>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</si>
  <si>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</si>
  <si>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</si>
  <si>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</si>
  <si>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</si>
  <si>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</si>
  <si>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</si>
  <si>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</si>
  <si>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</si>
  <si>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</si>
  <si>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</si>
  <si>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</si>
  <si>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</si>
  <si>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</si>
  <si>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</si>
  <si>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</si>
  <si>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</si>
  <si>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</si>
  <si>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</si>
  <si>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</si>
  <si>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</si>
  <si>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</si>
  <si>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</si>
  <si>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</si>
  <si>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</si>
  <si>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</si>
  <si>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</si>
  <si>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</si>
  <si>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</si>
  <si>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</si>
  <si>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</si>
  <si>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</si>
  <si>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</si>
  <si>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</si>
  <si>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</si>
  <si>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</si>
  <si>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</si>
  <si>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</si>
  <si>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</si>
  <si>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</si>
  <si>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</si>
  <si>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</si>
  <si>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</si>
  <si>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</si>
  <si>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</si>
  <si>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</si>
  <si>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</si>
  <si>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</si>
  <si>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</si>
  <si>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</si>
  <si>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</si>
  <si>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</si>
  <si>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</si>
  <si>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</si>
  <si>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</si>
  <si>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</si>
  <si>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</si>
  <si>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</si>
  <si>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</si>
  <si>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</si>
  <si>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</si>
  <si>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</si>
  <si>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</si>
  <si>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</si>
  <si>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</si>
  <si>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</si>
  <si>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</si>
  <si>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</si>
  <si>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</si>
  <si>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</si>
  <si>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</si>
  <si>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</si>
  <si>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</si>
  <si>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</si>
  <si>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</si>
  <si>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ΔH2O:MN</t>
  </si>
  <si>
    <t>ΔH2O:SLP</t>
  </si>
  <si>
    <t>ΔH2O:SD</t>
  </si>
  <si>
    <t>ΔH2O:OK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</si>
  <si>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</si>
  <si>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</si>
  <si>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</si>
  <si>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</si>
  <si>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</si>
  <si>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</si>
  <si>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</si>
  <si>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</si>
  <si>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</si>
  <si>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</si>
  <si>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</si>
  <si>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</si>
  <si>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</si>
  <si>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</si>
  <si>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</si>
  <si>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</si>
  <si>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</si>
  <si>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</si>
  <si>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</si>
  <si>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</si>
  <si>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</si>
  <si>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</si>
  <si>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</si>
  <si>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</si>
  <si>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</si>
  <si>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</si>
  <si>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</si>
  <si>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</si>
  <si>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</si>
  <si>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</si>
  <si>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</si>
  <si>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</si>
  <si>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</si>
  <si>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</si>
  <si>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</si>
  <si>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</si>
  <si>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</si>
  <si>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</si>
  <si>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</si>
  <si>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</si>
  <si>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</si>
  <si>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</si>
  <si>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</si>
  <si>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</si>
  <si>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</si>
  <si>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</si>
  <si>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</si>
  <si>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</si>
  <si>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</si>
  <si>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</si>
  <si>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</si>
  <si>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</si>
  <si>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</si>
  <si>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</si>
  <si>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</si>
  <si>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</si>
  <si>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</si>
  <si>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</si>
  <si>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</si>
  <si>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</si>
  <si>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</si>
  <si>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</si>
  <si>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</si>
  <si>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</si>
  <si>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20200625 14:02:34</t>
  </si>
  <si>
    <t>14:02:34</t>
  </si>
  <si>
    <t>MPF-4081-20200625-14_02_36</t>
  </si>
  <si>
    <t>DARK-4082-20200625-14_02_43</t>
  </si>
  <si>
    <t>0: Broadleaf</t>
  </si>
  <si>
    <t>14:01:32</t>
  </si>
  <si>
    <t>2/2</t>
  </si>
  <si>
    <t>5</t>
  </si>
  <si>
    <t>11111111</t>
  </si>
  <si>
    <t>oooooooo</t>
  </si>
  <si>
    <t>off</t>
  </si>
  <si>
    <t>20200625 14:04:35</t>
  </si>
  <si>
    <t>14:04:35</t>
  </si>
  <si>
    <t>MPF-4083-20200625-14_04_36</t>
  </si>
  <si>
    <t>DARK-4084-20200625-14_04_44</t>
  </si>
  <si>
    <t>14:03:42</t>
  </si>
  <si>
    <t>20200625 14:06:57</t>
  </si>
  <si>
    <t>14:06:57</t>
  </si>
  <si>
    <t>MPF-4085-20200625-14_06_58</t>
  </si>
  <si>
    <t>DARK-4086-20200625-14_07_06</t>
  </si>
  <si>
    <t>14:05:49</t>
  </si>
  <si>
    <t>20200625 14:08:59</t>
  </si>
  <si>
    <t>14:08:59</t>
  </si>
  <si>
    <t>MPF-4087-20200625-14_09_01</t>
  </si>
  <si>
    <t>DARK-4088-20200625-14_09_08</t>
  </si>
  <si>
    <t>14:08:07</t>
  </si>
  <si>
    <t>20200625 14:11:01</t>
  </si>
  <si>
    <t>14:11:01</t>
  </si>
  <si>
    <t>MPF-4089-20200625-14_11_03</t>
  </si>
  <si>
    <t>DARK-4090-20200625-14_11_11</t>
  </si>
  <si>
    <t>14:10:21</t>
  </si>
  <si>
    <t>20200625 14:13:02</t>
  </si>
  <si>
    <t>14:13:02</t>
  </si>
  <si>
    <t>MPF-4091-20200625-14_13_03</t>
  </si>
  <si>
    <t>DARK-4092-20200625-14_13_11</t>
  </si>
  <si>
    <t>14:12:13</t>
  </si>
  <si>
    <t>20200625 14:15:03</t>
  </si>
  <si>
    <t>14:15:03</t>
  </si>
  <si>
    <t>MPF-4093-20200625-14_15_04</t>
  </si>
  <si>
    <t>DARK-4094-20200625-14_15_12</t>
  </si>
  <si>
    <t>14:14:19</t>
  </si>
  <si>
    <t>20200625 14:17:04</t>
  </si>
  <si>
    <t>14:17:04</t>
  </si>
  <si>
    <t>MPF-4095-20200625-14_17_05</t>
  </si>
  <si>
    <t>DARK-4096-20200625-14_17_13</t>
  </si>
  <si>
    <t>14:16:23</t>
  </si>
  <si>
    <t>20200625 14:19:20</t>
  </si>
  <si>
    <t>14:19:20</t>
  </si>
  <si>
    <t>MPF-4097-20200625-14_19_21</t>
  </si>
  <si>
    <t>DARK-4098-20200625-14_19_29</t>
  </si>
  <si>
    <t>14:18:26</t>
  </si>
  <si>
    <t>20200625 14:21:50</t>
  </si>
  <si>
    <t>14:21:50</t>
  </si>
  <si>
    <t>MPF-4099-20200625-14_21_52</t>
  </si>
  <si>
    <t>DARK-4100-20200625-14_21_59</t>
  </si>
  <si>
    <t>14:20:34</t>
  </si>
  <si>
    <t>1/2</t>
  </si>
  <si>
    <t>20200625 14:23:51</t>
  </si>
  <si>
    <t>14:23:51</t>
  </si>
  <si>
    <t>MPF-4101-20200625-14_23_52</t>
  </si>
  <si>
    <t>DARK-4102-20200625-14_24_00</t>
  </si>
  <si>
    <t>14:23:15</t>
  </si>
  <si>
    <t>20200625 14:25:51</t>
  </si>
  <si>
    <t>14:25:51</t>
  </si>
  <si>
    <t>MPF-4103-20200625-14_25_53</t>
  </si>
  <si>
    <t>DARK-4104-20200625-14_26_00</t>
  </si>
  <si>
    <t>14:25:03</t>
  </si>
  <si>
    <t>20200625 14:27:53</t>
  </si>
  <si>
    <t>14:27:53</t>
  </si>
  <si>
    <t>MPF-4105-20200625-14_27_55</t>
  </si>
  <si>
    <t>DARK-4106-20200625-14_28_02</t>
  </si>
  <si>
    <t>14:26:50</t>
  </si>
  <si>
    <t>20200625 14:29:54</t>
  </si>
  <si>
    <t>14:29:54</t>
  </si>
  <si>
    <t>MPF-4107-20200625-14_29_55</t>
  </si>
  <si>
    <t>DARK-4108-20200625-14_30_03</t>
  </si>
  <si>
    <t>14:29:02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</si>
</sst>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0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1593111754.7</v>
      </c>
      <c r="C17">
        <v>0</v>
      </c>
      <c r="D17" t="s">
        <v>277</v>
      </c>
      <c r="E17" t="s">
        <v>278</v>
      </c>
      <c r="G17">
        <v>1593111746.7</v>
      </c>
      <c r="H17">
        <f t="shared" ref="H17:H30" si="0">CC17*AI17*(CA17-CB17)/(100*$B$5*(1000-AI17*CA17))</f>
        <v>1.2001100360027607E-2</v>
      </c>
      <c r="I17">
        <f t="shared" ref="I17:I30" si="1">CC17*AI17*(BZ17-BY17*(1000-AI17*CB17)/(1000-AI17*CA17))/(100*$B$5)</f>
        <v>32.309763482003476</v>
      </c>
      <c r="J17">
        <f t="shared" ref="J17:J30" si="2">BY17 - IF(AI17&gt;1, I17*$B$5*100/(AK17*CI17), 0)</f>
        <v>385.25280645161303</v>
      </c>
      <c r="K17">
        <f t="shared" ref="K17:K30" si="3">((Q17-H17/2)*J17-I17)/(Q17+H17/2)</f>
        <v>309.775280873322</v>
      </c>
      <c r="L17">
        <f t="shared" ref="L17:L30" si="4">K17*(CD17+CE17)/1000</f>
        <v>30.789538589852228</v>
      </c>
      <c r="M17">
        <f t="shared" ref="M17:M30" si="5">(BY17 - IF(AI17&gt;1, I17*$B$5*100/(AK17*CI17), 0))*(CD17+CE17)/1000</f>
        <v>38.291487034246281</v>
      </c>
      <c r="N17">
        <f t="shared" ref="N17:N30" si="6">2/((1/P17-1/O17)+SIGN(P17)*SQRT((1/P17-1/O17)*(1/P17-1/O17) + 4*BV17/((BV17+1)*(BV17+1))*(2*1/P17*1/O17-1/O17*1/O17)))</f>
        <v>0.86687194351253316</v>
      </c>
      <c r="O17">
        <f t="shared" ref="O17:O30" si="7">AF17+AE17*$B$5+AD17*$B$5*$B$5</f>
        <v>3.378501565590581</v>
      </c>
      <c r="P17">
        <f t="shared" ref="P17:P30" si="8">H17*(1000-(1000*0.61365*EXP(17.502*T17/(240.97+T17))/(CD17+CE17)+CA17)/2)/(1000*0.61365*EXP(17.502*T17/(240.97+T17))/(CD17+CE17)-CA17)</f>
        <v>0.75968901263089161</v>
      </c>
      <c r="Q17">
        <f t="shared" ref="Q17:Q30" si="9">1/((BV17+1)/(N17/1.6)+1/(O17/1.37)) + BV17/((BV17+1)/(N17/1.6) + BV17/(O17/1.37))</f>
        <v>0.48332684619709254</v>
      </c>
      <c r="R17">
        <f t="shared" ref="R17:R30" si="10">(BS17*BU17)</f>
        <v>353.33547090417829</v>
      </c>
      <c r="S17">
        <f t="shared" ref="S17:S30" si="11">(CF17+(R17+2*0.95*0.0000000567*(((CF17+$B$7)+273)^4-(CF17+273)^4)-44100*H17)/(1.84*29.3*O17+8*0.95*0.0000000567*(CF17+273)^3))</f>
        <v>26.594550737313657</v>
      </c>
      <c r="T17">
        <f t="shared" ref="T17:T30" si="12">($C$7*CG17+$D$7*CH17+$E$7*S17)</f>
        <v>26.9591483870968</v>
      </c>
      <c r="U17">
        <f t="shared" ref="U17:U30" si="13">0.61365*EXP(17.502*T17/(240.97+T17))</f>
        <v>3.5705811440784543</v>
      </c>
      <c r="V17">
        <f t="shared" ref="V17:V30" si="14">(W17/X17*100)</f>
        <v>55.47320621517634</v>
      </c>
      <c r="W17">
        <f t="shared" ref="W17:W30" si="15">CA17*(CD17+CE17)/1000</f>
        <v>2.0447833759851513</v>
      </c>
      <c r="X17">
        <f t="shared" ref="X17:X30" si="16">0.61365*EXP(17.502*CF17/(240.97+CF17))</f>
        <v>3.6860739003503644</v>
      </c>
      <c r="Y17">
        <f t="shared" ref="Y17:Y30" si="17">(U17-CA17*(CD17+CE17)/1000)</f>
        <v>1.525797768093303</v>
      </c>
      <c r="Z17">
        <f t="shared" ref="Z17:Z30" si="18">(-H17*44100)</f>
        <v>-529.2485258772175</v>
      </c>
      <c r="AA17">
        <f t="shared" ref="AA17:AA30" si="19">2*29.3*O17*0.92*(CF17-T17)</f>
        <v>98.892408613310067</v>
      </c>
      <c r="AB17">
        <f t="shared" ref="AB17:AB30" si="20">2*0.95*0.0000000567*(((CF17+$B$7)+273)^4-(T17+273)^4)</f>
        <v>6.3316272500948543</v>
      </c>
      <c r="AC17">
        <f t="shared" ref="AC17:AC30" si="21">R17+AB17+Z17+AA17</f>
        <v>-70.689019109634273</v>
      </c>
      <c r="AD17">
        <v>-4.1114957652962199E-2</v>
      </c>
      <c r="AE17">
        <v>4.6155141833565103E-2</v>
      </c>
      <c r="AF17">
        <v>3.4506511125352999</v>
      </c>
      <c r="AG17">
        <v>147</v>
      </c>
      <c r="AH17">
        <v>29</v>
      </c>
      <c r="AI17">
        <f t="shared" ref="AI17:AI30" si="22">IF(AG17*$H$13&gt;=AK17,1,(AK17/(AK17-AG17*$H$13)))</f>
        <v>1</v>
      </c>
      <c r="AJ17">
        <f t="shared" ref="AJ17:AJ30" si="23">(AI17-1)*100</f>
        <v>0</v>
      </c>
      <c r="AK17">
        <f t="shared" ref="AK17:AK30" si="24">MAX(0,($B$13+$C$13*CI17)/(1+$D$13*CI17)*CD17/(CF17+273)*$E$13)</f>
        <v>52341.411147752078</v>
      </c>
      <c r="AL17">
        <v>0</v>
      </c>
      <c r="AM17">
        <v>0</v>
      </c>
      <c r="AN17">
        <v>0</v>
      </c>
      <c r="AO17">
        <f t="shared" ref="AO17:AO30" si="25">AN17-AM17</f>
        <v>0</v>
      </c>
      <c r="AP17" t="e">
        <f t="shared" ref="AP17:AP30" si="26">AO17/AN17</f>
        <v>#DIV/0!</v>
      </c>
      <c r="AQ17">
        <v>-1</v>
      </c>
      <c r="AR17" t="s">
        <v>279</v>
      </c>
      <c r="AS17">
        <v>291.20699999999999</v>
      </c>
      <c r="AT17">
        <v>391.45</v>
      </c>
      <c r="AU17">
        <f t="shared" ref="AU17:AU30" si="27">1-AS17/AT17</f>
        <v>0.25608123642866265</v>
      </c>
      <c r="AV17">
        <v>0.5</v>
      </c>
      <c r="AW17">
        <f t="shared" ref="AW17:AW30" si="28">BS17</f>
        <v>1849.1731061606754</v>
      </c>
      <c r="AX17">
        <f t="shared" ref="AX17:AX30" si="29">I17</f>
        <v>32.309763482003476</v>
      </c>
      <c r="AY17">
        <f t="shared" ref="AY17:AY30" si="30">AU17*AV17*AW17</f>
        <v>236.7692676981282</v>
      </c>
      <c r="AZ17">
        <f t="shared" ref="AZ17:AZ30" si="31">BE17/AT17</f>
        <v>0.50517307446672632</v>
      </c>
      <c r="BA17">
        <f t="shared" ref="BA17:BA30" si="32">(AX17-AQ17)/AW17</f>
        <v>1.8013328969056063E-2</v>
      </c>
      <c r="BB17">
        <f t="shared" ref="BB17:BB30" si="33">(AN17-AT17)/AT17</f>
        <v>-1</v>
      </c>
      <c r="BC17" t="s">
        <v>280</v>
      </c>
      <c r="BD17">
        <v>193.7</v>
      </c>
      <c r="BE17">
        <f t="shared" ref="BE17:BE30" si="34">AT17-BD17</f>
        <v>197.75</v>
      </c>
      <c r="BF17">
        <f t="shared" ref="BF17:BF30" si="35">(AT17-AS17)/(AT17-BD17)</f>
        <v>0.50691782553729459</v>
      </c>
      <c r="BG17">
        <f t="shared" ref="BG17:BG30" si="36">(AN17-AT17)/(AN17-BD17)</f>
        <v>2.0209086215797627</v>
      </c>
      <c r="BH17">
        <f t="shared" ref="BH17:BH30" si="37">(AT17-AS17)/(AT17-AM17)</f>
        <v>0.25608123642866265</v>
      </c>
      <c r="BI17" t="e">
        <f t="shared" ref="BI17:BI30" si="38">(AN17-AT17)/(AN17-AM17)</f>
        <v>#DIV/0!</v>
      </c>
      <c r="BJ17">
        <v>4081</v>
      </c>
      <c r="BK17">
        <v>300</v>
      </c>
      <c r="BL17">
        <v>300</v>
      </c>
      <c r="BM17">
        <v>300</v>
      </c>
      <c r="BN17">
        <v>9903.26</v>
      </c>
      <c r="BO17">
        <v>362.50400000000002</v>
      </c>
      <c r="BP17">
        <v>-6.4245300000000003E-3</v>
      </c>
      <c r="BQ17">
        <v>5.58472E-2</v>
      </c>
      <c r="BR17">
        <f t="shared" ref="BR17:BR30" si="39">$B$11*CJ17+$C$11*CK17+$F$11*CL17</f>
        <v>2199.9854838709698</v>
      </c>
      <c r="BS17">
        <f t="shared" ref="BS17:BS30" si="40">BR17*BT17</f>
        <v>1849.1731061606754</v>
      </c>
      <c r="BT17">
        <f t="shared" ref="BT17:BT30" si="41">($B$11*$D$9+$C$11*$D$9+$F$11*((CY17+CQ17)/MAX(CY17+CQ17+CZ17, 0.1)*$I$9+CZ17/MAX(CY17+CQ17+CZ17, 0.1)*$J$9))/($B$11+$C$11+$F$11)</f>
        <v>0.84053877615000216</v>
      </c>
      <c r="BU17">
        <f t="shared" ref="BU17:BU30" si="42">($B$11*$K$9+$C$11*$K$9+$F$11*((CY17+CQ17)/MAX(CY17+CQ17+CZ17, 0.1)*$P$9+CZ17/MAX(CY17+CQ17+CZ17, 0.1)*$Q$9))/($B$11+$C$11+$F$11)</f>
        <v>0.19107755230000453</v>
      </c>
      <c r="BV17">
        <v>0.5</v>
      </c>
      <c r="BW17" t="s">
        <v>281</v>
      </c>
      <c r="BX17">
        <v>1593111746.7</v>
      </c>
      <c r="BY17">
        <v>385.25280645161303</v>
      </c>
      <c r="BZ17">
        <v>400.02438709677398</v>
      </c>
      <c r="CA17">
        <v>20.572680645161299</v>
      </c>
      <c r="CB17">
        <v>15.871541935483901</v>
      </c>
      <c r="CC17">
        <v>500.05780645161298</v>
      </c>
      <c r="CD17">
        <v>99.193151612903193</v>
      </c>
      <c r="CE17">
        <v>0.199990741935484</v>
      </c>
      <c r="CF17">
        <v>27.502090322580599</v>
      </c>
      <c r="CG17">
        <v>26.9591483870968</v>
      </c>
      <c r="CH17">
        <v>999.9</v>
      </c>
      <c r="CI17">
        <v>9995.7222580645193</v>
      </c>
      <c r="CJ17">
        <v>0</v>
      </c>
      <c r="CK17">
        <v>192.02161290322601</v>
      </c>
      <c r="CL17">
        <v>2199.9854838709698</v>
      </c>
      <c r="CM17">
        <v>0.98200093548387102</v>
      </c>
      <c r="CN17">
        <v>1.7999145161290302E-2</v>
      </c>
      <c r="CO17">
        <v>0</v>
      </c>
      <c r="CP17">
        <v>291.22725806451598</v>
      </c>
      <c r="CQ17">
        <v>5.00054</v>
      </c>
      <c r="CR17">
        <v>8328.2393548387099</v>
      </c>
      <c r="CS17">
        <v>20590.412903225799</v>
      </c>
      <c r="CT17">
        <v>46.604548387096798</v>
      </c>
      <c r="CU17">
        <v>47.936999999999998</v>
      </c>
      <c r="CV17">
        <v>46.608741935483899</v>
      </c>
      <c r="CW17">
        <v>47.072290322580599</v>
      </c>
      <c r="CX17">
        <v>48.139000000000003</v>
      </c>
      <c r="CY17">
        <v>2155.47548387097</v>
      </c>
      <c r="CZ17">
        <v>39.51</v>
      </c>
      <c r="DA17">
        <v>0</v>
      </c>
      <c r="DB17">
        <v>574.5</v>
      </c>
      <c r="DC17">
        <v>291.20699999999999</v>
      </c>
      <c r="DD17">
        <v>-2.1121367419147399</v>
      </c>
      <c r="DE17">
        <v>-42.568888857782603</v>
      </c>
      <c r="DF17">
        <v>8327.8469230769206</v>
      </c>
      <c r="DG17">
        <v>15</v>
      </c>
      <c r="DH17">
        <v>1593111692.2</v>
      </c>
      <c r="DI17" t="s">
        <v>282</v>
      </c>
      <c r="DJ17">
        <v>82</v>
      </c>
      <c r="DK17">
        <v>-0.34100000000000003</v>
      </c>
      <c r="DL17">
        <v>9.7000000000000003E-2</v>
      </c>
      <c r="DM17">
        <v>400</v>
      </c>
      <c r="DN17">
        <v>16</v>
      </c>
      <c r="DO17">
        <v>0.3</v>
      </c>
      <c r="DP17">
        <v>0.02</v>
      </c>
      <c r="DQ17">
        <v>-14.7643796296296</v>
      </c>
      <c r="DR17">
        <v>-0.138915037164073</v>
      </c>
      <c r="DS17">
        <v>6.25170506508827E-2</v>
      </c>
      <c r="DT17">
        <v>1</v>
      </c>
      <c r="DU17">
        <v>4.6997955555555597</v>
      </c>
      <c r="DV17">
        <v>2.5780308747884301E-2</v>
      </c>
      <c r="DW17">
        <v>5.2027782523580597E-2</v>
      </c>
      <c r="DX17">
        <v>1</v>
      </c>
      <c r="DY17">
        <v>2</v>
      </c>
      <c r="DZ17">
        <v>2</v>
      </c>
      <c r="EA17" t="s">
        <v>283</v>
      </c>
      <c r="EB17">
        <v>1.86673</v>
      </c>
      <c r="EC17">
        <v>1.86324</v>
      </c>
      <c r="ED17">
        <v>1.8688899999999999</v>
      </c>
      <c r="EE17">
        <v>1.8668</v>
      </c>
      <c r="EF17">
        <v>1.8714900000000001</v>
      </c>
      <c r="EG17">
        <v>1.86391</v>
      </c>
      <c r="EH17">
        <v>1.8653999999999999</v>
      </c>
      <c r="EI17">
        <v>1.8653900000000001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-0.34100000000000003</v>
      </c>
      <c r="EX17">
        <v>9.7000000000000003E-2</v>
      </c>
      <c r="EY17">
        <v>2</v>
      </c>
      <c r="EZ17">
        <v>332.34199999999998</v>
      </c>
      <c r="FA17">
        <v>454.03500000000003</v>
      </c>
      <c r="FB17">
        <v>20.766100000000002</v>
      </c>
      <c r="FC17">
        <v>35.645899999999997</v>
      </c>
      <c r="FD17">
        <v>30.001100000000001</v>
      </c>
      <c r="FE17">
        <v>35.546999999999997</v>
      </c>
      <c r="FF17">
        <v>35.533999999999999</v>
      </c>
      <c r="FG17">
        <v>21.917000000000002</v>
      </c>
      <c r="FH17">
        <v>44.239699999999999</v>
      </c>
      <c r="FI17">
        <v>0</v>
      </c>
      <c r="FJ17">
        <v>20.7743</v>
      </c>
      <c r="FK17">
        <v>400</v>
      </c>
      <c r="FL17">
        <v>15.827199999999999</v>
      </c>
      <c r="FM17">
        <v>100.607</v>
      </c>
      <c r="FN17">
        <v>100.818</v>
      </c>
    </row>
    <row r="18" spans="1:170" x14ac:dyDescent="0.25">
      <c r="A18">
        <v>2</v>
      </c>
      <c r="B18">
        <v>1593111875.2</v>
      </c>
      <c r="C18">
        <v>120.5</v>
      </c>
      <c r="D18" t="s">
        <v>288</v>
      </c>
      <c r="E18" t="s">
        <v>289</v>
      </c>
      <c r="G18">
        <v>1593111867.2</v>
      </c>
      <c r="H18">
        <f t="shared" si="0"/>
        <v>1.0896632268288225E-2</v>
      </c>
      <c r="I18">
        <f t="shared" si="1"/>
        <v>25.409639604674297</v>
      </c>
      <c r="J18">
        <f t="shared" si="2"/>
        <v>288.595483870968</v>
      </c>
      <c r="K18">
        <f t="shared" si="3"/>
        <v>223.09660027196622</v>
      </c>
      <c r="L18">
        <f t="shared" si="4"/>
        <v>22.174597856355152</v>
      </c>
      <c r="M18">
        <f t="shared" si="5"/>
        <v>28.684833342138059</v>
      </c>
      <c r="N18">
        <f t="shared" si="6"/>
        <v>0.76203493432639746</v>
      </c>
      <c r="O18">
        <f t="shared" si="7"/>
        <v>3.3827662909462783</v>
      </c>
      <c r="P18">
        <f t="shared" si="8"/>
        <v>0.6779604500532006</v>
      </c>
      <c r="Q18">
        <f t="shared" si="9"/>
        <v>0.43050351842720264</v>
      </c>
      <c r="R18">
        <f t="shared" si="10"/>
        <v>353.33242814687128</v>
      </c>
      <c r="S18">
        <f t="shared" si="11"/>
        <v>26.914920280428678</v>
      </c>
      <c r="T18">
        <f t="shared" si="12"/>
        <v>27.021035483871</v>
      </c>
      <c r="U18">
        <f t="shared" si="13"/>
        <v>3.5835840081940589</v>
      </c>
      <c r="V18">
        <f t="shared" si="14"/>
        <v>54.884155994777593</v>
      </c>
      <c r="W18">
        <f t="shared" si="15"/>
        <v>2.0311697381546541</v>
      </c>
      <c r="X18">
        <f t="shared" si="16"/>
        <v>3.7008307795567204</v>
      </c>
      <c r="Y18">
        <f t="shared" si="17"/>
        <v>1.5524142700394048</v>
      </c>
      <c r="Z18">
        <f t="shared" si="18"/>
        <v>-480.54148303151072</v>
      </c>
      <c r="AA18">
        <f t="shared" si="19"/>
        <v>100.18677379371995</v>
      </c>
      <c r="AB18">
        <f t="shared" si="20"/>
        <v>6.4105806025299517</v>
      </c>
      <c r="AC18">
        <f t="shared" si="21"/>
        <v>-20.611700488389559</v>
      </c>
      <c r="AD18">
        <v>-4.1180898900548699E-2</v>
      </c>
      <c r="AE18">
        <v>4.62291666607514E-2</v>
      </c>
      <c r="AF18">
        <v>3.45503155322697</v>
      </c>
      <c r="AG18">
        <v>148</v>
      </c>
      <c r="AH18">
        <v>30</v>
      </c>
      <c r="AI18">
        <f t="shared" si="22"/>
        <v>1</v>
      </c>
      <c r="AJ18">
        <f t="shared" si="23"/>
        <v>0</v>
      </c>
      <c r="AK18">
        <f t="shared" si="24"/>
        <v>52410.037045003664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270.37465384615399</v>
      </c>
      <c r="AT18">
        <v>355.387</v>
      </c>
      <c r="AU18">
        <f t="shared" si="27"/>
        <v>0.23921062434429508</v>
      </c>
      <c r="AV18">
        <v>0.5</v>
      </c>
      <c r="AW18">
        <f t="shared" si="28"/>
        <v>1849.1588205520375</v>
      </c>
      <c r="AX18">
        <f t="shared" si="29"/>
        <v>25.409639604674297</v>
      </c>
      <c r="AY18">
        <f t="shared" si="30"/>
        <v>221.16921798800658</v>
      </c>
      <c r="AZ18">
        <f t="shared" si="31"/>
        <v>0.46418974244978012</v>
      </c>
      <c r="BA18">
        <f t="shared" si="32"/>
        <v>1.4281974761253936E-2</v>
      </c>
      <c r="BB18">
        <f t="shared" si="33"/>
        <v>-1</v>
      </c>
      <c r="BC18" t="s">
        <v>291</v>
      </c>
      <c r="BD18">
        <v>190.42</v>
      </c>
      <c r="BE18">
        <f t="shared" si="34"/>
        <v>164.96700000000001</v>
      </c>
      <c r="BF18">
        <f t="shared" si="35"/>
        <v>0.51532940620758094</v>
      </c>
      <c r="BG18">
        <f t="shared" si="36"/>
        <v>1.86633231803382</v>
      </c>
      <c r="BH18">
        <f t="shared" si="37"/>
        <v>0.23921062434429513</v>
      </c>
      <c r="BI18" t="e">
        <f t="shared" si="38"/>
        <v>#DIV/0!</v>
      </c>
      <c r="BJ18">
        <v>4083</v>
      </c>
      <c r="BK18">
        <v>300</v>
      </c>
      <c r="BL18">
        <v>300</v>
      </c>
      <c r="BM18">
        <v>300</v>
      </c>
      <c r="BN18">
        <v>9902.36</v>
      </c>
      <c r="BO18">
        <v>329.21699999999998</v>
      </c>
      <c r="BP18">
        <v>-6.4238899999999998E-3</v>
      </c>
      <c r="BQ18">
        <v>-0.250946</v>
      </c>
      <c r="BR18">
        <f t="shared" si="39"/>
        <v>2199.9687096774201</v>
      </c>
      <c r="BS18">
        <f t="shared" si="40"/>
        <v>1849.1588205520375</v>
      </c>
      <c r="BT18">
        <f t="shared" si="41"/>
        <v>0.84053869149037963</v>
      </c>
      <c r="BU18">
        <f t="shared" si="42"/>
        <v>0.19107738298075955</v>
      </c>
      <c r="BV18">
        <v>0.5</v>
      </c>
      <c r="BW18" t="s">
        <v>281</v>
      </c>
      <c r="BX18">
        <v>1593111867.2</v>
      </c>
      <c r="BY18">
        <v>288.595483870968</v>
      </c>
      <c r="BZ18">
        <v>300.01590322580603</v>
      </c>
      <c r="CA18">
        <v>20.435412903225799</v>
      </c>
      <c r="CB18">
        <v>16.166325806451599</v>
      </c>
      <c r="CC18">
        <v>500.05796774193601</v>
      </c>
      <c r="CD18">
        <v>99.194658064516105</v>
      </c>
      <c r="CE18">
        <v>0.19994422580645199</v>
      </c>
      <c r="CF18">
        <v>27.5703903225806</v>
      </c>
      <c r="CG18">
        <v>27.021035483871</v>
      </c>
      <c r="CH18">
        <v>999.9</v>
      </c>
      <c r="CI18">
        <v>10011.6016129032</v>
      </c>
      <c r="CJ18">
        <v>0</v>
      </c>
      <c r="CK18">
        <v>191.063161290323</v>
      </c>
      <c r="CL18">
        <v>2199.9687096774201</v>
      </c>
      <c r="CM18">
        <v>0.982002451612903</v>
      </c>
      <c r="CN18">
        <v>1.7997925806451601E-2</v>
      </c>
      <c r="CO18">
        <v>0</v>
      </c>
      <c r="CP18">
        <v>270.40164516128999</v>
      </c>
      <c r="CQ18">
        <v>5.00054</v>
      </c>
      <c r="CR18">
        <v>7862.6706451612899</v>
      </c>
      <c r="CS18">
        <v>20590.2419354839</v>
      </c>
      <c r="CT18">
        <v>46.741677419354801</v>
      </c>
      <c r="CU18">
        <v>48.179064516129003</v>
      </c>
      <c r="CV18">
        <v>46.895000000000003</v>
      </c>
      <c r="CW18">
        <v>47.294064516128998</v>
      </c>
      <c r="CX18">
        <v>48.241870967741903</v>
      </c>
      <c r="CY18">
        <v>2155.4683870967701</v>
      </c>
      <c r="CZ18">
        <v>39.503548387096799</v>
      </c>
      <c r="DA18">
        <v>0</v>
      </c>
      <c r="DB18">
        <v>119.90000009536701</v>
      </c>
      <c r="DC18">
        <v>270.37465384615399</v>
      </c>
      <c r="DD18">
        <v>-2.13822222939107</v>
      </c>
      <c r="DE18">
        <v>-67.307350237556406</v>
      </c>
      <c r="DF18">
        <v>7862.3846153846198</v>
      </c>
      <c r="DG18">
        <v>15</v>
      </c>
      <c r="DH18">
        <v>1593111822.7</v>
      </c>
      <c r="DI18" t="s">
        <v>292</v>
      </c>
      <c r="DJ18">
        <v>83</v>
      </c>
      <c r="DK18">
        <v>-0.49199999999999999</v>
      </c>
      <c r="DL18">
        <v>0.09</v>
      </c>
      <c r="DM18">
        <v>300</v>
      </c>
      <c r="DN18">
        <v>16</v>
      </c>
      <c r="DO18">
        <v>0.33</v>
      </c>
      <c r="DP18">
        <v>0.02</v>
      </c>
      <c r="DQ18">
        <v>-11.429103703703699</v>
      </c>
      <c r="DR18">
        <v>5.5959748427676301E-2</v>
      </c>
      <c r="DS18">
        <v>2.48221299334026E-2</v>
      </c>
      <c r="DT18">
        <v>1</v>
      </c>
      <c r="DU18">
        <v>4.2720659259259302</v>
      </c>
      <c r="DV18">
        <v>-1.78036363636353E-2</v>
      </c>
      <c r="DW18">
        <v>1.2511480138407799E-2</v>
      </c>
      <c r="DX18">
        <v>1</v>
      </c>
      <c r="DY18">
        <v>2</v>
      </c>
      <c r="DZ18">
        <v>2</v>
      </c>
      <c r="EA18" t="s">
        <v>283</v>
      </c>
      <c r="EB18">
        <v>1.86673</v>
      </c>
      <c r="EC18">
        <v>1.8632500000000001</v>
      </c>
      <c r="ED18">
        <v>1.8689</v>
      </c>
      <c r="EE18">
        <v>1.8667899999999999</v>
      </c>
      <c r="EF18">
        <v>1.8714900000000001</v>
      </c>
      <c r="EG18">
        <v>1.8638999999999999</v>
      </c>
      <c r="EH18">
        <v>1.8653999999999999</v>
      </c>
      <c r="EI18">
        <v>1.8653900000000001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-0.49199999999999999</v>
      </c>
      <c r="EX18">
        <v>0.09</v>
      </c>
      <c r="EY18">
        <v>2</v>
      </c>
      <c r="EZ18">
        <v>331.899</v>
      </c>
      <c r="FA18">
        <v>453.60199999999998</v>
      </c>
      <c r="FB18">
        <v>21.206600000000002</v>
      </c>
      <c r="FC18">
        <v>35.772300000000001</v>
      </c>
      <c r="FD18">
        <v>30.000699999999998</v>
      </c>
      <c r="FE18">
        <v>35.685699999999997</v>
      </c>
      <c r="FF18">
        <v>35.6768</v>
      </c>
      <c r="FG18">
        <v>17.3398</v>
      </c>
      <c r="FH18">
        <v>42.933399999999999</v>
      </c>
      <c r="FI18">
        <v>0</v>
      </c>
      <c r="FJ18">
        <v>21.1843</v>
      </c>
      <c r="FK18">
        <v>300</v>
      </c>
      <c r="FL18">
        <v>16.164200000000001</v>
      </c>
      <c r="FM18">
        <v>100.57899999999999</v>
      </c>
      <c r="FN18">
        <v>100.788</v>
      </c>
    </row>
    <row r="19" spans="1:170" x14ac:dyDescent="0.25">
      <c r="A19">
        <v>3</v>
      </c>
      <c r="B19">
        <v>1593112017.2</v>
      </c>
      <c r="C19">
        <v>262.5</v>
      </c>
      <c r="D19" t="s">
        <v>293</v>
      </c>
      <c r="E19" t="s">
        <v>294</v>
      </c>
      <c r="G19">
        <v>1593112009.2</v>
      </c>
      <c r="H19">
        <f t="shared" si="0"/>
        <v>9.9986992130809017E-3</v>
      </c>
      <c r="I19">
        <f t="shared" si="1"/>
        <v>16.102712299491319</v>
      </c>
      <c r="J19">
        <f t="shared" si="2"/>
        <v>192.77306451612901</v>
      </c>
      <c r="K19">
        <f t="shared" si="3"/>
        <v>147.63758572809149</v>
      </c>
      <c r="L19">
        <f t="shared" si="4"/>
        <v>14.674551242922014</v>
      </c>
      <c r="M19">
        <f t="shared" si="5"/>
        <v>19.160826828386632</v>
      </c>
      <c r="N19">
        <f t="shared" si="6"/>
        <v>0.69214304814048089</v>
      </c>
      <c r="O19">
        <f t="shared" si="7"/>
        <v>3.3824349801816234</v>
      </c>
      <c r="P19">
        <f t="shared" si="8"/>
        <v>0.62201973633356844</v>
      </c>
      <c r="Q19">
        <f t="shared" si="9"/>
        <v>0.39446893282033302</v>
      </c>
      <c r="R19">
        <f t="shared" si="10"/>
        <v>353.33681415416959</v>
      </c>
      <c r="S19">
        <f t="shared" si="11"/>
        <v>26.97077626025165</v>
      </c>
      <c r="T19">
        <f t="shared" si="12"/>
        <v>27.0051870967742</v>
      </c>
      <c r="U19">
        <f t="shared" si="13"/>
        <v>3.58025023247394</v>
      </c>
      <c r="V19">
        <f t="shared" si="14"/>
        <v>55.264038252999647</v>
      </c>
      <c r="W19">
        <f t="shared" si="15"/>
        <v>2.0275778016687775</v>
      </c>
      <c r="X19">
        <f t="shared" si="16"/>
        <v>3.6688918612615571</v>
      </c>
      <c r="Y19">
        <f t="shared" si="17"/>
        <v>1.5526724308051625</v>
      </c>
      <c r="Z19">
        <f t="shared" si="18"/>
        <v>-440.94263529686776</v>
      </c>
      <c r="AA19">
        <f t="shared" si="19"/>
        <v>76.055666765921188</v>
      </c>
      <c r="AB19">
        <f t="shared" si="20"/>
        <v>4.8630100993262264</v>
      </c>
      <c r="AC19">
        <f t="shared" si="21"/>
        <v>-6.6871442774507557</v>
      </c>
      <c r="AD19">
        <v>-4.1175774832662E-2</v>
      </c>
      <c r="AE19">
        <v>4.62234144456556E-2</v>
      </c>
      <c r="AF19">
        <v>3.4546912506209599</v>
      </c>
      <c r="AG19">
        <v>147</v>
      </c>
      <c r="AH19">
        <v>29</v>
      </c>
      <c r="AI19">
        <f t="shared" si="22"/>
        <v>1</v>
      </c>
      <c r="AJ19">
        <f t="shared" si="23"/>
        <v>0</v>
      </c>
      <c r="AK19">
        <f t="shared" si="24"/>
        <v>52429.647034494024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295</v>
      </c>
      <c r="AS19">
        <v>258.77346153846202</v>
      </c>
      <c r="AT19">
        <v>324.93200000000002</v>
      </c>
      <c r="AU19">
        <f t="shared" si="27"/>
        <v>0.20360733464705849</v>
      </c>
      <c r="AV19">
        <v>0.5</v>
      </c>
      <c r="AW19">
        <f t="shared" si="28"/>
        <v>1849.1828319672018</v>
      </c>
      <c r="AX19">
        <f t="shared" si="29"/>
        <v>16.102712299491319</v>
      </c>
      <c r="AY19">
        <f t="shared" si="30"/>
        <v>188.2535938459707</v>
      </c>
      <c r="AZ19">
        <f t="shared" si="31"/>
        <v>0.41206160058104468</v>
      </c>
      <c r="BA19">
        <f t="shared" si="32"/>
        <v>9.2487946588261771E-3</v>
      </c>
      <c r="BB19">
        <f t="shared" si="33"/>
        <v>-1</v>
      </c>
      <c r="BC19" t="s">
        <v>296</v>
      </c>
      <c r="BD19">
        <v>191.04</v>
      </c>
      <c r="BE19">
        <f t="shared" si="34"/>
        <v>133.89200000000002</v>
      </c>
      <c r="BF19">
        <f t="shared" si="35"/>
        <v>0.49411868118735985</v>
      </c>
      <c r="BG19">
        <f t="shared" si="36"/>
        <v>1.7008584589614741</v>
      </c>
      <c r="BH19">
        <f t="shared" si="37"/>
        <v>0.20360733464705846</v>
      </c>
      <c r="BI19" t="e">
        <f t="shared" si="38"/>
        <v>#DIV/0!</v>
      </c>
      <c r="BJ19">
        <v>4085</v>
      </c>
      <c r="BK19">
        <v>300</v>
      </c>
      <c r="BL19">
        <v>300</v>
      </c>
      <c r="BM19">
        <v>300</v>
      </c>
      <c r="BN19">
        <v>9901.02</v>
      </c>
      <c r="BO19">
        <v>305.40699999999998</v>
      </c>
      <c r="BP19">
        <v>-6.4228899999999997E-3</v>
      </c>
      <c r="BQ19">
        <v>5.3955099999999999E-2</v>
      </c>
      <c r="BR19">
        <f t="shared" si="39"/>
        <v>2199.9974193548401</v>
      </c>
      <c r="BS19">
        <f t="shared" si="40"/>
        <v>1849.1828319672018</v>
      </c>
      <c r="BT19">
        <f t="shared" si="41"/>
        <v>0.84053863686325758</v>
      </c>
      <c r="BU19">
        <f t="shared" si="42"/>
        <v>0.1910772737265152</v>
      </c>
      <c r="BV19">
        <v>0.5</v>
      </c>
      <c r="BW19" t="s">
        <v>281</v>
      </c>
      <c r="BX19">
        <v>1593112009.2</v>
      </c>
      <c r="BY19">
        <v>192.77306451612901</v>
      </c>
      <c r="BZ19">
        <v>199.984225806452</v>
      </c>
      <c r="CA19">
        <v>20.399035483871</v>
      </c>
      <c r="CB19">
        <v>16.481638709677402</v>
      </c>
      <c r="CC19">
        <v>500.06348387096801</v>
      </c>
      <c r="CD19">
        <v>99.1958032258065</v>
      </c>
      <c r="CE19">
        <v>0.19996493548387101</v>
      </c>
      <c r="CF19">
        <v>27.422264516129001</v>
      </c>
      <c r="CG19">
        <v>27.0051870967742</v>
      </c>
      <c r="CH19">
        <v>999.9</v>
      </c>
      <c r="CI19">
        <v>10010.240322580599</v>
      </c>
      <c r="CJ19">
        <v>0</v>
      </c>
      <c r="CK19">
        <v>191.889935483871</v>
      </c>
      <c r="CL19">
        <v>2199.9974193548401</v>
      </c>
      <c r="CM19">
        <v>0.98200490322580603</v>
      </c>
      <c r="CN19">
        <v>1.79953516129032E-2</v>
      </c>
      <c r="CO19">
        <v>0</v>
      </c>
      <c r="CP19">
        <v>258.78525806451597</v>
      </c>
      <c r="CQ19">
        <v>5.00054</v>
      </c>
      <c r="CR19">
        <v>7609.3951612903202</v>
      </c>
      <c r="CS19">
        <v>20590.538709677399</v>
      </c>
      <c r="CT19">
        <v>47.036064516129002</v>
      </c>
      <c r="CU19">
        <v>48.664999999999999</v>
      </c>
      <c r="CV19">
        <v>47.286000000000001</v>
      </c>
      <c r="CW19">
        <v>47.749806451612898</v>
      </c>
      <c r="CX19">
        <v>48.526000000000003</v>
      </c>
      <c r="CY19">
        <v>2155.4974193548401</v>
      </c>
      <c r="CZ19">
        <v>39.5</v>
      </c>
      <c r="DA19">
        <v>0</v>
      </c>
      <c r="DB19">
        <v>141.69999980926499</v>
      </c>
      <c r="DC19">
        <v>258.77346153846202</v>
      </c>
      <c r="DD19">
        <v>-1.47138460603836</v>
      </c>
      <c r="DE19">
        <v>-20.091282105346</v>
      </c>
      <c r="DF19">
        <v>7609.0503846153797</v>
      </c>
      <c r="DG19">
        <v>15</v>
      </c>
      <c r="DH19">
        <v>1593111949.7</v>
      </c>
      <c r="DI19" t="s">
        <v>297</v>
      </c>
      <c r="DJ19">
        <v>84</v>
      </c>
      <c r="DK19">
        <v>-0.435</v>
      </c>
      <c r="DL19">
        <v>0.10100000000000001</v>
      </c>
      <c r="DM19">
        <v>200</v>
      </c>
      <c r="DN19">
        <v>16</v>
      </c>
      <c r="DO19">
        <v>0.81</v>
      </c>
      <c r="DP19">
        <v>0.02</v>
      </c>
      <c r="DQ19">
        <v>-7.2133235185185196</v>
      </c>
      <c r="DR19">
        <v>1.43272727272437E-3</v>
      </c>
      <c r="DS19">
        <v>2.5043675564265299E-2</v>
      </c>
      <c r="DT19">
        <v>1</v>
      </c>
      <c r="DU19">
        <v>3.9271431481481498</v>
      </c>
      <c r="DV19">
        <v>-9.7624288164662107E-2</v>
      </c>
      <c r="DW19">
        <v>1.2856503444945801E-2</v>
      </c>
      <c r="DX19">
        <v>1</v>
      </c>
      <c r="DY19">
        <v>2</v>
      </c>
      <c r="DZ19">
        <v>2</v>
      </c>
      <c r="EA19" t="s">
        <v>283</v>
      </c>
      <c r="EB19">
        <v>1.86676</v>
      </c>
      <c r="EC19">
        <v>1.8632500000000001</v>
      </c>
      <c r="ED19">
        <v>1.8689</v>
      </c>
      <c r="EE19">
        <v>1.8668800000000001</v>
      </c>
      <c r="EF19">
        <v>1.8714999999999999</v>
      </c>
      <c r="EG19">
        <v>1.86398</v>
      </c>
      <c r="EH19">
        <v>1.86544</v>
      </c>
      <c r="EI19">
        <v>1.8653900000000001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-0.435</v>
      </c>
      <c r="EX19">
        <v>0.10100000000000001</v>
      </c>
      <c r="EY19">
        <v>2</v>
      </c>
      <c r="EZ19">
        <v>333.07799999999997</v>
      </c>
      <c r="FA19">
        <v>452.67200000000003</v>
      </c>
      <c r="FB19">
        <v>20.374500000000001</v>
      </c>
      <c r="FC19">
        <v>35.941899999999997</v>
      </c>
      <c r="FD19">
        <v>29.9955</v>
      </c>
      <c r="FE19">
        <v>35.856699999999996</v>
      </c>
      <c r="FF19">
        <v>35.851500000000001</v>
      </c>
      <c r="FG19">
        <v>12.588100000000001</v>
      </c>
      <c r="FH19">
        <v>42.434399999999997</v>
      </c>
      <c r="FI19">
        <v>0</v>
      </c>
      <c r="FJ19">
        <v>20.858599999999999</v>
      </c>
      <c r="FK19">
        <v>200</v>
      </c>
      <c r="FL19">
        <v>16.351500000000001</v>
      </c>
      <c r="FM19">
        <v>100.545</v>
      </c>
      <c r="FN19">
        <v>100.751</v>
      </c>
    </row>
    <row r="20" spans="1:170" x14ac:dyDescent="0.25">
      <c r="A20">
        <v>4</v>
      </c>
      <c r="B20">
        <v>1593112139.7</v>
      </c>
      <c r="C20">
        <v>385</v>
      </c>
      <c r="D20" t="s">
        <v>298</v>
      </c>
      <c r="E20" t="s">
        <v>299</v>
      </c>
      <c r="G20">
        <v>1593112131.7</v>
      </c>
      <c r="H20">
        <f t="shared" si="0"/>
        <v>9.909605205646153E-3</v>
      </c>
      <c r="I20">
        <f t="shared" si="1"/>
        <v>5.7160432598630573</v>
      </c>
      <c r="J20">
        <f t="shared" si="2"/>
        <v>97.314983870967694</v>
      </c>
      <c r="K20">
        <f t="shared" si="3"/>
        <v>80.297395866794659</v>
      </c>
      <c r="L20">
        <f t="shared" si="4"/>
        <v>7.9808722311759528</v>
      </c>
      <c r="M20">
        <f t="shared" si="5"/>
        <v>9.6722744750220837</v>
      </c>
      <c r="N20">
        <f t="shared" si="6"/>
        <v>0.67903082486777855</v>
      </c>
      <c r="O20">
        <f t="shared" si="7"/>
        <v>3.3788635191289793</v>
      </c>
      <c r="P20">
        <f t="shared" si="8"/>
        <v>0.61133667287276994</v>
      </c>
      <c r="Q20">
        <f t="shared" si="9"/>
        <v>0.38760355108278799</v>
      </c>
      <c r="R20">
        <f t="shared" si="10"/>
        <v>353.33580366229654</v>
      </c>
      <c r="S20">
        <f t="shared" si="11"/>
        <v>26.908147570270657</v>
      </c>
      <c r="T20">
        <f t="shared" si="12"/>
        <v>27.003587096774201</v>
      </c>
      <c r="U20">
        <f t="shared" si="13"/>
        <v>3.5799138161631632</v>
      </c>
      <c r="V20">
        <f t="shared" si="14"/>
        <v>55.163534838421398</v>
      </c>
      <c r="W20">
        <f t="shared" si="15"/>
        <v>2.014144370956771</v>
      </c>
      <c r="X20">
        <f t="shared" si="16"/>
        <v>3.6512242677275268</v>
      </c>
      <c r="Y20">
        <f t="shared" si="17"/>
        <v>1.5657694452063922</v>
      </c>
      <c r="Z20">
        <f t="shared" si="18"/>
        <v>-437.01358956899537</v>
      </c>
      <c r="AA20">
        <f t="shared" si="19"/>
        <v>61.25261520265439</v>
      </c>
      <c r="AB20">
        <f t="shared" si="20"/>
        <v>3.9189942606674104</v>
      </c>
      <c r="AC20">
        <f t="shared" si="21"/>
        <v>-18.506176443377008</v>
      </c>
      <c r="AD20">
        <v>-4.1120552736656997E-2</v>
      </c>
      <c r="AE20">
        <v>4.6161422805168703E-2</v>
      </c>
      <c r="AF20">
        <v>3.4510228844652699</v>
      </c>
      <c r="AG20">
        <v>143</v>
      </c>
      <c r="AH20">
        <v>29</v>
      </c>
      <c r="AI20">
        <f t="shared" si="22"/>
        <v>1</v>
      </c>
      <c r="AJ20">
        <f t="shared" si="23"/>
        <v>0</v>
      </c>
      <c r="AK20">
        <f t="shared" si="24"/>
        <v>52376.485614262623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300</v>
      </c>
      <c r="AS20">
        <v>257.85442307692301</v>
      </c>
      <c r="AT20">
        <v>307.589</v>
      </c>
      <c r="AU20">
        <f t="shared" si="27"/>
        <v>0.16169166297584436</v>
      </c>
      <c r="AV20">
        <v>0.5</v>
      </c>
      <c r="AW20">
        <f t="shared" si="28"/>
        <v>1849.1742577735617</v>
      </c>
      <c r="AX20">
        <f t="shared" si="29"/>
        <v>5.7160432598630573</v>
      </c>
      <c r="AY20">
        <f t="shared" si="30"/>
        <v>149.49803043576495</v>
      </c>
      <c r="AZ20">
        <f t="shared" si="31"/>
        <v>0.36317618640458538</v>
      </c>
      <c r="BA20">
        <f t="shared" si="32"/>
        <v>3.6319147487751053E-3</v>
      </c>
      <c r="BB20">
        <f t="shared" si="33"/>
        <v>-1</v>
      </c>
      <c r="BC20" t="s">
        <v>301</v>
      </c>
      <c r="BD20">
        <v>195.88</v>
      </c>
      <c r="BE20">
        <f t="shared" si="34"/>
        <v>111.709</v>
      </c>
      <c r="BF20">
        <f t="shared" si="35"/>
        <v>0.44521548776801317</v>
      </c>
      <c r="BG20">
        <f t="shared" si="36"/>
        <v>1.5702930365529917</v>
      </c>
      <c r="BH20">
        <f t="shared" si="37"/>
        <v>0.16169166297584434</v>
      </c>
      <c r="BI20" t="e">
        <f t="shared" si="38"/>
        <v>#DIV/0!</v>
      </c>
      <c r="BJ20">
        <v>4087</v>
      </c>
      <c r="BK20">
        <v>300</v>
      </c>
      <c r="BL20">
        <v>300</v>
      </c>
      <c r="BM20">
        <v>300</v>
      </c>
      <c r="BN20">
        <v>9899.64</v>
      </c>
      <c r="BO20">
        <v>293.363</v>
      </c>
      <c r="BP20">
        <v>-6.4216799999999999E-3</v>
      </c>
      <c r="BQ20">
        <v>0.36846899999999999</v>
      </c>
      <c r="BR20">
        <f t="shared" si="39"/>
        <v>2199.98677419355</v>
      </c>
      <c r="BS20">
        <f t="shared" si="40"/>
        <v>1849.1742577735617</v>
      </c>
      <c r="BT20">
        <f t="shared" si="41"/>
        <v>0.84053880662596903</v>
      </c>
      <c r="BU20">
        <f t="shared" si="42"/>
        <v>0.19107761325193823</v>
      </c>
      <c r="BV20">
        <v>0.5</v>
      </c>
      <c r="BW20" t="s">
        <v>281</v>
      </c>
      <c r="BX20">
        <v>1593112131.7</v>
      </c>
      <c r="BY20">
        <v>97.314983870967694</v>
      </c>
      <c r="BZ20">
        <v>99.986738709677397</v>
      </c>
      <c r="CA20">
        <v>20.264770967741899</v>
      </c>
      <c r="CB20">
        <v>16.381841935483902</v>
      </c>
      <c r="CC20">
        <v>500.075548387097</v>
      </c>
      <c r="CD20">
        <v>99.191425806451605</v>
      </c>
      <c r="CE20">
        <v>0.19999461290322601</v>
      </c>
      <c r="CF20">
        <v>27.3398419354839</v>
      </c>
      <c r="CG20">
        <v>27.003587096774201</v>
      </c>
      <c r="CH20">
        <v>999.9</v>
      </c>
      <c r="CI20">
        <v>9997.2564516129005</v>
      </c>
      <c r="CJ20">
        <v>0</v>
      </c>
      <c r="CK20">
        <v>193.647290322581</v>
      </c>
      <c r="CL20">
        <v>2199.98677419355</v>
      </c>
      <c r="CM20">
        <v>0.98199780645161305</v>
      </c>
      <c r="CN20">
        <v>1.8002064516128999E-2</v>
      </c>
      <c r="CO20">
        <v>0</v>
      </c>
      <c r="CP20">
        <v>257.871451612903</v>
      </c>
      <c r="CQ20">
        <v>5.00054</v>
      </c>
      <c r="CR20">
        <v>7610.2748387096799</v>
      </c>
      <c r="CS20">
        <v>20590.396774193501</v>
      </c>
      <c r="CT20">
        <v>47.346548387096803</v>
      </c>
      <c r="CU20">
        <v>49.116806451612902</v>
      </c>
      <c r="CV20">
        <v>47.657096774193498</v>
      </c>
      <c r="CW20">
        <v>48.155000000000001</v>
      </c>
      <c r="CX20">
        <v>48.818225806451601</v>
      </c>
      <c r="CY20">
        <v>2155.4745161290298</v>
      </c>
      <c r="CZ20">
        <v>39.512258064516097</v>
      </c>
      <c r="DA20">
        <v>0</v>
      </c>
      <c r="DB20">
        <v>121.700000047684</v>
      </c>
      <c r="DC20">
        <v>257.85442307692301</v>
      </c>
      <c r="DD20">
        <v>-0.42526495450319701</v>
      </c>
      <c r="DE20">
        <v>-6.4252991473314696</v>
      </c>
      <c r="DF20">
        <v>7610.3376923076903</v>
      </c>
      <c r="DG20">
        <v>15</v>
      </c>
      <c r="DH20">
        <v>1593112087.2</v>
      </c>
      <c r="DI20" t="s">
        <v>302</v>
      </c>
      <c r="DJ20">
        <v>85</v>
      </c>
      <c r="DK20">
        <v>-0.33500000000000002</v>
      </c>
      <c r="DL20">
        <v>9.6000000000000002E-2</v>
      </c>
      <c r="DM20">
        <v>100</v>
      </c>
      <c r="DN20">
        <v>16</v>
      </c>
      <c r="DO20">
        <v>0.3</v>
      </c>
      <c r="DP20">
        <v>0.02</v>
      </c>
      <c r="DQ20">
        <v>-2.6831188888888899</v>
      </c>
      <c r="DR20">
        <v>6.3469136649519295E-2</v>
      </c>
      <c r="DS20">
        <v>4.5624363279845898E-2</v>
      </c>
      <c r="DT20">
        <v>1</v>
      </c>
      <c r="DU20">
        <v>3.8935622222222199</v>
      </c>
      <c r="DV20">
        <v>-9.9621177815893996E-2</v>
      </c>
      <c r="DW20">
        <v>1.3846588918984999E-2</v>
      </c>
      <c r="DX20">
        <v>1</v>
      </c>
      <c r="DY20">
        <v>2</v>
      </c>
      <c r="DZ20">
        <v>2</v>
      </c>
      <c r="EA20" t="s">
        <v>283</v>
      </c>
      <c r="EB20">
        <v>1.8667199999999999</v>
      </c>
      <c r="EC20">
        <v>1.86324</v>
      </c>
      <c r="ED20">
        <v>1.8688100000000001</v>
      </c>
      <c r="EE20">
        <v>1.86676</v>
      </c>
      <c r="EF20">
        <v>1.87147</v>
      </c>
      <c r="EG20">
        <v>1.8638600000000001</v>
      </c>
      <c r="EH20">
        <v>1.8653900000000001</v>
      </c>
      <c r="EI20">
        <v>1.86534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-0.33500000000000002</v>
      </c>
      <c r="EX20">
        <v>9.6000000000000002E-2</v>
      </c>
      <c r="EY20">
        <v>2</v>
      </c>
      <c r="EZ20">
        <v>336.24099999999999</v>
      </c>
      <c r="FA20">
        <v>451.20699999999999</v>
      </c>
      <c r="FB20">
        <v>20.244199999999999</v>
      </c>
      <c r="FC20">
        <v>36.144799999999996</v>
      </c>
      <c r="FD20">
        <v>30.000399999999999</v>
      </c>
      <c r="FE20">
        <v>36.042000000000002</v>
      </c>
      <c r="FF20">
        <v>36.033700000000003</v>
      </c>
      <c r="FG20">
        <v>7.6410299999999998</v>
      </c>
      <c r="FH20">
        <v>42.363999999999997</v>
      </c>
      <c r="FI20">
        <v>0</v>
      </c>
      <c r="FJ20">
        <v>20.258299999999998</v>
      </c>
      <c r="FK20">
        <v>100</v>
      </c>
      <c r="FL20">
        <v>16.3841</v>
      </c>
      <c r="FM20">
        <v>100.511</v>
      </c>
      <c r="FN20">
        <v>100.708</v>
      </c>
    </row>
    <row r="21" spans="1:170" x14ac:dyDescent="0.25">
      <c r="A21">
        <v>5</v>
      </c>
      <c r="B21">
        <v>1593112261.7</v>
      </c>
      <c r="C21">
        <v>507</v>
      </c>
      <c r="D21" t="s">
        <v>303</v>
      </c>
      <c r="E21" t="s">
        <v>304</v>
      </c>
      <c r="G21">
        <v>1593112253.7</v>
      </c>
      <c r="H21">
        <f t="shared" si="0"/>
        <v>9.8219957300531811E-3</v>
      </c>
      <c r="I21">
        <f t="shared" si="1"/>
        <v>0.7931810765447852</v>
      </c>
      <c r="J21">
        <f t="shared" si="2"/>
        <v>49.495783870967699</v>
      </c>
      <c r="K21">
        <f t="shared" si="3"/>
        <v>46.189531208419702</v>
      </c>
      <c r="L21">
        <f t="shared" si="4"/>
        <v>4.5909309692872977</v>
      </c>
      <c r="M21">
        <f t="shared" si="5"/>
        <v>4.9195504062824336</v>
      </c>
      <c r="N21">
        <f t="shared" si="6"/>
        <v>0.66830891078782173</v>
      </c>
      <c r="O21">
        <f t="shared" si="7"/>
        <v>3.381822908868267</v>
      </c>
      <c r="P21">
        <f t="shared" si="8"/>
        <v>0.60267662154592205</v>
      </c>
      <c r="Q21">
        <f t="shared" si="9"/>
        <v>0.38203113419669354</v>
      </c>
      <c r="R21">
        <f t="shared" si="10"/>
        <v>353.33778299589773</v>
      </c>
      <c r="S21">
        <f t="shared" si="11"/>
        <v>26.941351195925272</v>
      </c>
      <c r="T21">
        <f t="shared" si="12"/>
        <v>27.0397322580645</v>
      </c>
      <c r="U21">
        <f t="shared" si="13"/>
        <v>3.5875204380510319</v>
      </c>
      <c r="V21">
        <f t="shared" si="14"/>
        <v>55.099182237689462</v>
      </c>
      <c r="W21">
        <f t="shared" si="15"/>
        <v>2.01331787267591</v>
      </c>
      <c r="X21">
        <f t="shared" si="16"/>
        <v>3.653988663553597</v>
      </c>
      <c r="Y21">
        <f t="shared" si="17"/>
        <v>1.5742025653751219</v>
      </c>
      <c r="Z21">
        <f t="shared" si="18"/>
        <v>-433.15001169534531</v>
      </c>
      <c r="AA21">
        <f t="shared" si="19"/>
        <v>57.071715061076667</v>
      </c>
      <c r="AB21">
        <f t="shared" si="20"/>
        <v>3.6491957654942402</v>
      </c>
      <c r="AC21">
        <f t="shared" si="21"/>
        <v>-19.091317872876665</v>
      </c>
      <c r="AD21">
        <v>-4.1166309101066001E-2</v>
      </c>
      <c r="AE21">
        <v>4.6212788332695397E-2</v>
      </c>
      <c r="AF21">
        <v>3.45406256860714</v>
      </c>
      <c r="AG21">
        <v>147</v>
      </c>
      <c r="AH21">
        <v>29</v>
      </c>
      <c r="AI21">
        <f t="shared" si="22"/>
        <v>1</v>
      </c>
      <c r="AJ21">
        <f t="shared" si="23"/>
        <v>0</v>
      </c>
      <c r="AK21">
        <f t="shared" si="24"/>
        <v>52430.166229476366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305</v>
      </c>
      <c r="AS21">
        <v>258.54134615384601</v>
      </c>
      <c r="AT21">
        <v>295.61399999999998</v>
      </c>
      <c r="AU21">
        <f t="shared" si="27"/>
        <v>0.12540899228776026</v>
      </c>
      <c r="AV21">
        <v>0.5</v>
      </c>
      <c r="AW21">
        <f t="shared" si="28"/>
        <v>1849.1826190638244</v>
      </c>
      <c r="AX21">
        <f t="shared" si="29"/>
        <v>0.7931810765447852</v>
      </c>
      <c r="AY21">
        <f t="shared" si="30"/>
        <v>115.95206440641773</v>
      </c>
      <c r="AZ21">
        <f t="shared" si="31"/>
        <v>0.32824561759591891</v>
      </c>
      <c r="BA21">
        <f t="shared" si="32"/>
        <v>9.6971551541654084E-4</v>
      </c>
      <c r="BB21">
        <f t="shared" si="33"/>
        <v>-1</v>
      </c>
      <c r="BC21" t="s">
        <v>306</v>
      </c>
      <c r="BD21">
        <v>198.58</v>
      </c>
      <c r="BE21">
        <f t="shared" si="34"/>
        <v>97.033999999999963</v>
      </c>
      <c r="BF21">
        <f t="shared" si="35"/>
        <v>0.38205839031838307</v>
      </c>
      <c r="BG21">
        <f t="shared" si="36"/>
        <v>1.4886393393090944</v>
      </c>
      <c r="BH21">
        <f t="shared" si="37"/>
        <v>0.12540899228776028</v>
      </c>
      <c r="BI21" t="e">
        <f t="shared" si="38"/>
        <v>#DIV/0!</v>
      </c>
      <c r="BJ21">
        <v>4089</v>
      </c>
      <c r="BK21">
        <v>300</v>
      </c>
      <c r="BL21">
        <v>300</v>
      </c>
      <c r="BM21">
        <v>300</v>
      </c>
      <c r="BN21">
        <v>9898.68</v>
      </c>
      <c r="BO21">
        <v>287.12799999999999</v>
      </c>
      <c r="BP21">
        <v>-6.4208800000000003E-3</v>
      </c>
      <c r="BQ21">
        <v>0.85839799999999999</v>
      </c>
      <c r="BR21">
        <f t="shared" si="39"/>
        <v>2199.9964516128998</v>
      </c>
      <c r="BS21">
        <f t="shared" si="40"/>
        <v>1849.1826190638244</v>
      </c>
      <c r="BT21">
        <f t="shared" si="41"/>
        <v>0.84053890982784052</v>
      </c>
      <c r="BU21">
        <f t="shared" si="42"/>
        <v>0.19107781965568124</v>
      </c>
      <c r="BV21">
        <v>0.5</v>
      </c>
      <c r="BW21" t="s">
        <v>281</v>
      </c>
      <c r="BX21">
        <v>1593112253.7</v>
      </c>
      <c r="BY21">
        <v>49.495783870967699</v>
      </c>
      <c r="BZ21">
        <v>50.007429032258102</v>
      </c>
      <c r="CA21">
        <v>20.2560677419355</v>
      </c>
      <c r="CB21">
        <v>16.407499999999999</v>
      </c>
      <c r="CC21">
        <v>500.08425806451601</v>
      </c>
      <c r="CD21">
        <v>99.193361290322599</v>
      </c>
      <c r="CE21">
        <v>0.19996116129032299</v>
      </c>
      <c r="CF21">
        <v>27.352761290322601</v>
      </c>
      <c r="CG21">
        <v>27.0397322580645</v>
      </c>
      <c r="CH21">
        <v>999.9</v>
      </c>
      <c r="CI21">
        <v>10008.185483871001</v>
      </c>
      <c r="CJ21">
        <v>0</v>
      </c>
      <c r="CK21">
        <v>189.46967741935501</v>
      </c>
      <c r="CL21">
        <v>2199.9964516128998</v>
      </c>
      <c r="CM21">
        <v>0.98199519354838705</v>
      </c>
      <c r="CN21">
        <v>1.8004496774193499E-2</v>
      </c>
      <c r="CO21">
        <v>0</v>
      </c>
      <c r="CP21">
        <v>258.52845161290298</v>
      </c>
      <c r="CQ21">
        <v>5.00054</v>
      </c>
      <c r="CR21">
        <v>7634.0477419354802</v>
      </c>
      <c r="CS21">
        <v>20590.487096774199</v>
      </c>
      <c r="CT21">
        <v>47.560258064516098</v>
      </c>
      <c r="CU21">
        <v>49.441193548387098</v>
      </c>
      <c r="CV21">
        <v>47.933</v>
      </c>
      <c r="CW21">
        <v>48.4473225806451</v>
      </c>
      <c r="CX21">
        <v>49.036000000000001</v>
      </c>
      <c r="CY21">
        <v>2155.4764516128998</v>
      </c>
      <c r="CZ21">
        <v>39.520000000000003</v>
      </c>
      <c r="DA21">
        <v>0</v>
      </c>
      <c r="DB21">
        <v>121.5</v>
      </c>
      <c r="DC21">
        <v>258.54134615384601</v>
      </c>
      <c r="DD21">
        <v>-0.56687179558154399</v>
      </c>
      <c r="DE21">
        <v>285.82974319966598</v>
      </c>
      <c r="DF21">
        <v>7639.0807692307699</v>
      </c>
      <c r="DG21">
        <v>15</v>
      </c>
      <c r="DH21">
        <v>1593112221.2</v>
      </c>
      <c r="DI21" t="s">
        <v>307</v>
      </c>
      <c r="DJ21">
        <v>86</v>
      </c>
      <c r="DK21">
        <v>-0.44900000000000001</v>
      </c>
      <c r="DL21">
        <v>9.6000000000000002E-2</v>
      </c>
      <c r="DM21">
        <v>50</v>
      </c>
      <c r="DN21">
        <v>16</v>
      </c>
      <c r="DO21">
        <v>1.05</v>
      </c>
      <c r="DP21">
        <v>0.02</v>
      </c>
      <c r="DQ21">
        <v>-0.543595259259259</v>
      </c>
      <c r="DR21">
        <v>0.37851541735701399</v>
      </c>
      <c r="DS21">
        <v>7.1629180711594506E-2</v>
      </c>
      <c r="DT21">
        <v>1</v>
      </c>
      <c r="DU21">
        <v>3.8417211111111098</v>
      </c>
      <c r="DV21">
        <v>7.6801211446601902E-2</v>
      </c>
      <c r="DW21">
        <v>1.78962974307088E-2</v>
      </c>
      <c r="DX21">
        <v>1</v>
      </c>
      <c r="DY21">
        <v>2</v>
      </c>
      <c r="DZ21">
        <v>2</v>
      </c>
      <c r="EA21" t="s">
        <v>283</v>
      </c>
      <c r="EB21">
        <v>1.8666700000000001</v>
      </c>
      <c r="EC21">
        <v>1.8632</v>
      </c>
      <c r="ED21">
        <v>1.8688</v>
      </c>
      <c r="EE21">
        <v>1.86676</v>
      </c>
      <c r="EF21">
        <v>1.87147</v>
      </c>
      <c r="EG21">
        <v>1.8638600000000001</v>
      </c>
      <c r="EH21">
        <v>1.8653900000000001</v>
      </c>
      <c r="EI21">
        <v>1.8652899999999999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-0.44900000000000001</v>
      </c>
      <c r="EX21">
        <v>9.6000000000000002E-2</v>
      </c>
      <c r="EY21">
        <v>2</v>
      </c>
      <c r="EZ21">
        <v>332.55599999999998</v>
      </c>
      <c r="FA21">
        <v>448.29300000000001</v>
      </c>
      <c r="FB21">
        <v>20.452100000000002</v>
      </c>
      <c r="FC21">
        <v>36.325000000000003</v>
      </c>
      <c r="FD21">
        <v>30.001100000000001</v>
      </c>
      <c r="FE21">
        <v>36.227400000000003</v>
      </c>
      <c r="FF21">
        <v>36.218299999999999</v>
      </c>
      <c r="FG21">
        <v>5.1472699999999998</v>
      </c>
      <c r="FH21">
        <v>42.277900000000002</v>
      </c>
      <c r="FI21">
        <v>0</v>
      </c>
      <c r="FJ21">
        <v>20.433</v>
      </c>
      <c r="FK21">
        <v>50</v>
      </c>
      <c r="FL21">
        <v>16.350100000000001</v>
      </c>
      <c r="FM21">
        <v>100.47499999999999</v>
      </c>
      <c r="FN21">
        <v>100.669</v>
      </c>
    </row>
    <row r="22" spans="1:170" x14ac:dyDescent="0.25">
      <c r="A22">
        <v>6</v>
      </c>
      <c r="B22">
        <v>1593112382.3</v>
      </c>
      <c r="C22">
        <v>627.59999990463302</v>
      </c>
      <c r="D22" t="s">
        <v>308</v>
      </c>
      <c r="E22" t="s">
        <v>309</v>
      </c>
      <c r="G22">
        <v>1593112374.25161</v>
      </c>
      <c r="H22">
        <f t="shared" si="0"/>
        <v>9.8134512923763514E-3</v>
      </c>
      <c r="I22">
        <f t="shared" si="1"/>
        <v>30.900053915643053</v>
      </c>
      <c r="J22">
        <f t="shared" si="2"/>
        <v>386.14854838709698</v>
      </c>
      <c r="K22">
        <f t="shared" si="3"/>
        <v>296.91785432312622</v>
      </c>
      <c r="L22">
        <f t="shared" si="4"/>
        <v>29.510753965228126</v>
      </c>
      <c r="M22">
        <f t="shared" si="5"/>
        <v>38.379419221722557</v>
      </c>
      <c r="N22">
        <f t="shared" si="6"/>
        <v>0.6718380216327261</v>
      </c>
      <c r="O22">
        <f t="shared" si="7"/>
        <v>3.3796230317940439</v>
      </c>
      <c r="P22">
        <f t="shared" si="8"/>
        <v>0.60550888042744688</v>
      </c>
      <c r="Q22">
        <f t="shared" si="9"/>
        <v>0.38385528333238433</v>
      </c>
      <c r="R22">
        <f t="shared" si="10"/>
        <v>353.34179872322608</v>
      </c>
      <c r="S22">
        <f t="shared" si="11"/>
        <v>27.005827631660249</v>
      </c>
      <c r="T22">
        <f t="shared" si="12"/>
        <v>27.023606451612899</v>
      </c>
      <c r="U22">
        <f t="shared" si="13"/>
        <v>3.5841250775759415</v>
      </c>
      <c r="V22">
        <f t="shared" si="14"/>
        <v>55.044212583203354</v>
      </c>
      <c r="W22">
        <f t="shared" si="15"/>
        <v>2.0187140944497872</v>
      </c>
      <c r="X22">
        <f t="shared" si="16"/>
        <v>3.6674411345213689</v>
      </c>
      <c r="Y22">
        <f t="shared" si="17"/>
        <v>1.5654109831261542</v>
      </c>
      <c r="Z22">
        <f t="shared" si="18"/>
        <v>-432.7732019937971</v>
      </c>
      <c r="AA22">
        <f t="shared" si="19"/>
        <v>71.405644386382917</v>
      </c>
      <c r="AB22">
        <f t="shared" si="20"/>
        <v>4.5697518609799763</v>
      </c>
      <c r="AC22">
        <f t="shared" si="21"/>
        <v>-3.4560070232081301</v>
      </c>
      <c r="AD22">
        <v>-4.1132294168159701E-2</v>
      </c>
      <c r="AE22">
        <v>4.6174603590636402E-2</v>
      </c>
      <c r="AF22">
        <v>3.45180300128541</v>
      </c>
      <c r="AG22">
        <v>147</v>
      </c>
      <c r="AH22">
        <v>29</v>
      </c>
      <c r="AI22">
        <f t="shared" si="22"/>
        <v>1</v>
      </c>
      <c r="AJ22">
        <f t="shared" si="23"/>
        <v>0</v>
      </c>
      <c r="AK22">
        <f t="shared" si="24"/>
        <v>52377.610365074346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310</v>
      </c>
      <c r="AS22">
        <v>258.56819230769202</v>
      </c>
      <c r="AT22">
        <v>341.18799999999999</v>
      </c>
      <c r="AU22">
        <f t="shared" si="27"/>
        <v>0.24215332219277341</v>
      </c>
      <c r="AV22">
        <v>0.5</v>
      </c>
      <c r="AW22">
        <f t="shared" si="28"/>
        <v>1849.2037545477053</v>
      </c>
      <c r="AX22">
        <f t="shared" si="29"/>
        <v>30.900053915643053</v>
      </c>
      <c r="AY22">
        <f t="shared" si="30"/>
        <v>223.89541628753838</v>
      </c>
      <c r="AZ22">
        <f t="shared" si="31"/>
        <v>0.46891449875142149</v>
      </c>
      <c r="BA22">
        <f t="shared" si="32"/>
        <v>1.7250697137723175E-2</v>
      </c>
      <c r="BB22">
        <f t="shared" si="33"/>
        <v>-1</v>
      </c>
      <c r="BC22" t="s">
        <v>311</v>
      </c>
      <c r="BD22">
        <v>181.2</v>
      </c>
      <c r="BE22">
        <f t="shared" si="34"/>
        <v>159.988</v>
      </c>
      <c r="BF22">
        <f t="shared" si="35"/>
        <v>0.51641252901660106</v>
      </c>
      <c r="BG22">
        <f t="shared" si="36"/>
        <v>1.8829359823399558</v>
      </c>
      <c r="BH22">
        <f t="shared" si="37"/>
        <v>0.24215332219277341</v>
      </c>
      <c r="BI22" t="e">
        <f t="shared" si="38"/>
        <v>#DIV/0!</v>
      </c>
      <c r="BJ22">
        <v>4091</v>
      </c>
      <c r="BK22">
        <v>300</v>
      </c>
      <c r="BL22">
        <v>300</v>
      </c>
      <c r="BM22">
        <v>300</v>
      </c>
      <c r="BN22">
        <v>9897.77</v>
      </c>
      <c r="BO22">
        <v>314.55599999999998</v>
      </c>
      <c r="BP22">
        <v>-6.4202699999999996E-3</v>
      </c>
      <c r="BQ22">
        <v>0.53008999999999995</v>
      </c>
      <c r="BR22">
        <f t="shared" si="39"/>
        <v>2200.0216129032301</v>
      </c>
      <c r="BS22">
        <f t="shared" si="40"/>
        <v>1849.2037545477053</v>
      </c>
      <c r="BT22">
        <f t="shared" si="41"/>
        <v>0.84053890366441786</v>
      </c>
      <c r="BU22">
        <f t="shared" si="42"/>
        <v>0.19107780732883572</v>
      </c>
      <c r="BV22">
        <v>0.5</v>
      </c>
      <c r="BW22" t="s">
        <v>281</v>
      </c>
      <c r="BX22">
        <v>1593112374.25161</v>
      </c>
      <c r="BY22">
        <v>386.14854838709698</v>
      </c>
      <c r="BZ22">
        <v>400.02232258064498</v>
      </c>
      <c r="CA22">
        <v>20.310977419354799</v>
      </c>
      <c r="CB22">
        <v>16.4658870967742</v>
      </c>
      <c r="CC22">
        <v>500.07306451612902</v>
      </c>
      <c r="CD22">
        <v>99.190325806451597</v>
      </c>
      <c r="CE22">
        <v>0.19997200000000001</v>
      </c>
      <c r="CF22">
        <v>27.415509677419401</v>
      </c>
      <c r="CG22">
        <v>27.023606451612899</v>
      </c>
      <c r="CH22">
        <v>999.9</v>
      </c>
      <c r="CI22">
        <v>10000.2219354839</v>
      </c>
      <c r="CJ22">
        <v>0</v>
      </c>
      <c r="CK22">
        <v>194.04516129032299</v>
      </c>
      <c r="CL22">
        <v>2200.0216129032301</v>
      </c>
      <c r="CM22">
        <v>0.98199700000000001</v>
      </c>
      <c r="CN22">
        <v>1.8002600000000001E-2</v>
      </c>
      <c r="CO22">
        <v>0</v>
      </c>
      <c r="CP22">
        <v>258.569903225806</v>
      </c>
      <c r="CQ22">
        <v>5.00054</v>
      </c>
      <c r="CR22">
        <v>7688.4016129032298</v>
      </c>
      <c r="CS22">
        <v>20590.716129032298</v>
      </c>
      <c r="CT22">
        <v>47.818258064516101</v>
      </c>
      <c r="CU22">
        <v>49.679000000000002</v>
      </c>
      <c r="CV22">
        <v>48.191064516129003</v>
      </c>
      <c r="CW22">
        <v>48.677064516129001</v>
      </c>
      <c r="CX22">
        <v>49.259967741935498</v>
      </c>
      <c r="CY22">
        <v>2155.5016129032301</v>
      </c>
      <c r="CZ22">
        <v>39.520000000000003</v>
      </c>
      <c r="DA22">
        <v>0</v>
      </c>
      <c r="DB22">
        <v>120.19999980926499</v>
      </c>
      <c r="DC22">
        <v>258.56819230769202</v>
      </c>
      <c r="DD22">
        <v>0.23176068833288499</v>
      </c>
      <c r="DE22">
        <v>13.067008476263901</v>
      </c>
      <c r="DF22">
        <v>7688.5211538461499</v>
      </c>
      <c r="DG22">
        <v>15</v>
      </c>
      <c r="DH22">
        <v>1593112333.8</v>
      </c>
      <c r="DI22" t="s">
        <v>312</v>
      </c>
      <c r="DJ22">
        <v>87</v>
      </c>
      <c r="DK22">
        <v>-0.32400000000000001</v>
      </c>
      <c r="DL22">
        <v>9.7000000000000003E-2</v>
      </c>
      <c r="DM22">
        <v>400</v>
      </c>
      <c r="DN22">
        <v>16</v>
      </c>
      <c r="DO22">
        <v>0.28999999999999998</v>
      </c>
      <c r="DP22">
        <v>0.03</v>
      </c>
      <c r="DQ22">
        <v>-13.875488888888899</v>
      </c>
      <c r="DR22">
        <v>4.2873432821377101E-2</v>
      </c>
      <c r="DS22">
        <v>4.2498512682762397E-2</v>
      </c>
      <c r="DT22">
        <v>1</v>
      </c>
      <c r="DU22">
        <v>3.8430525925925898</v>
      </c>
      <c r="DV22">
        <v>2.6253353648367901E-2</v>
      </c>
      <c r="DW22">
        <v>3.78684818871707E-3</v>
      </c>
      <c r="DX22">
        <v>1</v>
      </c>
      <c r="DY22">
        <v>2</v>
      </c>
      <c r="DZ22">
        <v>2</v>
      </c>
      <c r="EA22" t="s">
        <v>283</v>
      </c>
      <c r="EB22">
        <v>1.8667</v>
      </c>
      <c r="EC22">
        <v>1.8632</v>
      </c>
      <c r="ED22">
        <v>1.8687800000000001</v>
      </c>
      <c r="EE22">
        <v>1.86676</v>
      </c>
      <c r="EF22">
        <v>1.8714599999999999</v>
      </c>
      <c r="EG22">
        <v>1.8638600000000001</v>
      </c>
      <c r="EH22">
        <v>1.8653900000000001</v>
      </c>
      <c r="EI22">
        <v>1.86527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-0.32400000000000001</v>
      </c>
      <c r="EX22">
        <v>9.7000000000000003E-2</v>
      </c>
      <c r="EY22">
        <v>2</v>
      </c>
      <c r="EZ22">
        <v>332.28300000000002</v>
      </c>
      <c r="FA22">
        <v>448.54700000000003</v>
      </c>
      <c r="FB22">
        <v>20.4892</v>
      </c>
      <c r="FC22">
        <v>36.489199999999997</v>
      </c>
      <c r="FD22">
        <v>30.000399999999999</v>
      </c>
      <c r="FE22">
        <v>36.392499999999998</v>
      </c>
      <c r="FF22">
        <v>36.383099999999999</v>
      </c>
      <c r="FG22">
        <v>21.899000000000001</v>
      </c>
      <c r="FH22">
        <v>42.044199999999996</v>
      </c>
      <c r="FI22">
        <v>0</v>
      </c>
      <c r="FJ22">
        <v>20.474299999999999</v>
      </c>
      <c r="FK22">
        <v>400</v>
      </c>
      <c r="FL22">
        <v>16.422899999999998</v>
      </c>
      <c r="FM22">
        <v>100.446</v>
      </c>
      <c r="FN22">
        <v>100.636</v>
      </c>
    </row>
    <row r="23" spans="1:170" x14ac:dyDescent="0.25">
      <c r="A23">
        <v>7</v>
      </c>
      <c r="B23">
        <v>1593112503.3</v>
      </c>
      <c r="C23">
        <v>748.59999990463302</v>
      </c>
      <c r="D23" t="s">
        <v>313</v>
      </c>
      <c r="E23" t="s">
        <v>314</v>
      </c>
      <c r="G23">
        <v>1593112495.24839</v>
      </c>
      <c r="H23">
        <f t="shared" si="0"/>
        <v>9.4706877071498736E-3</v>
      </c>
      <c r="I23">
        <f t="shared" si="1"/>
        <v>32.366431413852936</v>
      </c>
      <c r="J23">
        <f t="shared" si="2"/>
        <v>385.60064516129</v>
      </c>
      <c r="K23">
        <f t="shared" si="3"/>
        <v>288.36660776421843</v>
      </c>
      <c r="L23">
        <f t="shared" si="4"/>
        <v>28.661519000961228</v>
      </c>
      <c r="M23">
        <f t="shared" si="5"/>
        <v>38.325866867046386</v>
      </c>
      <c r="N23">
        <f t="shared" si="6"/>
        <v>0.63723939971985744</v>
      </c>
      <c r="O23">
        <f t="shared" si="7"/>
        <v>3.3796430162867419</v>
      </c>
      <c r="P23">
        <f t="shared" si="8"/>
        <v>0.57724028499671132</v>
      </c>
      <c r="Q23">
        <f t="shared" si="9"/>
        <v>0.36569393860812205</v>
      </c>
      <c r="R23">
        <f t="shared" si="10"/>
        <v>353.3344412305018</v>
      </c>
      <c r="S23">
        <f t="shared" si="11"/>
        <v>27.112934441670934</v>
      </c>
      <c r="T23">
        <f t="shared" si="12"/>
        <v>27.115132258064499</v>
      </c>
      <c r="U23">
        <f t="shared" si="13"/>
        <v>3.6034335278303664</v>
      </c>
      <c r="V23">
        <f t="shared" si="14"/>
        <v>54.953607629932378</v>
      </c>
      <c r="W23">
        <f t="shared" si="15"/>
        <v>2.0188364114490183</v>
      </c>
      <c r="X23">
        <f t="shared" si="16"/>
        <v>3.6737104232432403</v>
      </c>
      <c r="Y23">
        <f t="shared" si="17"/>
        <v>1.5845971163813481</v>
      </c>
      <c r="Z23">
        <f t="shared" si="18"/>
        <v>-417.65732788530943</v>
      </c>
      <c r="AA23">
        <f t="shared" si="19"/>
        <v>60.045396101913553</v>
      </c>
      <c r="AB23">
        <f t="shared" si="20"/>
        <v>3.8450239222000238</v>
      </c>
      <c r="AC23">
        <f t="shared" si="21"/>
        <v>-0.43246663069405145</v>
      </c>
      <c r="AD23">
        <v>-4.1132603127683701E-2</v>
      </c>
      <c r="AE23">
        <v>4.61749504247684E-2</v>
      </c>
      <c r="AF23">
        <v>3.4518235279479401</v>
      </c>
      <c r="AG23">
        <v>149</v>
      </c>
      <c r="AH23">
        <v>30</v>
      </c>
      <c r="AI23">
        <f t="shared" si="22"/>
        <v>1</v>
      </c>
      <c r="AJ23">
        <f t="shared" si="23"/>
        <v>0</v>
      </c>
      <c r="AK23">
        <f t="shared" si="24"/>
        <v>52372.951549195466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315</v>
      </c>
      <c r="AS23">
        <v>261.21553846153802</v>
      </c>
      <c r="AT23">
        <v>347.60700000000003</v>
      </c>
      <c r="AU23">
        <f t="shared" si="27"/>
        <v>0.24853199601406761</v>
      </c>
      <c r="AV23">
        <v>0.5</v>
      </c>
      <c r="AW23">
        <f t="shared" si="28"/>
        <v>1849.1676868058303</v>
      </c>
      <c r="AX23">
        <f t="shared" si="29"/>
        <v>32.366431413852936</v>
      </c>
      <c r="AY23">
        <f t="shared" si="30"/>
        <v>229.78866808328462</v>
      </c>
      <c r="AZ23">
        <f t="shared" si="31"/>
        <v>0.47273789077895445</v>
      </c>
      <c r="BA23">
        <f t="shared" si="32"/>
        <v>1.8044026862425129E-2</v>
      </c>
      <c r="BB23">
        <f t="shared" si="33"/>
        <v>-1</v>
      </c>
      <c r="BC23" t="s">
        <v>316</v>
      </c>
      <c r="BD23">
        <v>183.28</v>
      </c>
      <c r="BE23">
        <f t="shared" si="34"/>
        <v>164.32700000000003</v>
      </c>
      <c r="BF23">
        <f t="shared" si="35"/>
        <v>0.52572895226263483</v>
      </c>
      <c r="BG23">
        <f t="shared" si="36"/>
        <v>1.8965899170667833</v>
      </c>
      <c r="BH23">
        <f t="shared" si="37"/>
        <v>0.24853199601406761</v>
      </c>
      <c r="BI23" t="e">
        <f t="shared" si="38"/>
        <v>#DIV/0!</v>
      </c>
      <c r="BJ23">
        <v>4093</v>
      </c>
      <c r="BK23">
        <v>300</v>
      </c>
      <c r="BL23">
        <v>300</v>
      </c>
      <c r="BM23">
        <v>300</v>
      </c>
      <c r="BN23">
        <v>9896.51</v>
      </c>
      <c r="BO23">
        <v>321.78699999999998</v>
      </c>
      <c r="BP23">
        <v>-6.4193499999999999E-3</v>
      </c>
      <c r="BQ23">
        <v>-0.34686299999999998</v>
      </c>
      <c r="BR23">
        <f t="shared" si="39"/>
        <v>2199.9790322580602</v>
      </c>
      <c r="BS23">
        <f t="shared" si="40"/>
        <v>1849.1676868058303</v>
      </c>
      <c r="BT23">
        <f t="shared" si="41"/>
        <v>0.84053877773000552</v>
      </c>
      <c r="BU23">
        <f t="shared" si="42"/>
        <v>0.19107755546001129</v>
      </c>
      <c r="BV23">
        <v>0.5</v>
      </c>
      <c r="BW23" t="s">
        <v>281</v>
      </c>
      <c r="BX23">
        <v>1593112495.24839</v>
      </c>
      <c r="BY23">
        <v>385.60064516129</v>
      </c>
      <c r="BZ23">
        <v>400.00606451612902</v>
      </c>
      <c r="CA23">
        <v>20.3117290322581</v>
      </c>
      <c r="CB23">
        <v>16.600893548387099</v>
      </c>
      <c r="CC23">
        <v>500.06645161290299</v>
      </c>
      <c r="CD23">
        <v>99.192638709677396</v>
      </c>
      <c r="CE23">
        <v>0.20000325806451599</v>
      </c>
      <c r="CF23">
        <v>27.444683870967701</v>
      </c>
      <c r="CG23">
        <v>27.115132258064499</v>
      </c>
      <c r="CH23">
        <v>999.9</v>
      </c>
      <c r="CI23">
        <v>10000.0638709677</v>
      </c>
      <c r="CJ23">
        <v>0</v>
      </c>
      <c r="CK23">
        <v>189.25580645161301</v>
      </c>
      <c r="CL23">
        <v>2199.9790322580602</v>
      </c>
      <c r="CM23">
        <v>0.98199967741935501</v>
      </c>
      <c r="CN23">
        <v>1.8000025806451599E-2</v>
      </c>
      <c r="CO23">
        <v>0</v>
      </c>
      <c r="CP23">
        <v>261.20509677419398</v>
      </c>
      <c r="CQ23">
        <v>5.00054</v>
      </c>
      <c r="CR23">
        <v>7716.1145161290297</v>
      </c>
      <c r="CS23">
        <v>20590.325806451601</v>
      </c>
      <c r="CT23">
        <v>48.054000000000002</v>
      </c>
      <c r="CU23">
        <v>49.895000000000003</v>
      </c>
      <c r="CV23">
        <v>48.402999999999999</v>
      </c>
      <c r="CW23">
        <v>48.945258064516104</v>
      </c>
      <c r="CX23">
        <v>49.497903225806397</v>
      </c>
      <c r="CY23">
        <v>2155.46903225806</v>
      </c>
      <c r="CZ23">
        <v>39.51</v>
      </c>
      <c r="DA23">
        <v>0</v>
      </c>
      <c r="DB23">
        <v>120.59999990463299</v>
      </c>
      <c r="DC23">
        <v>261.21553846153802</v>
      </c>
      <c r="DD23">
        <v>1.34290597846939</v>
      </c>
      <c r="DE23">
        <v>90.142564025439</v>
      </c>
      <c r="DF23">
        <v>7717.38884615385</v>
      </c>
      <c r="DG23">
        <v>15</v>
      </c>
      <c r="DH23">
        <v>1593112459.7</v>
      </c>
      <c r="DI23" t="s">
        <v>317</v>
      </c>
      <c r="DJ23">
        <v>88</v>
      </c>
      <c r="DK23">
        <v>-0.374</v>
      </c>
      <c r="DL23">
        <v>9.5000000000000001E-2</v>
      </c>
      <c r="DM23">
        <v>400</v>
      </c>
      <c r="DN23">
        <v>16</v>
      </c>
      <c r="DO23">
        <v>0.21</v>
      </c>
      <c r="DP23">
        <v>0.02</v>
      </c>
      <c r="DQ23">
        <v>-14.429235185185201</v>
      </c>
      <c r="DR23">
        <v>0.17294992155452099</v>
      </c>
      <c r="DS23">
        <v>4.7824335806533398E-2</v>
      </c>
      <c r="DT23">
        <v>1</v>
      </c>
      <c r="DU23">
        <v>3.7078844444444399</v>
      </c>
      <c r="DV23">
        <v>4.2807096666972203E-2</v>
      </c>
      <c r="DW23">
        <v>1.23394915056206E-2</v>
      </c>
      <c r="DX23">
        <v>1</v>
      </c>
      <c r="DY23">
        <v>2</v>
      </c>
      <c r="DZ23">
        <v>2</v>
      </c>
      <c r="EA23" t="s">
        <v>283</v>
      </c>
      <c r="EB23">
        <v>1.8666100000000001</v>
      </c>
      <c r="EC23">
        <v>1.8631</v>
      </c>
      <c r="ED23">
        <v>1.8687400000000001</v>
      </c>
      <c r="EE23">
        <v>1.8666499999999999</v>
      </c>
      <c r="EF23">
        <v>1.8713500000000001</v>
      </c>
      <c r="EG23">
        <v>1.86381</v>
      </c>
      <c r="EH23">
        <v>1.8652299999999999</v>
      </c>
      <c r="EI23">
        <v>1.8652299999999999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-0.374</v>
      </c>
      <c r="EX23">
        <v>9.5000000000000001E-2</v>
      </c>
      <c r="EY23">
        <v>2</v>
      </c>
      <c r="EZ23">
        <v>330.81700000000001</v>
      </c>
      <c r="FA23">
        <v>451.54</v>
      </c>
      <c r="FB23">
        <v>19.760100000000001</v>
      </c>
      <c r="FC23">
        <v>36.620699999999999</v>
      </c>
      <c r="FD23">
        <v>30.001300000000001</v>
      </c>
      <c r="FE23">
        <v>36.532699999999998</v>
      </c>
      <c r="FF23">
        <v>36.5227</v>
      </c>
      <c r="FG23">
        <v>21.8949</v>
      </c>
      <c r="FH23">
        <v>41.569099999999999</v>
      </c>
      <c r="FI23">
        <v>0</v>
      </c>
      <c r="FJ23">
        <v>19.671099999999999</v>
      </c>
      <c r="FK23">
        <v>400</v>
      </c>
      <c r="FL23">
        <v>16.592600000000001</v>
      </c>
      <c r="FM23">
        <v>100.42100000000001</v>
      </c>
      <c r="FN23">
        <v>100.60899999999999</v>
      </c>
    </row>
    <row r="24" spans="1:170" x14ac:dyDescent="0.25">
      <c r="A24">
        <v>8</v>
      </c>
      <c r="B24">
        <v>1593112624.3</v>
      </c>
      <c r="C24">
        <v>869.59999990463302</v>
      </c>
      <c r="D24" t="s">
        <v>318</v>
      </c>
      <c r="E24" t="s">
        <v>319</v>
      </c>
      <c r="G24">
        <v>1593112616.26774</v>
      </c>
      <c r="H24">
        <f t="shared" si="0"/>
        <v>9.1600261232247689E-3</v>
      </c>
      <c r="I24">
        <f t="shared" si="1"/>
        <v>37.714640658705292</v>
      </c>
      <c r="J24">
        <f t="shared" si="2"/>
        <v>483.18045161290303</v>
      </c>
      <c r="K24">
        <f t="shared" si="3"/>
        <v>365.67608629149123</v>
      </c>
      <c r="L24">
        <f t="shared" si="4"/>
        <v>36.345234442497727</v>
      </c>
      <c r="M24">
        <f t="shared" si="5"/>
        <v>48.024214462589313</v>
      </c>
      <c r="N24">
        <f t="shared" si="6"/>
        <v>0.61525521332023325</v>
      </c>
      <c r="O24">
        <f t="shared" si="7"/>
        <v>3.3770931810655016</v>
      </c>
      <c r="P24">
        <f t="shared" si="8"/>
        <v>0.55909132787048776</v>
      </c>
      <c r="Q24">
        <f t="shared" si="9"/>
        <v>0.35404995019501312</v>
      </c>
      <c r="R24">
        <f t="shared" si="10"/>
        <v>353.33449271418635</v>
      </c>
      <c r="S24">
        <f t="shared" si="11"/>
        <v>26.887504420556137</v>
      </c>
      <c r="T24">
        <f t="shared" si="12"/>
        <v>27.0024451612903</v>
      </c>
      <c r="U24">
        <f t="shared" si="13"/>
        <v>3.5796737294618683</v>
      </c>
      <c r="V24">
        <f t="shared" si="14"/>
        <v>55.308321699501064</v>
      </c>
      <c r="W24">
        <f t="shared" si="15"/>
        <v>1.9969425789253812</v>
      </c>
      <c r="X24">
        <f t="shared" si="16"/>
        <v>3.6105644097737932</v>
      </c>
      <c r="Y24">
        <f t="shared" si="17"/>
        <v>1.5827311505364872</v>
      </c>
      <c r="Z24">
        <f t="shared" si="18"/>
        <v>-403.9571520342123</v>
      </c>
      <c r="AA24">
        <f t="shared" si="19"/>
        <v>26.650916230248669</v>
      </c>
      <c r="AB24">
        <f t="shared" si="20"/>
        <v>1.7044039713022887</v>
      </c>
      <c r="AC24">
        <f t="shared" si="21"/>
        <v>-22.267339118475007</v>
      </c>
      <c r="AD24">
        <v>-4.10931893747329E-2</v>
      </c>
      <c r="AE24">
        <v>4.6130705034246697E-2</v>
      </c>
      <c r="AF24">
        <v>3.4492045284959398</v>
      </c>
      <c r="AG24">
        <v>147</v>
      </c>
      <c r="AH24">
        <v>29</v>
      </c>
      <c r="AI24">
        <f t="shared" si="22"/>
        <v>1</v>
      </c>
      <c r="AJ24">
        <f t="shared" si="23"/>
        <v>0</v>
      </c>
      <c r="AK24">
        <f t="shared" si="24"/>
        <v>52376.371520371809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320</v>
      </c>
      <c r="AS24">
        <v>270.54399999999998</v>
      </c>
      <c r="AT24">
        <v>367.33199999999999</v>
      </c>
      <c r="AU24">
        <f t="shared" si="27"/>
        <v>0.26348915967027109</v>
      </c>
      <c r="AV24">
        <v>0.5</v>
      </c>
      <c r="AW24">
        <f t="shared" si="28"/>
        <v>1849.1679577735763</v>
      </c>
      <c r="AX24">
        <f t="shared" si="29"/>
        <v>37.714640658705292</v>
      </c>
      <c r="AY24">
        <f t="shared" si="30"/>
        <v>243.61785564147547</v>
      </c>
      <c r="AZ24">
        <f t="shared" si="31"/>
        <v>0.49642285452941753</v>
      </c>
      <c r="BA24">
        <f t="shared" si="32"/>
        <v>2.0936248919929509E-2</v>
      </c>
      <c r="BB24">
        <f t="shared" si="33"/>
        <v>-1</v>
      </c>
      <c r="BC24" t="s">
        <v>321</v>
      </c>
      <c r="BD24">
        <v>184.98</v>
      </c>
      <c r="BE24">
        <f t="shared" si="34"/>
        <v>182.352</v>
      </c>
      <c r="BF24">
        <f t="shared" si="35"/>
        <v>0.53077564271299471</v>
      </c>
      <c r="BG24">
        <f t="shared" si="36"/>
        <v>1.9857930587090498</v>
      </c>
      <c r="BH24">
        <f t="shared" si="37"/>
        <v>0.26348915967027109</v>
      </c>
      <c r="BI24" t="e">
        <f t="shared" si="38"/>
        <v>#DIV/0!</v>
      </c>
      <c r="BJ24">
        <v>4095</v>
      </c>
      <c r="BK24">
        <v>300</v>
      </c>
      <c r="BL24">
        <v>300</v>
      </c>
      <c r="BM24">
        <v>300</v>
      </c>
      <c r="BN24">
        <v>9896.48</v>
      </c>
      <c r="BO24">
        <v>338.29199999999997</v>
      </c>
      <c r="BP24">
        <v>-6.4193799999999997E-3</v>
      </c>
      <c r="BQ24">
        <v>0.2883</v>
      </c>
      <c r="BR24">
        <f t="shared" si="39"/>
        <v>2199.9793548387102</v>
      </c>
      <c r="BS24">
        <f t="shared" si="40"/>
        <v>1849.1679577735763</v>
      </c>
      <c r="BT24">
        <f t="shared" si="41"/>
        <v>0.84053877765100515</v>
      </c>
      <c r="BU24">
        <f t="shared" si="42"/>
        <v>0.19107755530201051</v>
      </c>
      <c r="BV24">
        <v>0.5</v>
      </c>
      <c r="BW24" t="s">
        <v>281</v>
      </c>
      <c r="BX24">
        <v>1593112616.26774</v>
      </c>
      <c r="BY24">
        <v>483.18045161290303</v>
      </c>
      <c r="BZ24">
        <v>500.034258064516</v>
      </c>
      <c r="CA24">
        <v>20.0916064516129</v>
      </c>
      <c r="CB24">
        <v>16.501729032258101</v>
      </c>
      <c r="CC24">
        <v>500.07203225806398</v>
      </c>
      <c r="CD24">
        <v>99.191848387096798</v>
      </c>
      <c r="CE24">
        <v>0.20003367741935499</v>
      </c>
      <c r="CF24">
        <v>27.148825806451601</v>
      </c>
      <c r="CG24">
        <v>27.0024451612903</v>
      </c>
      <c r="CH24">
        <v>999.9</v>
      </c>
      <c r="CI24">
        <v>9990.5612903225792</v>
      </c>
      <c r="CJ24">
        <v>0</v>
      </c>
      <c r="CK24">
        <v>173.74893548387101</v>
      </c>
      <c r="CL24">
        <v>2199.9793548387102</v>
      </c>
      <c r="CM24">
        <v>0.98199854838709599</v>
      </c>
      <c r="CN24">
        <v>1.8000974193548399E-2</v>
      </c>
      <c r="CO24">
        <v>0</v>
      </c>
      <c r="CP24">
        <v>270.50825806451599</v>
      </c>
      <c r="CQ24">
        <v>5.00054</v>
      </c>
      <c r="CR24">
        <v>7753.2732258064498</v>
      </c>
      <c r="CS24">
        <v>20590.329032258102</v>
      </c>
      <c r="CT24">
        <v>48.114741935483799</v>
      </c>
      <c r="CU24">
        <v>49.895000000000003</v>
      </c>
      <c r="CV24">
        <v>48.463419354838699</v>
      </c>
      <c r="CW24">
        <v>48.832322580645098</v>
      </c>
      <c r="CX24">
        <v>49.531999999999996</v>
      </c>
      <c r="CY24">
        <v>2155.4693548387099</v>
      </c>
      <c r="CZ24">
        <v>39.51</v>
      </c>
      <c r="DA24">
        <v>0</v>
      </c>
      <c r="DB24">
        <v>120.69999980926499</v>
      </c>
      <c r="DC24">
        <v>270.54399999999998</v>
      </c>
      <c r="DD24">
        <v>0.94188035359034805</v>
      </c>
      <c r="DE24">
        <v>-3669.91521081068</v>
      </c>
      <c r="DF24">
        <v>7707.4553846153804</v>
      </c>
      <c r="DG24">
        <v>15</v>
      </c>
      <c r="DH24">
        <v>1593112583.2</v>
      </c>
      <c r="DI24" t="s">
        <v>322</v>
      </c>
      <c r="DJ24">
        <v>89</v>
      </c>
      <c r="DK24">
        <v>-0.41</v>
      </c>
      <c r="DL24">
        <v>9.7000000000000003E-2</v>
      </c>
      <c r="DM24">
        <v>500</v>
      </c>
      <c r="DN24">
        <v>16</v>
      </c>
      <c r="DO24">
        <v>0.3</v>
      </c>
      <c r="DP24">
        <v>0.02</v>
      </c>
      <c r="DQ24">
        <v>-16.8892240740741</v>
      </c>
      <c r="DR24">
        <v>0.37602777089873601</v>
      </c>
      <c r="DS24">
        <v>5.7862608457240998E-2</v>
      </c>
      <c r="DT24">
        <v>1</v>
      </c>
      <c r="DU24">
        <v>3.5952179629629599</v>
      </c>
      <c r="DV24">
        <v>-5.1526849706855699E-2</v>
      </c>
      <c r="DW24">
        <v>3.2748518789214198E-2</v>
      </c>
      <c r="DX24">
        <v>1</v>
      </c>
      <c r="DY24">
        <v>2</v>
      </c>
      <c r="DZ24">
        <v>2</v>
      </c>
      <c r="EA24" t="s">
        <v>283</v>
      </c>
      <c r="EB24">
        <v>1.8666400000000001</v>
      </c>
      <c r="EC24">
        <v>1.8631800000000001</v>
      </c>
      <c r="ED24">
        <v>1.8687499999999999</v>
      </c>
      <c r="EE24">
        <v>1.86676</v>
      </c>
      <c r="EF24">
        <v>1.8713900000000001</v>
      </c>
      <c r="EG24">
        <v>1.8638600000000001</v>
      </c>
      <c r="EH24">
        <v>1.86531</v>
      </c>
      <c r="EI24">
        <v>1.86524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-0.41</v>
      </c>
      <c r="EX24">
        <v>9.7000000000000003E-2</v>
      </c>
      <c r="EY24">
        <v>2</v>
      </c>
      <c r="EZ24">
        <v>332.24900000000002</v>
      </c>
      <c r="FA24">
        <v>450.55099999999999</v>
      </c>
      <c r="FB24">
        <v>19.805299999999999</v>
      </c>
      <c r="FC24">
        <v>36.700400000000002</v>
      </c>
      <c r="FD24">
        <v>30.000699999999998</v>
      </c>
      <c r="FE24">
        <v>36.613900000000001</v>
      </c>
      <c r="FF24">
        <v>36.600999999999999</v>
      </c>
      <c r="FG24">
        <v>26.269300000000001</v>
      </c>
      <c r="FH24">
        <v>41.588000000000001</v>
      </c>
      <c r="FI24">
        <v>0</v>
      </c>
      <c r="FJ24">
        <v>19.7957</v>
      </c>
      <c r="FK24">
        <v>500</v>
      </c>
      <c r="FL24">
        <v>16.472100000000001</v>
      </c>
      <c r="FM24">
        <v>100.416</v>
      </c>
      <c r="FN24">
        <v>100.605</v>
      </c>
    </row>
    <row r="25" spans="1:170" x14ac:dyDescent="0.25">
      <c r="A25">
        <v>9</v>
      </c>
      <c r="B25">
        <v>1593112760.3</v>
      </c>
      <c r="C25">
        <v>1005.59999990463</v>
      </c>
      <c r="D25" t="s">
        <v>323</v>
      </c>
      <c r="E25" t="s">
        <v>324</v>
      </c>
      <c r="G25">
        <v>1593112752.3</v>
      </c>
      <c r="H25">
        <f t="shared" si="0"/>
        <v>9.0481317453755886E-3</v>
      </c>
      <c r="I25">
        <f t="shared" si="1"/>
        <v>24.179420058353944</v>
      </c>
      <c r="J25">
        <f t="shared" si="2"/>
        <v>588.19512903225802</v>
      </c>
      <c r="K25">
        <f t="shared" si="3"/>
        <v>504.16998688960422</v>
      </c>
      <c r="L25">
        <f t="shared" si="4"/>
        <v>50.110117167313113</v>
      </c>
      <c r="M25">
        <f t="shared" si="5"/>
        <v>58.461486402408966</v>
      </c>
      <c r="N25">
        <f t="shared" si="6"/>
        <v>0.60115072454025831</v>
      </c>
      <c r="O25">
        <f t="shared" si="7"/>
        <v>3.3795532194871511</v>
      </c>
      <c r="P25">
        <f t="shared" si="8"/>
        <v>0.54744748671910604</v>
      </c>
      <c r="Q25">
        <f t="shared" si="9"/>
        <v>0.3465790245301798</v>
      </c>
      <c r="R25">
        <f t="shared" si="10"/>
        <v>353.34014425014499</v>
      </c>
      <c r="S25">
        <f t="shared" si="11"/>
        <v>26.953844470092953</v>
      </c>
      <c r="T25">
        <f t="shared" si="12"/>
        <v>27.0466129032258</v>
      </c>
      <c r="U25">
        <f t="shared" si="13"/>
        <v>3.5889700429599514</v>
      </c>
      <c r="V25">
        <f t="shared" si="14"/>
        <v>55.050153649269916</v>
      </c>
      <c r="W25">
        <f t="shared" si="15"/>
        <v>1.99236877138087</v>
      </c>
      <c r="X25">
        <f t="shared" si="16"/>
        <v>3.6191883933230278</v>
      </c>
      <c r="Y25">
        <f t="shared" si="17"/>
        <v>1.5966012715790814</v>
      </c>
      <c r="Z25">
        <f t="shared" si="18"/>
        <v>-399.02260997106345</v>
      </c>
      <c r="AA25">
        <f t="shared" si="19"/>
        <v>26.033223130790276</v>
      </c>
      <c r="AB25">
        <f t="shared" si="20"/>
        <v>1.6643944242212905</v>
      </c>
      <c r="AC25">
        <f t="shared" si="21"/>
        <v>-17.984848165906868</v>
      </c>
      <c r="AD25">
        <v>-4.1131214878878199E-2</v>
      </c>
      <c r="AE25">
        <v>4.6173391993866997E-2</v>
      </c>
      <c r="AF25">
        <v>3.4517312950149299</v>
      </c>
      <c r="AG25">
        <v>149</v>
      </c>
      <c r="AH25">
        <v>30</v>
      </c>
      <c r="AI25">
        <f t="shared" si="22"/>
        <v>1</v>
      </c>
      <c r="AJ25">
        <f t="shared" si="23"/>
        <v>0</v>
      </c>
      <c r="AK25">
        <f t="shared" si="24"/>
        <v>52415.748207602388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325</v>
      </c>
      <c r="AS25">
        <v>284.54869230769202</v>
      </c>
      <c r="AT25">
        <v>352.14800000000002</v>
      </c>
      <c r="AU25">
        <f t="shared" si="27"/>
        <v>0.19196277614045232</v>
      </c>
      <c r="AV25">
        <v>0.5</v>
      </c>
      <c r="AW25">
        <f t="shared" si="28"/>
        <v>1849.1975145240792</v>
      </c>
      <c r="AX25">
        <f t="shared" si="29"/>
        <v>24.179420058353944</v>
      </c>
      <c r="AY25">
        <f t="shared" si="30"/>
        <v>177.48854426003334</v>
      </c>
      <c r="AZ25">
        <f t="shared" si="31"/>
        <v>0.4831718482001886</v>
      </c>
      <c r="BA25">
        <f t="shared" si="32"/>
        <v>1.3616403797100211E-2</v>
      </c>
      <c r="BB25">
        <f t="shared" si="33"/>
        <v>-1</v>
      </c>
      <c r="BC25" t="s">
        <v>326</v>
      </c>
      <c r="BD25">
        <v>182</v>
      </c>
      <c r="BE25">
        <f t="shared" si="34"/>
        <v>170.14800000000002</v>
      </c>
      <c r="BF25">
        <f t="shared" si="35"/>
        <v>0.39729710424047293</v>
      </c>
      <c r="BG25">
        <f t="shared" si="36"/>
        <v>1.934879120879121</v>
      </c>
      <c r="BH25">
        <f t="shared" si="37"/>
        <v>0.19196277614045229</v>
      </c>
      <c r="BI25" t="e">
        <f t="shared" si="38"/>
        <v>#DIV/0!</v>
      </c>
      <c r="BJ25">
        <v>4097</v>
      </c>
      <c r="BK25">
        <v>300</v>
      </c>
      <c r="BL25">
        <v>300</v>
      </c>
      <c r="BM25">
        <v>300</v>
      </c>
      <c r="BN25">
        <v>9904.02</v>
      </c>
      <c r="BO25">
        <v>334.97699999999998</v>
      </c>
      <c r="BP25">
        <v>-6.4241899999999998E-3</v>
      </c>
      <c r="BQ25">
        <v>5.7006800000000003E-2</v>
      </c>
      <c r="BR25">
        <f t="shared" si="39"/>
        <v>2200.0145161290302</v>
      </c>
      <c r="BS25">
        <f t="shared" si="40"/>
        <v>1849.1975145240792</v>
      </c>
      <c r="BT25">
        <f t="shared" si="41"/>
        <v>0.84053877870668758</v>
      </c>
      <c r="BU25">
        <f t="shared" si="42"/>
        <v>0.19107755741337493</v>
      </c>
      <c r="BV25">
        <v>0.5</v>
      </c>
      <c r="BW25" t="s">
        <v>281</v>
      </c>
      <c r="BX25">
        <v>1593112752.3</v>
      </c>
      <c r="BY25">
        <v>588.19512903225802</v>
      </c>
      <c r="BZ25">
        <v>599.99354838709701</v>
      </c>
      <c r="CA25">
        <v>20.045703225806498</v>
      </c>
      <c r="CB25">
        <v>16.499654838709699</v>
      </c>
      <c r="CC25">
        <v>500.092193548387</v>
      </c>
      <c r="CD25">
        <v>99.191338709677396</v>
      </c>
      <c r="CE25">
        <v>0.19997467741935501</v>
      </c>
      <c r="CF25">
        <v>27.189496774193501</v>
      </c>
      <c r="CG25">
        <v>27.0466129032258</v>
      </c>
      <c r="CH25">
        <v>999.9</v>
      </c>
      <c r="CI25">
        <v>9999.8574193548393</v>
      </c>
      <c r="CJ25">
        <v>0</v>
      </c>
      <c r="CK25">
        <v>29.908387096774199</v>
      </c>
      <c r="CL25">
        <v>2200.0145161290302</v>
      </c>
      <c r="CM25">
        <v>0.98199796774193504</v>
      </c>
      <c r="CN25">
        <v>1.8001635483871001E-2</v>
      </c>
      <c r="CO25">
        <v>0</v>
      </c>
      <c r="CP25">
        <v>284.60683870967699</v>
      </c>
      <c r="CQ25">
        <v>5.00054</v>
      </c>
      <c r="CR25">
        <v>7884.7074193548397</v>
      </c>
      <c r="CS25">
        <v>20590.664516129</v>
      </c>
      <c r="CT25">
        <v>47.929193548387097</v>
      </c>
      <c r="CU25">
        <v>49.306161290322599</v>
      </c>
      <c r="CV25">
        <v>48.169032258064497</v>
      </c>
      <c r="CW25">
        <v>48.491677419354801</v>
      </c>
      <c r="CX25">
        <v>49.413064516128998</v>
      </c>
      <c r="CY25">
        <v>2155.5003225806399</v>
      </c>
      <c r="CZ25">
        <v>39.510645161290299</v>
      </c>
      <c r="DA25">
        <v>0</v>
      </c>
      <c r="DB25">
        <v>135.69999980926499</v>
      </c>
      <c r="DC25">
        <v>284.54869230769202</v>
      </c>
      <c r="DD25">
        <v>-4.5596581340294904</v>
      </c>
      <c r="DE25">
        <v>3473.1876909795801</v>
      </c>
      <c r="DF25">
        <v>7928.9423076923104</v>
      </c>
      <c r="DG25">
        <v>15</v>
      </c>
      <c r="DH25">
        <v>1593112706.3</v>
      </c>
      <c r="DI25" t="s">
        <v>327</v>
      </c>
      <c r="DJ25">
        <v>90</v>
      </c>
      <c r="DK25">
        <v>-0.308</v>
      </c>
      <c r="DL25">
        <v>9.8000000000000004E-2</v>
      </c>
      <c r="DM25">
        <v>600</v>
      </c>
      <c r="DN25">
        <v>16</v>
      </c>
      <c r="DO25">
        <v>7.0000000000000007E-2</v>
      </c>
      <c r="DP25">
        <v>0.03</v>
      </c>
      <c r="DQ25">
        <v>-11.8081444444444</v>
      </c>
      <c r="DR25">
        <v>0.158783436302016</v>
      </c>
      <c r="DS25">
        <v>9.6550705670295695E-2</v>
      </c>
      <c r="DT25">
        <v>1</v>
      </c>
      <c r="DU25">
        <v>3.5409920370370398</v>
      </c>
      <c r="DV25">
        <v>7.6089406845470303E-2</v>
      </c>
      <c r="DW25">
        <v>2.32032711119558E-2</v>
      </c>
      <c r="DX25">
        <v>1</v>
      </c>
      <c r="DY25">
        <v>2</v>
      </c>
      <c r="DZ25">
        <v>2</v>
      </c>
      <c r="EA25" t="s">
        <v>283</v>
      </c>
      <c r="EB25">
        <v>1.8666400000000001</v>
      </c>
      <c r="EC25">
        <v>1.86313</v>
      </c>
      <c r="ED25">
        <v>1.8687499999999999</v>
      </c>
      <c r="EE25">
        <v>1.86676</v>
      </c>
      <c r="EF25">
        <v>1.87141</v>
      </c>
      <c r="EG25">
        <v>1.8638600000000001</v>
      </c>
      <c r="EH25">
        <v>1.8653299999999999</v>
      </c>
      <c r="EI25">
        <v>1.8652299999999999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-0.308</v>
      </c>
      <c r="EX25">
        <v>9.8000000000000004E-2</v>
      </c>
      <c r="EY25">
        <v>2</v>
      </c>
      <c r="EZ25">
        <v>330.755</v>
      </c>
      <c r="FA25">
        <v>454.44600000000003</v>
      </c>
      <c r="FB25">
        <v>19.970600000000001</v>
      </c>
      <c r="FC25">
        <v>36.545900000000003</v>
      </c>
      <c r="FD25">
        <v>29.999099999999999</v>
      </c>
      <c r="FE25">
        <v>36.529800000000002</v>
      </c>
      <c r="FF25">
        <v>36.509599999999999</v>
      </c>
      <c r="FG25">
        <v>30.4923</v>
      </c>
      <c r="FH25">
        <v>41.384399999999999</v>
      </c>
      <c r="FI25">
        <v>0</v>
      </c>
      <c r="FJ25">
        <v>19.9377</v>
      </c>
      <c r="FK25">
        <v>600</v>
      </c>
      <c r="FL25">
        <v>16.4771</v>
      </c>
      <c r="FM25">
        <v>100.438</v>
      </c>
      <c r="FN25">
        <v>100.65300000000001</v>
      </c>
    </row>
    <row r="26" spans="1:170" x14ac:dyDescent="0.25">
      <c r="A26">
        <v>10</v>
      </c>
      <c r="B26">
        <v>1593112910.8</v>
      </c>
      <c r="C26">
        <v>1156.0999999046301</v>
      </c>
      <c r="D26" t="s">
        <v>328</v>
      </c>
      <c r="E26" t="s">
        <v>329</v>
      </c>
      <c r="G26">
        <v>1593112902.8</v>
      </c>
      <c r="H26">
        <f t="shared" si="0"/>
        <v>7.9555972653161389E-3</v>
      </c>
      <c r="I26">
        <f t="shared" si="1"/>
        <v>31.767195802854406</v>
      </c>
      <c r="J26">
        <f t="shared" si="2"/>
        <v>685.09919354838701</v>
      </c>
      <c r="K26">
        <f t="shared" si="3"/>
        <v>554.17663691719599</v>
      </c>
      <c r="L26">
        <f t="shared" si="4"/>
        <v>55.078775650528527</v>
      </c>
      <c r="M26">
        <f t="shared" si="5"/>
        <v>68.090970037496973</v>
      </c>
      <c r="N26">
        <f t="shared" si="6"/>
        <v>0.47851212050723785</v>
      </c>
      <c r="O26">
        <f t="shared" si="7"/>
        <v>3.3806519859537407</v>
      </c>
      <c r="P26">
        <f t="shared" si="8"/>
        <v>0.44381866840966377</v>
      </c>
      <c r="Q26">
        <f t="shared" si="9"/>
        <v>0.28029383515738598</v>
      </c>
      <c r="R26">
        <f t="shared" si="10"/>
        <v>353.33747909322159</v>
      </c>
      <c r="S26">
        <f t="shared" si="11"/>
        <v>27.413858473179914</v>
      </c>
      <c r="T26">
        <f t="shared" si="12"/>
        <v>27.713867741935498</v>
      </c>
      <c r="U26">
        <f t="shared" si="13"/>
        <v>3.7319984699824817</v>
      </c>
      <c r="V26">
        <f t="shared" si="14"/>
        <v>54.629907876215142</v>
      </c>
      <c r="W26">
        <f t="shared" si="15"/>
        <v>2.0018171142378667</v>
      </c>
      <c r="X26">
        <f t="shared" si="16"/>
        <v>3.6643245285599702</v>
      </c>
      <c r="Y26">
        <f t="shared" si="17"/>
        <v>1.7301813557446151</v>
      </c>
      <c r="Z26">
        <f t="shared" si="18"/>
        <v>-350.8418394004417</v>
      </c>
      <c r="AA26">
        <f t="shared" si="19"/>
        <v>-57.024321920638698</v>
      </c>
      <c r="AB26">
        <f t="shared" si="20"/>
        <v>-3.6606094037253216</v>
      </c>
      <c r="AC26">
        <f t="shared" si="21"/>
        <v>-58.189291631584155</v>
      </c>
      <c r="AD26">
        <v>-4.11482028254034E-2</v>
      </c>
      <c r="AE26">
        <v>4.6192462452067297E-2</v>
      </c>
      <c r="AF26">
        <v>3.4528598723512198</v>
      </c>
      <c r="AG26">
        <v>149</v>
      </c>
      <c r="AH26">
        <v>30</v>
      </c>
      <c r="AI26">
        <f t="shared" si="22"/>
        <v>1</v>
      </c>
      <c r="AJ26">
        <f t="shared" si="23"/>
        <v>0</v>
      </c>
      <c r="AK26">
        <f t="shared" si="24"/>
        <v>52399.531657318497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330</v>
      </c>
      <c r="AS26">
        <v>260.54761538461503</v>
      </c>
      <c r="AT26">
        <v>327.04300000000001</v>
      </c>
      <c r="AU26">
        <f t="shared" si="27"/>
        <v>0.20332306337510653</v>
      </c>
      <c r="AV26">
        <v>0.5</v>
      </c>
      <c r="AW26">
        <f t="shared" si="28"/>
        <v>1849.1836740764095</v>
      </c>
      <c r="AX26">
        <f t="shared" si="29"/>
        <v>31.767195802854406</v>
      </c>
      <c r="AY26">
        <f t="shared" si="30"/>
        <v>187.99084467822507</v>
      </c>
      <c r="AZ26">
        <f t="shared" si="31"/>
        <v>0.44857404072247381</v>
      </c>
      <c r="BA26">
        <f t="shared" si="32"/>
        <v>1.7719816728979213E-2</v>
      </c>
      <c r="BB26">
        <f t="shared" si="33"/>
        <v>-1</v>
      </c>
      <c r="BC26" t="s">
        <v>331</v>
      </c>
      <c r="BD26">
        <v>180.34</v>
      </c>
      <c r="BE26">
        <f t="shared" si="34"/>
        <v>146.703</v>
      </c>
      <c r="BF26">
        <f t="shared" si="35"/>
        <v>0.45326533619206816</v>
      </c>
      <c r="BG26">
        <f t="shared" si="36"/>
        <v>1.8134800931573694</v>
      </c>
      <c r="BH26">
        <f t="shared" si="37"/>
        <v>0.20332306337510656</v>
      </c>
      <c r="BI26" t="e">
        <f t="shared" si="38"/>
        <v>#DIV/0!</v>
      </c>
      <c r="BJ26">
        <v>4099</v>
      </c>
      <c r="BK26">
        <v>300</v>
      </c>
      <c r="BL26">
        <v>300</v>
      </c>
      <c r="BM26">
        <v>300</v>
      </c>
      <c r="BN26">
        <v>9903.1200000000008</v>
      </c>
      <c r="BO26">
        <v>308.666</v>
      </c>
      <c r="BP26">
        <v>-6.4238300000000002E-3</v>
      </c>
      <c r="BQ26">
        <v>-1.1505100000000001E-2</v>
      </c>
      <c r="BR26">
        <f t="shared" si="39"/>
        <v>2199.9980645161299</v>
      </c>
      <c r="BS26">
        <f t="shared" si="40"/>
        <v>1849.1836740764095</v>
      </c>
      <c r="BT26">
        <f t="shared" si="41"/>
        <v>0.84053877314802139</v>
      </c>
      <c r="BU26">
        <f t="shared" si="42"/>
        <v>0.19107754629604276</v>
      </c>
      <c r="BV26">
        <v>0.5</v>
      </c>
      <c r="BW26" t="s">
        <v>281</v>
      </c>
      <c r="BX26">
        <v>1593112902.8</v>
      </c>
      <c r="BY26">
        <v>685.09919354838701</v>
      </c>
      <c r="BZ26">
        <v>699.98416129032296</v>
      </c>
      <c r="CA26">
        <v>20.141338709677399</v>
      </c>
      <c r="CB26">
        <v>17.023625806451602</v>
      </c>
      <c r="CC26">
        <v>500.06919354838698</v>
      </c>
      <c r="CD26">
        <v>99.188477419354797</v>
      </c>
      <c r="CE26">
        <v>0.20000629032258099</v>
      </c>
      <c r="CF26">
        <v>27.400990322580601</v>
      </c>
      <c r="CG26">
        <v>27.713867741935498</v>
      </c>
      <c r="CH26">
        <v>999.9</v>
      </c>
      <c r="CI26">
        <v>10004.2761290323</v>
      </c>
      <c r="CJ26">
        <v>0</v>
      </c>
      <c r="CK26">
        <v>38.423912903225798</v>
      </c>
      <c r="CL26">
        <v>2199.9980645161299</v>
      </c>
      <c r="CM26">
        <v>0.98199996774193499</v>
      </c>
      <c r="CN26">
        <v>1.7999822580645201E-2</v>
      </c>
      <c r="CO26">
        <v>0</v>
      </c>
      <c r="CP26">
        <v>260.60458064516098</v>
      </c>
      <c r="CQ26">
        <v>5.00054</v>
      </c>
      <c r="CR26">
        <v>8290.9745161290302</v>
      </c>
      <c r="CS26">
        <v>20590.516129032301</v>
      </c>
      <c r="CT26">
        <v>48.036129032258103</v>
      </c>
      <c r="CU26">
        <v>48.8809677419355</v>
      </c>
      <c r="CV26">
        <v>48.024000000000001</v>
      </c>
      <c r="CW26">
        <v>48.580451612903197</v>
      </c>
      <c r="CX26">
        <v>49.533967741935498</v>
      </c>
      <c r="CY26">
        <v>2155.4877419354798</v>
      </c>
      <c r="CZ26">
        <v>39.51</v>
      </c>
      <c r="DA26">
        <v>0</v>
      </c>
      <c r="DB26">
        <v>150.09999990463299</v>
      </c>
      <c r="DC26">
        <v>260.54761538461503</v>
      </c>
      <c r="DD26">
        <v>-7.1200683615758402</v>
      </c>
      <c r="DE26">
        <v>-192.006837303879</v>
      </c>
      <c r="DF26">
        <v>8288.90846153846</v>
      </c>
      <c r="DG26">
        <v>15</v>
      </c>
      <c r="DH26">
        <v>1593112834.8</v>
      </c>
      <c r="DI26" t="s">
        <v>332</v>
      </c>
      <c r="DJ26">
        <v>91</v>
      </c>
      <c r="DK26">
        <v>-0.21199999999999999</v>
      </c>
      <c r="DL26">
        <v>0.10100000000000001</v>
      </c>
      <c r="DM26">
        <v>700</v>
      </c>
      <c r="DN26">
        <v>16</v>
      </c>
      <c r="DO26">
        <v>0.22</v>
      </c>
      <c r="DP26">
        <v>0.03</v>
      </c>
      <c r="DQ26">
        <v>-14.812870370370399</v>
      </c>
      <c r="DR26">
        <v>-0.80492532875930001</v>
      </c>
      <c r="DS26">
        <v>0.114411255645506</v>
      </c>
      <c r="DT26">
        <v>0</v>
      </c>
      <c r="DU26">
        <v>3.1157188888888898</v>
      </c>
      <c r="DV26">
        <v>6.2057861635214599E-3</v>
      </c>
      <c r="DW26">
        <v>9.9913726982363091E-3</v>
      </c>
      <c r="DX26">
        <v>1</v>
      </c>
      <c r="DY26">
        <v>1</v>
      </c>
      <c r="DZ26">
        <v>2</v>
      </c>
      <c r="EA26" t="s">
        <v>333</v>
      </c>
      <c r="EB26">
        <v>1.8666100000000001</v>
      </c>
      <c r="EC26">
        <v>1.8631</v>
      </c>
      <c r="ED26">
        <v>1.8687400000000001</v>
      </c>
      <c r="EE26">
        <v>1.8667100000000001</v>
      </c>
      <c r="EF26">
        <v>1.87134</v>
      </c>
      <c r="EG26">
        <v>1.86381</v>
      </c>
      <c r="EH26">
        <v>1.86524</v>
      </c>
      <c r="EI26">
        <v>1.8652299999999999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-0.21199999999999999</v>
      </c>
      <c r="EX26">
        <v>0.10100000000000001</v>
      </c>
      <c r="EY26">
        <v>2</v>
      </c>
      <c r="EZ26">
        <v>330.33699999999999</v>
      </c>
      <c r="FA26">
        <v>457.19499999999999</v>
      </c>
      <c r="FB26">
        <v>19.091100000000001</v>
      </c>
      <c r="FC26">
        <v>36.180100000000003</v>
      </c>
      <c r="FD26">
        <v>29.999700000000001</v>
      </c>
      <c r="FE26">
        <v>36.1845</v>
      </c>
      <c r="FF26">
        <v>36.174599999999998</v>
      </c>
      <c r="FG26">
        <v>34.611400000000003</v>
      </c>
      <c r="FH26">
        <v>39.473500000000001</v>
      </c>
      <c r="FI26">
        <v>0</v>
      </c>
      <c r="FJ26">
        <v>17.935199999999998</v>
      </c>
      <c r="FK26">
        <v>700</v>
      </c>
      <c r="FL26">
        <v>17.116700000000002</v>
      </c>
      <c r="FM26">
        <v>100.517</v>
      </c>
      <c r="FN26">
        <v>100.752</v>
      </c>
    </row>
    <row r="27" spans="1:170" x14ac:dyDescent="0.25">
      <c r="A27">
        <v>11</v>
      </c>
      <c r="B27">
        <v>1593113031.3</v>
      </c>
      <c r="C27">
        <v>1276.5999999046301</v>
      </c>
      <c r="D27" t="s">
        <v>334</v>
      </c>
      <c r="E27" t="s">
        <v>335</v>
      </c>
      <c r="G27">
        <v>1593113023.3</v>
      </c>
      <c r="H27">
        <f t="shared" si="0"/>
        <v>7.0786645542856401E-3</v>
      </c>
      <c r="I27">
        <f t="shared" si="1"/>
        <v>34.930717959218072</v>
      </c>
      <c r="J27">
        <f t="shared" si="2"/>
        <v>783.86509677419303</v>
      </c>
      <c r="K27">
        <f t="shared" si="3"/>
        <v>621.34992831448483</v>
      </c>
      <c r="L27">
        <f t="shared" si="4"/>
        <v>61.752809289658991</v>
      </c>
      <c r="M27">
        <f t="shared" si="5"/>
        <v>77.904365356934733</v>
      </c>
      <c r="N27">
        <f t="shared" si="6"/>
        <v>0.41575004023481499</v>
      </c>
      <c r="O27">
        <f t="shared" si="7"/>
        <v>3.380168579086491</v>
      </c>
      <c r="P27">
        <f t="shared" si="8"/>
        <v>0.38928730151649071</v>
      </c>
      <c r="Q27">
        <f t="shared" si="9"/>
        <v>0.24554163917156938</v>
      </c>
      <c r="R27">
        <f t="shared" si="10"/>
        <v>353.33908518911818</v>
      </c>
      <c r="S27">
        <f t="shared" si="11"/>
        <v>27.568755769707689</v>
      </c>
      <c r="T27">
        <f t="shared" si="12"/>
        <v>27.887019354838699</v>
      </c>
      <c r="U27">
        <f t="shared" si="13"/>
        <v>3.7699171059090082</v>
      </c>
      <c r="V27">
        <f t="shared" si="14"/>
        <v>55.142505510555331</v>
      </c>
      <c r="W27">
        <f t="shared" si="15"/>
        <v>2.015334983678577</v>
      </c>
      <c r="X27">
        <f t="shared" si="16"/>
        <v>3.6547758666729484</v>
      </c>
      <c r="Y27">
        <f t="shared" si="17"/>
        <v>1.7545821222304312</v>
      </c>
      <c r="Z27">
        <f t="shared" si="18"/>
        <v>-312.1691068439967</v>
      </c>
      <c r="AA27">
        <f t="shared" si="19"/>
        <v>-96.688585595826865</v>
      </c>
      <c r="AB27">
        <f t="shared" si="20"/>
        <v>-6.2116860538650966</v>
      </c>
      <c r="AC27">
        <f t="shared" si="21"/>
        <v>-61.73029330457048</v>
      </c>
      <c r="AD27">
        <v>-4.1140728603029898E-2</v>
      </c>
      <c r="AE27">
        <v>4.6184071982675198E-2</v>
      </c>
      <c r="AF27">
        <v>3.4523633495332602</v>
      </c>
      <c r="AG27">
        <v>145</v>
      </c>
      <c r="AH27">
        <v>29</v>
      </c>
      <c r="AI27">
        <f t="shared" si="22"/>
        <v>1</v>
      </c>
      <c r="AJ27">
        <f t="shared" si="23"/>
        <v>0</v>
      </c>
      <c r="AK27">
        <f t="shared" si="24"/>
        <v>52398.097914529426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336</v>
      </c>
      <c r="AS27">
        <v>256.28573076923101</v>
      </c>
      <c r="AT27">
        <v>322.93799999999999</v>
      </c>
      <c r="AU27">
        <f t="shared" si="27"/>
        <v>0.20639339201570883</v>
      </c>
      <c r="AV27">
        <v>0.5</v>
      </c>
      <c r="AW27">
        <f t="shared" si="28"/>
        <v>1849.1925664082742</v>
      </c>
      <c r="AX27">
        <f t="shared" si="29"/>
        <v>34.930717959218072</v>
      </c>
      <c r="AY27">
        <f t="shared" si="30"/>
        <v>190.8305631356188</v>
      </c>
      <c r="AZ27">
        <f t="shared" si="31"/>
        <v>0.44032600684961193</v>
      </c>
      <c r="BA27">
        <f t="shared" si="32"/>
        <v>1.9430490156580646E-2</v>
      </c>
      <c r="BB27">
        <f t="shared" si="33"/>
        <v>-1</v>
      </c>
      <c r="BC27" t="s">
        <v>337</v>
      </c>
      <c r="BD27">
        <v>180.74</v>
      </c>
      <c r="BE27">
        <f t="shared" si="34"/>
        <v>142.19799999999998</v>
      </c>
      <c r="BF27">
        <f t="shared" si="35"/>
        <v>0.46872859836825403</v>
      </c>
      <c r="BG27">
        <f t="shared" si="36"/>
        <v>1.7867544539116962</v>
      </c>
      <c r="BH27">
        <f t="shared" si="37"/>
        <v>0.20639339201570883</v>
      </c>
      <c r="BI27" t="e">
        <f t="shared" si="38"/>
        <v>#DIV/0!</v>
      </c>
      <c r="BJ27">
        <v>4101</v>
      </c>
      <c r="BK27">
        <v>300</v>
      </c>
      <c r="BL27">
        <v>300</v>
      </c>
      <c r="BM27">
        <v>300</v>
      </c>
      <c r="BN27">
        <v>9894.91</v>
      </c>
      <c r="BO27">
        <v>304.02699999999999</v>
      </c>
      <c r="BP27">
        <v>-6.4181400000000001E-3</v>
      </c>
      <c r="BQ27">
        <v>0.756104</v>
      </c>
      <c r="BR27">
        <f t="shared" si="39"/>
        <v>2200.00870967742</v>
      </c>
      <c r="BS27">
        <f t="shared" si="40"/>
        <v>1849.1925664082742</v>
      </c>
      <c r="BT27">
        <f t="shared" si="41"/>
        <v>0.84053874799405459</v>
      </c>
      <c r="BU27">
        <f t="shared" si="42"/>
        <v>0.19107749598810911</v>
      </c>
      <c r="BV27">
        <v>0.5</v>
      </c>
      <c r="BW27" t="s">
        <v>281</v>
      </c>
      <c r="BX27">
        <v>1593113023.3</v>
      </c>
      <c r="BY27">
        <v>783.86509677419303</v>
      </c>
      <c r="BZ27">
        <v>800.05487096774198</v>
      </c>
      <c r="CA27">
        <v>20.278077419354801</v>
      </c>
      <c r="CB27">
        <v>17.504370967741899</v>
      </c>
      <c r="CC27">
        <v>500.06177419354799</v>
      </c>
      <c r="CD27">
        <v>99.184935483871001</v>
      </c>
      <c r="CE27">
        <v>0.19997867741935499</v>
      </c>
      <c r="CF27">
        <v>27.356438709677398</v>
      </c>
      <c r="CG27">
        <v>27.887019354838699</v>
      </c>
      <c r="CH27">
        <v>999.9</v>
      </c>
      <c r="CI27">
        <v>10002.816129032301</v>
      </c>
      <c r="CJ27">
        <v>0</v>
      </c>
      <c r="CK27">
        <v>222.238709677419</v>
      </c>
      <c r="CL27">
        <v>2200.00870967742</v>
      </c>
      <c r="CM27">
        <v>0.98200238709677401</v>
      </c>
      <c r="CN27">
        <v>1.79979935483871E-2</v>
      </c>
      <c r="CO27">
        <v>0</v>
      </c>
      <c r="CP27">
        <v>256.323483870968</v>
      </c>
      <c r="CQ27">
        <v>5.00054</v>
      </c>
      <c r="CR27">
        <v>7539.1551612903204</v>
      </c>
      <c r="CS27">
        <v>20590.632258064499</v>
      </c>
      <c r="CT27">
        <v>48.128935483870997</v>
      </c>
      <c r="CU27">
        <v>48.8648387096774</v>
      </c>
      <c r="CV27">
        <v>48.098516129032198</v>
      </c>
      <c r="CW27">
        <v>48.582387096774198</v>
      </c>
      <c r="CX27">
        <v>49.664999999999999</v>
      </c>
      <c r="CY27">
        <v>2155.50225806452</v>
      </c>
      <c r="CZ27">
        <v>39.5083870967742</v>
      </c>
      <c r="DA27">
        <v>0</v>
      </c>
      <c r="DB27">
        <v>120.09999990463299</v>
      </c>
      <c r="DC27">
        <v>256.28573076923101</v>
      </c>
      <c r="DD27">
        <v>-3.1173675185594001</v>
      </c>
      <c r="DE27">
        <v>-19.341196427131301</v>
      </c>
      <c r="DF27">
        <v>7538.7773076923104</v>
      </c>
      <c r="DG27">
        <v>15</v>
      </c>
      <c r="DH27">
        <v>1593112995.3</v>
      </c>
      <c r="DI27" t="s">
        <v>338</v>
      </c>
      <c r="DJ27">
        <v>92</v>
      </c>
      <c r="DK27">
        <v>-0.35499999999999998</v>
      </c>
      <c r="DL27">
        <v>0.113</v>
      </c>
      <c r="DM27">
        <v>800</v>
      </c>
      <c r="DN27">
        <v>17</v>
      </c>
      <c r="DO27">
        <v>0.2</v>
      </c>
      <c r="DP27">
        <v>0.03</v>
      </c>
      <c r="DQ27">
        <v>-16.1976851851852</v>
      </c>
      <c r="DR27">
        <v>0.13963178959403599</v>
      </c>
      <c r="DS27">
        <v>8.7345765458230501E-2</v>
      </c>
      <c r="DT27">
        <v>1</v>
      </c>
      <c r="DU27">
        <v>2.7686085185185201</v>
      </c>
      <c r="DV27">
        <v>5.3810405946238697E-2</v>
      </c>
      <c r="DW27">
        <v>2.4903628726174399E-2</v>
      </c>
      <c r="DX27">
        <v>1</v>
      </c>
      <c r="DY27">
        <v>2</v>
      </c>
      <c r="DZ27">
        <v>2</v>
      </c>
      <c r="EA27" t="s">
        <v>283</v>
      </c>
      <c r="EB27">
        <v>1.8666100000000001</v>
      </c>
      <c r="EC27">
        <v>1.8631</v>
      </c>
      <c r="ED27">
        <v>1.8687400000000001</v>
      </c>
      <c r="EE27">
        <v>1.8666799999999999</v>
      </c>
      <c r="EF27">
        <v>1.87134</v>
      </c>
      <c r="EG27">
        <v>1.8637999999999999</v>
      </c>
      <c r="EH27">
        <v>1.8652500000000001</v>
      </c>
      <c r="EI27">
        <v>1.8652299999999999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-0.35499999999999998</v>
      </c>
      <c r="EX27">
        <v>0.113</v>
      </c>
      <c r="EY27">
        <v>2</v>
      </c>
      <c r="EZ27">
        <v>334.64</v>
      </c>
      <c r="FA27">
        <v>452.94600000000003</v>
      </c>
      <c r="FB27">
        <v>19.241</v>
      </c>
      <c r="FC27">
        <v>36.156599999999997</v>
      </c>
      <c r="FD27">
        <v>30.0002</v>
      </c>
      <c r="FE27">
        <v>36.085900000000002</v>
      </c>
      <c r="FF27">
        <v>36.066099999999999</v>
      </c>
      <c r="FG27">
        <v>38.638500000000001</v>
      </c>
      <c r="FH27">
        <v>38.3658</v>
      </c>
      <c r="FI27">
        <v>0</v>
      </c>
      <c r="FJ27">
        <v>18.0535</v>
      </c>
      <c r="FK27">
        <v>800</v>
      </c>
      <c r="FL27">
        <v>17.467300000000002</v>
      </c>
      <c r="FM27">
        <v>100.524</v>
      </c>
      <c r="FN27">
        <v>100.747</v>
      </c>
    </row>
    <row r="28" spans="1:170" x14ac:dyDescent="0.25">
      <c r="A28">
        <v>12</v>
      </c>
      <c r="B28">
        <v>1593113151.8</v>
      </c>
      <c r="C28">
        <v>1397.0999999046301</v>
      </c>
      <c r="D28" t="s">
        <v>339</v>
      </c>
      <c r="E28" t="s">
        <v>340</v>
      </c>
      <c r="G28">
        <v>1593113143.8</v>
      </c>
      <c r="H28">
        <f t="shared" si="0"/>
        <v>6.580364989387421E-3</v>
      </c>
      <c r="I28">
        <f t="shared" si="1"/>
        <v>35.917897669651744</v>
      </c>
      <c r="J28">
        <f t="shared" si="2"/>
        <v>983.03887096774201</v>
      </c>
      <c r="K28">
        <f t="shared" si="3"/>
        <v>806.11519834969442</v>
      </c>
      <c r="L28">
        <f t="shared" si="4"/>
        <v>80.117633361842877</v>
      </c>
      <c r="M28">
        <f t="shared" si="5"/>
        <v>97.701603946769666</v>
      </c>
      <c r="N28">
        <f t="shared" si="6"/>
        <v>0.39921453954233688</v>
      </c>
      <c r="O28">
        <f t="shared" si="7"/>
        <v>3.3787635229716169</v>
      </c>
      <c r="P28">
        <f t="shared" si="8"/>
        <v>0.37473897759825892</v>
      </c>
      <c r="Q28">
        <f t="shared" si="9"/>
        <v>0.23628574090862281</v>
      </c>
      <c r="R28">
        <f t="shared" si="10"/>
        <v>353.34139348004931</v>
      </c>
      <c r="S28">
        <f t="shared" si="11"/>
        <v>27.168732137814743</v>
      </c>
      <c r="T28">
        <f t="shared" si="12"/>
        <v>27.395051612903199</v>
      </c>
      <c r="U28">
        <f t="shared" si="13"/>
        <v>3.6630504399265176</v>
      </c>
      <c r="V28">
        <f t="shared" si="14"/>
        <v>55.474159544849201</v>
      </c>
      <c r="W28">
        <f t="shared" si="15"/>
        <v>1.9672563640630851</v>
      </c>
      <c r="X28">
        <f t="shared" si="16"/>
        <v>3.5462571766817255</v>
      </c>
      <c r="Y28">
        <f t="shared" si="17"/>
        <v>1.6957940758634324</v>
      </c>
      <c r="Z28">
        <f t="shared" si="18"/>
        <v>-290.19409603198528</v>
      </c>
      <c r="AA28">
        <f t="shared" si="19"/>
        <v>-100.58707505532078</v>
      </c>
      <c r="AB28">
        <f t="shared" si="20"/>
        <v>-6.4324469494776801</v>
      </c>
      <c r="AC28">
        <f t="shared" si="21"/>
        <v>-43.872224556734466</v>
      </c>
      <c r="AD28">
        <v>-4.1119006967602303E-2</v>
      </c>
      <c r="AE28">
        <v>4.6159687543988102E-2</v>
      </c>
      <c r="AF28">
        <v>3.45092017575405</v>
      </c>
      <c r="AG28">
        <v>143</v>
      </c>
      <c r="AH28">
        <v>29</v>
      </c>
      <c r="AI28">
        <f t="shared" si="22"/>
        <v>1</v>
      </c>
      <c r="AJ28">
        <f t="shared" si="23"/>
        <v>0</v>
      </c>
      <c r="AK28">
        <f t="shared" si="24"/>
        <v>52461.320242781978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341</v>
      </c>
      <c r="AS28">
        <v>253.755576923077</v>
      </c>
      <c r="AT28">
        <v>316.173</v>
      </c>
      <c r="AU28">
        <f t="shared" si="27"/>
        <v>0.19741541205897717</v>
      </c>
      <c r="AV28">
        <v>0.5</v>
      </c>
      <c r="AW28">
        <f t="shared" si="28"/>
        <v>1849.2042684937753</v>
      </c>
      <c r="AX28">
        <f t="shared" si="29"/>
        <v>35.917897669651744</v>
      </c>
      <c r="AY28">
        <f t="shared" si="30"/>
        <v>182.53071132295906</v>
      </c>
      <c r="AZ28">
        <f t="shared" si="31"/>
        <v>0.43923105388505657</v>
      </c>
      <c r="BA28">
        <f t="shared" si="32"/>
        <v>1.9964207469476764E-2</v>
      </c>
      <c r="BB28">
        <f t="shared" si="33"/>
        <v>-1</v>
      </c>
      <c r="BC28" t="s">
        <v>342</v>
      </c>
      <c r="BD28">
        <v>177.3</v>
      </c>
      <c r="BE28">
        <f t="shared" si="34"/>
        <v>138.87299999999999</v>
      </c>
      <c r="BF28">
        <f t="shared" si="35"/>
        <v>0.44945686401908941</v>
      </c>
      <c r="BG28">
        <f t="shared" si="36"/>
        <v>1.7832656514382401</v>
      </c>
      <c r="BH28">
        <f t="shared" si="37"/>
        <v>0.1974154120589772</v>
      </c>
      <c r="BI28" t="e">
        <f t="shared" si="38"/>
        <v>#DIV/0!</v>
      </c>
      <c r="BJ28">
        <v>4103</v>
      </c>
      <c r="BK28">
        <v>300</v>
      </c>
      <c r="BL28">
        <v>300</v>
      </c>
      <c r="BM28">
        <v>300</v>
      </c>
      <c r="BN28">
        <v>9895.8700000000008</v>
      </c>
      <c r="BO28">
        <v>297.96300000000002</v>
      </c>
      <c r="BP28">
        <v>-6.41904E-3</v>
      </c>
      <c r="BQ28">
        <v>0.38717699999999999</v>
      </c>
      <c r="BR28">
        <f t="shared" si="39"/>
        <v>2200.0225806451599</v>
      </c>
      <c r="BS28">
        <f t="shared" si="40"/>
        <v>1849.2042684937753</v>
      </c>
      <c r="BT28">
        <f t="shared" si="41"/>
        <v>0.84053876753914658</v>
      </c>
      <c r="BU28">
        <f t="shared" si="42"/>
        <v>0.19107753507829342</v>
      </c>
      <c r="BV28">
        <v>0.5</v>
      </c>
      <c r="BW28" t="s">
        <v>281</v>
      </c>
      <c r="BX28">
        <v>1593113143.8</v>
      </c>
      <c r="BY28">
        <v>983.03887096774201</v>
      </c>
      <c r="BZ28">
        <v>999.99138709677402</v>
      </c>
      <c r="CA28">
        <v>19.793835483871</v>
      </c>
      <c r="CB28">
        <v>17.214116129032298</v>
      </c>
      <c r="CC28">
        <v>500.06325806451599</v>
      </c>
      <c r="CD28">
        <v>99.187329032258106</v>
      </c>
      <c r="CE28">
        <v>0.19999616129032299</v>
      </c>
      <c r="CF28">
        <v>26.842848387096801</v>
      </c>
      <c r="CG28">
        <v>27.395051612903199</v>
      </c>
      <c r="CH28">
        <v>999.9</v>
      </c>
      <c r="CI28">
        <v>9997.2935483871006</v>
      </c>
      <c r="CJ28">
        <v>0</v>
      </c>
      <c r="CK28">
        <v>230.68096774193501</v>
      </c>
      <c r="CL28">
        <v>2200.0225806451599</v>
      </c>
      <c r="CM28">
        <v>0.98199987096774199</v>
      </c>
      <c r="CN28">
        <v>1.7999890322580599E-2</v>
      </c>
      <c r="CO28">
        <v>0</v>
      </c>
      <c r="CP28">
        <v>253.767516129032</v>
      </c>
      <c r="CQ28">
        <v>5.00054</v>
      </c>
      <c r="CR28">
        <v>7477.1219354838704</v>
      </c>
      <c r="CS28">
        <v>20590.751612903201</v>
      </c>
      <c r="CT28">
        <v>47.723580645161299</v>
      </c>
      <c r="CU28">
        <v>48.362806451612897</v>
      </c>
      <c r="CV28">
        <v>47.664999999999999</v>
      </c>
      <c r="CW28">
        <v>47.896967741935498</v>
      </c>
      <c r="CX28">
        <v>49.211322580645103</v>
      </c>
      <c r="CY28">
        <v>2155.5106451612901</v>
      </c>
      <c r="CZ28">
        <v>39.51</v>
      </c>
      <c r="DA28">
        <v>0</v>
      </c>
      <c r="DB28">
        <v>120</v>
      </c>
      <c r="DC28">
        <v>253.755576923077</v>
      </c>
      <c r="DD28">
        <v>-2.0312136735365498</v>
      </c>
      <c r="DE28">
        <v>-47.8023931207115</v>
      </c>
      <c r="DF28">
        <v>7476.3176923076899</v>
      </c>
      <c r="DG28">
        <v>15</v>
      </c>
      <c r="DH28">
        <v>1593113103.8</v>
      </c>
      <c r="DI28" t="s">
        <v>343</v>
      </c>
      <c r="DJ28">
        <v>93</v>
      </c>
      <c r="DK28">
        <v>-0.11</v>
      </c>
      <c r="DL28">
        <v>0.113</v>
      </c>
      <c r="DM28">
        <v>1000</v>
      </c>
      <c r="DN28">
        <v>17</v>
      </c>
      <c r="DO28">
        <v>0.28000000000000003</v>
      </c>
      <c r="DP28">
        <v>0.03</v>
      </c>
      <c r="DQ28">
        <v>-17.0107111111111</v>
      </c>
      <c r="DR28">
        <v>0.48819576901089301</v>
      </c>
      <c r="DS28">
        <v>9.7982505367155595E-2</v>
      </c>
      <c r="DT28">
        <v>1</v>
      </c>
      <c r="DU28">
        <v>2.5917633333333301</v>
      </c>
      <c r="DV28">
        <v>-9.9866346483660107E-2</v>
      </c>
      <c r="DW28">
        <v>2.67141416981094E-2</v>
      </c>
      <c r="DX28">
        <v>1</v>
      </c>
      <c r="DY28">
        <v>2</v>
      </c>
      <c r="DZ28">
        <v>2</v>
      </c>
      <c r="EA28" t="s">
        <v>283</v>
      </c>
      <c r="EB28">
        <v>1.8666100000000001</v>
      </c>
      <c r="EC28">
        <v>1.86311</v>
      </c>
      <c r="ED28">
        <v>1.8687400000000001</v>
      </c>
      <c r="EE28">
        <v>1.8667100000000001</v>
      </c>
      <c r="EF28">
        <v>1.8713500000000001</v>
      </c>
      <c r="EG28">
        <v>1.8637999999999999</v>
      </c>
      <c r="EH28">
        <v>1.86524</v>
      </c>
      <c r="EI28">
        <v>1.8652299999999999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-0.11</v>
      </c>
      <c r="EX28">
        <v>0.113</v>
      </c>
      <c r="EY28">
        <v>2</v>
      </c>
      <c r="EZ28">
        <v>336.62900000000002</v>
      </c>
      <c r="FA28">
        <v>452.26</v>
      </c>
      <c r="FB28">
        <v>18.7485</v>
      </c>
      <c r="FC28">
        <v>36.149799999999999</v>
      </c>
      <c r="FD28">
        <v>30.0002</v>
      </c>
      <c r="FE28">
        <v>36.046199999999999</v>
      </c>
      <c r="FF28">
        <v>36.024099999999997</v>
      </c>
      <c r="FG28">
        <v>46.355200000000004</v>
      </c>
      <c r="FH28">
        <v>39.374099999999999</v>
      </c>
      <c r="FI28">
        <v>0</v>
      </c>
      <c r="FJ28">
        <v>17.7044</v>
      </c>
      <c r="FK28">
        <v>1000</v>
      </c>
      <c r="FL28">
        <v>17.077200000000001</v>
      </c>
      <c r="FM28">
        <v>100.523</v>
      </c>
      <c r="FN28">
        <v>100.748</v>
      </c>
    </row>
    <row r="29" spans="1:170" x14ac:dyDescent="0.25">
      <c r="A29">
        <v>13</v>
      </c>
      <c r="B29">
        <v>1593113273.8</v>
      </c>
      <c r="C29">
        <v>1519.0999999046301</v>
      </c>
      <c r="D29" t="s">
        <v>344</v>
      </c>
      <c r="E29" t="s">
        <v>345</v>
      </c>
      <c r="G29">
        <v>1593113265.8</v>
      </c>
      <c r="H29">
        <f t="shared" si="0"/>
        <v>6.1740855153035266E-3</v>
      </c>
      <c r="I29">
        <f t="shared" si="1"/>
        <v>36.009697071119788</v>
      </c>
      <c r="J29">
        <f t="shared" si="2"/>
        <v>1182.72580645161</v>
      </c>
      <c r="K29">
        <f t="shared" si="3"/>
        <v>991.67461219302072</v>
      </c>
      <c r="L29">
        <f t="shared" si="4"/>
        <v>98.561262908806356</v>
      </c>
      <c r="M29">
        <f t="shared" si="5"/>
        <v>117.54959512467346</v>
      </c>
      <c r="N29">
        <f t="shared" si="6"/>
        <v>0.37668155518500362</v>
      </c>
      <c r="O29">
        <f t="shared" si="7"/>
        <v>3.3790735800699396</v>
      </c>
      <c r="P29">
        <f t="shared" si="8"/>
        <v>0.35481164026359485</v>
      </c>
      <c r="Q29">
        <f t="shared" si="9"/>
        <v>0.22361631551963423</v>
      </c>
      <c r="R29">
        <f t="shared" si="10"/>
        <v>353.33488097908361</v>
      </c>
      <c r="S29">
        <f t="shared" si="11"/>
        <v>26.911729894564292</v>
      </c>
      <c r="T29">
        <f t="shared" si="12"/>
        <v>27.1223322580645</v>
      </c>
      <c r="U29">
        <f t="shared" si="13"/>
        <v>3.6049562977683216</v>
      </c>
      <c r="V29">
        <f t="shared" si="14"/>
        <v>55.370604316962321</v>
      </c>
      <c r="W29">
        <f t="shared" si="15"/>
        <v>1.923592225242833</v>
      </c>
      <c r="X29">
        <f t="shared" si="16"/>
        <v>3.4740314810932209</v>
      </c>
      <c r="Y29">
        <f t="shared" si="17"/>
        <v>1.6813640725254886</v>
      </c>
      <c r="Z29">
        <f t="shared" si="18"/>
        <v>-272.27717122488554</v>
      </c>
      <c r="AA29">
        <f t="shared" si="19"/>
        <v>-114.58069820389179</v>
      </c>
      <c r="AB29">
        <f t="shared" si="20"/>
        <v>-7.3038945457065108</v>
      </c>
      <c r="AC29">
        <f t="shared" si="21"/>
        <v>-40.826882995400211</v>
      </c>
      <c r="AD29">
        <v>-4.1123799985157701E-2</v>
      </c>
      <c r="AE29">
        <v>4.6165068126085299E-2</v>
      </c>
      <c r="AF29">
        <v>3.4512386437583999</v>
      </c>
      <c r="AG29">
        <v>143</v>
      </c>
      <c r="AH29">
        <v>29</v>
      </c>
      <c r="AI29">
        <f t="shared" si="22"/>
        <v>1</v>
      </c>
      <c r="AJ29">
        <f t="shared" si="23"/>
        <v>0</v>
      </c>
      <c r="AK29">
        <f t="shared" si="24"/>
        <v>52528.441198484041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346</v>
      </c>
      <c r="AS29">
        <v>252.53615384615401</v>
      </c>
      <c r="AT29">
        <v>310.25</v>
      </c>
      <c r="AU29">
        <f t="shared" si="27"/>
        <v>0.18602367817516841</v>
      </c>
      <c r="AV29">
        <v>0.5</v>
      </c>
      <c r="AW29">
        <f t="shared" si="28"/>
        <v>1849.1698694392267</v>
      </c>
      <c r="AX29">
        <f t="shared" si="29"/>
        <v>36.009697071119788</v>
      </c>
      <c r="AY29">
        <f t="shared" si="30"/>
        <v>171.99469034189045</v>
      </c>
      <c r="AZ29">
        <f t="shared" si="31"/>
        <v>0.42781627719580978</v>
      </c>
      <c r="BA29">
        <f t="shared" si="32"/>
        <v>2.0014222426381643E-2</v>
      </c>
      <c r="BB29">
        <f t="shared" si="33"/>
        <v>-1</v>
      </c>
      <c r="BC29" t="s">
        <v>347</v>
      </c>
      <c r="BD29">
        <v>177.52</v>
      </c>
      <c r="BE29">
        <f t="shared" si="34"/>
        <v>132.72999999999999</v>
      </c>
      <c r="BF29">
        <f t="shared" si="35"/>
        <v>0.43482141304788668</v>
      </c>
      <c r="BG29">
        <f t="shared" si="36"/>
        <v>1.7476904010815681</v>
      </c>
      <c r="BH29">
        <f t="shared" si="37"/>
        <v>0.18602367817516838</v>
      </c>
      <c r="BI29" t="e">
        <f t="shared" si="38"/>
        <v>#DIV/0!</v>
      </c>
      <c r="BJ29">
        <v>4105</v>
      </c>
      <c r="BK29">
        <v>300</v>
      </c>
      <c r="BL29">
        <v>300</v>
      </c>
      <c r="BM29">
        <v>300</v>
      </c>
      <c r="BN29">
        <v>9897.32</v>
      </c>
      <c r="BO29">
        <v>294.78899999999999</v>
      </c>
      <c r="BP29">
        <v>-6.4202399999999998E-3</v>
      </c>
      <c r="BQ29">
        <v>0.84622200000000003</v>
      </c>
      <c r="BR29">
        <f t="shared" si="39"/>
        <v>2199.9816129032301</v>
      </c>
      <c r="BS29">
        <f t="shared" si="40"/>
        <v>1849.1698694392267</v>
      </c>
      <c r="BT29">
        <f t="shared" si="41"/>
        <v>0.84053878386690206</v>
      </c>
      <c r="BU29">
        <f t="shared" si="42"/>
        <v>0.19107756773380416</v>
      </c>
      <c r="BV29">
        <v>0.5</v>
      </c>
      <c r="BW29" t="s">
        <v>281</v>
      </c>
      <c r="BX29">
        <v>1593113265.8</v>
      </c>
      <c r="BY29">
        <v>1182.72580645161</v>
      </c>
      <c r="BZ29">
        <v>1200.0483870967701</v>
      </c>
      <c r="CA29">
        <v>19.354232258064499</v>
      </c>
      <c r="CB29">
        <v>16.932703225806399</v>
      </c>
      <c r="CC29">
        <v>500.06345161290301</v>
      </c>
      <c r="CD29">
        <v>99.188745161290299</v>
      </c>
      <c r="CE29">
        <v>0.19996732258064501</v>
      </c>
      <c r="CF29">
        <v>26.493364516128999</v>
      </c>
      <c r="CG29">
        <v>27.1223322580645</v>
      </c>
      <c r="CH29">
        <v>999.9</v>
      </c>
      <c r="CI29">
        <v>9998.3161290322605</v>
      </c>
      <c r="CJ29">
        <v>0</v>
      </c>
      <c r="CK29">
        <v>221.13470967741901</v>
      </c>
      <c r="CL29">
        <v>2199.9816129032301</v>
      </c>
      <c r="CM29">
        <v>0.98199725806451599</v>
      </c>
      <c r="CN29">
        <v>1.80023290322581E-2</v>
      </c>
      <c r="CO29">
        <v>0</v>
      </c>
      <c r="CP29">
        <v>252.53519354838701</v>
      </c>
      <c r="CQ29">
        <v>5.00054</v>
      </c>
      <c r="CR29">
        <v>7391.6883870967704</v>
      </c>
      <c r="CS29">
        <v>20590.335483871</v>
      </c>
      <c r="CT29">
        <v>47.247806451612902</v>
      </c>
      <c r="CU29">
        <v>47.933387096774197</v>
      </c>
      <c r="CV29">
        <v>47.2033870967742</v>
      </c>
      <c r="CW29">
        <v>47.366806451612902</v>
      </c>
      <c r="CX29">
        <v>48.733612903225797</v>
      </c>
      <c r="CY29">
        <v>2155.4616129032302</v>
      </c>
      <c r="CZ29">
        <v>39.510322580645202</v>
      </c>
      <c r="DA29">
        <v>0</v>
      </c>
      <c r="DB29">
        <v>121.200000047684</v>
      </c>
      <c r="DC29">
        <v>252.53615384615401</v>
      </c>
      <c r="DD29">
        <v>-0.975452993235428</v>
      </c>
      <c r="DE29">
        <v>-51.933333435071603</v>
      </c>
      <c r="DF29">
        <v>7391.3665384615397</v>
      </c>
      <c r="DG29">
        <v>15</v>
      </c>
      <c r="DH29">
        <v>1593113210.3</v>
      </c>
      <c r="DI29" t="s">
        <v>348</v>
      </c>
      <c r="DJ29">
        <v>94</v>
      </c>
      <c r="DK29">
        <v>0</v>
      </c>
      <c r="DL29">
        <v>0.107</v>
      </c>
      <c r="DM29">
        <v>1200</v>
      </c>
      <c r="DN29">
        <v>17</v>
      </c>
      <c r="DO29">
        <v>0.14000000000000001</v>
      </c>
      <c r="DP29">
        <v>0.03</v>
      </c>
      <c r="DQ29">
        <v>-17.328935185185198</v>
      </c>
      <c r="DR29">
        <v>-0.17528690680384601</v>
      </c>
      <c r="DS29">
        <v>0.12774529223391601</v>
      </c>
      <c r="DT29">
        <v>1</v>
      </c>
      <c r="DU29">
        <v>2.4109870370370401</v>
      </c>
      <c r="DV29">
        <v>8.8787741566606806E-2</v>
      </c>
      <c r="DW29">
        <v>2.4335654655610699E-2</v>
      </c>
      <c r="DX29">
        <v>1</v>
      </c>
      <c r="DY29">
        <v>2</v>
      </c>
      <c r="DZ29">
        <v>2</v>
      </c>
      <c r="EA29" t="s">
        <v>283</v>
      </c>
      <c r="EB29">
        <v>1.8666100000000001</v>
      </c>
      <c r="EC29">
        <v>1.8631</v>
      </c>
      <c r="ED29">
        <v>1.86873</v>
      </c>
      <c r="EE29">
        <v>1.86669</v>
      </c>
      <c r="EF29">
        <v>1.8713599999999999</v>
      </c>
      <c r="EG29">
        <v>1.86382</v>
      </c>
      <c r="EH29">
        <v>1.8652299999999999</v>
      </c>
      <c r="EI29">
        <v>1.8652299999999999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0</v>
      </c>
      <c r="EX29">
        <v>0.107</v>
      </c>
      <c r="EY29">
        <v>2</v>
      </c>
      <c r="EZ29">
        <v>337.11599999999999</v>
      </c>
      <c r="FA29">
        <v>452.62700000000001</v>
      </c>
      <c r="FB29">
        <v>18.433800000000002</v>
      </c>
      <c r="FC29">
        <v>36.105499999999999</v>
      </c>
      <c r="FD29">
        <v>29.9998</v>
      </c>
      <c r="FE29">
        <v>36.003700000000002</v>
      </c>
      <c r="FF29">
        <v>35.978900000000003</v>
      </c>
      <c r="FG29">
        <v>53.733699999999999</v>
      </c>
      <c r="FH29">
        <v>39.656199999999998</v>
      </c>
      <c r="FI29">
        <v>0</v>
      </c>
      <c r="FJ29">
        <v>17.341200000000001</v>
      </c>
      <c r="FK29">
        <v>1200</v>
      </c>
      <c r="FL29">
        <v>16.934200000000001</v>
      </c>
      <c r="FM29">
        <v>100.53</v>
      </c>
      <c r="FN29">
        <v>100.75700000000001</v>
      </c>
    </row>
    <row r="30" spans="1:170" x14ac:dyDescent="0.25">
      <c r="A30">
        <v>14</v>
      </c>
      <c r="B30">
        <v>1593113394.3</v>
      </c>
      <c r="C30">
        <v>1639.5999999046301</v>
      </c>
      <c r="D30" t="s">
        <v>349</v>
      </c>
      <c r="E30" t="s">
        <v>350</v>
      </c>
      <c r="G30">
        <v>1593113386.3</v>
      </c>
      <c r="H30">
        <f t="shared" si="0"/>
        <v>5.8864359810166583E-3</v>
      </c>
      <c r="I30">
        <f t="shared" si="1"/>
        <v>36.658858065819445</v>
      </c>
      <c r="J30">
        <f t="shared" si="2"/>
        <v>1581.63032258064</v>
      </c>
      <c r="K30">
        <f t="shared" si="3"/>
        <v>1370.0152723701815</v>
      </c>
      <c r="L30">
        <f t="shared" si="4"/>
        <v>136.15753591338657</v>
      </c>
      <c r="M30">
        <f t="shared" si="5"/>
        <v>157.18867649986777</v>
      </c>
      <c r="N30">
        <f t="shared" si="6"/>
        <v>0.36015926585389374</v>
      </c>
      <c r="O30">
        <f t="shared" si="7"/>
        <v>3.3819254857441781</v>
      </c>
      <c r="P30">
        <f t="shared" si="8"/>
        <v>0.34012691447960225</v>
      </c>
      <c r="Q30">
        <f t="shared" si="9"/>
        <v>0.21428624494044754</v>
      </c>
      <c r="R30">
        <f t="shared" si="10"/>
        <v>353.33865854397891</v>
      </c>
      <c r="S30">
        <f t="shared" si="11"/>
        <v>26.772588299975606</v>
      </c>
      <c r="T30">
        <f t="shared" si="12"/>
        <v>26.9608806451613</v>
      </c>
      <c r="U30">
        <f t="shared" si="13"/>
        <v>3.5709445412312304</v>
      </c>
      <c r="V30">
        <f t="shared" si="14"/>
        <v>55.304482631051229</v>
      </c>
      <c r="W30">
        <f t="shared" si="15"/>
        <v>1.8982742521653597</v>
      </c>
      <c r="X30">
        <f t="shared" si="16"/>
        <v>3.4324057686773393</v>
      </c>
      <c r="Y30">
        <f t="shared" si="17"/>
        <v>1.6726702890658707</v>
      </c>
      <c r="Z30">
        <f t="shared" si="18"/>
        <v>-259.59182676283461</v>
      </c>
      <c r="AA30">
        <f t="shared" si="19"/>
        <v>-122.49155840436232</v>
      </c>
      <c r="AB30">
        <f t="shared" si="20"/>
        <v>-7.7873174669040921</v>
      </c>
      <c r="AC30">
        <f t="shared" si="21"/>
        <v>-36.532044090122113</v>
      </c>
      <c r="AD30">
        <v>-4.11678954070289E-2</v>
      </c>
      <c r="AE30">
        <v>4.6214569100106899E-2</v>
      </c>
      <c r="AF30">
        <v>3.4541679291720802</v>
      </c>
      <c r="AG30">
        <v>139</v>
      </c>
      <c r="AH30">
        <v>28</v>
      </c>
      <c r="AI30">
        <f t="shared" si="22"/>
        <v>1</v>
      </c>
      <c r="AJ30">
        <f t="shared" si="23"/>
        <v>0</v>
      </c>
      <c r="AK30">
        <f t="shared" si="24"/>
        <v>52618.248405977916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351</v>
      </c>
      <c r="AS30">
        <v>252.08676923076899</v>
      </c>
      <c r="AT30">
        <v>307.98</v>
      </c>
      <c r="AU30">
        <f t="shared" si="27"/>
        <v>0.18148331310225019</v>
      </c>
      <c r="AV30">
        <v>0.5</v>
      </c>
      <c r="AW30">
        <f t="shared" si="28"/>
        <v>1849.1872256892816</v>
      </c>
      <c r="AX30">
        <f t="shared" si="29"/>
        <v>36.658858065819445</v>
      </c>
      <c r="AY30">
        <f t="shared" si="30"/>
        <v>167.79831213222462</v>
      </c>
      <c r="AZ30">
        <f t="shared" si="31"/>
        <v>0.42470290278589518</v>
      </c>
      <c r="BA30">
        <f t="shared" si="32"/>
        <v>2.0365086640581873E-2</v>
      </c>
      <c r="BB30">
        <f t="shared" si="33"/>
        <v>-1</v>
      </c>
      <c r="BC30" t="s">
        <v>352</v>
      </c>
      <c r="BD30">
        <v>177.18</v>
      </c>
      <c r="BE30">
        <f t="shared" si="34"/>
        <v>130.80000000000001</v>
      </c>
      <c r="BF30">
        <f t="shared" si="35"/>
        <v>0.42731827805222494</v>
      </c>
      <c r="BG30">
        <f t="shared" si="36"/>
        <v>1.7382323061293601</v>
      </c>
      <c r="BH30">
        <f t="shared" si="37"/>
        <v>0.18148331310225022</v>
      </c>
      <c r="BI30" t="e">
        <f t="shared" si="38"/>
        <v>#DIV/0!</v>
      </c>
      <c r="BJ30">
        <v>4107</v>
      </c>
      <c r="BK30">
        <v>300</v>
      </c>
      <c r="BL30">
        <v>300</v>
      </c>
      <c r="BM30">
        <v>300</v>
      </c>
      <c r="BN30">
        <v>9898.77</v>
      </c>
      <c r="BO30">
        <v>291.71600000000001</v>
      </c>
      <c r="BP30">
        <v>-6.4213200000000003E-3</v>
      </c>
      <c r="BQ30">
        <v>0.64114400000000005</v>
      </c>
      <c r="BR30">
        <f t="shared" si="39"/>
        <v>2200.0019354838701</v>
      </c>
      <c r="BS30">
        <f t="shared" si="40"/>
        <v>1849.1872256892816</v>
      </c>
      <c r="BT30">
        <f t="shared" si="41"/>
        <v>0.84053890856353719</v>
      </c>
      <c r="BU30">
        <f t="shared" si="42"/>
        <v>0.19107781712707456</v>
      </c>
      <c r="BV30">
        <v>0.5</v>
      </c>
      <c r="BW30" t="s">
        <v>281</v>
      </c>
      <c r="BX30">
        <v>1593113386.3</v>
      </c>
      <c r="BY30">
        <v>1581.63032258064</v>
      </c>
      <c r="BZ30">
        <v>1600.01548387097</v>
      </c>
      <c r="CA30">
        <v>19.1004096774194</v>
      </c>
      <c r="CB30">
        <v>16.7911161290323</v>
      </c>
      <c r="CC30">
        <v>500.06658064516103</v>
      </c>
      <c r="CD30">
        <v>99.183970967741899</v>
      </c>
      <c r="CE30">
        <v>0.19998383870967701</v>
      </c>
      <c r="CF30">
        <v>26.289054838709699</v>
      </c>
      <c r="CG30">
        <v>26.9608806451613</v>
      </c>
      <c r="CH30">
        <v>999.9</v>
      </c>
      <c r="CI30">
        <v>10009.518709677401</v>
      </c>
      <c r="CJ30">
        <v>0</v>
      </c>
      <c r="CK30">
        <v>217.50964516129</v>
      </c>
      <c r="CL30">
        <v>2200.0019354838701</v>
      </c>
      <c r="CM30">
        <v>0.98199532258064504</v>
      </c>
      <c r="CN30">
        <v>1.8004361290322599E-2</v>
      </c>
      <c r="CO30">
        <v>0</v>
      </c>
      <c r="CP30">
        <v>252.075774193548</v>
      </c>
      <c r="CQ30">
        <v>5.00054</v>
      </c>
      <c r="CR30">
        <v>7356.15258064516</v>
      </c>
      <c r="CS30">
        <v>20590.532258064501</v>
      </c>
      <c r="CT30">
        <v>46.8546451612903</v>
      </c>
      <c r="CU30">
        <v>47.54</v>
      </c>
      <c r="CV30">
        <v>46.798064516129003</v>
      </c>
      <c r="CW30">
        <v>46.9048709677419</v>
      </c>
      <c r="CX30">
        <v>48.286064516129002</v>
      </c>
      <c r="CY30">
        <v>2155.4816129032301</v>
      </c>
      <c r="CZ30">
        <v>39.520000000000003</v>
      </c>
      <c r="DA30">
        <v>0</v>
      </c>
      <c r="DB30">
        <v>119.700000047684</v>
      </c>
      <c r="DC30">
        <v>252.08676923076899</v>
      </c>
      <c r="DD30">
        <v>-1.23712820572044</v>
      </c>
      <c r="DE30">
        <v>-69.474530011483694</v>
      </c>
      <c r="DF30">
        <v>7355.8519230769198</v>
      </c>
      <c r="DG30">
        <v>15</v>
      </c>
      <c r="DH30">
        <v>1593113342.3</v>
      </c>
      <c r="DI30" t="s">
        <v>353</v>
      </c>
      <c r="DJ30">
        <v>95</v>
      </c>
      <c r="DK30">
        <v>-0.28299999999999997</v>
      </c>
      <c r="DL30">
        <v>0.105</v>
      </c>
      <c r="DM30">
        <v>1601</v>
      </c>
      <c r="DN30">
        <v>17</v>
      </c>
      <c r="DO30">
        <v>0.35</v>
      </c>
      <c r="DP30">
        <v>0.04</v>
      </c>
      <c r="DQ30">
        <v>-18.423331481481501</v>
      </c>
      <c r="DR30">
        <v>0.53733333333336997</v>
      </c>
      <c r="DS30">
        <v>0.18677087351645999</v>
      </c>
      <c r="DT30">
        <v>0</v>
      </c>
      <c r="DU30">
        <v>2.3122061111111099</v>
      </c>
      <c r="DV30">
        <v>-2.2233916523728199E-2</v>
      </c>
      <c r="DW30">
        <v>1.18184091203428E-2</v>
      </c>
      <c r="DX30">
        <v>1</v>
      </c>
      <c r="DY30">
        <v>1</v>
      </c>
      <c r="DZ30">
        <v>2</v>
      </c>
      <c r="EA30" t="s">
        <v>333</v>
      </c>
      <c r="EB30">
        <v>1.86663</v>
      </c>
      <c r="EC30">
        <v>1.8631200000000001</v>
      </c>
      <c r="ED30">
        <v>1.8687400000000001</v>
      </c>
      <c r="EE30">
        <v>1.86676</v>
      </c>
      <c r="EF30">
        <v>1.8713900000000001</v>
      </c>
      <c r="EG30">
        <v>1.86385</v>
      </c>
      <c r="EH30">
        <v>1.8652599999999999</v>
      </c>
      <c r="EI30">
        <v>1.8652299999999999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-0.28299999999999997</v>
      </c>
      <c r="EX30">
        <v>0.105</v>
      </c>
      <c r="EY30">
        <v>2</v>
      </c>
      <c r="EZ30">
        <v>340.89699999999999</v>
      </c>
      <c r="FA30">
        <v>453.31400000000002</v>
      </c>
      <c r="FB30">
        <v>18.888000000000002</v>
      </c>
      <c r="FC30">
        <v>35.988900000000001</v>
      </c>
      <c r="FD30">
        <v>29.999500000000001</v>
      </c>
      <c r="FE30">
        <v>35.926699999999997</v>
      </c>
      <c r="FF30">
        <v>35.905000000000001</v>
      </c>
      <c r="FG30">
        <v>67.665199999999999</v>
      </c>
      <c r="FH30">
        <v>39.809100000000001</v>
      </c>
      <c r="FI30">
        <v>0</v>
      </c>
      <c r="FJ30">
        <v>18.909800000000001</v>
      </c>
      <c r="FK30">
        <v>1600</v>
      </c>
      <c r="FL30">
        <v>16.7807</v>
      </c>
      <c r="FM30">
        <v>100.547</v>
      </c>
      <c r="FN30">
        <v>100.78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2020-06-25T14:35:46Z</dcterms:created>
  <dcterms:modified xsi:type="dcterms:W3CDTF">2024-11-20T08:58:48Z</dcterms:modified>
</cp:coreProperties>
</file>