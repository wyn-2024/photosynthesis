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625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0" i="1" l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I30" i="1" s="1"/>
  <c r="AX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BB29" i="1"/>
  <c r="AZ29" i="1"/>
  <c r="AU29" i="1"/>
  <c r="AO29" i="1"/>
  <c r="AP29" i="1" s="1"/>
  <c r="AK29" i="1"/>
  <c r="AI29" i="1"/>
  <c r="J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AZ28" i="1" s="1"/>
  <c r="BB28" i="1"/>
  <c r="AU28" i="1"/>
  <c r="AO28" i="1"/>
  <c r="AP28" i="1" s="1"/>
  <c r="AK28" i="1"/>
  <c r="AI28" i="1"/>
  <c r="AJ28" i="1" s="1"/>
  <c r="X28" i="1"/>
  <c r="W28" i="1"/>
  <c r="V28" i="1"/>
  <c r="O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P27" i="1"/>
  <c r="AO27" i="1"/>
  <c r="AK27" i="1"/>
  <c r="AI27" i="1"/>
  <c r="AJ27" i="1" s="1"/>
  <c r="X27" i="1"/>
  <c r="W27" i="1"/>
  <c r="V27" i="1"/>
  <c r="O27" i="1"/>
  <c r="M27" i="1"/>
  <c r="BU26" i="1"/>
  <c r="BT26" i="1"/>
  <c r="BR26" i="1"/>
  <c r="BS26" i="1" s="1"/>
  <c r="BI26" i="1"/>
  <c r="BH26" i="1"/>
  <c r="BG26" i="1"/>
  <c r="BF26" i="1"/>
  <c r="BE26" i="1"/>
  <c r="BB26" i="1"/>
  <c r="AZ26" i="1"/>
  <c r="AU26" i="1"/>
  <c r="AO26" i="1"/>
  <c r="AP26" i="1" s="1"/>
  <c r="AK26" i="1"/>
  <c r="AI26" i="1" s="1"/>
  <c r="X26" i="1"/>
  <c r="W26" i="1"/>
  <c r="V26" i="1"/>
  <c r="O26" i="1"/>
  <c r="BU25" i="1"/>
  <c r="BT25" i="1"/>
  <c r="BS25" i="1" s="1"/>
  <c r="BR25" i="1"/>
  <c r="BI25" i="1"/>
  <c r="BH25" i="1"/>
  <c r="BG25" i="1"/>
  <c r="BF25" i="1"/>
  <c r="BE25" i="1"/>
  <c r="BB25" i="1"/>
  <c r="AZ25" i="1"/>
  <c r="AU25" i="1"/>
  <c r="AO25" i="1"/>
  <c r="AP25" i="1" s="1"/>
  <c r="AK25" i="1"/>
  <c r="AI25" i="1"/>
  <c r="J25" i="1" s="1"/>
  <c r="X25" i="1"/>
  <c r="V25" i="1" s="1"/>
  <c r="W25" i="1"/>
  <c r="O25" i="1"/>
  <c r="BU24" i="1"/>
  <c r="BT24" i="1"/>
  <c r="BR24" i="1"/>
  <c r="BS24" i="1" s="1"/>
  <c r="BI24" i="1"/>
  <c r="BH24" i="1"/>
  <c r="BG24" i="1"/>
  <c r="BF24" i="1"/>
  <c r="BE24" i="1"/>
  <c r="BB24" i="1"/>
  <c r="AZ24" i="1"/>
  <c r="AU24" i="1"/>
  <c r="AO24" i="1"/>
  <c r="AP24" i="1" s="1"/>
  <c r="AK24" i="1"/>
  <c r="AI24" i="1"/>
  <c r="J24" i="1" s="1"/>
  <c r="X24" i="1"/>
  <c r="W24" i="1"/>
  <c r="V24" i="1"/>
  <c r="O24" i="1"/>
  <c r="BU23" i="1"/>
  <c r="BT23" i="1"/>
  <c r="BR23" i="1"/>
  <c r="BS23" i="1" s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/>
  <c r="J23" i="1" s="1"/>
  <c r="X23" i="1"/>
  <c r="W23" i="1"/>
  <c r="V23" i="1"/>
  <c r="O23" i="1"/>
  <c r="BU22" i="1"/>
  <c r="BT22" i="1"/>
  <c r="BR22" i="1"/>
  <c r="BS22" i="1" s="1"/>
  <c r="BI22" i="1"/>
  <c r="BH22" i="1"/>
  <c r="BG22" i="1"/>
  <c r="BF22" i="1"/>
  <c r="BE22" i="1"/>
  <c r="BB22" i="1"/>
  <c r="AZ22" i="1"/>
  <c r="AU22" i="1"/>
  <c r="AO22" i="1"/>
  <c r="AP22" i="1" s="1"/>
  <c r="AK22" i="1"/>
  <c r="AI22" i="1"/>
  <c r="J22" i="1" s="1"/>
  <c r="X22" i="1"/>
  <c r="W22" i="1"/>
  <c r="V22" i="1"/>
  <c r="O22" i="1"/>
  <c r="M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J21" i="1" s="1"/>
  <c r="X21" i="1"/>
  <c r="W21" i="1"/>
  <c r="V21" i="1"/>
  <c r="O21" i="1"/>
  <c r="BU20" i="1"/>
  <c r="BT20" i="1"/>
  <c r="BR20" i="1"/>
  <c r="BS20" i="1" s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M20" i="1" s="1"/>
  <c r="X20" i="1"/>
  <c r="W20" i="1"/>
  <c r="V20" i="1" s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O19" i="1"/>
  <c r="AP19" i="1" s="1"/>
  <c r="AK19" i="1"/>
  <c r="AI19" i="1"/>
  <c r="H19" i="1" s="1"/>
  <c r="X19" i="1"/>
  <c r="W19" i="1"/>
  <c r="V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O18" i="1"/>
  <c r="AP18" i="1" s="1"/>
  <c r="AK18" i="1"/>
  <c r="AI18" i="1"/>
  <c r="I18" i="1" s="1"/>
  <c r="AX18" i="1" s="1"/>
  <c r="X18" i="1"/>
  <c r="W18" i="1"/>
  <c r="V18" i="1"/>
  <c r="O18" i="1"/>
  <c r="BU17" i="1"/>
  <c r="BT17" i="1"/>
  <c r="BR17" i="1"/>
  <c r="BS17" i="1" s="1"/>
  <c r="BI17" i="1"/>
  <c r="BH17" i="1"/>
  <c r="BG17" i="1"/>
  <c r="BF17" i="1"/>
  <c r="BE17" i="1"/>
  <c r="BB17" i="1"/>
  <c r="AZ17" i="1"/>
  <c r="AU17" i="1"/>
  <c r="AP17" i="1"/>
  <c r="AO17" i="1"/>
  <c r="AK17" i="1"/>
  <c r="AI17" i="1" s="1"/>
  <c r="X17" i="1"/>
  <c r="W17" i="1"/>
  <c r="V17" i="1"/>
  <c r="O17" i="1"/>
  <c r="Z19" i="1" l="1"/>
  <c r="R29" i="1"/>
  <c r="AW29" i="1"/>
  <c r="AY29" i="1" s="1"/>
  <c r="R21" i="1"/>
  <c r="AW21" i="1"/>
  <c r="AY21" i="1" s="1"/>
  <c r="R25" i="1"/>
  <c r="AW25" i="1"/>
  <c r="AY25" i="1" s="1"/>
  <c r="R17" i="1"/>
  <c r="AW17" i="1"/>
  <c r="AY17" i="1" s="1"/>
  <c r="AY23" i="1"/>
  <c r="AW28" i="1"/>
  <c r="AY28" i="1" s="1"/>
  <c r="R28" i="1"/>
  <c r="AW20" i="1"/>
  <c r="AY20" i="1" s="1"/>
  <c r="R20" i="1"/>
  <c r="AW24" i="1"/>
  <c r="AY24" i="1" s="1"/>
  <c r="R24" i="1"/>
  <c r="I26" i="1"/>
  <c r="AX26" i="1" s="1"/>
  <c r="M26" i="1"/>
  <c r="J26" i="1"/>
  <c r="AJ26" i="1"/>
  <c r="H26" i="1"/>
  <c r="AY26" i="1"/>
  <c r="AY30" i="1"/>
  <c r="AY22" i="1"/>
  <c r="R23" i="1"/>
  <c r="AW23" i="1"/>
  <c r="R27" i="1"/>
  <c r="AW27" i="1"/>
  <c r="AY27" i="1" s="1"/>
  <c r="R19" i="1"/>
  <c r="AW19" i="1"/>
  <c r="AY19" i="1" s="1"/>
  <c r="I17" i="1"/>
  <c r="AX17" i="1" s="1"/>
  <c r="BA17" i="1" s="1"/>
  <c r="H17" i="1"/>
  <c r="M17" i="1"/>
  <c r="AJ17" i="1"/>
  <c r="J17" i="1"/>
  <c r="AW26" i="1"/>
  <c r="R26" i="1"/>
  <c r="AW30" i="1"/>
  <c r="BA30" i="1" s="1"/>
  <c r="R30" i="1"/>
  <c r="AW18" i="1"/>
  <c r="AY18" i="1" s="1"/>
  <c r="R18" i="1"/>
  <c r="R22" i="1"/>
  <c r="AW22" i="1"/>
  <c r="AJ21" i="1"/>
  <c r="AJ30" i="1"/>
  <c r="H30" i="1"/>
  <c r="H25" i="1"/>
  <c r="H20" i="1"/>
  <c r="J20" i="1"/>
  <c r="AJ24" i="1"/>
  <c r="H29" i="1"/>
  <c r="M29" i="1"/>
  <c r="J30" i="1"/>
  <c r="AJ29" i="1"/>
  <c r="M30" i="1"/>
  <c r="H24" i="1"/>
  <c r="M24" i="1"/>
  <c r="M19" i="1"/>
  <c r="AJ22" i="1"/>
  <c r="H27" i="1"/>
  <c r="M28" i="1"/>
  <c r="AJ20" i="1"/>
  <c r="M21" i="1"/>
  <c r="I20" i="1"/>
  <c r="AX20" i="1" s="1"/>
  <c r="AJ19" i="1"/>
  <c r="M25" i="1"/>
  <c r="I19" i="1"/>
  <c r="AX19" i="1" s="1"/>
  <c r="I28" i="1"/>
  <c r="AX28" i="1" s="1"/>
  <c r="H18" i="1"/>
  <c r="J18" i="1"/>
  <c r="H22" i="1"/>
  <c r="M23" i="1"/>
  <c r="I27" i="1"/>
  <c r="AX27" i="1" s="1"/>
  <c r="BA27" i="1" s="1"/>
  <c r="H21" i="1"/>
  <c r="I21" i="1"/>
  <c r="AX21" i="1" s="1"/>
  <c r="BA21" i="1" s="1"/>
  <c r="AJ25" i="1"/>
  <c r="I25" i="1"/>
  <c r="AX25" i="1" s="1"/>
  <c r="BA25" i="1" s="1"/>
  <c r="I29" i="1"/>
  <c r="AX29" i="1" s="1"/>
  <c r="BA29" i="1" s="1"/>
  <c r="I24" i="1"/>
  <c r="AX24" i="1" s="1"/>
  <c r="BA24" i="1" s="1"/>
  <c r="J19" i="1"/>
  <c r="AJ23" i="1"/>
  <c r="H28" i="1"/>
  <c r="H23" i="1"/>
  <c r="I23" i="1"/>
  <c r="AX23" i="1" s="1"/>
  <c r="J28" i="1"/>
  <c r="M18" i="1"/>
  <c r="I22" i="1"/>
  <c r="AX22" i="1" s="1"/>
  <c r="J27" i="1"/>
  <c r="AJ18" i="1"/>
  <c r="S19" i="1" l="1"/>
  <c r="T19" i="1" s="1"/>
  <c r="S20" i="1"/>
  <c r="T20" i="1" s="1"/>
  <c r="Z17" i="1"/>
  <c r="P17" i="1"/>
  <c r="N17" i="1" s="1"/>
  <c r="Q17" i="1" s="1"/>
  <c r="K17" i="1" s="1"/>
  <c r="L17" i="1" s="1"/>
  <c r="Z29" i="1"/>
  <c r="Z22" i="1"/>
  <c r="Z30" i="1"/>
  <c r="P30" i="1"/>
  <c r="N30" i="1" s="1"/>
  <c r="Q30" i="1" s="1"/>
  <c r="K30" i="1" s="1"/>
  <c r="L30" i="1" s="1"/>
  <c r="Z18" i="1"/>
  <c r="P18" i="1"/>
  <c r="N18" i="1" s="1"/>
  <c r="Q18" i="1" s="1"/>
  <c r="K18" i="1" s="1"/>
  <c r="L18" i="1" s="1"/>
  <c r="BA20" i="1"/>
  <c r="S21" i="1"/>
  <c r="T21" i="1" s="1"/>
  <c r="S29" i="1"/>
  <c r="T29" i="1" s="1"/>
  <c r="P29" i="1" s="1"/>
  <c r="N29" i="1" s="1"/>
  <c r="Q29" i="1" s="1"/>
  <c r="K29" i="1" s="1"/>
  <c r="L29" i="1" s="1"/>
  <c r="Z26" i="1"/>
  <c r="S26" i="1"/>
  <c r="T26" i="1" s="1"/>
  <c r="Z23" i="1"/>
  <c r="Z20" i="1"/>
  <c r="Z25" i="1"/>
  <c r="S23" i="1"/>
  <c r="T23" i="1" s="1"/>
  <c r="Z28" i="1"/>
  <c r="BA19" i="1"/>
  <c r="S22" i="1"/>
  <c r="T22" i="1" s="1"/>
  <c r="P22" i="1" s="1"/>
  <c r="N22" i="1" s="1"/>
  <c r="Q22" i="1" s="1"/>
  <c r="K22" i="1" s="1"/>
  <c r="L22" i="1" s="1"/>
  <c r="BA22" i="1"/>
  <c r="BA18" i="1"/>
  <c r="Z27" i="1"/>
  <c r="BA26" i="1"/>
  <c r="S28" i="1"/>
  <c r="T28" i="1" s="1"/>
  <c r="Z21" i="1"/>
  <c r="P21" i="1"/>
  <c r="N21" i="1" s="1"/>
  <c r="Q21" i="1" s="1"/>
  <c r="K21" i="1" s="1"/>
  <c r="L21" i="1" s="1"/>
  <c r="S27" i="1"/>
  <c r="T27" i="1" s="1"/>
  <c r="BA28" i="1"/>
  <c r="S17" i="1"/>
  <c r="T17" i="1" s="1"/>
  <c r="S25" i="1"/>
  <c r="T25" i="1" s="1"/>
  <c r="P25" i="1" s="1"/>
  <c r="N25" i="1" s="1"/>
  <c r="Q25" i="1" s="1"/>
  <c r="K25" i="1" s="1"/>
  <c r="L25" i="1" s="1"/>
  <c r="S18" i="1"/>
  <c r="T18" i="1" s="1"/>
  <c r="S30" i="1"/>
  <c r="T30" i="1" s="1"/>
  <c r="BA23" i="1"/>
  <c r="Z24" i="1"/>
  <c r="S24" i="1"/>
  <c r="T24" i="1" s="1"/>
  <c r="AA28" i="1" l="1"/>
  <c r="U28" i="1"/>
  <c r="Y28" i="1" s="1"/>
  <c r="AB28" i="1"/>
  <c r="AC28" i="1" s="1"/>
  <c r="AA24" i="1"/>
  <c r="AB24" i="1"/>
  <c r="AC24" i="1" s="1"/>
  <c r="U24" i="1"/>
  <c r="Y24" i="1" s="1"/>
  <c r="P24" i="1"/>
  <c r="N24" i="1" s="1"/>
  <c r="Q24" i="1" s="1"/>
  <c r="K24" i="1" s="1"/>
  <c r="L24" i="1" s="1"/>
  <c r="P28" i="1"/>
  <c r="N28" i="1" s="1"/>
  <c r="Q28" i="1" s="1"/>
  <c r="K28" i="1" s="1"/>
  <c r="L28" i="1" s="1"/>
  <c r="U30" i="1"/>
  <c r="Y30" i="1" s="1"/>
  <c r="AA30" i="1"/>
  <c r="AB30" i="1"/>
  <c r="AC30" i="1" s="1"/>
  <c r="AA23" i="1"/>
  <c r="U23" i="1"/>
  <c r="Y23" i="1" s="1"/>
  <c r="AB23" i="1"/>
  <c r="AC23" i="1" s="1"/>
  <c r="U18" i="1"/>
  <c r="Y18" i="1" s="1"/>
  <c r="AB18" i="1"/>
  <c r="AA18" i="1"/>
  <c r="U20" i="1"/>
  <c r="Y20" i="1" s="1"/>
  <c r="AB20" i="1"/>
  <c r="AA20" i="1"/>
  <c r="U17" i="1"/>
  <c r="Y17" i="1" s="1"/>
  <c r="AB17" i="1"/>
  <c r="AA17" i="1"/>
  <c r="P20" i="1"/>
  <c r="N20" i="1" s="1"/>
  <c r="Q20" i="1" s="1"/>
  <c r="K20" i="1" s="1"/>
  <c r="L20" i="1" s="1"/>
  <c r="U27" i="1"/>
  <c r="Y27" i="1" s="1"/>
  <c r="AB27" i="1"/>
  <c r="AA27" i="1"/>
  <c r="U26" i="1"/>
  <c r="Y26" i="1" s="1"/>
  <c r="AB26" i="1"/>
  <c r="AA26" i="1"/>
  <c r="P26" i="1"/>
  <c r="N26" i="1" s="1"/>
  <c r="Q26" i="1" s="1"/>
  <c r="K26" i="1" s="1"/>
  <c r="L26" i="1" s="1"/>
  <c r="U29" i="1"/>
  <c r="Y29" i="1" s="1"/>
  <c r="AA29" i="1"/>
  <c r="AB29" i="1"/>
  <c r="AC29" i="1" s="1"/>
  <c r="AB21" i="1"/>
  <c r="U21" i="1"/>
  <c r="Y21" i="1" s="1"/>
  <c r="AA21" i="1"/>
  <c r="P27" i="1"/>
  <c r="N27" i="1" s="1"/>
  <c r="Q27" i="1" s="1"/>
  <c r="K27" i="1" s="1"/>
  <c r="L27" i="1" s="1"/>
  <c r="AB22" i="1"/>
  <c r="U22" i="1"/>
  <c r="Y22" i="1" s="1"/>
  <c r="AA22" i="1"/>
  <c r="U25" i="1"/>
  <c r="Y25" i="1" s="1"/>
  <c r="AA25" i="1"/>
  <c r="AB25" i="1"/>
  <c r="AC25" i="1" s="1"/>
  <c r="P23" i="1"/>
  <c r="N23" i="1" s="1"/>
  <c r="Q23" i="1" s="1"/>
  <c r="K23" i="1" s="1"/>
  <c r="L23" i="1" s="1"/>
  <c r="U19" i="1"/>
  <c r="Y19" i="1" s="1"/>
  <c r="AB19" i="1"/>
  <c r="AA19" i="1"/>
  <c r="P19" i="1"/>
  <c r="N19" i="1" s="1"/>
  <c r="Q19" i="1" s="1"/>
  <c r="K19" i="1" s="1"/>
  <c r="L19" i="1" s="1"/>
  <c r="AC17" i="1" l="1"/>
  <c r="AC20" i="1"/>
  <c r="AC18" i="1"/>
  <c r="AC26" i="1"/>
  <c r="AC27" i="1"/>
  <c r="AC19" i="1"/>
  <c r="AC22" i="1"/>
  <c r="AC21" i="1"/>
</calcChain>
</file>

<file path=xl/sharedStrings.xml><?xml version="1.0" encoding="utf-8"?>
<sst xmlns="http://schemas.openxmlformats.org/spreadsheetml/2006/main" count="771" uniqueCount="354">
  <si>
    <t>File opened</t>
  </si>
  <si>
    <t>2020-06-25 12:36:02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</si>
  <si>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</si>
  <si>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</si>
  <si>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</si>
  <si>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</si>
  <si>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</si>
  <si>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</si>
  <si>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</si>
  <si>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</si>
  <si>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</si>
  <si>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</si>
  <si>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</si>
  <si>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{"ssa_ref": "36614.9", "h2obspan2a": "0.0975941", "co2azero": "0.869071", "co2aspanconc2": "0", "h2obspan1": "0.998578", "h2oaspan2b": "0.0662632", "h2oaspan2a": "0.0661155", "h2oaspanconc2": "0", "chamberpressurezero": "2.59209", "h2oaspan2": "0", "h2oaspanconc1": "12.19", "co2bspan2": "0", "co2aspanconc1": "1002", "flowazero": "0.42932", "h2oaspan1": "1.00223", "co2aspan1": "0.992625", "co2bspanconc2": "0", "co2bspanconc1": "1002", "h2oazero": "1.00263", "oxygen": "21", "h2obspan2": "0", "tazero": "0.00774765", "h2obzero": "1.01783", "flowbzero": "0.22736", "ssb_ref": "36526.8", "co2bspan2a": "0.163389", "h2obspan2b": "0.0963575", "co2aspan2a": "0.164928", "co2bspan2b": "0.162103", "co2bspan1": "0.992131", "h2obspanconc2": "0", "tbzero": "0.197721", "h2obspanconc1": "20", "flowmeterzero": "0.990908", "co2aspan2": "0", "co2aspan2b": "0.163711", "co2bzero": "0.880288"}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</si>
  <si>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</si>
  <si>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</si>
  <si>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</si>
  <si>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</si>
  <si>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</si>
  <si>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</si>
  <si>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</si>
  <si>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</si>
  <si>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</si>
  <si>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12:36:02</t>
  </si>
  <si>
    <t>Stability Definition:	ΔCO2 (Meas2): Slp&lt;0.5	ΔH2O (Meas2): Slp&lt;0.1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</si>
  <si>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</si>
  <si>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</si>
  <si>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</si>
  <si>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</si>
  <si>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</si>
  <si>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</si>
  <si>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</si>
  <si>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</si>
  <si>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</si>
  <si>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</si>
  <si>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</si>
  <si>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</si>
  <si>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</si>
  <si>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</si>
  <si>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</si>
  <si>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</si>
  <si>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</si>
  <si>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</si>
  <si>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</si>
  <si>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</si>
  <si>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</si>
  <si>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</si>
  <si>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</si>
  <si>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</si>
  <si>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</si>
  <si>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</si>
  <si>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</si>
  <si>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</si>
  <si>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</si>
  <si>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</si>
  <si>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</si>
  <si>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</si>
  <si>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</si>
  <si>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</si>
  <si>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</si>
  <si>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</si>
  <si>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</si>
  <si>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</si>
  <si>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</si>
  <si>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</si>
  <si>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</si>
  <si>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</si>
  <si>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</si>
  <si>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</si>
  <si>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</si>
  <si>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</si>
  <si>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1.61963 74.1132 383.059 614.556 842.442 1048.13 1225.96 1401.63</t>
  </si>
  <si>
    <t>Fs_true</t>
  </si>
  <si>
    <t>0.0511076 99.3107 402.59 600.302 800.523 1000.1 1200.74 1401.59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</si>
  <si>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</si>
  <si>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</si>
  <si>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</si>
  <si>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</si>
  <si>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</si>
  <si>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</si>
  <si>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</si>
  <si>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</si>
  <si>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</si>
  <si>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</si>
  <si>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</si>
  <si>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</si>
  <si>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</si>
  <si>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</si>
  <si>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</si>
  <si>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</si>
  <si>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</si>
  <si>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</si>
  <si>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</si>
  <si>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</si>
  <si>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</si>
  <si>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</si>
  <si>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</si>
  <si>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</si>
  <si>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</si>
  <si>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</si>
  <si>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</si>
  <si>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</si>
  <si>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</si>
  <si>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</si>
  <si>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</si>
  <si>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</si>
  <si>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</si>
  <si>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</si>
  <si>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</si>
  <si>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</si>
  <si>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</si>
  <si>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</si>
  <si>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</si>
  <si>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</si>
  <si>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</si>
  <si>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</si>
  <si>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</si>
  <si>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</si>
  <si>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</si>
  <si>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</si>
  <si>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</si>
  <si>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</si>
  <si>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</si>
  <si>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</si>
  <si>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</si>
  <si>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</si>
  <si>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</si>
  <si>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</si>
  <si>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</si>
  <si>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</si>
  <si>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</si>
  <si>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</si>
  <si>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</si>
  <si>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</si>
  <si>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</si>
  <si>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</si>
  <si>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</si>
  <si>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</si>
  <si>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</si>
  <si>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</si>
  <si>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</si>
  <si>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</si>
  <si>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</si>
  <si>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</si>
  <si>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</si>
  <si>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</si>
  <si>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</si>
  <si>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</si>
  <si>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</si>
  <si>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</si>
  <si>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</si>
  <si>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</si>
  <si>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</si>
  <si>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</si>
  <si>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</si>
  <si>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</si>
  <si>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</si>
  <si>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</si>
  <si>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</si>
  <si>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</si>
  <si>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</si>
  <si>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</si>
  <si>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</si>
  <si>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</si>
  <si>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</si>
  <si>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</si>
  <si>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</si>
  <si>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</si>
  <si>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</si>
  <si>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</si>
  <si>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</si>
  <si>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</si>
  <si>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</si>
  <si>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</si>
  <si>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</si>
  <si>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</si>
  <si>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</si>
  <si>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</si>
  <si>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</si>
  <si>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</si>
  <si>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</si>
  <si>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</si>
  <si>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</si>
  <si>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</si>
  <si>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</si>
  <si>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</si>
  <si>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</si>
  <si>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</si>
  <si>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</si>
  <si>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</si>
  <si>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</si>
  <si>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</si>
  <si>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</si>
  <si>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</si>
  <si>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</si>
  <si>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</si>
  <si>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</si>
  <si>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</si>
  <si>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</si>
  <si>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</si>
  <si>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</si>
  <si>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</si>
  <si>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</si>
  <si>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</si>
  <si>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</si>
  <si>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</si>
  <si>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</si>
  <si>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</si>
  <si>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</si>
  <si>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ΔH2O:MN</t>
  </si>
  <si>
    <t>ΔH2O:SLP</t>
  </si>
  <si>
    <t>ΔH2O:SD</t>
  </si>
  <si>
    <t>ΔH2O:OK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</si>
  <si>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</si>
  <si>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</si>
  <si>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</si>
  <si>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</si>
  <si>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</si>
  <si>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</si>
  <si>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</si>
  <si>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</si>
  <si>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</si>
  <si>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</si>
  <si>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</si>
  <si>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</si>
  <si>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</si>
  <si>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</si>
  <si>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</si>
  <si>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</si>
  <si>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</si>
  <si>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</si>
  <si>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</si>
  <si>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</si>
  <si>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</si>
  <si>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</si>
  <si>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</si>
  <si>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</si>
  <si>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</si>
  <si>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</si>
  <si>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</si>
  <si>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</si>
  <si>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</si>
  <si>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</si>
  <si>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</si>
  <si>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</si>
  <si>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</si>
  <si>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</si>
  <si>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</si>
  <si>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</si>
  <si>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</si>
  <si>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</si>
  <si>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</si>
  <si>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</si>
  <si>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</si>
  <si>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</si>
  <si>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</si>
  <si>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</si>
  <si>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</si>
  <si>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</si>
  <si>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</si>
  <si>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</si>
  <si>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</si>
  <si>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</si>
  <si>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</si>
  <si>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</si>
  <si>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</si>
  <si>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</si>
  <si>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</si>
  <si>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</si>
  <si>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</si>
  <si>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</si>
  <si>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</si>
  <si>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</si>
  <si>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</si>
  <si>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</si>
  <si>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</si>
  <si>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</si>
  <si>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20200625 12:42:28</t>
  </si>
  <si>
    <t>12:42:28</t>
  </si>
  <si>
    <t>MPF-4025-20200625-12_42_29</t>
  </si>
  <si>
    <t>DARK-4026-20200625-12_42_37</t>
  </si>
  <si>
    <t>0: Broadleaf</t>
  </si>
  <si>
    <t>12:41:55</t>
  </si>
  <si>
    <t>1/2</t>
  </si>
  <si>
    <t>5</t>
  </si>
  <si>
    <t>11111111</t>
  </si>
  <si>
    <t>oooooooo</t>
  </si>
  <si>
    <t>off</t>
  </si>
  <si>
    <t>20200625 12:44:34</t>
  </si>
  <si>
    <t>12:44:34</t>
  </si>
  <si>
    <t>MPF-4027-20200625-12_44_36</t>
  </si>
  <si>
    <t>DARK-4028-20200625-12_44_44</t>
  </si>
  <si>
    <t>12:45:04</t>
  </si>
  <si>
    <t>2/2</t>
  </si>
  <si>
    <t>20200625 12:47:10</t>
  </si>
  <si>
    <t>12:47:10</t>
  </si>
  <si>
    <t>MPF-4029-20200625-12_47_11</t>
  </si>
  <si>
    <t>DARK-4030-20200625-12_47_19</t>
  </si>
  <si>
    <t>12:46:20</t>
  </si>
  <si>
    <t>20200625 12:49:15</t>
  </si>
  <si>
    <t>12:49:15</t>
  </si>
  <si>
    <t>MPF-4031-20200625-12_49_17</t>
  </si>
  <si>
    <t>DARK-4032-20200625-12_49_24</t>
  </si>
  <si>
    <t>12:48:23</t>
  </si>
  <si>
    <t>20200625 12:51:16</t>
  </si>
  <si>
    <t>12:51:16</t>
  </si>
  <si>
    <t>MPF-4033-20200625-12_51_17</t>
  </si>
  <si>
    <t>DARK-4034-20200625-12_51_25</t>
  </si>
  <si>
    <t>12:50:27</t>
  </si>
  <si>
    <t>20200625 12:53:26</t>
  </si>
  <si>
    <t>12:53:26</t>
  </si>
  <si>
    <t>MPF-4035-20200625-12_53_27</t>
  </si>
  <si>
    <t>DARK-4036-20200625-12_53_35</t>
  </si>
  <si>
    <t>12:52:43</t>
  </si>
  <si>
    <t>20200625 12:55:57</t>
  </si>
  <si>
    <t>12:55:57</t>
  </si>
  <si>
    <t>MPF-4037-20200625-12_55_59</t>
  </si>
  <si>
    <t>DARK-4038-20200625-12_56_06</t>
  </si>
  <si>
    <t>12:54:43</t>
  </si>
  <si>
    <t>20200625 12:57:57</t>
  </si>
  <si>
    <t>12:57:57</t>
  </si>
  <si>
    <t>MPF-4039-20200625-12_57_59</t>
  </si>
  <si>
    <t>DARK-4040-20200625-12_58_07</t>
  </si>
  <si>
    <t>12:57:22</t>
  </si>
  <si>
    <t>20200625 13:00:05</t>
  </si>
  <si>
    <t>13:00:05</t>
  </si>
  <si>
    <t>MPF-4041-20200625-13_00_07</t>
  </si>
  <si>
    <t>DARK-4042-20200625-13_00_15</t>
  </si>
  <si>
    <t>12:59:15</t>
  </si>
  <si>
    <t>20200625 13:02:06</t>
  </si>
  <si>
    <t>13:02:06</t>
  </si>
  <si>
    <t>MPF-4043-20200625-13_02_08</t>
  </si>
  <si>
    <t>DARK-4044-20200625-13_02_15</t>
  </si>
  <si>
    <t>13:01:05</t>
  </si>
  <si>
    <t>20200625 13:04:06</t>
  </si>
  <si>
    <t>13:04:06</t>
  </si>
  <si>
    <t>MPF-4045-20200625-13_04_08</t>
  </si>
  <si>
    <t>DARK-4046-20200625-13_04_16</t>
  </si>
  <si>
    <t>13:03:08</t>
  </si>
  <si>
    <t>20200625 13:06:37</t>
  </si>
  <si>
    <t>13:06:37</t>
  </si>
  <si>
    <t>MPF-4047-20200625-13_06_39</t>
  </si>
  <si>
    <t>DARK-4048-20200625-13_06_46</t>
  </si>
  <si>
    <t>13:05:09</t>
  </si>
  <si>
    <t>20200625 13:08:41</t>
  </si>
  <si>
    <t>13:08:41</t>
  </si>
  <si>
    <t>MPF-4049-20200625-13_08_43</t>
  </si>
  <si>
    <t>DARK-4050-20200625-13_08_50</t>
  </si>
  <si>
    <t>13:07:41</t>
  </si>
  <si>
    <t>20200625 13:10:42</t>
  </si>
  <si>
    <t>13:10:42</t>
  </si>
  <si>
    <t>MPF-4051-20200625-13_10_44</t>
  </si>
  <si>
    <t>DARK-4052-20200625-13_10_52</t>
  </si>
  <si>
    <t>13:09:37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</si>
</sst>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0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1593106948.3</v>
      </c>
      <c r="C17">
        <v>0</v>
      </c>
      <c r="D17" t="s">
        <v>277</v>
      </c>
      <c r="E17" t="s">
        <v>278</v>
      </c>
      <c r="G17">
        <v>1593106940.3</v>
      </c>
      <c r="H17">
        <f t="shared" ref="H17:H30" si="0">CC17*AI17*(CA17-CB17)/(100*$B$5*(1000-AI17*CA17))</f>
        <v>8.5531525858632447E-3</v>
      </c>
      <c r="I17">
        <f t="shared" ref="I17:I30" si="1">CC17*AI17*(BZ17-BY17*(1000-AI17*CB17)/(1000-AI17*CA17))/(100*$B$5)</f>
        <v>30.908003254064933</v>
      </c>
      <c r="J17">
        <f t="shared" ref="J17:J30" si="2">BY17 - IF(AI17&gt;1, I17*$B$5*100/(AK17*CI17), 0)</f>
        <v>386.33512903225801</v>
      </c>
      <c r="K17">
        <f t="shared" ref="K17:K30" si="3">((Q17-H17/2)*J17-I17)/(Q17+H17/2)</f>
        <v>282.97435811036354</v>
      </c>
      <c r="L17">
        <f t="shared" ref="L17:L30" si="4">K17*(CD17+CE17)/1000</f>
        <v>28.129511542625995</v>
      </c>
      <c r="M17">
        <f t="shared" ref="M17:M30" si="5">(BY17 - IF(AI17&gt;1, I17*$B$5*100/(AK17*CI17), 0))*(CD17+CE17)/1000</f>
        <v>38.404251692644095</v>
      </c>
      <c r="N17">
        <f t="shared" ref="N17:N30" si="6">2/((1/P17-1/O17)+SIGN(P17)*SQRT((1/P17-1/O17)*(1/P17-1/O17) + 4*BV17/((BV17+1)*(BV17+1))*(2*1/P17*1/O17-1/O17*1/O17)))</f>
        <v>0.56400869040797774</v>
      </c>
      <c r="O17">
        <f t="shared" ref="O17:O30" si="7">AF17+AE17*$B$5+AD17*$B$5*$B$5</f>
        <v>3.3796456436995781</v>
      </c>
      <c r="P17">
        <f t="shared" ref="P17:P30" si="8">H17*(1000-(1000*0.61365*EXP(17.502*T17/(240.97+T17))/(CD17+CE17)+CA17)/2)/(1000*0.61365*EXP(17.502*T17/(240.97+T17))/(CD17+CE17)-CA17)</f>
        <v>0.51645688360905606</v>
      </c>
      <c r="Q17">
        <f t="shared" ref="Q17:Q30" si="9">1/((BV17+1)/(N17/1.6)+1/(O17/1.37)) + BV17/((BV17+1)/(N17/1.6) + BV17/(O17/1.37))</f>
        <v>0.32672314687873361</v>
      </c>
      <c r="R17">
        <f t="shared" ref="R17:R30" si="10">(BS17*BU17)</f>
        <v>353.33841014836941</v>
      </c>
      <c r="S17">
        <f t="shared" ref="S17:S30" si="11">(CF17+(R17+2*0.95*0.0000000567*(((CF17+$B$7)+273)^4-(CF17+273)^4)-44100*H17)/(1.84*29.3*O17+8*0.95*0.0000000567*(CF17+273)^3))</f>
        <v>26.745372209366487</v>
      </c>
      <c r="T17">
        <f t="shared" ref="T17:T30" si="12">($C$7*CG17+$D$7*CH17+$E$7*S17)</f>
        <v>26.992535483870999</v>
      </c>
      <c r="U17">
        <f t="shared" ref="U17:U30" si="13">0.61365*EXP(17.502*T17/(240.97+T17))</f>
        <v>3.5775908553534159</v>
      </c>
      <c r="V17">
        <f t="shared" ref="V17:V30" si="14">(W17/X17*100)</f>
        <v>55.673370598564553</v>
      </c>
      <c r="W17">
        <f t="shared" ref="W17:W30" si="15">CA17*(CD17+CE17)/1000</f>
        <v>1.9772952065680511</v>
      </c>
      <c r="X17">
        <f t="shared" ref="X17:X30" si="16">0.61365*EXP(17.502*CF17/(240.97+CF17))</f>
        <v>3.5515995983527402</v>
      </c>
      <c r="Y17">
        <f t="shared" ref="Y17:Y30" si="17">(U17-CA17*(CD17+CE17)/1000)</f>
        <v>1.6002956487853648</v>
      </c>
      <c r="Z17">
        <f t="shared" ref="Z17:Z30" si="18">(-H17*44100)</f>
        <v>-377.19402903656908</v>
      </c>
      <c r="AA17">
        <f t="shared" ref="AA17:AA30" si="19">2*29.3*O17*0.92*(CF17-T17)</f>
        <v>-22.608510117134426</v>
      </c>
      <c r="AB17">
        <f t="shared" ref="AB17:AB30" si="20">2*0.95*0.0000000567*(((CF17+$B$7)+273)^4-(T17+273)^4)</f>
        <v>-1.4426928176427962</v>
      </c>
      <c r="AC17">
        <f t="shared" ref="AC17:AC30" si="21">R17+AB17+Z17+AA17</f>
        <v>-47.906821822976909</v>
      </c>
      <c r="AD17">
        <v>-4.1132643747450598E-2</v>
      </c>
      <c r="AE17">
        <v>4.6174996024015202E-2</v>
      </c>
      <c r="AF17">
        <v>3.4518262266413502</v>
      </c>
      <c r="AG17">
        <v>143</v>
      </c>
      <c r="AH17">
        <v>29</v>
      </c>
      <c r="AI17">
        <f t="shared" ref="AI17:AI30" si="22">IF(AG17*$H$13&gt;=AK17,1,(AK17/(AK17-AG17*$H$13)))</f>
        <v>1</v>
      </c>
      <c r="AJ17">
        <f t="shared" ref="AJ17:AJ30" si="23">(AI17-1)*100</f>
        <v>0</v>
      </c>
      <c r="AK17">
        <f t="shared" ref="AK17:AK30" si="24">MAX(0,($B$13+$C$13*CI17)/(1+$D$13*CI17)*CD17/(CF17+273)*$E$13)</f>
        <v>52473.943454161978</v>
      </c>
      <c r="AL17">
        <v>0</v>
      </c>
      <c r="AM17">
        <v>0</v>
      </c>
      <c r="AN17">
        <v>0</v>
      </c>
      <c r="AO17">
        <f t="shared" ref="AO17:AO30" si="25">AN17-AM17</f>
        <v>0</v>
      </c>
      <c r="AP17" t="e">
        <f t="shared" ref="AP17:AP30" si="26">AO17/AN17</f>
        <v>#DIV/0!</v>
      </c>
      <c r="AQ17">
        <v>-1</v>
      </c>
      <c r="AR17" t="s">
        <v>279</v>
      </c>
      <c r="AS17">
        <v>296.694730769231</v>
      </c>
      <c r="AT17">
        <v>396.21199999999999</v>
      </c>
      <c r="AU17">
        <f t="shared" ref="AU17:AU30" si="27">1-AS17/AT17</f>
        <v>0.25117176973632549</v>
      </c>
      <c r="AV17">
        <v>0.5</v>
      </c>
      <c r="AW17">
        <f t="shared" ref="AW17:AW30" si="28">BS17</f>
        <v>1849.1912319672028</v>
      </c>
      <c r="AX17">
        <f t="shared" ref="AX17:AX30" si="29">I17</f>
        <v>30.908003254064933</v>
      </c>
      <c r="AY17">
        <f t="shared" ref="AY17:AY30" si="30">AU17*AV17*AW17</f>
        <v>232.23231715704915</v>
      </c>
      <c r="AZ17">
        <f t="shared" ref="AZ17:AZ30" si="31">BE17/AT17</f>
        <v>0.50788971560679641</v>
      </c>
      <c r="BA17">
        <f t="shared" ref="BA17:BA30" si="32">(AX17-AQ17)/AW17</f>
        <v>1.7255112777125072E-2</v>
      </c>
      <c r="BB17">
        <f t="shared" ref="BB17:BB30" si="33">(AN17-AT17)/AT17</f>
        <v>-1</v>
      </c>
      <c r="BC17" t="s">
        <v>280</v>
      </c>
      <c r="BD17">
        <v>194.98</v>
      </c>
      <c r="BE17">
        <f t="shared" ref="BE17:BE30" si="34">AT17-BD17</f>
        <v>201.232</v>
      </c>
      <c r="BF17">
        <f t="shared" ref="BF17:BF30" si="35">(AT17-AS17)/(AT17-BD17)</f>
        <v>0.49453997987779769</v>
      </c>
      <c r="BG17">
        <f t="shared" ref="BG17:BG30" si="36">(AN17-AT17)/(AN17-BD17)</f>
        <v>2.0320648271617601</v>
      </c>
      <c r="BH17">
        <f t="shared" ref="BH17:BH30" si="37">(AT17-AS17)/(AT17-AM17)</f>
        <v>0.25117176973632549</v>
      </c>
      <c r="BI17" t="e">
        <f t="shared" ref="BI17:BI30" si="38">(AN17-AT17)/(AN17-AM17)</f>
        <v>#DIV/0!</v>
      </c>
      <c r="BJ17">
        <v>4025</v>
      </c>
      <c r="BK17">
        <v>300</v>
      </c>
      <c r="BL17">
        <v>300</v>
      </c>
      <c r="BM17">
        <v>300</v>
      </c>
      <c r="BN17">
        <v>9886.7099999999991</v>
      </c>
      <c r="BO17">
        <v>366.12200000000001</v>
      </c>
      <c r="BP17">
        <v>-6.4125199999999997E-3</v>
      </c>
      <c r="BQ17">
        <v>0.53961199999999998</v>
      </c>
      <c r="BR17">
        <f t="shared" ref="BR17:BR30" si="39">$B$11*CJ17+$C$11*CK17+$F$11*CL17</f>
        <v>2200.0074193548398</v>
      </c>
      <c r="BS17">
        <f t="shared" ref="BS17:BS30" si="40">BR17*BT17</f>
        <v>1849.1912319672028</v>
      </c>
      <c r="BT17">
        <f t="shared" ref="BT17:BT30" si="41">($B$11*$D$9+$C$11*$D$9+$F$11*((CY17+CQ17)/MAX(CY17+CQ17+CZ17, 0.1)*$I$9+CZ17/MAX(CY17+CQ17+CZ17, 0.1)*$J$9))/($B$11+$C$11+$F$11)</f>
        <v>0.84053863441491705</v>
      </c>
      <c r="BU17">
        <f t="shared" ref="BU17:BU30" si="42">($B$11*$K$9+$C$11*$K$9+$F$11*((CY17+CQ17)/MAX(CY17+CQ17+CZ17, 0.1)*$P$9+CZ17/MAX(CY17+CQ17+CZ17, 0.1)*$Q$9))/($B$11+$C$11+$F$11)</f>
        <v>0.19107726882983414</v>
      </c>
      <c r="BV17">
        <v>0.5</v>
      </c>
      <c r="BW17" t="s">
        <v>281</v>
      </c>
      <c r="BX17">
        <v>1593106940.3</v>
      </c>
      <c r="BY17">
        <v>386.33512903225801</v>
      </c>
      <c r="BZ17">
        <v>400.01861290322603</v>
      </c>
      <c r="CA17">
        <v>19.890990322580599</v>
      </c>
      <c r="CB17">
        <v>16.5381419354839</v>
      </c>
      <c r="CC17">
        <v>500.05374193548403</v>
      </c>
      <c r="CD17">
        <v>99.2065870967742</v>
      </c>
      <c r="CE17">
        <v>0.19998716129032301</v>
      </c>
      <c r="CF17">
        <v>26.8684516129032</v>
      </c>
      <c r="CG17">
        <v>26.992535483870999</v>
      </c>
      <c r="CH17">
        <v>999.9</v>
      </c>
      <c r="CI17">
        <v>9998.6677419354801</v>
      </c>
      <c r="CJ17">
        <v>0</v>
      </c>
      <c r="CK17">
        <v>329.56190322580699</v>
      </c>
      <c r="CL17">
        <v>2200.0074193548398</v>
      </c>
      <c r="CM17">
        <v>0.98200438709677396</v>
      </c>
      <c r="CN17">
        <v>1.7995793548387099E-2</v>
      </c>
      <c r="CO17">
        <v>0</v>
      </c>
      <c r="CP17">
        <v>296.76535483870998</v>
      </c>
      <c r="CQ17">
        <v>5.00054</v>
      </c>
      <c r="CR17">
        <v>8898.7877419354809</v>
      </c>
      <c r="CS17">
        <v>20590.632258064499</v>
      </c>
      <c r="CT17">
        <v>49.330322580645202</v>
      </c>
      <c r="CU17">
        <v>50.3343548387097</v>
      </c>
      <c r="CV17">
        <v>49.304064516129003</v>
      </c>
      <c r="CW17">
        <v>49.656999999999996</v>
      </c>
      <c r="CX17">
        <v>50.665064516129</v>
      </c>
      <c r="CY17">
        <v>2155.5074193548398</v>
      </c>
      <c r="CZ17">
        <v>39.5</v>
      </c>
      <c r="DA17">
        <v>0</v>
      </c>
      <c r="DB17">
        <v>439.200000047684</v>
      </c>
      <c r="DC17">
        <v>296.694730769231</v>
      </c>
      <c r="DD17">
        <v>-5.8442051247284699</v>
      </c>
      <c r="DE17">
        <v>-42.130598233361802</v>
      </c>
      <c r="DF17">
        <v>8898.5499999999993</v>
      </c>
      <c r="DG17">
        <v>15</v>
      </c>
      <c r="DH17">
        <v>1593106915.8</v>
      </c>
      <c r="DI17" t="s">
        <v>282</v>
      </c>
      <c r="DJ17">
        <v>54</v>
      </c>
      <c r="DK17">
        <v>-0.36499999999999999</v>
      </c>
      <c r="DL17">
        <v>0.104</v>
      </c>
      <c r="DM17">
        <v>400</v>
      </c>
      <c r="DN17">
        <v>17</v>
      </c>
      <c r="DO17">
        <v>0.45</v>
      </c>
      <c r="DP17">
        <v>0.03</v>
      </c>
      <c r="DQ17">
        <v>-13.7422407407407</v>
      </c>
      <c r="DR17">
        <v>0.31225340194397</v>
      </c>
      <c r="DS17">
        <v>9.4258436145718494E-2</v>
      </c>
      <c r="DT17">
        <v>1</v>
      </c>
      <c r="DU17">
        <v>3.3122757407407399</v>
      </c>
      <c r="DV17">
        <v>0.54351940537451304</v>
      </c>
      <c r="DW17">
        <v>8.4606745125596197E-2</v>
      </c>
      <c r="DX17">
        <v>0</v>
      </c>
      <c r="DY17">
        <v>1</v>
      </c>
      <c r="DZ17">
        <v>2</v>
      </c>
      <c r="EA17" t="s">
        <v>283</v>
      </c>
      <c r="EB17">
        <v>1.8667899999999999</v>
      </c>
      <c r="EC17">
        <v>1.86327</v>
      </c>
      <c r="ED17">
        <v>1.8689100000000001</v>
      </c>
      <c r="EE17">
        <v>1.8669</v>
      </c>
      <c r="EF17">
        <v>1.87155</v>
      </c>
      <c r="EG17">
        <v>1.8640099999999999</v>
      </c>
      <c r="EH17">
        <v>1.86554</v>
      </c>
      <c r="EI17">
        <v>1.8654500000000001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-0.36499999999999999</v>
      </c>
      <c r="EX17">
        <v>0.104</v>
      </c>
      <c r="EY17">
        <v>2</v>
      </c>
      <c r="EZ17">
        <v>336.18</v>
      </c>
      <c r="FA17">
        <v>464.76100000000002</v>
      </c>
      <c r="FB17">
        <v>19.624099999999999</v>
      </c>
      <c r="FC17">
        <v>35.157200000000003</v>
      </c>
      <c r="FD17">
        <v>29.9953</v>
      </c>
      <c r="FE17">
        <v>34.909199999999998</v>
      </c>
      <c r="FF17">
        <v>34.8797</v>
      </c>
      <c r="FG17">
        <v>21.6812</v>
      </c>
      <c r="FH17">
        <v>42.280700000000003</v>
      </c>
      <c r="FI17">
        <v>0</v>
      </c>
      <c r="FJ17">
        <v>19.815899999999999</v>
      </c>
      <c r="FK17">
        <v>400</v>
      </c>
      <c r="FL17">
        <v>16.1327</v>
      </c>
      <c r="FM17">
        <v>100.718</v>
      </c>
      <c r="FN17">
        <v>100.843</v>
      </c>
    </row>
    <row r="18" spans="1:170" x14ac:dyDescent="0.25">
      <c r="A18">
        <v>2</v>
      </c>
      <c r="B18">
        <v>1593107074.8</v>
      </c>
      <c r="C18">
        <v>126.5</v>
      </c>
      <c r="D18" t="s">
        <v>288</v>
      </c>
      <c r="E18" t="s">
        <v>289</v>
      </c>
      <c r="G18">
        <v>1593107066.8</v>
      </c>
      <c r="H18">
        <f t="shared" si="0"/>
        <v>7.2651453810457173E-3</v>
      </c>
      <c r="I18">
        <f t="shared" si="1"/>
        <v>23.587808012859249</v>
      </c>
      <c r="J18">
        <f t="shared" si="2"/>
        <v>289.72209677419397</v>
      </c>
      <c r="K18">
        <f t="shared" si="3"/>
        <v>196.83514927758839</v>
      </c>
      <c r="L18">
        <f t="shared" si="4"/>
        <v>19.569037382804858</v>
      </c>
      <c r="M18">
        <f t="shared" si="5"/>
        <v>28.803709922780271</v>
      </c>
      <c r="N18">
        <f t="shared" si="6"/>
        <v>0.46520237874925752</v>
      </c>
      <c r="O18">
        <f t="shared" si="7"/>
        <v>3.3800684590749555</v>
      </c>
      <c r="P18">
        <f t="shared" si="8"/>
        <v>0.43233580253733417</v>
      </c>
      <c r="Q18">
        <f t="shared" si="9"/>
        <v>0.27296905820023359</v>
      </c>
      <c r="R18">
        <f t="shared" si="10"/>
        <v>353.33518479390534</v>
      </c>
      <c r="S18">
        <f t="shared" si="11"/>
        <v>27.154238483431783</v>
      </c>
      <c r="T18">
        <f t="shared" si="12"/>
        <v>27.100006451612899</v>
      </c>
      <c r="U18">
        <f t="shared" si="13"/>
        <v>3.6002363115342706</v>
      </c>
      <c r="V18">
        <f t="shared" si="14"/>
        <v>55.271290425587097</v>
      </c>
      <c r="W18">
        <f t="shared" si="15"/>
        <v>1.9764254640840264</v>
      </c>
      <c r="X18">
        <f t="shared" si="16"/>
        <v>3.5758627107592682</v>
      </c>
      <c r="Y18">
        <f t="shared" si="17"/>
        <v>1.6238108474502442</v>
      </c>
      <c r="Z18">
        <f t="shared" si="18"/>
        <v>-320.39291130411613</v>
      </c>
      <c r="AA18">
        <f t="shared" si="19"/>
        <v>-21.082989386961117</v>
      </c>
      <c r="AB18">
        <f t="shared" si="20"/>
        <v>-1.3466810814481542</v>
      </c>
      <c r="AC18">
        <f t="shared" si="21"/>
        <v>10.51260302137996</v>
      </c>
      <c r="AD18">
        <v>-4.1139180651724998E-2</v>
      </c>
      <c r="AE18">
        <v>4.61823342717275E-2</v>
      </c>
      <c r="AF18">
        <v>3.4522605131384001</v>
      </c>
      <c r="AG18">
        <v>145</v>
      </c>
      <c r="AH18">
        <v>29</v>
      </c>
      <c r="AI18">
        <f t="shared" si="22"/>
        <v>1</v>
      </c>
      <c r="AJ18">
        <f t="shared" si="23"/>
        <v>0</v>
      </c>
      <c r="AK18">
        <f t="shared" si="24"/>
        <v>52461.92799015966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278.65092307692299</v>
      </c>
      <c r="AT18">
        <v>359.56</v>
      </c>
      <c r="AU18">
        <f t="shared" si="27"/>
        <v>0.22502246335264497</v>
      </c>
      <c r="AV18">
        <v>0.5</v>
      </c>
      <c r="AW18">
        <f t="shared" si="28"/>
        <v>1849.174170676871</v>
      </c>
      <c r="AX18">
        <f t="shared" si="29"/>
        <v>23.587808012859249</v>
      </c>
      <c r="AY18">
        <f t="shared" si="30"/>
        <v>208.05286352689694</v>
      </c>
      <c r="AZ18">
        <f t="shared" si="31"/>
        <v>0.46701524084992774</v>
      </c>
      <c r="BA18">
        <f t="shared" si="32"/>
        <v>1.329664257848634E-2</v>
      </c>
      <c r="BB18">
        <f t="shared" si="33"/>
        <v>-1</v>
      </c>
      <c r="BC18" t="s">
        <v>291</v>
      </c>
      <c r="BD18">
        <v>191.64</v>
      </c>
      <c r="BE18">
        <f t="shared" si="34"/>
        <v>167.92000000000002</v>
      </c>
      <c r="BF18">
        <f t="shared" si="35"/>
        <v>0.48183109172866245</v>
      </c>
      <c r="BG18">
        <f t="shared" si="36"/>
        <v>1.8762262575662703</v>
      </c>
      <c r="BH18">
        <f t="shared" si="37"/>
        <v>0.22502246335264492</v>
      </c>
      <c r="BI18" t="e">
        <f t="shared" si="38"/>
        <v>#DIV/0!</v>
      </c>
      <c r="BJ18">
        <v>4027</v>
      </c>
      <c r="BK18">
        <v>300</v>
      </c>
      <c r="BL18">
        <v>300</v>
      </c>
      <c r="BM18">
        <v>300</v>
      </c>
      <c r="BN18">
        <v>9887.2999999999993</v>
      </c>
      <c r="BO18">
        <v>335.58600000000001</v>
      </c>
      <c r="BP18">
        <v>-6.4125099999999997E-3</v>
      </c>
      <c r="BQ18">
        <v>1.05386</v>
      </c>
      <c r="BR18">
        <f t="shared" si="39"/>
        <v>2199.9870967741899</v>
      </c>
      <c r="BS18">
        <f t="shared" si="40"/>
        <v>1849.174170676871</v>
      </c>
      <c r="BT18">
        <f t="shared" si="41"/>
        <v>0.84053864378945176</v>
      </c>
      <c r="BU18">
        <f t="shared" si="42"/>
        <v>0.19107728757890377</v>
      </c>
      <c r="BV18">
        <v>0.5</v>
      </c>
      <c r="BW18" t="s">
        <v>281</v>
      </c>
      <c r="BX18">
        <v>1593107066.8</v>
      </c>
      <c r="BY18">
        <v>289.72209677419397</v>
      </c>
      <c r="BZ18">
        <v>299.998032258065</v>
      </c>
      <c r="CA18">
        <v>19.8798741935484</v>
      </c>
      <c r="CB18">
        <v>17.031903225806399</v>
      </c>
      <c r="CC18">
        <v>500.055322580645</v>
      </c>
      <c r="CD18">
        <v>99.218400000000003</v>
      </c>
      <c r="CE18">
        <v>0.20000903225806399</v>
      </c>
      <c r="CF18">
        <v>26.9843096774194</v>
      </c>
      <c r="CG18">
        <v>27.100006451612899</v>
      </c>
      <c r="CH18">
        <v>999.9</v>
      </c>
      <c r="CI18">
        <v>9999.0661290322605</v>
      </c>
      <c r="CJ18">
        <v>0</v>
      </c>
      <c r="CK18">
        <v>2186.6425806451598</v>
      </c>
      <c r="CL18">
        <v>2199.9870967741899</v>
      </c>
      <c r="CM18">
        <v>0.98200309677419395</v>
      </c>
      <c r="CN18">
        <v>1.79971483870968E-2</v>
      </c>
      <c r="CO18">
        <v>0</v>
      </c>
      <c r="CP18">
        <v>278.66464516129003</v>
      </c>
      <c r="CQ18">
        <v>5.00054</v>
      </c>
      <c r="CR18">
        <v>8588.5345161290297</v>
      </c>
      <c r="CS18">
        <v>20590.422580645201</v>
      </c>
      <c r="CT18">
        <v>49.677</v>
      </c>
      <c r="CU18">
        <v>50.612741935483903</v>
      </c>
      <c r="CV18">
        <v>49.5741935483871</v>
      </c>
      <c r="CW18">
        <v>49.907032258064497</v>
      </c>
      <c r="CX18">
        <v>51.027999999999999</v>
      </c>
      <c r="CY18">
        <v>2155.48677419355</v>
      </c>
      <c r="CZ18">
        <v>39.500322580645197</v>
      </c>
      <c r="DA18">
        <v>0</v>
      </c>
      <c r="DB18">
        <v>126</v>
      </c>
      <c r="DC18">
        <v>278.65092307692299</v>
      </c>
      <c r="DD18">
        <v>-1.48882050888544</v>
      </c>
      <c r="DE18">
        <v>-3.3514532085204198</v>
      </c>
      <c r="DF18">
        <v>8589.0134615384595</v>
      </c>
      <c r="DG18">
        <v>15</v>
      </c>
      <c r="DH18">
        <v>1593107104.8</v>
      </c>
      <c r="DI18" t="s">
        <v>292</v>
      </c>
      <c r="DJ18">
        <v>55</v>
      </c>
      <c r="DK18">
        <v>-0.47099999999999997</v>
      </c>
      <c r="DL18">
        <v>0.11</v>
      </c>
      <c r="DM18">
        <v>300</v>
      </c>
      <c r="DN18">
        <v>17</v>
      </c>
      <c r="DO18">
        <v>0.2</v>
      </c>
      <c r="DP18">
        <v>0.03</v>
      </c>
      <c r="DQ18">
        <v>-10.150777777777799</v>
      </c>
      <c r="DR18">
        <v>-0.22459005145796199</v>
      </c>
      <c r="DS18">
        <v>6.6124553255276303E-2</v>
      </c>
      <c r="DT18">
        <v>1</v>
      </c>
      <c r="DU18">
        <v>2.8595027777777799</v>
      </c>
      <c r="DV18">
        <v>-7.8573036020590306E-2</v>
      </c>
      <c r="DW18">
        <v>3.8831211263748597E-2</v>
      </c>
      <c r="DX18">
        <v>1</v>
      </c>
      <c r="DY18">
        <v>2</v>
      </c>
      <c r="DZ18">
        <v>2</v>
      </c>
      <c r="EA18" t="s">
        <v>293</v>
      </c>
      <c r="EB18">
        <v>1.8666499999999999</v>
      </c>
      <c r="EC18">
        <v>1.86313</v>
      </c>
      <c r="ED18">
        <v>1.8687800000000001</v>
      </c>
      <c r="EE18">
        <v>1.86676</v>
      </c>
      <c r="EF18">
        <v>1.8714</v>
      </c>
      <c r="EG18">
        <v>1.8638600000000001</v>
      </c>
      <c r="EH18">
        <v>1.8653900000000001</v>
      </c>
      <c r="EI18">
        <v>1.8653500000000001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-0.47099999999999997</v>
      </c>
      <c r="EX18">
        <v>0.11</v>
      </c>
      <c r="EY18">
        <v>2</v>
      </c>
      <c r="EZ18">
        <v>335.11900000000003</v>
      </c>
      <c r="FA18">
        <v>463.697</v>
      </c>
      <c r="FB18">
        <v>18.619599999999998</v>
      </c>
      <c r="FC18">
        <v>35.494700000000002</v>
      </c>
      <c r="FD18">
        <v>30.000699999999998</v>
      </c>
      <c r="FE18">
        <v>35.219900000000003</v>
      </c>
      <c r="FF18">
        <v>35.173499999999997</v>
      </c>
      <c r="FG18">
        <v>17.147500000000001</v>
      </c>
      <c r="FH18">
        <v>39.792999999999999</v>
      </c>
      <c r="FI18">
        <v>0</v>
      </c>
      <c r="FJ18">
        <v>17.739799999999999</v>
      </c>
      <c r="FK18">
        <v>300</v>
      </c>
      <c r="FL18">
        <v>16.947399999999998</v>
      </c>
      <c r="FM18">
        <v>100.651</v>
      </c>
      <c r="FN18">
        <v>100.768</v>
      </c>
    </row>
    <row r="19" spans="1:170" x14ac:dyDescent="0.25">
      <c r="A19">
        <v>3</v>
      </c>
      <c r="B19">
        <v>1593107230.3</v>
      </c>
      <c r="C19">
        <v>282</v>
      </c>
      <c r="D19" t="s">
        <v>294</v>
      </c>
      <c r="E19" t="s">
        <v>295</v>
      </c>
      <c r="G19">
        <v>1593107222.3</v>
      </c>
      <c r="H19">
        <f t="shared" si="0"/>
        <v>8.4802854117637782E-3</v>
      </c>
      <c r="I19">
        <f t="shared" si="1"/>
        <v>14.92897149365035</v>
      </c>
      <c r="J19">
        <f t="shared" si="2"/>
        <v>193.37248387096801</v>
      </c>
      <c r="K19">
        <f t="shared" si="3"/>
        <v>141.80615820018974</v>
      </c>
      <c r="L19">
        <f t="shared" si="4"/>
        <v>14.098627620874995</v>
      </c>
      <c r="M19">
        <f t="shared" si="5"/>
        <v>19.225446037200282</v>
      </c>
      <c r="N19">
        <f t="shared" si="6"/>
        <v>0.5460840032364086</v>
      </c>
      <c r="O19">
        <f t="shared" si="7"/>
        <v>3.3793782518281663</v>
      </c>
      <c r="P19">
        <f t="shared" si="8"/>
        <v>0.50137519168425093</v>
      </c>
      <c r="Q19">
        <f t="shared" si="9"/>
        <v>0.31707081230457207</v>
      </c>
      <c r="R19">
        <f t="shared" si="10"/>
        <v>353.33639851297892</v>
      </c>
      <c r="S19">
        <f t="shared" si="11"/>
        <v>26.854406822127189</v>
      </c>
      <c r="T19">
        <f t="shared" si="12"/>
        <v>27.105425806451599</v>
      </c>
      <c r="U19">
        <f t="shared" si="13"/>
        <v>3.6013815425168758</v>
      </c>
      <c r="V19">
        <f t="shared" si="14"/>
        <v>55.079036754986056</v>
      </c>
      <c r="W19">
        <f t="shared" si="15"/>
        <v>1.9668463293200216</v>
      </c>
      <c r="X19">
        <f t="shared" si="16"/>
        <v>3.5709526622067731</v>
      </c>
      <c r="Y19">
        <f t="shared" si="17"/>
        <v>1.6345352131968542</v>
      </c>
      <c r="Z19">
        <f t="shared" si="18"/>
        <v>-373.98058665878261</v>
      </c>
      <c r="AA19">
        <f t="shared" si="19"/>
        <v>-26.327491738327293</v>
      </c>
      <c r="AB19">
        <f t="shared" si="20"/>
        <v>-1.6818673364247343</v>
      </c>
      <c r="AC19">
        <f t="shared" si="21"/>
        <v>-48.653547220555708</v>
      </c>
      <c r="AD19">
        <v>-4.1128509945256901E-2</v>
      </c>
      <c r="AE19">
        <v>4.6170355468911801E-2</v>
      </c>
      <c r="AF19">
        <v>3.4515515806713699</v>
      </c>
      <c r="AG19">
        <v>145</v>
      </c>
      <c r="AH19">
        <v>29</v>
      </c>
      <c r="AI19">
        <f t="shared" si="22"/>
        <v>1</v>
      </c>
      <c r="AJ19">
        <f t="shared" si="23"/>
        <v>0</v>
      </c>
      <c r="AK19">
        <f t="shared" si="24"/>
        <v>52453.039477085265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296</v>
      </c>
      <c r="AS19">
        <v>273.98765384615399</v>
      </c>
      <c r="AT19">
        <v>338.79199999999997</v>
      </c>
      <c r="AU19">
        <f t="shared" si="27"/>
        <v>0.19128062691517511</v>
      </c>
      <c r="AV19">
        <v>0.5</v>
      </c>
      <c r="AW19">
        <f t="shared" si="28"/>
        <v>1849.1794448703911</v>
      </c>
      <c r="AX19">
        <f t="shared" si="29"/>
        <v>14.92897149365035</v>
      </c>
      <c r="AY19">
        <f t="shared" si="30"/>
        <v>176.85610174673195</v>
      </c>
      <c r="AZ19">
        <f t="shared" si="31"/>
        <v>0.42336300739096544</v>
      </c>
      <c r="BA19">
        <f t="shared" si="32"/>
        <v>8.6140755770551039E-3</v>
      </c>
      <c r="BB19">
        <f t="shared" si="33"/>
        <v>-1</v>
      </c>
      <c r="BC19" t="s">
        <v>297</v>
      </c>
      <c r="BD19">
        <v>195.36</v>
      </c>
      <c r="BE19">
        <f t="shared" si="34"/>
        <v>143.43199999999996</v>
      </c>
      <c r="BF19">
        <f t="shared" si="35"/>
        <v>0.45181233025995593</v>
      </c>
      <c r="BG19">
        <f t="shared" si="36"/>
        <v>1.7341932841932839</v>
      </c>
      <c r="BH19">
        <f t="shared" si="37"/>
        <v>0.19128062691517506</v>
      </c>
      <c r="BI19" t="e">
        <f t="shared" si="38"/>
        <v>#DIV/0!</v>
      </c>
      <c r="BJ19">
        <v>4029</v>
      </c>
      <c r="BK19">
        <v>300</v>
      </c>
      <c r="BL19">
        <v>300</v>
      </c>
      <c r="BM19">
        <v>300</v>
      </c>
      <c r="BN19">
        <v>9887.49</v>
      </c>
      <c r="BO19">
        <v>320.45400000000001</v>
      </c>
      <c r="BP19">
        <v>-6.41275E-3</v>
      </c>
      <c r="BQ19">
        <v>1.15198</v>
      </c>
      <c r="BR19">
        <f t="shared" si="39"/>
        <v>2199.99322580645</v>
      </c>
      <c r="BS19">
        <f t="shared" si="40"/>
        <v>1849.1794448703911</v>
      </c>
      <c r="BT19">
        <f t="shared" si="41"/>
        <v>0.84053869947373983</v>
      </c>
      <c r="BU19">
        <f t="shared" si="42"/>
        <v>0.19107739894747977</v>
      </c>
      <c r="BV19">
        <v>0.5</v>
      </c>
      <c r="BW19" t="s">
        <v>281</v>
      </c>
      <c r="BX19">
        <v>1593107222.3</v>
      </c>
      <c r="BY19">
        <v>193.37248387096801</v>
      </c>
      <c r="BZ19">
        <v>199.999129032258</v>
      </c>
      <c r="CA19">
        <v>19.782841935483901</v>
      </c>
      <c r="CB19">
        <v>16.4582774193548</v>
      </c>
      <c r="CC19">
        <v>500.06677419354799</v>
      </c>
      <c r="CD19">
        <v>99.221825806451605</v>
      </c>
      <c r="CE19">
        <v>0.20000325806451599</v>
      </c>
      <c r="CF19">
        <v>26.960919354838701</v>
      </c>
      <c r="CG19">
        <v>27.105425806451599</v>
      </c>
      <c r="CH19">
        <v>999.9</v>
      </c>
      <c r="CI19">
        <v>9996.1274193548397</v>
      </c>
      <c r="CJ19">
        <v>0</v>
      </c>
      <c r="CK19">
        <v>2210.1964516129001</v>
      </c>
      <c r="CL19">
        <v>2199.99322580645</v>
      </c>
      <c r="CM19">
        <v>0.982002451612904</v>
      </c>
      <c r="CN19">
        <v>1.7997825806451598E-2</v>
      </c>
      <c r="CO19">
        <v>0</v>
      </c>
      <c r="CP19">
        <v>273.97577419354798</v>
      </c>
      <c r="CQ19">
        <v>5.00054</v>
      </c>
      <c r="CR19">
        <v>8484.2254838709705</v>
      </c>
      <c r="CS19">
        <v>20590.470967741901</v>
      </c>
      <c r="CT19">
        <v>49.640935483870997</v>
      </c>
      <c r="CU19">
        <v>50.625</v>
      </c>
      <c r="CV19">
        <v>49.628999999999998</v>
      </c>
      <c r="CW19">
        <v>49.790064516129</v>
      </c>
      <c r="CX19">
        <v>50.991870967741903</v>
      </c>
      <c r="CY19">
        <v>2155.48870967742</v>
      </c>
      <c r="CZ19">
        <v>39.504516129032297</v>
      </c>
      <c r="DA19">
        <v>0</v>
      </c>
      <c r="DB19">
        <v>155</v>
      </c>
      <c r="DC19">
        <v>273.98765384615399</v>
      </c>
      <c r="DD19">
        <v>-1.02635896393179</v>
      </c>
      <c r="DE19">
        <v>-24.114871693567299</v>
      </c>
      <c r="DF19">
        <v>8483.9676923076895</v>
      </c>
      <c r="DG19">
        <v>15</v>
      </c>
      <c r="DH19">
        <v>1593107180.8</v>
      </c>
      <c r="DI19" t="s">
        <v>298</v>
      </c>
      <c r="DJ19">
        <v>56</v>
      </c>
      <c r="DK19">
        <v>-0.40400000000000003</v>
      </c>
      <c r="DL19">
        <v>0.10199999999999999</v>
      </c>
      <c r="DM19">
        <v>200</v>
      </c>
      <c r="DN19">
        <v>17</v>
      </c>
      <c r="DO19">
        <v>0.28999999999999998</v>
      </c>
      <c r="DP19">
        <v>0.02</v>
      </c>
      <c r="DQ19">
        <v>-6.6361092592592597</v>
      </c>
      <c r="DR19">
        <v>0.1024978845054</v>
      </c>
      <c r="DS19">
        <v>4.9412253647879802E-2</v>
      </c>
      <c r="DT19">
        <v>1</v>
      </c>
      <c r="DU19">
        <v>3.3156198148148199</v>
      </c>
      <c r="DV19">
        <v>8.7198490566045297E-2</v>
      </c>
      <c r="DW19">
        <v>2.4464747842615198E-2</v>
      </c>
      <c r="DX19">
        <v>1</v>
      </c>
      <c r="DY19">
        <v>2</v>
      </c>
      <c r="DZ19">
        <v>2</v>
      </c>
      <c r="EA19" t="s">
        <v>293</v>
      </c>
      <c r="EB19">
        <v>1.8666400000000001</v>
      </c>
      <c r="EC19">
        <v>1.86311</v>
      </c>
      <c r="ED19">
        <v>1.8687800000000001</v>
      </c>
      <c r="EE19">
        <v>1.86676</v>
      </c>
      <c r="EF19">
        <v>1.8714500000000001</v>
      </c>
      <c r="EG19">
        <v>1.8638600000000001</v>
      </c>
      <c r="EH19">
        <v>1.8653900000000001</v>
      </c>
      <c r="EI19">
        <v>1.8653200000000001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-0.40400000000000003</v>
      </c>
      <c r="EX19">
        <v>0.10199999999999999</v>
      </c>
      <c r="EY19">
        <v>2</v>
      </c>
      <c r="EZ19">
        <v>334.85</v>
      </c>
      <c r="FA19">
        <v>462.50400000000002</v>
      </c>
      <c r="FB19">
        <v>18.716999999999999</v>
      </c>
      <c r="FC19">
        <v>35.673499999999997</v>
      </c>
      <c r="FD19">
        <v>30.000299999999999</v>
      </c>
      <c r="FE19">
        <v>35.395800000000001</v>
      </c>
      <c r="FF19">
        <v>35.347900000000003</v>
      </c>
      <c r="FG19">
        <v>12.402200000000001</v>
      </c>
      <c r="FH19">
        <v>42.2301</v>
      </c>
      <c r="FI19">
        <v>0</v>
      </c>
      <c r="FJ19">
        <v>17.6693</v>
      </c>
      <c r="FK19">
        <v>200</v>
      </c>
      <c r="FL19">
        <v>16.4709</v>
      </c>
      <c r="FM19">
        <v>100.639</v>
      </c>
      <c r="FN19">
        <v>100.767</v>
      </c>
    </row>
    <row r="20" spans="1:170" x14ac:dyDescent="0.25">
      <c r="A20">
        <v>4</v>
      </c>
      <c r="B20">
        <v>1593107355.8</v>
      </c>
      <c r="C20">
        <v>407.5</v>
      </c>
      <c r="D20" t="s">
        <v>299</v>
      </c>
      <c r="E20" t="s">
        <v>300</v>
      </c>
      <c r="G20">
        <v>1593107347.8</v>
      </c>
      <c r="H20">
        <f t="shared" si="0"/>
        <v>8.5253276323565483E-3</v>
      </c>
      <c r="I20">
        <f t="shared" si="1"/>
        <v>5.4713878727844873</v>
      </c>
      <c r="J20">
        <f t="shared" si="2"/>
        <v>97.507974193548407</v>
      </c>
      <c r="K20">
        <f t="shared" si="3"/>
        <v>78.007269103165697</v>
      </c>
      <c r="L20">
        <f t="shared" si="4"/>
        <v>7.7561473488822203</v>
      </c>
      <c r="M20">
        <f t="shared" si="5"/>
        <v>9.6950736031531566</v>
      </c>
      <c r="N20">
        <f t="shared" si="6"/>
        <v>0.54953638816327977</v>
      </c>
      <c r="O20">
        <f t="shared" si="7"/>
        <v>3.3803890312339147</v>
      </c>
      <c r="P20">
        <f t="shared" si="8"/>
        <v>0.50429789703511718</v>
      </c>
      <c r="Q20">
        <f t="shared" si="9"/>
        <v>0.31893976760052911</v>
      </c>
      <c r="R20">
        <f t="shared" si="10"/>
        <v>353.33526964365268</v>
      </c>
      <c r="S20">
        <f t="shared" si="11"/>
        <v>26.925820045497346</v>
      </c>
      <c r="T20">
        <f t="shared" si="12"/>
        <v>27.149174193548401</v>
      </c>
      <c r="U20">
        <f t="shared" si="13"/>
        <v>3.610638206495949</v>
      </c>
      <c r="V20">
        <f t="shared" si="14"/>
        <v>55.098467468560351</v>
      </c>
      <c r="W20">
        <f t="shared" si="15"/>
        <v>1.9769956456616344</v>
      </c>
      <c r="X20">
        <f t="shared" si="16"/>
        <v>3.5881136744678512</v>
      </c>
      <c r="Y20">
        <f t="shared" si="17"/>
        <v>1.6336425608343146</v>
      </c>
      <c r="Z20">
        <f t="shared" si="18"/>
        <v>-375.96694858692376</v>
      </c>
      <c r="AA20">
        <f t="shared" si="19"/>
        <v>-19.431863724896132</v>
      </c>
      <c r="AB20">
        <f t="shared" si="20"/>
        <v>-1.2417638476035702</v>
      </c>
      <c r="AC20">
        <f t="shared" si="21"/>
        <v>-43.305306515770795</v>
      </c>
      <c r="AD20">
        <v>-4.1144137076861001E-2</v>
      </c>
      <c r="AE20">
        <v>4.6187898293149399E-2</v>
      </c>
      <c r="AF20">
        <v>3.45258978295506</v>
      </c>
      <c r="AG20">
        <v>145</v>
      </c>
      <c r="AH20">
        <v>29</v>
      </c>
      <c r="AI20">
        <f t="shared" si="22"/>
        <v>1</v>
      </c>
      <c r="AJ20">
        <f t="shared" si="23"/>
        <v>0</v>
      </c>
      <c r="AK20">
        <f t="shared" si="24"/>
        <v>52458.025138235753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301</v>
      </c>
      <c r="AS20">
        <v>276.11161538461499</v>
      </c>
      <c r="AT20">
        <v>325.48399999999998</v>
      </c>
      <c r="AU20">
        <f t="shared" si="27"/>
        <v>0.1516891294668401</v>
      </c>
      <c r="AV20">
        <v>0.5</v>
      </c>
      <c r="AW20">
        <f t="shared" si="28"/>
        <v>1849.1747029349378</v>
      </c>
      <c r="AX20">
        <f t="shared" si="29"/>
        <v>5.4713878727844873</v>
      </c>
      <c r="AY20">
        <f t="shared" si="30"/>
        <v>140.24985046015169</v>
      </c>
      <c r="AZ20">
        <f t="shared" si="31"/>
        <v>0.36918558208698427</v>
      </c>
      <c r="BA20">
        <f t="shared" si="32"/>
        <v>3.4996086970654279E-3</v>
      </c>
      <c r="BB20">
        <f t="shared" si="33"/>
        <v>-1</v>
      </c>
      <c r="BC20" t="s">
        <v>302</v>
      </c>
      <c r="BD20">
        <v>205.32</v>
      </c>
      <c r="BE20">
        <f t="shared" si="34"/>
        <v>120.16399999999999</v>
      </c>
      <c r="BF20">
        <f t="shared" si="35"/>
        <v>0.41087500928218929</v>
      </c>
      <c r="BG20">
        <f t="shared" si="36"/>
        <v>1.5852522891096823</v>
      </c>
      <c r="BH20">
        <f t="shared" si="37"/>
        <v>0.15168912946684013</v>
      </c>
      <c r="BI20" t="e">
        <f t="shared" si="38"/>
        <v>#DIV/0!</v>
      </c>
      <c r="BJ20">
        <v>4031</v>
      </c>
      <c r="BK20">
        <v>300</v>
      </c>
      <c r="BL20">
        <v>300</v>
      </c>
      <c r="BM20">
        <v>300</v>
      </c>
      <c r="BN20">
        <v>9885.94</v>
      </c>
      <c r="BO20">
        <v>312.25099999999998</v>
      </c>
      <c r="BP20">
        <v>-6.4116800000000003E-3</v>
      </c>
      <c r="BQ20">
        <v>0.43542500000000001</v>
      </c>
      <c r="BR20">
        <f t="shared" si="39"/>
        <v>2199.9877419354798</v>
      </c>
      <c r="BS20">
        <f t="shared" si="40"/>
        <v>1849.1747029349378</v>
      </c>
      <c r="BT20">
        <f t="shared" si="41"/>
        <v>0.84053863923264061</v>
      </c>
      <c r="BU20">
        <f t="shared" si="42"/>
        <v>0.19107727846528116</v>
      </c>
      <c r="BV20">
        <v>0.5</v>
      </c>
      <c r="BW20" t="s">
        <v>281</v>
      </c>
      <c r="BX20">
        <v>1593107347.8</v>
      </c>
      <c r="BY20">
        <v>97.507974193548407</v>
      </c>
      <c r="BZ20">
        <v>100.02871612903201</v>
      </c>
      <c r="CA20">
        <v>19.8835870967742</v>
      </c>
      <c r="CB20">
        <v>16.5416967741936</v>
      </c>
      <c r="CC20">
        <v>500.06509677419399</v>
      </c>
      <c r="CD20">
        <v>99.228535483870999</v>
      </c>
      <c r="CE20">
        <v>0.199984935483871</v>
      </c>
      <c r="CF20">
        <v>27.042548387096801</v>
      </c>
      <c r="CG20">
        <v>27.149174193548401</v>
      </c>
      <c r="CH20">
        <v>999.9</v>
      </c>
      <c r="CI20">
        <v>9999.2493548387101</v>
      </c>
      <c r="CJ20">
        <v>0</v>
      </c>
      <c r="CK20">
        <v>2212.0006451612899</v>
      </c>
      <c r="CL20">
        <v>2199.9877419354798</v>
      </c>
      <c r="CM20">
        <v>0.98200496774193502</v>
      </c>
      <c r="CN20">
        <v>1.7995183870967699E-2</v>
      </c>
      <c r="CO20">
        <v>0</v>
      </c>
      <c r="CP20">
        <v>276.10229032258098</v>
      </c>
      <c r="CQ20">
        <v>5.00054</v>
      </c>
      <c r="CR20">
        <v>8496.4203225806505</v>
      </c>
      <c r="CS20">
        <v>20590.4580645161</v>
      </c>
      <c r="CT20">
        <v>49.856645161290302</v>
      </c>
      <c r="CU20">
        <v>50.941064516129003</v>
      </c>
      <c r="CV20">
        <v>49.850612903225802</v>
      </c>
      <c r="CW20">
        <v>49.999806451612898</v>
      </c>
      <c r="CX20">
        <v>51.183</v>
      </c>
      <c r="CY20">
        <v>2155.4877419354798</v>
      </c>
      <c r="CZ20">
        <v>39.5</v>
      </c>
      <c r="DA20">
        <v>0</v>
      </c>
      <c r="DB20">
        <v>124.90000009536701</v>
      </c>
      <c r="DC20">
        <v>276.11161538461499</v>
      </c>
      <c r="DD20">
        <v>0.15063247190538501</v>
      </c>
      <c r="DE20">
        <v>2.07829054769973</v>
      </c>
      <c r="DF20">
        <v>8496.3603846153801</v>
      </c>
      <c r="DG20">
        <v>15</v>
      </c>
      <c r="DH20">
        <v>1593107303.8</v>
      </c>
      <c r="DI20" t="s">
        <v>303</v>
      </c>
      <c r="DJ20">
        <v>57</v>
      </c>
      <c r="DK20">
        <v>-0.39800000000000002</v>
      </c>
      <c r="DL20">
        <v>0.10299999999999999</v>
      </c>
      <c r="DM20">
        <v>100</v>
      </c>
      <c r="DN20">
        <v>17</v>
      </c>
      <c r="DO20">
        <v>0.18</v>
      </c>
      <c r="DP20">
        <v>0.03</v>
      </c>
      <c r="DQ20">
        <v>-2.5212457407407398</v>
      </c>
      <c r="DR20">
        <v>2.9749616923955401E-2</v>
      </c>
      <c r="DS20">
        <v>3.15484974462805E-2</v>
      </c>
      <c r="DT20">
        <v>1</v>
      </c>
      <c r="DU20">
        <v>3.3331555555555599</v>
      </c>
      <c r="DV20">
        <v>9.1415071469413106E-2</v>
      </c>
      <c r="DW20">
        <v>1.53275675955144E-2</v>
      </c>
      <c r="DX20">
        <v>1</v>
      </c>
      <c r="DY20">
        <v>2</v>
      </c>
      <c r="DZ20">
        <v>2</v>
      </c>
      <c r="EA20" t="s">
        <v>293</v>
      </c>
      <c r="EB20">
        <v>1.8666400000000001</v>
      </c>
      <c r="EC20">
        <v>1.8632</v>
      </c>
      <c r="ED20">
        <v>1.86876</v>
      </c>
      <c r="EE20">
        <v>1.86676</v>
      </c>
      <c r="EF20">
        <v>1.8714500000000001</v>
      </c>
      <c r="EG20">
        <v>1.8638600000000001</v>
      </c>
      <c r="EH20">
        <v>1.8653900000000001</v>
      </c>
      <c r="EI20">
        <v>1.8653200000000001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-0.39800000000000002</v>
      </c>
      <c r="EX20">
        <v>0.10299999999999999</v>
      </c>
      <c r="EY20">
        <v>2</v>
      </c>
      <c r="EZ20">
        <v>334.38299999999998</v>
      </c>
      <c r="FA20">
        <v>461.12799999999999</v>
      </c>
      <c r="FB20">
        <v>18.8339</v>
      </c>
      <c r="FC20">
        <v>35.837299999999999</v>
      </c>
      <c r="FD20">
        <v>30.000800000000002</v>
      </c>
      <c r="FE20">
        <v>35.561799999999998</v>
      </c>
      <c r="FF20">
        <v>35.517899999999997</v>
      </c>
      <c r="FG20">
        <v>7.4728000000000003</v>
      </c>
      <c r="FH20">
        <v>42.537399999999998</v>
      </c>
      <c r="FI20">
        <v>0</v>
      </c>
      <c r="FJ20">
        <v>17.737300000000001</v>
      </c>
      <c r="FK20">
        <v>100</v>
      </c>
      <c r="FL20">
        <v>16.479099999999999</v>
      </c>
      <c r="FM20">
        <v>100.611</v>
      </c>
      <c r="FN20">
        <v>100.738</v>
      </c>
    </row>
    <row r="21" spans="1:170" x14ac:dyDescent="0.25">
      <c r="A21">
        <v>5</v>
      </c>
      <c r="B21">
        <v>1593107476.3</v>
      </c>
      <c r="C21">
        <v>528</v>
      </c>
      <c r="D21" t="s">
        <v>304</v>
      </c>
      <c r="E21" t="s">
        <v>305</v>
      </c>
      <c r="G21">
        <v>1593107468.31936</v>
      </c>
      <c r="H21">
        <f t="shared" si="0"/>
        <v>8.6476168335374286E-3</v>
      </c>
      <c r="I21">
        <f t="shared" si="1"/>
        <v>0.49291599121128887</v>
      </c>
      <c r="J21">
        <f t="shared" si="2"/>
        <v>49.639516129032302</v>
      </c>
      <c r="K21">
        <f t="shared" si="3"/>
        <v>46.880657491871496</v>
      </c>
      <c r="L21">
        <f t="shared" si="4"/>
        <v>4.6615268040650308</v>
      </c>
      <c r="M21">
        <f t="shared" si="5"/>
        <v>4.9358508893870257</v>
      </c>
      <c r="N21">
        <f t="shared" si="6"/>
        <v>0.56998292976950748</v>
      </c>
      <c r="O21">
        <f t="shared" si="7"/>
        <v>3.3807105121212788</v>
      </c>
      <c r="P21">
        <f t="shared" si="8"/>
        <v>0.52147867050516528</v>
      </c>
      <c r="Q21">
        <f t="shared" si="9"/>
        <v>0.32993743066085046</v>
      </c>
      <c r="R21">
        <f t="shared" si="10"/>
        <v>353.34053261797305</v>
      </c>
      <c r="S21">
        <f t="shared" si="11"/>
        <v>26.733140030994416</v>
      </c>
      <c r="T21">
        <f t="shared" si="12"/>
        <v>26.945070967741898</v>
      </c>
      <c r="U21">
        <f t="shared" si="13"/>
        <v>3.5676291470589536</v>
      </c>
      <c r="V21">
        <f t="shared" si="14"/>
        <v>55.285962658719654</v>
      </c>
      <c r="W21">
        <f t="shared" si="15"/>
        <v>1.964599040692296</v>
      </c>
      <c r="X21">
        <f t="shared" si="16"/>
        <v>3.5535223521742205</v>
      </c>
      <c r="Y21">
        <f t="shared" si="17"/>
        <v>1.6030301063666577</v>
      </c>
      <c r="Z21">
        <f t="shared" si="18"/>
        <v>-381.35990235900061</v>
      </c>
      <c r="AA21">
        <f t="shared" si="19"/>
        <v>-12.286734062823889</v>
      </c>
      <c r="AB21">
        <f t="shared" si="20"/>
        <v>-0.78364335615920233</v>
      </c>
      <c r="AC21">
        <f t="shared" si="21"/>
        <v>-41.089747160010639</v>
      </c>
      <c r="AD21">
        <v>-4.1149107763526503E-2</v>
      </c>
      <c r="AE21">
        <v>4.6193478324387499E-2</v>
      </c>
      <c r="AF21">
        <v>3.4529199865266098</v>
      </c>
      <c r="AG21">
        <v>145</v>
      </c>
      <c r="AH21">
        <v>29</v>
      </c>
      <c r="AI21">
        <f t="shared" si="22"/>
        <v>1</v>
      </c>
      <c r="AJ21">
        <f t="shared" si="23"/>
        <v>0</v>
      </c>
      <c r="AK21">
        <f t="shared" si="24"/>
        <v>52493.067142365457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306</v>
      </c>
      <c r="AS21">
        <v>277.77892307692298</v>
      </c>
      <c r="AT21">
        <v>314.63799999999998</v>
      </c>
      <c r="AU21">
        <f t="shared" si="27"/>
        <v>0.11714756934342641</v>
      </c>
      <c r="AV21">
        <v>0.5</v>
      </c>
      <c r="AW21">
        <f t="shared" si="28"/>
        <v>1849.1967480960766</v>
      </c>
      <c r="AX21">
        <f t="shared" si="29"/>
        <v>0.49291599121128887</v>
      </c>
      <c r="AY21">
        <f t="shared" si="30"/>
        <v>108.31445213861187</v>
      </c>
      <c r="AZ21">
        <f t="shared" si="31"/>
        <v>0.3436266439527329</v>
      </c>
      <c r="BA21">
        <f t="shared" si="32"/>
        <v>8.0733215259457241E-4</v>
      </c>
      <c r="BB21">
        <f t="shared" si="33"/>
        <v>-1</v>
      </c>
      <c r="BC21" t="s">
        <v>307</v>
      </c>
      <c r="BD21">
        <v>206.52</v>
      </c>
      <c r="BE21">
        <f t="shared" si="34"/>
        <v>108.11799999999997</v>
      </c>
      <c r="BF21">
        <f t="shared" si="35"/>
        <v>0.34091526779145942</v>
      </c>
      <c r="BG21">
        <f t="shared" si="36"/>
        <v>1.5235231454580669</v>
      </c>
      <c r="BH21">
        <f t="shared" si="37"/>
        <v>0.11714756934342642</v>
      </c>
      <c r="BI21" t="e">
        <f t="shared" si="38"/>
        <v>#DIV/0!</v>
      </c>
      <c r="BJ21">
        <v>4033</v>
      </c>
      <c r="BK21">
        <v>300</v>
      </c>
      <c r="BL21">
        <v>300</v>
      </c>
      <c r="BM21">
        <v>300</v>
      </c>
      <c r="BN21">
        <v>9884.85</v>
      </c>
      <c r="BO21">
        <v>307.06299999999999</v>
      </c>
      <c r="BP21">
        <v>-6.4107399999999998E-3</v>
      </c>
      <c r="BQ21">
        <v>0.766235</v>
      </c>
      <c r="BR21">
        <f t="shared" si="39"/>
        <v>2200.01322580645</v>
      </c>
      <c r="BS21">
        <f t="shared" si="40"/>
        <v>1849.1967480960766</v>
      </c>
      <c r="BT21">
        <f t="shared" si="41"/>
        <v>0.8405389233140742</v>
      </c>
      <c r="BU21">
        <f t="shared" si="42"/>
        <v>0.1910778466281485</v>
      </c>
      <c r="BV21">
        <v>0.5</v>
      </c>
      <c r="BW21" t="s">
        <v>281</v>
      </c>
      <c r="BX21">
        <v>1593107468.31936</v>
      </c>
      <c r="BY21">
        <v>49.639516129032302</v>
      </c>
      <c r="BZ21">
        <v>50.008341935483898</v>
      </c>
      <c r="CA21">
        <v>19.757838709677401</v>
      </c>
      <c r="CB21">
        <v>16.3675580645161</v>
      </c>
      <c r="CC21">
        <v>500.06235483871001</v>
      </c>
      <c r="CD21">
        <v>99.233883870967801</v>
      </c>
      <c r="CE21">
        <v>0.20002029032258101</v>
      </c>
      <c r="CF21">
        <v>26.877658064516101</v>
      </c>
      <c r="CG21">
        <v>26.945070967741898</v>
      </c>
      <c r="CH21">
        <v>999.9</v>
      </c>
      <c r="CI21">
        <v>9999.9183870967809</v>
      </c>
      <c r="CJ21">
        <v>0</v>
      </c>
      <c r="CK21">
        <v>1879.25903225806</v>
      </c>
      <c r="CL21">
        <v>2200.01322580645</v>
      </c>
      <c r="CM21">
        <v>0.98199396774193604</v>
      </c>
      <c r="CN21">
        <v>1.8005735483871001E-2</v>
      </c>
      <c r="CO21">
        <v>0</v>
      </c>
      <c r="CP21">
        <v>277.76922580645203</v>
      </c>
      <c r="CQ21">
        <v>5.00054</v>
      </c>
      <c r="CR21">
        <v>8235.3022580645193</v>
      </c>
      <c r="CS21">
        <v>20590.641935483902</v>
      </c>
      <c r="CT21">
        <v>50.1208064516129</v>
      </c>
      <c r="CU21">
        <v>51.090451612903202</v>
      </c>
      <c r="CV21">
        <v>50.006</v>
      </c>
      <c r="CW21">
        <v>50.255870967741899</v>
      </c>
      <c r="CX21">
        <v>51.417000000000002</v>
      </c>
      <c r="CY21">
        <v>2155.4919354838698</v>
      </c>
      <c r="CZ21">
        <v>39.521290322580597</v>
      </c>
      <c r="DA21">
        <v>0</v>
      </c>
      <c r="DB21">
        <v>119.89999985694899</v>
      </c>
      <c r="DC21">
        <v>277.77892307692298</v>
      </c>
      <c r="DD21">
        <v>-5.2170941258997801E-2</v>
      </c>
      <c r="DE21">
        <v>-1470.4478669170201</v>
      </c>
      <c r="DF21">
        <v>8236.9715384615392</v>
      </c>
      <c r="DG21">
        <v>15</v>
      </c>
      <c r="DH21">
        <v>1593107427.3</v>
      </c>
      <c r="DI21" t="s">
        <v>308</v>
      </c>
      <c r="DJ21">
        <v>58</v>
      </c>
      <c r="DK21">
        <v>-0.35499999999999998</v>
      </c>
      <c r="DL21">
        <v>0.10299999999999999</v>
      </c>
      <c r="DM21">
        <v>50</v>
      </c>
      <c r="DN21">
        <v>17</v>
      </c>
      <c r="DO21">
        <v>0.61</v>
      </c>
      <c r="DP21">
        <v>0.02</v>
      </c>
      <c r="DQ21">
        <v>-0.37100575925925899</v>
      </c>
      <c r="DR21">
        <v>2.3981637040799499E-2</v>
      </c>
      <c r="DS21">
        <v>3.3351932064050002E-2</v>
      </c>
      <c r="DT21">
        <v>1</v>
      </c>
      <c r="DU21">
        <v>3.3787392592592602</v>
      </c>
      <c r="DV21">
        <v>6.3458866099692895E-2</v>
      </c>
      <c r="DW21">
        <v>1.61213969677582E-2</v>
      </c>
      <c r="DX21">
        <v>1</v>
      </c>
      <c r="DY21">
        <v>2</v>
      </c>
      <c r="DZ21">
        <v>2</v>
      </c>
      <c r="EA21" t="s">
        <v>293</v>
      </c>
      <c r="EB21">
        <v>1.86663</v>
      </c>
      <c r="EC21">
        <v>1.8631500000000001</v>
      </c>
      <c r="ED21">
        <v>1.86876</v>
      </c>
      <c r="EE21">
        <v>1.86676</v>
      </c>
      <c r="EF21">
        <v>1.8714500000000001</v>
      </c>
      <c r="EG21">
        <v>1.8638600000000001</v>
      </c>
      <c r="EH21">
        <v>1.8653900000000001</v>
      </c>
      <c r="EI21">
        <v>1.86527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-0.35499999999999998</v>
      </c>
      <c r="EX21">
        <v>0.10299999999999999</v>
      </c>
      <c r="EY21">
        <v>2</v>
      </c>
      <c r="EZ21">
        <v>334.43299999999999</v>
      </c>
      <c r="FA21">
        <v>459.41899999999998</v>
      </c>
      <c r="FB21">
        <v>18.652799999999999</v>
      </c>
      <c r="FC21">
        <v>36.003999999999998</v>
      </c>
      <c r="FD21">
        <v>30.000699999999998</v>
      </c>
      <c r="FE21">
        <v>35.746099999999998</v>
      </c>
      <c r="FF21">
        <v>35.702599999999997</v>
      </c>
      <c r="FG21">
        <v>4.9777500000000003</v>
      </c>
      <c r="FH21">
        <v>43.959899999999998</v>
      </c>
      <c r="FI21">
        <v>0</v>
      </c>
      <c r="FJ21">
        <v>19.033000000000001</v>
      </c>
      <c r="FK21">
        <v>50</v>
      </c>
      <c r="FL21">
        <v>16.285499999999999</v>
      </c>
      <c r="FM21">
        <v>100.57</v>
      </c>
      <c r="FN21">
        <v>100.69</v>
      </c>
    </row>
    <row r="22" spans="1:170" x14ac:dyDescent="0.25">
      <c r="A22">
        <v>6</v>
      </c>
      <c r="B22">
        <v>1593107606.4000001</v>
      </c>
      <c r="C22">
        <v>658.10000014305103</v>
      </c>
      <c r="D22" t="s">
        <v>309</v>
      </c>
      <c r="E22" t="s">
        <v>310</v>
      </c>
      <c r="G22">
        <v>1593107598.3419399</v>
      </c>
      <c r="H22">
        <f t="shared" si="0"/>
        <v>7.7236635128382861E-3</v>
      </c>
      <c r="I22">
        <f t="shared" si="1"/>
        <v>30.635747887022674</v>
      </c>
      <c r="J22">
        <f t="shared" si="2"/>
        <v>386.59093548387102</v>
      </c>
      <c r="K22">
        <f t="shared" si="3"/>
        <v>273.54091246220747</v>
      </c>
      <c r="L22">
        <f t="shared" si="4"/>
        <v>27.200373024500124</v>
      </c>
      <c r="M22">
        <f t="shared" si="5"/>
        <v>38.441846078526069</v>
      </c>
      <c r="N22">
        <f t="shared" si="6"/>
        <v>0.50269147235293754</v>
      </c>
      <c r="O22">
        <f t="shared" si="7"/>
        <v>3.3828516143393697</v>
      </c>
      <c r="P22">
        <f t="shared" si="8"/>
        <v>0.46457579033671564</v>
      </c>
      <c r="Q22">
        <f t="shared" si="9"/>
        <v>0.29354320444928422</v>
      </c>
      <c r="R22">
        <f t="shared" si="10"/>
        <v>353.33825569731715</v>
      </c>
      <c r="S22">
        <f t="shared" si="11"/>
        <v>27.275088877384007</v>
      </c>
      <c r="T22">
        <f t="shared" si="12"/>
        <v>27.0059677419355</v>
      </c>
      <c r="U22">
        <f t="shared" si="13"/>
        <v>3.5804143810938811</v>
      </c>
      <c r="V22">
        <f t="shared" si="14"/>
        <v>54.462192598161337</v>
      </c>
      <c r="W22">
        <f t="shared" si="15"/>
        <v>1.9734040983542891</v>
      </c>
      <c r="X22">
        <f t="shared" si="16"/>
        <v>3.6234385804381146</v>
      </c>
      <c r="Y22">
        <f t="shared" si="17"/>
        <v>1.607010282739592</v>
      </c>
      <c r="Z22">
        <f t="shared" si="18"/>
        <v>-340.61356091616841</v>
      </c>
      <c r="AA22">
        <f t="shared" si="19"/>
        <v>37.121224321500399</v>
      </c>
      <c r="AB22">
        <f t="shared" si="20"/>
        <v>2.3707304859457139</v>
      </c>
      <c r="AC22">
        <f t="shared" si="21"/>
        <v>52.216649588594869</v>
      </c>
      <c r="AD22">
        <v>-4.1182218552625001E-2</v>
      </c>
      <c r="AE22">
        <v>4.6230648085814903E-2</v>
      </c>
      <c r="AF22">
        <v>3.4551191923782398</v>
      </c>
      <c r="AG22">
        <v>144</v>
      </c>
      <c r="AH22">
        <v>29</v>
      </c>
      <c r="AI22">
        <f t="shared" si="22"/>
        <v>1</v>
      </c>
      <c r="AJ22">
        <f t="shared" si="23"/>
        <v>0</v>
      </c>
      <c r="AK22">
        <f t="shared" si="24"/>
        <v>52475.595588621327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311</v>
      </c>
      <c r="AS22">
        <v>271.07796153846198</v>
      </c>
      <c r="AT22">
        <v>350.86</v>
      </c>
      <c r="AU22">
        <f t="shared" si="27"/>
        <v>0.22738995172301779</v>
      </c>
      <c r="AV22">
        <v>0.5</v>
      </c>
      <c r="AW22">
        <f t="shared" si="28"/>
        <v>1849.1904190639734</v>
      </c>
      <c r="AX22">
        <f t="shared" si="29"/>
        <v>30.635747887022674</v>
      </c>
      <c r="AY22">
        <f t="shared" si="30"/>
        <v>210.24366005881197</v>
      </c>
      <c r="AZ22">
        <f t="shared" si="31"/>
        <v>0.47010203499971503</v>
      </c>
      <c r="BA22">
        <f t="shared" si="32"/>
        <v>1.7107890869906255E-2</v>
      </c>
      <c r="BB22">
        <f t="shared" si="33"/>
        <v>-1</v>
      </c>
      <c r="BC22" t="s">
        <v>312</v>
      </c>
      <c r="BD22">
        <v>185.92</v>
      </c>
      <c r="BE22">
        <f t="shared" si="34"/>
        <v>164.94000000000003</v>
      </c>
      <c r="BF22">
        <f t="shared" si="35"/>
        <v>0.48370339797222034</v>
      </c>
      <c r="BG22">
        <f t="shared" si="36"/>
        <v>1.8871557659208265</v>
      </c>
      <c r="BH22">
        <f t="shared" si="37"/>
        <v>0.22738995172301782</v>
      </c>
      <c r="BI22" t="e">
        <f t="shared" si="38"/>
        <v>#DIV/0!</v>
      </c>
      <c r="BJ22">
        <v>4035</v>
      </c>
      <c r="BK22">
        <v>300</v>
      </c>
      <c r="BL22">
        <v>300</v>
      </c>
      <c r="BM22">
        <v>300</v>
      </c>
      <c r="BN22">
        <v>9885.32</v>
      </c>
      <c r="BO22">
        <v>327.86599999999999</v>
      </c>
      <c r="BP22">
        <v>-6.4111599999999999E-3</v>
      </c>
      <c r="BQ22">
        <v>1.1924699999999999</v>
      </c>
      <c r="BR22">
        <f t="shared" si="39"/>
        <v>2200.0064516129</v>
      </c>
      <c r="BS22">
        <f t="shared" si="40"/>
        <v>1849.1904190639734</v>
      </c>
      <c r="BT22">
        <f t="shared" si="41"/>
        <v>0.8405386346518523</v>
      </c>
      <c r="BU22">
        <f t="shared" si="42"/>
        <v>0.19107726930370456</v>
      </c>
      <c r="BV22">
        <v>0.5</v>
      </c>
      <c r="BW22" t="s">
        <v>281</v>
      </c>
      <c r="BX22">
        <v>1593107598.3419399</v>
      </c>
      <c r="BY22">
        <v>386.59093548387102</v>
      </c>
      <c r="BZ22">
        <v>400.03822580645198</v>
      </c>
      <c r="CA22">
        <v>19.845564516128999</v>
      </c>
      <c r="CB22">
        <v>16.817719354838701</v>
      </c>
      <c r="CC22">
        <v>500.05087096774201</v>
      </c>
      <c r="CD22">
        <v>99.238093548387099</v>
      </c>
      <c r="CE22">
        <v>0.199949483870968</v>
      </c>
      <c r="CF22">
        <v>27.209509677419401</v>
      </c>
      <c r="CG22">
        <v>27.0059677419355</v>
      </c>
      <c r="CH22">
        <v>999.9</v>
      </c>
      <c r="CI22">
        <v>10007.5403225806</v>
      </c>
      <c r="CJ22">
        <v>0</v>
      </c>
      <c r="CK22">
        <v>2174.0335483870999</v>
      </c>
      <c r="CL22">
        <v>2200.0064516129</v>
      </c>
      <c r="CM22">
        <v>0.98200600000000005</v>
      </c>
      <c r="CN22">
        <v>1.7994099999999999E-2</v>
      </c>
      <c r="CO22">
        <v>0</v>
      </c>
      <c r="CP22">
        <v>271.07819354838699</v>
      </c>
      <c r="CQ22">
        <v>5.00054</v>
      </c>
      <c r="CR22">
        <v>8396.58838709677</v>
      </c>
      <c r="CS22">
        <v>20590.629032258101</v>
      </c>
      <c r="CT22">
        <v>50.037999999999997</v>
      </c>
      <c r="CU22">
        <v>50.883000000000003</v>
      </c>
      <c r="CV22">
        <v>49.936999999999998</v>
      </c>
      <c r="CW22">
        <v>50.072290322580599</v>
      </c>
      <c r="CX22">
        <v>51.350612903225802</v>
      </c>
      <c r="CY22">
        <v>2155.5064516129</v>
      </c>
      <c r="CZ22">
        <v>39.5</v>
      </c>
      <c r="DA22">
        <v>0</v>
      </c>
      <c r="DB22">
        <v>129.700000047684</v>
      </c>
      <c r="DC22">
        <v>271.07796153846198</v>
      </c>
      <c r="DD22">
        <v>-5.1931626023234097E-2</v>
      </c>
      <c r="DE22">
        <v>-109.078632061904</v>
      </c>
      <c r="DF22">
        <v>8395.3034615384604</v>
      </c>
      <c r="DG22">
        <v>15</v>
      </c>
      <c r="DH22">
        <v>1593107563.4000001</v>
      </c>
      <c r="DI22" t="s">
        <v>313</v>
      </c>
      <c r="DJ22">
        <v>59</v>
      </c>
      <c r="DK22">
        <v>-0.315</v>
      </c>
      <c r="DL22">
        <v>0.09</v>
      </c>
      <c r="DM22">
        <v>400</v>
      </c>
      <c r="DN22">
        <v>16</v>
      </c>
      <c r="DO22">
        <v>0.32</v>
      </c>
      <c r="DP22">
        <v>0.02</v>
      </c>
      <c r="DQ22">
        <v>-13.4102685185185</v>
      </c>
      <c r="DR22">
        <v>-0.47127710485922802</v>
      </c>
      <c r="DS22">
        <v>8.5120339267794595E-2</v>
      </c>
      <c r="DT22">
        <v>1</v>
      </c>
      <c r="DU22">
        <v>3.0282979629629598</v>
      </c>
      <c r="DV22">
        <v>7.8807843275753992E-3</v>
      </c>
      <c r="DW22">
        <v>3.09922322035956E-2</v>
      </c>
      <c r="DX22">
        <v>1</v>
      </c>
      <c r="DY22">
        <v>2</v>
      </c>
      <c r="DZ22">
        <v>2</v>
      </c>
      <c r="EA22" t="s">
        <v>293</v>
      </c>
      <c r="EB22">
        <v>1.8667199999999999</v>
      </c>
      <c r="EC22">
        <v>1.8632200000000001</v>
      </c>
      <c r="ED22">
        <v>1.8688100000000001</v>
      </c>
      <c r="EE22">
        <v>1.86676</v>
      </c>
      <c r="EF22">
        <v>1.8714900000000001</v>
      </c>
      <c r="EG22">
        <v>1.8638999999999999</v>
      </c>
      <c r="EH22">
        <v>1.8653900000000001</v>
      </c>
      <c r="EI22">
        <v>1.8653500000000001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-0.315</v>
      </c>
      <c r="EX22">
        <v>0.09</v>
      </c>
      <c r="EY22">
        <v>2</v>
      </c>
      <c r="EZ22">
        <v>335.46499999999997</v>
      </c>
      <c r="FA22">
        <v>459.98200000000003</v>
      </c>
      <c r="FB22">
        <v>19.2486</v>
      </c>
      <c r="FC22">
        <v>35.982599999999998</v>
      </c>
      <c r="FD22">
        <v>29.997199999999999</v>
      </c>
      <c r="FE22">
        <v>35.807699999999997</v>
      </c>
      <c r="FF22">
        <v>35.7639</v>
      </c>
      <c r="FG22">
        <v>21.657</v>
      </c>
      <c r="FH22">
        <v>41.957099999999997</v>
      </c>
      <c r="FI22">
        <v>0</v>
      </c>
      <c r="FJ22">
        <v>19.398299999999999</v>
      </c>
      <c r="FK22">
        <v>400</v>
      </c>
      <c r="FL22">
        <v>16.866199999999999</v>
      </c>
      <c r="FM22">
        <v>100.568</v>
      </c>
      <c r="FN22">
        <v>100.693</v>
      </c>
    </row>
    <row r="23" spans="1:170" x14ac:dyDescent="0.25">
      <c r="A23">
        <v>7</v>
      </c>
      <c r="B23">
        <v>1593107757.4000001</v>
      </c>
      <c r="C23">
        <v>809.10000014305103</v>
      </c>
      <c r="D23" t="s">
        <v>314</v>
      </c>
      <c r="E23" t="s">
        <v>315</v>
      </c>
      <c r="G23">
        <v>1593107749.33548</v>
      </c>
      <c r="H23">
        <f t="shared" si="0"/>
        <v>8.266223494930473E-3</v>
      </c>
      <c r="I23">
        <f t="shared" si="1"/>
        <v>32.3030452030576</v>
      </c>
      <c r="J23">
        <f t="shared" si="2"/>
        <v>385.783903225806</v>
      </c>
      <c r="K23">
        <f t="shared" si="3"/>
        <v>274.80809698957796</v>
      </c>
      <c r="L23">
        <f t="shared" si="4"/>
        <v>27.325929468883945</v>
      </c>
      <c r="M23">
        <f t="shared" si="5"/>
        <v>38.360964779647389</v>
      </c>
      <c r="N23">
        <f t="shared" si="6"/>
        <v>0.54350579684854605</v>
      </c>
      <c r="O23">
        <f t="shared" si="7"/>
        <v>3.3802099008901045</v>
      </c>
      <c r="P23">
        <f t="shared" si="8"/>
        <v>0.49920976747238355</v>
      </c>
      <c r="Q23">
        <f t="shared" si="9"/>
        <v>0.31568453474314773</v>
      </c>
      <c r="R23">
        <f t="shared" si="10"/>
        <v>353.33768542724476</v>
      </c>
      <c r="S23">
        <f t="shared" si="11"/>
        <v>27.168287015474519</v>
      </c>
      <c r="T23">
        <f t="shared" si="12"/>
        <v>27.0642806451613</v>
      </c>
      <c r="U23">
        <f t="shared" si="13"/>
        <v>3.5926946008968614</v>
      </c>
      <c r="V23">
        <f t="shared" si="14"/>
        <v>54.933257210925113</v>
      </c>
      <c r="W23">
        <f t="shared" si="15"/>
        <v>1.9924059813861832</v>
      </c>
      <c r="X23">
        <f t="shared" si="16"/>
        <v>3.6269576619788237</v>
      </c>
      <c r="Y23">
        <f t="shared" si="17"/>
        <v>1.6002886195106782</v>
      </c>
      <c r="Z23">
        <f t="shared" si="18"/>
        <v>-364.54045612643387</v>
      </c>
      <c r="AA23">
        <f t="shared" si="19"/>
        <v>29.482501909329095</v>
      </c>
      <c r="AB23">
        <f t="shared" si="20"/>
        <v>1.8850635390098132</v>
      </c>
      <c r="AC23">
        <f t="shared" si="21"/>
        <v>20.164794749149813</v>
      </c>
      <c r="AD23">
        <v>-4.1141367483693299E-2</v>
      </c>
      <c r="AE23">
        <v>4.61847891821889E-2</v>
      </c>
      <c r="AF23">
        <v>3.4524057924605001</v>
      </c>
      <c r="AG23">
        <v>145</v>
      </c>
      <c r="AH23">
        <v>29</v>
      </c>
      <c r="AI23">
        <f t="shared" si="22"/>
        <v>1</v>
      </c>
      <c r="AJ23">
        <f t="shared" si="23"/>
        <v>0</v>
      </c>
      <c r="AK23">
        <f t="shared" si="24"/>
        <v>52422.744407631646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316</v>
      </c>
      <c r="AS23">
        <v>270.67088461538498</v>
      </c>
      <c r="AT23">
        <v>358.78</v>
      </c>
      <c r="AU23">
        <f t="shared" si="27"/>
        <v>0.24557978534091918</v>
      </c>
      <c r="AV23">
        <v>0.5</v>
      </c>
      <c r="AW23">
        <f t="shared" si="28"/>
        <v>1849.1832973523269</v>
      </c>
      <c r="AX23">
        <f t="shared" si="29"/>
        <v>32.3030452030576</v>
      </c>
      <c r="AY23">
        <f t="shared" si="30"/>
        <v>227.06101860989878</v>
      </c>
      <c r="AZ23">
        <f t="shared" si="31"/>
        <v>0.48570154412174588</v>
      </c>
      <c r="BA23">
        <f t="shared" si="32"/>
        <v>1.8009596588256623E-2</v>
      </c>
      <c r="BB23">
        <f t="shared" si="33"/>
        <v>-1</v>
      </c>
      <c r="BC23" t="s">
        <v>317</v>
      </c>
      <c r="BD23">
        <v>184.52</v>
      </c>
      <c r="BE23">
        <f t="shared" si="34"/>
        <v>174.25999999999996</v>
      </c>
      <c r="BF23">
        <f t="shared" si="35"/>
        <v>0.50561870414676358</v>
      </c>
      <c r="BG23">
        <f t="shared" si="36"/>
        <v>1.9443962714068932</v>
      </c>
      <c r="BH23">
        <f t="shared" si="37"/>
        <v>0.24557978534091923</v>
      </c>
      <c r="BI23" t="e">
        <f t="shared" si="38"/>
        <v>#DIV/0!</v>
      </c>
      <c r="BJ23">
        <v>4037</v>
      </c>
      <c r="BK23">
        <v>300</v>
      </c>
      <c r="BL23">
        <v>300</v>
      </c>
      <c r="BM23">
        <v>300</v>
      </c>
      <c r="BN23">
        <v>9884.93</v>
      </c>
      <c r="BO23">
        <v>333.6</v>
      </c>
      <c r="BP23">
        <v>-6.4108300000000002E-3</v>
      </c>
      <c r="BQ23">
        <v>0.65646400000000005</v>
      </c>
      <c r="BR23">
        <f t="shared" si="39"/>
        <v>2199.9974193548401</v>
      </c>
      <c r="BS23">
        <f t="shared" si="40"/>
        <v>1849.1832973523269</v>
      </c>
      <c r="BT23">
        <f t="shared" si="41"/>
        <v>0.84053884840219895</v>
      </c>
      <c r="BU23">
        <f t="shared" si="42"/>
        <v>0.19107769680439796</v>
      </c>
      <c r="BV23">
        <v>0.5</v>
      </c>
      <c r="BW23" t="s">
        <v>281</v>
      </c>
      <c r="BX23">
        <v>1593107749.33548</v>
      </c>
      <c r="BY23">
        <v>385.783903225806</v>
      </c>
      <c r="BZ23">
        <v>399.97929032258099</v>
      </c>
      <c r="CA23">
        <v>20.036987096774201</v>
      </c>
      <c r="CB23">
        <v>16.797074193548401</v>
      </c>
      <c r="CC23">
        <v>500.050064516129</v>
      </c>
      <c r="CD23">
        <v>99.236400000000003</v>
      </c>
      <c r="CE23">
        <v>0.200005870967742</v>
      </c>
      <c r="CF23">
        <v>27.226064516129</v>
      </c>
      <c r="CG23">
        <v>27.0642806451613</v>
      </c>
      <c r="CH23">
        <v>999.9</v>
      </c>
      <c r="CI23">
        <v>9997.7838709677399</v>
      </c>
      <c r="CJ23">
        <v>0</v>
      </c>
      <c r="CK23">
        <v>2154.7154838709698</v>
      </c>
      <c r="CL23">
        <v>2199.9974193548401</v>
      </c>
      <c r="CM23">
        <v>0.98199609677419297</v>
      </c>
      <c r="CN23">
        <v>1.8003700000000001E-2</v>
      </c>
      <c r="CO23">
        <v>0</v>
      </c>
      <c r="CP23">
        <v>270.64809677419402</v>
      </c>
      <c r="CQ23">
        <v>5.00054</v>
      </c>
      <c r="CR23">
        <v>8333.4235483870998</v>
      </c>
      <c r="CS23">
        <v>20590.4806451613</v>
      </c>
      <c r="CT23">
        <v>50.108677419354798</v>
      </c>
      <c r="CU23">
        <v>51.015999999999998</v>
      </c>
      <c r="CV23">
        <v>50.042000000000002</v>
      </c>
      <c r="CW23">
        <v>50.132935483871002</v>
      </c>
      <c r="CX23">
        <v>51.429064516129003</v>
      </c>
      <c r="CY23">
        <v>2155.4803225806399</v>
      </c>
      <c r="CZ23">
        <v>39.515483870967699</v>
      </c>
      <c r="DA23">
        <v>0</v>
      </c>
      <c r="DB23">
        <v>150.5</v>
      </c>
      <c r="DC23">
        <v>270.67088461538498</v>
      </c>
      <c r="DD23">
        <v>0.16509401236792101</v>
      </c>
      <c r="DE23">
        <v>-6.0899146676206497</v>
      </c>
      <c r="DF23">
        <v>8334.3965384615403</v>
      </c>
      <c r="DG23">
        <v>15</v>
      </c>
      <c r="DH23">
        <v>1593107683.8</v>
      </c>
      <c r="DI23" t="s">
        <v>318</v>
      </c>
      <c r="DJ23">
        <v>60</v>
      </c>
      <c r="DK23">
        <v>-0.35799999999999998</v>
      </c>
      <c r="DL23">
        <v>9.9000000000000005E-2</v>
      </c>
      <c r="DM23">
        <v>400</v>
      </c>
      <c r="DN23">
        <v>16</v>
      </c>
      <c r="DO23">
        <v>0.22</v>
      </c>
      <c r="DP23">
        <v>0.03</v>
      </c>
      <c r="DQ23">
        <v>-14.1872462962963</v>
      </c>
      <c r="DR23">
        <v>-0.174412554254955</v>
      </c>
      <c r="DS23">
        <v>5.5080381373121497E-2</v>
      </c>
      <c r="DT23">
        <v>1</v>
      </c>
      <c r="DU23">
        <v>3.2589203703703702</v>
      </c>
      <c r="DV23">
        <v>-0.24222579878839401</v>
      </c>
      <c r="DW23">
        <v>3.4737765336929301E-2</v>
      </c>
      <c r="DX23">
        <v>0</v>
      </c>
      <c r="DY23">
        <v>1</v>
      </c>
      <c r="DZ23">
        <v>2</v>
      </c>
      <c r="EA23" t="s">
        <v>283</v>
      </c>
      <c r="EB23">
        <v>1.86663</v>
      </c>
      <c r="EC23">
        <v>1.8631500000000001</v>
      </c>
      <c r="ED23">
        <v>1.8687499999999999</v>
      </c>
      <c r="EE23">
        <v>1.86676</v>
      </c>
      <c r="EF23">
        <v>1.8714500000000001</v>
      </c>
      <c r="EG23">
        <v>1.8638600000000001</v>
      </c>
      <c r="EH23">
        <v>1.8653500000000001</v>
      </c>
      <c r="EI23">
        <v>1.86524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-0.35799999999999998</v>
      </c>
      <c r="EX23">
        <v>9.9000000000000005E-2</v>
      </c>
      <c r="EY23">
        <v>2</v>
      </c>
      <c r="EZ23">
        <v>334.72399999999999</v>
      </c>
      <c r="FA23">
        <v>459.69</v>
      </c>
      <c r="FB23">
        <v>18.827500000000001</v>
      </c>
      <c r="FC23">
        <v>35.959800000000001</v>
      </c>
      <c r="FD23">
        <v>30.0002</v>
      </c>
      <c r="FE23">
        <v>35.824199999999998</v>
      </c>
      <c r="FF23">
        <v>35.796700000000001</v>
      </c>
      <c r="FG23">
        <v>21.648199999999999</v>
      </c>
      <c r="FH23">
        <v>42.840400000000002</v>
      </c>
      <c r="FI23">
        <v>0</v>
      </c>
      <c r="FJ23">
        <v>18.457799999999999</v>
      </c>
      <c r="FK23">
        <v>400</v>
      </c>
      <c r="FL23">
        <v>16.8124</v>
      </c>
      <c r="FM23">
        <v>100.572</v>
      </c>
      <c r="FN23">
        <v>100.70099999999999</v>
      </c>
    </row>
    <row r="24" spans="1:170" x14ac:dyDescent="0.25">
      <c r="A24">
        <v>8</v>
      </c>
      <c r="B24">
        <v>1593107877.9000001</v>
      </c>
      <c r="C24">
        <v>929.60000014305103</v>
      </c>
      <c r="D24" t="s">
        <v>319</v>
      </c>
      <c r="E24" t="s">
        <v>320</v>
      </c>
      <c r="G24">
        <v>1593107869.9000001</v>
      </c>
      <c r="H24">
        <f t="shared" si="0"/>
        <v>8.3678256694506153E-3</v>
      </c>
      <c r="I24">
        <f t="shared" si="1"/>
        <v>37.413667014538724</v>
      </c>
      <c r="J24">
        <f t="shared" si="2"/>
        <v>483.42103225806397</v>
      </c>
      <c r="K24">
        <f t="shared" si="3"/>
        <v>355.02152324980517</v>
      </c>
      <c r="L24">
        <f t="shared" si="4"/>
        <v>35.30223909826627</v>
      </c>
      <c r="M24">
        <f t="shared" si="5"/>
        <v>48.069888016047855</v>
      </c>
      <c r="N24">
        <f t="shared" si="6"/>
        <v>0.54908481444259238</v>
      </c>
      <c r="O24">
        <f t="shared" si="7"/>
        <v>3.3817776679087683</v>
      </c>
      <c r="P24">
        <f t="shared" si="8"/>
        <v>0.50393428417520392</v>
      </c>
      <c r="Q24">
        <f t="shared" si="9"/>
        <v>0.31870556125783828</v>
      </c>
      <c r="R24">
        <f t="shared" si="10"/>
        <v>353.3378373487908</v>
      </c>
      <c r="S24">
        <f t="shared" si="11"/>
        <v>26.956205201147359</v>
      </c>
      <c r="T24">
        <f t="shared" si="12"/>
        <v>27.016877419354799</v>
      </c>
      <c r="U24">
        <f t="shared" si="13"/>
        <v>3.5827090795122358</v>
      </c>
      <c r="V24">
        <f t="shared" si="14"/>
        <v>55.136558396560723</v>
      </c>
      <c r="W24">
        <f t="shared" si="15"/>
        <v>1.97772548970289</v>
      </c>
      <c r="X24">
        <f t="shared" si="16"/>
        <v>3.5869585393386747</v>
      </c>
      <c r="Y24">
        <f t="shared" si="17"/>
        <v>1.6049835898093459</v>
      </c>
      <c r="Z24">
        <f t="shared" si="18"/>
        <v>-369.02111202277212</v>
      </c>
      <c r="AA24">
        <f t="shared" si="19"/>
        <v>3.6804791367204581</v>
      </c>
      <c r="AB24">
        <f t="shared" si="20"/>
        <v>0.23493699468789872</v>
      </c>
      <c r="AC24">
        <f t="shared" si="21"/>
        <v>-11.767858542572988</v>
      </c>
      <c r="AD24">
        <v>-4.1165609476517602E-2</v>
      </c>
      <c r="AE24">
        <v>4.6212002942849398E-2</v>
      </c>
      <c r="AF24">
        <v>3.4540160999291398</v>
      </c>
      <c r="AG24">
        <v>145</v>
      </c>
      <c r="AH24">
        <v>29</v>
      </c>
      <c r="AI24">
        <f t="shared" si="22"/>
        <v>1</v>
      </c>
      <c r="AJ24">
        <f t="shared" si="23"/>
        <v>0</v>
      </c>
      <c r="AK24">
        <f t="shared" si="24"/>
        <v>52485.422389014013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321</v>
      </c>
      <c r="AS24">
        <v>277.76888461538499</v>
      </c>
      <c r="AT24">
        <v>374.74299999999999</v>
      </c>
      <c r="AU24">
        <f t="shared" si="27"/>
        <v>0.25877498815085276</v>
      </c>
      <c r="AV24">
        <v>0.5</v>
      </c>
      <c r="AW24">
        <f t="shared" si="28"/>
        <v>1849.1826480960754</v>
      </c>
      <c r="AX24">
        <f t="shared" si="29"/>
        <v>37.413667014538724</v>
      </c>
      <c r="AY24">
        <f t="shared" si="30"/>
        <v>239.26110892491221</v>
      </c>
      <c r="AZ24">
        <f t="shared" si="31"/>
        <v>0.49981720805992375</v>
      </c>
      <c r="BA24">
        <f t="shared" si="32"/>
        <v>2.0773322231900437E-2</v>
      </c>
      <c r="BB24">
        <f t="shared" si="33"/>
        <v>-1</v>
      </c>
      <c r="BC24" t="s">
        <v>322</v>
      </c>
      <c r="BD24">
        <v>187.44</v>
      </c>
      <c r="BE24">
        <f t="shared" si="34"/>
        <v>187.303</v>
      </c>
      <c r="BF24">
        <f t="shared" si="35"/>
        <v>0.51773925342688054</v>
      </c>
      <c r="BG24">
        <f t="shared" si="36"/>
        <v>1.9992690994451559</v>
      </c>
      <c r="BH24">
        <f t="shared" si="37"/>
        <v>0.25877498815085276</v>
      </c>
      <c r="BI24" t="e">
        <f t="shared" si="38"/>
        <v>#DIV/0!</v>
      </c>
      <c r="BJ24">
        <v>4039</v>
      </c>
      <c r="BK24">
        <v>300</v>
      </c>
      <c r="BL24">
        <v>300</v>
      </c>
      <c r="BM24">
        <v>300</v>
      </c>
      <c r="BN24">
        <v>9884.4500000000007</v>
      </c>
      <c r="BO24">
        <v>346.09100000000001</v>
      </c>
      <c r="BP24">
        <v>-6.4104399999999999E-3</v>
      </c>
      <c r="BQ24">
        <v>0.57931500000000002</v>
      </c>
      <c r="BR24">
        <f t="shared" si="39"/>
        <v>2199.9964516128998</v>
      </c>
      <c r="BS24">
        <f t="shared" si="40"/>
        <v>1849.1826480960754</v>
      </c>
      <c r="BT24">
        <f t="shared" si="41"/>
        <v>0.84053892302433952</v>
      </c>
      <c r="BU24">
        <f t="shared" si="42"/>
        <v>0.1910778460486792</v>
      </c>
      <c r="BV24">
        <v>0.5</v>
      </c>
      <c r="BW24" t="s">
        <v>281</v>
      </c>
      <c r="BX24">
        <v>1593107869.9000001</v>
      </c>
      <c r="BY24">
        <v>483.42103225806397</v>
      </c>
      <c r="BZ24">
        <v>500.00251612903202</v>
      </c>
      <c r="CA24">
        <v>19.889251612903202</v>
      </c>
      <c r="CB24">
        <v>16.609100000000002</v>
      </c>
      <c r="CC24">
        <v>500.06200000000001</v>
      </c>
      <c r="CD24">
        <v>99.2369129032258</v>
      </c>
      <c r="CE24">
        <v>0.19998538709677399</v>
      </c>
      <c r="CF24">
        <v>27.037064516129</v>
      </c>
      <c r="CG24">
        <v>27.016877419354799</v>
      </c>
      <c r="CH24">
        <v>999.9</v>
      </c>
      <c r="CI24">
        <v>10003.623225806499</v>
      </c>
      <c r="CJ24">
        <v>0</v>
      </c>
      <c r="CK24">
        <v>2139.7903225806399</v>
      </c>
      <c r="CL24">
        <v>2199.9964516128998</v>
      </c>
      <c r="CM24">
        <v>0.98199429032258101</v>
      </c>
      <c r="CN24">
        <v>1.8005380645161301E-2</v>
      </c>
      <c r="CO24">
        <v>0</v>
      </c>
      <c r="CP24">
        <v>277.77932258064499</v>
      </c>
      <c r="CQ24">
        <v>5.00054</v>
      </c>
      <c r="CR24">
        <v>8474.7509677419403</v>
      </c>
      <c r="CS24">
        <v>20590.4774193548</v>
      </c>
      <c r="CT24">
        <v>50.233677419354798</v>
      </c>
      <c r="CU24">
        <v>51.128999999999998</v>
      </c>
      <c r="CV24">
        <v>50.125</v>
      </c>
      <c r="CW24">
        <v>50.187129032257999</v>
      </c>
      <c r="CX24">
        <v>51.503935483870997</v>
      </c>
      <c r="CY24">
        <v>2155.47548387097</v>
      </c>
      <c r="CZ24">
        <v>39.5209677419355</v>
      </c>
      <c r="DA24">
        <v>0</v>
      </c>
      <c r="DB24">
        <v>120.10000014305101</v>
      </c>
      <c r="DC24">
        <v>277.76888461538499</v>
      </c>
      <c r="DD24">
        <v>0.18560683521735499</v>
      </c>
      <c r="DE24">
        <v>103.17641045569</v>
      </c>
      <c r="DF24">
        <v>8475.5626923076907</v>
      </c>
      <c r="DG24">
        <v>15</v>
      </c>
      <c r="DH24">
        <v>1593107842.4000001</v>
      </c>
      <c r="DI24" t="s">
        <v>323</v>
      </c>
      <c r="DJ24">
        <v>61</v>
      </c>
      <c r="DK24">
        <v>-0.378</v>
      </c>
      <c r="DL24">
        <v>0.10100000000000001</v>
      </c>
      <c r="DM24">
        <v>500</v>
      </c>
      <c r="DN24">
        <v>17</v>
      </c>
      <c r="DO24">
        <v>0.08</v>
      </c>
      <c r="DP24">
        <v>0.02</v>
      </c>
      <c r="DQ24">
        <v>-16.6407555555556</v>
      </c>
      <c r="DR24">
        <v>0.43129468267570997</v>
      </c>
      <c r="DS24">
        <v>7.1280015553336906E-2</v>
      </c>
      <c r="DT24">
        <v>1</v>
      </c>
      <c r="DU24">
        <v>3.26959777777778</v>
      </c>
      <c r="DV24">
        <v>8.5377244139500097E-2</v>
      </c>
      <c r="DW24">
        <v>1.42143707494377E-2</v>
      </c>
      <c r="DX24">
        <v>1</v>
      </c>
      <c r="DY24">
        <v>2</v>
      </c>
      <c r="DZ24">
        <v>2</v>
      </c>
      <c r="EA24" t="s">
        <v>293</v>
      </c>
      <c r="EB24">
        <v>1.8666400000000001</v>
      </c>
      <c r="EC24">
        <v>1.8631899999999999</v>
      </c>
      <c r="ED24">
        <v>1.8687800000000001</v>
      </c>
      <c r="EE24">
        <v>1.86676</v>
      </c>
      <c r="EF24">
        <v>1.8714299999999999</v>
      </c>
      <c r="EG24">
        <v>1.8638600000000001</v>
      </c>
      <c r="EH24">
        <v>1.86537</v>
      </c>
      <c r="EI24">
        <v>1.8652500000000001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-0.378</v>
      </c>
      <c r="EX24">
        <v>0.10100000000000001</v>
      </c>
      <c r="EY24">
        <v>2</v>
      </c>
      <c r="EZ24">
        <v>334.17099999999999</v>
      </c>
      <c r="FA24">
        <v>458.30500000000001</v>
      </c>
      <c r="FB24">
        <v>18.791</v>
      </c>
      <c r="FC24">
        <v>36.021099999999997</v>
      </c>
      <c r="FD24">
        <v>30.000800000000002</v>
      </c>
      <c r="FE24">
        <v>35.878300000000003</v>
      </c>
      <c r="FF24">
        <v>35.849200000000003</v>
      </c>
      <c r="FG24">
        <v>26.004899999999999</v>
      </c>
      <c r="FH24">
        <v>44.691899999999997</v>
      </c>
      <c r="FI24">
        <v>0</v>
      </c>
      <c r="FJ24">
        <v>18.758299999999998</v>
      </c>
      <c r="FK24">
        <v>500</v>
      </c>
      <c r="FL24">
        <v>16.567799999999998</v>
      </c>
      <c r="FM24">
        <v>100.559</v>
      </c>
      <c r="FN24">
        <v>100.68600000000001</v>
      </c>
    </row>
    <row r="25" spans="1:170" x14ac:dyDescent="0.25">
      <c r="A25">
        <v>9</v>
      </c>
      <c r="B25">
        <v>1593108005.9000001</v>
      </c>
      <c r="C25">
        <v>1057.60000014305</v>
      </c>
      <c r="D25" t="s">
        <v>324</v>
      </c>
      <c r="E25" t="s">
        <v>325</v>
      </c>
      <c r="G25">
        <v>1593107997.9000001</v>
      </c>
      <c r="H25">
        <f t="shared" si="0"/>
        <v>7.6173534885938055E-3</v>
      </c>
      <c r="I25">
        <f t="shared" si="1"/>
        <v>40.853444438057942</v>
      </c>
      <c r="J25">
        <f t="shared" si="2"/>
        <v>581.81912903225805</v>
      </c>
      <c r="K25">
        <f t="shared" si="3"/>
        <v>424.63582696501339</v>
      </c>
      <c r="L25">
        <f t="shared" si="4"/>
        <v>42.224651376366474</v>
      </c>
      <c r="M25">
        <f t="shared" si="5"/>
        <v>57.854538706910411</v>
      </c>
      <c r="N25">
        <f t="shared" si="6"/>
        <v>0.48583045938429636</v>
      </c>
      <c r="O25">
        <f t="shared" si="7"/>
        <v>3.3783604109020962</v>
      </c>
      <c r="P25">
        <f t="shared" si="8"/>
        <v>0.45008781782586715</v>
      </c>
      <c r="Q25">
        <f t="shared" si="9"/>
        <v>0.28429677602796311</v>
      </c>
      <c r="R25">
        <f t="shared" si="10"/>
        <v>353.33663510643504</v>
      </c>
      <c r="S25">
        <f t="shared" si="11"/>
        <v>27.15826540962728</v>
      </c>
      <c r="T25">
        <f t="shared" si="12"/>
        <v>27.1245032258065</v>
      </c>
      <c r="U25">
        <f t="shared" si="13"/>
        <v>3.6054155585828185</v>
      </c>
      <c r="V25">
        <f t="shared" si="14"/>
        <v>54.811858635031555</v>
      </c>
      <c r="W25">
        <f t="shared" si="15"/>
        <v>1.9697004331079098</v>
      </c>
      <c r="X25">
        <f t="shared" si="16"/>
        <v>3.5935662138795417</v>
      </c>
      <c r="Y25">
        <f t="shared" si="17"/>
        <v>1.6357151254749087</v>
      </c>
      <c r="Z25">
        <f t="shared" si="18"/>
        <v>-335.9252888469868</v>
      </c>
      <c r="AA25">
        <f t="shared" si="19"/>
        <v>-10.215964150412644</v>
      </c>
      <c r="AB25">
        <f t="shared" si="20"/>
        <v>-0.65323162408830249</v>
      </c>
      <c r="AC25">
        <f t="shared" si="21"/>
        <v>6.5421504849473155</v>
      </c>
      <c r="AD25">
        <v>-4.1112775754207499E-2</v>
      </c>
      <c r="AE25">
        <v>4.6152692461067998E-2</v>
      </c>
      <c r="AF25">
        <v>3.45050612899679</v>
      </c>
      <c r="AG25">
        <v>145</v>
      </c>
      <c r="AH25">
        <v>29</v>
      </c>
      <c r="AI25">
        <f t="shared" si="22"/>
        <v>1</v>
      </c>
      <c r="AJ25">
        <f t="shared" si="23"/>
        <v>0</v>
      </c>
      <c r="AK25">
        <f t="shared" si="24"/>
        <v>52415.339581471002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280.31849999999997</v>
      </c>
      <c r="AT25">
        <v>380.82799999999997</v>
      </c>
      <c r="AU25">
        <f t="shared" si="27"/>
        <v>0.2639236085581943</v>
      </c>
      <c r="AV25">
        <v>0.5</v>
      </c>
      <c r="AW25">
        <f t="shared" si="28"/>
        <v>1849.176406160592</v>
      </c>
      <c r="AX25">
        <f t="shared" si="29"/>
        <v>40.853444438057942</v>
      </c>
      <c r="AY25">
        <f t="shared" si="30"/>
        <v>244.02065498728831</v>
      </c>
      <c r="AZ25">
        <f t="shared" si="31"/>
        <v>0.50828195405799992</v>
      </c>
      <c r="BA25">
        <f t="shared" si="32"/>
        <v>2.2633559620716451E-2</v>
      </c>
      <c r="BB25">
        <f t="shared" si="33"/>
        <v>-1</v>
      </c>
      <c r="BC25" t="s">
        <v>327</v>
      </c>
      <c r="BD25">
        <v>187.26</v>
      </c>
      <c r="BE25">
        <f t="shared" si="34"/>
        <v>193.56799999999998</v>
      </c>
      <c r="BF25">
        <f t="shared" si="35"/>
        <v>0.51924646635807581</v>
      </c>
      <c r="BG25">
        <f t="shared" si="36"/>
        <v>2.0336857844707894</v>
      </c>
      <c r="BH25">
        <f t="shared" si="37"/>
        <v>0.2639236085581943</v>
      </c>
      <c r="BI25" t="e">
        <f t="shared" si="38"/>
        <v>#DIV/0!</v>
      </c>
      <c r="BJ25">
        <v>4041</v>
      </c>
      <c r="BK25">
        <v>300</v>
      </c>
      <c r="BL25">
        <v>300</v>
      </c>
      <c r="BM25">
        <v>300</v>
      </c>
      <c r="BN25">
        <v>9884.48</v>
      </c>
      <c r="BO25">
        <v>351.71</v>
      </c>
      <c r="BP25">
        <v>-6.4105300000000002E-3</v>
      </c>
      <c r="BQ25">
        <v>1.3567499999999999</v>
      </c>
      <c r="BR25">
        <f t="shared" si="39"/>
        <v>2199.98903225806</v>
      </c>
      <c r="BS25">
        <f t="shared" si="40"/>
        <v>1849.176406160592</v>
      </c>
      <c r="BT25">
        <f t="shared" si="41"/>
        <v>0.84053892044298273</v>
      </c>
      <c r="BU25">
        <f t="shared" si="42"/>
        <v>0.19107784088596547</v>
      </c>
      <c r="BV25">
        <v>0.5</v>
      </c>
      <c r="BW25" t="s">
        <v>281</v>
      </c>
      <c r="BX25">
        <v>1593107997.9000001</v>
      </c>
      <c r="BY25">
        <v>581.81912903225805</v>
      </c>
      <c r="BZ25">
        <v>599.93112903225801</v>
      </c>
      <c r="CA25">
        <v>19.808461290322601</v>
      </c>
      <c r="CB25">
        <v>16.8222290322581</v>
      </c>
      <c r="CC25">
        <v>500.05925806451597</v>
      </c>
      <c r="CD25">
        <v>99.237316129032195</v>
      </c>
      <c r="CE25">
        <v>0.20001038709677399</v>
      </c>
      <c r="CF25">
        <v>27.068412903225799</v>
      </c>
      <c r="CG25">
        <v>27.1245032258065</v>
      </c>
      <c r="CH25">
        <v>999.9</v>
      </c>
      <c r="CI25">
        <v>9990.7435483870995</v>
      </c>
      <c r="CJ25">
        <v>0</v>
      </c>
      <c r="CK25">
        <v>2121.3506451612898</v>
      </c>
      <c r="CL25">
        <v>2199.98903225806</v>
      </c>
      <c r="CM25">
        <v>0.98199403225806503</v>
      </c>
      <c r="CN25">
        <v>1.8005664516129002E-2</v>
      </c>
      <c r="CO25">
        <v>0</v>
      </c>
      <c r="CP25">
        <v>280.33332258064502</v>
      </c>
      <c r="CQ25">
        <v>5.00054</v>
      </c>
      <c r="CR25">
        <v>8535.1467741935503</v>
      </c>
      <c r="CS25">
        <v>20590.396774193501</v>
      </c>
      <c r="CT25">
        <v>50.205290322580602</v>
      </c>
      <c r="CU25">
        <v>51.295999999999999</v>
      </c>
      <c r="CV25">
        <v>50.241870967741903</v>
      </c>
      <c r="CW25">
        <v>50.336387096774203</v>
      </c>
      <c r="CX25">
        <v>51.554000000000002</v>
      </c>
      <c r="CY25">
        <v>2155.4683870967701</v>
      </c>
      <c r="CZ25">
        <v>39.520645161290297</v>
      </c>
      <c r="DA25">
        <v>0</v>
      </c>
      <c r="DB25">
        <v>127.40000009536701</v>
      </c>
      <c r="DC25">
        <v>280.31849999999997</v>
      </c>
      <c r="DD25">
        <v>-1.6288205019072499</v>
      </c>
      <c r="DE25">
        <v>-47.302564128788802</v>
      </c>
      <c r="DF25">
        <v>8535.2999999999993</v>
      </c>
      <c r="DG25">
        <v>15</v>
      </c>
      <c r="DH25">
        <v>1593107955.9000001</v>
      </c>
      <c r="DI25" t="s">
        <v>328</v>
      </c>
      <c r="DJ25">
        <v>62</v>
      </c>
      <c r="DK25">
        <v>-0.31</v>
      </c>
      <c r="DL25">
        <v>0.1</v>
      </c>
      <c r="DM25">
        <v>600</v>
      </c>
      <c r="DN25">
        <v>16</v>
      </c>
      <c r="DO25">
        <v>0.13</v>
      </c>
      <c r="DP25">
        <v>0.03</v>
      </c>
      <c r="DQ25">
        <v>-18.1695944444444</v>
      </c>
      <c r="DR25">
        <v>0.45555037164088302</v>
      </c>
      <c r="DS25">
        <v>0.116890639641515</v>
      </c>
      <c r="DT25">
        <v>1</v>
      </c>
      <c r="DU25">
        <v>2.9929549999999998</v>
      </c>
      <c r="DV25">
        <v>-4.4635380217261197E-2</v>
      </c>
      <c r="DW25">
        <v>1.6274637931911501E-2</v>
      </c>
      <c r="DX25">
        <v>1</v>
      </c>
      <c r="DY25">
        <v>2</v>
      </c>
      <c r="DZ25">
        <v>2</v>
      </c>
      <c r="EA25" t="s">
        <v>293</v>
      </c>
      <c r="EB25">
        <v>1.8666100000000001</v>
      </c>
      <c r="EC25">
        <v>1.8631200000000001</v>
      </c>
      <c r="ED25">
        <v>1.8687400000000001</v>
      </c>
      <c r="EE25">
        <v>1.8667400000000001</v>
      </c>
      <c r="EF25">
        <v>1.87144</v>
      </c>
      <c r="EG25">
        <v>1.8638600000000001</v>
      </c>
      <c r="EH25">
        <v>1.86531</v>
      </c>
      <c r="EI25">
        <v>1.8652299999999999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-0.31</v>
      </c>
      <c r="EX25">
        <v>0.1</v>
      </c>
      <c r="EY25">
        <v>2</v>
      </c>
      <c r="EZ25">
        <v>334.08600000000001</v>
      </c>
      <c r="FA25">
        <v>457.20600000000002</v>
      </c>
      <c r="FB25">
        <v>18.782299999999999</v>
      </c>
      <c r="FC25">
        <v>36.134</v>
      </c>
      <c r="FD25">
        <v>30.0001</v>
      </c>
      <c r="FE25">
        <v>35.957000000000001</v>
      </c>
      <c r="FF25">
        <v>35.926499999999997</v>
      </c>
      <c r="FG25">
        <v>30.227900000000002</v>
      </c>
      <c r="FH25">
        <v>43.869399999999999</v>
      </c>
      <c r="FI25">
        <v>0</v>
      </c>
      <c r="FJ25">
        <v>17.6951</v>
      </c>
      <c r="FK25">
        <v>600</v>
      </c>
      <c r="FL25">
        <v>16.867799999999999</v>
      </c>
      <c r="FM25">
        <v>100.547</v>
      </c>
      <c r="FN25">
        <v>100.678</v>
      </c>
    </row>
    <row r="26" spans="1:170" x14ac:dyDescent="0.25">
      <c r="A26">
        <v>10</v>
      </c>
      <c r="B26">
        <v>1593108126.4000001</v>
      </c>
      <c r="C26">
        <v>1178.10000014305</v>
      </c>
      <c r="D26" t="s">
        <v>329</v>
      </c>
      <c r="E26" t="s">
        <v>330</v>
      </c>
      <c r="G26">
        <v>1593108118.4000001</v>
      </c>
      <c r="H26">
        <f t="shared" si="0"/>
        <v>7.6058934075473828E-3</v>
      </c>
      <c r="I26">
        <f t="shared" si="1"/>
        <v>42.960533098810963</v>
      </c>
      <c r="J26">
        <f t="shared" si="2"/>
        <v>680.80367741935504</v>
      </c>
      <c r="K26">
        <f t="shared" si="3"/>
        <v>513.93734208577007</v>
      </c>
      <c r="L26">
        <f t="shared" si="4"/>
        <v>51.104676599605575</v>
      </c>
      <c r="M26">
        <f t="shared" si="5"/>
        <v>67.697458256559074</v>
      </c>
      <c r="N26">
        <f t="shared" si="6"/>
        <v>0.4864959821782186</v>
      </c>
      <c r="O26">
        <f t="shared" si="7"/>
        <v>3.3824520561270086</v>
      </c>
      <c r="P26">
        <f t="shared" si="8"/>
        <v>0.45069915094237922</v>
      </c>
      <c r="Q26">
        <f t="shared" si="9"/>
        <v>0.28468336303925601</v>
      </c>
      <c r="R26">
        <f t="shared" si="10"/>
        <v>353.33659887117307</v>
      </c>
      <c r="S26">
        <f t="shared" si="11"/>
        <v>27.068408788892445</v>
      </c>
      <c r="T26">
        <f t="shared" si="12"/>
        <v>27.113880645161299</v>
      </c>
      <c r="U26">
        <f t="shared" si="13"/>
        <v>3.6031688742190155</v>
      </c>
      <c r="V26">
        <f t="shared" si="14"/>
        <v>55.177867761302601</v>
      </c>
      <c r="W26">
        <f t="shared" si="15"/>
        <v>1.9721275358739709</v>
      </c>
      <c r="X26">
        <f t="shared" si="16"/>
        <v>3.5741278448912182</v>
      </c>
      <c r="Y26">
        <f t="shared" si="17"/>
        <v>1.6310413383450446</v>
      </c>
      <c r="Z26">
        <f t="shared" si="18"/>
        <v>-335.41989927283959</v>
      </c>
      <c r="AA26">
        <f t="shared" si="19"/>
        <v>-25.134367684895444</v>
      </c>
      <c r="AB26">
        <f t="shared" si="20"/>
        <v>-1.6043775384227974</v>
      </c>
      <c r="AC26">
        <f t="shared" si="21"/>
        <v>-8.8220456249847601</v>
      </c>
      <c r="AD26">
        <v>-4.1176038924534197E-2</v>
      </c>
      <c r="AE26">
        <v>4.6223710911917897E-2</v>
      </c>
      <c r="AF26">
        <v>3.4547087900013098</v>
      </c>
      <c r="AG26">
        <v>146</v>
      </c>
      <c r="AH26">
        <v>29</v>
      </c>
      <c r="AI26">
        <f t="shared" si="22"/>
        <v>1</v>
      </c>
      <c r="AJ26">
        <f t="shared" si="23"/>
        <v>0</v>
      </c>
      <c r="AK26">
        <f t="shared" si="24"/>
        <v>52508.868116723024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280.257846153846</v>
      </c>
      <c r="AT26">
        <v>380.04700000000003</v>
      </c>
      <c r="AU26">
        <f t="shared" si="27"/>
        <v>0.26257056060475159</v>
      </c>
      <c r="AV26">
        <v>0.5</v>
      </c>
      <c r="AW26">
        <f t="shared" si="28"/>
        <v>1849.1763868057583</v>
      </c>
      <c r="AX26">
        <f t="shared" si="29"/>
        <v>42.960533098810963</v>
      </c>
      <c r="AY26">
        <f t="shared" si="30"/>
        <v>242.76964027032847</v>
      </c>
      <c r="AZ26">
        <f t="shared" si="31"/>
        <v>0.50416658992177288</v>
      </c>
      <c r="BA26">
        <f t="shared" si="32"/>
        <v>2.3773033990958418E-2</v>
      </c>
      <c r="BB26">
        <f t="shared" si="33"/>
        <v>-1</v>
      </c>
      <c r="BC26" t="s">
        <v>332</v>
      </c>
      <c r="BD26">
        <v>188.44</v>
      </c>
      <c r="BE26">
        <f t="shared" si="34"/>
        <v>191.60700000000003</v>
      </c>
      <c r="BF26">
        <f t="shared" si="35"/>
        <v>0.52080119122033119</v>
      </c>
      <c r="BG26">
        <f t="shared" si="36"/>
        <v>2.0168064105285501</v>
      </c>
      <c r="BH26">
        <f t="shared" si="37"/>
        <v>0.26257056060475154</v>
      </c>
      <c r="BI26" t="e">
        <f t="shared" si="38"/>
        <v>#DIV/0!</v>
      </c>
      <c r="BJ26">
        <v>4043</v>
      </c>
      <c r="BK26">
        <v>300</v>
      </c>
      <c r="BL26">
        <v>300</v>
      </c>
      <c r="BM26">
        <v>300</v>
      </c>
      <c r="BN26">
        <v>9884.0400000000009</v>
      </c>
      <c r="BO26">
        <v>351.52499999999998</v>
      </c>
      <c r="BP26">
        <v>-6.4102300000000003E-3</v>
      </c>
      <c r="BQ26">
        <v>0.37451200000000001</v>
      </c>
      <c r="BR26">
        <f t="shared" si="39"/>
        <v>2199.98903225806</v>
      </c>
      <c r="BS26">
        <f t="shared" si="40"/>
        <v>1849.1763868057583</v>
      </c>
      <c r="BT26">
        <f t="shared" si="41"/>
        <v>0.84053891164528716</v>
      </c>
      <c r="BU26">
        <f t="shared" si="42"/>
        <v>0.19107782329057416</v>
      </c>
      <c r="BV26">
        <v>0.5</v>
      </c>
      <c r="BW26" t="s">
        <v>281</v>
      </c>
      <c r="BX26">
        <v>1593108118.4000001</v>
      </c>
      <c r="BY26">
        <v>680.80367741935504</v>
      </c>
      <c r="BZ26">
        <v>700.05722580645204</v>
      </c>
      <c r="CA26">
        <v>19.8328225806452</v>
      </c>
      <c r="CB26">
        <v>16.851099999999999</v>
      </c>
      <c r="CC26">
        <v>500.04967741935502</v>
      </c>
      <c r="CD26">
        <v>99.237612903225795</v>
      </c>
      <c r="CE26">
        <v>0.19994964516128999</v>
      </c>
      <c r="CF26">
        <v>26.9760483870968</v>
      </c>
      <c r="CG26">
        <v>27.113880645161299</v>
      </c>
      <c r="CH26">
        <v>999.9</v>
      </c>
      <c r="CI26">
        <v>10006.087096774199</v>
      </c>
      <c r="CJ26">
        <v>0</v>
      </c>
      <c r="CK26">
        <v>2102.13</v>
      </c>
      <c r="CL26">
        <v>2199.98903225806</v>
      </c>
      <c r="CM26">
        <v>0.98199499999999995</v>
      </c>
      <c r="CN26">
        <v>1.8004599999999999E-2</v>
      </c>
      <c r="CO26">
        <v>0</v>
      </c>
      <c r="CP26">
        <v>280.26190322580601</v>
      </c>
      <c r="CQ26">
        <v>5.00054</v>
      </c>
      <c r="CR26">
        <v>8481.2341935483892</v>
      </c>
      <c r="CS26">
        <v>20590.400000000001</v>
      </c>
      <c r="CT26">
        <v>50.262</v>
      </c>
      <c r="CU26">
        <v>51.332322580645098</v>
      </c>
      <c r="CV26">
        <v>50.258000000000003</v>
      </c>
      <c r="CW26">
        <v>50.312129032257999</v>
      </c>
      <c r="CX26">
        <v>51.537999999999997</v>
      </c>
      <c r="CY26">
        <v>2155.46903225806</v>
      </c>
      <c r="CZ26">
        <v>39.520000000000003</v>
      </c>
      <c r="DA26">
        <v>0</v>
      </c>
      <c r="DB26">
        <v>119.89999985694899</v>
      </c>
      <c r="DC26">
        <v>280.257846153846</v>
      </c>
      <c r="DD26">
        <v>-1.4028718026309099</v>
      </c>
      <c r="DE26">
        <v>-60.195555595082901</v>
      </c>
      <c r="DF26">
        <v>8480.9338461538391</v>
      </c>
      <c r="DG26">
        <v>15</v>
      </c>
      <c r="DH26">
        <v>1593108065.4000001</v>
      </c>
      <c r="DI26" t="s">
        <v>333</v>
      </c>
      <c r="DJ26">
        <v>63</v>
      </c>
      <c r="DK26">
        <v>-0.26700000000000002</v>
      </c>
      <c r="DL26">
        <v>0.104</v>
      </c>
      <c r="DM26">
        <v>700</v>
      </c>
      <c r="DN26">
        <v>17</v>
      </c>
      <c r="DO26">
        <v>0.2</v>
      </c>
      <c r="DP26">
        <v>0.03</v>
      </c>
      <c r="DQ26">
        <v>-19.252581481481499</v>
      </c>
      <c r="DR26">
        <v>-5.53733562035536E-3</v>
      </c>
      <c r="DS26">
        <v>5.31884318879031E-2</v>
      </c>
      <c r="DT26">
        <v>1</v>
      </c>
      <c r="DU26">
        <v>2.9694762962963002</v>
      </c>
      <c r="DV26">
        <v>6.5349525443111706E-2</v>
      </c>
      <c r="DW26">
        <v>1.8923531529337699E-2</v>
      </c>
      <c r="DX26">
        <v>1</v>
      </c>
      <c r="DY26">
        <v>2</v>
      </c>
      <c r="DZ26">
        <v>2</v>
      </c>
      <c r="EA26" t="s">
        <v>293</v>
      </c>
      <c r="EB26">
        <v>1.8666100000000001</v>
      </c>
      <c r="EC26">
        <v>1.8631</v>
      </c>
      <c r="ED26">
        <v>1.8687400000000001</v>
      </c>
      <c r="EE26">
        <v>1.8667499999999999</v>
      </c>
      <c r="EF26">
        <v>1.87137</v>
      </c>
      <c r="EG26">
        <v>1.8638600000000001</v>
      </c>
      <c r="EH26">
        <v>1.86528</v>
      </c>
      <c r="EI26">
        <v>1.8652299999999999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-0.26700000000000002</v>
      </c>
      <c r="EX26">
        <v>0.104</v>
      </c>
      <c r="EY26">
        <v>2</v>
      </c>
      <c r="EZ26">
        <v>333.56099999999998</v>
      </c>
      <c r="FA26">
        <v>456.06299999999999</v>
      </c>
      <c r="FB26">
        <v>18.690000000000001</v>
      </c>
      <c r="FC26">
        <v>36.199100000000001</v>
      </c>
      <c r="FD26">
        <v>30.000399999999999</v>
      </c>
      <c r="FE26">
        <v>36.020400000000002</v>
      </c>
      <c r="FF26">
        <v>35.987200000000001</v>
      </c>
      <c r="FG26">
        <v>34.324599999999997</v>
      </c>
      <c r="FH26">
        <v>44.335500000000003</v>
      </c>
      <c r="FI26">
        <v>0</v>
      </c>
      <c r="FJ26">
        <v>17.719200000000001</v>
      </c>
      <c r="FK26">
        <v>700</v>
      </c>
      <c r="FL26">
        <v>16.863099999999999</v>
      </c>
      <c r="FM26">
        <v>100.538</v>
      </c>
      <c r="FN26">
        <v>100.66800000000001</v>
      </c>
    </row>
    <row r="27" spans="1:170" x14ac:dyDescent="0.25">
      <c r="A27">
        <v>11</v>
      </c>
      <c r="B27">
        <v>1593108246.9000001</v>
      </c>
      <c r="C27">
        <v>1298.60000014305</v>
      </c>
      <c r="D27" t="s">
        <v>334</v>
      </c>
      <c r="E27" t="s">
        <v>335</v>
      </c>
      <c r="G27">
        <v>1593108238.9000001</v>
      </c>
      <c r="H27">
        <f t="shared" si="0"/>
        <v>6.8979938902904514E-3</v>
      </c>
      <c r="I27">
        <f t="shared" si="1"/>
        <v>43.68408965221046</v>
      </c>
      <c r="J27">
        <f t="shared" si="2"/>
        <v>780.39616129032299</v>
      </c>
      <c r="K27">
        <f t="shared" si="3"/>
        <v>591.80552135199275</v>
      </c>
      <c r="L27">
        <f t="shared" si="4"/>
        <v>58.847882444712781</v>
      </c>
      <c r="M27">
        <f t="shared" si="5"/>
        <v>77.600934602641317</v>
      </c>
      <c r="N27">
        <f t="shared" si="6"/>
        <v>0.43584053042397936</v>
      </c>
      <c r="O27">
        <f t="shared" si="7"/>
        <v>3.3807109008477374</v>
      </c>
      <c r="P27">
        <f t="shared" si="8"/>
        <v>0.40685839366166227</v>
      </c>
      <c r="Q27">
        <f t="shared" si="9"/>
        <v>0.25672965041955093</v>
      </c>
      <c r="R27">
        <f t="shared" si="10"/>
        <v>353.33999679429729</v>
      </c>
      <c r="S27">
        <f t="shared" si="11"/>
        <v>27.059221316770316</v>
      </c>
      <c r="T27">
        <f t="shared" si="12"/>
        <v>27.050577419354799</v>
      </c>
      <c r="U27">
        <f t="shared" si="13"/>
        <v>3.5898055139433156</v>
      </c>
      <c r="V27">
        <f t="shared" si="14"/>
        <v>55.132372890404611</v>
      </c>
      <c r="W27">
        <f t="shared" si="15"/>
        <v>1.9508764475928402</v>
      </c>
      <c r="X27">
        <f t="shared" si="16"/>
        <v>3.5385316200173489</v>
      </c>
      <c r="Y27">
        <f t="shared" si="17"/>
        <v>1.6389290663504754</v>
      </c>
      <c r="Z27">
        <f t="shared" si="18"/>
        <v>-304.20153056180891</v>
      </c>
      <c r="AA27">
        <f t="shared" si="19"/>
        <v>-44.619816667343585</v>
      </c>
      <c r="AB27">
        <f t="shared" si="20"/>
        <v>-2.8463139742005623</v>
      </c>
      <c r="AC27">
        <f t="shared" si="21"/>
        <v>1.6723355909442574</v>
      </c>
      <c r="AD27">
        <v>-4.11491137740818E-2</v>
      </c>
      <c r="AE27">
        <v>4.6193485071762297E-2</v>
      </c>
      <c r="AF27">
        <v>3.4529203858005402</v>
      </c>
      <c r="AG27">
        <v>146</v>
      </c>
      <c r="AH27">
        <v>29</v>
      </c>
      <c r="AI27">
        <f t="shared" si="22"/>
        <v>1</v>
      </c>
      <c r="AJ27">
        <f t="shared" si="23"/>
        <v>0</v>
      </c>
      <c r="AK27">
        <f t="shared" si="24"/>
        <v>52505.74898600841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336</v>
      </c>
      <c r="AS27">
        <v>278.31757692307701</v>
      </c>
      <c r="AT27">
        <v>375.76600000000002</v>
      </c>
      <c r="AU27">
        <f t="shared" si="27"/>
        <v>0.25933273121283729</v>
      </c>
      <c r="AV27">
        <v>0.5</v>
      </c>
      <c r="AW27">
        <f t="shared" si="28"/>
        <v>1849.1942706767363</v>
      </c>
      <c r="AX27">
        <f t="shared" si="29"/>
        <v>43.68408965221046</v>
      </c>
      <c r="AY27">
        <f t="shared" si="30"/>
        <v>239.77830037886437</v>
      </c>
      <c r="AZ27">
        <f t="shared" si="31"/>
        <v>0.50447885119994895</v>
      </c>
      <c r="BA27">
        <f t="shared" si="32"/>
        <v>2.416408614323564E-2</v>
      </c>
      <c r="BB27">
        <f t="shared" si="33"/>
        <v>-1</v>
      </c>
      <c r="BC27" t="s">
        <v>337</v>
      </c>
      <c r="BD27">
        <v>186.2</v>
      </c>
      <c r="BE27">
        <f t="shared" si="34"/>
        <v>189.56600000000003</v>
      </c>
      <c r="BF27">
        <f t="shared" si="35"/>
        <v>0.51406066001774042</v>
      </c>
      <c r="BG27">
        <f t="shared" si="36"/>
        <v>2.0180773361976372</v>
      </c>
      <c r="BH27">
        <f t="shared" si="37"/>
        <v>0.25933273121283723</v>
      </c>
      <c r="BI27" t="e">
        <f t="shared" si="38"/>
        <v>#DIV/0!</v>
      </c>
      <c r="BJ27">
        <v>4045</v>
      </c>
      <c r="BK27">
        <v>300</v>
      </c>
      <c r="BL27">
        <v>300</v>
      </c>
      <c r="BM27">
        <v>300</v>
      </c>
      <c r="BN27">
        <v>9883.6</v>
      </c>
      <c r="BO27">
        <v>347.65699999999998</v>
      </c>
      <c r="BP27">
        <v>-6.4099200000000004E-3</v>
      </c>
      <c r="BQ27">
        <v>0.98059099999999999</v>
      </c>
      <c r="BR27">
        <f t="shared" si="39"/>
        <v>2200.0103225806502</v>
      </c>
      <c r="BS27">
        <f t="shared" si="40"/>
        <v>1849.1942706767363</v>
      </c>
      <c r="BT27">
        <f t="shared" si="41"/>
        <v>0.8405389064300387</v>
      </c>
      <c r="BU27">
        <f t="shared" si="42"/>
        <v>0.19107781286007769</v>
      </c>
      <c r="BV27">
        <v>0.5</v>
      </c>
      <c r="BW27" t="s">
        <v>281</v>
      </c>
      <c r="BX27">
        <v>1593108238.9000001</v>
      </c>
      <c r="BY27">
        <v>780.39616129032299</v>
      </c>
      <c r="BZ27">
        <v>800.02109677419401</v>
      </c>
      <c r="CA27">
        <v>19.6190483870968</v>
      </c>
      <c r="CB27">
        <v>16.914254838709699</v>
      </c>
      <c r="CC27">
        <v>500.05012903225798</v>
      </c>
      <c r="CD27">
        <v>99.237890322580697</v>
      </c>
      <c r="CE27">
        <v>0.199982967741935</v>
      </c>
      <c r="CF27">
        <v>26.805764516128999</v>
      </c>
      <c r="CG27">
        <v>27.050577419354799</v>
      </c>
      <c r="CH27">
        <v>999.9</v>
      </c>
      <c r="CI27">
        <v>9999.5161290322594</v>
      </c>
      <c r="CJ27">
        <v>0</v>
      </c>
      <c r="CK27">
        <v>2094.4751612903201</v>
      </c>
      <c r="CL27">
        <v>2200.0103225806502</v>
      </c>
      <c r="CM27">
        <v>0.98199590322580599</v>
      </c>
      <c r="CN27">
        <v>1.8003651612903199E-2</v>
      </c>
      <c r="CO27">
        <v>0</v>
      </c>
      <c r="CP27">
        <v>278.33341935483901</v>
      </c>
      <c r="CQ27">
        <v>5.00054</v>
      </c>
      <c r="CR27">
        <v>8418.3935483870991</v>
      </c>
      <c r="CS27">
        <v>20590.596774193498</v>
      </c>
      <c r="CT27">
        <v>50.393000000000001</v>
      </c>
      <c r="CU27">
        <v>51.390999999999998</v>
      </c>
      <c r="CV27">
        <v>50.316064516129003</v>
      </c>
      <c r="CW27">
        <v>50.383000000000003</v>
      </c>
      <c r="CX27">
        <v>51.628999999999998</v>
      </c>
      <c r="CY27">
        <v>2155.4903225806502</v>
      </c>
      <c r="CZ27">
        <v>39.520000000000003</v>
      </c>
      <c r="DA27">
        <v>0</v>
      </c>
      <c r="DB27">
        <v>120.10000014305101</v>
      </c>
      <c r="DC27">
        <v>278.31757692307701</v>
      </c>
      <c r="DD27">
        <v>-2.7440341943820798</v>
      </c>
      <c r="DE27">
        <v>-30.652307727837201</v>
      </c>
      <c r="DF27">
        <v>8417.4246153846198</v>
      </c>
      <c r="DG27">
        <v>15</v>
      </c>
      <c r="DH27">
        <v>1593108188.9000001</v>
      </c>
      <c r="DI27" t="s">
        <v>338</v>
      </c>
      <c r="DJ27">
        <v>64</v>
      </c>
      <c r="DK27">
        <v>-0.34399999999999997</v>
      </c>
      <c r="DL27">
        <v>0.106</v>
      </c>
      <c r="DM27">
        <v>800</v>
      </c>
      <c r="DN27">
        <v>17</v>
      </c>
      <c r="DO27">
        <v>0.16</v>
      </c>
      <c r="DP27">
        <v>0.03</v>
      </c>
      <c r="DQ27">
        <v>-19.661298148148099</v>
      </c>
      <c r="DR27">
        <v>0.37184722698689998</v>
      </c>
      <c r="DS27">
        <v>6.3669661042849698E-2</v>
      </c>
      <c r="DT27">
        <v>1</v>
      </c>
      <c r="DU27">
        <v>2.7137822222222199</v>
      </c>
      <c r="DV27">
        <v>-9.07083819325369E-2</v>
      </c>
      <c r="DW27">
        <v>1.1960737879298401E-2</v>
      </c>
      <c r="DX27">
        <v>1</v>
      </c>
      <c r="DY27">
        <v>2</v>
      </c>
      <c r="DZ27">
        <v>2</v>
      </c>
      <c r="EA27" t="s">
        <v>293</v>
      </c>
      <c r="EB27">
        <v>1.8666100000000001</v>
      </c>
      <c r="EC27">
        <v>1.8631</v>
      </c>
      <c r="ED27">
        <v>1.8687400000000001</v>
      </c>
      <c r="EE27">
        <v>1.86676</v>
      </c>
      <c r="EF27">
        <v>1.87137</v>
      </c>
      <c r="EG27">
        <v>1.86385</v>
      </c>
      <c r="EH27">
        <v>1.8652899999999999</v>
      </c>
      <c r="EI27">
        <v>1.8652299999999999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-0.34399999999999997</v>
      </c>
      <c r="EX27">
        <v>0.106</v>
      </c>
      <c r="EY27">
        <v>2</v>
      </c>
      <c r="EZ27">
        <v>333.89600000000002</v>
      </c>
      <c r="FA27">
        <v>454.89299999999997</v>
      </c>
      <c r="FB27">
        <v>18.494</v>
      </c>
      <c r="FC27">
        <v>36.2744</v>
      </c>
      <c r="FD27">
        <v>30.000399999999999</v>
      </c>
      <c r="FE27">
        <v>36.097200000000001</v>
      </c>
      <c r="FF27">
        <v>36.062199999999997</v>
      </c>
      <c r="FG27">
        <v>38.326799999999999</v>
      </c>
      <c r="FH27">
        <v>44.730699999999999</v>
      </c>
      <c r="FI27">
        <v>0</v>
      </c>
      <c r="FJ27">
        <v>17.566500000000001</v>
      </c>
      <c r="FK27">
        <v>800</v>
      </c>
      <c r="FL27">
        <v>16.8504</v>
      </c>
      <c r="FM27">
        <v>100.518</v>
      </c>
      <c r="FN27">
        <v>100.646</v>
      </c>
    </row>
    <row r="28" spans="1:170" x14ac:dyDescent="0.25">
      <c r="A28">
        <v>12</v>
      </c>
      <c r="B28">
        <v>1593108397.4000001</v>
      </c>
      <c r="C28">
        <v>1449.10000014305</v>
      </c>
      <c r="D28" t="s">
        <v>339</v>
      </c>
      <c r="E28" t="s">
        <v>340</v>
      </c>
      <c r="G28">
        <v>1593108389.4000001</v>
      </c>
      <c r="H28">
        <f t="shared" si="0"/>
        <v>5.9878271885255626E-3</v>
      </c>
      <c r="I28">
        <f t="shared" si="1"/>
        <v>43.839583667904172</v>
      </c>
      <c r="J28">
        <f t="shared" si="2"/>
        <v>980.08538709677396</v>
      </c>
      <c r="K28">
        <f t="shared" si="3"/>
        <v>757.86989115677125</v>
      </c>
      <c r="L28">
        <f t="shared" si="4"/>
        <v>75.362382950216983</v>
      </c>
      <c r="M28">
        <f t="shared" si="5"/>
        <v>97.459433509834327</v>
      </c>
      <c r="N28">
        <f t="shared" si="6"/>
        <v>0.37150044185219971</v>
      </c>
      <c r="O28">
        <f t="shared" si="7"/>
        <v>3.3813609004997796</v>
      </c>
      <c r="P28">
        <f t="shared" si="8"/>
        <v>0.35022328125744023</v>
      </c>
      <c r="Q28">
        <f t="shared" si="9"/>
        <v>0.22069960240274877</v>
      </c>
      <c r="R28">
        <f t="shared" si="10"/>
        <v>353.33901860430711</v>
      </c>
      <c r="S28">
        <f t="shared" si="11"/>
        <v>27.085007445819702</v>
      </c>
      <c r="T28">
        <f t="shared" si="12"/>
        <v>27.0124225806452</v>
      </c>
      <c r="U28">
        <f t="shared" si="13"/>
        <v>3.5817719113174351</v>
      </c>
      <c r="V28">
        <f t="shared" si="14"/>
        <v>55.091270619463884</v>
      </c>
      <c r="W28">
        <f t="shared" si="15"/>
        <v>1.9287408449204397</v>
      </c>
      <c r="X28">
        <f t="shared" si="16"/>
        <v>3.5009917600974894</v>
      </c>
      <c r="Y28">
        <f t="shared" si="17"/>
        <v>1.6530310663969954</v>
      </c>
      <c r="Z28">
        <f t="shared" si="18"/>
        <v>-264.06317901397733</v>
      </c>
      <c r="AA28">
        <f t="shared" si="19"/>
        <v>-70.706710293966708</v>
      </c>
      <c r="AB28">
        <f t="shared" si="20"/>
        <v>-4.5045947546769636</v>
      </c>
      <c r="AC28">
        <f t="shared" si="21"/>
        <v>14.064534541686086</v>
      </c>
      <c r="AD28">
        <v>-4.1159164613667101E-2</v>
      </c>
      <c r="AE28">
        <v>4.6204768019698798E-2</v>
      </c>
      <c r="AF28">
        <v>3.4535880229150502</v>
      </c>
      <c r="AG28">
        <v>149</v>
      </c>
      <c r="AH28">
        <v>30</v>
      </c>
      <c r="AI28">
        <f t="shared" si="22"/>
        <v>1</v>
      </c>
      <c r="AJ28">
        <f t="shared" si="23"/>
        <v>0</v>
      </c>
      <c r="AK28">
        <f t="shared" si="24"/>
        <v>52549.851723998727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341</v>
      </c>
      <c r="AS28">
        <v>275.17988461538499</v>
      </c>
      <c r="AT28">
        <v>366.88600000000002</v>
      </c>
      <c r="AU28">
        <f t="shared" si="27"/>
        <v>0.24995806704157431</v>
      </c>
      <c r="AV28">
        <v>0.5</v>
      </c>
      <c r="AW28">
        <f t="shared" si="28"/>
        <v>1849.1891222896375</v>
      </c>
      <c r="AX28">
        <f t="shared" si="29"/>
        <v>43.839583667904172</v>
      </c>
      <c r="AY28">
        <f t="shared" si="30"/>
        <v>231.10986930091158</v>
      </c>
      <c r="AZ28">
        <f t="shared" si="31"/>
        <v>0.49139514726645339</v>
      </c>
      <c r="BA28">
        <f t="shared" si="32"/>
        <v>2.4248241095202037E-2</v>
      </c>
      <c r="BB28">
        <f t="shared" si="33"/>
        <v>-1</v>
      </c>
      <c r="BC28" t="s">
        <v>342</v>
      </c>
      <c r="BD28">
        <v>186.6</v>
      </c>
      <c r="BE28">
        <f t="shared" si="34"/>
        <v>180.28600000000003</v>
      </c>
      <c r="BF28">
        <f t="shared" si="35"/>
        <v>0.50867019837710648</v>
      </c>
      <c r="BG28">
        <f t="shared" si="36"/>
        <v>1.9661629153269027</v>
      </c>
      <c r="BH28">
        <f t="shared" si="37"/>
        <v>0.24995806704157431</v>
      </c>
      <c r="BI28" t="e">
        <f t="shared" si="38"/>
        <v>#DIV/0!</v>
      </c>
      <c r="BJ28">
        <v>4047</v>
      </c>
      <c r="BK28">
        <v>300</v>
      </c>
      <c r="BL28">
        <v>300</v>
      </c>
      <c r="BM28">
        <v>300</v>
      </c>
      <c r="BN28">
        <v>9883.1200000000008</v>
      </c>
      <c r="BO28">
        <v>339.90899999999999</v>
      </c>
      <c r="BP28">
        <v>-6.4094399999999998E-3</v>
      </c>
      <c r="BQ28">
        <v>0.71521000000000001</v>
      </c>
      <c r="BR28">
        <f t="shared" si="39"/>
        <v>2200.00419354839</v>
      </c>
      <c r="BS28">
        <f t="shared" si="40"/>
        <v>1849.1891222896375</v>
      </c>
      <c r="BT28">
        <f t="shared" si="41"/>
        <v>0.84053890793138786</v>
      </c>
      <c r="BU28">
        <f t="shared" si="42"/>
        <v>0.19107781586277567</v>
      </c>
      <c r="BV28">
        <v>0.5</v>
      </c>
      <c r="BW28" t="s">
        <v>281</v>
      </c>
      <c r="BX28">
        <v>1593108389.4000001</v>
      </c>
      <c r="BY28">
        <v>980.08538709677396</v>
      </c>
      <c r="BZ28">
        <v>999.96635483871</v>
      </c>
      <c r="CA28">
        <v>19.3960774193548</v>
      </c>
      <c r="CB28">
        <v>17.047674193548399</v>
      </c>
      <c r="CC28">
        <v>500.05780645161298</v>
      </c>
      <c r="CD28">
        <v>99.239741935483906</v>
      </c>
      <c r="CE28">
        <v>0.199995451612903</v>
      </c>
      <c r="CF28">
        <v>26.624554838709699</v>
      </c>
      <c r="CG28">
        <v>27.0124225806452</v>
      </c>
      <c r="CH28">
        <v>999.9</v>
      </c>
      <c r="CI28">
        <v>10001.771935483899</v>
      </c>
      <c r="CJ28">
        <v>0</v>
      </c>
      <c r="CK28">
        <v>236.933870967742</v>
      </c>
      <c r="CL28">
        <v>2200.00419354839</v>
      </c>
      <c r="CM28">
        <v>0.98199654838709705</v>
      </c>
      <c r="CN28">
        <v>1.8002974193548401E-2</v>
      </c>
      <c r="CO28">
        <v>0</v>
      </c>
      <c r="CP28">
        <v>275.21758064516098</v>
      </c>
      <c r="CQ28">
        <v>5.00054</v>
      </c>
      <c r="CR28">
        <v>8104.8567741935503</v>
      </c>
      <c r="CS28">
        <v>20590.554838709701</v>
      </c>
      <c r="CT28">
        <v>50.521935483870998</v>
      </c>
      <c r="CU28">
        <v>51.387</v>
      </c>
      <c r="CV28">
        <v>50.441064516129003</v>
      </c>
      <c r="CW28">
        <v>50.423129032257997</v>
      </c>
      <c r="CX28">
        <v>51.7195161290323</v>
      </c>
      <c r="CY28">
        <v>2155.4841935483901</v>
      </c>
      <c r="CZ28">
        <v>39.520000000000003</v>
      </c>
      <c r="DA28">
        <v>0</v>
      </c>
      <c r="DB28">
        <v>150</v>
      </c>
      <c r="DC28">
        <v>275.17988461538499</v>
      </c>
      <c r="DD28">
        <v>-4.3633162497415903</v>
      </c>
      <c r="DE28">
        <v>-18.394871909993199</v>
      </c>
      <c r="DF28">
        <v>8104.41423076923</v>
      </c>
      <c r="DG28">
        <v>15</v>
      </c>
      <c r="DH28">
        <v>1593108309.4000001</v>
      </c>
      <c r="DI28" t="s">
        <v>343</v>
      </c>
      <c r="DJ28">
        <v>65</v>
      </c>
      <c r="DK28">
        <v>-8.3000000000000004E-2</v>
      </c>
      <c r="DL28">
        <v>0.107</v>
      </c>
      <c r="DM28">
        <v>1000</v>
      </c>
      <c r="DN28">
        <v>17</v>
      </c>
      <c r="DO28">
        <v>0.2</v>
      </c>
      <c r="DP28">
        <v>0.03</v>
      </c>
      <c r="DQ28">
        <v>-19.970020370370399</v>
      </c>
      <c r="DR28">
        <v>0.90211686678096104</v>
      </c>
      <c r="DS28">
        <v>0.15486714184127301</v>
      </c>
      <c r="DT28">
        <v>0</v>
      </c>
      <c r="DU28">
        <v>2.3558731481481501</v>
      </c>
      <c r="DV28">
        <v>-7.4386598056023101E-2</v>
      </c>
      <c r="DW28">
        <v>9.7786471502536304E-3</v>
      </c>
      <c r="DX28">
        <v>1</v>
      </c>
      <c r="DY28">
        <v>1</v>
      </c>
      <c r="DZ28">
        <v>2</v>
      </c>
      <c r="EA28" t="s">
        <v>283</v>
      </c>
      <c r="EB28">
        <v>1.8666499999999999</v>
      </c>
      <c r="EC28">
        <v>1.86313</v>
      </c>
      <c r="ED28">
        <v>1.8687800000000001</v>
      </c>
      <c r="EE28">
        <v>1.86676</v>
      </c>
      <c r="EF28">
        <v>1.87148</v>
      </c>
      <c r="EG28">
        <v>1.8638600000000001</v>
      </c>
      <c r="EH28">
        <v>1.86538</v>
      </c>
      <c r="EI28">
        <v>1.86524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-8.3000000000000004E-2</v>
      </c>
      <c r="EX28">
        <v>0.107</v>
      </c>
      <c r="EY28">
        <v>2</v>
      </c>
      <c r="EZ28">
        <v>331.04399999999998</v>
      </c>
      <c r="FA28">
        <v>454.76</v>
      </c>
      <c r="FB28">
        <v>18.332999999999998</v>
      </c>
      <c r="FC28">
        <v>36.368699999999997</v>
      </c>
      <c r="FD28">
        <v>30.000499999999999</v>
      </c>
      <c r="FE28">
        <v>36.205100000000002</v>
      </c>
      <c r="FF28">
        <v>36.174799999999998</v>
      </c>
      <c r="FG28">
        <v>46.0505</v>
      </c>
      <c r="FH28">
        <v>44.150100000000002</v>
      </c>
      <c r="FI28">
        <v>0</v>
      </c>
      <c r="FJ28">
        <v>18.409400000000002</v>
      </c>
      <c r="FK28">
        <v>1000</v>
      </c>
      <c r="FL28">
        <v>17.066299999999998</v>
      </c>
      <c r="FM28">
        <v>100.479</v>
      </c>
      <c r="FN28">
        <v>100.62</v>
      </c>
    </row>
    <row r="29" spans="1:170" x14ac:dyDescent="0.25">
      <c r="A29">
        <v>13</v>
      </c>
      <c r="B29">
        <v>1593108521.4000001</v>
      </c>
      <c r="C29">
        <v>1573.10000014305</v>
      </c>
      <c r="D29" t="s">
        <v>344</v>
      </c>
      <c r="E29" t="s">
        <v>345</v>
      </c>
      <c r="G29">
        <v>1593108513.4000001</v>
      </c>
      <c r="H29">
        <f t="shared" si="0"/>
        <v>5.3267461613799461E-3</v>
      </c>
      <c r="I29">
        <f t="shared" si="1"/>
        <v>43.364432078693696</v>
      </c>
      <c r="J29">
        <f t="shared" si="2"/>
        <v>1180.13516129032</v>
      </c>
      <c r="K29">
        <f t="shared" si="3"/>
        <v>928.49136017573676</v>
      </c>
      <c r="L29">
        <f t="shared" si="4"/>
        <v>92.327686493958083</v>
      </c>
      <c r="M29">
        <f t="shared" si="5"/>
        <v>117.35074106827065</v>
      </c>
      <c r="N29">
        <f t="shared" si="6"/>
        <v>0.32564909283237559</v>
      </c>
      <c r="O29">
        <f t="shared" si="7"/>
        <v>3.3802300384366921</v>
      </c>
      <c r="P29">
        <f t="shared" si="8"/>
        <v>0.30916970107804331</v>
      </c>
      <c r="Q29">
        <f t="shared" si="9"/>
        <v>0.19464215282176806</v>
      </c>
      <c r="R29">
        <f t="shared" si="10"/>
        <v>353.33590376046743</v>
      </c>
      <c r="S29">
        <f t="shared" si="11"/>
        <v>27.150043446672235</v>
      </c>
      <c r="T29">
        <f t="shared" si="12"/>
        <v>27.022512903225799</v>
      </c>
      <c r="U29">
        <f t="shared" si="13"/>
        <v>3.5838949276813645</v>
      </c>
      <c r="V29">
        <f t="shared" si="14"/>
        <v>55.062638948307573</v>
      </c>
      <c r="W29">
        <f t="shared" si="15"/>
        <v>1.9180481899167394</v>
      </c>
      <c r="X29">
        <f t="shared" si="16"/>
        <v>3.4833931437928172</v>
      </c>
      <c r="Y29">
        <f t="shared" si="17"/>
        <v>1.6658467377646251</v>
      </c>
      <c r="Z29">
        <f t="shared" si="18"/>
        <v>-234.90950571685562</v>
      </c>
      <c r="AA29">
        <f t="shared" si="19"/>
        <v>-88.109428336437333</v>
      </c>
      <c r="AB29">
        <f t="shared" si="20"/>
        <v>-5.6130500204075418</v>
      </c>
      <c r="AC29">
        <f t="shared" si="21"/>
        <v>24.703919686766966</v>
      </c>
      <c r="AD29">
        <v>-4.11416788336443E-2</v>
      </c>
      <c r="AE29">
        <v>4.6185138699784703E-2</v>
      </c>
      <c r="AF29">
        <v>3.4524264763716999</v>
      </c>
      <c r="AG29">
        <v>149</v>
      </c>
      <c r="AH29">
        <v>30</v>
      </c>
      <c r="AI29">
        <f t="shared" si="22"/>
        <v>1</v>
      </c>
      <c r="AJ29">
        <f t="shared" si="23"/>
        <v>0</v>
      </c>
      <c r="AK29">
        <f t="shared" si="24"/>
        <v>52543.409077277145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346</v>
      </c>
      <c r="AS29">
        <v>274.22542307692299</v>
      </c>
      <c r="AT29">
        <v>361.35</v>
      </c>
      <c r="AU29">
        <f t="shared" si="27"/>
        <v>0.24110855658800889</v>
      </c>
      <c r="AV29">
        <v>0.5</v>
      </c>
      <c r="AW29">
        <f t="shared" si="28"/>
        <v>1849.1750416445323</v>
      </c>
      <c r="AX29">
        <f t="shared" si="29"/>
        <v>43.364432078693696</v>
      </c>
      <c r="AY29">
        <f t="shared" si="30"/>
        <v>222.92596258474219</v>
      </c>
      <c r="AZ29">
        <f t="shared" si="31"/>
        <v>0.49566901895669019</v>
      </c>
      <c r="BA29">
        <f t="shared" si="32"/>
        <v>2.3991472456408966E-2</v>
      </c>
      <c r="BB29">
        <f t="shared" si="33"/>
        <v>-1</v>
      </c>
      <c r="BC29" t="s">
        <v>347</v>
      </c>
      <c r="BD29">
        <v>182.24</v>
      </c>
      <c r="BE29">
        <f t="shared" si="34"/>
        <v>179.11</v>
      </c>
      <c r="BF29">
        <f t="shared" si="35"/>
        <v>0.48643055621169684</v>
      </c>
      <c r="BG29">
        <f t="shared" si="36"/>
        <v>1.9828248463564531</v>
      </c>
      <c r="BH29">
        <f t="shared" si="37"/>
        <v>0.24110855658800892</v>
      </c>
      <c r="BI29" t="e">
        <f t="shared" si="38"/>
        <v>#DIV/0!</v>
      </c>
      <c r="BJ29">
        <v>4049</v>
      </c>
      <c r="BK29">
        <v>300</v>
      </c>
      <c r="BL29">
        <v>300</v>
      </c>
      <c r="BM29">
        <v>300</v>
      </c>
      <c r="BN29">
        <v>9882.19</v>
      </c>
      <c r="BO29">
        <v>334.63799999999998</v>
      </c>
      <c r="BP29">
        <v>-6.4088499999999998E-3</v>
      </c>
      <c r="BQ29">
        <v>0.34652699999999997</v>
      </c>
      <c r="BR29">
        <f t="shared" si="39"/>
        <v>2199.9877419354798</v>
      </c>
      <c r="BS29">
        <f t="shared" si="40"/>
        <v>1849.1750416445323</v>
      </c>
      <c r="BT29">
        <f t="shared" si="41"/>
        <v>0.84053879319240499</v>
      </c>
      <c r="BU29">
        <f t="shared" si="42"/>
        <v>0.19107758638480984</v>
      </c>
      <c r="BV29">
        <v>0.5</v>
      </c>
      <c r="BW29" t="s">
        <v>281</v>
      </c>
      <c r="BX29">
        <v>1593108513.4000001</v>
      </c>
      <c r="BY29">
        <v>1180.13516129032</v>
      </c>
      <c r="BZ29">
        <v>1199.9929032258101</v>
      </c>
      <c r="CA29">
        <v>19.288809677419401</v>
      </c>
      <c r="CB29">
        <v>17.1994774193548</v>
      </c>
      <c r="CC29">
        <v>500.06403225806503</v>
      </c>
      <c r="CD29">
        <v>99.238367741935505</v>
      </c>
      <c r="CE29">
        <v>0.20002280645161299</v>
      </c>
      <c r="CF29">
        <v>26.5390193548387</v>
      </c>
      <c r="CG29">
        <v>27.022512903225799</v>
      </c>
      <c r="CH29">
        <v>999.9</v>
      </c>
      <c r="CI29">
        <v>9997.6612903225796</v>
      </c>
      <c r="CJ29">
        <v>0</v>
      </c>
      <c r="CK29">
        <v>235.528258064516</v>
      </c>
      <c r="CL29">
        <v>2199.9877419354798</v>
      </c>
      <c r="CM29">
        <v>0.98199825806451602</v>
      </c>
      <c r="CN29">
        <v>1.80016193548387E-2</v>
      </c>
      <c r="CO29">
        <v>0</v>
      </c>
      <c r="CP29">
        <v>274.267032258065</v>
      </c>
      <c r="CQ29">
        <v>5.00054</v>
      </c>
      <c r="CR29">
        <v>8134.0812903225797</v>
      </c>
      <c r="CS29">
        <v>20590.4032258064</v>
      </c>
      <c r="CT29">
        <v>50.606709677419403</v>
      </c>
      <c r="CU29">
        <v>51.241870967741903</v>
      </c>
      <c r="CV29">
        <v>50.637</v>
      </c>
      <c r="CW29">
        <v>50.5843548387097</v>
      </c>
      <c r="CX29">
        <v>51.816129032257997</v>
      </c>
      <c r="CY29">
        <v>2155.4764516128998</v>
      </c>
      <c r="CZ29">
        <v>39.511290322580599</v>
      </c>
      <c r="DA29">
        <v>0</v>
      </c>
      <c r="DB29">
        <v>123.700000047684</v>
      </c>
      <c r="DC29">
        <v>274.22542307692299</v>
      </c>
      <c r="DD29">
        <v>-3.8956239152673402</v>
      </c>
      <c r="DE29">
        <v>-16.104273483049301</v>
      </c>
      <c r="DF29">
        <v>8133.8665384615397</v>
      </c>
      <c r="DG29">
        <v>15</v>
      </c>
      <c r="DH29">
        <v>1593108461.4000001</v>
      </c>
      <c r="DI29" t="s">
        <v>348</v>
      </c>
      <c r="DJ29">
        <v>66</v>
      </c>
      <c r="DK29">
        <v>-0.186</v>
      </c>
      <c r="DL29">
        <v>0.10299999999999999</v>
      </c>
      <c r="DM29">
        <v>1200</v>
      </c>
      <c r="DN29">
        <v>17</v>
      </c>
      <c r="DO29">
        <v>0.4</v>
      </c>
      <c r="DP29">
        <v>0.04</v>
      </c>
      <c r="DQ29">
        <v>-19.8955240740741</v>
      </c>
      <c r="DR29">
        <v>0.28421497998859602</v>
      </c>
      <c r="DS29">
        <v>0.16606735239519599</v>
      </c>
      <c r="DT29">
        <v>1</v>
      </c>
      <c r="DU29">
        <v>2.09528703703704</v>
      </c>
      <c r="DV29">
        <v>-8.3150142938824903E-2</v>
      </c>
      <c r="DW29">
        <v>2.6612138251781998E-2</v>
      </c>
      <c r="DX29">
        <v>1</v>
      </c>
      <c r="DY29">
        <v>2</v>
      </c>
      <c r="DZ29">
        <v>2</v>
      </c>
      <c r="EA29" t="s">
        <v>293</v>
      </c>
      <c r="EB29">
        <v>1.86669</v>
      </c>
      <c r="EC29">
        <v>1.8631800000000001</v>
      </c>
      <c r="ED29">
        <v>1.86876</v>
      </c>
      <c r="EE29">
        <v>1.86676</v>
      </c>
      <c r="EF29">
        <v>1.87148</v>
      </c>
      <c r="EG29">
        <v>1.8638600000000001</v>
      </c>
      <c r="EH29">
        <v>1.8653299999999999</v>
      </c>
      <c r="EI29">
        <v>1.8652500000000001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-0.186</v>
      </c>
      <c r="EX29">
        <v>0.10299999999999999</v>
      </c>
      <c r="EY29">
        <v>2</v>
      </c>
      <c r="EZ29">
        <v>330.64499999999998</v>
      </c>
      <c r="FA29">
        <v>454.04899999999998</v>
      </c>
      <c r="FB29">
        <v>18.308399999999999</v>
      </c>
      <c r="FC29">
        <v>36.375799999999998</v>
      </c>
      <c r="FD29">
        <v>30</v>
      </c>
      <c r="FE29">
        <v>36.258499999999998</v>
      </c>
      <c r="FF29">
        <v>36.230400000000003</v>
      </c>
      <c r="FG29">
        <v>53.4833</v>
      </c>
      <c r="FH29">
        <v>43.588299999999997</v>
      </c>
      <c r="FI29">
        <v>0</v>
      </c>
      <c r="FJ29">
        <v>18.079499999999999</v>
      </c>
      <c r="FK29">
        <v>1200</v>
      </c>
      <c r="FL29">
        <v>17.23</v>
      </c>
      <c r="FM29">
        <v>100.476</v>
      </c>
      <c r="FN29">
        <v>100.621</v>
      </c>
    </row>
    <row r="30" spans="1:170" x14ac:dyDescent="0.25">
      <c r="A30">
        <v>14</v>
      </c>
      <c r="B30">
        <v>1593108642.9000001</v>
      </c>
      <c r="C30">
        <v>1694.60000014305</v>
      </c>
      <c r="D30" t="s">
        <v>349</v>
      </c>
      <c r="E30" t="s">
        <v>350</v>
      </c>
      <c r="G30">
        <v>1593108634.9000001</v>
      </c>
      <c r="H30">
        <f t="shared" si="0"/>
        <v>4.9750339129687147E-3</v>
      </c>
      <c r="I30">
        <f t="shared" si="1"/>
        <v>43.330817161515185</v>
      </c>
      <c r="J30">
        <f t="shared" si="2"/>
        <v>1579.44483870968</v>
      </c>
      <c r="K30">
        <f t="shared" si="3"/>
        <v>1303.4331453938619</v>
      </c>
      <c r="L30">
        <f t="shared" si="4"/>
        <v>129.61031574960384</v>
      </c>
      <c r="M30">
        <f t="shared" si="5"/>
        <v>157.0562671186218</v>
      </c>
      <c r="N30">
        <f t="shared" si="6"/>
        <v>0.30528455253850678</v>
      </c>
      <c r="O30">
        <f t="shared" si="7"/>
        <v>3.3812936727977148</v>
      </c>
      <c r="P30">
        <f t="shared" si="8"/>
        <v>0.2907567309655531</v>
      </c>
      <c r="Q30">
        <f t="shared" si="9"/>
        <v>0.1829705996284107</v>
      </c>
      <c r="R30">
        <f t="shared" si="10"/>
        <v>353.33423979189962</v>
      </c>
      <c r="S30">
        <f t="shared" si="11"/>
        <v>27.067169751883558</v>
      </c>
      <c r="T30">
        <f t="shared" si="12"/>
        <v>26.923951612903199</v>
      </c>
      <c r="U30">
        <f t="shared" si="13"/>
        <v>3.5632044707690862</v>
      </c>
      <c r="V30">
        <f t="shared" si="14"/>
        <v>55.319105169511964</v>
      </c>
      <c r="W30">
        <f t="shared" si="15"/>
        <v>1.9085755874773853</v>
      </c>
      <c r="X30">
        <f t="shared" si="16"/>
        <v>3.4501201377517203</v>
      </c>
      <c r="Y30">
        <f t="shared" si="17"/>
        <v>1.6546288832917009</v>
      </c>
      <c r="Z30">
        <f t="shared" si="18"/>
        <v>-219.39899556192032</v>
      </c>
      <c r="AA30">
        <f t="shared" si="19"/>
        <v>-99.839143009239734</v>
      </c>
      <c r="AB30">
        <f t="shared" si="20"/>
        <v>-6.3499870432640071</v>
      </c>
      <c r="AC30">
        <f t="shared" si="21"/>
        <v>27.74611417747559</v>
      </c>
      <c r="AD30">
        <v>-4.1158125042414499E-2</v>
      </c>
      <c r="AE30">
        <v>4.6203601009896303E-2</v>
      </c>
      <c r="AF30">
        <v>3.45351897094758</v>
      </c>
      <c r="AG30">
        <v>148</v>
      </c>
      <c r="AH30">
        <v>30</v>
      </c>
      <c r="AI30">
        <f t="shared" si="22"/>
        <v>1</v>
      </c>
      <c r="AJ30">
        <f t="shared" si="23"/>
        <v>0</v>
      </c>
      <c r="AK30">
        <f t="shared" si="24"/>
        <v>52592.11470753383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351</v>
      </c>
      <c r="AS30">
        <v>272.477692307692</v>
      </c>
      <c r="AT30">
        <v>349.63</v>
      </c>
      <c r="AU30">
        <f t="shared" si="27"/>
        <v>0.22066844290337784</v>
      </c>
      <c r="AV30">
        <v>0.5</v>
      </c>
      <c r="AW30">
        <f t="shared" si="28"/>
        <v>1849.1663618683954</v>
      </c>
      <c r="AX30">
        <f t="shared" si="29"/>
        <v>43.330817161515185</v>
      </c>
      <c r="AY30">
        <f t="shared" si="30"/>
        <v>204.02633087140146</v>
      </c>
      <c r="AZ30">
        <f t="shared" si="31"/>
        <v>0.47407259102479765</v>
      </c>
      <c r="BA30">
        <f t="shared" si="32"/>
        <v>2.3973406652673144E-2</v>
      </c>
      <c r="BB30">
        <f t="shared" si="33"/>
        <v>-1</v>
      </c>
      <c r="BC30" t="s">
        <v>352</v>
      </c>
      <c r="BD30">
        <v>183.88</v>
      </c>
      <c r="BE30">
        <f t="shared" si="34"/>
        <v>165.75</v>
      </c>
      <c r="BF30">
        <f t="shared" si="35"/>
        <v>0.46547395289476923</v>
      </c>
      <c r="BG30">
        <f t="shared" si="36"/>
        <v>1.901403088971068</v>
      </c>
      <c r="BH30">
        <f t="shared" si="37"/>
        <v>0.22066844290337786</v>
      </c>
      <c r="BI30" t="e">
        <f t="shared" si="38"/>
        <v>#DIV/0!</v>
      </c>
      <c r="BJ30">
        <v>4051</v>
      </c>
      <c r="BK30">
        <v>300</v>
      </c>
      <c r="BL30">
        <v>300</v>
      </c>
      <c r="BM30">
        <v>300</v>
      </c>
      <c r="BN30">
        <v>9882.2000000000007</v>
      </c>
      <c r="BO30">
        <v>328.29199999999997</v>
      </c>
      <c r="BP30">
        <v>-6.4087199999999997E-3</v>
      </c>
      <c r="BQ30">
        <v>0.97757000000000005</v>
      </c>
      <c r="BR30">
        <f t="shared" si="39"/>
        <v>2199.9774193548401</v>
      </c>
      <c r="BS30">
        <f t="shared" si="40"/>
        <v>1849.1663618683954</v>
      </c>
      <c r="BT30">
        <f t="shared" si="41"/>
        <v>0.8405387917166337</v>
      </c>
      <c r="BU30">
        <f t="shared" si="42"/>
        <v>0.19107758343326728</v>
      </c>
      <c r="BV30">
        <v>0.5</v>
      </c>
      <c r="BW30" t="s">
        <v>281</v>
      </c>
      <c r="BX30">
        <v>1593108634.9000001</v>
      </c>
      <c r="BY30">
        <v>1579.44483870968</v>
      </c>
      <c r="BZ30">
        <v>1599.91806451613</v>
      </c>
      <c r="CA30">
        <v>19.193693548387099</v>
      </c>
      <c r="CB30">
        <v>17.242087096774199</v>
      </c>
      <c r="CC30">
        <v>500.05416129032301</v>
      </c>
      <c r="CD30">
        <v>99.237635483871003</v>
      </c>
      <c r="CE30">
        <v>0.20000441935483901</v>
      </c>
      <c r="CF30">
        <v>26.376264516129002</v>
      </c>
      <c r="CG30">
        <v>26.923951612903199</v>
      </c>
      <c r="CH30">
        <v>999.9</v>
      </c>
      <c r="CI30">
        <v>10001.731612903201</v>
      </c>
      <c r="CJ30">
        <v>0</v>
      </c>
      <c r="CK30">
        <v>177.02554838709699</v>
      </c>
      <c r="CL30">
        <v>2199.9774193548401</v>
      </c>
      <c r="CM30">
        <v>0.98199806451612903</v>
      </c>
      <c r="CN30">
        <v>1.8001754838709701E-2</v>
      </c>
      <c r="CO30">
        <v>0</v>
      </c>
      <c r="CP30">
        <v>272.48458064516097</v>
      </c>
      <c r="CQ30">
        <v>5.00054</v>
      </c>
      <c r="CR30">
        <v>7690.2770967741899</v>
      </c>
      <c r="CS30">
        <v>20590.306451612902</v>
      </c>
      <c r="CT30">
        <v>50.600548387096801</v>
      </c>
      <c r="CU30">
        <v>51.072225806451598</v>
      </c>
      <c r="CV30">
        <v>50.711387096774203</v>
      </c>
      <c r="CW30">
        <v>50.4593548387097</v>
      </c>
      <c r="CX30">
        <v>51.816064516129003</v>
      </c>
      <c r="CY30">
        <v>2155.46483870968</v>
      </c>
      <c r="CZ30">
        <v>39.510967741935502</v>
      </c>
      <c r="DA30">
        <v>0</v>
      </c>
      <c r="DB30">
        <v>120.5</v>
      </c>
      <c r="DC30">
        <v>272.477692307692</v>
      </c>
      <c r="DD30">
        <v>-2.6021196716141701</v>
      </c>
      <c r="DE30">
        <v>1494.2666670669</v>
      </c>
      <c r="DF30">
        <v>7697.6361538461497</v>
      </c>
      <c r="DG30">
        <v>15</v>
      </c>
      <c r="DH30">
        <v>1593108577.4000001</v>
      </c>
      <c r="DI30" t="s">
        <v>353</v>
      </c>
      <c r="DJ30">
        <v>67</v>
      </c>
      <c r="DK30">
        <v>-0.30199999999999999</v>
      </c>
      <c r="DL30">
        <v>0.109</v>
      </c>
      <c r="DM30">
        <v>1600</v>
      </c>
      <c r="DN30">
        <v>17</v>
      </c>
      <c r="DO30">
        <v>0.24</v>
      </c>
      <c r="DP30">
        <v>0.04</v>
      </c>
      <c r="DQ30">
        <v>-20.453935185185198</v>
      </c>
      <c r="DR30">
        <v>9.0032246997987397E-2</v>
      </c>
      <c r="DS30">
        <v>0.17629102533553601</v>
      </c>
      <c r="DT30">
        <v>1</v>
      </c>
      <c r="DU30">
        <v>1.9652596296296301</v>
      </c>
      <c r="DV30">
        <v>-5.25851114922797E-2</v>
      </c>
      <c r="DW30">
        <v>3.8713851428854501E-2</v>
      </c>
      <c r="DX30">
        <v>1</v>
      </c>
      <c r="DY30">
        <v>2</v>
      </c>
      <c r="DZ30">
        <v>2</v>
      </c>
      <c r="EA30" t="s">
        <v>293</v>
      </c>
      <c r="EB30">
        <v>1.8667499999999999</v>
      </c>
      <c r="EC30">
        <v>1.8632500000000001</v>
      </c>
      <c r="ED30">
        <v>1.86883</v>
      </c>
      <c r="EE30">
        <v>1.86676</v>
      </c>
      <c r="EF30">
        <v>1.8714900000000001</v>
      </c>
      <c r="EG30">
        <v>1.86391</v>
      </c>
      <c r="EH30">
        <v>1.8653900000000001</v>
      </c>
      <c r="EI30">
        <v>1.8653500000000001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-0.30199999999999999</v>
      </c>
      <c r="EX30">
        <v>0.109</v>
      </c>
      <c r="EY30">
        <v>2</v>
      </c>
      <c r="EZ30">
        <v>331.17599999999999</v>
      </c>
      <c r="FA30">
        <v>454.71899999999999</v>
      </c>
      <c r="FB30">
        <v>18.6983</v>
      </c>
      <c r="FC30">
        <v>36.270699999999998</v>
      </c>
      <c r="FD30">
        <v>29.997900000000001</v>
      </c>
      <c r="FE30">
        <v>36.211199999999998</v>
      </c>
      <c r="FF30">
        <v>36.183799999999998</v>
      </c>
      <c r="FG30">
        <v>67.456400000000002</v>
      </c>
      <c r="FH30">
        <v>43.304900000000004</v>
      </c>
      <c r="FI30">
        <v>0</v>
      </c>
      <c r="FJ30">
        <v>18.744199999999999</v>
      </c>
      <c r="FK30">
        <v>1600</v>
      </c>
      <c r="FL30">
        <v>17.0959</v>
      </c>
      <c r="FM30">
        <v>100.501</v>
      </c>
      <c r="FN30">
        <v>100.658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2020-06-25T13:15:07Z</dcterms:created>
  <dcterms:modified xsi:type="dcterms:W3CDTF">2024-11-20T08:57:14Z</dcterms:modified>
</cp:coreProperties>
</file>