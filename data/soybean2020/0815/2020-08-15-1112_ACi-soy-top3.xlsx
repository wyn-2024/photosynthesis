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815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1" i="1" l="1"/>
  <c r="BT31" i="1"/>
  <c r="BR31" i="1"/>
  <c r="BS31" i="1" s="1"/>
  <c r="BI31" i="1"/>
  <c r="BH31" i="1"/>
  <c r="BG31" i="1"/>
  <c r="BF31" i="1"/>
  <c r="BE31" i="1"/>
  <c r="BB31" i="1"/>
  <c r="AZ31" i="1"/>
  <c r="AU31" i="1"/>
  <c r="AO31" i="1"/>
  <c r="AP31" i="1" s="1"/>
  <c r="AK31" i="1"/>
  <c r="AI31" i="1"/>
  <c r="X31" i="1"/>
  <c r="W31" i="1"/>
  <c r="V31" i="1"/>
  <c r="O31" i="1"/>
  <c r="I31" i="1"/>
  <c r="AX31" i="1" s="1"/>
  <c r="H31" i="1"/>
  <c r="BU30" i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I30" i="1" s="1"/>
  <c r="AX30" i="1" s="1"/>
  <c r="X30" i="1"/>
  <c r="W30" i="1"/>
  <c r="V30" i="1" s="1"/>
  <c r="O30" i="1"/>
  <c r="BU29" i="1"/>
  <c r="BT29" i="1"/>
  <c r="BR29" i="1"/>
  <c r="BS29" i="1" s="1"/>
  <c r="AW29" i="1" s="1"/>
  <c r="BI29" i="1"/>
  <c r="BH29" i="1"/>
  <c r="BG29" i="1"/>
  <c r="BF29" i="1"/>
  <c r="BE29" i="1"/>
  <c r="AZ29" i="1" s="1"/>
  <c r="BB29" i="1"/>
  <c r="AU29" i="1"/>
  <c r="AY29" i="1" s="1"/>
  <c r="AP29" i="1"/>
  <c r="AO29" i="1"/>
  <c r="AK29" i="1"/>
  <c r="AI29" i="1"/>
  <c r="M29" i="1" s="1"/>
  <c r="X29" i="1"/>
  <c r="W29" i="1"/>
  <c r="V29" i="1"/>
  <c r="R29" i="1"/>
  <c r="O29" i="1"/>
  <c r="J29" i="1"/>
  <c r="BU28" i="1"/>
  <c r="BT28" i="1"/>
  <c r="BR28" i="1"/>
  <c r="BS28" i="1" s="1"/>
  <c r="BI28" i="1"/>
  <c r="BH28" i="1"/>
  <c r="BG28" i="1"/>
  <c r="BF28" i="1"/>
  <c r="BE28" i="1"/>
  <c r="BB28" i="1"/>
  <c r="AZ28" i="1"/>
  <c r="AW28" i="1"/>
  <c r="AY28" i="1" s="1"/>
  <c r="AU28" i="1"/>
  <c r="AP28" i="1"/>
  <c r="AO28" i="1"/>
  <c r="AK28" i="1"/>
  <c r="AI28" i="1"/>
  <c r="J28" i="1" s="1"/>
  <c r="X28" i="1"/>
  <c r="W28" i="1"/>
  <c r="V28" i="1"/>
  <c r="R28" i="1"/>
  <c r="O28" i="1"/>
  <c r="M28" i="1"/>
  <c r="BU27" i="1"/>
  <c r="BT27" i="1"/>
  <c r="BS27" i="1"/>
  <c r="BR27" i="1"/>
  <c r="BI27" i="1"/>
  <c r="BH27" i="1"/>
  <c r="BG27" i="1"/>
  <c r="BF27" i="1"/>
  <c r="BE27" i="1"/>
  <c r="BB27" i="1"/>
  <c r="AZ27" i="1"/>
  <c r="AW27" i="1"/>
  <c r="AU27" i="1"/>
  <c r="AY27" i="1" s="1"/>
  <c r="AP27" i="1"/>
  <c r="AO27" i="1"/>
  <c r="AK27" i="1"/>
  <c r="AI27" i="1" s="1"/>
  <c r="J27" i="1" s="1"/>
  <c r="X27" i="1"/>
  <c r="V27" i="1" s="1"/>
  <c r="W27" i="1"/>
  <c r="R27" i="1"/>
  <c r="O27" i="1"/>
  <c r="BU26" i="1"/>
  <c r="BT26" i="1"/>
  <c r="BS26" i="1"/>
  <c r="R26" i="1" s="1"/>
  <c r="BR26" i="1"/>
  <c r="BI26" i="1"/>
  <c r="BH26" i="1"/>
  <c r="BG26" i="1"/>
  <c r="BF26" i="1"/>
  <c r="BE26" i="1"/>
  <c r="BB26" i="1"/>
  <c r="AZ26" i="1"/>
  <c r="AW26" i="1"/>
  <c r="AU26" i="1"/>
  <c r="AY26" i="1" s="1"/>
  <c r="AO26" i="1"/>
  <c r="AP26" i="1" s="1"/>
  <c r="AK26" i="1"/>
  <c r="AI26" i="1" s="1"/>
  <c r="X26" i="1"/>
  <c r="W26" i="1"/>
  <c r="V26" i="1"/>
  <c r="O26" i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H25" i="1" s="1"/>
  <c r="Z25" i="1"/>
  <c r="X25" i="1"/>
  <c r="W25" i="1"/>
  <c r="V25" i="1"/>
  <c r="O25" i="1"/>
  <c r="BU24" i="1"/>
  <c r="BT24" i="1"/>
  <c r="BR24" i="1"/>
  <c r="BS24" i="1" s="1"/>
  <c r="AW24" i="1" s="1"/>
  <c r="BI24" i="1"/>
  <c r="BH24" i="1"/>
  <c r="BG24" i="1"/>
  <c r="BF24" i="1"/>
  <c r="BE24" i="1"/>
  <c r="AZ24" i="1" s="1"/>
  <c r="BB24" i="1"/>
  <c r="BA24" i="1"/>
  <c r="AU24" i="1"/>
  <c r="AY24" i="1" s="1"/>
  <c r="AO24" i="1"/>
  <c r="AP24" i="1" s="1"/>
  <c r="AK24" i="1"/>
  <c r="AI24" i="1"/>
  <c r="M24" i="1" s="1"/>
  <c r="X24" i="1"/>
  <c r="W24" i="1"/>
  <c r="V24" i="1"/>
  <c r="O24" i="1"/>
  <c r="J24" i="1"/>
  <c r="I24" i="1"/>
  <c r="AX24" i="1" s="1"/>
  <c r="BU23" i="1"/>
  <c r="BT23" i="1"/>
  <c r="BR23" i="1"/>
  <c r="BS23" i="1" s="1"/>
  <c r="R23" i="1" s="1"/>
  <c r="BI23" i="1"/>
  <c r="BH23" i="1"/>
  <c r="BG23" i="1"/>
  <c r="BF23" i="1"/>
  <c r="BE23" i="1"/>
  <c r="BB23" i="1"/>
  <c r="AZ23" i="1"/>
  <c r="AU23" i="1"/>
  <c r="AO23" i="1"/>
  <c r="AP23" i="1" s="1"/>
  <c r="AK23" i="1"/>
  <c r="AI23" i="1"/>
  <c r="J23" i="1" s="1"/>
  <c r="X23" i="1"/>
  <c r="W23" i="1"/>
  <c r="V23" i="1"/>
  <c r="O23" i="1"/>
  <c r="M23" i="1"/>
  <c r="BU22" i="1"/>
  <c r="BT22" i="1"/>
  <c r="BR22" i="1"/>
  <c r="BS22" i="1" s="1"/>
  <c r="R22" i="1" s="1"/>
  <c r="BI22" i="1"/>
  <c r="BH22" i="1"/>
  <c r="BG22" i="1"/>
  <c r="BF22" i="1"/>
  <c r="BE22" i="1"/>
  <c r="BB22" i="1"/>
  <c r="AZ22" i="1"/>
  <c r="AU22" i="1"/>
  <c r="AO22" i="1"/>
  <c r="AP22" i="1" s="1"/>
  <c r="AK22" i="1"/>
  <c r="AJ22" i="1"/>
  <c r="AI22" i="1"/>
  <c r="M22" i="1" s="1"/>
  <c r="X22" i="1"/>
  <c r="W22" i="1"/>
  <c r="V22" i="1" s="1"/>
  <c r="O22" i="1"/>
  <c r="J22" i="1"/>
  <c r="I22" i="1"/>
  <c r="AX22" i="1" s="1"/>
  <c r="H22" i="1"/>
  <c r="BU21" i="1"/>
  <c r="BT21" i="1"/>
  <c r="BR21" i="1"/>
  <c r="BS21" i="1" s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/>
  <c r="AJ21" i="1" s="1"/>
  <c r="X21" i="1"/>
  <c r="W21" i="1"/>
  <c r="V21" i="1" s="1"/>
  <c r="O21" i="1"/>
  <c r="H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M20" i="1" s="1"/>
  <c r="X20" i="1"/>
  <c r="W20" i="1"/>
  <c r="V20" i="1"/>
  <c r="O20" i="1"/>
  <c r="BU19" i="1"/>
  <c r="BT19" i="1"/>
  <c r="BR19" i="1"/>
  <c r="BS19" i="1" s="1"/>
  <c r="AW19" i="1" s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 s="1"/>
  <c r="X19" i="1"/>
  <c r="W19" i="1"/>
  <c r="V19" i="1"/>
  <c r="O19" i="1"/>
  <c r="BU18" i="1"/>
  <c r="BT18" i="1"/>
  <c r="BR18" i="1"/>
  <c r="BS18" i="1" s="1"/>
  <c r="R18" i="1" s="1"/>
  <c r="BI18" i="1"/>
  <c r="BH18" i="1"/>
  <c r="BG18" i="1"/>
  <c r="BF18" i="1"/>
  <c r="BE18" i="1"/>
  <c r="BB18" i="1"/>
  <c r="AZ18" i="1"/>
  <c r="AU18" i="1"/>
  <c r="AP18" i="1"/>
  <c r="AO18" i="1"/>
  <c r="AK18" i="1"/>
  <c r="AI18" i="1"/>
  <c r="I18" i="1" s="1"/>
  <c r="AX18" i="1" s="1"/>
  <c r="X18" i="1"/>
  <c r="W18" i="1"/>
  <c r="V18" i="1"/>
  <c r="O18" i="1"/>
  <c r="M18" i="1"/>
  <c r="J18" i="1"/>
  <c r="BU17" i="1"/>
  <c r="BT17" i="1"/>
  <c r="BR17" i="1"/>
  <c r="BS17" i="1" s="1"/>
  <c r="R17" i="1" s="1"/>
  <c r="BI17" i="1"/>
  <c r="BH17" i="1"/>
  <c r="BG17" i="1"/>
  <c r="BF17" i="1"/>
  <c r="BE17" i="1"/>
  <c r="BB17" i="1"/>
  <c r="AZ17" i="1"/>
  <c r="AU17" i="1"/>
  <c r="AO17" i="1"/>
  <c r="AP17" i="1" s="1"/>
  <c r="AK17" i="1"/>
  <c r="AI17" i="1"/>
  <c r="M17" i="1" s="1"/>
  <c r="X17" i="1"/>
  <c r="W17" i="1"/>
  <c r="V17" i="1"/>
  <c r="O17" i="1"/>
  <c r="J17" i="1"/>
  <c r="I17" i="1"/>
  <c r="AX17" i="1" s="1"/>
  <c r="H17" i="1"/>
  <c r="R30" i="1" l="1"/>
  <c r="AW30" i="1"/>
  <c r="BA30" i="1" s="1"/>
  <c r="M26" i="1"/>
  <c r="J26" i="1"/>
  <c r="I26" i="1"/>
  <c r="AX26" i="1" s="1"/>
  <c r="BA26" i="1" s="1"/>
  <c r="H26" i="1"/>
  <c r="S26" i="1" s="1"/>
  <c r="T26" i="1" s="1"/>
  <c r="AJ26" i="1"/>
  <c r="R20" i="1"/>
  <c r="AW20" i="1"/>
  <c r="AY20" i="1" s="1"/>
  <c r="R25" i="1"/>
  <c r="AW25" i="1"/>
  <c r="AY25" i="1" s="1"/>
  <c r="Z31" i="1"/>
  <c r="BA17" i="1"/>
  <c r="BA31" i="1"/>
  <c r="AJ27" i="1"/>
  <c r="S28" i="1"/>
  <c r="T28" i="1" s="1"/>
  <c r="AA28" i="1" s="1"/>
  <c r="AA17" i="1"/>
  <c r="R21" i="1"/>
  <c r="AW21" i="1"/>
  <c r="AY21" i="1" s="1"/>
  <c r="AJ17" i="1"/>
  <c r="H27" i="1"/>
  <c r="S17" i="1"/>
  <c r="T17" i="1" s="1"/>
  <c r="I27" i="1"/>
  <c r="AX27" i="1" s="1"/>
  <c r="BA27" i="1" s="1"/>
  <c r="J19" i="1"/>
  <c r="M19" i="1"/>
  <c r="I19" i="1"/>
  <c r="AX19" i="1" s="1"/>
  <c r="BA19" i="1" s="1"/>
  <c r="H19" i="1"/>
  <c r="AJ19" i="1"/>
  <c r="AY19" i="1"/>
  <c r="AY22" i="1"/>
  <c r="M27" i="1"/>
  <c r="AW31" i="1"/>
  <c r="AY31" i="1" s="1"/>
  <c r="R31" i="1"/>
  <c r="AA18" i="1"/>
  <c r="Z22" i="1"/>
  <c r="P22" i="1"/>
  <c r="N22" i="1" s="1"/>
  <c r="Q22" i="1" s="1"/>
  <c r="K22" i="1" s="1"/>
  <c r="L22" i="1" s="1"/>
  <c r="M31" i="1"/>
  <c r="J31" i="1"/>
  <c r="AJ31" i="1"/>
  <c r="AY30" i="1"/>
  <c r="AY17" i="1"/>
  <c r="R24" i="1"/>
  <c r="AW18" i="1"/>
  <c r="BA18" i="1" s="1"/>
  <c r="AW22" i="1"/>
  <c r="Z17" i="1"/>
  <c r="P17" i="1"/>
  <c r="N17" i="1" s="1"/>
  <c r="Q17" i="1" s="1"/>
  <c r="K17" i="1" s="1"/>
  <c r="L17" i="1" s="1"/>
  <c r="S18" i="1"/>
  <c r="T18" i="1" s="1"/>
  <c r="S22" i="1"/>
  <c r="T22" i="1" s="1"/>
  <c r="BA22" i="1"/>
  <c r="S23" i="1"/>
  <c r="T23" i="1" s="1"/>
  <c r="AA23" i="1" s="1"/>
  <c r="R19" i="1"/>
  <c r="Z21" i="1"/>
  <c r="AW17" i="1"/>
  <c r="M21" i="1"/>
  <c r="J21" i="1"/>
  <c r="I21" i="1"/>
  <c r="AX21" i="1" s="1"/>
  <c r="AW23" i="1"/>
  <c r="AY23" i="1" s="1"/>
  <c r="AJ30" i="1"/>
  <c r="AJ25" i="1"/>
  <c r="I25" i="1"/>
  <c r="AX25" i="1" s="1"/>
  <c r="S27" i="1"/>
  <c r="T27" i="1" s="1"/>
  <c r="I20" i="1"/>
  <c r="AX20" i="1" s="1"/>
  <c r="BA20" i="1" s="1"/>
  <c r="J25" i="1"/>
  <c r="J20" i="1"/>
  <c r="AJ29" i="1"/>
  <c r="AJ24" i="1"/>
  <c r="H29" i="1"/>
  <c r="S29" i="1" s="1"/>
  <c r="T29" i="1" s="1"/>
  <c r="M30" i="1"/>
  <c r="H24" i="1"/>
  <c r="M25" i="1"/>
  <c r="I29" i="1"/>
  <c r="AX29" i="1" s="1"/>
  <c r="BA29" i="1" s="1"/>
  <c r="AJ20" i="1"/>
  <c r="H20" i="1"/>
  <c r="AJ23" i="1"/>
  <c r="H28" i="1"/>
  <c r="AJ18" i="1"/>
  <c r="H23" i="1"/>
  <c r="I28" i="1"/>
  <c r="AX28" i="1" s="1"/>
  <c r="BA28" i="1" s="1"/>
  <c r="J30" i="1"/>
  <c r="AJ28" i="1"/>
  <c r="H18" i="1"/>
  <c r="I23" i="1"/>
  <c r="AX23" i="1" s="1"/>
  <c r="BA23" i="1" s="1"/>
  <c r="H30" i="1"/>
  <c r="AB29" i="1" l="1"/>
  <c r="AC29" i="1" s="1"/>
  <c r="AA29" i="1"/>
  <c r="U29" i="1"/>
  <c r="Y29" i="1" s="1"/>
  <c r="U26" i="1"/>
  <c r="Y26" i="1" s="1"/>
  <c r="AB26" i="1"/>
  <c r="AA26" i="1"/>
  <c r="Z20" i="1"/>
  <c r="S19" i="1"/>
  <c r="T19" i="1" s="1"/>
  <c r="S21" i="1"/>
  <c r="T21" i="1" s="1"/>
  <c r="S25" i="1"/>
  <c r="T25" i="1" s="1"/>
  <c r="BA25" i="1"/>
  <c r="S20" i="1"/>
  <c r="T20" i="1" s="1"/>
  <c r="BA21" i="1"/>
  <c r="AB23" i="1"/>
  <c r="AC23" i="1" s="1"/>
  <c r="U23" i="1"/>
  <c r="Y23" i="1" s="1"/>
  <c r="AB28" i="1"/>
  <c r="AC28" i="1" s="1"/>
  <c r="U28" i="1"/>
  <c r="Y28" i="1" s="1"/>
  <c r="S31" i="1"/>
  <c r="T31" i="1" s="1"/>
  <c r="P29" i="1"/>
  <c r="N29" i="1" s="1"/>
  <c r="Q29" i="1" s="1"/>
  <c r="K29" i="1" s="1"/>
  <c r="L29" i="1" s="1"/>
  <c r="Z29" i="1"/>
  <c r="AB18" i="1"/>
  <c r="U18" i="1"/>
  <c r="Y18" i="1" s="1"/>
  <c r="AB27" i="1"/>
  <c r="U27" i="1"/>
  <c r="Y27" i="1" s="1"/>
  <c r="AA27" i="1"/>
  <c r="AB17" i="1"/>
  <c r="AC17" i="1" s="1"/>
  <c r="U17" i="1"/>
  <c r="Y17" i="1" s="1"/>
  <c r="Z27" i="1"/>
  <c r="P27" i="1"/>
  <c r="N27" i="1" s="1"/>
  <c r="Q27" i="1" s="1"/>
  <c r="K27" i="1" s="1"/>
  <c r="L27" i="1" s="1"/>
  <c r="Z28" i="1"/>
  <c r="P28" i="1"/>
  <c r="N28" i="1" s="1"/>
  <c r="Q28" i="1" s="1"/>
  <c r="K28" i="1" s="1"/>
  <c r="L28" i="1" s="1"/>
  <c r="S30" i="1"/>
  <c r="T30" i="1" s="1"/>
  <c r="Z24" i="1"/>
  <c r="P24" i="1"/>
  <c r="N24" i="1" s="1"/>
  <c r="Q24" i="1" s="1"/>
  <c r="K24" i="1" s="1"/>
  <c r="L24" i="1" s="1"/>
  <c r="AB22" i="1"/>
  <c r="AC22" i="1" s="1"/>
  <c r="U22" i="1"/>
  <c r="Y22" i="1" s="1"/>
  <c r="Z19" i="1"/>
  <c r="P19" i="1"/>
  <c r="N19" i="1" s="1"/>
  <c r="Q19" i="1" s="1"/>
  <c r="K19" i="1" s="1"/>
  <c r="L19" i="1" s="1"/>
  <c r="P30" i="1"/>
  <c r="N30" i="1" s="1"/>
  <c r="Q30" i="1" s="1"/>
  <c r="K30" i="1" s="1"/>
  <c r="L30" i="1" s="1"/>
  <c r="Z30" i="1"/>
  <c r="Z18" i="1"/>
  <c r="P18" i="1"/>
  <c r="N18" i="1" s="1"/>
  <c r="Q18" i="1" s="1"/>
  <c r="K18" i="1" s="1"/>
  <c r="L18" i="1" s="1"/>
  <c r="P26" i="1"/>
  <c r="N26" i="1" s="1"/>
  <c r="Q26" i="1" s="1"/>
  <c r="K26" i="1" s="1"/>
  <c r="L26" i="1" s="1"/>
  <c r="Z26" i="1"/>
  <c r="AA22" i="1"/>
  <c r="S24" i="1"/>
  <c r="T24" i="1" s="1"/>
  <c r="Z23" i="1"/>
  <c r="P23" i="1"/>
  <c r="N23" i="1" s="1"/>
  <c r="Q23" i="1" s="1"/>
  <c r="K23" i="1" s="1"/>
  <c r="L23" i="1" s="1"/>
  <c r="AY18" i="1"/>
  <c r="U30" i="1" l="1"/>
  <c r="Y30" i="1" s="1"/>
  <c r="AB30" i="1"/>
  <c r="AC30" i="1" s="1"/>
  <c r="AA30" i="1"/>
  <c r="AB25" i="1"/>
  <c r="AA25" i="1"/>
  <c r="U25" i="1"/>
  <c r="Y25" i="1" s="1"/>
  <c r="P25" i="1"/>
  <c r="N25" i="1" s="1"/>
  <c r="Q25" i="1" s="1"/>
  <c r="K25" i="1" s="1"/>
  <c r="L25" i="1" s="1"/>
  <c r="AB24" i="1"/>
  <c r="AA24" i="1"/>
  <c r="U24" i="1"/>
  <c r="Y24" i="1" s="1"/>
  <c r="AC27" i="1"/>
  <c r="AC26" i="1"/>
  <c r="AC18" i="1"/>
  <c r="AB20" i="1"/>
  <c r="AA20" i="1"/>
  <c r="U20" i="1"/>
  <c r="Y20" i="1" s="1"/>
  <c r="U21" i="1"/>
  <c r="Y21" i="1" s="1"/>
  <c r="AA21" i="1"/>
  <c r="AB21" i="1"/>
  <c r="AC21" i="1" s="1"/>
  <c r="P21" i="1"/>
  <c r="N21" i="1" s="1"/>
  <c r="Q21" i="1" s="1"/>
  <c r="K21" i="1" s="1"/>
  <c r="L21" i="1" s="1"/>
  <c r="P20" i="1"/>
  <c r="N20" i="1" s="1"/>
  <c r="Q20" i="1" s="1"/>
  <c r="K20" i="1" s="1"/>
  <c r="L20" i="1" s="1"/>
  <c r="U31" i="1"/>
  <c r="Y31" i="1" s="1"/>
  <c r="AB31" i="1"/>
  <c r="AA31" i="1"/>
  <c r="P31" i="1"/>
  <c r="N31" i="1" s="1"/>
  <c r="Q31" i="1" s="1"/>
  <c r="K31" i="1" s="1"/>
  <c r="L31" i="1" s="1"/>
  <c r="AB19" i="1"/>
  <c r="AC19" i="1" s="1"/>
  <c r="U19" i="1"/>
  <c r="Y19" i="1" s="1"/>
  <c r="AA19" i="1"/>
  <c r="AC20" i="1" l="1"/>
  <c r="AC24" i="1"/>
  <c r="AC25" i="1"/>
  <c r="AC31" i="1"/>
</calcChain>
</file>

<file path=xl/sharedStrings.xml><?xml version="1.0" encoding="utf-8"?>
<sst xmlns="http://schemas.openxmlformats.org/spreadsheetml/2006/main" count="788" uniqueCount="360">
  <si>
    <t>File opened</t>
  </si>
  <si>
    <t>2020-08-15 11:12:41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</si>
  <si>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</si>
  <si>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</si>
  <si>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</si>
  <si>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</si>
  <si>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</si>
  <si>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</si>
  <si>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</si>
  <si>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</si>
  <si>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</si>
  <si>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</si>
  <si>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</si>
  <si>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{"co2aspan2b": "0.163711", "h2oazero": "1.00263", "flowbzero": "0.22736", "co2azero": "0.869071", "co2bzero": "0.880288", "h2obspan1": "0.998578", "h2oaspanconc2": "0", "co2bspanconc1": "1002", "co2aspanconc2": "0", "tbzero": "0.197721", "h2oaspanconc1": "12.19", "flowazero": "0.42932", "co2aspanconc1": "1002", "h2obzero": "1.01783", "co2bspan1": "0.992131", "oxygen": "21", "chamberpressurezero": "2.59209", "co2aspan1": "0.992625", "tazero": "0.00774765", "ssa_ref": "36614.9", "co2bspan2": "0", "co2aspan2a": "0.164928", "h2oaspan2b": "0.0662632", "co2aspan2": "0", "h2oaspan1": "1.00223", "co2bspan2a": "0.163389", "h2obspanconc2": "0", "h2obspanconc1": "20", "ssb_ref": "36526.8", "h2oaspan2": "0", "h2obspan2": "0", "flowmeterzero": "0.990908", "h2oaspan2a": "0.0661155", "h2obspan2b": "0.0963575", "co2bspanconc2": "0", "co2bspan2b": "0.162103", "h2obspan2a": "0.0975941"}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</si>
  <si>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</si>
  <si>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</si>
  <si>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</si>
  <si>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</si>
  <si>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</si>
  <si>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</si>
  <si>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</si>
  <si>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</si>
  <si>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</si>
  <si>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11:12:41</t>
  </si>
  <si>
    <t>Stability Definition:	H2O_s (Meas): Slp&lt;0.2	CO2_s (Meas): Slp&lt;0.3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</si>
  <si>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</si>
  <si>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</si>
  <si>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</si>
  <si>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</si>
  <si>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</si>
  <si>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</si>
  <si>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</si>
  <si>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</si>
  <si>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</si>
  <si>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</si>
  <si>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</si>
  <si>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</si>
  <si>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</si>
  <si>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</si>
  <si>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</si>
  <si>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</si>
  <si>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</si>
  <si>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</si>
  <si>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</si>
  <si>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</si>
  <si>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</si>
  <si>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</si>
  <si>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</si>
  <si>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</si>
  <si>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</si>
  <si>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</si>
  <si>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</si>
  <si>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</si>
  <si>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</si>
  <si>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</si>
  <si>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</si>
  <si>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</si>
  <si>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</si>
  <si>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</si>
  <si>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</si>
  <si>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</si>
  <si>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</si>
  <si>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</si>
  <si>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</si>
  <si>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</si>
  <si>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</si>
  <si>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</si>
  <si>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</si>
  <si>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</si>
  <si>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</si>
  <si>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</si>
  <si>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3.00186 75.5949 388.782 621.537 849.04 1054.8 1229.05 1393.75</t>
  </si>
  <si>
    <t>Fs_true</t>
  </si>
  <si>
    <t>0.276677 99.6915 402.487 601.632 800.517 1001.11 1200.75 1401.88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</si>
  <si>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</si>
  <si>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</si>
  <si>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</si>
  <si>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</si>
  <si>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</si>
  <si>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</si>
  <si>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</si>
  <si>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</si>
  <si>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</si>
  <si>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</si>
  <si>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</si>
  <si>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</si>
  <si>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</si>
  <si>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</si>
  <si>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</si>
  <si>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</si>
  <si>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</si>
  <si>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</si>
  <si>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</si>
  <si>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</si>
  <si>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</si>
  <si>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</si>
  <si>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</si>
  <si>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</si>
  <si>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</si>
  <si>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</si>
  <si>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</si>
  <si>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</si>
  <si>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</si>
  <si>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</si>
  <si>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</si>
  <si>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</si>
  <si>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</si>
  <si>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</si>
  <si>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</si>
  <si>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</si>
  <si>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</si>
  <si>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</si>
  <si>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</si>
  <si>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</si>
  <si>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</si>
  <si>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</si>
  <si>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</si>
  <si>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</si>
  <si>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</si>
  <si>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</si>
  <si>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</si>
  <si>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</si>
  <si>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</si>
  <si>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</si>
  <si>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</si>
  <si>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</si>
  <si>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</si>
  <si>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</si>
  <si>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</si>
  <si>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</si>
  <si>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</si>
  <si>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</si>
  <si>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</si>
  <si>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</si>
  <si>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</si>
  <si>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</si>
  <si>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</si>
  <si>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</si>
  <si>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</si>
  <si>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</si>
  <si>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</si>
  <si>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</si>
  <si>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</si>
  <si>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</si>
  <si>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</si>
  <si>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</si>
  <si>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</si>
  <si>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</si>
  <si>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</si>
  <si>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</si>
  <si>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</si>
  <si>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</si>
  <si>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</si>
  <si>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</si>
  <si>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</si>
  <si>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</si>
  <si>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</si>
  <si>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</si>
  <si>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</si>
  <si>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</si>
  <si>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</si>
  <si>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</si>
  <si>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</si>
  <si>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</si>
  <si>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</si>
  <si>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</si>
  <si>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</si>
  <si>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</si>
  <si>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</si>
  <si>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</si>
  <si>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</si>
  <si>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</si>
  <si>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</si>
  <si>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</si>
  <si>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</si>
  <si>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</si>
  <si>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</si>
  <si>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</si>
  <si>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</si>
  <si>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</si>
  <si>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</si>
  <si>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</si>
  <si>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</si>
  <si>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</si>
  <si>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</si>
  <si>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</si>
  <si>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</si>
  <si>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</si>
  <si>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</si>
  <si>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</si>
  <si>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</si>
  <si>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</si>
  <si>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</si>
  <si>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</si>
  <si>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</si>
  <si>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</si>
  <si>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</si>
  <si>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</si>
  <si>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</si>
  <si>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</si>
  <si>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</si>
  <si>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</si>
  <si>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</si>
  <si>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</si>
  <si>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</si>
  <si>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</si>
  <si>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</si>
  <si>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</si>
  <si>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</si>
  <si>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</si>
  <si>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</si>
  <si>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</si>
  <si>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</si>
  <si>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</si>
  <si>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</si>
  <si>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</si>
  <si>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</si>
  <si>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</si>
  <si>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</si>
  <si>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</si>
  <si>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</si>
  <si>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</si>
  <si>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</si>
  <si>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</si>
  <si>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</si>
  <si>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</si>
  <si>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</si>
  <si>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</si>
  <si>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</si>
  <si>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</si>
  <si>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</si>
  <si>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</si>
  <si>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</si>
  <si>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</si>
  <si>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</si>
  <si>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</si>
  <si>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</si>
  <si>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</si>
  <si>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</si>
  <si>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</si>
  <si>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</si>
  <si>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</si>
  <si>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</si>
  <si>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</si>
  <si>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</si>
  <si>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</si>
  <si>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</si>
  <si>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</si>
  <si>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</si>
  <si>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</si>
  <si>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</si>
  <si>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</si>
  <si>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</si>
  <si>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</si>
  <si>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</si>
  <si>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</si>
  <si>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</si>
  <si>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</si>
  <si>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</si>
  <si>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</si>
  <si>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</si>
  <si>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</si>
  <si>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</si>
  <si>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</si>
  <si>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</si>
  <si>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</si>
  <si>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</si>
  <si>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</si>
  <si>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</si>
  <si>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</si>
  <si>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</si>
  <si>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</si>
  <si>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</si>
  <si>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</si>
  <si>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</si>
  <si>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</si>
  <si>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</si>
  <si>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20200815 11:20:29</t>
  </si>
  <si>
    <t>11:20:29</t>
  </si>
  <si>
    <t>MPF-6146-20200815-11_20_30</t>
  </si>
  <si>
    <t>DARK-6147-20200815-11_20_38</t>
  </si>
  <si>
    <t>0: Broadleaf</t>
  </si>
  <si>
    <t>11:21:05</t>
  </si>
  <si>
    <t>2/2</t>
  </si>
  <si>
    <t>5</t>
  </si>
  <si>
    <t>11111111</t>
  </si>
  <si>
    <t>oooooooo</t>
  </si>
  <si>
    <t>off</t>
  </si>
  <si>
    <t>20200815 11:22:42</t>
  </si>
  <si>
    <t>11:22:42</t>
  </si>
  <si>
    <t>MPF-6148-20200815-11_22_43</t>
  </si>
  <si>
    <t>DARK-6149-20200815-11_22_51</t>
  </si>
  <si>
    <t>11:23:17</t>
  </si>
  <si>
    <t>20200815 11:24:49</t>
  </si>
  <si>
    <t>11:24:49</t>
  </si>
  <si>
    <t>MPF-6150-20200815-11_24_50</t>
  </si>
  <si>
    <t>DARK-6151-20200815-11_24_58</t>
  </si>
  <si>
    <t>11:25:21</t>
  </si>
  <si>
    <t>20200815 11:26:52</t>
  </si>
  <si>
    <t>11:26:52</t>
  </si>
  <si>
    <t>MPF-6152-20200815-11_26_54</t>
  </si>
  <si>
    <t>DARK-6153-20200815-11_27_02</t>
  </si>
  <si>
    <t>11:27:24</t>
  </si>
  <si>
    <t>20200815 11:28:55</t>
  </si>
  <si>
    <t>11:28:55</t>
  </si>
  <si>
    <t>MPF-6154-20200815-11_28_57</t>
  </si>
  <si>
    <t>DARK-6155-20200815-11_29_05</t>
  </si>
  <si>
    <t>11:29:23</t>
  </si>
  <si>
    <t>20200815 11:31:02</t>
  </si>
  <si>
    <t>11:31:02</t>
  </si>
  <si>
    <t>MPF-6156-20200815-11_31_03</t>
  </si>
  <si>
    <t>DARK-6157-20200815-11_31_11</t>
  </si>
  <si>
    <t>11:31:32</t>
  </si>
  <si>
    <t>20200815 11:33:03</t>
  </si>
  <si>
    <t>11:33:03</t>
  </si>
  <si>
    <t>MPF-6158-20200815-11_33_05</t>
  </si>
  <si>
    <t>DARK-6159-20200815-11_33_13</t>
  </si>
  <si>
    <t>11:33:30</t>
  </si>
  <si>
    <t>20200815 11:35:01</t>
  </si>
  <si>
    <t>11:35:01</t>
  </si>
  <si>
    <t>MPF-6160-20200815-11_35_03</t>
  </si>
  <si>
    <t>DARK-6161-20200815-11_35_11</t>
  </si>
  <si>
    <t>11:35:27</t>
  </si>
  <si>
    <t>20200815 11:37:28</t>
  </si>
  <si>
    <t>11:37:28</t>
  </si>
  <si>
    <t>MPF-6162-20200815-11_37_30</t>
  </si>
  <si>
    <t>DARK-6163-20200815-11_37_38</t>
  </si>
  <si>
    <t>11:37:59</t>
  </si>
  <si>
    <t>0/2</t>
  </si>
  <si>
    <t>20200815 11:40:00</t>
  </si>
  <si>
    <t>11:40:00</t>
  </si>
  <si>
    <t>MPF-6164-20200815-11_40_02</t>
  </si>
  <si>
    <t>DARK-6165-20200815-11_40_10</t>
  </si>
  <si>
    <t>11:40:40</t>
  </si>
  <si>
    <t>1/2</t>
  </si>
  <si>
    <t>20200815 11:42:41</t>
  </si>
  <si>
    <t>11:42:41</t>
  </si>
  <si>
    <t>MPF-6166-20200815-11_42_43</t>
  </si>
  <si>
    <t>DARK-6167-20200815-11_42_51</t>
  </si>
  <si>
    <t>11:43:05</t>
  </si>
  <si>
    <t>20200815 11:45:00</t>
  </si>
  <si>
    <t>11:45:00</t>
  </si>
  <si>
    <t>MPF-6168-20200815-11_45_01</t>
  </si>
  <si>
    <t>DARK-6169-20200815-11_45_09</t>
  </si>
  <si>
    <t>11:45:24</t>
  </si>
  <si>
    <t>20200815 11:47:02</t>
  </si>
  <si>
    <t>11:47:02</t>
  </si>
  <si>
    <t>MPF-6170-20200815-11_47_04</t>
  </si>
  <si>
    <t>DARK-6171-20200815-11_47_12</t>
  </si>
  <si>
    <t>11:47:28</t>
  </si>
  <si>
    <t>20200815 11:48:59</t>
  </si>
  <si>
    <t>11:48:59</t>
  </si>
  <si>
    <t>MPF-6172-20200815-11_49_01</t>
  </si>
  <si>
    <t>DARK-6173-20200815-11_49_09</t>
  </si>
  <si>
    <t>11:49:26</t>
  </si>
  <si>
    <t>20200815 11:51:08</t>
  </si>
  <si>
    <t>11:51:08</t>
  </si>
  <si>
    <t>MPF-6174-20200815-11_51_10</t>
  </si>
  <si>
    <t>DARK-6175-20200815-11_51_17</t>
  </si>
  <si>
    <t>11:51:36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</si>
</sst>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1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1597508429.2</v>
      </c>
      <c r="C17">
        <v>0</v>
      </c>
      <c r="D17" t="s">
        <v>277</v>
      </c>
      <c r="E17" t="s">
        <v>278</v>
      </c>
      <c r="G17">
        <v>1597508421.45</v>
      </c>
      <c r="H17">
        <f t="shared" ref="H17:H31" si="0">CC17*AI17*(CA17-CB17)/(100*$B$5*(1000-AI17*CA17))</f>
        <v>1.2172858655537428E-2</v>
      </c>
      <c r="I17">
        <f t="shared" ref="I17:I31" si="1">CC17*AI17*(BZ17-BY17*(1000-AI17*CB17)/(1000-AI17*CA17))/(100*$B$5)</f>
        <v>37.9123157359139</v>
      </c>
      <c r="J17">
        <f t="shared" ref="J17:J31" si="2">BY17 - IF(AI17&gt;1, I17*$B$5*100/(AK17*CI17), 0)</f>
        <v>382.93606666666699</v>
      </c>
      <c r="K17">
        <f t="shared" ref="K17:K31" si="3">((Q17-H17/2)*J17-I17)/(Q17+H17/2)</f>
        <v>299.9314519137497</v>
      </c>
      <c r="L17">
        <f t="shared" ref="L17:L31" si="4">K17*(CD17+CE17)/1000</f>
        <v>29.769459363840777</v>
      </c>
      <c r="M17">
        <f t="shared" ref="M17:M31" si="5">(BY17 - IF(AI17&gt;1, I17*$B$5*100/(AK17*CI17), 0))*(CD17+CE17)/1000</f>
        <v>38.008016841330026</v>
      </c>
      <c r="N17">
        <f t="shared" ref="N17:N31" si="6">2/((1/P17-1/O17)+SIGN(P17)*SQRT((1/P17-1/O17)*(1/P17-1/O17) + 4*BV17/((BV17+1)*(BV17+1))*(2*1/P17*1/O17-1/O17*1/O17)))</f>
        <v>0.91441991411004642</v>
      </c>
      <c r="O17">
        <f t="shared" ref="O17:O31" si="7">AF17+AE17*$B$5+AD17*$B$5*$B$5</f>
        <v>3.3760554972503445</v>
      </c>
      <c r="P17">
        <f t="shared" ref="P17:P31" si="8">H17*(1000-(1000*0.61365*EXP(17.502*T17/(240.97+T17))/(CD17+CE17)+CA17)/2)/(1000*0.61365*EXP(17.502*T17/(240.97+T17))/(CD17+CE17)-CA17)</f>
        <v>0.79593818483634593</v>
      </c>
      <c r="Q17">
        <f t="shared" ref="Q17:Q31" si="9">1/((BV17+1)/(N17/1.6)+1/(O17/1.37)) + BV17/((BV17+1)/(N17/1.6) + BV17/(O17/1.37))</f>
        <v>0.50682170808465632</v>
      </c>
      <c r="R17">
        <f t="shared" ref="R17:R31" si="10">(BS17*BU17)</f>
        <v>321.44072659980378</v>
      </c>
      <c r="S17">
        <f t="shared" ref="S17:S31" si="11">(CF17+(R17+2*0.95*0.0000000567*(((CF17+$B$7)+273)^4-(CF17+273)^4)-44100*H17)/(1.84*29.3*O17+8*0.95*0.0000000567*(CF17+273)^3))</f>
        <v>27.233076729727493</v>
      </c>
      <c r="T17">
        <f t="shared" ref="T17:T31" si="12">($C$7*CG17+$D$7*CH17+$E$7*S17)</f>
        <v>27.082840000000001</v>
      </c>
      <c r="U17">
        <f t="shared" ref="U17:U31" si="13">0.61365*EXP(17.502*T17/(240.97+T17))</f>
        <v>3.5966107540556451</v>
      </c>
      <c r="V17">
        <f t="shared" ref="V17:V31" si="14">(W17/X17*100)</f>
        <v>54.817589109961609</v>
      </c>
      <c r="W17">
        <f t="shared" ref="W17:W31" si="15">CA17*(CD17+CE17)/1000</f>
        <v>2.1223765970042723</v>
      </c>
      <c r="X17">
        <f t="shared" ref="X17:X31" si="16">0.61365*EXP(17.502*CF17/(240.97+CF17))</f>
        <v>3.8717072958952659</v>
      </c>
      <c r="Y17">
        <f t="shared" ref="Y17:Y31" si="17">(U17-CA17*(CD17+CE17)/1000)</f>
        <v>1.4742341570513728</v>
      </c>
      <c r="Z17">
        <f t="shared" ref="Z17:Z31" si="18">(-H17*44100)</f>
        <v>-536.82306670920059</v>
      </c>
      <c r="AA17">
        <f t="shared" ref="AA17:AA31" si="19">2*29.3*O17*0.92*(CF17-T17)</f>
        <v>229.62187474668676</v>
      </c>
      <c r="AB17">
        <f t="shared" ref="AB17:AB31" si="20">2*0.95*0.0000000567*(((CF17+$B$7)+273)^4-(T17+273)^4)</f>
        <v>14.783462404860572</v>
      </c>
      <c r="AC17">
        <f t="shared" ref="AC17:AC31" si="21">R17+AB17+Z17+AA17</f>
        <v>29.022997042150536</v>
      </c>
      <c r="AD17">
        <v>-4.1077153319961597E-2</v>
      </c>
      <c r="AE17">
        <v>4.6112703157930403E-2</v>
      </c>
      <c r="AF17">
        <v>3.4481387042143301</v>
      </c>
      <c r="AG17">
        <v>152</v>
      </c>
      <c r="AH17">
        <v>30</v>
      </c>
      <c r="AI17">
        <f t="shared" ref="AI17:AI31" si="22">IF(AG17*$H$13&gt;=AK17,1,(AK17/(AK17-AG17*$H$13)))</f>
        <v>1</v>
      </c>
      <c r="AJ17">
        <f t="shared" ref="AJ17:AJ31" si="23">(AI17-1)*100</f>
        <v>0</v>
      </c>
      <c r="AK17">
        <f t="shared" ref="AK17:AK31" si="24">MAX(0,($B$13+$C$13*CI17)/(1+$D$13*CI17)*CD17/(CF17+273)*$E$13)</f>
        <v>52146.084681459339</v>
      </c>
      <c r="AL17">
        <v>0</v>
      </c>
      <c r="AM17">
        <v>0</v>
      </c>
      <c r="AN17">
        <v>0</v>
      </c>
      <c r="AO17">
        <f t="shared" ref="AO17:AO31" si="25">AN17-AM17</f>
        <v>0</v>
      </c>
      <c r="AP17" t="e">
        <f t="shared" ref="AP17:AP31" si="26">AO17/AN17</f>
        <v>#DIV/0!</v>
      </c>
      <c r="AQ17">
        <v>-1</v>
      </c>
      <c r="AR17" t="s">
        <v>279</v>
      </c>
      <c r="AS17">
        <v>324.71834615384603</v>
      </c>
      <c r="AT17">
        <v>476.673</v>
      </c>
      <c r="AU17">
        <f t="shared" ref="AU17:AU31" si="27">1-AS17/AT17</f>
        <v>0.31878175152809995</v>
      </c>
      <c r="AV17">
        <v>0.5</v>
      </c>
      <c r="AW17">
        <f t="shared" ref="AW17:AW31" si="28">BS17</f>
        <v>1681.2017596768139</v>
      </c>
      <c r="AX17">
        <f t="shared" ref="AX17:AX31" si="29">I17</f>
        <v>37.9123157359139</v>
      </c>
      <c r="AY17">
        <f t="shared" ref="AY17:AY31" si="30">AU17*AV17*AW17</f>
        <v>267.96822081094928</v>
      </c>
      <c r="AZ17">
        <f t="shared" ref="AZ17:AZ31" si="31">BE17/AT17</f>
        <v>0.58445307370041932</v>
      </c>
      <c r="BA17">
        <f t="shared" ref="BA17:BA31" si="32">(AX17-AQ17)/AW17</f>
        <v>2.3145535931031986E-2</v>
      </c>
      <c r="BB17">
        <f t="shared" ref="BB17:BB31" si="33">(AN17-AT17)/AT17</f>
        <v>-1</v>
      </c>
      <c r="BC17" t="s">
        <v>280</v>
      </c>
      <c r="BD17">
        <v>198.08</v>
      </c>
      <c r="BE17">
        <f t="shared" ref="BE17:BE31" si="34">AT17-BD17</f>
        <v>278.59299999999996</v>
      </c>
      <c r="BF17">
        <f t="shared" ref="BF17:BF31" si="35">(AT17-AS17)/(AT17-BD17)</f>
        <v>0.54543600824914484</v>
      </c>
      <c r="BG17">
        <f t="shared" ref="BG17:BG31" si="36">(AN17-AT17)/(AN17-BD17)</f>
        <v>2.4064670840064619</v>
      </c>
      <c r="BH17">
        <f t="shared" ref="BH17:BH31" si="37">(AT17-AS17)/(AT17-AM17)</f>
        <v>0.3187817515280999</v>
      </c>
      <c r="BI17" t="e">
        <f t="shared" ref="BI17:BI31" si="38">(AN17-AT17)/(AN17-AM17)</f>
        <v>#DIV/0!</v>
      </c>
      <c r="BJ17">
        <v>6146</v>
      </c>
      <c r="BK17">
        <v>300</v>
      </c>
      <c r="BL17">
        <v>300</v>
      </c>
      <c r="BM17">
        <v>300</v>
      </c>
      <c r="BN17">
        <v>9872.4699999999993</v>
      </c>
      <c r="BO17">
        <v>437.23599999999999</v>
      </c>
      <c r="BP17">
        <v>-6.5669600000000002E-3</v>
      </c>
      <c r="BQ17">
        <v>2.2223199999999999</v>
      </c>
      <c r="BR17">
        <f t="shared" ref="BR17:BR31" si="39">$B$11*CJ17+$C$11*CK17+$F$11*CL17</f>
        <v>2000.0056666666701</v>
      </c>
      <c r="BS17">
        <f t="shared" ref="BS17:BS31" si="40">BR17*BT17</f>
        <v>1681.2017596768139</v>
      </c>
      <c r="BT17">
        <f t="shared" ref="BT17:BT31" si="41">($B$11*$D$9+$C$11*$D$9+$F$11*((CY17+CQ17)/MAX(CY17+CQ17+CZ17, 0.1)*$I$9+CZ17/MAX(CY17+CQ17+CZ17, 0.1)*$J$9))/($B$11+$C$11+$F$11)</f>
        <v>0.84059849814266074</v>
      </c>
      <c r="BU17">
        <f t="shared" ref="BU17:BU31" si="42">($B$11*$K$9+$C$11*$K$9+$F$11*((CY17+CQ17)/MAX(CY17+CQ17+CZ17, 0.1)*$P$9+CZ17/MAX(CY17+CQ17+CZ17, 0.1)*$Q$9))/($B$11+$C$11+$F$11)</f>
        <v>0.1911969962853215</v>
      </c>
      <c r="BV17">
        <v>0.5</v>
      </c>
      <c r="BW17" t="s">
        <v>281</v>
      </c>
      <c r="BX17">
        <v>1597508421.45</v>
      </c>
      <c r="BY17">
        <v>382.93606666666699</v>
      </c>
      <c r="BZ17">
        <v>399.96339999999998</v>
      </c>
      <c r="CA17">
        <v>21.383240000000001</v>
      </c>
      <c r="CB17">
        <v>16.618819999999999</v>
      </c>
      <c r="CC17">
        <v>500.063533333333</v>
      </c>
      <c r="CD17">
        <v>99.054213333333294</v>
      </c>
      <c r="CE17">
        <v>0.19999683333333301</v>
      </c>
      <c r="CF17">
        <v>28.344429999999999</v>
      </c>
      <c r="CG17">
        <v>27.082840000000001</v>
      </c>
      <c r="CH17">
        <v>999.9</v>
      </c>
      <c r="CI17">
        <v>10000.539000000001</v>
      </c>
      <c r="CJ17">
        <v>0</v>
      </c>
      <c r="CK17">
        <v>167.35136666666699</v>
      </c>
      <c r="CL17">
        <v>2000.0056666666701</v>
      </c>
      <c r="CM17">
        <v>0.97999809999999998</v>
      </c>
      <c r="CN17">
        <v>2.0001713333333299E-2</v>
      </c>
      <c r="CO17">
        <v>0</v>
      </c>
      <c r="CP17">
        <v>324.73399999999998</v>
      </c>
      <c r="CQ17">
        <v>5.00054</v>
      </c>
      <c r="CR17">
        <v>8536.7946666666594</v>
      </c>
      <c r="CS17">
        <v>18703.6733333333</v>
      </c>
      <c r="CT17">
        <v>47.424599999999998</v>
      </c>
      <c r="CU17">
        <v>49.266466666666702</v>
      </c>
      <c r="CV17">
        <v>47.768533333333302</v>
      </c>
      <c r="CW17">
        <v>48.468499999999999</v>
      </c>
      <c r="CX17">
        <v>49.026866666666699</v>
      </c>
      <c r="CY17">
        <v>1955.10566666667</v>
      </c>
      <c r="CZ17">
        <v>39.9</v>
      </c>
      <c r="DA17">
        <v>0</v>
      </c>
      <c r="DB17">
        <v>540.20000004768394</v>
      </c>
      <c r="DC17">
        <v>324.71834615384603</v>
      </c>
      <c r="DD17">
        <v>-7.7787008416238903</v>
      </c>
      <c r="DE17">
        <v>-138.52717938917601</v>
      </c>
      <c r="DF17">
        <v>8536.5715384615396</v>
      </c>
      <c r="DG17">
        <v>15</v>
      </c>
      <c r="DH17">
        <v>1597508465.7</v>
      </c>
      <c r="DI17" t="s">
        <v>282</v>
      </c>
      <c r="DJ17">
        <v>32</v>
      </c>
      <c r="DK17">
        <v>-0.36099999999999999</v>
      </c>
      <c r="DL17">
        <v>0.112</v>
      </c>
      <c r="DM17">
        <v>400</v>
      </c>
      <c r="DN17">
        <v>17</v>
      </c>
      <c r="DO17">
        <v>0.1</v>
      </c>
      <c r="DP17">
        <v>0.01</v>
      </c>
      <c r="DQ17">
        <v>383.45779629629601</v>
      </c>
      <c r="DR17">
        <v>-0.211224699828477</v>
      </c>
      <c r="DS17">
        <v>3.2177965562856597E-2</v>
      </c>
      <c r="DT17">
        <v>1</v>
      </c>
      <c r="DU17">
        <v>21.4094388888889</v>
      </c>
      <c r="DV17">
        <v>-0.19815894797026601</v>
      </c>
      <c r="DW17">
        <v>2.7659580194630599E-2</v>
      </c>
      <c r="DX17">
        <v>1</v>
      </c>
      <c r="DY17">
        <v>2</v>
      </c>
      <c r="DZ17">
        <v>2</v>
      </c>
      <c r="EA17" t="s">
        <v>283</v>
      </c>
      <c r="EB17">
        <v>1.8667400000000001</v>
      </c>
      <c r="EC17">
        <v>1.8632500000000001</v>
      </c>
      <c r="ED17">
        <v>1.8689</v>
      </c>
      <c r="EE17">
        <v>1.8667800000000001</v>
      </c>
      <c r="EF17">
        <v>1.8714900000000001</v>
      </c>
      <c r="EG17">
        <v>1.86399</v>
      </c>
      <c r="EH17">
        <v>1.86554</v>
      </c>
      <c r="EI17">
        <v>1.86548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-0.36099999999999999</v>
      </c>
      <c r="EX17">
        <v>0.112</v>
      </c>
      <c r="EY17">
        <v>2</v>
      </c>
      <c r="EZ17">
        <v>332.25</v>
      </c>
      <c r="FA17">
        <v>483.97699999999998</v>
      </c>
      <c r="FB17">
        <v>22.8979</v>
      </c>
      <c r="FC17">
        <v>34.0931</v>
      </c>
      <c r="FD17">
        <v>30.000299999999999</v>
      </c>
      <c r="FE17">
        <v>34.029899999999998</v>
      </c>
      <c r="FF17">
        <v>34.023600000000002</v>
      </c>
      <c r="FG17">
        <v>22.060300000000002</v>
      </c>
      <c r="FH17">
        <v>47.6905</v>
      </c>
      <c r="FI17">
        <v>0</v>
      </c>
      <c r="FJ17">
        <v>22.857199999999999</v>
      </c>
      <c r="FK17">
        <v>400</v>
      </c>
      <c r="FL17">
        <v>16.738499999999998</v>
      </c>
      <c r="FM17">
        <v>100.63500000000001</v>
      </c>
      <c r="FN17">
        <v>101.182</v>
      </c>
    </row>
    <row r="18" spans="1:170" x14ac:dyDescent="0.25">
      <c r="A18">
        <v>2</v>
      </c>
      <c r="B18">
        <v>1597508562.2</v>
      </c>
      <c r="C18">
        <v>133</v>
      </c>
      <c r="D18" t="s">
        <v>288</v>
      </c>
      <c r="E18" t="s">
        <v>289</v>
      </c>
      <c r="G18">
        <v>1597508554.45</v>
      </c>
      <c r="H18">
        <f t="shared" si="0"/>
        <v>1.2346759827502947E-2</v>
      </c>
      <c r="I18">
        <f t="shared" si="1"/>
        <v>28.983477977043279</v>
      </c>
      <c r="J18">
        <f t="shared" si="2"/>
        <v>286.99543333333298</v>
      </c>
      <c r="K18">
        <f t="shared" si="3"/>
        <v>224.49919513243987</v>
      </c>
      <c r="L18">
        <f t="shared" si="4"/>
        <v>22.281352354402411</v>
      </c>
      <c r="M18">
        <f t="shared" si="5"/>
        <v>28.48405033448773</v>
      </c>
      <c r="N18">
        <f t="shared" si="6"/>
        <v>0.9295658635977857</v>
      </c>
      <c r="O18">
        <f t="shared" si="7"/>
        <v>3.3776929405321527</v>
      </c>
      <c r="P18">
        <f t="shared" si="8"/>
        <v>0.80745685056187655</v>
      </c>
      <c r="Q18">
        <f t="shared" si="9"/>
        <v>0.5142890127096692</v>
      </c>
      <c r="R18">
        <f t="shared" si="10"/>
        <v>321.43678981746717</v>
      </c>
      <c r="S18">
        <f t="shared" si="11"/>
        <v>26.837954621951987</v>
      </c>
      <c r="T18">
        <f t="shared" si="12"/>
        <v>26.929856666666701</v>
      </c>
      <c r="U18">
        <f t="shared" si="13"/>
        <v>3.5644411447460045</v>
      </c>
      <c r="V18">
        <f t="shared" si="14"/>
        <v>55.112953361716166</v>
      </c>
      <c r="W18">
        <f t="shared" si="15"/>
        <v>2.0900615324334102</v>
      </c>
      <c r="X18">
        <f t="shared" si="16"/>
        <v>3.7923235917261819</v>
      </c>
      <c r="Y18">
        <f t="shared" si="17"/>
        <v>1.4743796123125943</v>
      </c>
      <c r="Z18">
        <f t="shared" si="18"/>
        <v>-544.49210839287991</v>
      </c>
      <c r="AA18">
        <f t="shared" si="19"/>
        <v>192.79948496098976</v>
      </c>
      <c r="AB18">
        <f t="shared" si="20"/>
        <v>12.375277675638442</v>
      </c>
      <c r="AC18">
        <f t="shared" si="21"/>
        <v>-17.880555938784568</v>
      </c>
      <c r="AD18">
        <v>-4.1102458882816197E-2</v>
      </c>
      <c r="AE18">
        <v>4.6141110869123703E-2</v>
      </c>
      <c r="AF18">
        <v>3.4498205543251701</v>
      </c>
      <c r="AG18">
        <v>152</v>
      </c>
      <c r="AH18">
        <v>30</v>
      </c>
      <c r="AI18">
        <f t="shared" si="22"/>
        <v>1</v>
      </c>
      <c r="AJ18">
        <f t="shared" si="23"/>
        <v>0</v>
      </c>
      <c r="AK18">
        <f t="shared" si="24"/>
        <v>52238.463802240287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292.496076923077</v>
      </c>
      <c r="AT18">
        <v>411.49900000000002</v>
      </c>
      <c r="AU18">
        <f t="shared" si="27"/>
        <v>0.28919371147177275</v>
      </c>
      <c r="AV18">
        <v>0.5</v>
      </c>
      <c r="AW18">
        <f t="shared" si="28"/>
        <v>1681.1810396768069</v>
      </c>
      <c r="AX18">
        <f t="shared" si="29"/>
        <v>28.983477977043279</v>
      </c>
      <c r="AY18">
        <f t="shared" si="30"/>
        <v>243.09349226005472</v>
      </c>
      <c r="AZ18">
        <f t="shared" si="31"/>
        <v>0.53278136763394324</v>
      </c>
      <c r="BA18">
        <f t="shared" si="32"/>
        <v>1.7834770479452561E-2</v>
      </c>
      <c r="BB18">
        <f t="shared" si="33"/>
        <v>-1</v>
      </c>
      <c r="BC18" t="s">
        <v>291</v>
      </c>
      <c r="BD18">
        <v>192.26</v>
      </c>
      <c r="BE18">
        <f t="shared" si="34"/>
        <v>219.23900000000003</v>
      </c>
      <c r="BF18">
        <f t="shared" si="35"/>
        <v>0.54279997207122366</v>
      </c>
      <c r="BG18">
        <f t="shared" si="36"/>
        <v>2.1403256007489859</v>
      </c>
      <c r="BH18">
        <f t="shared" si="37"/>
        <v>0.28919371147177275</v>
      </c>
      <c r="BI18" t="e">
        <f t="shared" si="38"/>
        <v>#DIV/0!</v>
      </c>
      <c r="BJ18">
        <v>6148</v>
      </c>
      <c r="BK18">
        <v>300</v>
      </c>
      <c r="BL18">
        <v>300</v>
      </c>
      <c r="BM18">
        <v>300</v>
      </c>
      <c r="BN18">
        <v>9870.66</v>
      </c>
      <c r="BO18">
        <v>382.39100000000002</v>
      </c>
      <c r="BP18">
        <v>-6.5653700000000001E-3</v>
      </c>
      <c r="BQ18">
        <v>3.0356800000000002</v>
      </c>
      <c r="BR18">
        <f t="shared" si="39"/>
        <v>1999.981</v>
      </c>
      <c r="BS18">
        <f t="shared" si="40"/>
        <v>1681.1810396768069</v>
      </c>
      <c r="BT18">
        <f t="shared" si="41"/>
        <v>0.8405985055242059</v>
      </c>
      <c r="BU18">
        <f t="shared" si="42"/>
        <v>0.19119701104841197</v>
      </c>
      <c r="BV18">
        <v>0.5</v>
      </c>
      <c r="BW18" t="s">
        <v>281</v>
      </c>
      <c r="BX18">
        <v>1597508554.45</v>
      </c>
      <c r="BY18">
        <v>286.99543333333298</v>
      </c>
      <c r="BZ18">
        <v>300.00493333333299</v>
      </c>
      <c r="CA18">
        <v>21.0587366666667</v>
      </c>
      <c r="CB18">
        <v>16.224509999999999</v>
      </c>
      <c r="CC18">
        <v>500.04906666666699</v>
      </c>
      <c r="CD18">
        <v>99.049180000000007</v>
      </c>
      <c r="CE18">
        <v>0.199961366666667</v>
      </c>
      <c r="CF18">
        <v>27.988623333333301</v>
      </c>
      <c r="CG18">
        <v>26.929856666666701</v>
      </c>
      <c r="CH18">
        <v>999.9</v>
      </c>
      <c r="CI18">
        <v>10007.208333333299</v>
      </c>
      <c r="CJ18">
        <v>0</v>
      </c>
      <c r="CK18">
        <v>151.96663333333299</v>
      </c>
      <c r="CL18">
        <v>1999.981</v>
      </c>
      <c r="CM18">
        <v>0.98000050000000005</v>
      </c>
      <c r="CN18">
        <v>1.9999633333333301E-2</v>
      </c>
      <c r="CO18">
        <v>0</v>
      </c>
      <c r="CP18">
        <v>292.51760000000002</v>
      </c>
      <c r="CQ18">
        <v>5.00054</v>
      </c>
      <c r="CR18">
        <v>7960.8223333333299</v>
      </c>
      <c r="CS18">
        <v>18703.439999999999</v>
      </c>
      <c r="CT18">
        <v>47.828933333333303</v>
      </c>
      <c r="CU18">
        <v>49.808</v>
      </c>
      <c r="CV18">
        <v>48.270666666666699</v>
      </c>
      <c r="CW18">
        <v>48.878866666666703</v>
      </c>
      <c r="CX18">
        <v>49.437399999999997</v>
      </c>
      <c r="CY18">
        <v>1955.0809999999999</v>
      </c>
      <c r="CZ18">
        <v>39.9</v>
      </c>
      <c r="DA18">
        <v>0</v>
      </c>
      <c r="DB18">
        <v>132.09999990463299</v>
      </c>
      <c r="DC18">
        <v>292.496076923077</v>
      </c>
      <c r="DD18">
        <v>-5.7619145130591898</v>
      </c>
      <c r="DE18">
        <v>145.22666650994901</v>
      </c>
      <c r="DF18">
        <v>7960.7492307692301</v>
      </c>
      <c r="DG18">
        <v>15</v>
      </c>
      <c r="DH18">
        <v>1597508597.7</v>
      </c>
      <c r="DI18" t="s">
        <v>292</v>
      </c>
      <c r="DJ18">
        <v>33</v>
      </c>
      <c r="DK18">
        <v>-0.40300000000000002</v>
      </c>
      <c r="DL18">
        <v>0.10299999999999999</v>
      </c>
      <c r="DM18">
        <v>300</v>
      </c>
      <c r="DN18">
        <v>16</v>
      </c>
      <c r="DO18">
        <v>0.14000000000000001</v>
      </c>
      <c r="DP18">
        <v>0.02</v>
      </c>
      <c r="DQ18">
        <v>287.01944444444399</v>
      </c>
      <c r="DR18">
        <v>0.124212692967409</v>
      </c>
      <c r="DS18">
        <v>2.4614559577815699E-2</v>
      </c>
      <c r="DT18">
        <v>1</v>
      </c>
      <c r="DU18">
        <v>21.088503703703701</v>
      </c>
      <c r="DV18">
        <v>-0.18946049170955301</v>
      </c>
      <c r="DW18">
        <v>2.5669775879231801E-2</v>
      </c>
      <c r="DX18">
        <v>1</v>
      </c>
      <c r="DY18">
        <v>2</v>
      </c>
      <c r="DZ18">
        <v>2</v>
      </c>
      <c r="EA18" t="s">
        <v>283</v>
      </c>
      <c r="EB18">
        <v>1.86676</v>
      </c>
      <c r="EC18">
        <v>1.8632599999999999</v>
      </c>
      <c r="ED18">
        <v>1.8689</v>
      </c>
      <c r="EE18">
        <v>1.8668899999999999</v>
      </c>
      <c r="EF18">
        <v>1.87151</v>
      </c>
      <c r="EG18">
        <v>1.8640099999999999</v>
      </c>
      <c r="EH18">
        <v>1.8655900000000001</v>
      </c>
      <c r="EI18">
        <v>1.86554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-0.40300000000000002</v>
      </c>
      <c r="EX18">
        <v>0.10299999999999999</v>
      </c>
      <c r="EY18">
        <v>2</v>
      </c>
      <c r="EZ18">
        <v>332.41699999999997</v>
      </c>
      <c r="FA18">
        <v>483.024</v>
      </c>
      <c r="FB18">
        <v>23.657599999999999</v>
      </c>
      <c r="FC18">
        <v>34.1205</v>
      </c>
      <c r="FD18">
        <v>29.999700000000001</v>
      </c>
      <c r="FE18">
        <v>34.063699999999997</v>
      </c>
      <c r="FF18">
        <v>34.054600000000001</v>
      </c>
      <c r="FG18">
        <v>17.586600000000001</v>
      </c>
      <c r="FH18">
        <v>50.438499999999998</v>
      </c>
      <c r="FI18">
        <v>0</v>
      </c>
      <c r="FJ18">
        <v>23.6678</v>
      </c>
      <c r="FK18">
        <v>300</v>
      </c>
      <c r="FL18">
        <v>16.139800000000001</v>
      </c>
      <c r="FM18">
        <v>100.63200000000001</v>
      </c>
      <c r="FN18">
        <v>101.18300000000001</v>
      </c>
    </row>
    <row r="19" spans="1:170" x14ac:dyDescent="0.25">
      <c r="A19">
        <v>3</v>
      </c>
      <c r="B19">
        <v>1597508689.2</v>
      </c>
      <c r="C19">
        <v>260</v>
      </c>
      <c r="D19" t="s">
        <v>293</v>
      </c>
      <c r="E19" t="s">
        <v>294</v>
      </c>
      <c r="G19">
        <v>1597508681.45667</v>
      </c>
      <c r="H19">
        <f t="shared" si="0"/>
        <v>1.1507270357342312E-2</v>
      </c>
      <c r="I19">
        <f t="shared" si="1"/>
        <v>18.484847970156135</v>
      </c>
      <c r="J19">
        <f t="shared" si="2"/>
        <v>191.70939999999999</v>
      </c>
      <c r="K19">
        <f t="shared" si="3"/>
        <v>148.62576036211743</v>
      </c>
      <c r="L19">
        <f t="shared" si="4"/>
        <v>14.751396937462415</v>
      </c>
      <c r="M19">
        <f t="shared" si="5"/>
        <v>19.027532300945378</v>
      </c>
      <c r="N19">
        <f t="shared" si="6"/>
        <v>0.84924795924028518</v>
      </c>
      <c r="O19">
        <f t="shared" si="7"/>
        <v>3.3759727002470146</v>
      </c>
      <c r="P19">
        <f t="shared" si="8"/>
        <v>0.74603527531358327</v>
      </c>
      <c r="Q19">
        <f t="shared" si="9"/>
        <v>0.47449594540242113</v>
      </c>
      <c r="R19">
        <f t="shared" si="10"/>
        <v>321.43635322295478</v>
      </c>
      <c r="S19">
        <f t="shared" si="11"/>
        <v>27.130970762099238</v>
      </c>
      <c r="T19">
        <f t="shared" si="12"/>
        <v>27.06165</v>
      </c>
      <c r="U19">
        <f t="shared" si="13"/>
        <v>3.5921398177318951</v>
      </c>
      <c r="V19">
        <f t="shared" si="14"/>
        <v>55.180694004528519</v>
      </c>
      <c r="W19">
        <f t="shared" si="15"/>
        <v>2.1051607147942293</v>
      </c>
      <c r="X19">
        <f t="shared" si="16"/>
        <v>3.8150312401316748</v>
      </c>
      <c r="Y19">
        <f t="shared" si="17"/>
        <v>1.4869791029376658</v>
      </c>
      <c r="Z19">
        <f t="shared" si="18"/>
        <v>-507.47062275879597</v>
      </c>
      <c r="AA19">
        <f t="shared" si="19"/>
        <v>187.35822021246105</v>
      </c>
      <c r="AB19">
        <f t="shared" si="20"/>
        <v>12.046218829173592</v>
      </c>
      <c r="AC19">
        <f t="shared" si="21"/>
        <v>13.370169505793456</v>
      </c>
      <c r="AD19">
        <v>-4.10758738947948E-2</v>
      </c>
      <c r="AE19">
        <v>4.6111266891096903E-2</v>
      </c>
      <c r="AF19">
        <v>3.4480536620439999</v>
      </c>
      <c r="AG19">
        <v>152</v>
      </c>
      <c r="AH19">
        <v>30</v>
      </c>
      <c r="AI19">
        <f t="shared" si="22"/>
        <v>1</v>
      </c>
      <c r="AJ19">
        <f t="shared" si="23"/>
        <v>0</v>
      </c>
      <c r="AK19">
        <f t="shared" si="24"/>
        <v>52188.358517077992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275.74765384615398</v>
      </c>
      <c r="AT19">
        <v>367.49299999999999</v>
      </c>
      <c r="AU19">
        <f t="shared" si="27"/>
        <v>0.24965195569397514</v>
      </c>
      <c r="AV19">
        <v>0.5</v>
      </c>
      <c r="AW19">
        <f t="shared" si="28"/>
        <v>1681.1813096768881</v>
      </c>
      <c r="AX19">
        <f t="shared" si="29"/>
        <v>18.484847970156135</v>
      </c>
      <c r="AY19">
        <f t="shared" si="30"/>
        <v>209.85510091849679</v>
      </c>
      <c r="AZ19">
        <f t="shared" si="31"/>
        <v>0.47699684075615051</v>
      </c>
      <c r="BA19">
        <f t="shared" si="32"/>
        <v>1.1589974179466101E-2</v>
      </c>
      <c r="BB19">
        <f t="shared" si="33"/>
        <v>-1</v>
      </c>
      <c r="BC19" t="s">
        <v>296</v>
      </c>
      <c r="BD19">
        <v>192.2</v>
      </c>
      <c r="BE19">
        <f t="shared" si="34"/>
        <v>175.29300000000001</v>
      </c>
      <c r="BF19">
        <f t="shared" si="35"/>
        <v>0.52338282848628304</v>
      </c>
      <c r="BG19">
        <f t="shared" si="36"/>
        <v>1.9120343392299688</v>
      </c>
      <c r="BH19">
        <f t="shared" si="37"/>
        <v>0.24965195569397516</v>
      </c>
      <c r="BI19" t="e">
        <f t="shared" si="38"/>
        <v>#DIV/0!</v>
      </c>
      <c r="BJ19">
        <v>6150</v>
      </c>
      <c r="BK19">
        <v>300</v>
      </c>
      <c r="BL19">
        <v>300</v>
      </c>
      <c r="BM19">
        <v>300</v>
      </c>
      <c r="BN19">
        <v>9869.0300000000007</v>
      </c>
      <c r="BO19">
        <v>346.09500000000003</v>
      </c>
      <c r="BP19">
        <v>-6.5642699999999997E-3</v>
      </c>
      <c r="BQ19">
        <v>2.10236</v>
      </c>
      <c r="BR19">
        <f t="shared" si="39"/>
        <v>1999.98166666667</v>
      </c>
      <c r="BS19">
        <f t="shared" si="40"/>
        <v>1681.1813096768881</v>
      </c>
      <c r="BT19">
        <f t="shared" si="41"/>
        <v>0.84059836032341229</v>
      </c>
      <c r="BU19">
        <f t="shared" si="42"/>
        <v>0.19119672064682466</v>
      </c>
      <c r="BV19">
        <v>0.5</v>
      </c>
      <c r="BW19" t="s">
        <v>281</v>
      </c>
      <c r="BX19">
        <v>1597508681.45667</v>
      </c>
      <c r="BY19">
        <v>191.70939999999999</v>
      </c>
      <c r="BZ19">
        <v>199.98480000000001</v>
      </c>
      <c r="CA19">
        <v>21.210270000000001</v>
      </c>
      <c r="CB19">
        <v>16.7055133333333</v>
      </c>
      <c r="CC19">
        <v>500.05799999999999</v>
      </c>
      <c r="CD19">
        <v>99.051969999999997</v>
      </c>
      <c r="CE19">
        <v>0.19998270000000001</v>
      </c>
      <c r="CF19">
        <v>28.091059999999999</v>
      </c>
      <c r="CG19">
        <v>27.06165</v>
      </c>
      <c r="CH19">
        <v>999.9</v>
      </c>
      <c r="CI19">
        <v>10000.454</v>
      </c>
      <c r="CJ19">
        <v>0</v>
      </c>
      <c r="CK19">
        <v>134.82300000000001</v>
      </c>
      <c r="CL19">
        <v>1999.98166666667</v>
      </c>
      <c r="CM19">
        <v>0.98000330000000002</v>
      </c>
      <c r="CN19">
        <v>1.999635E-2</v>
      </c>
      <c r="CO19">
        <v>0</v>
      </c>
      <c r="CP19">
        <v>275.75799999999998</v>
      </c>
      <c r="CQ19">
        <v>5.00054</v>
      </c>
      <c r="CR19">
        <v>7673.0056666666696</v>
      </c>
      <c r="CS19">
        <v>18703.473333333299</v>
      </c>
      <c r="CT19">
        <v>48.145400000000002</v>
      </c>
      <c r="CU19">
        <v>50.1415333333333</v>
      </c>
      <c r="CV19">
        <v>48.541333333333299</v>
      </c>
      <c r="CW19">
        <v>49.2205333333333</v>
      </c>
      <c r="CX19">
        <v>49.699666666666701</v>
      </c>
      <c r="CY19">
        <v>1955.0913333333301</v>
      </c>
      <c r="CZ19">
        <v>39.890333333333402</v>
      </c>
      <c r="DA19">
        <v>0</v>
      </c>
      <c r="DB19">
        <v>126.200000047684</v>
      </c>
      <c r="DC19">
        <v>275.74765384615398</v>
      </c>
      <c r="DD19">
        <v>-4.9242734984747401</v>
      </c>
      <c r="DE19">
        <v>-78.916922917285802</v>
      </c>
      <c r="DF19">
        <v>7672.8753846153804</v>
      </c>
      <c r="DG19">
        <v>15</v>
      </c>
      <c r="DH19">
        <v>1597508721.2</v>
      </c>
      <c r="DI19" t="s">
        <v>297</v>
      </c>
      <c r="DJ19">
        <v>34</v>
      </c>
      <c r="DK19">
        <v>-0.41199999999999998</v>
      </c>
      <c r="DL19">
        <v>0.114</v>
      </c>
      <c r="DM19">
        <v>200</v>
      </c>
      <c r="DN19">
        <v>17</v>
      </c>
      <c r="DO19">
        <v>0.56000000000000005</v>
      </c>
      <c r="DP19">
        <v>0.02</v>
      </c>
      <c r="DQ19">
        <v>191.720018518519</v>
      </c>
      <c r="DR19">
        <v>-2.11601923663884E-2</v>
      </c>
      <c r="DS19">
        <v>8.9037876683051801E-3</v>
      </c>
      <c r="DT19">
        <v>1</v>
      </c>
      <c r="DU19">
        <v>21.1988925925926</v>
      </c>
      <c r="DV19">
        <v>1.3512273467485E-2</v>
      </c>
      <c r="DW19">
        <v>1.0288106255064801E-2</v>
      </c>
      <c r="DX19">
        <v>1</v>
      </c>
      <c r="DY19">
        <v>2</v>
      </c>
      <c r="DZ19">
        <v>2</v>
      </c>
      <c r="EA19" t="s">
        <v>283</v>
      </c>
      <c r="EB19">
        <v>1.8667400000000001</v>
      </c>
      <c r="EC19">
        <v>1.8632500000000001</v>
      </c>
      <c r="ED19">
        <v>1.8689</v>
      </c>
      <c r="EE19">
        <v>1.8668</v>
      </c>
      <c r="EF19">
        <v>1.8714900000000001</v>
      </c>
      <c r="EG19">
        <v>1.86399</v>
      </c>
      <c r="EH19">
        <v>1.86554</v>
      </c>
      <c r="EI19">
        <v>1.8654900000000001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-0.41199999999999998</v>
      </c>
      <c r="EX19">
        <v>0.114</v>
      </c>
      <c r="EY19">
        <v>2</v>
      </c>
      <c r="EZ19">
        <v>332.70299999999997</v>
      </c>
      <c r="FA19">
        <v>483.33199999999999</v>
      </c>
      <c r="FB19">
        <v>22.356000000000002</v>
      </c>
      <c r="FC19">
        <v>34.0854</v>
      </c>
      <c r="FD19">
        <v>30.0001</v>
      </c>
      <c r="FE19">
        <v>34.063699999999997</v>
      </c>
      <c r="FF19">
        <v>34.060699999999997</v>
      </c>
      <c r="FG19">
        <v>12.946099999999999</v>
      </c>
      <c r="FH19">
        <v>47.998100000000001</v>
      </c>
      <c r="FI19">
        <v>0</v>
      </c>
      <c r="FJ19">
        <v>22.340599999999998</v>
      </c>
      <c r="FK19">
        <v>200</v>
      </c>
      <c r="FL19">
        <v>16.668600000000001</v>
      </c>
      <c r="FM19">
        <v>100.628</v>
      </c>
      <c r="FN19">
        <v>101.182</v>
      </c>
    </row>
    <row r="20" spans="1:170" x14ac:dyDescent="0.25">
      <c r="A20">
        <v>4</v>
      </c>
      <c r="B20">
        <v>1597508812.7</v>
      </c>
      <c r="C20">
        <v>383.5</v>
      </c>
      <c r="D20" t="s">
        <v>298</v>
      </c>
      <c r="E20" t="s">
        <v>299</v>
      </c>
      <c r="G20">
        <v>1597508804.95333</v>
      </c>
      <c r="H20">
        <f t="shared" si="0"/>
        <v>1.165283881548969E-2</v>
      </c>
      <c r="I20">
        <f t="shared" si="1"/>
        <v>6.6113359788230648</v>
      </c>
      <c r="J20">
        <f t="shared" si="2"/>
        <v>96.890346666666701</v>
      </c>
      <c r="K20">
        <f t="shared" si="3"/>
        <v>80.742240556573066</v>
      </c>
      <c r="L20">
        <f t="shared" si="4"/>
        <v>8.0137352283274357</v>
      </c>
      <c r="M20">
        <f t="shared" si="5"/>
        <v>9.6164483300843333</v>
      </c>
      <c r="N20">
        <f t="shared" si="6"/>
        <v>0.84725573110128816</v>
      </c>
      <c r="O20">
        <f t="shared" si="7"/>
        <v>3.3767084007986479</v>
      </c>
      <c r="P20">
        <f t="shared" si="8"/>
        <v>0.74451498893942736</v>
      </c>
      <c r="Q20">
        <f t="shared" si="9"/>
        <v>0.47351050831211977</v>
      </c>
      <c r="R20">
        <f t="shared" si="10"/>
        <v>321.43852371361226</v>
      </c>
      <c r="S20">
        <f t="shared" si="11"/>
        <v>26.812693873809941</v>
      </c>
      <c r="T20">
        <f t="shared" si="12"/>
        <v>26.993203333333302</v>
      </c>
      <c r="U20">
        <f t="shared" si="13"/>
        <v>3.5777311946153607</v>
      </c>
      <c r="V20">
        <f t="shared" si="14"/>
        <v>55.128647319130707</v>
      </c>
      <c r="W20">
        <f t="shared" si="15"/>
        <v>2.0684844482287619</v>
      </c>
      <c r="X20">
        <f t="shared" si="16"/>
        <v>3.7521044843611784</v>
      </c>
      <c r="Y20">
        <f t="shared" si="17"/>
        <v>1.5092467463865988</v>
      </c>
      <c r="Z20">
        <f t="shared" si="18"/>
        <v>-513.89019176309534</v>
      </c>
      <c r="AA20">
        <f t="shared" si="19"/>
        <v>147.94198728493976</v>
      </c>
      <c r="AB20">
        <f t="shared" si="20"/>
        <v>9.4930915197482708</v>
      </c>
      <c r="AC20">
        <f t="shared" si="21"/>
        <v>-35.016589244795085</v>
      </c>
      <c r="AD20">
        <v>-4.1087242838723802E-2</v>
      </c>
      <c r="AE20">
        <v>4.6124029526631402E-2</v>
      </c>
      <c r="AF20">
        <v>3.4488093131002802</v>
      </c>
      <c r="AG20">
        <v>152</v>
      </c>
      <c r="AH20">
        <v>30</v>
      </c>
      <c r="AI20">
        <f t="shared" si="22"/>
        <v>1</v>
      </c>
      <c r="AJ20">
        <f t="shared" si="23"/>
        <v>0</v>
      </c>
      <c r="AK20">
        <f t="shared" si="24"/>
        <v>52251.680651181647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273.11873076923098</v>
      </c>
      <c r="AT20">
        <v>343.51799999999997</v>
      </c>
      <c r="AU20">
        <f t="shared" si="27"/>
        <v>0.20493618742182074</v>
      </c>
      <c r="AV20">
        <v>0.5</v>
      </c>
      <c r="AW20">
        <f t="shared" si="28"/>
        <v>1681.1905196768168</v>
      </c>
      <c r="AX20">
        <f t="shared" si="29"/>
        <v>6.6113359788230648</v>
      </c>
      <c r="AY20">
        <f t="shared" si="30"/>
        <v>172.26838771613816</v>
      </c>
      <c r="AZ20">
        <f t="shared" si="31"/>
        <v>0.42780290989118469</v>
      </c>
      <c r="BA20">
        <f t="shared" si="32"/>
        <v>4.5273488576929562E-3</v>
      </c>
      <c r="BB20">
        <f t="shared" si="33"/>
        <v>-1</v>
      </c>
      <c r="BC20" t="s">
        <v>301</v>
      </c>
      <c r="BD20">
        <v>196.56</v>
      </c>
      <c r="BE20">
        <f t="shared" si="34"/>
        <v>146.95799999999997</v>
      </c>
      <c r="BF20">
        <f t="shared" si="35"/>
        <v>0.47904346296743971</v>
      </c>
      <c r="BG20">
        <f t="shared" si="36"/>
        <v>1.7476495726495724</v>
      </c>
      <c r="BH20">
        <f t="shared" si="37"/>
        <v>0.20493618742182068</v>
      </c>
      <c r="BI20" t="e">
        <f t="shared" si="38"/>
        <v>#DIV/0!</v>
      </c>
      <c r="BJ20">
        <v>6152</v>
      </c>
      <c r="BK20">
        <v>300</v>
      </c>
      <c r="BL20">
        <v>300</v>
      </c>
      <c r="BM20">
        <v>300</v>
      </c>
      <c r="BN20">
        <v>9867.68</v>
      </c>
      <c r="BO20">
        <v>326.98899999999998</v>
      </c>
      <c r="BP20">
        <v>-6.5630000000000003E-3</v>
      </c>
      <c r="BQ20">
        <v>1.89255</v>
      </c>
      <c r="BR20">
        <f t="shared" si="39"/>
        <v>1999.99233333333</v>
      </c>
      <c r="BS20">
        <f t="shared" si="40"/>
        <v>1681.1905196768168</v>
      </c>
      <c r="BT20">
        <f t="shared" si="41"/>
        <v>0.84059848213259136</v>
      </c>
      <c r="BU20">
        <f t="shared" si="42"/>
        <v>0.19119696426518268</v>
      </c>
      <c r="BV20">
        <v>0.5</v>
      </c>
      <c r="BW20" t="s">
        <v>281</v>
      </c>
      <c r="BX20">
        <v>1597508804.95333</v>
      </c>
      <c r="BY20">
        <v>96.890346666666701</v>
      </c>
      <c r="BZ20">
        <v>99.986156666666702</v>
      </c>
      <c r="CA20">
        <v>20.840976666666698</v>
      </c>
      <c r="CB20">
        <v>16.27749</v>
      </c>
      <c r="CC20">
        <v>500.05546666666697</v>
      </c>
      <c r="CD20">
        <v>99.050876666666696</v>
      </c>
      <c r="CE20">
        <v>0.19996369999999999</v>
      </c>
      <c r="CF20">
        <v>27.805869999999999</v>
      </c>
      <c r="CG20">
        <v>26.993203333333302</v>
      </c>
      <c r="CH20">
        <v>999.9</v>
      </c>
      <c r="CI20">
        <v>10003.332333333299</v>
      </c>
      <c r="CJ20">
        <v>0</v>
      </c>
      <c r="CK20">
        <v>139.59563333333301</v>
      </c>
      <c r="CL20">
        <v>1999.99233333333</v>
      </c>
      <c r="CM20">
        <v>0.98000213333333297</v>
      </c>
      <c r="CN20">
        <v>1.9997963333333299E-2</v>
      </c>
      <c r="CO20">
        <v>0</v>
      </c>
      <c r="CP20">
        <v>273.10340000000002</v>
      </c>
      <c r="CQ20">
        <v>5.00054</v>
      </c>
      <c r="CR20">
        <v>7682.0326666666697</v>
      </c>
      <c r="CS20">
        <v>18703.57</v>
      </c>
      <c r="CT20">
        <v>48.533066666666699</v>
      </c>
      <c r="CU20">
        <v>50.499933333333303</v>
      </c>
      <c r="CV20">
        <v>48.912199999999999</v>
      </c>
      <c r="CW20">
        <v>49.612333333333297</v>
      </c>
      <c r="CX20">
        <v>50.024733333333302</v>
      </c>
      <c r="CY20">
        <v>1955.0936666666701</v>
      </c>
      <c r="CZ20">
        <v>39.898666666666699</v>
      </c>
      <c r="DA20">
        <v>0</v>
      </c>
      <c r="DB20">
        <v>122.799999952316</v>
      </c>
      <c r="DC20">
        <v>273.11873076923098</v>
      </c>
      <c r="DD20">
        <v>-1.3086837732774801</v>
      </c>
      <c r="DE20">
        <v>15.971623923728901</v>
      </c>
      <c r="DF20">
        <v>7682.1426923076897</v>
      </c>
      <c r="DG20">
        <v>15</v>
      </c>
      <c r="DH20">
        <v>1597508844.2</v>
      </c>
      <c r="DI20" t="s">
        <v>302</v>
      </c>
      <c r="DJ20">
        <v>35</v>
      </c>
      <c r="DK20">
        <v>-0.29299999999999998</v>
      </c>
      <c r="DL20">
        <v>0.106</v>
      </c>
      <c r="DM20">
        <v>100</v>
      </c>
      <c r="DN20">
        <v>16</v>
      </c>
      <c r="DO20">
        <v>0.64</v>
      </c>
      <c r="DP20">
        <v>0.03</v>
      </c>
      <c r="DQ20">
        <v>96.7526222222222</v>
      </c>
      <c r="DR20">
        <v>0.18661576918926001</v>
      </c>
      <c r="DS20">
        <v>2.7703821548570901E-2</v>
      </c>
      <c r="DT20">
        <v>1</v>
      </c>
      <c r="DU20">
        <v>20.8536</v>
      </c>
      <c r="DV20">
        <v>-3.9380147191429599E-2</v>
      </c>
      <c r="DW20">
        <v>5.4754333500070399E-3</v>
      </c>
      <c r="DX20">
        <v>1</v>
      </c>
      <c r="DY20">
        <v>2</v>
      </c>
      <c r="DZ20">
        <v>2</v>
      </c>
      <c r="EA20" t="s">
        <v>283</v>
      </c>
      <c r="EB20">
        <v>1.8667499999999999</v>
      </c>
      <c r="EC20">
        <v>1.8632500000000001</v>
      </c>
      <c r="ED20">
        <v>1.8689</v>
      </c>
      <c r="EE20">
        <v>1.8668400000000001</v>
      </c>
      <c r="EF20">
        <v>1.8714900000000001</v>
      </c>
      <c r="EG20">
        <v>1.8640000000000001</v>
      </c>
      <c r="EH20">
        <v>1.86554</v>
      </c>
      <c r="EI20">
        <v>1.8655299999999999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-0.29299999999999998</v>
      </c>
      <c r="EX20">
        <v>0.106</v>
      </c>
      <c r="EY20">
        <v>2</v>
      </c>
      <c r="EZ20">
        <v>332.81299999999999</v>
      </c>
      <c r="FA20">
        <v>482.089</v>
      </c>
      <c r="FB20">
        <v>22.6965</v>
      </c>
      <c r="FC20">
        <v>34.114400000000003</v>
      </c>
      <c r="FD20">
        <v>30.0001</v>
      </c>
      <c r="FE20">
        <v>34.082099999999997</v>
      </c>
      <c r="FF20">
        <v>34.0807</v>
      </c>
      <c r="FG20">
        <v>8.1135699999999993</v>
      </c>
      <c r="FH20">
        <v>50.322400000000002</v>
      </c>
      <c r="FI20">
        <v>0</v>
      </c>
      <c r="FJ20">
        <v>22.702100000000002</v>
      </c>
      <c r="FK20">
        <v>100</v>
      </c>
      <c r="FL20">
        <v>16.275500000000001</v>
      </c>
      <c r="FM20">
        <v>100.627</v>
      </c>
      <c r="FN20">
        <v>101.18</v>
      </c>
    </row>
    <row r="21" spans="1:170" x14ac:dyDescent="0.25">
      <c r="A21">
        <v>5</v>
      </c>
      <c r="B21">
        <v>1597508935.7</v>
      </c>
      <c r="C21">
        <v>506.5</v>
      </c>
      <c r="D21" t="s">
        <v>303</v>
      </c>
      <c r="E21" t="s">
        <v>304</v>
      </c>
      <c r="G21">
        <v>1597508927.95333</v>
      </c>
      <c r="H21">
        <f t="shared" si="0"/>
        <v>1.1019919468031074E-2</v>
      </c>
      <c r="I21">
        <f t="shared" si="1"/>
        <v>0.77574747929638876</v>
      </c>
      <c r="J21">
        <f t="shared" si="2"/>
        <v>49.461043333333301</v>
      </c>
      <c r="K21">
        <f t="shared" si="3"/>
        <v>46.534234111204491</v>
      </c>
      <c r="L21">
        <f t="shared" si="4"/>
        <v>4.6181879093134848</v>
      </c>
      <c r="M21">
        <f t="shared" si="5"/>
        <v>4.908652665436934</v>
      </c>
      <c r="N21">
        <f t="shared" si="6"/>
        <v>0.79223694847248705</v>
      </c>
      <c r="O21">
        <f t="shared" si="7"/>
        <v>3.3741330131343585</v>
      </c>
      <c r="P21">
        <f t="shared" si="8"/>
        <v>0.70158495782884067</v>
      </c>
      <c r="Q21">
        <f t="shared" si="9"/>
        <v>0.44576789727431798</v>
      </c>
      <c r="R21">
        <f t="shared" si="10"/>
        <v>321.43727738710373</v>
      </c>
      <c r="S21">
        <f t="shared" si="11"/>
        <v>26.987607529254134</v>
      </c>
      <c r="T21">
        <f t="shared" si="12"/>
        <v>27.037863333333298</v>
      </c>
      <c r="U21">
        <f t="shared" si="13"/>
        <v>3.5871267838210898</v>
      </c>
      <c r="V21">
        <f t="shared" si="14"/>
        <v>55.141017457280142</v>
      </c>
      <c r="W21">
        <f t="shared" si="15"/>
        <v>2.0727528003441833</v>
      </c>
      <c r="X21">
        <f t="shared" si="16"/>
        <v>3.7590035438682725</v>
      </c>
      <c r="Y21">
        <f t="shared" si="17"/>
        <v>1.5143739834769065</v>
      </c>
      <c r="Z21">
        <f t="shared" si="18"/>
        <v>-485.97844854017035</v>
      </c>
      <c r="AA21">
        <f t="shared" si="19"/>
        <v>145.42980959440737</v>
      </c>
      <c r="AB21">
        <f t="shared" si="20"/>
        <v>9.342563801011357</v>
      </c>
      <c r="AC21">
        <f t="shared" si="21"/>
        <v>-9.7687977576478886</v>
      </c>
      <c r="AD21">
        <v>-4.10474496473444E-2</v>
      </c>
      <c r="AE21">
        <v>4.6079358183232999E-2</v>
      </c>
      <c r="AF21">
        <v>3.4461640953572701</v>
      </c>
      <c r="AG21">
        <v>152</v>
      </c>
      <c r="AH21">
        <v>30</v>
      </c>
      <c r="AI21">
        <f t="shared" si="22"/>
        <v>1</v>
      </c>
      <c r="AJ21">
        <f t="shared" si="23"/>
        <v>0</v>
      </c>
      <c r="AK21">
        <f t="shared" si="24"/>
        <v>52197.506307486845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272.42173076923098</v>
      </c>
      <c r="AT21">
        <v>328.91199999999998</v>
      </c>
      <c r="AU21">
        <f t="shared" si="27"/>
        <v>0.17174888490164242</v>
      </c>
      <c r="AV21">
        <v>0.5</v>
      </c>
      <c r="AW21">
        <f t="shared" si="28"/>
        <v>1681.181300075827</v>
      </c>
      <c r="AX21">
        <f t="shared" si="29"/>
        <v>0.77574747929638876</v>
      </c>
      <c r="AY21">
        <f t="shared" si="30"/>
        <v>144.3705068027584</v>
      </c>
      <c r="AZ21">
        <f t="shared" si="31"/>
        <v>0.39461010847886357</v>
      </c>
      <c r="BA21">
        <f t="shared" si="32"/>
        <v>1.0562498400477668E-3</v>
      </c>
      <c r="BB21">
        <f t="shared" si="33"/>
        <v>-1</v>
      </c>
      <c r="BC21" t="s">
        <v>306</v>
      </c>
      <c r="BD21">
        <v>199.12</v>
      </c>
      <c r="BE21">
        <f t="shared" si="34"/>
        <v>129.79199999999997</v>
      </c>
      <c r="BF21">
        <f t="shared" si="35"/>
        <v>0.43523691160294176</v>
      </c>
      <c r="BG21">
        <f t="shared" si="36"/>
        <v>1.6518280433909198</v>
      </c>
      <c r="BH21">
        <f t="shared" si="37"/>
        <v>0.17174888490164239</v>
      </c>
      <c r="BI21" t="e">
        <f t="shared" si="38"/>
        <v>#DIV/0!</v>
      </c>
      <c r="BJ21">
        <v>6154</v>
      </c>
      <c r="BK21">
        <v>300</v>
      </c>
      <c r="BL21">
        <v>300</v>
      </c>
      <c r="BM21">
        <v>300</v>
      </c>
      <c r="BN21">
        <v>9866.5400000000009</v>
      </c>
      <c r="BO21">
        <v>317.375</v>
      </c>
      <c r="BP21">
        <v>-6.5619800000000002E-3</v>
      </c>
      <c r="BQ21">
        <v>2.2069399999999999</v>
      </c>
      <c r="BR21">
        <f t="shared" si="39"/>
        <v>1999.981</v>
      </c>
      <c r="BS21">
        <f t="shared" si="40"/>
        <v>1681.181300075827</v>
      </c>
      <c r="BT21">
        <f t="shared" si="41"/>
        <v>0.84059863572495286</v>
      </c>
      <c r="BU21">
        <f t="shared" si="42"/>
        <v>0.19119727144990598</v>
      </c>
      <c r="BV21">
        <v>0.5</v>
      </c>
      <c r="BW21" t="s">
        <v>281</v>
      </c>
      <c r="BX21">
        <v>1597508927.95333</v>
      </c>
      <c r="BY21">
        <v>49.461043333333301</v>
      </c>
      <c r="BZ21">
        <v>49.9893</v>
      </c>
      <c r="CA21">
        <v>20.885673333333301</v>
      </c>
      <c r="CB21">
        <v>16.5703</v>
      </c>
      <c r="CC21">
        <v>500.06153333333299</v>
      </c>
      <c r="CD21">
        <v>99.042813333333299</v>
      </c>
      <c r="CE21">
        <v>0.19999140000000001</v>
      </c>
      <c r="CF21">
        <v>27.837340000000001</v>
      </c>
      <c r="CG21">
        <v>27.037863333333298</v>
      </c>
      <c r="CH21">
        <v>999.9</v>
      </c>
      <c r="CI21">
        <v>9994.4576666666708</v>
      </c>
      <c r="CJ21">
        <v>0</v>
      </c>
      <c r="CK21">
        <v>137.39349999999999</v>
      </c>
      <c r="CL21">
        <v>1999.981</v>
      </c>
      <c r="CM21">
        <v>0.97999466666666601</v>
      </c>
      <c r="CN21">
        <v>2.0005416666666699E-2</v>
      </c>
      <c r="CO21">
        <v>0</v>
      </c>
      <c r="CP21">
        <v>272.41103333333302</v>
      </c>
      <c r="CQ21">
        <v>5.00054</v>
      </c>
      <c r="CR21">
        <v>7703.4880000000003</v>
      </c>
      <c r="CS21">
        <v>18703.413333333301</v>
      </c>
      <c r="CT21">
        <v>48.793500000000002</v>
      </c>
      <c r="CU21">
        <v>50.807866666666598</v>
      </c>
      <c r="CV21">
        <v>49.207999999999998</v>
      </c>
      <c r="CW21">
        <v>49.855966666666703</v>
      </c>
      <c r="CX21">
        <v>50.280999999999999</v>
      </c>
      <c r="CY21">
        <v>1955.0716666666699</v>
      </c>
      <c r="CZ21">
        <v>39.908666666666697</v>
      </c>
      <c r="DA21">
        <v>0</v>
      </c>
      <c r="DB21">
        <v>122.200000047684</v>
      </c>
      <c r="DC21">
        <v>272.42173076923098</v>
      </c>
      <c r="DD21">
        <v>-0.85370940180143096</v>
      </c>
      <c r="DE21">
        <v>9.1189743101338792</v>
      </c>
      <c r="DF21">
        <v>7703.6988461538504</v>
      </c>
      <c r="DG21">
        <v>15</v>
      </c>
      <c r="DH21">
        <v>1597508963.7</v>
      </c>
      <c r="DI21" t="s">
        <v>307</v>
      </c>
      <c r="DJ21">
        <v>36</v>
      </c>
      <c r="DK21">
        <v>-0.33200000000000002</v>
      </c>
      <c r="DL21">
        <v>0.11</v>
      </c>
      <c r="DM21">
        <v>50</v>
      </c>
      <c r="DN21">
        <v>17</v>
      </c>
      <c r="DO21">
        <v>0.4</v>
      </c>
      <c r="DP21">
        <v>0.02</v>
      </c>
      <c r="DQ21">
        <v>49.495979629629602</v>
      </c>
      <c r="DR21">
        <v>3.8880220846963999E-2</v>
      </c>
      <c r="DS21">
        <v>6.4650450323433103E-3</v>
      </c>
      <c r="DT21">
        <v>1</v>
      </c>
      <c r="DU21">
        <v>20.864887037037001</v>
      </c>
      <c r="DV21">
        <v>0.15011993768339801</v>
      </c>
      <c r="DW21">
        <v>1.9696258775193199E-2</v>
      </c>
      <c r="DX21">
        <v>1</v>
      </c>
      <c r="DY21">
        <v>2</v>
      </c>
      <c r="DZ21">
        <v>2</v>
      </c>
      <c r="EA21" t="s">
        <v>283</v>
      </c>
      <c r="EB21">
        <v>1.8667400000000001</v>
      </c>
      <c r="EC21">
        <v>1.8632500000000001</v>
      </c>
      <c r="ED21">
        <v>1.8688899999999999</v>
      </c>
      <c r="EE21">
        <v>1.8667899999999999</v>
      </c>
      <c r="EF21">
        <v>1.8714900000000001</v>
      </c>
      <c r="EG21">
        <v>1.8640000000000001</v>
      </c>
      <c r="EH21">
        <v>1.86554</v>
      </c>
      <c r="EI21">
        <v>1.86544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-0.33200000000000002</v>
      </c>
      <c r="EX21">
        <v>0.11</v>
      </c>
      <c r="EY21">
        <v>2</v>
      </c>
      <c r="EZ21">
        <v>332.51299999999998</v>
      </c>
      <c r="FA21">
        <v>481.59899999999999</v>
      </c>
      <c r="FB21">
        <v>22.383199999999999</v>
      </c>
      <c r="FC21">
        <v>34.167099999999998</v>
      </c>
      <c r="FD21">
        <v>30.000599999999999</v>
      </c>
      <c r="FE21">
        <v>34.125500000000002</v>
      </c>
      <c r="FF21">
        <v>34.123399999999997</v>
      </c>
      <c r="FG21">
        <v>5.6769999999999996</v>
      </c>
      <c r="FH21">
        <v>48.5229</v>
      </c>
      <c r="FI21">
        <v>0</v>
      </c>
      <c r="FJ21">
        <v>22.369800000000001</v>
      </c>
      <c r="FK21">
        <v>50</v>
      </c>
      <c r="FL21">
        <v>16.5562</v>
      </c>
      <c r="FM21">
        <v>100.614</v>
      </c>
      <c r="FN21">
        <v>101.169</v>
      </c>
    </row>
    <row r="22" spans="1:170" x14ac:dyDescent="0.25">
      <c r="A22">
        <v>6</v>
      </c>
      <c r="B22">
        <v>1597509062.3</v>
      </c>
      <c r="C22">
        <v>633.09999990463302</v>
      </c>
      <c r="D22" t="s">
        <v>308</v>
      </c>
      <c r="E22" t="s">
        <v>309</v>
      </c>
      <c r="G22">
        <v>1597509054.47</v>
      </c>
      <c r="H22">
        <f t="shared" si="0"/>
        <v>1.0921702207738169E-2</v>
      </c>
      <c r="I22">
        <f t="shared" si="1"/>
        <v>36.072644301823466</v>
      </c>
      <c r="J22">
        <f t="shared" si="2"/>
        <v>383.92386666666698</v>
      </c>
      <c r="K22">
        <f t="shared" si="3"/>
        <v>293.08218312624393</v>
      </c>
      <c r="L22">
        <f t="shared" si="4"/>
        <v>29.085906264173179</v>
      </c>
      <c r="M22">
        <f t="shared" si="5"/>
        <v>38.101168345793155</v>
      </c>
      <c r="N22">
        <f t="shared" si="6"/>
        <v>0.77647830920229832</v>
      </c>
      <c r="O22">
        <f t="shared" si="7"/>
        <v>3.376362805455758</v>
      </c>
      <c r="P22">
        <f t="shared" si="8"/>
        <v>0.68923557261296753</v>
      </c>
      <c r="Q22">
        <f t="shared" si="9"/>
        <v>0.43779102264726577</v>
      </c>
      <c r="R22">
        <f t="shared" si="10"/>
        <v>321.44045584570097</v>
      </c>
      <c r="S22">
        <f t="shared" si="11"/>
        <v>26.979096597819339</v>
      </c>
      <c r="T22">
        <f t="shared" si="12"/>
        <v>27.002053333333301</v>
      </c>
      <c r="U22">
        <f t="shared" si="13"/>
        <v>3.5795913526687295</v>
      </c>
      <c r="V22">
        <f t="shared" si="14"/>
        <v>54.678844628825082</v>
      </c>
      <c r="W22">
        <f t="shared" si="15"/>
        <v>2.0516165640444366</v>
      </c>
      <c r="X22">
        <f t="shared" si="16"/>
        <v>3.7521212782957827</v>
      </c>
      <c r="Y22">
        <f t="shared" si="17"/>
        <v>1.5279747886242929</v>
      </c>
      <c r="Z22">
        <f t="shared" si="18"/>
        <v>-481.64706736125322</v>
      </c>
      <c r="AA22">
        <f t="shared" si="19"/>
        <v>146.32986698350027</v>
      </c>
      <c r="AB22">
        <f t="shared" si="20"/>
        <v>9.3910248402390959</v>
      </c>
      <c r="AC22">
        <f t="shared" si="21"/>
        <v>-4.4857196918129034</v>
      </c>
      <c r="AD22">
        <v>-4.1081902139246701E-2</v>
      </c>
      <c r="AE22">
        <v>4.6118034123597301E-2</v>
      </c>
      <c r="AF22">
        <v>3.4484543457655499</v>
      </c>
      <c r="AG22">
        <v>152</v>
      </c>
      <c r="AH22">
        <v>30</v>
      </c>
      <c r="AI22">
        <f t="shared" si="22"/>
        <v>1</v>
      </c>
      <c r="AJ22">
        <f t="shared" si="23"/>
        <v>0</v>
      </c>
      <c r="AK22">
        <f t="shared" si="24"/>
        <v>52244.950786604495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273.83992307692301</v>
      </c>
      <c r="AT22">
        <v>391.553</v>
      </c>
      <c r="AU22">
        <f t="shared" si="27"/>
        <v>0.30063127321991401</v>
      </c>
      <c r="AV22">
        <v>0.5</v>
      </c>
      <c r="AW22">
        <f t="shared" si="28"/>
        <v>1681.1975896767235</v>
      </c>
      <c r="AX22">
        <f t="shared" si="29"/>
        <v>36.072644301823466</v>
      </c>
      <c r="AY22">
        <f t="shared" si="30"/>
        <v>252.71028595938196</v>
      </c>
      <c r="AZ22">
        <f t="shared" si="31"/>
        <v>0.53549072539349718</v>
      </c>
      <c r="BA22">
        <f t="shared" si="32"/>
        <v>2.2051330866440358E-2</v>
      </c>
      <c r="BB22">
        <f t="shared" si="33"/>
        <v>-1</v>
      </c>
      <c r="BC22" t="s">
        <v>311</v>
      </c>
      <c r="BD22">
        <v>181.88</v>
      </c>
      <c r="BE22">
        <f t="shared" si="34"/>
        <v>209.673</v>
      </c>
      <c r="BF22">
        <f t="shared" si="35"/>
        <v>0.56141266125384282</v>
      </c>
      <c r="BG22">
        <f t="shared" si="36"/>
        <v>2.1528095447547835</v>
      </c>
      <c r="BH22">
        <f t="shared" si="37"/>
        <v>0.30063127321991401</v>
      </c>
      <c r="BI22" t="e">
        <f t="shared" si="38"/>
        <v>#DIV/0!</v>
      </c>
      <c r="BJ22">
        <v>6156</v>
      </c>
      <c r="BK22">
        <v>300</v>
      </c>
      <c r="BL22">
        <v>300</v>
      </c>
      <c r="BM22">
        <v>300</v>
      </c>
      <c r="BN22">
        <v>9866</v>
      </c>
      <c r="BO22">
        <v>359.029</v>
      </c>
      <c r="BP22">
        <v>-6.5616800000000003E-3</v>
      </c>
      <c r="BQ22">
        <v>1.4354899999999999</v>
      </c>
      <c r="BR22">
        <f t="shared" si="39"/>
        <v>2000.00033333333</v>
      </c>
      <c r="BS22">
        <f t="shared" si="40"/>
        <v>1681.1975896767235</v>
      </c>
      <c r="BT22">
        <f t="shared" si="41"/>
        <v>0.84059865473858741</v>
      </c>
      <c r="BU22">
        <f t="shared" si="42"/>
        <v>0.19119730947717486</v>
      </c>
      <c r="BV22">
        <v>0.5</v>
      </c>
      <c r="BW22" t="s">
        <v>281</v>
      </c>
      <c r="BX22">
        <v>1597509054.47</v>
      </c>
      <c r="BY22">
        <v>383.92386666666698</v>
      </c>
      <c r="BZ22">
        <v>400.02786666666702</v>
      </c>
      <c r="CA22">
        <v>20.672976666666699</v>
      </c>
      <c r="CB22">
        <v>16.395219999999998</v>
      </c>
      <c r="CC22">
        <v>500.07136666666702</v>
      </c>
      <c r="CD22">
        <v>99.041489999999996</v>
      </c>
      <c r="CE22">
        <v>0.199978566666667</v>
      </c>
      <c r="CF22">
        <v>27.805946666666699</v>
      </c>
      <c r="CG22">
        <v>27.002053333333301</v>
      </c>
      <c r="CH22">
        <v>999.9</v>
      </c>
      <c r="CI22">
        <v>10002.98</v>
      </c>
      <c r="CJ22">
        <v>0</v>
      </c>
      <c r="CK22">
        <v>122.552966666667</v>
      </c>
      <c r="CL22">
        <v>2000.00033333333</v>
      </c>
      <c r="CM22">
        <v>0.97999513333333299</v>
      </c>
      <c r="CN22">
        <v>2.00051333333333E-2</v>
      </c>
      <c r="CO22">
        <v>0</v>
      </c>
      <c r="CP22">
        <v>273.848366666667</v>
      </c>
      <c r="CQ22">
        <v>5.00054</v>
      </c>
      <c r="CR22">
        <v>7775.9253333333299</v>
      </c>
      <c r="CS22">
        <v>18703.6033333333</v>
      </c>
      <c r="CT22">
        <v>49.087200000000003</v>
      </c>
      <c r="CU22">
        <v>51.0872666666667</v>
      </c>
      <c r="CV22">
        <v>49.4956666666667</v>
      </c>
      <c r="CW22">
        <v>50.166333333333299</v>
      </c>
      <c r="CX22">
        <v>50.520666666666699</v>
      </c>
      <c r="CY22">
        <v>1955.09</v>
      </c>
      <c r="CZ22">
        <v>39.910333333333298</v>
      </c>
      <c r="DA22">
        <v>0</v>
      </c>
      <c r="DB22">
        <v>126.10000014305101</v>
      </c>
      <c r="DC22">
        <v>273.83992307692301</v>
      </c>
      <c r="DD22">
        <v>9.3675222348837406E-2</v>
      </c>
      <c r="DE22">
        <v>22.4482052869926</v>
      </c>
      <c r="DF22">
        <v>7776.26961538462</v>
      </c>
      <c r="DG22">
        <v>15</v>
      </c>
      <c r="DH22">
        <v>1597509092.3</v>
      </c>
      <c r="DI22" t="s">
        <v>312</v>
      </c>
      <c r="DJ22">
        <v>37</v>
      </c>
      <c r="DK22">
        <v>-0.30099999999999999</v>
      </c>
      <c r="DL22">
        <v>0.105</v>
      </c>
      <c r="DM22">
        <v>400</v>
      </c>
      <c r="DN22">
        <v>16</v>
      </c>
      <c r="DO22">
        <v>0.28000000000000003</v>
      </c>
      <c r="DP22">
        <v>0.03</v>
      </c>
      <c r="DQ22">
        <v>383.85577777777797</v>
      </c>
      <c r="DR22">
        <v>0.29477624218612603</v>
      </c>
      <c r="DS22">
        <v>4.33716354940899E-2</v>
      </c>
      <c r="DT22">
        <v>1</v>
      </c>
      <c r="DU22">
        <v>20.686066666666701</v>
      </c>
      <c r="DV22">
        <v>-7.1985325777266601E-2</v>
      </c>
      <c r="DW22">
        <v>1.1875574060198501E-2</v>
      </c>
      <c r="DX22">
        <v>1</v>
      </c>
      <c r="DY22">
        <v>2</v>
      </c>
      <c r="DZ22">
        <v>2</v>
      </c>
      <c r="EA22" t="s">
        <v>283</v>
      </c>
      <c r="EB22">
        <v>1.8667400000000001</v>
      </c>
      <c r="EC22">
        <v>1.8632500000000001</v>
      </c>
      <c r="ED22">
        <v>1.8689</v>
      </c>
      <c r="EE22">
        <v>1.8667800000000001</v>
      </c>
      <c r="EF22">
        <v>1.8714900000000001</v>
      </c>
      <c r="EG22">
        <v>1.86399</v>
      </c>
      <c r="EH22">
        <v>1.86554</v>
      </c>
      <c r="EI22">
        <v>1.86551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-0.30099999999999999</v>
      </c>
      <c r="EX22">
        <v>0.105</v>
      </c>
      <c r="EY22">
        <v>2</v>
      </c>
      <c r="EZ22">
        <v>332.721</v>
      </c>
      <c r="FA22">
        <v>481.17</v>
      </c>
      <c r="FB22">
        <v>22.633700000000001</v>
      </c>
      <c r="FC22">
        <v>34.251800000000003</v>
      </c>
      <c r="FD22">
        <v>30.0001</v>
      </c>
      <c r="FE22">
        <v>34.191400000000002</v>
      </c>
      <c r="FF22">
        <v>34.186100000000003</v>
      </c>
      <c r="FG22">
        <v>22.059899999999999</v>
      </c>
      <c r="FH22">
        <v>50.224699999999999</v>
      </c>
      <c r="FI22">
        <v>0</v>
      </c>
      <c r="FJ22">
        <v>22.652699999999999</v>
      </c>
      <c r="FK22">
        <v>400</v>
      </c>
      <c r="FL22">
        <v>16.448699999999999</v>
      </c>
      <c r="FM22">
        <v>100.599</v>
      </c>
      <c r="FN22">
        <v>101.15300000000001</v>
      </c>
    </row>
    <row r="23" spans="1:170" x14ac:dyDescent="0.25">
      <c r="A23">
        <v>7</v>
      </c>
      <c r="B23">
        <v>1597509183.7</v>
      </c>
      <c r="C23">
        <v>754.5</v>
      </c>
      <c r="D23" t="s">
        <v>313</v>
      </c>
      <c r="E23" t="s">
        <v>314</v>
      </c>
      <c r="G23">
        <v>1597509175.99333</v>
      </c>
      <c r="H23">
        <f t="shared" si="0"/>
        <v>1.0033640547823085E-2</v>
      </c>
      <c r="I23">
        <f t="shared" si="1"/>
        <v>36.13383544835429</v>
      </c>
      <c r="J23">
        <f t="shared" si="2"/>
        <v>383.97906666666699</v>
      </c>
      <c r="K23">
        <f t="shared" si="3"/>
        <v>285.27793746677423</v>
      </c>
      <c r="L23">
        <f t="shared" si="4"/>
        <v>28.312028438214057</v>
      </c>
      <c r="M23">
        <f t="shared" si="5"/>
        <v>38.10749037125143</v>
      </c>
      <c r="N23">
        <f t="shared" si="6"/>
        <v>0.70313034520234019</v>
      </c>
      <c r="O23">
        <f t="shared" si="7"/>
        <v>3.3763321167022764</v>
      </c>
      <c r="P23">
        <f t="shared" si="8"/>
        <v>0.63077093491955905</v>
      </c>
      <c r="Q23">
        <f t="shared" si="9"/>
        <v>0.4001106965571693</v>
      </c>
      <c r="R23">
        <f t="shared" si="10"/>
        <v>321.43921352725391</v>
      </c>
      <c r="S23">
        <f t="shared" si="11"/>
        <v>27.002319497428971</v>
      </c>
      <c r="T23">
        <f t="shared" si="12"/>
        <v>27.021143333333299</v>
      </c>
      <c r="U23">
        <f t="shared" si="13"/>
        <v>3.5836067040673494</v>
      </c>
      <c r="V23">
        <f t="shared" si="14"/>
        <v>55.202733927274586</v>
      </c>
      <c r="W23">
        <f t="shared" si="15"/>
        <v>2.0497475880998839</v>
      </c>
      <c r="X23">
        <f t="shared" si="16"/>
        <v>3.713126945488372</v>
      </c>
      <c r="Y23">
        <f t="shared" si="17"/>
        <v>1.5338591159674655</v>
      </c>
      <c r="Z23">
        <f t="shared" si="18"/>
        <v>-442.48354815899808</v>
      </c>
      <c r="AA23">
        <f t="shared" si="19"/>
        <v>110.30279190212052</v>
      </c>
      <c r="AB23">
        <f t="shared" si="20"/>
        <v>7.0733261733623092</v>
      </c>
      <c r="AC23">
        <f t="shared" si="21"/>
        <v>-3.6682165562613278</v>
      </c>
      <c r="AD23">
        <v>-4.10814278986937E-2</v>
      </c>
      <c r="AE23">
        <v>4.6117501747030797E-2</v>
      </c>
      <c r="AF23">
        <v>3.4484228248029898</v>
      </c>
      <c r="AG23">
        <v>152</v>
      </c>
      <c r="AH23">
        <v>30</v>
      </c>
      <c r="AI23">
        <f t="shared" si="22"/>
        <v>1</v>
      </c>
      <c r="AJ23">
        <f t="shared" si="23"/>
        <v>0</v>
      </c>
      <c r="AK23">
        <f t="shared" si="24"/>
        <v>52275.49738238594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315</v>
      </c>
      <c r="AS23">
        <v>273.59388461538498</v>
      </c>
      <c r="AT23">
        <v>398.45</v>
      </c>
      <c r="AU23">
        <f t="shared" si="27"/>
        <v>0.31335453729355001</v>
      </c>
      <c r="AV23">
        <v>0.5</v>
      </c>
      <c r="AW23">
        <f t="shared" si="28"/>
        <v>1681.1911396767307</v>
      </c>
      <c r="AX23">
        <f t="shared" si="29"/>
        <v>36.13383544835429</v>
      </c>
      <c r="AY23">
        <f t="shared" si="30"/>
        <v>263.404435837709</v>
      </c>
      <c r="AZ23">
        <f t="shared" si="31"/>
        <v>0.53901367800225874</v>
      </c>
      <c r="BA23">
        <f t="shared" si="32"/>
        <v>2.2087812963072481E-2</v>
      </c>
      <c r="BB23">
        <f t="shared" si="33"/>
        <v>-1</v>
      </c>
      <c r="BC23" t="s">
        <v>316</v>
      </c>
      <c r="BD23">
        <v>183.68</v>
      </c>
      <c r="BE23">
        <f t="shared" si="34"/>
        <v>214.76999999999998</v>
      </c>
      <c r="BF23">
        <f t="shared" si="35"/>
        <v>0.5813480252577875</v>
      </c>
      <c r="BG23">
        <f t="shared" si="36"/>
        <v>2.1692617595818815</v>
      </c>
      <c r="BH23">
        <f t="shared" si="37"/>
        <v>0.31335453729355006</v>
      </c>
      <c r="BI23" t="e">
        <f t="shared" si="38"/>
        <v>#DIV/0!</v>
      </c>
      <c r="BJ23">
        <v>6158</v>
      </c>
      <c r="BK23">
        <v>300</v>
      </c>
      <c r="BL23">
        <v>300</v>
      </c>
      <c r="BM23">
        <v>300</v>
      </c>
      <c r="BN23">
        <v>9865.2999999999993</v>
      </c>
      <c r="BO23">
        <v>362.95100000000002</v>
      </c>
      <c r="BP23">
        <v>-6.56114E-3</v>
      </c>
      <c r="BQ23">
        <v>0.90466299999999999</v>
      </c>
      <c r="BR23">
        <f t="shared" si="39"/>
        <v>1999.9926666666699</v>
      </c>
      <c r="BS23">
        <f t="shared" si="40"/>
        <v>1681.1911396767307</v>
      </c>
      <c r="BT23">
        <f t="shared" si="41"/>
        <v>0.84059865203342143</v>
      </c>
      <c r="BU23">
        <f t="shared" si="42"/>
        <v>0.19119730406684282</v>
      </c>
      <c r="BV23">
        <v>0.5</v>
      </c>
      <c r="BW23" t="s">
        <v>281</v>
      </c>
      <c r="BX23">
        <v>1597509175.99333</v>
      </c>
      <c r="BY23">
        <v>383.97906666666699</v>
      </c>
      <c r="BZ23">
        <v>399.97193333333303</v>
      </c>
      <c r="CA23">
        <v>20.653686666666701</v>
      </c>
      <c r="CB23">
        <v>16.7235533333333</v>
      </c>
      <c r="CC23">
        <v>500.05473333333299</v>
      </c>
      <c r="CD23">
        <v>99.043696666666605</v>
      </c>
      <c r="CE23">
        <v>0.19996966666666699</v>
      </c>
      <c r="CF23">
        <v>27.627120000000001</v>
      </c>
      <c r="CG23">
        <v>27.021143333333299</v>
      </c>
      <c r="CH23">
        <v>999.9</v>
      </c>
      <c r="CI23">
        <v>10002.641666666699</v>
      </c>
      <c r="CJ23">
        <v>0</v>
      </c>
      <c r="CK23">
        <v>126.645</v>
      </c>
      <c r="CL23">
        <v>1999.9926666666699</v>
      </c>
      <c r="CM23">
        <v>0.97999599999999998</v>
      </c>
      <c r="CN23">
        <v>2.0004049999999999E-2</v>
      </c>
      <c r="CO23">
        <v>0</v>
      </c>
      <c r="CP23">
        <v>273.60326666666703</v>
      </c>
      <c r="CQ23">
        <v>5.00054</v>
      </c>
      <c r="CR23">
        <v>7769.4713333333302</v>
      </c>
      <c r="CS23">
        <v>18703.54</v>
      </c>
      <c r="CT23">
        <v>49.258133333333298</v>
      </c>
      <c r="CU23">
        <v>51.312199999999997</v>
      </c>
      <c r="CV23">
        <v>49.7164</v>
      </c>
      <c r="CW23">
        <v>50.2747666666667</v>
      </c>
      <c r="CX23">
        <v>50.7205333333333</v>
      </c>
      <c r="CY23">
        <v>1955.0826666666701</v>
      </c>
      <c r="CZ23">
        <v>39.909999999999997</v>
      </c>
      <c r="DA23">
        <v>0</v>
      </c>
      <c r="DB23">
        <v>120.799999952316</v>
      </c>
      <c r="DC23">
        <v>273.59388461538498</v>
      </c>
      <c r="DD23">
        <v>-0.34321367108503298</v>
      </c>
      <c r="DE23">
        <v>-53.310085456003797</v>
      </c>
      <c r="DF23">
        <v>7769.2415384615397</v>
      </c>
      <c r="DG23">
        <v>15</v>
      </c>
      <c r="DH23">
        <v>1597509210.2</v>
      </c>
      <c r="DI23" t="s">
        <v>317</v>
      </c>
      <c r="DJ23">
        <v>38</v>
      </c>
      <c r="DK23">
        <v>-0.316</v>
      </c>
      <c r="DL23">
        <v>0.109</v>
      </c>
      <c r="DM23">
        <v>400</v>
      </c>
      <c r="DN23">
        <v>17</v>
      </c>
      <c r="DO23">
        <v>0.21</v>
      </c>
      <c r="DP23">
        <v>0.02</v>
      </c>
      <c r="DQ23">
        <v>383.98651851851901</v>
      </c>
      <c r="DR23">
        <v>7.5880685413586196E-2</v>
      </c>
      <c r="DS23">
        <v>1.7350142213891601E-2</v>
      </c>
      <c r="DT23">
        <v>1</v>
      </c>
      <c r="DU23">
        <v>20.649075925925899</v>
      </c>
      <c r="DV23">
        <v>-7.4898511336157804E-3</v>
      </c>
      <c r="DW23">
        <v>3.8591850600672899E-3</v>
      </c>
      <c r="DX23">
        <v>1</v>
      </c>
      <c r="DY23">
        <v>2</v>
      </c>
      <c r="DZ23">
        <v>2</v>
      </c>
      <c r="EA23" t="s">
        <v>283</v>
      </c>
      <c r="EB23">
        <v>1.8667</v>
      </c>
      <c r="EC23">
        <v>1.86324</v>
      </c>
      <c r="ED23">
        <v>1.8688899999999999</v>
      </c>
      <c r="EE23">
        <v>1.86676</v>
      </c>
      <c r="EF23">
        <v>1.8714900000000001</v>
      </c>
      <c r="EG23">
        <v>1.86392</v>
      </c>
      <c r="EH23">
        <v>1.86554</v>
      </c>
      <c r="EI23">
        <v>1.86544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-0.316</v>
      </c>
      <c r="EX23">
        <v>0.109</v>
      </c>
      <c r="EY23">
        <v>2</v>
      </c>
      <c r="EZ23">
        <v>332.96</v>
      </c>
      <c r="FA23">
        <v>480.58600000000001</v>
      </c>
      <c r="FB23">
        <v>21.691500000000001</v>
      </c>
      <c r="FC23">
        <v>34.329000000000001</v>
      </c>
      <c r="FD23">
        <v>30.000499999999999</v>
      </c>
      <c r="FE23">
        <v>34.258099999999999</v>
      </c>
      <c r="FF23">
        <v>34.250700000000002</v>
      </c>
      <c r="FG23">
        <v>22.0623</v>
      </c>
      <c r="FH23">
        <v>48.545499999999997</v>
      </c>
      <c r="FI23">
        <v>0</v>
      </c>
      <c r="FJ23">
        <v>21.680099999999999</v>
      </c>
      <c r="FK23">
        <v>400</v>
      </c>
      <c r="FL23">
        <v>16.705200000000001</v>
      </c>
      <c r="FM23">
        <v>100.59</v>
      </c>
      <c r="FN23">
        <v>101.14100000000001</v>
      </c>
    </row>
    <row r="24" spans="1:170" x14ac:dyDescent="0.25">
      <c r="A24">
        <v>8</v>
      </c>
      <c r="B24">
        <v>1597509301.8</v>
      </c>
      <c r="C24">
        <v>872.59999990463302</v>
      </c>
      <c r="D24" t="s">
        <v>318</v>
      </c>
      <c r="E24" t="s">
        <v>319</v>
      </c>
      <c r="G24">
        <v>1597509294.03667</v>
      </c>
      <c r="H24">
        <f t="shared" si="0"/>
        <v>9.3329738839717392E-3</v>
      </c>
      <c r="I24">
        <f t="shared" si="1"/>
        <v>41.902608915843814</v>
      </c>
      <c r="J24">
        <f t="shared" si="2"/>
        <v>481.42633333333299</v>
      </c>
      <c r="K24">
        <f t="shared" si="3"/>
        <v>355.18478302171417</v>
      </c>
      <c r="L24">
        <f t="shared" si="4"/>
        <v>35.250566658876551</v>
      </c>
      <c r="M24">
        <f t="shared" si="5"/>
        <v>47.779499195120877</v>
      </c>
      <c r="N24">
        <f t="shared" si="6"/>
        <v>0.63191293266280857</v>
      </c>
      <c r="O24">
        <f t="shared" si="7"/>
        <v>3.3756500997158962</v>
      </c>
      <c r="P24">
        <f t="shared" si="8"/>
        <v>0.57280009967157097</v>
      </c>
      <c r="Q24">
        <f t="shared" si="9"/>
        <v>0.36284918596741084</v>
      </c>
      <c r="R24">
        <f t="shared" si="10"/>
        <v>321.44171391602816</v>
      </c>
      <c r="S24">
        <f t="shared" si="11"/>
        <v>26.791021767963507</v>
      </c>
      <c r="T24">
        <f t="shared" si="12"/>
        <v>26.99691</v>
      </c>
      <c r="U24">
        <f t="shared" si="13"/>
        <v>3.5785101863399404</v>
      </c>
      <c r="V24">
        <f t="shared" si="14"/>
        <v>55.235425198649757</v>
      </c>
      <c r="W24">
        <f t="shared" si="15"/>
        <v>2.0069441401635451</v>
      </c>
      <c r="X24">
        <f t="shared" si="16"/>
        <v>3.6334365725360711</v>
      </c>
      <c r="Y24">
        <f t="shared" si="17"/>
        <v>1.5715660461763954</v>
      </c>
      <c r="Z24">
        <f t="shared" si="18"/>
        <v>-411.5841482831537</v>
      </c>
      <c r="AA24">
        <f t="shared" si="19"/>
        <v>47.243490679637951</v>
      </c>
      <c r="AB24">
        <f t="shared" si="20"/>
        <v>3.024194918480748</v>
      </c>
      <c r="AC24">
        <f t="shared" si="21"/>
        <v>-39.874748769006821</v>
      </c>
      <c r="AD24">
        <v>-4.1070889026436901E-2</v>
      </c>
      <c r="AE24">
        <v>4.61056709396667E-2</v>
      </c>
      <c r="AF24">
        <v>3.4477223139423101</v>
      </c>
      <c r="AG24">
        <v>152</v>
      </c>
      <c r="AH24">
        <v>30</v>
      </c>
      <c r="AI24">
        <f t="shared" si="22"/>
        <v>1</v>
      </c>
      <c r="AJ24">
        <f t="shared" si="23"/>
        <v>0</v>
      </c>
      <c r="AK24">
        <f t="shared" si="24"/>
        <v>52327.188171862515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320</v>
      </c>
      <c r="AS24">
        <v>281.75742307692298</v>
      </c>
      <c r="AT24">
        <v>417.74799999999999</v>
      </c>
      <c r="AU24">
        <f t="shared" si="27"/>
        <v>0.32553256250916107</v>
      </c>
      <c r="AV24">
        <v>0.5</v>
      </c>
      <c r="AW24">
        <f t="shared" si="28"/>
        <v>1681.2042996767273</v>
      </c>
      <c r="AX24">
        <f t="shared" si="29"/>
        <v>41.902608915843814</v>
      </c>
      <c r="AY24">
        <f t="shared" si="30"/>
        <v>273.64337188759231</v>
      </c>
      <c r="AZ24">
        <f t="shared" si="31"/>
        <v>0.55614389536275455</v>
      </c>
      <c r="BA24">
        <f t="shared" si="32"/>
        <v>2.551897406168507E-2</v>
      </c>
      <c r="BB24">
        <f t="shared" si="33"/>
        <v>-1</v>
      </c>
      <c r="BC24" t="s">
        <v>321</v>
      </c>
      <c r="BD24">
        <v>185.42</v>
      </c>
      <c r="BE24">
        <f t="shared" si="34"/>
        <v>232.328</v>
      </c>
      <c r="BF24">
        <f t="shared" si="35"/>
        <v>0.58533873197839703</v>
      </c>
      <c r="BG24">
        <f t="shared" si="36"/>
        <v>2.252982418293604</v>
      </c>
      <c r="BH24">
        <f t="shared" si="37"/>
        <v>0.32553256250916107</v>
      </c>
      <c r="BI24" t="e">
        <f t="shared" si="38"/>
        <v>#DIV/0!</v>
      </c>
      <c r="BJ24">
        <v>6160</v>
      </c>
      <c r="BK24">
        <v>300</v>
      </c>
      <c r="BL24">
        <v>300</v>
      </c>
      <c r="BM24">
        <v>300</v>
      </c>
      <c r="BN24">
        <v>9865.08</v>
      </c>
      <c r="BO24">
        <v>380.73500000000001</v>
      </c>
      <c r="BP24">
        <v>-6.5608100000000003E-3</v>
      </c>
      <c r="BQ24">
        <v>1.36087</v>
      </c>
      <c r="BR24">
        <f t="shared" si="39"/>
        <v>2000.00833333333</v>
      </c>
      <c r="BS24">
        <f t="shared" si="40"/>
        <v>1681.2042996767273</v>
      </c>
      <c r="BT24">
        <f t="shared" si="41"/>
        <v>0.84059864734400114</v>
      </c>
      <c r="BU24">
        <f t="shared" si="42"/>
        <v>0.19119729468800256</v>
      </c>
      <c r="BV24">
        <v>0.5</v>
      </c>
      <c r="BW24" t="s">
        <v>281</v>
      </c>
      <c r="BX24">
        <v>1597509294.03667</v>
      </c>
      <c r="BY24">
        <v>481.42633333333299</v>
      </c>
      <c r="BZ24">
        <v>499.98253333333298</v>
      </c>
      <c r="CA24">
        <v>20.221973333333299</v>
      </c>
      <c r="CB24">
        <v>16.564689999999999</v>
      </c>
      <c r="CC24">
        <v>500.05656666666698</v>
      </c>
      <c r="CD24">
        <v>99.045730000000006</v>
      </c>
      <c r="CE24">
        <v>0.199981933333333</v>
      </c>
      <c r="CF24">
        <v>27.256506666666699</v>
      </c>
      <c r="CG24">
        <v>26.99691</v>
      </c>
      <c r="CH24">
        <v>999.9</v>
      </c>
      <c r="CI24">
        <v>9999.8703333333306</v>
      </c>
      <c r="CJ24">
        <v>0</v>
      </c>
      <c r="CK24">
        <v>132.46486666666701</v>
      </c>
      <c r="CL24">
        <v>2000.00833333333</v>
      </c>
      <c r="CM24">
        <v>0.97999626666666695</v>
      </c>
      <c r="CN24">
        <v>2.0003716666666699E-2</v>
      </c>
      <c r="CO24">
        <v>0</v>
      </c>
      <c r="CP24">
        <v>281.75813333333298</v>
      </c>
      <c r="CQ24">
        <v>5.00054</v>
      </c>
      <c r="CR24">
        <v>7958.4816666666602</v>
      </c>
      <c r="CS24">
        <v>18703.686666666701</v>
      </c>
      <c r="CT24">
        <v>49.5017</v>
      </c>
      <c r="CU24">
        <v>51.582999999999998</v>
      </c>
      <c r="CV24">
        <v>49.978999999999999</v>
      </c>
      <c r="CW24">
        <v>50.524666666666697</v>
      </c>
      <c r="CX24">
        <v>50.903933333333299</v>
      </c>
      <c r="CY24">
        <v>1955.0983333333299</v>
      </c>
      <c r="CZ24">
        <v>39.909999999999997</v>
      </c>
      <c r="DA24">
        <v>0</v>
      </c>
      <c r="DB24">
        <v>117.5</v>
      </c>
      <c r="DC24">
        <v>281.75742307692298</v>
      </c>
      <c r="DD24">
        <v>-1.5534700906047301</v>
      </c>
      <c r="DE24">
        <v>-91.8581197451837</v>
      </c>
      <c r="DF24">
        <v>7958.1003846153799</v>
      </c>
      <c r="DG24">
        <v>15</v>
      </c>
      <c r="DH24">
        <v>1597509327.3</v>
      </c>
      <c r="DI24" t="s">
        <v>322</v>
      </c>
      <c r="DJ24">
        <v>39</v>
      </c>
      <c r="DK24">
        <v>-0.26800000000000002</v>
      </c>
      <c r="DL24">
        <v>0.105</v>
      </c>
      <c r="DM24">
        <v>500</v>
      </c>
      <c r="DN24">
        <v>17</v>
      </c>
      <c r="DO24">
        <v>0.31</v>
      </c>
      <c r="DP24">
        <v>0.03</v>
      </c>
      <c r="DQ24">
        <v>481.35240740740699</v>
      </c>
      <c r="DR24">
        <v>0.29433969436103902</v>
      </c>
      <c r="DS24">
        <v>4.1900463410557802E-2</v>
      </c>
      <c r="DT24">
        <v>1</v>
      </c>
      <c r="DU24">
        <v>20.238359259259301</v>
      </c>
      <c r="DV24">
        <v>-0.108398042657259</v>
      </c>
      <c r="DW24">
        <v>1.6116721458237501E-2</v>
      </c>
      <c r="DX24">
        <v>1</v>
      </c>
      <c r="DY24">
        <v>2</v>
      </c>
      <c r="DZ24">
        <v>2</v>
      </c>
      <c r="EA24" t="s">
        <v>283</v>
      </c>
      <c r="EB24">
        <v>1.86676</v>
      </c>
      <c r="EC24">
        <v>1.8632500000000001</v>
      </c>
      <c r="ED24">
        <v>1.8689</v>
      </c>
      <c r="EE24">
        <v>1.8668</v>
      </c>
      <c r="EF24">
        <v>1.8714900000000001</v>
      </c>
      <c r="EG24">
        <v>1.8640000000000001</v>
      </c>
      <c r="EH24">
        <v>1.86554</v>
      </c>
      <c r="EI24">
        <v>1.8654900000000001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-0.26800000000000002</v>
      </c>
      <c r="EX24">
        <v>0.105</v>
      </c>
      <c r="EY24">
        <v>2</v>
      </c>
      <c r="EZ24">
        <v>332.37799999999999</v>
      </c>
      <c r="FA24">
        <v>479.86700000000002</v>
      </c>
      <c r="FB24">
        <v>21.608699999999999</v>
      </c>
      <c r="FC24">
        <v>34.445099999999996</v>
      </c>
      <c r="FD24">
        <v>29.998200000000001</v>
      </c>
      <c r="FE24">
        <v>34.3399</v>
      </c>
      <c r="FF24">
        <v>34.3292</v>
      </c>
      <c r="FG24">
        <v>26.342099999999999</v>
      </c>
      <c r="FH24">
        <v>49.976199999999999</v>
      </c>
      <c r="FI24">
        <v>0</v>
      </c>
      <c r="FJ24">
        <v>21.6144</v>
      </c>
      <c r="FK24">
        <v>500</v>
      </c>
      <c r="FL24">
        <v>16.554600000000001</v>
      </c>
      <c r="FM24">
        <v>100.577</v>
      </c>
      <c r="FN24">
        <v>101.126</v>
      </c>
    </row>
    <row r="25" spans="1:170" x14ac:dyDescent="0.25">
      <c r="A25">
        <v>9</v>
      </c>
      <c r="B25">
        <v>1597509448.8</v>
      </c>
      <c r="C25">
        <v>1019.59999990463</v>
      </c>
      <c r="D25" t="s">
        <v>323</v>
      </c>
      <c r="E25" t="s">
        <v>324</v>
      </c>
      <c r="G25">
        <v>1597509441.05</v>
      </c>
      <c r="H25">
        <f t="shared" si="0"/>
        <v>8.0868408568293398E-3</v>
      </c>
      <c r="I25">
        <f t="shared" si="1"/>
        <v>44.953895429333535</v>
      </c>
      <c r="J25">
        <f t="shared" si="2"/>
        <v>580.13720000000001</v>
      </c>
      <c r="K25">
        <f t="shared" si="3"/>
        <v>419.53890818683834</v>
      </c>
      <c r="L25">
        <f t="shared" si="4"/>
        <v>41.636164997412017</v>
      </c>
      <c r="M25">
        <f t="shared" si="5"/>
        <v>57.574369644828067</v>
      </c>
      <c r="N25">
        <f t="shared" si="6"/>
        <v>0.52399626189365733</v>
      </c>
      <c r="O25">
        <f t="shared" si="7"/>
        <v>3.3739394302555787</v>
      </c>
      <c r="P25">
        <f t="shared" si="8"/>
        <v>0.48262357998683159</v>
      </c>
      <c r="Q25">
        <f t="shared" si="9"/>
        <v>0.30508423018580838</v>
      </c>
      <c r="R25">
        <f t="shared" si="10"/>
        <v>321.44027752247638</v>
      </c>
      <c r="S25">
        <f t="shared" si="11"/>
        <v>26.868183560504811</v>
      </c>
      <c r="T25">
        <f t="shared" si="12"/>
        <v>27.052420000000001</v>
      </c>
      <c r="U25">
        <f t="shared" si="13"/>
        <v>3.5901938719921502</v>
      </c>
      <c r="V25">
        <f t="shared" si="14"/>
        <v>54.988094250034358</v>
      </c>
      <c r="W25">
        <f t="shared" si="15"/>
        <v>1.9738994946190813</v>
      </c>
      <c r="X25">
        <f t="shared" si="16"/>
        <v>3.5896852246663342</v>
      </c>
      <c r="Y25">
        <f t="shared" si="17"/>
        <v>1.6162943773730689</v>
      </c>
      <c r="Z25">
        <f t="shared" si="18"/>
        <v>-356.62968178617388</v>
      </c>
      <c r="AA25">
        <f t="shared" si="19"/>
        <v>-0.4389752517817907</v>
      </c>
      <c r="AB25">
        <f t="shared" si="20"/>
        <v>-2.8093129717086895E-2</v>
      </c>
      <c r="AC25">
        <f t="shared" si="21"/>
        <v>-35.656472645196381</v>
      </c>
      <c r="AD25">
        <v>-4.1044459080486102E-2</v>
      </c>
      <c r="AE25">
        <v>4.60760010099465E-2</v>
      </c>
      <c r="AF25">
        <v>3.4459652645576302</v>
      </c>
      <c r="AG25">
        <v>154</v>
      </c>
      <c r="AH25">
        <v>31</v>
      </c>
      <c r="AI25">
        <f t="shared" si="22"/>
        <v>1</v>
      </c>
      <c r="AJ25">
        <f t="shared" si="23"/>
        <v>0</v>
      </c>
      <c r="AK25">
        <f t="shared" si="24"/>
        <v>52330.811528541919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325</v>
      </c>
      <c r="AS25">
        <v>281.21503846153797</v>
      </c>
      <c r="AT25">
        <v>421.072</v>
      </c>
      <c r="AU25">
        <f t="shared" si="27"/>
        <v>0.3321450049836181</v>
      </c>
      <c r="AV25">
        <v>0.5</v>
      </c>
      <c r="AW25">
        <f t="shared" si="28"/>
        <v>1681.1967396767261</v>
      </c>
      <c r="AX25">
        <f t="shared" si="29"/>
        <v>44.953895429333535</v>
      </c>
      <c r="AY25">
        <f t="shared" si="30"/>
        <v>279.20054973918434</v>
      </c>
      <c r="AZ25">
        <f t="shared" si="31"/>
        <v>0.567389900064597</v>
      </c>
      <c r="BA25">
        <f t="shared" si="32"/>
        <v>2.7334037917638311E-2</v>
      </c>
      <c r="BB25">
        <f t="shared" si="33"/>
        <v>-1</v>
      </c>
      <c r="BC25" t="s">
        <v>326</v>
      </c>
      <c r="BD25">
        <v>182.16</v>
      </c>
      <c r="BE25">
        <f t="shared" si="34"/>
        <v>238.91200000000001</v>
      </c>
      <c r="BF25">
        <f t="shared" si="35"/>
        <v>0.58539111278823175</v>
      </c>
      <c r="BG25">
        <f t="shared" si="36"/>
        <v>2.311550285463329</v>
      </c>
      <c r="BH25">
        <f t="shared" si="37"/>
        <v>0.3321450049836181</v>
      </c>
      <c r="BI25" t="e">
        <f t="shared" si="38"/>
        <v>#DIV/0!</v>
      </c>
      <c r="BJ25">
        <v>6162</v>
      </c>
      <c r="BK25">
        <v>300</v>
      </c>
      <c r="BL25">
        <v>300</v>
      </c>
      <c r="BM25">
        <v>300</v>
      </c>
      <c r="BN25">
        <v>9864.75</v>
      </c>
      <c r="BO25">
        <v>383.35199999999998</v>
      </c>
      <c r="BP25">
        <v>-6.5605400000000001E-3</v>
      </c>
      <c r="BQ25">
        <v>1.9015200000000001</v>
      </c>
      <c r="BR25">
        <f t="shared" si="39"/>
        <v>1999.99933333333</v>
      </c>
      <c r="BS25">
        <f t="shared" si="40"/>
        <v>1681.1967396767261</v>
      </c>
      <c r="BT25">
        <f t="shared" si="41"/>
        <v>0.84059865003791445</v>
      </c>
      <c r="BU25">
        <f t="shared" si="42"/>
        <v>0.191197300075829</v>
      </c>
      <c r="BV25">
        <v>0.5</v>
      </c>
      <c r="BW25" t="s">
        <v>281</v>
      </c>
      <c r="BX25">
        <v>1597509441.05</v>
      </c>
      <c r="BY25">
        <v>580.13720000000001</v>
      </c>
      <c r="BZ25">
        <v>599.99383333333299</v>
      </c>
      <c r="CA25">
        <v>19.889623333333301</v>
      </c>
      <c r="CB25">
        <v>16.719466666666701</v>
      </c>
      <c r="CC25">
        <v>500.038166666667</v>
      </c>
      <c r="CD25">
        <v>99.042636666666596</v>
      </c>
      <c r="CE25">
        <v>0.20004186666666701</v>
      </c>
      <c r="CF25">
        <v>27.0500066666667</v>
      </c>
      <c r="CG25">
        <v>27.052420000000001</v>
      </c>
      <c r="CH25">
        <v>999.9</v>
      </c>
      <c r="CI25">
        <v>9993.7473333333292</v>
      </c>
      <c r="CJ25">
        <v>0</v>
      </c>
      <c r="CK25">
        <v>126.273766666667</v>
      </c>
      <c r="CL25">
        <v>1999.99933333333</v>
      </c>
      <c r="CM25">
        <v>0.97999653333333303</v>
      </c>
      <c r="CN25">
        <v>2.0003383333333302E-2</v>
      </c>
      <c r="CO25">
        <v>0</v>
      </c>
      <c r="CP25">
        <v>281.20676666666702</v>
      </c>
      <c r="CQ25">
        <v>5.00054</v>
      </c>
      <c r="CR25">
        <v>8002.3</v>
      </c>
      <c r="CS25">
        <v>18703.59</v>
      </c>
      <c r="CT25">
        <v>49.687266666666702</v>
      </c>
      <c r="CU25">
        <v>51.791333333333299</v>
      </c>
      <c r="CV25">
        <v>50.1912666666666</v>
      </c>
      <c r="CW25">
        <v>50.683</v>
      </c>
      <c r="CX25">
        <v>51.053800000000003</v>
      </c>
      <c r="CY25">
        <v>1955.0893333333299</v>
      </c>
      <c r="CZ25">
        <v>39.909999999999997</v>
      </c>
      <c r="DA25">
        <v>0</v>
      </c>
      <c r="DB25">
        <v>146.60000014305101</v>
      </c>
      <c r="DC25">
        <v>281.21503846153797</v>
      </c>
      <c r="DD25">
        <v>-2.06827350870712</v>
      </c>
      <c r="DE25">
        <v>10.1452990944493</v>
      </c>
      <c r="DF25">
        <v>8002.34884615385</v>
      </c>
      <c r="DG25">
        <v>15</v>
      </c>
      <c r="DH25">
        <v>1597509479.3</v>
      </c>
      <c r="DI25" t="s">
        <v>327</v>
      </c>
      <c r="DJ25">
        <v>40</v>
      </c>
      <c r="DK25">
        <v>-0.312</v>
      </c>
      <c r="DL25">
        <v>0.108</v>
      </c>
      <c r="DM25">
        <v>600</v>
      </c>
      <c r="DN25">
        <v>17</v>
      </c>
      <c r="DO25">
        <v>0.2</v>
      </c>
      <c r="DP25">
        <v>0.03</v>
      </c>
      <c r="DQ25">
        <v>580.14381481481496</v>
      </c>
      <c r="DR25">
        <v>0.35847684391088902</v>
      </c>
      <c r="DS25">
        <v>4.9266499050264798E-2</v>
      </c>
      <c r="DT25">
        <v>0</v>
      </c>
      <c r="DU25">
        <v>19.9332666666667</v>
      </c>
      <c r="DV25">
        <v>-0.45965374499714401</v>
      </c>
      <c r="DW25">
        <v>6.0395416186133803E-2</v>
      </c>
      <c r="DX25">
        <v>0</v>
      </c>
      <c r="DY25">
        <v>0</v>
      </c>
      <c r="DZ25">
        <v>2</v>
      </c>
      <c r="EA25" t="s">
        <v>328</v>
      </c>
      <c r="EB25">
        <v>1.8667199999999999</v>
      </c>
      <c r="EC25">
        <v>1.86321</v>
      </c>
      <c r="ED25">
        <v>1.8688800000000001</v>
      </c>
      <c r="EE25">
        <v>1.86676</v>
      </c>
      <c r="EF25">
        <v>1.8714900000000001</v>
      </c>
      <c r="EG25">
        <v>1.8639300000000001</v>
      </c>
      <c r="EH25">
        <v>1.8655299999999999</v>
      </c>
      <c r="EI25">
        <v>1.86541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-0.312</v>
      </c>
      <c r="EX25">
        <v>0.108</v>
      </c>
      <c r="EY25">
        <v>2</v>
      </c>
      <c r="EZ25">
        <v>330.45</v>
      </c>
      <c r="FA25">
        <v>476.26600000000002</v>
      </c>
      <c r="FB25">
        <v>21.198799999999999</v>
      </c>
      <c r="FC25">
        <v>34.589199999999998</v>
      </c>
      <c r="FD25">
        <v>30.001300000000001</v>
      </c>
      <c r="FE25">
        <v>34.459800000000001</v>
      </c>
      <c r="FF25">
        <v>34.445</v>
      </c>
      <c r="FG25">
        <v>30.485099999999999</v>
      </c>
      <c r="FH25">
        <v>49.790599999999998</v>
      </c>
      <c r="FI25">
        <v>0</v>
      </c>
      <c r="FJ25">
        <v>21.175899999999999</v>
      </c>
      <c r="FK25">
        <v>600</v>
      </c>
      <c r="FL25">
        <v>16.7361</v>
      </c>
      <c r="FM25">
        <v>100.54900000000001</v>
      </c>
      <c r="FN25">
        <v>101.095</v>
      </c>
    </row>
    <row r="26" spans="1:170" x14ac:dyDescent="0.25">
      <c r="A26">
        <v>10</v>
      </c>
      <c r="B26">
        <v>1597509600.8</v>
      </c>
      <c r="C26">
        <v>1171.5999999046301</v>
      </c>
      <c r="D26" t="s">
        <v>329</v>
      </c>
      <c r="E26" t="s">
        <v>330</v>
      </c>
      <c r="G26">
        <v>1597509593.05</v>
      </c>
      <c r="H26">
        <f t="shared" si="0"/>
        <v>6.7491911422862001E-3</v>
      </c>
      <c r="I26">
        <f t="shared" si="1"/>
        <v>46.784547444663531</v>
      </c>
      <c r="J26">
        <f t="shared" si="2"/>
        <v>679.45343333333301</v>
      </c>
      <c r="K26">
        <f t="shared" si="3"/>
        <v>477.53332895157934</v>
      </c>
      <c r="L26">
        <f t="shared" si="4"/>
        <v>47.390745037958318</v>
      </c>
      <c r="M26">
        <f t="shared" si="5"/>
        <v>67.429438893741334</v>
      </c>
      <c r="N26">
        <f t="shared" si="6"/>
        <v>0.42563483245750483</v>
      </c>
      <c r="O26">
        <f t="shared" si="7"/>
        <v>3.3758469963105666</v>
      </c>
      <c r="P26">
        <f t="shared" si="8"/>
        <v>0.39791076470055753</v>
      </c>
      <c r="Q26">
        <f t="shared" si="9"/>
        <v>0.2510344871489768</v>
      </c>
      <c r="R26">
        <f t="shared" si="10"/>
        <v>321.44038021958607</v>
      </c>
      <c r="S26">
        <f t="shared" si="11"/>
        <v>26.784436352267772</v>
      </c>
      <c r="T26">
        <f t="shared" si="12"/>
        <v>27.012906666666701</v>
      </c>
      <c r="U26">
        <f t="shared" si="13"/>
        <v>3.5818737385396564</v>
      </c>
      <c r="V26">
        <f t="shared" si="14"/>
        <v>55.448415607968386</v>
      </c>
      <c r="W26">
        <f t="shared" si="15"/>
        <v>1.9454718098405674</v>
      </c>
      <c r="X26">
        <f t="shared" si="16"/>
        <v>3.5086156899332352</v>
      </c>
      <c r="Y26">
        <f t="shared" si="17"/>
        <v>1.636401928699089</v>
      </c>
      <c r="Z26">
        <f t="shared" si="18"/>
        <v>-297.63932937482144</v>
      </c>
      <c r="AA26">
        <f t="shared" si="19"/>
        <v>-63.956756920210303</v>
      </c>
      <c r="AB26">
        <f t="shared" si="20"/>
        <v>-4.0819866179584361</v>
      </c>
      <c r="AC26">
        <f t="shared" si="21"/>
        <v>-44.237692693404092</v>
      </c>
      <c r="AD26">
        <v>-4.1073931474736397E-2</v>
      </c>
      <c r="AE26">
        <v>4.6109086354415997E-2</v>
      </c>
      <c r="AF26">
        <v>3.4479245495006801</v>
      </c>
      <c r="AG26">
        <v>152</v>
      </c>
      <c r="AH26">
        <v>30</v>
      </c>
      <c r="AI26">
        <f t="shared" si="22"/>
        <v>1</v>
      </c>
      <c r="AJ26">
        <f t="shared" si="23"/>
        <v>0</v>
      </c>
      <c r="AK26">
        <f t="shared" si="24"/>
        <v>52434.706450901642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280.24476923076901</v>
      </c>
      <c r="AT26">
        <v>421.64</v>
      </c>
      <c r="AU26">
        <f t="shared" si="27"/>
        <v>0.33534586559441937</v>
      </c>
      <c r="AV26">
        <v>0.5</v>
      </c>
      <c r="AW26">
        <f t="shared" si="28"/>
        <v>1681.1978008739884</v>
      </c>
      <c r="AX26">
        <f t="shared" si="29"/>
        <v>46.784547444663531</v>
      </c>
      <c r="AY26">
        <f t="shared" si="30"/>
        <v>281.89136588476094</v>
      </c>
      <c r="AZ26">
        <f t="shared" si="31"/>
        <v>0.56953799449767573</v>
      </c>
      <c r="BA26">
        <f t="shared" si="32"/>
        <v>2.8422918124103084E-2</v>
      </c>
      <c r="BB26">
        <f t="shared" si="33"/>
        <v>-1</v>
      </c>
      <c r="BC26" t="s">
        <v>332</v>
      </c>
      <c r="BD26">
        <v>181.5</v>
      </c>
      <c r="BE26">
        <f t="shared" si="34"/>
        <v>240.14</v>
      </c>
      <c r="BF26">
        <f t="shared" si="35"/>
        <v>0.58880332626480791</v>
      </c>
      <c r="BG26">
        <f t="shared" si="36"/>
        <v>2.3230853994490359</v>
      </c>
      <c r="BH26">
        <f t="shared" si="37"/>
        <v>0.33534586559441937</v>
      </c>
      <c r="BI26" t="e">
        <f t="shared" si="38"/>
        <v>#DIV/0!</v>
      </c>
      <c r="BJ26">
        <v>6164</v>
      </c>
      <c r="BK26">
        <v>300</v>
      </c>
      <c r="BL26">
        <v>300</v>
      </c>
      <c r="BM26">
        <v>300</v>
      </c>
      <c r="BN26">
        <v>9864.68</v>
      </c>
      <c r="BO26">
        <v>384.38600000000002</v>
      </c>
      <c r="BP26">
        <v>-6.5602899999999999E-3</v>
      </c>
      <c r="BQ26">
        <v>1.7395</v>
      </c>
      <c r="BR26">
        <f t="shared" si="39"/>
        <v>2000.00066666667</v>
      </c>
      <c r="BS26">
        <f t="shared" si="40"/>
        <v>1681.1978008739884</v>
      </c>
      <c r="BT26">
        <f t="shared" si="41"/>
        <v>0.84059862023745269</v>
      </c>
      <c r="BU26">
        <f t="shared" si="42"/>
        <v>0.19119724047490538</v>
      </c>
      <c r="BV26">
        <v>0.5</v>
      </c>
      <c r="BW26" t="s">
        <v>281</v>
      </c>
      <c r="BX26">
        <v>1597509593.05</v>
      </c>
      <c r="BY26">
        <v>679.45343333333301</v>
      </c>
      <c r="BZ26">
        <v>699.99886666666703</v>
      </c>
      <c r="CA26">
        <v>19.603566666666701</v>
      </c>
      <c r="CB26">
        <v>16.957159999999998</v>
      </c>
      <c r="CC26">
        <v>500.06546666666702</v>
      </c>
      <c r="CD26">
        <v>99.040706666666694</v>
      </c>
      <c r="CE26">
        <v>0.20000003333333299</v>
      </c>
      <c r="CF26">
        <v>26.661493333333301</v>
      </c>
      <c r="CG26">
        <v>27.012906666666701</v>
      </c>
      <c r="CH26">
        <v>999.9</v>
      </c>
      <c r="CI26">
        <v>10001.118333333299</v>
      </c>
      <c r="CJ26">
        <v>0</v>
      </c>
      <c r="CK26">
        <v>133.04480000000001</v>
      </c>
      <c r="CL26">
        <v>2000.00066666667</v>
      </c>
      <c r="CM26">
        <v>0.97999709999999995</v>
      </c>
      <c r="CN26">
        <v>2.00027133333333E-2</v>
      </c>
      <c r="CO26">
        <v>0</v>
      </c>
      <c r="CP26">
        <v>280.274133333333</v>
      </c>
      <c r="CQ26">
        <v>5.00054</v>
      </c>
      <c r="CR26">
        <v>8019.1793333333299</v>
      </c>
      <c r="CS26">
        <v>18703.6266666667</v>
      </c>
      <c r="CT26">
        <v>50.016300000000001</v>
      </c>
      <c r="CU26">
        <v>52.129066666666702</v>
      </c>
      <c r="CV26">
        <v>50.514466666666699</v>
      </c>
      <c r="CW26">
        <v>51.0227</v>
      </c>
      <c r="CX26">
        <v>51.283133333333303</v>
      </c>
      <c r="CY26">
        <v>1955.0906666666699</v>
      </c>
      <c r="CZ26">
        <v>39.908000000000001</v>
      </c>
      <c r="DA26">
        <v>0</v>
      </c>
      <c r="DB26">
        <v>151.40000009536701</v>
      </c>
      <c r="DC26">
        <v>280.24476923076901</v>
      </c>
      <c r="DD26">
        <v>-1.59083760228104</v>
      </c>
      <c r="DE26">
        <v>-26.633504282859199</v>
      </c>
      <c r="DF26">
        <v>8019.1042307692296</v>
      </c>
      <c r="DG26">
        <v>15</v>
      </c>
      <c r="DH26">
        <v>1597509640.3</v>
      </c>
      <c r="DI26" t="s">
        <v>333</v>
      </c>
      <c r="DJ26">
        <v>41</v>
      </c>
      <c r="DK26">
        <v>-0.19</v>
      </c>
      <c r="DL26">
        <v>0.108</v>
      </c>
      <c r="DM26">
        <v>700</v>
      </c>
      <c r="DN26">
        <v>17</v>
      </c>
      <c r="DO26">
        <v>0.2</v>
      </c>
      <c r="DP26">
        <v>0.03</v>
      </c>
      <c r="DQ26">
        <v>679.31327777777801</v>
      </c>
      <c r="DR26">
        <v>0.205095483133093</v>
      </c>
      <c r="DS26">
        <v>4.3771467396291598E-2</v>
      </c>
      <c r="DT26">
        <v>1</v>
      </c>
      <c r="DU26">
        <v>19.629118518518499</v>
      </c>
      <c r="DV26">
        <v>-0.25568987993137798</v>
      </c>
      <c r="DW26">
        <v>3.3272355748646301E-2</v>
      </c>
      <c r="DX26">
        <v>0</v>
      </c>
      <c r="DY26">
        <v>1</v>
      </c>
      <c r="DZ26">
        <v>2</v>
      </c>
      <c r="EA26" t="s">
        <v>334</v>
      </c>
      <c r="EB26">
        <v>1.8666199999999999</v>
      </c>
      <c r="EC26">
        <v>1.8631</v>
      </c>
      <c r="ED26">
        <v>1.8687800000000001</v>
      </c>
      <c r="EE26">
        <v>1.8667499999999999</v>
      </c>
      <c r="EF26">
        <v>1.8714200000000001</v>
      </c>
      <c r="EG26">
        <v>1.8638600000000001</v>
      </c>
      <c r="EH26">
        <v>1.86544</v>
      </c>
      <c r="EI26">
        <v>1.8653900000000001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-0.19</v>
      </c>
      <c r="EX26">
        <v>0.108</v>
      </c>
      <c r="EY26">
        <v>2</v>
      </c>
      <c r="EZ26">
        <v>331.99299999999999</v>
      </c>
      <c r="FA26">
        <v>477.25799999999998</v>
      </c>
      <c r="FB26">
        <v>20.061900000000001</v>
      </c>
      <c r="FC26">
        <v>34.797199999999997</v>
      </c>
      <c r="FD26">
        <v>30.000900000000001</v>
      </c>
      <c r="FE26">
        <v>34.622300000000003</v>
      </c>
      <c r="FF26">
        <v>34.6036</v>
      </c>
      <c r="FG26">
        <v>34.522599999999997</v>
      </c>
      <c r="FH26">
        <v>49.999099999999999</v>
      </c>
      <c r="FI26">
        <v>0</v>
      </c>
      <c r="FJ26">
        <v>19.511700000000001</v>
      </c>
      <c r="FK26">
        <v>700</v>
      </c>
      <c r="FL26">
        <v>16.788</v>
      </c>
      <c r="FM26">
        <v>100.51600000000001</v>
      </c>
      <c r="FN26">
        <v>101.054</v>
      </c>
    </row>
    <row r="27" spans="1:170" x14ac:dyDescent="0.25">
      <c r="A27">
        <v>11</v>
      </c>
      <c r="B27">
        <v>1597509761.8</v>
      </c>
      <c r="C27">
        <v>1332.5999999046301</v>
      </c>
      <c r="D27" t="s">
        <v>335</v>
      </c>
      <c r="E27" t="s">
        <v>336</v>
      </c>
      <c r="G27">
        <v>1597509754.05</v>
      </c>
      <c r="H27">
        <f t="shared" si="0"/>
        <v>5.8469410617491774E-3</v>
      </c>
      <c r="I27">
        <f t="shared" si="1"/>
        <v>48.269869962256742</v>
      </c>
      <c r="J27">
        <f t="shared" si="2"/>
        <v>778.88563333333298</v>
      </c>
      <c r="K27">
        <f t="shared" si="3"/>
        <v>534.66150326902584</v>
      </c>
      <c r="L27">
        <f t="shared" si="4"/>
        <v>53.064733082228805</v>
      </c>
      <c r="M27">
        <f t="shared" si="5"/>
        <v>77.303785632045646</v>
      </c>
      <c r="N27">
        <f t="shared" si="6"/>
        <v>0.35857442490932612</v>
      </c>
      <c r="O27">
        <f t="shared" si="7"/>
        <v>3.3757121248073556</v>
      </c>
      <c r="P27">
        <f t="shared" si="8"/>
        <v>0.33867838715066928</v>
      </c>
      <c r="Q27">
        <f t="shared" si="9"/>
        <v>0.2133695236965619</v>
      </c>
      <c r="R27">
        <f t="shared" si="10"/>
        <v>321.43956214914601</v>
      </c>
      <c r="S27">
        <f t="shared" si="11"/>
        <v>26.958423084069604</v>
      </c>
      <c r="T27">
        <f t="shared" si="12"/>
        <v>27.0737533333333</v>
      </c>
      <c r="U27">
        <f t="shared" si="13"/>
        <v>3.5946929387773165</v>
      </c>
      <c r="V27">
        <f t="shared" si="14"/>
        <v>55.07936194721642</v>
      </c>
      <c r="W27">
        <f t="shared" si="15"/>
        <v>1.9289352396335062</v>
      </c>
      <c r="X27">
        <f t="shared" si="16"/>
        <v>3.5021016428658718</v>
      </c>
      <c r="Y27">
        <f t="shared" si="17"/>
        <v>1.6657576991438103</v>
      </c>
      <c r="Z27">
        <f t="shared" si="18"/>
        <v>-257.85010082313875</v>
      </c>
      <c r="AA27">
        <f t="shared" si="19"/>
        <v>-80.770812991681765</v>
      </c>
      <c r="AB27">
        <f t="shared" si="20"/>
        <v>-5.1560921744942148</v>
      </c>
      <c r="AC27">
        <f t="shared" si="21"/>
        <v>-22.337443840168731</v>
      </c>
      <c r="AD27">
        <v>-4.1071847430261099E-2</v>
      </c>
      <c r="AE27">
        <v>4.6106746831920099E-2</v>
      </c>
      <c r="AF27">
        <v>3.4477860208645601</v>
      </c>
      <c r="AG27">
        <v>153</v>
      </c>
      <c r="AH27">
        <v>31</v>
      </c>
      <c r="AI27">
        <f t="shared" si="22"/>
        <v>1</v>
      </c>
      <c r="AJ27">
        <f t="shared" si="23"/>
        <v>0</v>
      </c>
      <c r="AK27">
        <f t="shared" si="24"/>
        <v>52437.861030184307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337</v>
      </c>
      <c r="AS27">
        <v>278.41342307692298</v>
      </c>
      <c r="AT27">
        <v>417.67599999999999</v>
      </c>
      <c r="AU27">
        <f t="shared" si="27"/>
        <v>0.33342250194666923</v>
      </c>
      <c r="AV27">
        <v>0.5</v>
      </c>
      <c r="AW27">
        <f t="shared" si="28"/>
        <v>1681.1950996767964</v>
      </c>
      <c r="AX27">
        <f t="shared" si="29"/>
        <v>48.269869962256742</v>
      </c>
      <c r="AY27">
        <f t="shared" si="30"/>
        <v>280.2741381973587</v>
      </c>
      <c r="AZ27">
        <f t="shared" si="31"/>
        <v>0.56990586004462795</v>
      </c>
      <c r="BA27">
        <f t="shared" si="32"/>
        <v>2.930645584901401E-2</v>
      </c>
      <c r="BB27">
        <f t="shared" si="33"/>
        <v>-1</v>
      </c>
      <c r="BC27" t="s">
        <v>338</v>
      </c>
      <c r="BD27">
        <v>179.64</v>
      </c>
      <c r="BE27">
        <f t="shared" si="34"/>
        <v>238.036</v>
      </c>
      <c r="BF27">
        <f t="shared" si="35"/>
        <v>0.58504838311464236</v>
      </c>
      <c r="BG27">
        <f t="shared" si="36"/>
        <v>2.3250723669561344</v>
      </c>
      <c r="BH27">
        <f t="shared" si="37"/>
        <v>0.33342250194666923</v>
      </c>
      <c r="BI27" t="e">
        <f t="shared" si="38"/>
        <v>#DIV/0!</v>
      </c>
      <c r="BJ27">
        <v>6166</v>
      </c>
      <c r="BK27">
        <v>300</v>
      </c>
      <c r="BL27">
        <v>300</v>
      </c>
      <c r="BM27">
        <v>300</v>
      </c>
      <c r="BN27">
        <v>9863.49</v>
      </c>
      <c r="BO27">
        <v>381.99</v>
      </c>
      <c r="BP27">
        <v>-6.55939E-3</v>
      </c>
      <c r="BQ27">
        <v>2.4671599999999998</v>
      </c>
      <c r="BR27">
        <f t="shared" si="39"/>
        <v>1999.9976666666701</v>
      </c>
      <c r="BS27">
        <f t="shared" si="40"/>
        <v>1681.1950996767964</v>
      </c>
      <c r="BT27">
        <f t="shared" si="41"/>
        <v>0.84059853053668243</v>
      </c>
      <c r="BU27">
        <f t="shared" si="42"/>
        <v>0.19119706107336476</v>
      </c>
      <c r="BV27">
        <v>0.5</v>
      </c>
      <c r="BW27" t="s">
        <v>281</v>
      </c>
      <c r="BX27">
        <v>1597509754.05</v>
      </c>
      <c r="BY27">
        <v>778.88563333333298</v>
      </c>
      <c r="BZ27">
        <v>800.01253333333295</v>
      </c>
      <c r="CA27">
        <v>19.435269999999999</v>
      </c>
      <c r="CB27">
        <v>17.142240000000001</v>
      </c>
      <c r="CC27">
        <v>500.06360000000001</v>
      </c>
      <c r="CD27">
        <v>99.049216666666695</v>
      </c>
      <c r="CE27">
        <v>0.1999957</v>
      </c>
      <c r="CF27">
        <v>26.629936666666701</v>
      </c>
      <c r="CG27">
        <v>27.0737533333333</v>
      </c>
      <c r="CH27">
        <v>999.9</v>
      </c>
      <c r="CI27">
        <v>9999.7516666666706</v>
      </c>
      <c r="CJ27">
        <v>0</v>
      </c>
      <c r="CK27">
        <v>140.5796</v>
      </c>
      <c r="CL27">
        <v>1999.9976666666701</v>
      </c>
      <c r="CM27">
        <v>0.97999860000000005</v>
      </c>
      <c r="CN27">
        <v>2.0001413333333301E-2</v>
      </c>
      <c r="CO27">
        <v>0</v>
      </c>
      <c r="CP27">
        <v>278.39793333333301</v>
      </c>
      <c r="CQ27">
        <v>5.00054</v>
      </c>
      <c r="CR27">
        <v>8009.3256666666703</v>
      </c>
      <c r="CS27">
        <v>18703.593333333301</v>
      </c>
      <c r="CT27">
        <v>50.241533333333301</v>
      </c>
      <c r="CU27">
        <v>52.470599999999997</v>
      </c>
      <c r="CV27">
        <v>50.778933333333299</v>
      </c>
      <c r="CW27">
        <v>51.258000000000003</v>
      </c>
      <c r="CX27">
        <v>51.4788</v>
      </c>
      <c r="CY27">
        <v>1955.09566666667</v>
      </c>
      <c r="CZ27">
        <v>39.902000000000001</v>
      </c>
      <c r="DA27">
        <v>0</v>
      </c>
      <c r="DB27">
        <v>160.40000009536701</v>
      </c>
      <c r="DC27">
        <v>278.41342307692298</v>
      </c>
      <c r="DD27">
        <v>-2.5791111205674602</v>
      </c>
      <c r="DE27">
        <v>-98.795897537301599</v>
      </c>
      <c r="DF27">
        <v>8008.59230769231</v>
      </c>
      <c r="DG27">
        <v>15</v>
      </c>
      <c r="DH27">
        <v>1597509785.3</v>
      </c>
      <c r="DI27" t="s">
        <v>339</v>
      </c>
      <c r="DJ27">
        <v>42</v>
      </c>
      <c r="DK27">
        <v>-0.312</v>
      </c>
      <c r="DL27">
        <v>0.113</v>
      </c>
      <c r="DM27">
        <v>800</v>
      </c>
      <c r="DN27">
        <v>17</v>
      </c>
      <c r="DO27">
        <v>0.16</v>
      </c>
      <c r="DP27">
        <v>0.03</v>
      </c>
      <c r="DQ27">
        <v>778.96318518518501</v>
      </c>
      <c r="DR27">
        <v>0.42692281303558599</v>
      </c>
      <c r="DS27">
        <v>5.7852005975048297E-2</v>
      </c>
      <c r="DT27">
        <v>0</v>
      </c>
      <c r="DU27">
        <v>19.426079629629601</v>
      </c>
      <c r="DV27">
        <v>3.7191995425968599E-2</v>
      </c>
      <c r="DW27">
        <v>7.0709468073035997E-3</v>
      </c>
      <c r="DX27">
        <v>1</v>
      </c>
      <c r="DY27">
        <v>1</v>
      </c>
      <c r="DZ27">
        <v>2</v>
      </c>
      <c r="EA27" t="s">
        <v>334</v>
      </c>
      <c r="EB27">
        <v>1.8666100000000001</v>
      </c>
      <c r="EC27">
        <v>1.86313</v>
      </c>
      <c r="ED27">
        <v>1.86876</v>
      </c>
      <c r="EE27">
        <v>1.86676</v>
      </c>
      <c r="EF27">
        <v>1.8714200000000001</v>
      </c>
      <c r="EG27">
        <v>1.8638600000000001</v>
      </c>
      <c r="EH27">
        <v>1.8654299999999999</v>
      </c>
      <c r="EI27">
        <v>1.8653900000000001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-0.312</v>
      </c>
      <c r="EX27">
        <v>0.113</v>
      </c>
      <c r="EY27">
        <v>2</v>
      </c>
      <c r="EZ27">
        <v>331.40300000000002</v>
      </c>
      <c r="FA27">
        <v>476.38600000000002</v>
      </c>
      <c r="FB27">
        <v>20.116900000000001</v>
      </c>
      <c r="FC27">
        <v>35.022500000000001</v>
      </c>
      <c r="FD27">
        <v>30.000499999999999</v>
      </c>
      <c r="FE27">
        <v>34.828499999999998</v>
      </c>
      <c r="FF27">
        <v>34.802500000000002</v>
      </c>
      <c r="FG27">
        <v>38.462499999999999</v>
      </c>
      <c r="FH27">
        <v>48.582900000000002</v>
      </c>
      <c r="FI27">
        <v>0</v>
      </c>
      <c r="FJ27">
        <v>19.816299999999998</v>
      </c>
      <c r="FK27">
        <v>800</v>
      </c>
      <c r="FL27">
        <v>17.099299999999999</v>
      </c>
      <c r="FM27">
        <v>100.48099999999999</v>
      </c>
      <c r="FN27">
        <v>101.014</v>
      </c>
    </row>
    <row r="28" spans="1:170" x14ac:dyDescent="0.25">
      <c r="A28">
        <v>12</v>
      </c>
      <c r="B28">
        <v>1597509900.3</v>
      </c>
      <c r="C28">
        <v>1471.0999999046301</v>
      </c>
      <c r="D28" t="s">
        <v>340</v>
      </c>
      <c r="E28" t="s">
        <v>341</v>
      </c>
      <c r="G28">
        <v>1597509892.55</v>
      </c>
      <c r="H28">
        <f t="shared" si="0"/>
        <v>5.2346720782447346E-3</v>
      </c>
      <c r="I28">
        <f t="shared" si="1"/>
        <v>50.068583359946579</v>
      </c>
      <c r="J28">
        <f t="shared" si="2"/>
        <v>977.90089999999998</v>
      </c>
      <c r="K28">
        <f t="shared" si="3"/>
        <v>688.56916040443468</v>
      </c>
      <c r="L28">
        <f t="shared" si="4"/>
        <v>68.345370115585965</v>
      </c>
      <c r="M28">
        <f t="shared" si="5"/>
        <v>97.063596208126313</v>
      </c>
      <c r="N28">
        <f t="shared" si="6"/>
        <v>0.31428863864927647</v>
      </c>
      <c r="O28">
        <f t="shared" si="7"/>
        <v>3.3744942880163813</v>
      </c>
      <c r="P28">
        <f t="shared" si="8"/>
        <v>0.29888504805678856</v>
      </c>
      <c r="Q28">
        <f t="shared" si="9"/>
        <v>0.18812417740012033</v>
      </c>
      <c r="R28">
        <f t="shared" si="10"/>
        <v>321.44039462138988</v>
      </c>
      <c r="S28">
        <f t="shared" si="11"/>
        <v>26.892944109176756</v>
      </c>
      <c r="T28">
        <f t="shared" si="12"/>
        <v>27.0882066666667</v>
      </c>
      <c r="U28">
        <f t="shared" si="13"/>
        <v>3.5977438523836596</v>
      </c>
      <c r="V28">
        <f t="shared" si="14"/>
        <v>55.13187576693516</v>
      </c>
      <c r="W28">
        <f t="shared" si="15"/>
        <v>1.9075654079816688</v>
      </c>
      <c r="X28">
        <f t="shared" si="16"/>
        <v>3.4600045462732356</v>
      </c>
      <c r="Y28">
        <f t="shared" si="17"/>
        <v>1.6901784444019907</v>
      </c>
      <c r="Z28">
        <f t="shared" si="18"/>
        <v>-230.8490386505928</v>
      </c>
      <c r="AA28">
        <f t="shared" si="19"/>
        <v>-120.69862958604764</v>
      </c>
      <c r="AB28">
        <f t="shared" si="20"/>
        <v>-7.7003617748033548</v>
      </c>
      <c r="AC28">
        <f t="shared" si="21"/>
        <v>-37.807635390053917</v>
      </c>
      <c r="AD28">
        <v>-4.1053031010544E-2</v>
      </c>
      <c r="AE28">
        <v>4.6085623752378797E-2</v>
      </c>
      <c r="AF28">
        <v>3.4465351645537998</v>
      </c>
      <c r="AG28">
        <v>154</v>
      </c>
      <c r="AH28">
        <v>31</v>
      </c>
      <c r="AI28">
        <f t="shared" si="22"/>
        <v>1</v>
      </c>
      <c r="AJ28">
        <f t="shared" si="23"/>
        <v>0</v>
      </c>
      <c r="AK28">
        <f t="shared" si="24"/>
        <v>52450.904520131175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342</v>
      </c>
      <c r="AS28">
        <v>276.18315384615403</v>
      </c>
      <c r="AT28">
        <v>411.68799999999999</v>
      </c>
      <c r="AU28">
        <f t="shared" si="27"/>
        <v>0.32914451272285317</v>
      </c>
      <c r="AV28">
        <v>0.5</v>
      </c>
      <c r="AW28">
        <f t="shared" si="28"/>
        <v>1681.199569676797</v>
      </c>
      <c r="AX28">
        <f t="shared" si="29"/>
        <v>50.068583359946579</v>
      </c>
      <c r="AY28">
        <f t="shared" si="30"/>
        <v>276.67880657556987</v>
      </c>
      <c r="AZ28">
        <f t="shared" si="31"/>
        <v>0.56165834321136388</v>
      </c>
      <c r="BA28">
        <f t="shared" si="32"/>
        <v>3.0376276725888222E-2</v>
      </c>
      <c r="BB28">
        <f t="shared" si="33"/>
        <v>-1</v>
      </c>
      <c r="BC28" t="s">
        <v>343</v>
      </c>
      <c r="BD28">
        <v>180.46</v>
      </c>
      <c r="BE28">
        <f t="shared" si="34"/>
        <v>231.22799999999998</v>
      </c>
      <c r="BF28">
        <f t="shared" si="35"/>
        <v>0.58602265363124695</v>
      </c>
      <c r="BG28">
        <f t="shared" si="36"/>
        <v>2.2813255014961764</v>
      </c>
      <c r="BH28">
        <f t="shared" si="37"/>
        <v>0.32914451272285317</v>
      </c>
      <c r="BI28" t="e">
        <f t="shared" si="38"/>
        <v>#DIV/0!</v>
      </c>
      <c r="BJ28">
        <v>6168</v>
      </c>
      <c r="BK28">
        <v>300</v>
      </c>
      <c r="BL28">
        <v>300</v>
      </c>
      <c r="BM28">
        <v>300</v>
      </c>
      <c r="BN28">
        <v>9863.7199999999993</v>
      </c>
      <c r="BO28">
        <v>375.79199999999997</v>
      </c>
      <c r="BP28">
        <v>-6.5594099999999999E-3</v>
      </c>
      <c r="BQ28">
        <v>1.65656</v>
      </c>
      <c r="BR28">
        <f t="shared" si="39"/>
        <v>2000.0029999999999</v>
      </c>
      <c r="BS28">
        <f t="shared" si="40"/>
        <v>1681.199569676797</v>
      </c>
      <c r="BT28">
        <f t="shared" si="41"/>
        <v>0.84059852394061263</v>
      </c>
      <c r="BU28">
        <f t="shared" si="42"/>
        <v>0.19119704788122527</v>
      </c>
      <c r="BV28">
        <v>0.5</v>
      </c>
      <c r="BW28" t="s">
        <v>281</v>
      </c>
      <c r="BX28">
        <v>1597509892.55</v>
      </c>
      <c r="BY28">
        <v>977.90089999999998</v>
      </c>
      <c r="BZ28">
        <v>999.97329999999999</v>
      </c>
      <c r="CA28">
        <v>19.218430000000001</v>
      </c>
      <c r="CB28">
        <v>17.165046666666701</v>
      </c>
      <c r="CC28">
        <v>500.05956666666702</v>
      </c>
      <c r="CD28">
        <v>99.057083333333296</v>
      </c>
      <c r="CE28">
        <v>0.20000519999999999</v>
      </c>
      <c r="CF28">
        <v>26.424756666666699</v>
      </c>
      <c r="CG28">
        <v>27.0882066666667</v>
      </c>
      <c r="CH28">
        <v>999.9</v>
      </c>
      <c r="CI28">
        <v>9994.3766666666706</v>
      </c>
      <c r="CJ28">
        <v>0</v>
      </c>
      <c r="CK28">
        <v>137.98660000000001</v>
      </c>
      <c r="CL28">
        <v>2000.0029999999999</v>
      </c>
      <c r="CM28">
        <v>0.97999780000000003</v>
      </c>
      <c r="CN28">
        <v>2.00021066666667E-2</v>
      </c>
      <c r="CO28">
        <v>0</v>
      </c>
      <c r="CP28">
        <v>276.186266666667</v>
      </c>
      <c r="CQ28">
        <v>5.00054</v>
      </c>
      <c r="CR28">
        <v>7946.6073333333297</v>
      </c>
      <c r="CS28">
        <v>18703.656666666699</v>
      </c>
      <c r="CT28">
        <v>50.379066666666702</v>
      </c>
      <c r="CU28">
        <v>52.670466666666599</v>
      </c>
      <c r="CV28">
        <v>50.9664</v>
      </c>
      <c r="CW28">
        <v>51.399799999999999</v>
      </c>
      <c r="CX28">
        <v>51.645600000000002</v>
      </c>
      <c r="CY28">
        <v>1955.1013333333301</v>
      </c>
      <c r="CZ28">
        <v>39.901666666666699</v>
      </c>
      <c r="DA28">
        <v>0</v>
      </c>
      <c r="DB28">
        <v>138.10000014305101</v>
      </c>
      <c r="DC28">
        <v>276.18315384615403</v>
      </c>
      <c r="DD28">
        <v>-1.65723077530769</v>
      </c>
      <c r="DE28">
        <v>6.4499145527679103</v>
      </c>
      <c r="DF28">
        <v>7946.4223076923099</v>
      </c>
      <c r="DG28">
        <v>15</v>
      </c>
      <c r="DH28">
        <v>1597509924.8</v>
      </c>
      <c r="DI28" t="s">
        <v>344</v>
      </c>
      <c r="DJ28">
        <v>43</v>
      </c>
      <c r="DK28">
        <v>0.01</v>
      </c>
      <c r="DL28">
        <v>0.114</v>
      </c>
      <c r="DM28">
        <v>1000</v>
      </c>
      <c r="DN28">
        <v>17</v>
      </c>
      <c r="DO28">
        <v>0.21</v>
      </c>
      <c r="DP28">
        <v>0.05</v>
      </c>
      <c r="DQ28">
        <v>977.54846296296296</v>
      </c>
      <c r="DR28">
        <v>0.27546255002893699</v>
      </c>
      <c r="DS28">
        <v>6.1696303077600899E-2</v>
      </c>
      <c r="DT28">
        <v>1</v>
      </c>
      <c r="DU28">
        <v>19.2244925925926</v>
      </c>
      <c r="DV28">
        <v>-6.4032018296173498E-2</v>
      </c>
      <c r="DW28">
        <v>8.48894383021454E-3</v>
      </c>
      <c r="DX28">
        <v>1</v>
      </c>
      <c r="DY28">
        <v>2</v>
      </c>
      <c r="DZ28">
        <v>2</v>
      </c>
      <c r="EA28" t="s">
        <v>283</v>
      </c>
      <c r="EB28">
        <v>1.8666100000000001</v>
      </c>
      <c r="EC28">
        <v>1.8631</v>
      </c>
      <c r="ED28">
        <v>1.8687800000000001</v>
      </c>
      <c r="EE28">
        <v>1.86676</v>
      </c>
      <c r="EF28">
        <v>1.87138</v>
      </c>
      <c r="EG28">
        <v>1.8638600000000001</v>
      </c>
      <c r="EH28">
        <v>1.8654200000000001</v>
      </c>
      <c r="EI28">
        <v>1.8653900000000001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0.01</v>
      </c>
      <c r="EX28">
        <v>0.114</v>
      </c>
      <c r="EY28">
        <v>2</v>
      </c>
      <c r="EZ28">
        <v>330.64600000000002</v>
      </c>
      <c r="FA28">
        <v>475.67099999999999</v>
      </c>
      <c r="FB28">
        <v>19.971900000000002</v>
      </c>
      <c r="FC28">
        <v>35.229100000000003</v>
      </c>
      <c r="FD28">
        <v>30.000599999999999</v>
      </c>
      <c r="FE28">
        <v>35.006500000000003</v>
      </c>
      <c r="FF28">
        <v>34.976599999999998</v>
      </c>
      <c r="FG28">
        <v>46.052700000000002</v>
      </c>
      <c r="FH28">
        <v>49.387999999999998</v>
      </c>
      <c r="FI28">
        <v>0</v>
      </c>
      <c r="FJ28">
        <v>18.386800000000001</v>
      </c>
      <c r="FK28">
        <v>1000</v>
      </c>
      <c r="FL28">
        <v>17.108799999999999</v>
      </c>
      <c r="FM28">
        <v>100.45</v>
      </c>
      <c r="FN28">
        <v>100.97499999999999</v>
      </c>
    </row>
    <row r="29" spans="1:170" x14ac:dyDescent="0.25">
      <c r="A29">
        <v>13</v>
      </c>
      <c r="B29">
        <v>1597510022.8</v>
      </c>
      <c r="C29">
        <v>1593.5999999046301</v>
      </c>
      <c r="D29" t="s">
        <v>345</v>
      </c>
      <c r="E29" t="s">
        <v>346</v>
      </c>
      <c r="G29">
        <v>1597510015.0533299</v>
      </c>
      <c r="H29">
        <f t="shared" si="0"/>
        <v>4.8280395176447284E-3</v>
      </c>
      <c r="I29">
        <f t="shared" si="1"/>
        <v>51.320550360355952</v>
      </c>
      <c r="J29">
        <f t="shared" si="2"/>
        <v>1177.17</v>
      </c>
      <c r="K29">
        <f t="shared" si="3"/>
        <v>845.72135788904632</v>
      </c>
      <c r="L29">
        <f t="shared" si="4"/>
        <v>83.949304125742941</v>
      </c>
      <c r="M29">
        <f t="shared" si="5"/>
        <v>116.85007291806598</v>
      </c>
      <c r="N29">
        <f t="shared" si="6"/>
        <v>0.28205663258306707</v>
      </c>
      <c r="O29">
        <f t="shared" si="7"/>
        <v>3.3777166744837612</v>
      </c>
      <c r="P29">
        <f t="shared" si="8"/>
        <v>0.26959443603357663</v>
      </c>
      <c r="Q29">
        <f t="shared" si="9"/>
        <v>0.16957031324761507</v>
      </c>
      <c r="R29">
        <f t="shared" si="10"/>
        <v>321.43787253662884</v>
      </c>
      <c r="S29">
        <f t="shared" si="11"/>
        <v>26.942742895881402</v>
      </c>
      <c r="T29">
        <f t="shared" si="12"/>
        <v>27.2193066666667</v>
      </c>
      <c r="U29">
        <f t="shared" si="13"/>
        <v>3.6255207778190521</v>
      </c>
      <c r="V29">
        <f t="shared" si="14"/>
        <v>54.972725672179713</v>
      </c>
      <c r="W29">
        <f t="shared" si="15"/>
        <v>1.8973095939802271</v>
      </c>
      <c r="X29">
        <f t="shared" si="16"/>
        <v>3.4513653284985413</v>
      </c>
      <c r="Y29">
        <f t="shared" si="17"/>
        <v>1.728211183838825</v>
      </c>
      <c r="Z29">
        <f t="shared" si="18"/>
        <v>-212.91654272813253</v>
      </c>
      <c r="AA29">
        <f t="shared" si="19"/>
        <v>-152.40389519344777</v>
      </c>
      <c r="AB29">
        <f t="shared" si="20"/>
        <v>-9.7181467671016062</v>
      </c>
      <c r="AC29">
        <f t="shared" si="21"/>
        <v>-53.600712152053035</v>
      </c>
      <c r="AD29">
        <v>-4.1102825715109398E-2</v>
      </c>
      <c r="AE29">
        <v>4.6141522670509201E-2</v>
      </c>
      <c r="AF29">
        <v>3.4498449320031801</v>
      </c>
      <c r="AG29">
        <v>154</v>
      </c>
      <c r="AH29">
        <v>31</v>
      </c>
      <c r="AI29">
        <f t="shared" si="22"/>
        <v>1</v>
      </c>
      <c r="AJ29">
        <f t="shared" si="23"/>
        <v>0</v>
      </c>
      <c r="AK29">
        <f t="shared" si="24"/>
        <v>52519.495247179351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273.66453846153797</v>
      </c>
      <c r="AT29">
        <v>404.04899999999998</v>
      </c>
      <c r="AU29">
        <f t="shared" si="27"/>
        <v>0.32269467697844079</v>
      </c>
      <c r="AV29">
        <v>0.5</v>
      </c>
      <c r="AW29">
        <f t="shared" si="28"/>
        <v>1681.1866496768084</v>
      </c>
      <c r="AX29">
        <f t="shared" si="29"/>
        <v>51.320550360355952</v>
      </c>
      <c r="AY29">
        <f t="shared" si="30"/>
        <v>271.2549914289624</v>
      </c>
      <c r="AZ29">
        <f t="shared" si="31"/>
        <v>0.56332029036082254</v>
      </c>
      <c r="BA29">
        <f t="shared" si="32"/>
        <v>3.1121202616267541E-2</v>
      </c>
      <c r="BB29">
        <f t="shared" si="33"/>
        <v>-1</v>
      </c>
      <c r="BC29" t="s">
        <v>348</v>
      </c>
      <c r="BD29">
        <v>176.44</v>
      </c>
      <c r="BE29">
        <f t="shared" si="34"/>
        <v>227.60899999999998</v>
      </c>
      <c r="BF29">
        <f t="shared" si="35"/>
        <v>0.57284405071179967</v>
      </c>
      <c r="BG29">
        <f t="shared" si="36"/>
        <v>2.2900079347086826</v>
      </c>
      <c r="BH29">
        <f t="shared" si="37"/>
        <v>0.32269467697844079</v>
      </c>
      <c r="BI29" t="e">
        <f t="shared" si="38"/>
        <v>#DIV/0!</v>
      </c>
      <c r="BJ29">
        <v>6170</v>
      </c>
      <c r="BK29">
        <v>300</v>
      </c>
      <c r="BL29">
        <v>300</v>
      </c>
      <c r="BM29">
        <v>300</v>
      </c>
      <c r="BN29">
        <v>9863.2800000000007</v>
      </c>
      <c r="BO29">
        <v>368.32400000000001</v>
      </c>
      <c r="BP29">
        <v>-6.5590300000000004E-3</v>
      </c>
      <c r="BQ29">
        <v>1.33832</v>
      </c>
      <c r="BR29">
        <f t="shared" si="39"/>
        <v>1999.9876666666701</v>
      </c>
      <c r="BS29">
        <f t="shared" si="40"/>
        <v>1681.1866496768084</v>
      </c>
      <c r="BT29">
        <f t="shared" si="41"/>
        <v>0.84059850852920537</v>
      </c>
      <c r="BU29">
        <f t="shared" si="42"/>
        <v>0.19119701705841058</v>
      </c>
      <c r="BV29">
        <v>0.5</v>
      </c>
      <c r="BW29" t="s">
        <v>281</v>
      </c>
      <c r="BX29">
        <v>1597510015.0533299</v>
      </c>
      <c r="BY29">
        <v>1177.17</v>
      </c>
      <c r="BZ29">
        <v>1199.9686666666701</v>
      </c>
      <c r="CA29">
        <v>19.113859999999999</v>
      </c>
      <c r="CB29">
        <v>17.219799999999999</v>
      </c>
      <c r="CC29">
        <v>500.0641</v>
      </c>
      <c r="CD29">
        <v>99.063553333333303</v>
      </c>
      <c r="CE29">
        <v>0.19999646666666701</v>
      </c>
      <c r="CF29">
        <v>26.382380000000001</v>
      </c>
      <c r="CG29">
        <v>27.2193066666667</v>
      </c>
      <c r="CH29">
        <v>999.9</v>
      </c>
      <c r="CI29">
        <v>10005.845666666701</v>
      </c>
      <c r="CJ29">
        <v>0</v>
      </c>
      <c r="CK29">
        <v>142.50739999999999</v>
      </c>
      <c r="CL29">
        <v>1999.9876666666701</v>
      </c>
      <c r="CM29">
        <v>0.97999899999999995</v>
      </c>
      <c r="CN29">
        <v>2.0001066666666699E-2</v>
      </c>
      <c r="CO29">
        <v>0</v>
      </c>
      <c r="CP29">
        <v>273.68803333333301</v>
      </c>
      <c r="CQ29">
        <v>5.00054</v>
      </c>
      <c r="CR29">
        <v>7898.9129999999996</v>
      </c>
      <c r="CS29">
        <v>18703.496666666699</v>
      </c>
      <c r="CT29">
        <v>50.533066666666699</v>
      </c>
      <c r="CU29">
        <v>52.824599999999997</v>
      </c>
      <c r="CV29">
        <v>51.116599999999998</v>
      </c>
      <c r="CW29">
        <v>51.558066666666697</v>
      </c>
      <c r="CX29">
        <v>51.728866666666697</v>
      </c>
      <c r="CY29">
        <v>1955.08733333333</v>
      </c>
      <c r="CZ29">
        <v>39.9003333333333</v>
      </c>
      <c r="DA29">
        <v>0</v>
      </c>
      <c r="DB29">
        <v>122</v>
      </c>
      <c r="DC29">
        <v>273.66453846153797</v>
      </c>
      <c r="DD29">
        <v>-2.2703589790483698</v>
      </c>
      <c r="DE29">
        <v>-97.951794881257698</v>
      </c>
      <c r="DF29">
        <v>7897.9657692307701</v>
      </c>
      <c r="DG29">
        <v>15</v>
      </c>
      <c r="DH29">
        <v>1597510048.3</v>
      </c>
      <c r="DI29" t="s">
        <v>349</v>
      </c>
      <c r="DJ29">
        <v>44</v>
      </c>
      <c r="DK29">
        <v>-5.3999999999999999E-2</v>
      </c>
      <c r="DL29">
        <v>0.11700000000000001</v>
      </c>
      <c r="DM29">
        <v>1200</v>
      </c>
      <c r="DN29">
        <v>17</v>
      </c>
      <c r="DO29">
        <v>0.23</v>
      </c>
      <c r="DP29">
        <v>0.05</v>
      </c>
      <c r="DQ29">
        <v>1177.20240740741</v>
      </c>
      <c r="DR29">
        <v>0.288858060818526</v>
      </c>
      <c r="DS29">
        <v>5.4938861142638698E-2</v>
      </c>
      <c r="DT29">
        <v>1</v>
      </c>
      <c r="DU29">
        <v>19.113101851851901</v>
      </c>
      <c r="DV29">
        <v>-2.2370092407022701E-2</v>
      </c>
      <c r="DW29">
        <v>3.17691270708242E-3</v>
      </c>
      <c r="DX29">
        <v>1</v>
      </c>
      <c r="DY29">
        <v>2</v>
      </c>
      <c r="DZ29">
        <v>2</v>
      </c>
      <c r="EA29" t="s">
        <v>283</v>
      </c>
      <c r="EB29">
        <v>1.8666100000000001</v>
      </c>
      <c r="EC29">
        <v>1.8631200000000001</v>
      </c>
      <c r="ED29">
        <v>1.8687499999999999</v>
      </c>
      <c r="EE29">
        <v>1.8667499999999999</v>
      </c>
      <c r="EF29">
        <v>1.87138</v>
      </c>
      <c r="EG29">
        <v>1.8638600000000001</v>
      </c>
      <c r="EH29">
        <v>1.8653999999999999</v>
      </c>
      <c r="EI29">
        <v>1.86538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-5.3999999999999999E-2</v>
      </c>
      <c r="EX29">
        <v>0.11700000000000001</v>
      </c>
      <c r="EY29">
        <v>2</v>
      </c>
      <c r="EZ29">
        <v>330.62900000000002</v>
      </c>
      <c r="FA29">
        <v>474.93200000000002</v>
      </c>
      <c r="FB29">
        <v>19.979800000000001</v>
      </c>
      <c r="FC29">
        <v>35.404899999999998</v>
      </c>
      <c r="FD29">
        <v>30.000699999999998</v>
      </c>
      <c r="FE29">
        <v>35.1721</v>
      </c>
      <c r="FF29">
        <v>35.140700000000002</v>
      </c>
      <c r="FG29">
        <v>53.309800000000003</v>
      </c>
      <c r="FH29">
        <v>49.693600000000004</v>
      </c>
      <c r="FI29">
        <v>0</v>
      </c>
      <c r="FJ29">
        <v>17.079999999999998</v>
      </c>
      <c r="FK29">
        <v>1200</v>
      </c>
      <c r="FL29">
        <v>17.1526</v>
      </c>
      <c r="FM29">
        <v>100.417</v>
      </c>
      <c r="FN29">
        <v>100.93899999999999</v>
      </c>
    </row>
    <row r="30" spans="1:170" x14ac:dyDescent="0.25">
      <c r="A30">
        <v>14</v>
      </c>
      <c r="B30">
        <v>1597510139.9000001</v>
      </c>
      <c r="C30">
        <v>1710.7000000476801</v>
      </c>
      <c r="D30" t="s">
        <v>350</v>
      </c>
      <c r="E30" t="s">
        <v>351</v>
      </c>
      <c r="G30">
        <v>1597510132.1533301</v>
      </c>
      <c r="H30">
        <f t="shared" si="0"/>
        <v>4.3584371550307388E-3</v>
      </c>
      <c r="I30">
        <f t="shared" si="1"/>
        <v>51.954278924878096</v>
      </c>
      <c r="J30">
        <f t="shared" si="2"/>
        <v>1576.4169999999999</v>
      </c>
      <c r="K30">
        <f t="shared" si="3"/>
        <v>1192.5508542713785</v>
      </c>
      <c r="L30">
        <f t="shared" si="4"/>
        <v>118.38043623298367</v>
      </c>
      <c r="M30">
        <f t="shared" si="5"/>
        <v>156.48551294620481</v>
      </c>
      <c r="N30">
        <f t="shared" si="6"/>
        <v>0.25019822466899722</v>
      </c>
      <c r="O30">
        <f t="shared" si="7"/>
        <v>3.3769088229231277</v>
      </c>
      <c r="P30">
        <f t="shared" si="8"/>
        <v>0.24033709935816022</v>
      </c>
      <c r="Q30">
        <f t="shared" si="9"/>
        <v>0.15106428571183453</v>
      </c>
      <c r="R30">
        <f t="shared" si="10"/>
        <v>321.44221619311969</v>
      </c>
      <c r="S30">
        <f t="shared" si="11"/>
        <v>27.072932010124116</v>
      </c>
      <c r="T30">
        <f t="shared" si="12"/>
        <v>27.283163333333299</v>
      </c>
      <c r="U30">
        <f t="shared" si="13"/>
        <v>3.639118122956444</v>
      </c>
      <c r="V30">
        <f t="shared" si="14"/>
        <v>54.659660948086199</v>
      </c>
      <c r="W30">
        <f t="shared" si="15"/>
        <v>1.8890763007645237</v>
      </c>
      <c r="X30">
        <f t="shared" si="16"/>
        <v>3.4560702865659945</v>
      </c>
      <c r="Y30">
        <f t="shared" si="17"/>
        <v>1.7500418221919203</v>
      </c>
      <c r="Z30">
        <f t="shared" si="18"/>
        <v>-192.20707853685559</v>
      </c>
      <c r="AA30">
        <f t="shared" si="19"/>
        <v>-159.78925715053569</v>
      </c>
      <c r="AB30">
        <f t="shared" si="20"/>
        <v>-10.195953487511012</v>
      </c>
      <c r="AC30">
        <f t="shared" si="21"/>
        <v>-40.750072981782608</v>
      </c>
      <c r="AD30">
        <v>-4.1090340198266399E-2</v>
      </c>
      <c r="AE30">
        <v>4.6127506584061603E-2</v>
      </c>
      <c r="AF30">
        <v>3.4490151705480701</v>
      </c>
      <c r="AG30">
        <v>154</v>
      </c>
      <c r="AH30">
        <v>31</v>
      </c>
      <c r="AI30">
        <f t="shared" si="22"/>
        <v>1</v>
      </c>
      <c r="AJ30">
        <f t="shared" si="23"/>
        <v>0</v>
      </c>
      <c r="AK30">
        <f t="shared" si="24"/>
        <v>52500.211744986547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272.54234615384598</v>
      </c>
      <c r="AT30">
        <v>389.14299999999997</v>
      </c>
      <c r="AU30">
        <f t="shared" si="27"/>
        <v>0.29963446302812591</v>
      </c>
      <c r="AV30">
        <v>0.5</v>
      </c>
      <c r="AW30">
        <f t="shared" si="28"/>
        <v>1681.2095996768126</v>
      </c>
      <c r="AX30">
        <f t="shared" si="29"/>
        <v>51.954278924878096</v>
      </c>
      <c r="AY30">
        <f t="shared" si="30"/>
        <v>251.87416781844613</v>
      </c>
      <c r="AZ30">
        <f t="shared" si="31"/>
        <v>0.54263599756387759</v>
      </c>
      <c r="BA30">
        <f t="shared" si="32"/>
        <v>3.1497725765459443E-2</v>
      </c>
      <c r="BB30">
        <f t="shared" si="33"/>
        <v>-1</v>
      </c>
      <c r="BC30" t="s">
        <v>353</v>
      </c>
      <c r="BD30">
        <v>177.98</v>
      </c>
      <c r="BE30">
        <f t="shared" si="34"/>
        <v>211.16299999999998</v>
      </c>
      <c r="BF30">
        <f t="shared" si="35"/>
        <v>0.55218316582997018</v>
      </c>
      <c r="BG30">
        <f t="shared" si="36"/>
        <v>2.1864422968872907</v>
      </c>
      <c r="BH30">
        <f t="shared" si="37"/>
        <v>0.29963446302812591</v>
      </c>
      <c r="BI30" t="e">
        <f t="shared" si="38"/>
        <v>#DIV/0!</v>
      </c>
      <c r="BJ30">
        <v>6172</v>
      </c>
      <c r="BK30">
        <v>300</v>
      </c>
      <c r="BL30">
        <v>300</v>
      </c>
      <c r="BM30">
        <v>300</v>
      </c>
      <c r="BN30">
        <v>9862.81</v>
      </c>
      <c r="BO30">
        <v>357.983</v>
      </c>
      <c r="BP30">
        <v>-6.5586799999999999E-3</v>
      </c>
      <c r="BQ30">
        <v>1.6444700000000001</v>
      </c>
      <c r="BR30">
        <f t="shared" si="39"/>
        <v>2000.0150000000001</v>
      </c>
      <c r="BS30">
        <f t="shared" si="40"/>
        <v>1681.2095996768126</v>
      </c>
      <c r="BT30">
        <f t="shared" si="41"/>
        <v>0.84059849534969111</v>
      </c>
      <c r="BU30">
        <f t="shared" si="42"/>
        <v>0.19119699069938226</v>
      </c>
      <c r="BV30">
        <v>0.5</v>
      </c>
      <c r="BW30" t="s">
        <v>281</v>
      </c>
      <c r="BX30">
        <v>1597510132.1533301</v>
      </c>
      <c r="BY30">
        <v>1576.4169999999999</v>
      </c>
      <c r="BZ30">
        <v>1599.944</v>
      </c>
      <c r="CA30">
        <v>19.030336666666699</v>
      </c>
      <c r="CB30">
        <v>17.320356666666701</v>
      </c>
      <c r="CC30">
        <v>500.06369999999998</v>
      </c>
      <c r="CD30">
        <v>99.066569999999999</v>
      </c>
      <c r="CE30">
        <v>0.20000283333333299</v>
      </c>
      <c r="CF30">
        <v>26.405470000000001</v>
      </c>
      <c r="CG30">
        <v>27.283163333333299</v>
      </c>
      <c r="CH30">
        <v>999.9</v>
      </c>
      <c r="CI30">
        <v>10002.5016666667</v>
      </c>
      <c r="CJ30">
        <v>0</v>
      </c>
      <c r="CK30">
        <v>144.613333333333</v>
      </c>
      <c r="CL30">
        <v>2000.0150000000001</v>
      </c>
      <c r="CM30">
        <v>0.98</v>
      </c>
      <c r="CN30">
        <v>2.0000199999999999E-2</v>
      </c>
      <c r="CO30">
        <v>0</v>
      </c>
      <c r="CP30">
        <v>272.53160000000003</v>
      </c>
      <c r="CQ30">
        <v>5.00054</v>
      </c>
      <c r="CR30">
        <v>7879.2703333333302</v>
      </c>
      <c r="CS30">
        <v>18703.7866666667</v>
      </c>
      <c r="CT30">
        <v>50.678800000000003</v>
      </c>
      <c r="CU30">
        <v>53</v>
      </c>
      <c r="CV30">
        <v>51.278933333333299</v>
      </c>
      <c r="CW30">
        <v>51.741533333333301</v>
      </c>
      <c r="CX30">
        <v>51.8832666666667</v>
      </c>
      <c r="CY30">
        <v>1955.115</v>
      </c>
      <c r="CZ30">
        <v>39.9</v>
      </c>
      <c r="DA30">
        <v>0</v>
      </c>
      <c r="DB30">
        <v>116.60000014305101</v>
      </c>
      <c r="DC30">
        <v>272.54234615384598</v>
      </c>
      <c r="DD30">
        <v>-2.0895384419409</v>
      </c>
      <c r="DE30">
        <v>-134.075555534492</v>
      </c>
      <c r="DF30">
        <v>7878.45423076923</v>
      </c>
      <c r="DG30">
        <v>15</v>
      </c>
      <c r="DH30">
        <v>1597510166.9000001</v>
      </c>
      <c r="DI30" t="s">
        <v>354</v>
      </c>
      <c r="DJ30">
        <v>45</v>
      </c>
      <c r="DK30">
        <v>-0.24</v>
      </c>
      <c r="DL30">
        <v>0.11899999999999999</v>
      </c>
      <c r="DM30">
        <v>1600</v>
      </c>
      <c r="DN30">
        <v>17</v>
      </c>
      <c r="DO30">
        <v>0.12</v>
      </c>
      <c r="DP30">
        <v>0.06</v>
      </c>
      <c r="DQ30">
        <v>1576.5744444444399</v>
      </c>
      <c r="DR30">
        <v>0.228959669268746</v>
      </c>
      <c r="DS30">
        <v>5.88364546438844E-2</v>
      </c>
      <c r="DT30">
        <v>1</v>
      </c>
      <c r="DU30">
        <v>19.0170833333333</v>
      </c>
      <c r="DV30">
        <v>0.120612684299608</v>
      </c>
      <c r="DW30">
        <v>1.8076020026543502E-2</v>
      </c>
      <c r="DX30">
        <v>1</v>
      </c>
      <c r="DY30">
        <v>2</v>
      </c>
      <c r="DZ30">
        <v>2</v>
      </c>
      <c r="EA30" t="s">
        <v>283</v>
      </c>
      <c r="EB30">
        <v>1.8666199999999999</v>
      </c>
      <c r="EC30">
        <v>1.86311</v>
      </c>
      <c r="ED30">
        <v>1.86879</v>
      </c>
      <c r="EE30">
        <v>1.86676</v>
      </c>
      <c r="EF30">
        <v>1.87138</v>
      </c>
      <c r="EG30">
        <v>1.8638600000000001</v>
      </c>
      <c r="EH30">
        <v>1.8654299999999999</v>
      </c>
      <c r="EI30">
        <v>1.8653900000000001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-0.24</v>
      </c>
      <c r="EX30">
        <v>0.11899999999999999</v>
      </c>
      <c r="EY30">
        <v>2</v>
      </c>
      <c r="EZ30">
        <v>330.43400000000003</v>
      </c>
      <c r="FA30">
        <v>475.03399999999999</v>
      </c>
      <c r="FB30">
        <v>20.0413</v>
      </c>
      <c r="FC30">
        <v>35.576999999999998</v>
      </c>
      <c r="FD30">
        <v>30.000499999999999</v>
      </c>
      <c r="FE30">
        <v>35.337000000000003</v>
      </c>
      <c r="FF30">
        <v>35.304099999999998</v>
      </c>
      <c r="FG30">
        <v>67.0124</v>
      </c>
      <c r="FH30">
        <v>48.4559</v>
      </c>
      <c r="FI30">
        <v>0</v>
      </c>
      <c r="FJ30">
        <v>17.019500000000001</v>
      </c>
      <c r="FK30">
        <v>1600</v>
      </c>
      <c r="FL30">
        <v>17.397600000000001</v>
      </c>
      <c r="FM30">
        <v>100.386</v>
      </c>
      <c r="FN30">
        <v>100.905</v>
      </c>
    </row>
    <row r="31" spans="1:170" x14ac:dyDescent="0.25">
      <c r="A31">
        <v>15</v>
      </c>
      <c r="B31">
        <v>1597510268.4000001</v>
      </c>
      <c r="C31">
        <v>1839.2000000476801</v>
      </c>
      <c r="D31" t="s">
        <v>355</v>
      </c>
      <c r="E31" t="s">
        <v>356</v>
      </c>
      <c r="G31">
        <v>1597510260.6533301</v>
      </c>
      <c r="H31">
        <f t="shared" si="0"/>
        <v>4.1412059777371857E-3</v>
      </c>
      <c r="I31">
        <f t="shared" si="1"/>
        <v>51.81199941962555</v>
      </c>
      <c r="J31">
        <f t="shared" si="2"/>
        <v>1776.3916666666701</v>
      </c>
      <c r="K31">
        <f t="shared" si="3"/>
        <v>1372.7862399971548</v>
      </c>
      <c r="L31">
        <f t="shared" si="4"/>
        <v>136.27239154543852</v>
      </c>
      <c r="M31">
        <f t="shared" si="5"/>
        <v>176.3370972734665</v>
      </c>
      <c r="N31">
        <f t="shared" si="6"/>
        <v>0.23901409163317405</v>
      </c>
      <c r="O31">
        <f t="shared" si="7"/>
        <v>3.375945918044799</v>
      </c>
      <c r="P31">
        <f t="shared" si="8"/>
        <v>0.22999531540489779</v>
      </c>
      <c r="Q31">
        <f t="shared" si="9"/>
        <v>0.14452901956000527</v>
      </c>
      <c r="R31">
        <f t="shared" si="10"/>
        <v>321.43962812875156</v>
      </c>
      <c r="S31">
        <f t="shared" si="11"/>
        <v>26.960667806319414</v>
      </c>
      <c r="T31">
        <f t="shared" si="12"/>
        <v>27.1857333333333</v>
      </c>
      <c r="U31">
        <f t="shared" si="13"/>
        <v>3.6183896288410331</v>
      </c>
      <c r="V31">
        <f t="shared" si="14"/>
        <v>54.935240107504136</v>
      </c>
      <c r="W31">
        <f t="shared" si="15"/>
        <v>1.8805321901191379</v>
      </c>
      <c r="X31">
        <f t="shared" si="16"/>
        <v>3.4231800688211749</v>
      </c>
      <c r="Y31">
        <f t="shared" si="17"/>
        <v>1.7378574387218952</v>
      </c>
      <c r="Z31">
        <f t="shared" si="18"/>
        <v>-182.6271836182099</v>
      </c>
      <c r="AA31">
        <f t="shared" si="19"/>
        <v>-171.49387222534534</v>
      </c>
      <c r="AB31">
        <f t="shared" si="20"/>
        <v>-10.931735962707704</v>
      </c>
      <c r="AC31">
        <f t="shared" si="21"/>
        <v>-43.61316367751138</v>
      </c>
      <c r="AD31">
        <v>-4.1075460044370397E-2</v>
      </c>
      <c r="AE31">
        <v>4.6110802307740201E-2</v>
      </c>
      <c r="AF31">
        <v>3.4480261536068002</v>
      </c>
      <c r="AG31">
        <v>154</v>
      </c>
      <c r="AH31">
        <v>31</v>
      </c>
      <c r="AI31">
        <f t="shared" si="22"/>
        <v>1</v>
      </c>
      <c r="AJ31">
        <f t="shared" si="23"/>
        <v>0</v>
      </c>
      <c r="AK31">
        <f t="shared" si="24"/>
        <v>52510.397223177897</v>
      </c>
      <c r="AL31">
        <v>0</v>
      </c>
      <c r="AM31">
        <v>0</v>
      </c>
      <c r="AN31">
        <v>0</v>
      </c>
      <c r="AO31">
        <f t="shared" si="25"/>
        <v>0</v>
      </c>
      <c r="AP31" t="e">
        <f t="shared" si="26"/>
        <v>#DIV/0!</v>
      </c>
      <c r="AQ31">
        <v>-1</v>
      </c>
      <c r="AR31" t="s">
        <v>357</v>
      </c>
      <c r="AS31">
        <v>271.03380769230802</v>
      </c>
      <c r="AT31">
        <v>381.72899999999998</v>
      </c>
      <c r="AU31">
        <f t="shared" si="27"/>
        <v>0.28998371176329796</v>
      </c>
      <c r="AV31">
        <v>0.5</v>
      </c>
      <c r="AW31">
        <f t="shared" si="28"/>
        <v>1681.1958896768101</v>
      </c>
      <c r="AX31">
        <f t="shared" si="29"/>
        <v>51.81199941962555</v>
      </c>
      <c r="AY31">
        <f t="shared" si="30"/>
        <v>243.75971214484068</v>
      </c>
      <c r="AZ31">
        <f t="shared" si="31"/>
        <v>0.53626787590149028</v>
      </c>
      <c r="BA31">
        <f t="shared" si="32"/>
        <v>3.1413352687757301E-2</v>
      </c>
      <c r="BB31">
        <f t="shared" si="33"/>
        <v>-1</v>
      </c>
      <c r="BC31" t="s">
        <v>358</v>
      </c>
      <c r="BD31">
        <v>177.02</v>
      </c>
      <c r="BE31">
        <f t="shared" si="34"/>
        <v>204.70899999999997</v>
      </c>
      <c r="BF31">
        <f t="shared" si="35"/>
        <v>0.54074414074462762</v>
      </c>
      <c r="BG31">
        <f t="shared" si="36"/>
        <v>2.1564173539713023</v>
      </c>
      <c r="BH31">
        <f t="shared" si="37"/>
        <v>0.28998371176329796</v>
      </c>
      <c r="BI31" t="e">
        <f t="shared" si="38"/>
        <v>#DIV/0!</v>
      </c>
      <c r="BJ31">
        <v>6174</v>
      </c>
      <c r="BK31">
        <v>300</v>
      </c>
      <c r="BL31">
        <v>300</v>
      </c>
      <c r="BM31">
        <v>300</v>
      </c>
      <c r="BN31">
        <v>9863.1200000000008</v>
      </c>
      <c r="BO31">
        <v>353.47500000000002</v>
      </c>
      <c r="BP31">
        <v>-6.5589300000000001E-3</v>
      </c>
      <c r="BQ31">
        <v>1.27023</v>
      </c>
      <c r="BR31">
        <f t="shared" si="39"/>
        <v>1999.99866666667</v>
      </c>
      <c r="BS31">
        <f t="shared" si="40"/>
        <v>1681.1958896768101</v>
      </c>
      <c r="BT31">
        <f t="shared" si="41"/>
        <v>0.84059850523740709</v>
      </c>
      <c r="BU31">
        <f t="shared" si="42"/>
        <v>0.19119701047481416</v>
      </c>
      <c r="BV31">
        <v>0.5</v>
      </c>
      <c r="BW31" t="s">
        <v>281</v>
      </c>
      <c r="BX31">
        <v>1597510260.6533301</v>
      </c>
      <c r="BY31">
        <v>1776.3916666666701</v>
      </c>
      <c r="BZ31">
        <v>1800.05633333333</v>
      </c>
      <c r="CA31">
        <v>18.944179999999999</v>
      </c>
      <c r="CB31">
        <v>17.3192633333333</v>
      </c>
      <c r="CC31">
        <v>500.05693333333301</v>
      </c>
      <c r="CD31">
        <v>99.067036666666695</v>
      </c>
      <c r="CE31">
        <v>0.19997780000000001</v>
      </c>
      <c r="CF31">
        <v>26.243480000000002</v>
      </c>
      <c r="CG31">
        <v>27.1857333333333</v>
      </c>
      <c r="CH31">
        <v>999.9</v>
      </c>
      <c r="CI31">
        <v>9998.8323333333301</v>
      </c>
      <c r="CJ31">
        <v>0</v>
      </c>
      <c r="CK31">
        <v>151.795533333333</v>
      </c>
      <c r="CL31">
        <v>1999.99866666667</v>
      </c>
      <c r="CM31">
        <v>0.97999930000000002</v>
      </c>
      <c r="CN31">
        <v>2.00008066666667E-2</v>
      </c>
      <c r="CO31">
        <v>0</v>
      </c>
      <c r="CP31">
        <v>271.04553333333303</v>
      </c>
      <c r="CQ31">
        <v>5.00054</v>
      </c>
      <c r="CR31">
        <v>7815.5169999999998</v>
      </c>
      <c r="CS31">
        <v>18703.596666666701</v>
      </c>
      <c r="CT31">
        <v>50.618566666666702</v>
      </c>
      <c r="CU31">
        <v>52.9288666666667</v>
      </c>
      <c r="CV31">
        <v>51.237400000000001</v>
      </c>
      <c r="CW31">
        <v>51.645600000000002</v>
      </c>
      <c r="CX31">
        <v>51.828800000000001</v>
      </c>
      <c r="CY31">
        <v>1955.0983333333299</v>
      </c>
      <c r="CZ31">
        <v>39.9003333333333</v>
      </c>
      <c r="DA31">
        <v>0</v>
      </c>
      <c r="DB31">
        <v>127.799999952316</v>
      </c>
      <c r="DC31">
        <v>271.03380769230802</v>
      </c>
      <c r="DD31">
        <v>-0.75818804159113495</v>
      </c>
      <c r="DE31">
        <v>26.811282110480199</v>
      </c>
      <c r="DF31">
        <v>7815.84884615385</v>
      </c>
      <c r="DG31">
        <v>15</v>
      </c>
      <c r="DH31">
        <v>1597510296.9000001</v>
      </c>
      <c r="DI31" t="s">
        <v>359</v>
      </c>
      <c r="DJ31">
        <v>46</v>
      </c>
      <c r="DK31">
        <v>-0.21299999999999999</v>
      </c>
      <c r="DL31">
        <v>0.11700000000000001</v>
      </c>
      <c r="DM31">
        <v>1800</v>
      </c>
      <c r="DN31">
        <v>17</v>
      </c>
      <c r="DO31">
        <v>0.21</v>
      </c>
      <c r="DP31">
        <v>0.06</v>
      </c>
      <c r="DQ31">
        <v>1776.32111111111</v>
      </c>
      <c r="DR31">
        <v>0.28864464006262502</v>
      </c>
      <c r="DS31">
        <v>6.7017594888896595E-2</v>
      </c>
      <c r="DT31">
        <v>1</v>
      </c>
      <c r="DU31">
        <v>18.956909259259302</v>
      </c>
      <c r="DV31">
        <v>-9.7877304958517999E-2</v>
      </c>
      <c r="DW31">
        <v>1.30423564747428E-2</v>
      </c>
      <c r="DX31">
        <v>1</v>
      </c>
      <c r="DY31">
        <v>2</v>
      </c>
      <c r="DZ31">
        <v>2</v>
      </c>
      <c r="EA31" t="s">
        <v>283</v>
      </c>
      <c r="EB31">
        <v>1.8666100000000001</v>
      </c>
      <c r="EC31">
        <v>1.8631200000000001</v>
      </c>
      <c r="ED31">
        <v>1.8687400000000001</v>
      </c>
      <c r="EE31">
        <v>1.86676</v>
      </c>
      <c r="EF31">
        <v>1.87138</v>
      </c>
      <c r="EG31">
        <v>1.8638600000000001</v>
      </c>
      <c r="EH31">
        <v>1.8653999999999999</v>
      </c>
      <c r="EI31">
        <v>1.86537</v>
      </c>
      <c r="EJ31" t="s">
        <v>284</v>
      </c>
      <c r="EK31" t="s">
        <v>19</v>
      </c>
      <c r="EL31" t="s">
        <v>19</v>
      </c>
      <c r="EM31" t="s">
        <v>19</v>
      </c>
      <c r="EN31" t="s">
        <v>285</v>
      </c>
      <c r="EO31" t="s">
        <v>286</v>
      </c>
      <c r="EP31" t="s">
        <v>287</v>
      </c>
      <c r="EQ31" t="s">
        <v>287</v>
      </c>
      <c r="ER31" t="s">
        <v>287</v>
      </c>
      <c r="ES31" t="s">
        <v>287</v>
      </c>
      <c r="ET31">
        <v>0</v>
      </c>
      <c r="EU31">
        <v>100</v>
      </c>
      <c r="EV31">
        <v>100</v>
      </c>
      <c r="EW31">
        <v>-0.21299999999999999</v>
      </c>
      <c r="EX31">
        <v>0.11700000000000001</v>
      </c>
      <c r="EY31">
        <v>2</v>
      </c>
      <c r="EZ31">
        <v>330.35899999999998</v>
      </c>
      <c r="FA31">
        <v>474.875</v>
      </c>
      <c r="FB31">
        <v>19.9191</v>
      </c>
      <c r="FC31">
        <v>35.672699999999999</v>
      </c>
      <c r="FD31">
        <v>30.000299999999999</v>
      </c>
      <c r="FE31">
        <v>35.462600000000002</v>
      </c>
      <c r="FF31">
        <v>35.430100000000003</v>
      </c>
      <c r="FG31">
        <v>73.458200000000005</v>
      </c>
      <c r="FH31">
        <v>49.613999999999997</v>
      </c>
      <c r="FI31">
        <v>0</v>
      </c>
      <c r="FJ31">
        <v>16.9497</v>
      </c>
      <c r="FK31">
        <v>1800</v>
      </c>
      <c r="FL31">
        <v>17.4056</v>
      </c>
      <c r="FM31">
        <v>100.371</v>
      </c>
      <c r="FN31">
        <v>100.887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2020-08-15T11:51:48Z</dcterms:created>
  <dcterms:modified xsi:type="dcterms:W3CDTF">2024-11-20T09:05:28Z</dcterms:modified>
</cp:coreProperties>
</file>