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815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1" i="1" l="1"/>
  <c r="BT31" i="1"/>
  <c r="BS31" i="1"/>
  <c r="BR31" i="1"/>
  <c r="BI31" i="1"/>
  <c r="BH31" i="1"/>
  <c r="BG31" i="1"/>
  <c r="BF31" i="1"/>
  <c r="BE31" i="1"/>
  <c r="BB31" i="1"/>
  <c r="AZ31" i="1"/>
  <c r="AW31" i="1"/>
  <c r="AU31" i="1"/>
  <c r="AY31" i="1" s="1"/>
  <c r="AO31" i="1"/>
  <c r="AP31" i="1" s="1"/>
  <c r="AK31" i="1"/>
  <c r="AI31" i="1"/>
  <c r="AJ31" i="1" s="1"/>
  <c r="X31" i="1"/>
  <c r="V31" i="1" s="1"/>
  <c r="W31" i="1"/>
  <c r="R31" i="1"/>
  <c r="O31" i="1"/>
  <c r="BU30" i="1"/>
  <c r="BT30" i="1"/>
  <c r="BR30" i="1"/>
  <c r="BS30" i="1" s="1"/>
  <c r="BI30" i="1"/>
  <c r="BH30" i="1"/>
  <c r="BG30" i="1"/>
  <c r="BF30" i="1"/>
  <c r="BE30" i="1"/>
  <c r="BB30" i="1"/>
  <c r="AZ30" i="1"/>
  <c r="AU30" i="1"/>
  <c r="AO30" i="1"/>
  <c r="AP30" i="1" s="1"/>
  <c r="AK30" i="1"/>
  <c r="AI30" i="1"/>
  <c r="J30" i="1" s="1"/>
  <c r="X30" i="1"/>
  <c r="W30" i="1"/>
  <c r="V30" i="1"/>
  <c r="O30" i="1"/>
  <c r="BU29" i="1"/>
  <c r="BT29" i="1"/>
  <c r="BR29" i="1"/>
  <c r="BS29" i="1" s="1"/>
  <c r="BI29" i="1"/>
  <c r="BH29" i="1"/>
  <c r="BG29" i="1"/>
  <c r="BF29" i="1"/>
  <c r="BE29" i="1"/>
  <c r="AZ29" i="1" s="1"/>
  <c r="BB29" i="1"/>
  <c r="AU29" i="1"/>
  <c r="AO29" i="1"/>
  <c r="AP29" i="1" s="1"/>
  <c r="AK29" i="1"/>
  <c r="AI29" i="1"/>
  <c r="I29" i="1" s="1"/>
  <c r="AX29" i="1" s="1"/>
  <c r="X29" i="1"/>
  <c r="W29" i="1"/>
  <c r="V29" i="1"/>
  <c r="O29" i="1"/>
  <c r="BU28" i="1"/>
  <c r="BT28" i="1"/>
  <c r="BR28" i="1"/>
  <c r="BS28" i="1" s="1"/>
  <c r="BI28" i="1"/>
  <c r="BH28" i="1"/>
  <c r="BG28" i="1"/>
  <c r="BF28" i="1"/>
  <c r="BE28" i="1"/>
  <c r="BB28" i="1"/>
  <c r="AZ28" i="1"/>
  <c r="AU28" i="1"/>
  <c r="AO28" i="1"/>
  <c r="AP28" i="1" s="1"/>
  <c r="AK28" i="1"/>
  <c r="AI28" i="1" s="1"/>
  <c r="X28" i="1"/>
  <c r="W28" i="1"/>
  <c r="V28" i="1"/>
  <c r="O28" i="1"/>
  <c r="BU27" i="1"/>
  <c r="BT27" i="1"/>
  <c r="BR27" i="1"/>
  <c r="BS27" i="1" s="1"/>
  <c r="BI27" i="1"/>
  <c r="BH27" i="1"/>
  <c r="BG27" i="1"/>
  <c r="BF27" i="1"/>
  <c r="BE27" i="1"/>
  <c r="BB27" i="1"/>
  <c r="AZ27" i="1"/>
  <c r="AU27" i="1"/>
  <c r="AO27" i="1"/>
  <c r="AP27" i="1" s="1"/>
  <c r="AK27" i="1"/>
  <c r="AI27" i="1" s="1"/>
  <c r="X27" i="1"/>
  <c r="W27" i="1"/>
  <c r="V27" i="1"/>
  <c r="O27" i="1"/>
  <c r="BU26" i="1"/>
  <c r="BT26" i="1"/>
  <c r="BR26" i="1"/>
  <c r="BS26" i="1" s="1"/>
  <c r="BI26" i="1"/>
  <c r="BH26" i="1"/>
  <c r="BG26" i="1"/>
  <c r="BF26" i="1"/>
  <c r="BE26" i="1"/>
  <c r="BB26" i="1"/>
  <c r="AZ26" i="1"/>
  <c r="AU26" i="1"/>
  <c r="AO26" i="1"/>
  <c r="AP26" i="1" s="1"/>
  <c r="AK26" i="1"/>
  <c r="AI26" i="1"/>
  <c r="I26" i="1" s="1"/>
  <c r="AX26" i="1" s="1"/>
  <c r="X26" i="1"/>
  <c r="W26" i="1"/>
  <c r="V26" i="1" s="1"/>
  <c r="O26" i="1"/>
  <c r="BU25" i="1"/>
  <c r="BT25" i="1"/>
  <c r="BR25" i="1"/>
  <c r="BS25" i="1" s="1"/>
  <c r="BI25" i="1"/>
  <c r="BH25" i="1"/>
  <c r="BG25" i="1"/>
  <c r="BF25" i="1"/>
  <c r="BE25" i="1"/>
  <c r="AZ25" i="1" s="1"/>
  <c r="BB25" i="1"/>
  <c r="AU25" i="1"/>
  <c r="AO25" i="1"/>
  <c r="AP25" i="1" s="1"/>
  <c r="AK25" i="1"/>
  <c r="AI25" i="1"/>
  <c r="H25" i="1" s="1"/>
  <c r="X25" i="1"/>
  <c r="W25" i="1"/>
  <c r="V25" i="1"/>
  <c r="O25" i="1"/>
  <c r="BU24" i="1"/>
  <c r="BT24" i="1"/>
  <c r="BR24" i="1"/>
  <c r="BS24" i="1" s="1"/>
  <c r="BI24" i="1"/>
  <c r="BH24" i="1"/>
  <c r="BG24" i="1"/>
  <c r="BF24" i="1"/>
  <c r="BE24" i="1"/>
  <c r="AZ24" i="1" s="1"/>
  <c r="BB24" i="1"/>
  <c r="AU24" i="1"/>
  <c r="AO24" i="1"/>
  <c r="AP24" i="1" s="1"/>
  <c r="AK24" i="1"/>
  <c r="AI24" i="1"/>
  <c r="AJ24" i="1" s="1"/>
  <c r="X24" i="1"/>
  <c r="W24" i="1"/>
  <c r="V24" i="1"/>
  <c r="O24" i="1"/>
  <c r="BU23" i="1"/>
  <c r="BT23" i="1"/>
  <c r="BR23" i="1"/>
  <c r="BS23" i="1" s="1"/>
  <c r="BI23" i="1"/>
  <c r="BH23" i="1"/>
  <c r="BG23" i="1"/>
  <c r="BF23" i="1"/>
  <c r="BE23" i="1"/>
  <c r="BB23" i="1"/>
  <c r="AZ23" i="1"/>
  <c r="AU23" i="1"/>
  <c r="AO23" i="1"/>
  <c r="AP23" i="1" s="1"/>
  <c r="AK23" i="1"/>
  <c r="AI23" i="1"/>
  <c r="J23" i="1" s="1"/>
  <c r="X23" i="1"/>
  <c r="W23" i="1"/>
  <c r="V23" i="1"/>
  <c r="O23" i="1"/>
  <c r="M23" i="1"/>
  <c r="BU22" i="1"/>
  <c r="BT22" i="1"/>
  <c r="BR22" i="1"/>
  <c r="BS22" i="1" s="1"/>
  <c r="BI22" i="1"/>
  <c r="BH22" i="1"/>
  <c r="BG22" i="1"/>
  <c r="BF22" i="1"/>
  <c r="BE22" i="1"/>
  <c r="BB22" i="1"/>
  <c r="AZ22" i="1"/>
  <c r="AU22" i="1"/>
  <c r="AO22" i="1"/>
  <c r="AP22" i="1" s="1"/>
  <c r="AK22" i="1"/>
  <c r="AI22" i="1"/>
  <c r="AJ22" i="1" s="1"/>
  <c r="X22" i="1"/>
  <c r="W22" i="1"/>
  <c r="V22" i="1"/>
  <c r="O22" i="1"/>
  <c r="BU21" i="1"/>
  <c r="BT21" i="1"/>
  <c r="BR21" i="1"/>
  <c r="BS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AJ21" i="1" s="1"/>
  <c r="X21" i="1"/>
  <c r="W21" i="1"/>
  <c r="V21" i="1"/>
  <c r="O21" i="1"/>
  <c r="BU20" i="1"/>
  <c r="BT20" i="1"/>
  <c r="BR20" i="1"/>
  <c r="BS20" i="1" s="1"/>
  <c r="BI20" i="1"/>
  <c r="BH20" i="1"/>
  <c r="BG20" i="1"/>
  <c r="BF20" i="1"/>
  <c r="BE20" i="1"/>
  <c r="BB20" i="1"/>
  <c r="AZ20" i="1"/>
  <c r="AU20" i="1"/>
  <c r="AO20" i="1"/>
  <c r="AP20" i="1" s="1"/>
  <c r="AK20" i="1"/>
  <c r="AI20" i="1"/>
  <c r="AJ20" i="1" s="1"/>
  <c r="X20" i="1"/>
  <c r="W20" i="1"/>
  <c r="V20" i="1"/>
  <c r="O20" i="1"/>
  <c r="BU19" i="1"/>
  <c r="BT19" i="1"/>
  <c r="BR19" i="1"/>
  <c r="BS19" i="1" s="1"/>
  <c r="BI19" i="1"/>
  <c r="BH19" i="1"/>
  <c r="BG19" i="1"/>
  <c r="BF19" i="1"/>
  <c r="BE19" i="1"/>
  <c r="BB19" i="1"/>
  <c r="AZ19" i="1"/>
  <c r="AU19" i="1"/>
  <c r="AP19" i="1"/>
  <c r="AO19" i="1"/>
  <c r="AK19" i="1"/>
  <c r="AI19" i="1"/>
  <c r="J19" i="1" s="1"/>
  <c r="X19" i="1"/>
  <c r="W19" i="1"/>
  <c r="V19" i="1"/>
  <c r="O19" i="1"/>
  <c r="BU18" i="1"/>
  <c r="BT18" i="1"/>
  <c r="BR18" i="1"/>
  <c r="BS18" i="1" s="1"/>
  <c r="BI18" i="1"/>
  <c r="BH18" i="1"/>
  <c r="BG18" i="1"/>
  <c r="BF18" i="1"/>
  <c r="BE18" i="1"/>
  <c r="BB18" i="1"/>
  <c r="AZ18" i="1"/>
  <c r="AU18" i="1"/>
  <c r="AP18" i="1"/>
  <c r="AO18" i="1"/>
  <c r="AK18" i="1"/>
  <c r="AI18" i="1" s="1"/>
  <c r="X18" i="1"/>
  <c r="W18" i="1"/>
  <c r="V18" i="1"/>
  <c r="O18" i="1"/>
  <c r="BU17" i="1"/>
  <c r="BT17" i="1"/>
  <c r="BS17" i="1"/>
  <c r="BR17" i="1"/>
  <c r="BI17" i="1"/>
  <c r="BH17" i="1"/>
  <c r="BG17" i="1"/>
  <c r="BF17" i="1"/>
  <c r="BE17" i="1"/>
  <c r="BB17" i="1"/>
  <c r="AZ17" i="1"/>
  <c r="AW17" i="1"/>
  <c r="AU17" i="1"/>
  <c r="AY17" i="1" s="1"/>
  <c r="AO17" i="1"/>
  <c r="AP17" i="1" s="1"/>
  <c r="AK17" i="1"/>
  <c r="AI17" i="1"/>
  <c r="J17" i="1" s="1"/>
  <c r="X17" i="1"/>
  <c r="W17" i="1"/>
  <c r="V17" i="1"/>
  <c r="R17" i="1"/>
  <c r="O17" i="1"/>
  <c r="R26" i="1" l="1"/>
  <c r="AW26" i="1"/>
  <c r="AW30" i="1"/>
  <c r="R30" i="1"/>
  <c r="R22" i="1"/>
  <c r="AW22" i="1"/>
  <c r="AW29" i="1"/>
  <c r="AY29" i="1" s="1"/>
  <c r="R29" i="1"/>
  <c r="BA26" i="1"/>
  <c r="R20" i="1"/>
  <c r="AW20" i="1"/>
  <c r="AY20" i="1" s="1"/>
  <c r="BA29" i="1"/>
  <c r="AW19" i="1"/>
  <c r="AY19" i="1" s="1"/>
  <c r="R19" i="1"/>
  <c r="R23" i="1"/>
  <c r="AW23" i="1"/>
  <c r="AY23" i="1" s="1"/>
  <c r="AY21" i="1"/>
  <c r="S31" i="1"/>
  <c r="T31" i="1" s="1"/>
  <c r="M27" i="1"/>
  <c r="J27" i="1"/>
  <c r="I27" i="1"/>
  <c r="AX27" i="1" s="1"/>
  <c r="H27" i="1"/>
  <c r="AJ27" i="1"/>
  <c r="R21" i="1"/>
  <c r="AW21" i="1"/>
  <c r="I18" i="1"/>
  <c r="AX18" i="1" s="1"/>
  <c r="BA18" i="1" s="1"/>
  <c r="AJ18" i="1"/>
  <c r="H18" i="1"/>
  <c r="M18" i="1"/>
  <c r="J18" i="1"/>
  <c r="AW24" i="1"/>
  <c r="AY24" i="1" s="1"/>
  <c r="R24" i="1"/>
  <c r="AY26" i="1"/>
  <c r="AY22" i="1"/>
  <c r="Z25" i="1"/>
  <c r="J28" i="1"/>
  <c r="I28" i="1"/>
  <c r="AX28" i="1" s="1"/>
  <c r="BA28" i="1" s="1"/>
  <c r="H28" i="1"/>
  <c r="AJ28" i="1"/>
  <c r="M28" i="1"/>
  <c r="R18" i="1"/>
  <c r="AW18" i="1"/>
  <c r="R25" i="1"/>
  <c r="AW25" i="1"/>
  <c r="AY25" i="1" s="1"/>
  <c r="R28" i="1"/>
  <c r="AW28" i="1"/>
  <c r="AY28" i="1" s="1"/>
  <c r="AY30" i="1"/>
  <c r="S17" i="1"/>
  <c r="T17" i="1" s="1"/>
  <c r="AY18" i="1"/>
  <c r="R27" i="1"/>
  <c r="AW27" i="1"/>
  <c r="AY27" i="1" s="1"/>
  <c r="AJ17" i="1"/>
  <c r="I31" i="1"/>
  <c r="AX31" i="1" s="1"/>
  <c r="BA31" i="1" s="1"/>
  <c r="M26" i="1"/>
  <c r="I30" i="1"/>
  <c r="AX30" i="1" s="1"/>
  <c r="BA30" i="1" s="1"/>
  <c r="H21" i="1"/>
  <c r="M21" i="1"/>
  <c r="M30" i="1"/>
  <c r="M25" i="1"/>
  <c r="M20" i="1"/>
  <c r="I24" i="1"/>
  <c r="AX24" i="1" s="1"/>
  <c r="J29" i="1"/>
  <c r="I19" i="1"/>
  <c r="AX19" i="1" s="1"/>
  <c r="J24" i="1"/>
  <c r="J22" i="1"/>
  <c r="AJ26" i="1"/>
  <c r="M22" i="1"/>
  <c r="J31" i="1"/>
  <c r="J26" i="1"/>
  <c r="H30" i="1"/>
  <c r="I22" i="1"/>
  <c r="AX22" i="1" s="1"/>
  <c r="BA22" i="1" s="1"/>
  <c r="H31" i="1"/>
  <c r="J21" i="1"/>
  <c r="AJ30" i="1"/>
  <c r="I20" i="1"/>
  <c r="AX20" i="1" s="1"/>
  <c r="BA20" i="1" s="1"/>
  <c r="J25" i="1"/>
  <c r="H29" i="1"/>
  <c r="H24" i="1"/>
  <c r="AJ23" i="1"/>
  <c r="M29" i="1"/>
  <c r="H22" i="1"/>
  <c r="M17" i="1"/>
  <c r="I21" i="1"/>
  <c r="AX21" i="1" s="1"/>
  <c r="AJ25" i="1"/>
  <c r="M31" i="1"/>
  <c r="H20" i="1"/>
  <c r="I25" i="1"/>
  <c r="AX25" i="1" s="1"/>
  <c r="J20" i="1"/>
  <c r="H17" i="1"/>
  <c r="I17" i="1"/>
  <c r="AX17" i="1" s="1"/>
  <c r="BA17" i="1" s="1"/>
  <c r="AJ19" i="1"/>
  <c r="H19" i="1"/>
  <c r="H23" i="1"/>
  <c r="M24" i="1"/>
  <c r="M19" i="1"/>
  <c r="I23" i="1"/>
  <c r="AX23" i="1" s="1"/>
  <c r="H26" i="1"/>
  <c r="AJ29" i="1"/>
  <c r="AA31" i="1" l="1"/>
  <c r="AB31" i="1"/>
  <c r="U31" i="1"/>
  <c r="Y31" i="1" s="1"/>
  <c r="AB17" i="1"/>
  <c r="U17" i="1"/>
  <c r="Y17" i="1" s="1"/>
  <c r="S24" i="1"/>
  <c r="T24" i="1" s="1"/>
  <c r="P24" i="1" s="1"/>
  <c r="N24" i="1" s="1"/>
  <c r="Q24" i="1" s="1"/>
  <c r="K24" i="1" s="1"/>
  <c r="L24" i="1" s="1"/>
  <c r="Z31" i="1"/>
  <c r="P31" i="1"/>
  <c r="N31" i="1" s="1"/>
  <c r="Q31" i="1" s="1"/>
  <c r="K31" i="1" s="1"/>
  <c r="L31" i="1" s="1"/>
  <c r="S29" i="1"/>
  <c r="T29" i="1" s="1"/>
  <c r="S21" i="1"/>
  <c r="T21" i="1" s="1"/>
  <c r="S25" i="1"/>
  <c r="T25" i="1" s="1"/>
  <c r="BA19" i="1"/>
  <c r="S30" i="1"/>
  <c r="T30" i="1" s="1"/>
  <c r="P20" i="1"/>
  <c r="N20" i="1" s="1"/>
  <c r="Q20" i="1" s="1"/>
  <c r="K20" i="1" s="1"/>
  <c r="L20" i="1" s="1"/>
  <c r="Z20" i="1"/>
  <c r="S18" i="1"/>
  <c r="T18" i="1" s="1"/>
  <c r="P18" i="1" s="1"/>
  <c r="N18" i="1" s="1"/>
  <c r="Q18" i="1" s="1"/>
  <c r="K18" i="1" s="1"/>
  <c r="L18" i="1" s="1"/>
  <c r="S19" i="1"/>
  <c r="T19" i="1" s="1"/>
  <c r="S20" i="1"/>
  <c r="T20" i="1" s="1"/>
  <c r="Z24" i="1"/>
  <c r="Z26" i="1"/>
  <c r="Z30" i="1"/>
  <c r="Z19" i="1"/>
  <c r="S28" i="1"/>
  <c r="T28" i="1" s="1"/>
  <c r="BA25" i="1"/>
  <c r="Z22" i="1"/>
  <c r="P22" i="1"/>
  <c r="N22" i="1" s="1"/>
  <c r="Q22" i="1" s="1"/>
  <c r="K22" i="1" s="1"/>
  <c r="L22" i="1" s="1"/>
  <c r="Z21" i="1"/>
  <c r="P21" i="1"/>
  <c r="N21" i="1" s="1"/>
  <c r="Q21" i="1" s="1"/>
  <c r="K21" i="1" s="1"/>
  <c r="L21" i="1" s="1"/>
  <c r="S23" i="1"/>
  <c r="T23" i="1" s="1"/>
  <c r="P29" i="1"/>
  <c r="N29" i="1" s="1"/>
  <c r="Q29" i="1" s="1"/>
  <c r="K29" i="1" s="1"/>
  <c r="L29" i="1" s="1"/>
  <c r="Z29" i="1"/>
  <c r="S27" i="1"/>
  <c r="T27" i="1" s="1"/>
  <c r="BA23" i="1"/>
  <c r="Z18" i="1"/>
  <c r="AA17" i="1"/>
  <c r="Z23" i="1"/>
  <c r="Z17" i="1"/>
  <c r="P17" i="1"/>
  <c r="N17" i="1" s="1"/>
  <c r="Q17" i="1" s="1"/>
  <c r="K17" i="1" s="1"/>
  <c r="L17" i="1" s="1"/>
  <c r="S22" i="1"/>
  <c r="T22" i="1" s="1"/>
  <c r="Z27" i="1"/>
  <c r="BA27" i="1"/>
  <c r="BA24" i="1"/>
  <c r="BA21" i="1"/>
  <c r="Z28" i="1"/>
  <c r="P28" i="1"/>
  <c r="N28" i="1" s="1"/>
  <c r="Q28" i="1" s="1"/>
  <c r="K28" i="1" s="1"/>
  <c r="L28" i="1" s="1"/>
  <c r="S26" i="1"/>
  <c r="T26" i="1" s="1"/>
  <c r="P26" i="1" s="1"/>
  <c r="N26" i="1" s="1"/>
  <c r="Q26" i="1" s="1"/>
  <c r="K26" i="1" s="1"/>
  <c r="L26" i="1" s="1"/>
  <c r="U30" i="1" l="1"/>
  <c r="Y30" i="1" s="1"/>
  <c r="AB30" i="1"/>
  <c r="AC30" i="1" s="1"/>
  <c r="AA30" i="1"/>
  <c r="U23" i="1"/>
  <c r="Y23" i="1" s="1"/>
  <c r="AB23" i="1"/>
  <c r="AA23" i="1"/>
  <c r="P23" i="1"/>
  <c r="N23" i="1" s="1"/>
  <c r="Q23" i="1" s="1"/>
  <c r="K23" i="1" s="1"/>
  <c r="L23" i="1" s="1"/>
  <c r="AC17" i="1"/>
  <c r="U19" i="1"/>
  <c r="Y19" i="1" s="1"/>
  <c r="AB19" i="1"/>
  <c r="AA19" i="1"/>
  <c r="AB25" i="1"/>
  <c r="AA25" i="1"/>
  <c r="U25" i="1"/>
  <c r="Y25" i="1" s="1"/>
  <c r="P25" i="1"/>
  <c r="N25" i="1" s="1"/>
  <c r="Q25" i="1" s="1"/>
  <c r="K25" i="1" s="1"/>
  <c r="L25" i="1" s="1"/>
  <c r="U29" i="1"/>
  <c r="Y29" i="1" s="1"/>
  <c r="AA29" i="1"/>
  <c r="AB29" i="1"/>
  <c r="AC29" i="1" s="1"/>
  <c r="P19" i="1"/>
  <c r="N19" i="1" s="1"/>
  <c r="Q19" i="1" s="1"/>
  <c r="K19" i="1" s="1"/>
  <c r="L19" i="1" s="1"/>
  <c r="P30" i="1"/>
  <c r="N30" i="1" s="1"/>
  <c r="Q30" i="1" s="1"/>
  <c r="K30" i="1" s="1"/>
  <c r="L30" i="1" s="1"/>
  <c r="AC31" i="1"/>
  <c r="U27" i="1"/>
  <c r="Y27" i="1" s="1"/>
  <c r="AB27" i="1"/>
  <c r="AA27" i="1"/>
  <c r="U18" i="1"/>
  <c r="Y18" i="1" s="1"/>
  <c r="AB18" i="1"/>
  <c r="AC18" i="1" s="1"/>
  <c r="AA18" i="1"/>
  <c r="AB26" i="1"/>
  <c r="U26" i="1"/>
  <c r="Y26" i="1" s="1"/>
  <c r="AA26" i="1"/>
  <c r="AB21" i="1"/>
  <c r="U21" i="1"/>
  <c r="Y21" i="1" s="1"/>
  <c r="AA21" i="1"/>
  <c r="U28" i="1"/>
  <c r="Y28" i="1" s="1"/>
  <c r="AB28" i="1"/>
  <c r="AC28" i="1" s="1"/>
  <c r="AA28" i="1"/>
  <c r="P27" i="1"/>
  <c r="N27" i="1" s="1"/>
  <c r="Q27" i="1" s="1"/>
  <c r="K27" i="1" s="1"/>
  <c r="L27" i="1" s="1"/>
  <c r="U22" i="1"/>
  <c r="Y22" i="1" s="1"/>
  <c r="AB22" i="1"/>
  <c r="AA22" i="1"/>
  <c r="AB24" i="1"/>
  <c r="U24" i="1"/>
  <c r="Y24" i="1" s="1"/>
  <c r="AA24" i="1"/>
  <c r="AB20" i="1"/>
  <c r="AC20" i="1" s="1"/>
  <c r="AA20" i="1"/>
  <c r="U20" i="1"/>
  <c r="Y20" i="1" s="1"/>
  <c r="AC24" i="1" l="1"/>
  <c r="AC23" i="1"/>
  <c r="AC19" i="1"/>
  <c r="AC21" i="1"/>
  <c r="AC26" i="1"/>
  <c r="AC27" i="1"/>
  <c r="AC22" i="1"/>
  <c r="AC25" i="1"/>
</calcChain>
</file>

<file path=xl/sharedStrings.xml><?xml version="1.0" encoding="utf-8"?>
<sst xmlns="http://schemas.openxmlformats.org/spreadsheetml/2006/main" count="788" uniqueCount="358">
  <si>
    <t>File opened</t>
  </si>
  <si>
    <t>2020-08-15 12:31:45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</si>
  <si>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</si>
  <si>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</si>
  <si>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</si>
  <si>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</si>
  <si>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</si>
  <si>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</si>
  <si>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</si>
  <si>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</si>
  <si>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</si>
  <si>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</si>
  <si>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</si>
  <si>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{"co2aspan2b": "0.163711", "h2oazero": "1.00263", "flowbzero": "0.22736", "co2azero": "0.869071", "co2bzero": "0.880288", "h2obspan1": "0.998578", "h2oaspanconc2": "0", "co2bspanconc1": "1002", "co2aspanconc2": "0", "tbzero": "0.197721", "h2oaspanconc1": "12.19", "flowazero": "0.42932", "co2aspanconc1": "1002", "h2obzero": "1.01783", "co2bspan1": "0.992131", "oxygen": "21", "chamberpressurezero": "2.59209", "co2aspan1": "0.992625", "tazero": "0.00774765", "ssa_ref": "36614.9", "co2bspan2": "0", "co2aspan2a": "0.164928", "h2oaspan2b": "0.0662632", "co2aspan2": "0", "h2oaspan1": "1.00223", "co2bspan2a": "0.163389", "h2obspanconc2": "0", "h2obspanconc1": "20", "ssb_ref": "36526.8", "h2oaspan2": "0", "h2obspan2": "0", "flowmeterzero": "0.990908", "h2oaspan2a": "0.0661155", "h2obspan2b": "0.0963575", "co2bspanconc2": "0", "co2bspan2b": "0.162103", "h2obspan2a": "0.0975941"}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</si>
  <si>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</si>
  <si>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</si>
  <si>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</si>
  <si>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</si>
  <si>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</si>
  <si>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</si>
  <si>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</si>
  <si>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</si>
  <si>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</si>
  <si>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12:31:45</t>
  </si>
  <si>
    <t>Stability Definition:	H2O_s (Meas): Slp&lt;0.2	CO2_s (Meas): Slp&lt;0.3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</si>
  <si>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</si>
  <si>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</si>
  <si>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</si>
  <si>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</si>
  <si>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</si>
  <si>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</si>
  <si>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</si>
  <si>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</si>
  <si>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</si>
  <si>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</si>
  <si>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</si>
  <si>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</si>
  <si>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</si>
  <si>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</si>
  <si>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</si>
  <si>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</si>
  <si>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</si>
  <si>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</si>
  <si>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</si>
  <si>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</si>
  <si>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</si>
  <si>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</si>
  <si>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</si>
  <si>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</si>
  <si>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</si>
  <si>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</si>
  <si>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</si>
  <si>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</si>
  <si>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</si>
  <si>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</si>
  <si>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</si>
  <si>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</si>
  <si>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</si>
  <si>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</si>
  <si>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</si>
  <si>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</si>
  <si>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</si>
  <si>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</si>
  <si>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</si>
  <si>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</si>
  <si>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</si>
  <si>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</si>
  <si>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</si>
  <si>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</si>
  <si>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</si>
  <si>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</si>
  <si>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3.00186 75.5949 388.782 621.537 849.04 1054.8 1229.05 1393.75</t>
  </si>
  <si>
    <t>Fs_true</t>
  </si>
  <si>
    <t>0.276677 99.6915 402.487 601.632 800.517 1001.11 1200.75 1401.88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</si>
  <si>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</si>
  <si>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</si>
  <si>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</si>
  <si>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</si>
  <si>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</si>
  <si>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</si>
  <si>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</si>
  <si>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</si>
  <si>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</si>
  <si>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</si>
  <si>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</si>
  <si>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</si>
  <si>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</si>
  <si>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</si>
  <si>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</si>
  <si>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</si>
  <si>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</si>
  <si>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</si>
  <si>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</si>
  <si>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</si>
  <si>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</si>
  <si>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</si>
  <si>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</si>
  <si>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</si>
  <si>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</si>
  <si>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</si>
  <si>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</si>
  <si>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</si>
  <si>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</si>
  <si>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</si>
  <si>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</si>
  <si>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</si>
  <si>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</si>
  <si>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</si>
  <si>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</si>
  <si>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</si>
  <si>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</si>
  <si>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</si>
  <si>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</si>
  <si>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</si>
  <si>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</si>
  <si>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</si>
  <si>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</si>
  <si>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</si>
  <si>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</si>
  <si>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</si>
  <si>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</si>
  <si>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</si>
  <si>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</si>
  <si>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</si>
  <si>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</si>
  <si>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</si>
  <si>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</si>
  <si>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</si>
  <si>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</si>
  <si>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</si>
  <si>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</si>
  <si>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</si>
  <si>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</si>
  <si>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</si>
  <si>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</si>
  <si>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</si>
  <si>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</si>
  <si>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</si>
  <si>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</si>
  <si>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</si>
  <si>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</si>
  <si>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</si>
  <si>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</si>
  <si>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</si>
  <si>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</si>
  <si>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</si>
  <si>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</si>
  <si>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</si>
  <si>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</si>
  <si>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</si>
  <si>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</si>
  <si>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</si>
  <si>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</si>
  <si>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</si>
  <si>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</si>
  <si>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</si>
  <si>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</si>
  <si>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</si>
  <si>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</si>
  <si>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</si>
  <si>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</si>
  <si>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</si>
  <si>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</si>
  <si>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</si>
  <si>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</si>
  <si>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</si>
  <si>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</si>
  <si>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</si>
  <si>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</si>
  <si>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</si>
  <si>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</si>
  <si>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</si>
  <si>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</si>
  <si>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</si>
  <si>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</si>
  <si>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</si>
  <si>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</si>
  <si>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</si>
  <si>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</si>
  <si>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</si>
  <si>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</si>
  <si>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</si>
  <si>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</si>
  <si>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</si>
  <si>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</si>
  <si>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</si>
  <si>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</si>
  <si>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</si>
  <si>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</si>
  <si>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</si>
  <si>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</si>
  <si>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</si>
  <si>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</si>
  <si>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</si>
  <si>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</si>
  <si>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</si>
  <si>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</si>
  <si>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</si>
  <si>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</si>
  <si>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</si>
  <si>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</si>
  <si>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</si>
  <si>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</si>
  <si>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</si>
  <si>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</si>
  <si>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</si>
  <si>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</si>
  <si>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</si>
  <si>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</si>
  <si>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</si>
  <si>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</si>
  <si>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</si>
  <si>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</si>
  <si>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</si>
  <si>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</si>
  <si>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</si>
  <si>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</si>
  <si>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</si>
  <si>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</si>
  <si>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</si>
  <si>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</si>
  <si>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</si>
  <si>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</si>
  <si>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</si>
  <si>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</si>
  <si>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</si>
  <si>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</si>
  <si>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</si>
  <si>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</si>
  <si>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</si>
  <si>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</si>
  <si>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</si>
  <si>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</si>
  <si>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</si>
  <si>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</si>
  <si>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</si>
  <si>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</si>
  <si>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</si>
  <si>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</si>
  <si>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</si>
  <si>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</si>
  <si>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</si>
  <si>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</si>
  <si>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</si>
  <si>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</si>
  <si>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</si>
  <si>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</si>
  <si>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</si>
  <si>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</si>
  <si>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</si>
  <si>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</si>
  <si>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</si>
  <si>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</si>
  <si>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</si>
  <si>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</si>
  <si>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</si>
  <si>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</si>
  <si>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</si>
  <si>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</si>
  <si>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</si>
  <si>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</si>
  <si>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</si>
  <si>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</si>
  <si>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</si>
  <si>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</si>
  <si>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</si>
  <si>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</si>
  <si>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</si>
  <si>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</si>
  <si>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</si>
  <si>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</si>
  <si>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</si>
  <si>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</si>
  <si>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</si>
  <si>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</si>
  <si>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</si>
  <si>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</si>
  <si>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20200815 12:40:18</t>
  </si>
  <si>
    <t>12:40:18</t>
  </si>
  <si>
    <t>MPF-6206-20200815-12_40_20</t>
  </si>
  <si>
    <t>DARK-6207-20200815-12_40_28</t>
  </si>
  <si>
    <t>0: Broadleaf</t>
  </si>
  <si>
    <t>12:40:48</t>
  </si>
  <si>
    <t>2/2</t>
  </si>
  <si>
    <t>5</t>
  </si>
  <si>
    <t>11111111</t>
  </si>
  <si>
    <t>oooooooo</t>
  </si>
  <si>
    <t>off</t>
  </si>
  <si>
    <t>20200815 12:42:20</t>
  </si>
  <si>
    <t>12:42:20</t>
  </si>
  <si>
    <t>MPF-6208-20200815-12_42_22</t>
  </si>
  <si>
    <t>DARK-6209-20200815-12_42_30</t>
  </si>
  <si>
    <t>12:42:49</t>
  </si>
  <si>
    <t>20200815 12:44:21</t>
  </si>
  <si>
    <t>12:44:21</t>
  </si>
  <si>
    <t>MPF-6210-20200815-12_44_22</t>
  </si>
  <si>
    <t>DARK-6211-20200815-12_44_30</t>
  </si>
  <si>
    <t>12:44:54</t>
  </si>
  <si>
    <t>20200815 12:46:26</t>
  </si>
  <si>
    <t>12:46:26</t>
  </si>
  <si>
    <t>MPF-6212-20200815-12_46_27</t>
  </si>
  <si>
    <t>DARK-6213-20200815-12_46_35</t>
  </si>
  <si>
    <t>12:46:53</t>
  </si>
  <si>
    <t>20200815 12:48:24</t>
  </si>
  <si>
    <t>12:48:24</t>
  </si>
  <si>
    <t>MPF-6214-20200815-12_48_26</t>
  </si>
  <si>
    <t>DARK-6215-20200815-12_48_34</t>
  </si>
  <si>
    <t>12:48:49</t>
  </si>
  <si>
    <t>20200815 12:50:21</t>
  </si>
  <si>
    <t>12:50:21</t>
  </si>
  <si>
    <t>MPF-6216-20200815-12_50_23</t>
  </si>
  <si>
    <t>DARK-6217-20200815-12_50_30</t>
  </si>
  <si>
    <t>12:50:47</t>
  </si>
  <si>
    <t>20200815 12:52:19</t>
  </si>
  <si>
    <t>12:52:19</t>
  </si>
  <si>
    <t>MPF-6218-20200815-12_52_20</t>
  </si>
  <si>
    <t>DARK-6219-20200815-12_52_28</t>
  </si>
  <si>
    <t>12:52:51</t>
  </si>
  <si>
    <t>20200815 12:54:30</t>
  </si>
  <si>
    <t>12:54:30</t>
  </si>
  <si>
    <t>MPF-6220-20200815-12_54_32</t>
  </si>
  <si>
    <t>DARK-6221-20200815-12_54_40</t>
  </si>
  <si>
    <t>12:55:01</t>
  </si>
  <si>
    <t>20200815 12:56:36</t>
  </si>
  <si>
    <t>12:56:36</t>
  </si>
  <si>
    <t>MPF-6222-20200815-12_56_37</t>
  </si>
  <si>
    <t>DARK-6223-20200815-12_56_45</t>
  </si>
  <si>
    <t>12:57:04</t>
  </si>
  <si>
    <t>20200815 12:58:36</t>
  </si>
  <si>
    <t>12:58:36</t>
  </si>
  <si>
    <t>MPF-6224-20200815-12_58_37</t>
  </si>
  <si>
    <t>DARK-6225-20200815-12_58_45</t>
  </si>
  <si>
    <t>12:59:02</t>
  </si>
  <si>
    <t>20200815 13:00:41</t>
  </si>
  <si>
    <t>13:00:41</t>
  </si>
  <si>
    <t>MPF-6226-20200815-13_00_42</t>
  </si>
  <si>
    <t>DARK-6227-20200815-13_00_50</t>
  </si>
  <si>
    <t>13:01:06</t>
  </si>
  <si>
    <t>20200815 13:02:38</t>
  </si>
  <si>
    <t>13:02:38</t>
  </si>
  <si>
    <t>MPF-6228-20200815-13_02_40</t>
  </si>
  <si>
    <t>DARK-6229-20200815-13_02_48</t>
  </si>
  <si>
    <t>13:03:07</t>
  </si>
  <si>
    <t>20200815 13:04:48</t>
  </si>
  <si>
    <t>13:04:48</t>
  </si>
  <si>
    <t>MPF-6230-20200815-13_04_50</t>
  </si>
  <si>
    <t>DARK-6231-20200815-13_04_58</t>
  </si>
  <si>
    <t>13:05:13</t>
  </si>
  <si>
    <t>20200815 13:06:44</t>
  </si>
  <si>
    <t>13:06:44</t>
  </si>
  <si>
    <t>MPF-6232-20200815-13_06_46</t>
  </si>
  <si>
    <t>DARK-6233-20200815-13_06_54</t>
  </si>
  <si>
    <t>13:07:18</t>
  </si>
  <si>
    <t>20200815 13:08:50</t>
  </si>
  <si>
    <t>13:08:50</t>
  </si>
  <si>
    <t>MPF-6234-20200815-13_08_51</t>
  </si>
  <si>
    <t>DARK-6235-20200815-13_08_59</t>
  </si>
  <si>
    <t>13:09:19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</si>
</sst>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1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1597513218.5999999</v>
      </c>
      <c r="C17">
        <v>0</v>
      </c>
      <c r="D17" t="s">
        <v>277</v>
      </c>
      <c r="E17" t="s">
        <v>278</v>
      </c>
      <c r="G17">
        <v>1597513210.6129</v>
      </c>
      <c r="H17">
        <f t="shared" ref="H17:H31" si="0">CC17*AI17*(CA17-CB17)/(100*$B$5*(1000-AI17*CA17))</f>
        <v>1.1980682790834359E-2</v>
      </c>
      <c r="I17">
        <f t="shared" ref="I17:I31" si="1">CC17*AI17*(BZ17-BY17*(1000-AI17*CB17)/(1000-AI17*CA17))/(100*$B$5)</f>
        <v>38.750814701856918</v>
      </c>
      <c r="J17">
        <f t="shared" ref="J17:J31" si="2">BY17 - IF(AI17&gt;1, I17*$B$5*100/(AK17*CI17), 0)</f>
        <v>382.65467741935498</v>
      </c>
      <c r="K17">
        <f t="shared" ref="K17:K31" si="3">((Q17-H17/2)*J17-I17)/(Q17+H17/2)</f>
        <v>296.09205343206878</v>
      </c>
      <c r="L17">
        <f t="shared" ref="L17:L31" si="4">K17*(CD17+CE17)/1000</f>
        <v>29.385292260926771</v>
      </c>
      <c r="M17">
        <f t="shared" ref="M17:M31" si="5">(BY17 - IF(AI17&gt;1, I17*$B$5*100/(AK17*CI17), 0))*(CD17+CE17)/1000</f>
        <v>37.976093585227417</v>
      </c>
      <c r="N17">
        <f t="shared" ref="N17:N31" si="6">2/((1/P17-1/O17)+SIGN(P17)*SQRT((1/P17-1/O17)*(1/P17-1/O17) + 4*BV17/((BV17+1)*(BV17+1))*(2*1/P17*1/O17-1/O17*1/O17)))</f>
        <v>0.88976610149427815</v>
      </c>
      <c r="O17">
        <f t="shared" ref="O17:O31" si="7">AF17+AE17*$B$5+AD17*$B$5*$B$5</f>
        <v>3.3747418593976297</v>
      </c>
      <c r="P17">
        <f t="shared" ref="P17:P31" si="8">H17*(1000-(1000*0.61365*EXP(17.502*T17/(240.97+T17))/(CD17+CE17)+CA17)/2)/(1000*0.61365*EXP(17.502*T17/(240.97+T17))/(CD17+CE17)-CA17)</f>
        <v>0.77713010659650794</v>
      </c>
      <c r="Q17">
        <f t="shared" ref="Q17:Q31" si="9">1/((BV17+1)/(N17/1.6)+1/(O17/1.37)) + BV17/((BV17+1)/(N17/1.6) + BV17/(O17/1.37))</f>
        <v>0.49463310339308753</v>
      </c>
      <c r="R17">
        <f t="shared" ref="R17:R31" si="10">(BS17*BU17)</f>
        <v>321.44121551556475</v>
      </c>
      <c r="S17">
        <f t="shared" ref="S17:S31" si="11">(CF17+(R17+2*0.95*0.0000000567*(((CF17+$B$7)+273)^4-(CF17+273)^4)-44100*H17)/(1.84*29.3*O17+8*0.95*0.0000000567*(CF17+273)^3))</f>
        <v>27.026924491282575</v>
      </c>
      <c r="T17">
        <f t="shared" ref="T17:T31" si="12">($C$7*CG17+$D$7*CH17+$E$7*S17)</f>
        <v>26.9976387096774</v>
      </c>
      <c r="U17">
        <f t="shared" ref="U17:U31" si="13">0.61365*EXP(17.502*T17/(240.97+T17))</f>
        <v>3.5786633491156388</v>
      </c>
      <c r="V17">
        <f t="shared" ref="V17:V31" si="14">(W17/X17*100)</f>
        <v>54.832749809570345</v>
      </c>
      <c r="W17">
        <f t="shared" ref="W17:W31" si="15">CA17*(CD17+CE17)/1000</f>
        <v>2.0923785361790119</v>
      </c>
      <c r="X17">
        <f t="shared" ref="X17:X31" si="16">0.61365*EXP(17.502*CF17/(240.97+CF17))</f>
        <v>3.8159285161617307</v>
      </c>
      <c r="Y17">
        <f t="shared" ref="Y17:Y31" si="17">(U17-CA17*(CD17+CE17)/1000)</f>
        <v>1.4862848129366268</v>
      </c>
      <c r="Z17">
        <f t="shared" ref="Z17:Z31" si="18">(-H17*44100)</f>
        <v>-528.34811107579526</v>
      </c>
      <c r="AA17">
        <f t="shared" ref="AA17:AA31" si="19">2*29.3*O17*0.92*(CF17-T17)</f>
        <v>199.67051402492888</v>
      </c>
      <c r="AB17">
        <f t="shared" ref="AB17:AB31" si="20">2*0.95*0.0000000567*(((CF17+$B$7)+273)^4-(T17+273)^4)</f>
        <v>12.838683243457075</v>
      </c>
      <c r="AC17">
        <f t="shared" ref="AC17:AC31" si="21">R17+AB17+Z17+AA17</f>
        <v>5.6023017081554372</v>
      </c>
      <c r="AD17">
        <v>-4.1056855913787299E-2</v>
      </c>
      <c r="AE17">
        <v>4.60899175413493E-2</v>
      </c>
      <c r="AF17">
        <v>3.44678944797008</v>
      </c>
      <c r="AG17">
        <v>155</v>
      </c>
      <c r="AH17">
        <v>31</v>
      </c>
      <c r="AI17">
        <f t="shared" ref="AI17:AI31" si="22">IF(AG17*$H$13&gt;=AK17,1,(AK17/(AK17-AG17*$H$13)))</f>
        <v>1</v>
      </c>
      <c r="AJ17">
        <f t="shared" ref="AJ17:AJ31" si="23">(AI17-1)*100</f>
        <v>0</v>
      </c>
      <c r="AK17">
        <f t="shared" ref="AK17:AK31" si="24">MAX(0,($B$13+$C$13*CI17)/(1+$D$13*CI17)*CD17/(CF17+273)*$E$13)</f>
        <v>52164.306531998212</v>
      </c>
      <c r="AL17">
        <v>0</v>
      </c>
      <c r="AM17">
        <v>0</v>
      </c>
      <c r="AN17">
        <v>0</v>
      </c>
      <c r="AO17">
        <f t="shared" ref="AO17:AO31" si="25">AN17-AM17</f>
        <v>0</v>
      </c>
      <c r="AP17" t="e">
        <f t="shared" ref="AP17:AP31" si="26">AO17/AN17</f>
        <v>#DIV/0!</v>
      </c>
      <c r="AQ17">
        <v>-1</v>
      </c>
      <c r="AR17" t="s">
        <v>279</v>
      </c>
      <c r="AS17">
        <v>312.528192307692</v>
      </c>
      <c r="AT17">
        <v>473.27100000000002</v>
      </c>
      <c r="AU17">
        <f t="shared" ref="AU17:AU31" si="27">1-AS17/AT17</f>
        <v>0.33964220857037086</v>
      </c>
      <c r="AV17">
        <v>0.5</v>
      </c>
      <c r="AW17">
        <f t="shared" ref="AW17:AW31" si="28">BS17</f>
        <v>1681.2043175434189</v>
      </c>
      <c r="AX17">
        <f t="shared" ref="AX17:AX31" si="29">I17</f>
        <v>38.750814701856918</v>
      </c>
      <c r="AY17">
        <f t="shared" ref="AY17:AY31" si="30">AU17*AV17*AW17</f>
        <v>285.50397373424494</v>
      </c>
      <c r="AZ17">
        <f t="shared" ref="AZ17:AZ31" si="31">BE17/AT17</f>
        <v>0.58404381422060514</v>
      </c>
      <c r="BA17">
        <f t="shared" ref="BA17:BA31" si="32">(AX17-AQ17)/AW17</f>
        <v>2.3644249712575647E-2</v>
      </c>
      <c r="BB17">
        <f t="shared" ref="BB17:BB31" si="33">(AN17-AT17)/AT17</f>
        <v>-1</v>
      </c>
      <c r="BC17" t="s">
        <v>280</v>
      </c>
      <c r="BD17">
        <v>196.86</v>
      </c>
      <c r="BE17">
        <f t="shared" ref="BE17:BE31" si="34">AT17-BD17</f>
        <v>276.411</v>
      </c>
      <c r="BF17">
        <f t="shared" ref="BF17:BF31" si="35">(AT17-AS17)/(AT17-BD17)</f>
        <v>0.5815354949416196</v>
      </c>
      <c r="BG17">
        <f t="shared" ref="BG17:BG31" si="36">(AN17-AT17)/(AN17-BD17)</f>
        <v>2.4040993599512341</v>
      </c>
      <c r="BH17">
        <f t="shared" ref="BH17:BH31" si="37">(AT17-AS17)/(AT17-AM17)</f>
        <v>0.33964220857037092</v>
      </c>
      <c r="BI17" t="e">
        <f t="shared" ref="BI17:BI31" si="38">(AN17-AT17)/(AN17-AM17)</f>
        <v>#DIV/0!</v>
      </c>
      <c r="BJ17">
        <v>6206</v>
      </c>
      <c r="BK17">
        <v>300</v>
      </c>
      <c r="BL17">
        <v>300</v>
      </c>
      <c r="BM17">
        <v>300</v>
      </c>
      <c r="BN17">
        <v>9871.98</v>
      </c>
      <c r="BO17">
        <v>430.67500000000001</v>
      </c>
      <c r="BP17">
        <v>-6.5662100000000003E-3</v>
      </c>
      <c r="BQ17">
        <v>2.2657500000000002</v>
      </c>
      <c r="BR17">
        <f t="shared" ref="BR17:BR31" si="39">$B$11*CJ17+$C$11*CK17+$F$11*CL17</f>
        <v>2000.00870967742</v>
      </c>
      <c r="BS17">
        <f t="shared" ref="BS17:BS31" si="40">BR17*BT17</f>
        <v>1681.2043175434189</v>
      </c>
      <c r="BT17">
        <f t="shared" ref="BT17:BT31" si="41">($B$11*$D$9+$C$11*$D$9+$F$11*((CY17+CQ17)/MAX(CY17+CQ17+CZ17, 0.1)*$I$9+CZ17/MAX(CY17+CQ17+CZ17, 0.1)*$J$9))/($B$11+$C$11+$F$11)</f>
        <v>0.84059849810083032</v>
      </c>
      <c r="BU17">
        <f t="shared" ref="BU17:BU31" si="42">($B$11*$K$9+$C$11*$K$9+$F$11*((CY17+CQ17)/MAX(CY17+CQ17+CZ17, 0.1)*$P$9+CZ17/MAX(CY17+CQ17+CZ17, 0.1)*$Q$9))/($B$11+$C$11+$F$11)</f>
        <v>0.19119699620166078</v>
      </c>
      <c r="BV17">
        <v>0.5</v>
      </c>
      <c r="BW17" t="s">
        <v>281</v>
      </c>
      <c r="BX17">
        <v>1597513210.6129</v>
      </c>
      <c r="BY17">
        <v>382.65467741935498</v>
      </c>
      <c r="BZ17">
        <v>399.98680645161301</v>
      </c>
      <c r="CA17">
        <v>21.083222580645199</v>
      </c>
      <c r="CB17">
        <v>16.392522580645199</v>
      </c>
      <c r="CC17">
        <v>500.05719354838698</v>
      </c>
      <c r="CD17">
        <v>99.043780645161306</v>
      </c>
      <c r="CE17">
        <v>0.199991419354839</v>
      </c>
      <c r="CF17">
        <v>28.0950967741935</v>
      </c>
      <c r="CG17">
        <v>26.9976387096774</v>
      </c>
      <c r="CH17">
        <v>999.9</v>
      </c>
      <c r="CI17">
        <v>9996.65032258065</v>
      </c>
      <c r="CJ17">
        <v>0</v>
      </c>
      <c r="CK17">
        <v>188.425806451613</v>
      </c>
      <c r="CL17">
        <v>2000.00870967742</v>
      </c>
      <c r="CM17">
        <v>0.97999793548387104</v>
      </c>
      <c r="CN17">
        <v>2.0001883870967699E-2</v>
      </c>
      <c r="CO17">
        <v>0</v>
      </c>
      <c r="CP17">
        <v>312.59300000000002</v>
      </c>
      <c r="CQ17">
        <v>5.00054</v>
      </c>
      <c r="CR17">
        <v>8348.9835483870993</v>
      </c>
      <c r="CS17">
        <v>18703.6870967742</v>
      </c>
      <c r="CT17">
        <v>48.138935483871002</v>
      </c>
      <c r="CU17">
        <v>50.338419354838699</v>
      </c>
      <c r="CV17">
        <v>48.683</v>
      </c>
      <c r="CW17">
        <v>49.300064516128998</v>
      </c>
      <c r="CX17">
        <v>49.7296774193548</v>
      </c>
      <c r="CY17">
        <v>1955.1058064516101</v>
      </c>
      <c r="CZ17">
        <v>39.9</v>
      </c>
      <c r="DA17">
        <v>0</v>
      </c>
      <c r="DB17">
        <v>567.79999995231606</v>
      </c>
      <c r="DC17">
        <v>312.528192307692</v>
      </c>
      <c r="DD17">
        <v>-5.1545641058939999</v>
      </c>
      <c r="DE17">
        <v>14.7822221999934</v>
      </c>
      <c r="DF17">
        <v>8349.5976923076905</v>
      </c>
      <c r="DG17">
        <v>15</v>
      </c>
      <c r="DH17">
        <v>1597513248.7</v>
      </c>
      <c r="DI17" t="s">
        <v>282</v>
      </c>
      <c r="DJ17">
        <v>62</v>
      </c>
      <c r="DK17">
        <v>-0.30099999999999999</v>
      </c>
      <c r="DL17">
        <v>0.10100000000000001</v>
      </c>
      <c r="DM17">
        <v>400</v>
      </c>
      <c r="DN17">
        <v>16</v>
      </c>
      <c r="DO17">
        <v>0.14000000000000001</v>
      </c>
      <c r="DP17">
        <v>0.02</v>
      </c>
      <c r="DQ17">
        <v>382.94207407407401</v>
      </c>
      <c r="DR17">
        <v>-8.7463047672254698E-2</v>
      </c>
      <c r="DS17">
        <v>1.55906570453508E-2</v>
      </c>
      <c r="DT17">
        <v>1</v>
      </c>
      <c r="DU17">
        <v>21.120377777777801</v>
      </c>
      <c r="DV17">
        <v>-0.19805248980021001</v>
      </c>
      <c r="DW17">
        <v>2.64566778426382E-2</v>
      </c>
      <c r="DX17">
        <v>1</v>
      </c>
      <c r="DY17">
        <v>2</v>
      </c>
      <c r="DZ17">
        <v>2</v>
      </c>
      <c r="EA17" t="s">
        <v>283</v>
      </c>
      <c r="EB17">
        <v>1.86676</v>
      </c>
      <c r="EC17">
        <v>1.8632500000000001</v>
      </c>
      <c r="ED17">
        <v>1.8689100000000001</v>
      </c>
      <c r="EE17">
        <v>1.8668899999999999</v>
      </c>
      <c r="EF17">
        <v>1.8714999999999999</v>
      </c>
      <c r="EG17">
        <v>1.8640000000000001</v>
      </c>
      <c r="EH17">
        <v>1.86554</v>
      </c>
      <c r="EI17">
        <v>1.8654500000000001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-0.30099999999999999</v>
      </c>
      <c r="EX17">
        <v>0.10100000000000001</v>
      </c>
      <c r="EY17">
        <v>2</v>
      </c>
      <c r="EZ17">
        <v>329.81</v>
      </c>
      <c r="FA17">
        <v>466.01499999999999</v>
      </c>
      <c r="FB17">
        <v>23.793099999999999</v>
      </c>
      <c r="FC17">
        <v>35.163400000000003</v>
      </c>
      <c r="FD17">
        <v>30.0001</v>
      </c>
      <c r="FE17">
        <v>35.097200000000001</v>
      </c>
      <c r="FF17">
        <v>35.088999999999999</v>
      </c>
      <c r="FG17">
        <v>22.049099999999999</v>
      </c>
      <c r="FH17">
        <v>55.534599999999998</v>
      </c>
      <c r="FI17">
        <v>0</v>
      </c>
      <c r="FJ17">
        <v>23.720800000000001</v>
      </c>
      <c r="FK17">
        <v>400</v>
      </c>
      <c r="FL17">
        <v>16.432400000000001</v>
      </c>
      <c r="FM17">
        <v>100.44</v>
      </c>
      <c r="FN17">
        <v>101.027</v>
      </c>
    </row>
    <row r="18" spans="1:170" x14ac:dyDescent="0.25">
      <c r="A18">
        <v>2</v>
      </c>
      <c r="B18">
        <v>1597513340.7</v>
      </c>
      <c r="C18">
        <v>122.10000014305101</v>
      </c>
      <c r="D18" t="s">
        <v>288</v>
      </c>
      <c r="E18" t="s">
        <v>289</v>
      </c>
      <c r="G18">
        <v>1597513332.63871</v>
      </c>
      <c r="H18">
        <f t="shared" si="0"/>
        <v>1.1125906431964476E-2</v>
      </c>
      <c r="I18">
        <f t="shared" si="1"/>
        <v>29.467830369220987</v>
      </c>
      <c r="J18">
        <f t="shared" si="2"/>
        <v>286.93570967741903</v>
      </c>
      <c r="K18">
        <f t="shared" si="3"/>
        <v>216.46460692599078</v>
      </c>
      <c r="L18">
        <f t="shared" si="4"/>
        <v>21.482370451453587</v>
      </c>
      <c r="M18">
        <f t="shared" si="5"/>
        <v>28.476060352667915</v>
      </c>
      <c r="N18">
        <f t="shared" si="6"/>
        <v>0.81627876008103728</v>
      </c>
      <c r="O18">
        <f t="shared" si="7"/>
        <v>3.3721416157649271</v>
      </c>
      <c r="P18">
        <f t="shared" si="8"/>
        <v>0.72034692040637438</v>
      </c>
      <c r="Q18">
        <f t="shared" si="9"/>
        <v>0.45789297342508817</v>
      </c>
      <c r="R18">
        <f t="shared" si="10"/>
        <v>321.43966775294052</v>
      </c>
      <c r="S18">
        <f t="shared" si="11"/>
        <v>27.088407400189094</v>
      </c>
      <c r="T18">
        <f t="shared" si="12"/>
        <v>27.025838709677402</v>
      </c>
      <c r="U18">
        <f t="shared" si="13"/>
        <v>3.5845949221280371</v>
      </c>
      <c r="V18">
        <f t="shared" si="14"/>
        <v>55.343926116814878</v>
      </c>
      <c r="W18">
        <f t="shared" si="15"/>
        <v>2.0956487933135053</v>
      </c>
      <c r="X18">
        <f t="shared" si="16"/>
        <v>3.7865922068669327</v>
      </c>
      <c r="Y18">
        <f t="shared" si="17"/>
        <v>1.4889461288145318</v>
      </c>
      <c r="Z18">
        <f t="shared" si="18"/>
        <v>-490.65247364963341</v>
      </c>
      <c r="AA18">
        <f t="shared" si="19"/>
        <v>170.31741865849094</v>
      </c>
      <c r="AB18">
        <f t="shared" si="20"/>
        <v>10.954033679702414</v>
      </c>
      <c r="AC18">
        <f t="shared" si="21"/>
        <v>12.058646441500485</v>
      </c>
      <c r="AD18">
        <v>-4.1016689185562498E-2</v>
      </c>
      <c r="AE18">
        <v>4.6044826870118301E-2</v>
      </c>
      <c r="AF18">
        <v>3.4441187187669402</v>
      </c>
      <c r="AG18">
        <v>154</v>
      </c>
      <c r="AH18">
        <v>31</v>
      </c>
      <c r="AI18">
        <f t="shared" si="22"/>
        <v>1</v>
      </c>
      <c r="AJ18">
        <f t="shared" si="23"/>
        <v>0</v>
      </c>
      <c r="AK18">
        <f t="shared" si="24"/>
        <v>52138.237648324051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287.00846153846197</v>
      </c>
      <c r="AT18">
        <v>420.45400000000001</v>
      </c>
      <c r="AU18">
        <f t="shared" si="27"/>
        <v>0.31738439510990035</v>
      </c>
      <c r="AV18">
        <v>0.5</v>
      </c>
      <c r="AW18">
        <f t="shared" si="28"/>
        <v>1681.1961867735804</v>
      </c>
      <c r="AX18">
        <f t="shared" si="29"/>
        <v>29.467830369220987</v>
      </c>
      <c r="AY18">
        <f t="shared" si="30"/>
        <v>266.79271740010194</v>
      </c>
      <c r="AZ18">
        <f t="shared" si="31"/>
        <v>0.54896373919620223</v>
      </c>
      <c r="BA18">
        <f t="shared" si="32"/>
        <v>1.8122709656921393E-2</v>
      </c>
      <c r="BB18">
        <f t="shared" si="33"/>
        <v>-1</v>
      </c>
      <c r="BC18" t="s">
        <v>291</v>
      </c>
      <c r="BD18">
        <v>189.64</v>
      </c>
      <c r="BE18">
        <f t="shared" si="34"/>
        <v>230.81400000000002</v>
      </c>
      <c r="BF18">
        <f t="shared" si="35"/>
        <v>0.57815183854332075</v>
      </c>
      <c r="BG18">
        <f t="shared" si="36"/>
        <v>2.2171166420586377</v>
      </c>
      <c r="BH18">
        <f t="shared" si="37"/>
        <v>0.31738439510990035</v>
      </c>
      <c r="BI18" t="e">
        <f t="shared" si="38"/>
        <v>#DIV/0!</v>
      </c>
      <c r="BJ18">
        <v>6208</v>
      </c>
      <c r="BK18">
        <v>300</v>
      </c>
      <c r="BL18">
        <v>300</v>
      </c>
      <c r="BM18">
        <v>300</v>
      </c>
      <c r="BN18">
        <v>9870.2900000000009</v>
      </c>
      <c r="BO18">
        <v>383.36399999999998</v>
      </c>
      <c r="BP18">
        <v>-6.5649000000000002E-3</v>
      </c>
      <c r="BQ18">
        <v>1.8079799999999999</v>
      </c>
      <c r="BR18">
        <f t="shared" si="39"/>
        <v>1999.99903225806</v>
      </c>
      <c r="BS18">
        <f t="shared" si="40"/>
        <v>1681.1961867735804</v>
      </c>
      <c r="BT18">
        <f t="shared" si="41"/>
        <v>0.84059850012800186</v>
      </c>
      <c r="BU18">
        <f t="shared" si="42"/>
        <v>0.19119700025600361</v>
      </c>
      <c r="BV18">
        <v>0.5</v>
      </c>
      <c r="BW18" t="s">
        <v>281</v>
      </c>
      <c r="BX18">
        <v>1597513332.63871</v>
      </c>
      <c r="BY18">
        <v>286.93570967741903</v>
      </c>
      <c r="BZ18">
        <v>299.998516129032</v>
      </c>
      <c r="CA18">
        <v>21.116561290322601</v>
      </c>
      <c r="CB18">
        <v>16.760606451612901</v>
      </c>
      <c r="CC18">
        <v>500.04951612903199</v>
      </c>
      <c r="CD18">
        <v>99.0419451612903</v>
      </c>
      <c r="CE18">
        <v>0.20000832258064499</v>
      </c>
      <c r="CF18">
        <v>27.962683870967702</v>
      </c>
      <c r="CG18">
        <v>27.025838709677402</v>
      </c>
      <c r="CH18">
        <v>999.9</v>
      </c>
      <c r="CI18">
        <v>9987.0554838709704</v>
      </c>
      <c r="CJ18">
        <v>0</v>
      </c>
      <c r="CK18">
        <v>213.777419354839</v>
      </c>
      <c r="CL18">
        <v>1999.99903225806</v>
      </c>
      <c r="CM18">
        <v>0.98000070967742003</v>
      </c>
      <c r="CN18">
        <v>1.9999451612903198E-2</v>
      </c>
      <c r="CO18">
        <v>0</v>
      </c>
      <c r="CP18">
        <v>287.01329032258099</v>
      </c>
      <c r="CQ18">
        <v>5.00054</v>
      </c>
      <c r="CR18">
        <v>8061.9770967741897</v>
      </c>
      <c r="CS18">
        <v>18703.619354838698</v>
      </c>
      <c r="CT18">
        <v>48.499806451612898</v>
      </c>
      <c r="CU18">
        <v>50.753935483870997</v>
      </c>
      <c r="CV18">
        <v>49.054000000000002</v>
      </c>
      <c r="CW18">
        <v>49.664999999999999</v>
      </c>
      <c r="CX18">
        <v>50.054000000000002</v>
      </c>
      <c r="CY18">
        <v>1955.0990322580601</v>
      </c>
      <c r="CZ18">
        <v>39.9</v>
      </c>
      <c r="DA18">
        <v>0</v>
      </c>
      <c r="DB18">
        <v>121.19999980926499</v>
      </c>
      <c r="DC18">
        <v>287.00846153846197</v>
      </c>
      <c r="DD18">
        <v>-4.4438974395333002</v>
      </c>
      <c r="DE18">
        <v>46.183931602328798</v>
      </c>
      <c r="DF18">
        <v>8062.0069230769204</v>
      </c>
      <c r="DG18">
        <v>15</v>
      </c>
      <c r="DH18">
        <v>1597513369.7</v>
      </c>
      <c r="DI18" t="s">
        <v>292</v>
      </c>
      <c r="DJ18">
        <v>63</v>
      </c>
      <c r="DK18">
        <v>-0.435</v>
      </c>
      <c r="DL18">
        <v>0.109</v>
      </c>
      <c r="DM18">
        <v>300</v>
      </c>
      <c r="DN18">
        <v>17</v>
      </c>
      <c r="DO18">
        <v>0.09</v>
      </c>
      <c r="DP18">
        <v>0.02</v>
      </c>
      <c r="DQ18">
        <v>287.07972222222202</v>
      </c>
      <c r="DR18">
        <v>-0.124466642994894</v>
      </c>
      <c r="DS18">
        <v>2.1888113353434799E-2</v>
      </c>
      <c r="DT18">
        <v>1</v>
      </c>
      <c r="DU18">
        <v>21.1168018518519</v>
      </c>
      <c r="DV18">
        <v>-7.2159534785419296E-2</v>
      </c>
      <c r="DW18">
        <v>1.0012612245466001E-2</v>
      </c>
      <c r="DX18">
        <v>1</v>
      </c>
      <c r="DY18">
        <v>2</v>
      </c>
      <c r="DZ18">
        <v>2</v>
      </c>
      <c r="EA18" t="s">
        <v>283</v>
      </c>
      <c r="EB18">
        <v>1.86669</v>
      </c>
      <c r="EC18">
        <v>1.8632299999999999</v>
      </c>
      <c r="ED18">
        <v>1.8688199999999999</v>
      </c>
      <c r="EE18">
        <v>1.86677</v>
      </c>
      <c r="EF18">
        <v>1.8714900000000001</v>
      </c>
      <c r="EG18">
        <v>1.86392</v>
      </c>
      <c r="EH18">
        <v>1.8655200000000001</v>
      </c>
      <c r="EI18">
        <v>1.8653900000000001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-0.435</v>
      </c>
      <c r="EX18">
        <v>0.109</v>
      </c>
      <c r="EY18">
        <v>2</v>
      </c>
      <c r="EZ18">
        <v>330.61599999999999</v>
      </c>
      <c r="FA18">
        <v>466.459</v>
      </c>
      <c r="FB18">
        <v>22.200099999999999</v>
      </c>
      <c r="FC18">
        <v>35.137700000000002</v>
      </c>
      <c r="FD18">
        <v>29.999700000000001</v>
      </c>
      <c r="FE18">
        <v>35.110100000000003</v>
      </c>
      <c r="FF18">
        <v>35.11</v>
      </c>
      <c r="FG18">
        <v>17.566199999999998</v>
      </c>
      <c r="FH18">
        <v>54.191600000000001</v>
      </c>
      <c r="FI18">
        <v>0</v>
      </c>
      <c r="FJ18">
        <v>22.218599999999999</v>
      </c>
      <c r="FK18">
        <v>300</v>
      </c>
      <c r="FL18">
        <v>16.6782</v>
      </c>
      <c r="FM18">
        <v>100.44499999999999</v>
      </c>
      <c r="FN18">
        <v>101.03100000000001</v>
      </c>
    </row>
    <row r="19" spans="1:170" x14ac:dyDescent="0.25">
      <c r="A19">
        <v>3</v>
      </c>
      <c r="B19">
        <v>1597513461.0999999</v>
      </c>
      <c r="C19">
        <v>242.5</v>
      </c>
      <c r="D19" t="s">
        <v>293</v>
      </c>
      <c r="E19" t="s">
        <v>294</v>
      </c>
      <c r="G19">
        <v>1597513453.15484</v>
      </c>
      <c r="H19">
        <f t="shared" si="0"/>
        <v>1.0923899842504581E-2</v>
      </c>
      <c r="I19">
        <f t="shared" si="1"/>
        <v>18.475161513784883</v>
      </c>
      <c r="J19">
        <f t="shared" si="2"/>
        <v>191.76912903225801</v>
      </c>
      <c r="K19">
        <f t="shared" si="3"/>
        <v>145.36099193567642</v>
      </c>
      <c r="L19">
        <f t="shared" si="4"/>
        <v>14.426080105634211</v>
      </c>
      <c r="M19">
        <f t="shared" si="5"/>
        <v>19.031768979887321</v>
      </c>
      <c r="N19">
        <f t="shared" si="6"/>
        <v>0.7764825959141588</v>
      </c>
      <c r="O19">
        <f t="shared" si="7"/>
        <v>3.3753066097069415</v>
      </c>
      <c r="P19">
        <f t="shared" si="8"/>
        <v>0.68921492769898807</v>
      </c>
      <c r="Q19">
        <f t="shared" si="9"/>
        <v>0.4377798942710408</v>
      </c>
      <c r="R19">
        <f t="shared" si="10"/>
        <v>321.43508212552848</v>
      </c>
      <c r="S19">
        <f t="shared" si="11"/>
        <v>27.027651806960222</v>
      </c>
      <c r="T19">
        <f t="shared" si="12"/>
        <v>27.019529032258099</v>
      </c>
      <c r="U19">
        <f t="shared" si="13"/>
        <v>3.5832670031797047</v>
      </c>
      <c r="V19">
        <f t="shared" si="14"/>
        <v>54.610791668686709</v>
      </c>
      <c r="W19">
        <f t="shared" si="15"/>
        <v>2.0549683079159928</v>
      </c>
      <c r="X19">
        <f t="shared" si="16"/>
        <v>3.7629344770958362</v>
      </c>
      <c r="Y19">
        <f t="shared" si="17"/>
        <v>1.5282986952637119</v>
      </c>
      <c r="Z19">
        <f t="shared" si="18"/>
        <v>-481.74398305445203</v>
      </c>
      <c r="AA19">
        <f t="shared" si="19"/>
        <v>152.07545816386516</v>
      </c>
      <c r="AB19">
        <f t="shared" si="20"/>
        <v>9.7660712269866838</v>
      </c>
      <c r="AC19">
        <f t="shared" si="21"/>
        <v>1.5326284619283115</v>
      </c>
      <c r="AD19">
        <v>-4.10655816049686E-2</v>
      </c>
      <c r="AE19">
        <v>4.6099712894112903E-2</v>
      </c>
      <c r="AF19">
        <v>3.4473695103385902</v>
      </c>
      <c r="AG19">
        <v>154</v>
      </c>
      <c r="AH19">
        <v>31</v>
      </c>
      <c r="AI19">
        <f t="shared" si="22"/>
        <v>1</v>
      </c>
      <c r="AJ19">
        <f t="shared" si="23"/>
        <v>0</v>
      </c>
      <c r="AK19">
        <f t="shared" si="24"/>
        <v>52216.52168234899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295</v>
      </c>
      <c r="AS19">
        <v>274.601615384615</v>
      </c>
      <c r="AT19">
        <v>377.09199999999998</v>
      </c>
      <c r="AU19">
        <f t="shared" si="27"/>
        <v>0.27179145835866314</v>
      </c>
      <c r="AV19">
        <v>0.5</v>
      </c>
      <c r="AW19">
        <f t="shared" si="28"/>
        <v>1681.1725556738829</v>
      </c>
      <c r="AX19">
        <f t="shared" si="29"/>
        <v>18.475161513784883</v>
      </c>
      <c r="AY19">
        <f t="shared" si="30"/>
        <v>228.46417032958271</v>
      </c>
      <c r="AZ19">
        <f t="shared" si="31"/>
        <v>0.4906282816925312</v>
      </c>
      <c r="BA19">
        <f t="shared" si="32"/>
        <v>1.1584272802965451E-2</v>
      </c>
      <c r="BB19">
        <f t="shared" si="33"/>
        <v>-1</v>
      </c>
      <c r="BC19" t="s">
        <v>296</v>
      </c>
      <c r="BD19">
        <v>192.08</v>
      </c>
      <c r="BE19">
        <f t="shared" si="34"/>
        <v>185.01199999999997</v>
      </c>
      <c r="BF19">
        <f t="shared" si="35"/>
        <v>0.55396614606287697</v>
      </c>
      <c r="BG19">
        <f t="shared" si="36"/>
        <v>1.9632028321532693</v>
      </c>
      <c r="BH19">
        <f t="shared" si="37"/>
        <v>0.27179145835866309</v>
      </c>
      <c r="BI19" t="e">
        <f t="shared" si="38"/>
        <v>#DIV/0!</v>
      </c>
      <c r="BJ19">
        <v>6210</v>
      </c>
      <c r="BK19">
        <v>300</v>
      </c>
      <c r="BL19">
        <v>300</v>
      </c>
      <c r="BM19">
        <v>300</v>
      </c>
      <c r="BN19">
        <v>9869.14</v>
      </c>
      <c r="BO19">
        <v>350.06900000000002</v>
      </c>
      <c r="BP19">
        <v>-6.5638800000000002E-3</v>
      </c>
      <c r="BQ19">
        <v>2.1250300000000002</v>
      </c>
      <c r="BR19">
        <f t="shared" si="39"/>
        <v>1999.9709677419401</v>
      </c>
      <c r="BS19">
        <f t="shared" si="40"/>
        <v>1681.1725556738829</v>
      </c>
      <c r="BT19">
        <f t="shared" si="41"/>
        <v>0.84059848007294058</v>
      </c>
      <c r="BU19">
        <f t="shared" si="42"/>
        <v>0.19119696014588111</v>
      </c>
      <c r="BV19">
        <v>0.5</v>
      </c>
      <c r="BW19" t="s">
        <v>281</v>
      </c>
      <c r="BX19">
        <v>1597513453.15484</v>
      </c>
      <c r="BY19">
        <v>191.76912903225801</v>
      </c>
      <c r="BZ19">
        <v>199.996225806452</v>
      </c>
      <c r="CA19">
        <v>20.706403225806501</v>
      </c>
      <c r="CB19">
        <v>16.427796774193499</v>
      </c>
      <c r="CC19">
        <v>500.055580645161</v>
      </c>
      <c r="CD19">
        <v>99.043148387096807</v>
      </c>
      <c r="CE19">
        <v>0.199983580645161</v>
      </c>
      <c r="CF19">
        <v>27.8552483870968</v>
      </c>
      <c r="CG19">
        <v>27.019529032258099</v>
      </c>
      <c r="CH19">
        <v>999.9</v>
      </c>
      <c r="CI19">
        <v>9998.8387096774204</v>
      </c>
      <c r="CJ19">
        <v>0</v>
      </c>
      <c r="CK19">
        <v>231.75664516129001</v>
      </c>
      <c r="CL19">
        <v>1999.9709677419401</v>
      </c>
      <c r="CM19">
        <v>0.98000177419354895</v>
      </c>
      <c r="CN19">
        <v>1.9998193548387101E-2</v>
      </c>
      <c r="CO19">
        <v>0</v>
      </c>
      <c r="CP19">
        <v>274.62461290322602</v>
      </c>
      <c r="CQ19">
        <v>5.00054</v>
      </c>
      <c r="CR19">
        <v>8017.2309677419298</v>
      </c>
      <c r="CS19">
        <v>18703.377419354802</v>
      </c>
      <c r="CT19">
        <v>48.783999999999999</v>
      </c>
      <c r="CU19">
        <v>51.1046774193548</v>
      </c>
      <c r="CV19">
        <v>49.362677419354803</v>
      </c>
      <c r="CW19">
        <v>49.961322580645103</v>
      </c>
      <c r="CX19">
        <v>50.274000000000001</v>
      </c>
      <c r="CY19">
        <v>1955.07096774194</v>
      </c>
      <c r="CZ19">
        <v>39.898064516128997</v>
      </c>
      <c r="DA19">
        <v>0</v>
      </c>
      <c r="DB19">
        <v>119.69999980926499</v>
      </c>
      <c r="DC19">
        <v>274.601615384615</v>
      </c>
      <c r="DD19">
        <v>-3.9170598226300402</v>
      </c>
      <c r="DE19">
        <v>-92.261538381910398</v>
      </c>
      <c r="DF19">
        <v>8016.7519230769203</v>
      </c>
      <c r="DG19">
        <v>15</v>
      </c>
      <c r="DH19">
        <v>1597513494.5999999</v>
      </c>
      <c r="DI19" t="s">
        <v>297</v>
      </c>
      <c r="DJ19">
        <v>64</v>
      </c>
      <c r="DK19">
        <v>-0.34</v>
      </c>
      <c r="DL19">
        <v>0.107</v>
      </c>
      <c r="DM19">
        <v>200</v>
      </c>
      <c r="DN19">
        <v>16</v>
      </c>
      <c r="DO19">
        <v>0.15</v>
      </c>
      <c r="DP19">
        <v>0.02</v>
      </c>
      <c r="DQ19">
        <v>191.67122222222201</v>
      </c>
      <c r="DR19">
        <v>5.0250870094525002E-2</v>
      </c>
      <c r="DS19">
        <v>1.5919550834286301E-2</v>
      </c>
      <c r="DT19">
        <v>1</v>
      </c>
      <c r="DU19">
        <v>20.7019240740741</v>
      </c>
      <c r="DV19">
        <v>5.98420232850706E-2</v>
      </c>
      <c r="DW19">
        <v>8.3142210874387404E-3</v>
      </c>
      <c r="DX19">
        <v>1</v>
      </c>
      <c r="DY19">
        <v>2</v>
      </c>
      <c r="DZ19">
        <v>2</v>
      </c>
      <c r="EA19" t="s">
        <v>283</v>
      </c>
      <c r="EB19">
        <v>1.8667499999999999</v>
      </c>
      <c r="EC19">
        <v>1.86324</v>
      </c>
      <c r="ED19">
        <v>1.8689</v>
      </c>
      <c r="EE19">
        <v>1.86683</v>
      </c>
      <c r="EF19">
        <v>1.8714900000000001</v>
      </c>
      <c r="EG19">
        <v>1.86398</v>
      </c>
      <c r="EH19">
        <v>1.86554</v>
      </c>
      <c r="EI19">
        <v>1.8654599999999999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-0.34</v>
      </c>
      <c r="EX19">
        <v>0.107</v>
      </c>
      <c r="EY19">
        <v>2</v>
      </c>
      <c r="EZ19">
        <v>330.697</v>
      </c>
      <c r="FA19">
        <v>466.02300000000002</v>
      </c>
      <c r="FB19">
        <v>22.7041</v>
      </c>
      <c r="FC19">
        <v>35.128100000000003</v>
      </c>
      <c r="FD19">
        <v>29.999600000000001</v>
      </c>
      <c r="FE19">
        <v>35.118000000000002</v>
      </c>
      <c r="FF19">
        <v>35.117600000000003</v>
      </c>
      <c r="FG19">
        <v>12.9009</v>
      </c>
      <c r="FH19">
        <v>55.279600000000002</v>
      </c>
      <c r="FI19">
        <v>0</v>
      </c>
      <c r="FJ19">
        <v>22.7484</v>
      </c>
      <c r="FK19">
        <v>200</v>
      </c>
      <c r="FL19">
        <v>16.507000000000001</v>
      </c>
      <c r="FM19">
        <v>100.441</v>
      </c>
      <c r="FN19">
        <v>101.032</v>
      </c>
    </row>
    <row r="20" spans="1:170" x14ac:dyDescent="0.25">
      <c r="A20">
        <v>4</v>
      </c>
      <c r="B20">
        <v>1597513586.3</v>
      </c>
      <c r="C20">
        <v>367.700000047684</v>
      </c>
      <c r="D20" t="s">
        <v>298</v>
      </c>
      <c r="E20" t="s">
        <v>299</v>
      </c>
      <c r="G20">
        <v>1597513578.3</v>
      </c>
      <c r="H20">
        <f t="shared" si="0"/>
        <v>1.056392793666574E-2</v>
      </c>
      <c r="I20">
        <f t="shared" si="1"/>
        <v>6.7466366884821456</v>
      </c>
      <c r="J20">
        <f t="shared" si="2"/>
        <v>96.908809677419399</v>
      </c>
      <c r="K20">
        <f t="shared" si="3"/>
        <v>78.810172531422936</v>
      </c>
      <c r="L20">
        <f t="shared" si="4"/>
        <v>7.8212654217666655</v>
      </c>
      <c r="M20">
        <f t="shared" si="5"/>
        <v>9.6174072184953019</v>
      </c>
      <c r="N20">
        <f t="shared" si="6"/>
        <v>0.74960440591488986</v>
      </c>
      <c r="O20">
        <f t="shared" si="7"/>
        <v>3.375291528284702</v>
      </c>
      <c r="P20">
        <f t="shared" si="8"/>
        <v>0.66793434316335454</v>
      </c>
      <c r="Q20">
        <f t="shared" si="9"/>
        <v>0.42405281453797694</v>
      </c>
      <c r="R20">
        <f t="shared" si="10"/>
        <v>321.4402905201049</v>
      </c>
      <c r="S20">
        <f t="shared" si="11"/>
        <v>26.911049528247695</v>
      </c>
      <c r="T20">
        <f t="shared" si="12"/>
        <v>27.009822580645199</v>
      </c>
      <c r="U20">
        <f t="shared" si="13"/>
        <v>3.5812250460123458</v>
      </c>
      <c r="V20">
        <f t="shared" si="14"/>
        <v>55.281052177783273</v>
      </c>
      <c r="W20">
        <f t="shared" si="15"/>
        <v>2.056214760738265</v>
      </c>
      <c r="X20">
        <f t="shared" si="16"/>
        <v>3.7195651669680601</v>
      </c>
      <c r="Y20">
        <f t="shared" si="17"/>
        <v>1.5250102852740808</v>
      </c>
      <c r="Z20">
        <f t="shared" si="18"/>
        <v>-465.86922200695915</v>
      </c>
      <c r="AA20">
        <f t="shared" si="19"/>
        <v>117.72201989952687</v>
      </c>
      <c r="AB20">
        <f t="shared" si="20"/>
        <v>7.5521142184821146</v>
      </c>
      <c r="AC20">
        <f t="shared" si="21"/>
        <v>-19.154797368845252</v>
      </c>
      <c r="AD20">
        <v>-4.1065348580536003E-2</v>
      </c>
      <c r="AE20">
        <v>4.6099451303773201E-2</v>
      </c>
      <c r="AF20">
        <v>3.4473540199992998</v>
      </c>
      <c r="AG20">
        <v>154</v>
      </c>
      <c r="AH20">
        <v>31</v>
      </c>
      <c r="AI20">
        <f t="shared" si="22"/>
        <v>1</v>
      </c>
      <c r="AJ20">
        <f t="shared" si="23"/>
        <v>0</v>
      </c>
      <c r="AK20">
        <f t="shared" si="24"/>
        <v>52250.681786209163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300</v>
      </c>
      <c r="AS20">
        <v>271.90811538461497</v>
      </c>
      <c r="AT20">
        <v>351.87900000000002</v>
      </c>
      <c r="AU20">
        <f t="shared" si="27"/>
        <v>0.22726813653382283</v>
      </c>
      <c r="AV20">
        <v>0.5</v>
      </c>
      <c r="AW20">
        <f t="shared" si="28"/>
        <v>1681.2021192247435</v>
      </c>
      <c r="AX20">
        <f t="shared" si="29"/>
        <v>6.7466366884821456</v>
      </c>
      <c r="AY20">
        <f t="shared" si="30"/>
        <v>191.04183638646063</v>
      </c>
      <c r="AZ20">
        <f t="shared" si="31"/>
        <v>0.43628349517874043</v>
      </c>
      <c r="BA20">
        <f t="shared" si="32"/>
        <v>4.6077961715004084E-3</v>
      </c>
      <c r="BB20">
        <f t="shared" si="33"/>
        <v>-1</v>
      </c>
      <c r="BC20" t="s">
        <v>301</v>
      </c>
      <c r="BD20">
        <v>198.36</v>
      </c>
      <c r="BE20">
        <f t="shared" si="34"/>
        <v>153.51900000000001</v>
      </c>
      <c r="BF20">
        <f t="shared" si="35"/>
        <v>0.52091848315443068</v>
      </c>
      <c r="BG20">
        <f t="shared" si="36"/>
        <v>1.773941318814277</v>
      </c>
      <c r="BH20">
        <f t="shared" si="37"/>
        <v>0.22726813653382283</v>
      </c>
      <c r="BI20" t="e">
        <f t="shared" si="38"/>
        <v>#DIV/0!</v>
      </c>
      <c r="BJ20">
        <v>6212</v>
      </c>
      <c r="BK20">
        <v>300</v>
      </c>
      <c r="BL20">
        <v>300</v>
      </c>
      <c r="BM20">
        <v>300</v>
      </c>
      <c r="BN20">
        <v>9867.4</v>
      </c>
      <c r="BO20">
        <v>330.584</v>
      </c>
      <c r="BP20">
        <v>-6.5624000000000004E-3</v>
      </c>
      <c r="BQ20">
        <v>2.4373200000000002</v>
      </c>
      <c r="BR20">
        <f t="shared" si="39"/>
        <v>2000.0064516129</v>
      </c>
      <c r="BS20">
        <f t="shared" si="40"/>
        <v>1681.2021192247435</v>
      </c>
      <c r="BT20">
        <f t="shared" si="41"/>
        <v>0.84059834800479882</v>
      </c>
      <c r="BU20">
        <f t="shared" si="42"/>
        <v>0.19119669600959782</v>
      </c>
      <c r="BV20">
        <v>0.5</v>
      </c>
      <c r="BW20" t="s">
        <v>281</v>
      </c>
      <c r="BX20">
        <v>1597513578.3</v>
      </c>
      <c r="BY20">
        <v>96.908809677419399</v>
      </c>
      <c r="BZ20">
        <v>100.01665806451599</v>
      </c>
      <c r="CA20">
        <v>20.719235483871</v>
      </c>
      <c r="CB20">
        <v>16.581616129032302</v>
      </c>
      <c r="CC20">
        <v>500.04848387096803</v>
      </c>
      <c r="CD20">
        <v>99.041835483870997</v>
      </c>
      <c r="CE20">
        <v>0.19999041935483899</v>
      </c>
      <c r="CF20">
        <v>27.656758064516101</v>
      </c>
      <c r="CG20">
        <v>27.009822580645199</v>
      </c>
      <c r="CH20">
        <v>999.9</v>
      </c>
      <c r="CI20">
        <v>9998.9145161290307</v>
      </c>
      <c r="CJ20">
        <v>0</v>
      </c>
      <c r="CK20">
        <v>235.322225806452</v>
      </c>
      <c r="CL20">
        <v>2000.0064516129</v>
      </c>
      <c r="CM20">
        <v>0.98000570967741896</v>
      </c>
      <c r="CN20">
        <v>1.9994341935483901E-2</v>
      </c>
      <c r="CO20">
        <v>0</v>
      </c>
      <c r="CP20">
        <v>271.91964516129002</v>
      </c>
      <c r="CQ20">
        <v>5.00054</v>
      </c>
      <c r="CR20">
        <v>7984.6983870967697</v>
      </c>
      <c r="CS20">
        <v>18703.729032258099</v>
      </c>
      <c r="CT20">
        <v>49.205387096774203</v>
      </c>
      <c r="CU20">
        <v>51.614709677419299</v>
      </c>
      <c r="CV20">
        <v>49.806129032258099</v>
      </c>
      <c r="CW20">
        <v>50.455322580645102</v>
      </c>
      <c r="CX20">
        <v>50.663161290322599</v>
      </c>
      <c r="CY20">
        <v>1955.11612903226</v>
      </c>
      <c r="CZ20">
        <v>39.89</v>
      </c>
      <c r="DA20">
        <v>0</v>
      </c>
      <c r="DB20">
        <v>124.39999985694899</v>
      </c>
      <c r="DC20">
        <v>271.90811538461497</v>
      </c>
      <c r="DD20">
        <v>-2.5896410397602398</v>
      </c>
      <c r="DE20">
        <v>-41.514529948416303</v>
      </c>
      <c r="DF20">
        <v>7984.4223076923099</v>
      </c>
      <c r="DG20">
        <v>15</v>
      </c>
      <c r="DH20">
        <v>1597513613.3</v>
      </c>
      <c r="DI20" t="s">
        <v>302</v>
      </c>
      <c r="DJ20">
        <v>65</v>
      </c>
      <c r="DK20">
        <v>-0.32800000000000001</v>
      </c>
      <c r="DL20">
        <v>0.107</v>
      </c>
      <c r="DM20">
        <v>100</v>
      </c>
      <c r="DN20">
        <v>17</v>
      </c>
      <c r="DO20">
        <v>0.46</v>
      </c>
      <c r="DP20">
        <v>0.02</v>
      </c>
      <c r="DQ20">
        <v>96.884138888888899</v>
      </c>
      <c r="DR20">
        <v>0.11641806746712099</v>
      </c>
      <c r="DS20">
        <v>1.90670009359462E-2</v>
      </c>
      <c r="DT20">
        <v>1</v>
      </c>
      <c r="DU20">
        <v>20.7250648148148</v>
      </c>
      <c r="DV20">
        <v>-6.6781475128643797E-2</v>
      </c>
      <c r="DW20">
        <v>8.9772378290754393E-3</v>
      </c>
      <c r="DX20">
        <v>1</v>
      </c>
      <c r="DY20">
        <v>2</v>
      </c>
      <c r="DZ20">
        <v>2</v>
      </c>
      <c r="EA20" t="s">
        <v>283</v>
      </c>
      <c r="EB20">
        <v>1.8667</v>
      </c>
      <c r="EC20">
        <v>1.8631899999999999</v>
      </c>
      <c r="ED20">
        <v>1.8688400000000001</v>
      </c>
      <c r="EE20">
        <v>1.86676</v>
      </c>
      <c r="EF20">
        <v>1.8714900000000001</v>
      </c>
      <c r="EG20">
        <v>1.8639300000000001</v>
      </c>
      <c r="EH20">
        <v>1.86551</v>
      </c>
      <c r="EI20">
        <v>1.8653999999999999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-0.32800000000000001</v>
      </c>
      <c r="EX20">
        <v>0.107</v>
      </c>
      <c r="EY20">
        <v>2</v>
      </c>
      <c r="EZ20">
        <v>330.16</v>
      </c>
      <c r="FA20">
        <v>465.95100000000002</v>
      </c>
      <c r="FB20">
        <v>21.7956</v>
      </c>
      <c r="FC20">
        <v>35.161999999999999</v>
      </c>
      <c r="FD20">
        <v>30.0002</v>
      </c>
      <c r="FE20">
        <v>35.144799999999996</v>
      </c>
      <c r="FF20">
        <v>35.1479</v>
      </c>
      <c r="FG20">
        <v>8.0569199999999999</v>
      </c>
      <c r="FH20">
        <v>55.954599999999999</v>
      </c>
      <c r="FI20">
        <v>0</v>
      </c>
      <c r="FJ20">
        <v>21.8002</v>
      </c>
      <c r="FK20">
        <v>100</v>
      </c>
      <c r="FL20">
        <v>16.5017</v>
      </c>
      <c r="FM20">
        <v>100.43899999999999</v>
      </c>
      <c r="FN20">
        <v>101.026</v>
      </c>
    </row>
    <row r="21" spans="1:170" x14ac:dyDescent="0.25">
      <c r="A21">
        <v>5</v>
      </c>
      <c r="B21">
        <v>1597513704.8</v>
      </c>
      <c r="C21">
        <v>486.200000047684</v>
      </c>
      <c r="D21" t="s">
        <v>303</v>
      </c>
      <c r="E21" t="s">
        <v>304</v>
      </c>
      <c r="G21">
        <v>1597513696.8</v>
      </c>
      <c r="H21">
        <f t="shared" si="0"/>
        <v>1.0449399255176734E-2</v>
      </c>
      <c r="I21">
        <f t="shared" si="1"/>
        <v>1.0296948767222736</v>
      </c>
      <c r="J21">
        <f t="shared" si="2"/>
        <v>49.379551612903199</v>
      </c>
      <c r="K21">
        <f t="shared" si="3"/>
        <v>45.688029463284479</v>
      </c>
      <c r="L21">
        <f t="shared" si="4"/>
        <v>4.5343055497331299</v>
      </c>
      <c r="M21">
        <f t="shared" si="5"/>
        <v>4.9006704283810523</v>
      </c>
      <c r="N21">
        <f t="shared" si="6"/>
        <v>0.72898125353650067</v>
      </c>
      <c r="O21">
        <f t="shared" si="7"/>
        <v>3.3778344474474835</v>
      </c>
      <c r="P21">
        <f t="shared" si="8"/>
        <v>0.65154694275448921</v>
      </c>
      <c r="Q21">
        <f t="shared" si="9"/>
        <v>0.41348646176331727</v>
      </c>
      <c r="R21">
        <f t="shared" si="10"/>
        <v>321.44028095471964</v>
      </c>
      <c r="S21">
        <f t="shared" si="11"/>
        <v>26.767572115426312</v>
      </c>
      <c r="T21">
        <f t="shared" si="12"/>
        <v>26.9907258064516</v>
      </c>
      <c r="U21">
        <f t="shared" si="13"/>
        <v>3.5772106010031104</v>
      </c>
      <c r="V21">
        <f t="shared" si="14"/>
        <v>55.135258553819888</v>
      </c>
      <c r="W21">
        <f t="shared" si="15"/>
        <v>2.0305049649216516</v>
      </c>
      <c r="X21">
        <f t="shared" si="16"/>
        <v>3.6827703690544751</v>
      </c>
      <c r="Y21">
        <f t="shared" si="17"/>
        <v>1.5467056360814588</v>
      </c>
      <c r="Z21">
        <f t="shared" si="18"/>
        <v>-460.81850715329398</v>
      </c>
      <c r="AA21">
        <f t="shared" si="19"/>
        <v>90.332118817764893</v>
      </c>
      <c r="AB21">
        <f t="shared" si="20"/>
        <v>5.7851624252363303</v>
      </c>
      <c r="AC21">
        <f t="shared" si="21"/>
        <v>-43.260944955573137</v>
      </c>
      <c r="AD21">
        <v>-4.1104646032770101E-2</v>
      </c>
      <c r="AE21">
        <v>4.6143566136551802E-2</v>
      </c>
      <c r="AF21">
        <v>3.44996589930546</v>
      </c>
      <c r="AG21">
        <v>155</v>
      </c>
      <c r="AH21">
        <v>31</v>
      </c>
      <c r="AI21">
        <f t="shared" si="22"/>
        <v>1</v>
      </c>
      <c r="AJ21">
        <f t="shared" si="23"/>
        <v>0</v>
      </c>
      <c r="AK21">
        <f t="shared" si="24"/>
        <v>52328.28819846511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305</v>
      </c>
      <c r="AS21">
        <v>271.24346153846199</v>
      </c>
      <c r="AT21">
        <v>335.16500000000002</v>
      </c>
      <c r="AU21">
        <f t="shared" si="27"/>
        <v>0.19071662751641139</v>
      </c>
      <c r="AV21">
        <v>0.5</v>
      </c>
      <c r="AW21">
        <f t="shared" si="28"/>
        <v>1681.1967577412452</v>
      </c>
      <c r="AX21">
        <f t="shared" si="29"/>
        <v>1.0296948767222736</v>
      </c>
      <c r="AY21">
        <f t="shared" si="30"/>
        <v>160.31608791396778</v>
      </c>
      <c r="AZ21">
        <f t="shared" si="31"/>
        <v>0.3873465308131816</v>
      </c>
      <c r="BA21">
        <f t="shared" si="32"/>
        <v>1.2072916910982206E-3</v>
      </c>
      <c r="BB21">
        <f t="shared" si="33"/>
        <v>-1</v>
      </c>
      <c r="BC21" t="s">
        <v>306</v>
      </c>
      <c r="BD21">
        <v>205.34</v>
      </c>
      <c r="BE21">
        <f t="shared" si="34"/>
        <v>129.82500000000002</v>
      </c>
      <c r="BF21">
        <f t="shared" si="35"/>
        <v>0.49236694366676698</v>
      </c>
      <c r="BG21">
        <f t="shared" si="36"/>
        <v>1.6322440829843188</v>
      </c>
      <c r="BH21">
        <f t="shared" si="37"/>
        <v>0.19071662751641141</v>
      </c>
      <c r="BI21" t="e">
        <f t="shared" si="38"/>
        <v>#DIV/0!</v>
      </c>
      <c r="BJ21">
        <v>6214</v>
      </c>
      <c r="BK21">
        <v>300</v>
      </c>
      <c r="BL21">
        <v>300</v>
      </c>
      <c r="BM21">
        <v>300</v>
      </c>
      <c r="BN21">
        <v>9865.74</v>
      </c>
      <c r="BO21">
        <v>321.10300000000001</v>
      </c>
      <c r="BP21">
        <v>-6.5610099999999999E-3</v>
      </c>
      <c r="BQ21">
        <v>2.1821600000000001</v>
      </c>
      <c r="BR21">
        <f t="shared" si="39"/>
        <v>1999.9993548387099</v>
      </c>
      <c r="BS21">
        <f t="shared" si="40"/>
        <v>1681.1967577412452</v>
      </c>
      <c r="BT21">
        <f t="shared" si="41"/>
        <v>0.84059865003147738</v>
      </c>
      <c r="BU21">
        <f t="shared" si="42"/>
        <v>0.19119730006295482</v>
      </c>
      <c r="BV21">
        <v>0.5</v>
      </c>
      <c r="BW21" t="s">
        <v>281</v>
      </c>
      <c r="BX21">
        <v>1597513696.8</v>
      </c>
      <c r="BY21">
        <v>49.379551612903199</v>
      </c>
      <c r="BZ21">
        <v>49.997764516129003</v>
      </c>
      <c r="CA21">
        <v>20.459532258064499</v>
      </c>
      <c r="CB21">
        <v>16.3656838709677</v>
      </c>
      <c r="CC21">
        <v>500.04829032258101</v>
      </c>
      <c r="CD21">
        <v>99.044970967741904</v>
      </c>
      <c r="CE21">
        <v>0.19996480645161299</v>
      </c>
      <c r="CF21">
        <v>27.486767741935498</v>
      </c>
      <c r="CG21">
        <v>26.9907258064516</v>
      </c>
      <c r="CH21">
        <v>999.9</v>
      </c>
      <c r="CI21">
        <v>10008.166129032301</v>
      </c>
      <c r="CJ21">
        <v>0</v>
      </c>
      <c r="CK21">
        <v>238.526580645161</v>
      </c>
      <c r="CL21">
        <v>1999.9993548387099</v>
      </c>
      <c r="CM21">
        <v>0.97999499999999995</v>
      </c>
      <c r="CN21">
        <v>2.00053E-2</v>
      </c>
      <c r="CO21">
        <v>0</v>
      </c>
      <c r="CP21">
        <v>271.24432258064502</v>
      </c>
      <c r="CQ21">
        <v>5.00054</v>
      </c>
      <c r="CR21">
        <v>8016.3416129032203</v>
      </c>
      <c r="CS21">
        <v>18703.5935483871</v>
      </c>
      <c r="CT21">
        <v>49.663064516128998</v>
      </c>
      <c r="CU21">
        <v>52.217516129032198</v>
      </c>
      <c r="CV21">
        <v>50.308129032258101</v>
      </c>
      <c r="CW21">
        <v>51.030032258064502</v>
      </c>
      <c r="CX21">
        <v>51.082322580645098</v>
      </c>
      <c r="CY21">
        <v>1955.0893548387101</v>
      </c>
      <c r="CZ21">
        <v>39.909999999999997</v>
      </c>
      <c r="DA21">
        <v>0</v>
      </c>
      <c r="DB21">
        <v>117.700000047684</v>
      </c>
      <c r="DC21">
        <v>271.24346153846199</v>
      </c>
      <c r="DD21">
        <v>-2.0773333245343402</v>
      </c>
      <c r="DE21">
        <v>-44.848889023201501</v>
      </c>
      <c r="DF21">
        <v>8015.9565384615398</v>
      </c>
      <c r="DG21">
        <v>15</v>
      </c>
      <c r="DH21">
        <v>1597513729.8</v>
      </c>
      <c r="DI21" t="s">
        <v>307</v>
      </c>
      <c r="DJ21">
        <v>66</v>
      </c>
      <c r="DK21">
        <v>-0.41299999999999998</v>
      </c>
      <c r="DL21">
        <v>0.10299999999999999</v>
      </c>
      <c r="DM21">
        <v>50</v>
      </c>
      <c r="DN21">
        <v>16</v>
      </c>
      <c r="DO21">
        <v>0.23</v>
      </c>
      <c r="DP21">
        <v>0.03</v>
      </c>
      <c r="DQ21">
        <v>49.470944444444399</v>
      </c>
      <c r="DR21">
        <v>-6.1827329902769401E-2</v>
      </c>
      <c r="DS21">
        <v>1.12092168865569E-2</v>
      </c>
      <c r="DT21">
        <v>1</v>
      </c>
      <c r="DU21">
        <v>20.463259259259299</v>
      </c>
      <c r="DV21">
        <v>1.1859576901097299E-2</v>
      </c>
      <c r="DW21">
        <v>3.9434201417381702E-3</v>
      </c>
      <c r="DX21">
        <v>1</v>
      </c>
      <c r="DY21">
        <v>2</v>
      </c>
      <c r="DZ21">
        <v>2</v>
      </c>
      <c r="EA21" t="s">
        <v>283</v>
      </c>
      <c r="EB21">
        <v>1.8667400000000001</v>
      </c>
      <c r="EC21">
        <v>1.8632299999999999</v>
      </c>
      <c r="ED21">
        <v>1.8689</v>
      </c>
      <c r="EE21">
        <v>1.8667899999999999</v>
      </c>
      <c r="EF21">
        <v>1.8714900000000001</v>
      </c>
      <c r="EG21">
        <v>1.86399</v>
      </c>
      <c r="EH21">
        <v>1.86554</v>
      </c>
      <c r="EI21">
        <v>1.86541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-0.41299999999999998</v>
      </c>
      <c r="EX21">
        <v>0.10299999999999999</v>
      </c>
      <c r="EY21">
        <v>2</v>
      </c>
      <c r="EZ21">
        <v>329.17</v>
      </c>
      <c r="FA21">
        <v>464.40600000000001</v>
      </c>
      <c r="FB21">
        <v>21.942900000000002</v>
      </c>
      <c r="FC21">
        <v>35.353200000000001</v>
      </c>
      <c r="FD21">
        <v>29.9999</v>
      </c>
      <c r="FE21">
        <v>35.264899999999997</v>
      </c>
      <c r="FF21">
        <v>35.261400000000002</v>
      </c>
      <c r="FG21">
        <v>5.60982</v>
      </c>
      <c r="FH21">
        <v>56.1693</v>
      </c>
      <c r="FI21">
        <v>0</v>
      </c>
      <c r="FJ21">
        <v>21.965199999999999</v>
      </c>
      <c r="FK21">
        <v>50</v>
      </c>
      <c r="FL21">
        <v>16.409800000000001</v>
      </c>
      <c r="FM21">
        <v>100.408</v>
      </c>
      <c r="FN21">
        <v>100.988</v>
      </c>
    </row>
    <row r="22" spans="1:170" x14ac:dyDescent="0.25">
      <c r="A22">
        <v>6</v>
      </c>
      <c r="B22">
        <v>1597513821.3</v>
      </c>
      <c r="C22">
        <v>602.70000004768394</v>
      </c>
      <c r="D22" t="s">
        <v>308</v>
      </c>
      <c r="E22" t="s">
        <v>309</v>
      </c>
      <c r="G22">
        <v>1597513813.3</v>
      </c>
      <c r="H22">
        <f t="shared" si="0"/>
        <v>1.0287980585526329E-2</v>
      </c>
      <c r="I22">
        <f t="shared" si="1"/>
        <v>36.939413235565922</v>
      </c>
      <c r="J22">
        <f t="shared" si="2"/>
        <v>383.66451612903199</v>
      </c>
      <c r="K22">
        <f t="shared" si="3"/>
        <v>284.00662449194471</v>
      </c>
      <c r="L22">
        <f t="shared" si="4"/>
        <v>28.184014390430594</v>
      </c>
      <c r="M22">
        <f t="shared" si="5"/>
        <v>38.07378177541392</v>
      </c>
      <c r="N22">
        <f t="shared" si="6"/>
        <v>0.71284022684399084</v>
      </c>
      <c r="O22">
        <f t="shared" si="7"/>
        <v>3.3750779588511994</v>
      </c>
      <c r="P22">
        <f t="shared" si="8"/>
        <v>0.63855671821136439</v>
      </c>
      <c r="Q22">
        <f t="shared" si="9"/>
        <v>0.40512503765084029</v>
      </c>
      <c r="R22">
        <f t="shared" si="10"/>
        <v>321.43654717833874</v>
      </c>
      <c r="S22">
        <f t="shared" si="11"/>
        <v>26.92887711801858</v>
      </c>
      <c r="T22">
        <f t="shared" si="12"/>
        <v>27.0261580645161</v>
      </c>
      <c r="U22">
        <f t="shared" si="13"/>
        <v>3.5846621441693709</v>
      </c>
      <c r="V22">
        <f t="shared" si="14"/>
        <v>54.748367645244997</v>
      </c>
      <c r="W22">
        <f t="shared" si="15"/>
        <v>2.0310603198150639</v>
      </c>
      <c r="X22">
        <f t="shared" si="16"/>
        <v>3.7098098211362207</v>
      </c>
      <c r="Y22">
        <f t="shared" si="17"/>
        <v>1.553601824354307</v>
      </c>
      <c r="Z22">
        <f t="shared" si="18"/>
        <v>-453.69994382171114</v>
      </c>
      <c r="AA22">
        <f t="shared" si="19"/>
        <v>106.5676380790796</v>
      </c>
      <c r="AB22">
        <f t="shared" si="20"/>
        <v>6.8359922049853665</v>
      </c>
      <c r="AC22">
        <f t="shared" si="21"/>
        <v>-18.859766359307443</v>
      </c>
      <c r="AD22">
        <v>-4.1062048749647702E-2</v>
      </c>
      <c r="AE22">
        <v>4.6095746954519998E-2</v>
      </c>
      <c r="AF22">
        <v>3.4471346599407502</v>
      </c>
      <c r="AG22">
        <v>155</v>
      </c>
      <c r="AH22">
        <v>31</v>
      </c>
      <c r="AI22">
        <f t="shared" si="22"/>
        <v>1</v>
      </c>
      <c r="AJ22">
        <f t="shared" si="23"/>
        <v>0</v>
      </c>
      <c r="AK22">
        <f t="shared" si="24"/>
        <v>52254.362473037436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310</v>
      </c>
      <c r="AS22">
        <v>270.64538461538501</v>
      </c>
      <c r="AT22">
        <v>393.18400000000003</v>
      </c>
      <c r="AU22">
        <f t="shared" si="27"/>
        <v>0.31165717675341575</v>
      </c>
      <c r="AV22">
        <v>0.5</v>
      </c>
      <c r="AW22">
        <f t="shared" si="28"/>
        <v>1681.1796683840803</v>
      </c>
      <c r="AX22">
        <f t="shared" si="29"/>
        <v>36.939413235565922</v>
      </c>
      <c r="AY22">
        <f t="shared" si="30"/>
        <v>261.97585453191311</v>
      </c>
      <c r="AZ22">
        <f t="shared" si="31"/>
        <v>0.54570887930332879</v>
      </c>
      <c r="BA22">
        <f t="shared" si="32"/>
        <v>2.256713779558886E-2</v>
      </c>
      <c r="BB22">
        <f t="shared" si="33"/>
        <v>-1</v>
      </c>
      <c r="BC22" t="s">
        <v>311</v>
      </c>
      <c r="BD22">
        <v>178.62</v>
      </c>
      <c r="BE22">
        <f t="shared" si="34"/>
        <v>214.56400000000002</v>
      </c>
      <c r="BF22">
        <f t="shared" si="35"/>
        <v>0.57110519651299851</v>
      </c>
      <c r="BG22">
        <f t="shared" si="36"/>
        <v>2.2012316649871235</v>
      </c>
      <c r="BH22">
        <f t="shared" si="37"/>
        <v>0.3116571767534157</v>
      </c>
      <c r="BI22" t="e">
        <f t="shared" si="38"/>
        <v>#DIV/0!</v>
      </c>
      <c r="BJ22">
        <v>6216</v>
      </c>
      <c r="BK22">
        <v>300</v>
      </c>
      <c r="BL22">
        <v>300</v>
      </c>
      <c r="BM22">
        <v>300</v>
      </c>
      <c r="BN22">
        <v>9864.0499999999993</v>
      </c>
      <c r="BO22">
        <v>360.42399999999998</v>
      </c>
      <c r="BP22">
        <v>-6.5598200000000001E-3</v>
      </c>
      <c r="BQ22">
        <v>1.53583</v>
      </c>
      <c r="BR22">
        <f t="shared" si="39"/>
        <v>1999.9793548387099</v>
      </c>
      <c r="BS22">
        <f t="shared" si="40"/>
        <v>1681.1796683840803</v>
      </c>
      <c r="BT22">
        <f t="shared" si="41"/>
        <v>0.84059851133796348</v>
      </c>
      <c r="BU22">
        <f t="shared" si="42"/>
        <v>0.1911970226759272</v>
      </c>
      <c r="BV22">
        <v>0.5</v>
      </c>
      <c r="BW22" t="s">
        <v>281</v>
      </c>
      <c r="BX22">
        <v>1597513813.3</v>
      </c>
      <c r="BY22">
        <v>383.66451612903199</v>
      </c>
      <c r="BZ22">
        <v>400.01735483870999</v>
      </c>
      <c r="CA22">
        <v>20.466729032258101</v>
      </c>
      <c r="CB22">
        <v>16.436199999999999</v>
      </c>
      <c r="CC22">
        <v>500.05441935483901</v>
      </c>
      <c r="CD22">
        <v>99.0371806451613</v>
      </c>
      <c r="CE22">
        <v>0.19999187096774201</v>
      </c>
      <c r="CF22">
        <v>27.611832258064499</v>
      </c>
      <c r="CG22">
        <v>27.0261580645161</v>
      </c>
      <c r="CH22">
        <v>999.9</v>
      </c>
      <c r="CI22">
        <v>9998.5809677419402</v>
      </c>
      <c r="CJ22">
        <v>0</v>
      </c>
      <c r="CK22">
        <v>241.48793548387101</v>
      </c>
      <c r="CL22">
        <v>1999.9793548387099</v>
      </c>
      <c r="CM22">
        <v>0.97999767741935495</v>
      </c>
      <c r="CN22">
        <v>2.0002212903225802E-2</v>
      </c>
      <c r="CO22">
        <v>0</v>
      </c>
      <c r="CP22">
        <v>270.65490322580598</v>
      </c>
      <c r="CQ22">
        <v>5.00054</v>
      </c>
      <c r="CR22">
        <v>8051.6245161290299</v>
      </c>
      <c r="CS22">
        <v>18703.432258064498</v>
      </c>
      <c r="CT22">
        <v>50.1046774193548</v>
      </c>
      <c r="CU22">
        <v>52.721548387096803</v>
      </c>
      <c r="CV22">
        <v>50.751870967741901</v>
      </c>
      <c r="CW22">
        <v>51.501741935483899</v>
      </c>
      <c r="CX22">
        <v>51.4796774193548</v>
      </c>
      <c r="CY22">
        <v>1955.07741935484</v>
      </c>
      <c r="CZ22">
        <v>39.900322580645202</v>
      </c>
      <c r="DA22">
        <v>0</v>
      </c>
      <c r="DB22">
        <v>115.59999990463299</v>
      </c>
      <c r="DC22">
        <v>270.64538461538501</v>
      </c>
      <c r="DD22">
        <v>0.32478633731555401</v>
      </c>
      <c r="DE22">
        <v>53.530940160894801</v>
      </c>
      <c r="DF22">
        <v>8051.7853846153803</v>
      </c>
      <c r="DG22">
        <v>15</v>
      </c>
      <c r="DH22">
        <v>1597513847.8</v>
      </c>
      <c r="DI22" t="s">
        <v>312</v>
      </c>
      <c r="DJ22">
        <v>67</v>
      </c>
      <c r="DK22">
        <v>-0.34499999999999997</v>
      </c>
      <c r="DL22">
        <v>0.10299999999999999</v>
      </c>
      <c r="DM22">
        <v>400</v>
      </c>
      <c r="DN22">
        <v>16</v>
      </c>
      <c r="DO22">
        <v>0.17</v>
      </c>
      <c r="DP22">
        <v>0.03</v>
      </c>
      <c r="DQ22">
        <v>383.5915</v>
      </c>
      <c r="DR22">
        <v>7.07284162377734E-2</v>
      </c>
      <c r="DS22">
        <v>2.57471681290737E-2</v>
      </c>
      <c r="DT22">
        <v>1</v>
      </c>
      <c r="DU22">
        <v>20.457337037037</v>
      </c>
      <c r="DV22">
        <v>0.102703716409382</v>
      </c>
      <c r="DW22">
        <v>1.4680262590954301E-2</v>
      </c>
      <c r="DX22">
        <v>1</v>
      </c>
      <c r="DY22">
        <v>2</v>
      </c>
      <c r="DZ22">
        <v>2</v>
      </c>
      <c r="EA22" t="s">
        <v>283</v>
      </c>
      <c r="EB22">
        <v>1.8667199999999999</v>
      </c>
      <c r="EC22">
        <v>1.8632200000000001</v>
      </c>
      <c r="ED22">
        <v>1.8688199999999999</v>
      </c>
      <c r="EE22">
        <v>1.86677</v>
      </c>
      <c r="EF22">
        <v>1.87147</v>
      </c>
      <c r="EG22">
        <v>1.8638999999999999</v>
      </c>
      <c r="EH22">
        <v>1.8654900000000001</v>
      </c>
      <c r="EI22">
        <v>1.8653900000000001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-0.34499999999999997</v>
      </c>
      <c r="EX22">
        <v>0.10299999999999999</v>
      </c>
      <c r="EY22">
        <v>2</v>
      </c>
      <c r="EZ22">
        <v>329.23099999999999</v>
      </c>
      <c r="FA22">
        <v>464.39600000000002</v>
      </c>
      <c r="FB22">
        <v>21.954000000000001</v>
      </c>
      <c r="FC22">
        <v>35.546700000000001</v>
      </c>
      <c r="FD22">
        <v>30.000900000000001</v>
      </c>
      <c r="FE22">
        <v>35.418999999999997</v>
      </c>
      <c r="FF22">
        <v>35.4086</v>
      </c>
      <c r="FG22">
        <v>22.061</v>
      </c>
      <c r="FH22">
        <v>56.148800000000001</v>
      </c>
      <c r="FI22">
        <v>0</v>
      </c>
      <c r="FJ22">
        <v>21.935600000000001</v>
      </c>
      <c r="FK22">
        <v>400</v>
      </c>
      <c r="FL22">
        <v>16.447700000000001</v>
      </c>
      <c r="FM22">
        <v>100.373</v>
      </c>
      <c r="FN22">
        <v>100.94799999999999</v>
      </c>
    </row>
    <row r="23" spans="1:170" x14ac:dyDescent="0.25">
      <c r="A23">
        <v>7</v>
      </c>
      <c r="B23">
        <v>1597513939.3</v>
      </c>
      <c r="C23">
        <v>720.70000004768394</v>
      </c>
      <c r="D23" t="s">
        <v>313</v>
      </c>
      <c r="E23" t="s">
        <v>314</v>
      </c>
      <c r="G23">
        <v>1597513931.3</v>
      </c>
      <c r="H23">
        <f t="shared" si="0"/>
        <v>9.9275087142771355E-3</v>
      </c>
      <c r="I23">
        <f t="shared" si="1"/>
        <v>37.028374064937545</v>
      </c>
      <c r="J23">
        <f t="shared" si="2"/>
        <v>383.684161290323</v>
      </c>
      <c r="K23">
        <f t="shared" si="3"/>
        <v>280.21921448922467</v>
      </c>
      <c r="L23">
        <f t="shared" si="4"/>
        <v>27.805761431585019</v>
      </c>
      <c r="M23">
        <f t="shared" si="5"/>
        <v>38.072443652241958</v>
      </c>
      <c r="N23">
        <f t="shared" si="6"/>
        <v>0.68319461567357809</v>
      </c>
      <c r="O23">
        <f t="shared" si="7"/>
        <v>3.3748314099646501</v>
      </c>
      <c r="P23">
        <f t="shared" si="8"/>
        <v>0.61463940689694341</v>
      </c>
      <c r="Q23">
        <f t="shared" si="9"/>
        <v>0.38973419100771461</v>
      </c>
      <c r="R23">
        <f t="shared" si="10"/>
        <v>321.44625765885837</v>
      </c>
      <c r="S23">
        <f t="shared" si="11"/>
        <v>26.872175333853171</v>
      </c>
      <c r="T23">
        <f t="shared" si="12"/>
        <v>27.031316129032302</v>
      </c>
      <c r="U23">
        <f t="shared" si="13"/>
        <v>3.5857480344177981</v>
      </c>
      <c r="V23">
        <f t="shared" si="14"/>
        <v>55.121409136374979</v>
      </c>
      <c r="W23">
        <f t="shared" si="15"/>
        <v>2.0283703027989186</v>
      </c>
      <c r="X23">
        <f t="shared" si="16"/>
        <v>3.6798230208167588</v>
      </c>
      <c r="Y23">
        <f t="shared" si="17"/>
        <v>1.5573777316188795</v>
      </c>
      <c r="Z23">
        <f t="shared" si="18"/>
        <v>-437.80313429962166</v>
      </c>
      <c r="AA23">
        <f t="shared" si="19"/>
        <v>80.377537625736196</v>
      </c>
      <c r="AB23">
        <f t="shared" si="20"/>
        <v>5.1529112135638693</v>
      </c>
      <c r="AC23">
        <f t="shared" si="21"/>
        <v>-30.826427801463225</v>
      </c>
      <c r="AD23">
        <v>-4.1058239473930898E-2</v>
      </c>
      <c r="AE23">
        <v>4.6091470708817001E-2</v>
      </c>
      <c r="AF23">
        <v>3.4468814264427401</v>
      </c>
      <c r="AG23">
        <v>156</v>
      </c>
      <c r="AH23">
        <v>31</v>
      </c>
      <c r="AI23">
        <f t="shared" si="22"/>
        <v>1</v>
      </c>
      <c r="AJ23">
        <f t="shared" si="23"/>
        <v>0</v>
      </c>
      <c r="AK23">
        <f t="shared" si="24"/>
        <v>52273.654772871821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315</v>
      </c>
      <c r="AS23">
        <v>270.13969230769197</v>
      </c>
      <c r="AT23">
        <v>401.834</v>
      </c>
      <c r="AU23">
        <f t="shared" si="27"/>
        <v>0.32773311290808649</v>
      </c>
      <c r="AV23">
        <v>0.5</v>
      </c>
      <c r="AW23">
        <f t="shared" si="28"/>
        <v>1681.2308706445624</v>
      </c>
      <c r="AX23">
        <f t="shared" si="29"/>
        <v>37.028374064937545</v>
      </c>
      <c r="AY23">
        <f t="shared" si="30"/>
        <v>275.49751337675747</v>
      </c>
      <c r="AZ23">
        <f t="shared" si="31"/>
        <v>0.55230269215646266</v>
      </c>
      <c r="BA23">
        <f t="shared" si="32"/>
        <v>2.2619364614901435E-2</v>
      </c>
      <c r="BB23">
        <f t="shared" si="33"/>
        <v>-1</v>
      </c>
      <c r="BC23" t="s">
        <v>316</v>
      </c>
      <c r="BD23">
        <v>179.9</v>
      </c>
      <c r="BE23">
        <f t="shared" si="34"/>
        <v>221.934</v>
      </c>
      <c r="BF23">
        <f t="shared" si="35"/>
        <v>0.5933940166549877</v>
      </c>
      <c r="BG23">
        <f t="shared" si="36"/>
        <v>2.2336520289049471</v>
      </c>
      <c r="BH23">
        <f t="shared" si="37"/>
        <v>0.32773311290808649</v>
      </c>
      <c r="BI23" t="e">
        <f t="shared" si="38"/>
        <v>#DIV/0!</v>
      </c>
      <c r="BJ23">
        <v>6218</v>
      </c>
      <c r="BK23">
        <v>300</v>
      </c>
      <c r="BL23">
        <v>300</v>
      </c>
      <c r="BM23">
        <v>300</v>
      </c>
      <c r="BN23">
        <v>9862.58</v>
      </c>
      <c r="BO23">
        <v>364.45600000000002</v>
      </c>
      <c r="BP23">
        <v>-6.5585699999999997E-3</v>
      </c>
      <c r="BQ23">
        <v>1.3184499999999999</v>
      </c>
      <c r="BR23">
        <f t="shared" si="39"/>
        <v>2000.0403225806499</v>
      </c>
      <c r="BS23">
        <f t="shared" si="40"/>
        <v>1681.2308706445624</v>
      </c>
      <c r="BT23">
        <f t="shared" si="41"/>
        <v>0.84059848777212254</v>
      </c>
      <c r="BU23">
        <f t="shared" si="42"/>
        <v>0.19119697554424514</v>
      </c>
      <c r="BV23">
        <v>0.5</v>
      </c>
      <c r="BW23" t="s">
        <v>281</v>
      </c>
      <c r="BX23">
        <v>1597513931.3</v>
      </c>
      <c r="BY23">
        <v>383.684161290323</v>
      </c>
      <c r="BZ23">
        <v>400.01709677419399</v>
      </c>
      <c r="CA23">
        <v>20.4413870967742</v>
      </c>
      <c r="CB23">
        <v>16.552038709677401</v>
      </c>
      <c r="CC23">
        <v>500.06200000000001</v>
      </c>
      <c r="CD23">
        <v>99.028612903225806</v>
      </c>
      <c r="CE23">
        <v>0.19999096774193501</v>
      </c>
      <c r="CF23">
        <v>27.473087096774201</v>
      </c>
      <c r="CG23">
        <v>27.031316129032302</v>
      </c>
      <c r="CH23">
        <v>999.9</v>
      </c>
      <c r="CI23">
        <v>9998.5183870967794</v>
      </c>
      <c r="CJ23">
        <v>0</v>
      </c>
      <c r="CK23">
        <v>244.415290322581</v>
      </c>
      <c r="CL23">
        <v>2000.0403225806499</v>
      </c>
      <c r="CM23">
        <v>0.98000045161290295</v>
      </c>
      <c r="CN23">
        <v>1.99996129032258E-2</v>
      </c>
      <c r="CO23">
        <v>0</v>
      </c>
      <c r="CP23">
        <v>270.13745161290302</v>
      </c>
      <c r="CQ23">
        <v>5.00054</v>
      </c>
      <c r="CR23">
        <v>8064.8622580645197</v>
      </c>
      <c r="CS23">
        <v>18704.016129032301</v>
      </c>
      <c r="CT23">
        <v>50.493806451612897</v>
      </c>
      <c r="CU23">
        <v>53.221548387096803</v>
      </c>
      <c r="CV23">
        <v>51.185129032257997</v>
      </c>
      <c r="CW23">
        <v>51.981580645161301</v>
      </c>
      <c r="CX23">
        <v>51.874806451612898</v>
      </c>
      <c r="CY23">
        <v>1955.14032258065</v>
      </c>
      <c r="CZ23">
        <v>39.9</v>
      </c>
      <c r="DA23">
        <v>0</v>
      </c>
      <c r="DB23">
        <v>117.299999952316</v>
      </c>
      <c r="DC23">
        <v>270.13969230769197</v>
      </c>
      <c r="DD23">
        <v>0.80847862526119896</v>
      </c>
      <c r="DE23">
        <v>-5.8509401673264696</v>
      </c>
      <c r="DF23">
        <v>8064.8484615384596</v>
      </c>
      <c r="DG23">
        <v>15</v>
      </c>
      <c r="DH23">
        <v>1597513971.3</v>
      </c>
      <c r="DI23" t="s">
        <v>317</v>
      </c>
      <c r="DJ23">
        <v>68</v>
      </c>
      <c r="DK23">
        <v>-0.379</v>
      </c>
      <c r="DL23">
        <v>0.104</v>
      </c>
      <c r="DM23">
        <v>400</v>
      </c>
      <c r="DN23">
        <v>17</v>
      </c>
      <c r="DO23">
        <v>0.19</v>
      </c>
      <c r="DP23">
        <v>0.03</v>
      </c>
      <c r="DQ23">
        <v>383.71448148148102</v>
      </c>
      <c r="DR23">
        <v>3.9986277873136501E-2</v>
      </c>
      <c r="DS23">
        <v>1.6725164828667798E-2</v>
      </c>
      <c r="DT23">
        <v>1</v>
      </c>
      <c r="DU23">
        <v>20.455979629629599</v>
      </c>
      <c r="DV23">
        <v>-0.152907947398505</v>
      </c>
      <c r="DW23">
        <v>2.01739874648817E-2</v>
      </c>
      <c r="DX23">
        <v>1</v>
      </c>
      <c r="DY23">
        <v>2</v>
      </c>
      <c r="DZ23">
        <v>2</v>
      </c>
      <c r="EA23" t="s">
        <v>283</v>
      </c>
      <c r="EB23">
        <v>1.8666100000000001</v>
      </c>
      <c r="EC23">
        <v>1.8631200000000001</v>
      </c>
      <c r="ED23">
        <v>1.86877</v>
      </c>
      <c r="EE23">
        <v>1.86676</v>
      </c>
      <c r="EF23">
        <v>1.87141</v>
      </c>
      <c r="EG23">
        <v>1.8638600000000001</v>
      </c>
      <c r="EH23">
        <v>1.8654599999999999</v>
      </c>
      <c r="EI23">
        <v>1.86538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-0.379</v>
      </c>
      <c r="EX23">
        <v>0.104</v>
      </c>
      <c r="EY23">
        <v>2</v>
      </c>
      <c r="EZ23">
        <v>328.27</v>
      </c>
      <c r="FA23">
        <v>463.661</v>
      </c>
      <c r="FB23">
        <v>21.390499999999999</v>
      </c>
      <c r="FC23">
        <v>35.7836</v>
      </c>
      <c r="FD23">
        <v>30.000900000000001</v>
      </c>
      <c r="FE23">
        <v>35.608499999999999</v>
      </c>
      <c r="FF23">
        <v>35.592399999999998</v>
      </c>
      <c r="FG23">
        <v>22.058800000000002</v>
      </c>
      <c r="FH23">
        <v>56.134</v>
      </c>
      <c r="FI23">
        <v>0</v>
      </c>
      <c r="FJ23">
        <v>21.014399999999998</v>
      </c>
      <c r="FK23">
        <v>400</v>
      </c>
      <c r="FL23">
        <v>16.610399999999998</v>
      </c>
      <c r="FM23">
        <v>100.337</v>
      </c>
      <c r="FN23">
        <v>100.902</v>
      </c>
    </row>
    <row r="24" spans="1:170" x14ac:dyDescent="0.25">
      <c r="A24">
        <v>8</v>
      </c>
      <c r="B24">
        <v>1597514070.8</v>
      </c>
      <c r="C24">
        <v>852.20000004768394</v>
      </c>
      <c r="D24" t="s">
        <v>318</v>
      </c>
      <c r="E24" t="s">
        <v>319</v>
      </c>
      <c r="G24">
        <v>1597514062.8</v>
      </c>
      <c r="H24">
        <f t="shared" si="0"/>
        <v>9.3958010575718436E-3</v>
      </c>
      <c r="I24">
        <f t="shared" si="1"/>
        <v>43.080595424084621</v>
      </c>
      <c r="J24">
        <f t="shared" si="2"/>
        <v>480.927419354839</v>
      </c>
      <c r="K24">
        <f t="shared" si="3"/>
        <v>351.85952683941798</v>
      </c>
      <c r="L24">
        <f t="shared" si="4"/>
        <v>34.912582541206596</v>
      </c>
      <c r="M24">
        <f t="shared" si="5"/>
        <v>47.719095104161056</v>
      </c>
      <c r="N24">
        <f t="shared" si="6"/>
        <v>0.63435522580875414</v>
      </c>
      <c r="O24">
        <f t="shared" si="7"/>
        <v>3.370722598563483</v>
      </c>
      <c r="P24">
        <f t="shared" si="8"/>
        <v>0.57472929516984239</v>
      </c>
      <c r="Q24">
        <f t="shared" si="9"/>
        <v>0.36409477789653932</v>
      </c>
      <c r="R24">
        <f t="shared" si="10"/>
        <v>321.43916888328329</v>
      </c>
      <c r="S24">
        <f t="shared" si="11"/>
        <v>26.860443713737645</v>
      </c>
      <c r="T24">
        <f t="shared" si="12"/>
        <v>27.032922580645199</v>
      </c>
      <c r="U24">
        <f t="shared" si="13"/>
        <v>3.5860862877639534</v>
      </c>
      <c r="V24">
        <f t="shared" si="14"/>
        <v>55.038625335228389</v>
      </c>
      <c r="W24">
        <f t="shared" si="15"/>
        <v>2.0097063141769334</v>
      </c>
      <c r="X24">
        <f t="shared" si="16"/>
        <v>3.6514471463199634</v>
      </c>
      <c r="Y24">
        <f t="shared" si="17"/>
        <v>1.5763799735870201</v>
      </c>
      <c r="Z24">
        <f t="shared" si="18"/>
        <v>-414.35482663891833</v>
      </c>
      <c r="AA24">
        <f t="shared" si="19"/>
        <v>55.963463778624778</v>
      </c>
      <c r="AB24">
        <f t="shared" si="20"/>
        <v>3.5897823494671086</v>
      </c>
      <c r="AC24">
        <f t="shared" si="21"/>
        <v>-33.36241162754316</v>
      </c>
      <c r="AD24">
        <v>-4.0994775035712597E-2</v>
      </c>
      <c r="AE24">
        <v>4.6020226317126801E-2</v>
      </c>
      <c r="AF24">
        <v>3.4426612460720798</v>
      </c>
      <c r="AG24">
        <v>157</v>
      </c>
      <c r="AH24">
        <v>31</v>
      </c>
      <c r="AI24">
        <f t="shared" si="22"/>
        <v>1</v>
      </c>
      <c r="AJ24">
        <f t="shared" si="23"/>
        <v>0</v>
      </c>
      <c r="AK24">
        <f t="shared" si="24"/>
        <v>52218.992806730887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320</v>
      </c>
      <c r="AS24">
        <v>277.29750000000001</v>
      </c>
      <c r="AT24">
        <v>424.41500000000002</v>
      </c>
      <c r="AU24">
        <f t="shared" si="27"/>
        <v>0.34663595773005196</v>
      </c>
      <c r="AV24">
        <v>0.5</v>
      </c>
      <c r="AW24">
        <f t="shared" si="28"/>
        <v>1681.1937290951976</v>
      </c>
      <c r="AX24">
        <f t="shared" si="29"/>
        <v>43.080595424084621</v>
      </c>
      <c r="AY24">
        <f t="shared" si="30"/>
        <v>291.38109920733564</v>
      </c>
      <c r="AZ24">
        <f t="shared" si="31"/>
        <v>0.57353062450667391</v>
      </c>
      <c r="BA24">
        <f t="shared" si="32"/>
        <v>2.6219819085221294E-2</v>
      </c>
      <c r="BB24">
        <f t="shared" si="33"/>
        <v>-1</v>
      </c>
      <c r="BC24" t="s">
        <v>321</v>
      </c>
      <c r="BD24">
        <v>181</v>
      </c>
      <c r="BE24">
        <f t="shared" si="34"/>
        <v>243.41500000000002</v>
      </c>
      <c r="BF24">
        <f t="shared" si="35"/>
        <v>0.6043896226608878</v>
      </c>
      <c r="BG24">
        <f t="shared" si="36"/>
        <v>2.3448342541436467</v>
      </c>
      <c r="BH24">
        <f t="shared" si="37"/>
        <v>0.34663595773005196</v>
      </c>
      <c r="BI24" t="e">
        <f t="shared" si="38"/>
        <v>#DIV/0!</v>
      </c>
      <c r="BJ24">
        <v>6220</v>
      </c>
      <c r="BK24">
        <v>300</v>
      </c>
      <c r="BL24">
        <v>300</v>
      </c>
      <c r="BM24">
        <v>300</v>
      </c>
      <c r="BN24">
        <v>9861.52</v>
      </c>
      <c r="BO24">
        <v>382.50299999999999</v>
      </c>
      <c r="BP24">
        <v>-6.55764E-3</v>
      </c>
      <c r="BQ24">
        <v>1.59558</v>
      </c>
      <c r="BR24">
        <f t="shared" si="39"/>
        <v>1999.9961290322599</v>
      </c>
      <c r="BS24">
        <f t="shared" si="40"/>
        <v>1681.1937290951976</v>
      </c>
      <c r="BT24">
        <f t="shared" si="41"/>
        <v>0.84059849151242028</v>
      </c>
      <c r="BU24">
        <f t="shared" si="42"/>
        <v>0.19119698302484078</v>
      </c>
      <c r="BV24">
        <v>0.5</v>
      </c>
      <c r="BW24" t="s">
        <v>281</v>
      </c>
      <c r="BX24">
        <v>1597514062.8</v>
      </c>
      <c r="BY24">
        <v>480.927419354839</v>
      </c>
      <c r="BZ24">
        <v>499.964612903226</v>
      </c>
      <c r="CA24">
        <v>20.2544258064516</v>
      </c>
      <c r="CB24">
        <v>16.572716129032301</v>
      </c>
      <c r="CC24">
        <v>500.06629032258098</v>
      </c>
      <c r="CD24">
        <v>99.023019354838695</v>
      </c>
      <c r="CE24">
        <v>0.20005087096774199</v>
      </c>
      <c r="CF24">
        <v>27.340883870967701</v>
      </c>
      <c r="CG24">
        <v>27.032922580645199</v>
      </c>
      <c r="CH24">
        <v>999.9</v>
      </c>
      <c r="CI24">
        <v>9983.6274193548397</v>
      </c>
      <c r="CJ24">
        <v>0</v>
      </c>
      <c r="CK24">
        <v>244.31412903225799</v>
      </c>
      <c r="CL24">
        <v>1999.9961290322599</v>
      </c>
      <c r="CM24">
        <v>0.98000200000000004</v>
      </c>
      <c r="CN24">
        <v>1.9997600000000001E-2</v>
      </c>
      <c r="CO24">
        <v>0</v>
      </c>
      <c r="CP24">
        <v>277.29790322580601</v>
      </c>
      <c r="CQ24">
        <v>5.00054</v>
      </c>
      <c r="CR24">
        <v>8218.2696774193591</v>
      </c>
      <c r="CS24">
        <v>18703.599999999999</v>
      </c>
      <c r="CT24">
        <v>50.9150322580645</v>
      </c>
      <c r="CU24">
        <v>53.705290322580602</v>
      </c>
      <c r="CV24">
        <v>51.630935483870999</v>
      </c>
      <c r="CW24">
        <v>52.429129032258103</v>
      </c>
      <c r="CX24">
        <v>52.229483870967698</v>
      </c>
      <c r="CY24">
        <v>1955.09612903226</v>
      </c>
      <c r="CZ24">
        <v>39.899354838709698</v>
      </c>
      <c r="DA24">
        <v>0</v>
      </c>
      <c r="DB24">
        <v>130.799999952316</v>
      </c>
      <c r="DC24">
        <v>277.29750000000001</v>
      </c>
      <c r="DD24">
        <v>-1.2121094252742499</v>
      </c>
      <c r="DE24">
        <v>-31.495807320421399</v>
      </c>
      <c r="DF24">
        <v>8218.0057692307691</v>
      </c>
      <c r="DG24">
        <v>15</v>
      </c>
      <c r="DH24">
        <v>1597514101.3</v>
      </c>
      <c r="DI24" t="s">
        <v>322</v>
      </c>
      <c r="DJ24">
        <v>69</v>
      </c>
      <c r="DK24">
        <v>-0.377</v>
      </c>
      <c r="DL24">
        <v>0.105</v>
      </c>
      <c r="DM24">
        <v>500</v>
      </c>
      <c r="DN24">
        <v>17</v>
      </c>
      <c r="DO24">
        <v>0.33</v>
      </c>
      <c r="DP24">
        <v>0.02</v>
      </c>
      <c r="DQ24">
        <v>480.88937037036999</v>
      </c>
      <c r="DR24">
        <v>0.29011320754714498</v>
      </c>
      <c r="DS24">
        <v>4.7961518639773097E-2</v>
      </c>
      <c r="DT24">
        <v>1</v>
      </c>
      <c r="DU24">
        <v>20.2632703703704</v>
      </c>
      <c r="DV24">
        <v>-9.5678902229846097E-2</v>
      </c>
      <c r="DW24">
        <v>1.24838952496234E-2</v>
      </c>
      <c r="DX24">
        <v>1</v>
      </c>
      <c r="DY24">
        <v>2</v>
      </c>
      <c r="DZ24">
        <v>2</v>
      </c>
      <c r="EA24" t="s">
        <v>283</v>
      </c>
      <c r="EB24">
        <v>1.8666400000000001</v>
      </c>
      <c r="EC24">
        <v>1.8631</v>
      </c>
      <c r="ED24">
        <v>1.86877</v>
      </c>
      <c r="EE24">
        <v>1.86676</v>
      </c>
      <c r="EF24">
        <v>1.8714</v>
      </c>
      <c r="EG24">
        <v>1.8638600000000001</v>
      </c>
      <c r="EH24">
        <v>1.8654200000000001</v>
      </c>
      <c r="EI24">
        <v>1.8653900000000001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-0.377</v>
      </c>
      <c r="EX24">
        <v>0.105</v>
      </c>
      <c r="EY24">
        <v>2</v>
      </c>
      <c r="EZ24">
        <v>327.358</v>
      </c>
      <c r="FA24">
        <v>462.66800000000001</v>
      </c>
      <c r="FB24">
        <v>21.397200000000002</v>
      </c>
      <c r="FC24">
        <v>36.078200000000002</v>
      </c>
      <c r="FD24">
        <v>30.000900000000001</v>
      </c>
      <c r="FE24">
        <v>35.849899999999998</v>
      </c>
      <c r="FF24">
        <v>35.825099999999999</v>
      </c>
      <c r="FG24">
        <v>26.3734</v>
      </c>
      <c r="FH24">
        <v>56.101799999999997</v>
      </c>
      <c r="FI24">
        <v>0</v>
      </c>
      <c r="FJ24">
        <v>20.908899999999999</v>
      </c>
      <c r="FK24">
        <v>500</v>
      </c>
      <c r="FL24">
        <v>16.650700000000001</v>
      </c>
      <c r="FM24">
        <v>100.29</v>
      </c>
      <c r="FN24">
        <v>100.849</v>
      </c>
    </row>
    <row r="25" spans="1:170" x14ac:dyDescent="0.25">
      <c r="A25">
        <v>9</v>
      </c>
      <c r="B25">
        <v>1597514196.3</v>
      </c>
      <c r="C25">
        <v>977.70000004768394</v>
      </c>
      <c r="D25" t="s">
        <v>323</v>
      </c>
      <c r="E25" t="s">
        <v>324</v>
      </c>
      <c r="G25">
        <v>1597514188.3</v>
      </c>
      <c r="H25">
        <f t="shared" si="0"/>
        <v>8.7370394733929085E-3</v>
      </c>
      <c r="I25">
        <f t="shared" si="1"/>
        <v>47.358604760259944</v>
      </c>
      <c r="J25">
        <f t="shared" si="2"/>
        <v>579.02151612903197</v>
      </c>
      <c r="K25">
        <f t="shared" si="3"/>
        <v>422.59814912486661</v>
      </c>
      <c r="L25">
        <f t="shared" si="4"/>
        <v>41.93027053106097</v>
      </c>
      <c r="M25">
        <f t="shared" si="5"/>
        <v>57.450627421990262</v>
      </c>
      <c r="N25">
        <f t="shared" si="6"/>
        <v>0.57157108663437073</v>
      </c>
      <c r="O25">
        <f t="shared" si="7"/>
        <v>3.3727895180775782</v>
      </c>
      <c r="P25">
        <f t="shared" si="8"/>
        <v>0.52270448645476131</v>
      </c>
      <c r="Q25">
        <f t="shared" si="9"/>
        <v>0.33073191702367116</v>
      </c>
      <c r="R25">
        <f t="shared" si="10"/>
        <v>321.43811260204399</v>
      </c>
      <c r="S25">
        <f t="shared" si="11"/>
        <v>27.005575990192551</v>
      </c>
      <c r="T25">
        <f t="shared" si="12"/>
        <v>27.1416096774194</v>
      </c>
      <c r="U25">
        <f t="shared" si="13"/>
        <v>3.6090361570208556</v>
      </c>
      <c r="V25">
        <f t="shared" si="14"/>
        <v>54.719039687747994</v>
      </c>
      <c r="W25">
        <f t="shared" si="15"/>
        <v>1.9974202982837368</v>
      </c>
      <c r="X25">
        <f t="shared" si="16"/>
        <v>3.6503204546021562</v>
      </c>
      <c r="Y25">
        <f t="shared" si="17"/>
        <v>1.6116158587371188</v>
      </c>
      <c r="Z25">
        <f t="shared" si="18"/>
        <v>-385.30344077662727</v>
      </c>
      <c r="AA25">
        <f t="shared" si="19"/>
        <v>35.27693585020166</v>
      </c>
      <c r="AB25">
        <f t="shared" si="20"/>
        <v>2.2626245963782883</v>
      </c>
      <c r="AC25">
        <f t="shared" si="21"/>
        <v>-26.325767728003306</v>
      </c>
      <c r="AD25">
        <v>-4.1026696230633299E-2</v>
      </c>
      <c r="AE25">
        <v>4.6056060654875601E-2</v>
      </c>
      <c r="AF25">
        <v>3.4447841816903599</v>
      </c>
      <c r="AG25">
        <v>157</v>
      </c>
      <c r="AH25">
        <v>31</v>
      </c>
      <c r="AI25">
        <f t="shared" si="22"/>
        <v>1</v>
      </c>
      <c r="AJ25">
        <f t="shared" si="23"/>
        <v>0</v>
      </c>
      <c r="AK25">
        <f t="shared" si="24"/>
        <v>52258.85952437485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325</v>
      </c>
      <c r="AS25">
        <v>278.530423076923</v>
      </c>
      <c r="AT25">
        <v>429.05799999999999</v>
      </c>
      <c r="AU25">
        <f t="shared" si="27"/>
        <v>0.35083270076091577</v>
      </c>
      <c r="AV25">
        <v>0.5</v>
      </c>
      <c r="AW25">
        <f t="shared" si="28"/>
        <v>1681.1904867736578</v>
      </c>
      <c r="AX25">
        <f t="shared" si="29"/>
        <v>47.358604760259944</v>
      </c>
      <c r="AY25">
        <f t="shared" si="30"/>
        <v>294.90829948418047</v>
      </c>
      <c r="AZ25">
        <f t="shared" si="31"/>
        <v>0.57809899827063005</v>
      </c>
      <c r="BA25">
        <f t="shared" si="32"/>
        <v>2.8764500596874104E-2</v>
      </c>
      <c r="BB25">
        <f t="shared" si="33"/>
        <v>-1</v>
      </c>
      <c r="BC25" t="s">
        <v>326</v>
      </c>
      <c r="BD25">
        <v>181.02</v>
      </c>
      <c r="BE25">
        <f t="shared" si="34"/>
        <v>248.03799999999998</v>
      </c>
      <c r="BF25">
        <f t="shared" si="35"/>
        <v>0.60687304736805248</v>
      </c>
      <c r="BG25">
        <f t="shared" si="36"/>
        <v>2.3702242846094355</v>
      </c>
      <c r="BH25">
        <f t="shared" si="37"/>
        <v>0.35083270076091577</v>
      </c>
      <c r="BI25" t="e">
        <f t="shared" si="38"/>
        <v>#DIV/0!</v>
      </c>
      <c r="BJ25">
        <v>6222</v>
      </c>
      <c r="BK25">
        <v>300</v>
      </c>
      <c r="BL25">
        <v>300</v>
      </c>
      <c r="BM25">
        <v>300</v>
      </c>
      <c r="BN25">
        <v>9860.4599999999991</v>
      </c>
      <c r="BO25">
        <v>387.41300000000001</v>
      </c>
      <c r="BP25">
        <v>-6.5568299999999996E-3</v>
      </c>
      <c r="BQ25">
        <v>1.5550200000000001</v>
      </c>
      <c r="BR25">
        <f t="shared" si="39"/>
        <v>1999.9925806451599</v>
      </c>
      <c r="BS25">
        <f t="shared" si="40"/>
        <v>1681.1904867736578</v>
      </c>
      <c r="BT25">
        <f t="shared" si="41"/>
        <v>0.84059836173559077</v>
      </c>
      <c r="BU25">
        <f t="shared" si="42"/>
        <v>0.19119672347118144</v>
      </c>
      <c r="BV25">
        <v>0.5</v>
      </c>
      <c r="BW25" t="s">
        <v>281</v>
      </c>
      <c r="BX25">
        <v>1597514188.3</v>
      </c>
      <c r="BY25">
        <v>579.02151612903197</v>
      </c>
      <c r="BZ25">
        <v>599.98606451612898</v>
      </c>
      <c r="CA25">
        <v>20.131187096774202</v>
      </c>
      <c r="CB25">
        <v>16.707129032258099</v>
      </c>
      <c r="CC25">
        <v>500.05883870967699</v>
      </c>
      <c r="CD25">
        <v>99.020193548387098</v>
      </c>
      <c r="CE25">
        <v>0.20000090322580599</v>
      </c>
      <c r="CF25">
        <v>27.335616129032299</v>
      </c>
      <c r="CG25">
        <v>27.1416096774194</v>
      </c>
      <c r="CH25">
        <v>999.9</v>
      </c>
      <c r="CI25">
        <v>9991.6864516129008</v>
      </c>
      <c r="CJ25">
        <v>0</v>
      </c>
      <c r="CK25">
        <v>246.31358064516101</v>
      </c>
      <c r="CL25">
        <v>1999.9925806451599</v>
      </c>
      <c r="CM25">
        <v>0.98000393548387099</v>
      </c>
      <c r="CN25">
        <v>1.9995922580645201E-2</v>
      </c>
      <c r="CO25">
        <v>0</v>
      </c>
      <c r="CP25">
        <v>278.58780645161301</v>
      </c>
      <c r="CQ25">
        <v>5.00054</v>
      </c>
      <c r="CR25">
        <v>8263.8396774193607</v>
      </c>
      <c r="CS25">
        <v>18703.577419354799</v>
      </c>
      <c r="CT25">
        <v>51.173129032258103</v>
      </c>
      <c r="CU25">
        <v>54.027999999999999</v>
      </c>
      <c r="CV25">
        <v>51.941193548387098</v>
      </c>
      <c r="CW25">
        <v>52.733612903225797</v>
      </c>
      <c r="CX25">
        <v>52.507870967741901</v>
      </c>
      <c r="CY25">
        <v>1955.10193548387</v>
      </c>
      <c r="CZ25">
        <v>39.890645161290301</v>
      </c>
      <c r="DA25">
        <v>0</v>
      </c>
      <c r="DB25">
        <v>125.09999990463299</v>
      </c>
      <c r="DC25">
        <v>278.530423076923</v>
      </c>
      <c r="DD25">
        <v>-2.59531625359786</v>
      </c>
      <c r="DE25">
        <v>-37.670769221659299</v>
      </c>
      <c r="DF25">
        <v>8263.5419230769203</v>
      </c>
      <c r="DG25">
        <v>15</v>
      </c>
      <c r="DH25">
        <v>1597514224.3</v>
      </c>
      <c r="DI25" t="s">
        <v>327</v>
      </c>
      <c r="DJ25">
        <v>70</v>
      </c>
      <c r="DK25">
        <v>-0.32300000000000001</v>
      </c>
      <c r="DL25">
        <v>0.106</v>
      </c>
      <c r="DM25">
        <v>600</v>
      </c>
      <c r="DN25">
        <v>17</v>
      </c>
      <c r="DO25">
        <v>0.2</v>
      </c>
      <c r="DP25">
        <v>0.02</v>
      </c>
      <c r="DQ25">
        <v>578.93931481481502</v>
      </c>
      <c r="DR25">
        <v>0.26128301886801097</v>
      </c>
      <c r="DS25">
        <v>4.5271127285574801E-2</v>
      </c>
      <c r="DT25">
        <v>1</v>
      </c>
      <c r="DU25">
        <v>20.136348148148201</v>
      </c>
      <c r="DV25">
        <v>-5.3453173241851601E-2</v>
      </c>
      <c r="DW25">
        <v>1.01010952970591E-2</v>
      </c>
      <c r="DX25">
        <v>1</v>
      </c>
      <c r="DY25">
        <v>2</v>
      </c>
      <c r="DZ25">
        <v>2</v>
      </c>
      <c r="EA25" t="s">
        <v>283</v>
      </c>
      <c r="EB25">
        <v>1.8666400000000001</v>
      </c>
      <c r="EC25">
        <v>1.8631599999999999</v>
      </c>
      <c r="ED25">
        <v>1.86879</v>
      </c>
      <c r="EE25">
        <v>1.86676</v>
      </c>
      <c r="EF25">
        <v>1.8714500000000001</v>
      </c>
      <c r="EG25">
        <v>1.8638699999999999</v>
      </c>
      <c r="EH25">
        <v>1.8654299999999999</v>
      </c>
      <c r="EI25">
        <v>1.8653900000000001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-0.32300000000000001</v>
      </c>
      <c r="EX25">
        <v>0.106</v>
      </c>
      <c r="EY25">
        <v>2</v>
      </c>
      <c r="EZ25">
        <v>326.92899999999997</v>
      </c>
      <c r="FA25">
        <v>461.82600000000002</v>
      </c>
      <c r="FB25">
        <v>21.4407</v>
      </c>
      <c r="FC25">
        <v>36.325000000000003</v>
      </c>
      <c r="FD25">
        <v>30.000900000000001</v>
      </c>
      <c r="FE25">
        <v>36.077100000000002</v>
      </c>
      <c r="FF25">
        <v>36.046999999999997</v>
      </c>
      <c r="FG25">
        <v>30.539100000000001</v>
      </c>
      <c r="FH25">
        <v>55.497999999999998</v>
      </c>
      <c r="FI25">
        <v>0</v>
      </c>
      <c r="FJ25">
        <v>19.556799999999999</v>
      </c>
      <c r="FK25">
        <v>600</v>
      </c>
      <c r="FL25">
        <v>16.783999999999999</v>
      </c>
      <c r="FM25">
        <v>100.25</v>
      </c>
      <c r="FN25">
        <v>100.8</v>
      </c>
    </row>
    <row r="26" spans="1:170" x14ac:dyDescent="0.25">
      <c r="A26">
        <v>10</v>
      </c>
      <c r="B26">
        <v>1597514316.3</v>
      </c>
      <c r="C26">
        <v>1097.7000000476801</v>
      </c>
      <c r="D26" t="s">
        <v>328</v>
      </c>
      <c r="E26" t="s">
        <v>329</v>
      </c>
      <c r="G26">
        <v>1597514308.30323</v>
      </c>
      <c r="H26">
        <f t="shared" si="0"/>
        <v>8.1364294524603892E-3</v>
      </c>
      <c r="I26">
        <f t="shared" si="1"/>
        <v>50.492177429125093</v>
      </c>
      <c r="J26">
        <f t="shared" si="2"/>
        <v>677.60725806451603</v>
      </c>
      <c r="K26">
        <f t="shared" si="3"/>
        <v>494.27296291468178</v>
      </c>
      <c r="L26">
        <f t="shared" si="4"/>
        <v>49.045108332810507</v>
      </c>
      <c r="M26">
        <f t="shared" si="5"/>
        <v>67.23677779763446</v>
      </c>
      <c r="N26">
        <f t="shared" si="6"/>
        <v>0.51720939957588064</v>
      </c>
      <c r="O26">
        <f t="shared" si="7"/>
        <v>3.3766232037498654</v>
      </c>
      <c r="P26">
        <f t="shared" si="8"/>
        <v>0.47688670456903659</v>
      </c>
      <c r="Q26">
        <f t="shared" si="9"/>
        <v>0.30141462488689486</v>
      </c>
      <c r="R26">
        <f t="shared" si="10"/>
        <v>321.43838526402112</v>
      </c>
      <c r="S26">
        <f t="shared" si="11"/>
        <v>27.189340830336455</v>
      </c>
      <c r="T26">
        <f t="shared" si="12"/>
        <v>27.308061290322598</v>
      </c>
      <c r="U26">
        <f t="shared" si="13"/>
        <v>3.6444318273250595</v>
      </c>
      <c r="V26">
        <f t="shared" si="14"/>
        <v>54.629654360036305</v>
      </c>
      <c r="W26">
        <f t="shared" si="15"/>
        <v>1.9996168567757939</v>
      </c>
      <c r="X26">
        <f t="shared" si="16"/>
        <v>3.6603139452381206</v>
      </c>
      <c r="Y26">
        <f t="shared" si="17"/>
        <v>1.6448149705492656</v>
      </c>
      <c r="Z26">
        <f t="shared" si="18"/>
        <v>-358.81653885350318</v>
      </c>
      <c r="AA26">
        <f t="shared" si="19"/>
        <v>13.512690900971782</v>
      </c>
      <c r="AB26">
        <f t="shared" si="20"/>
        <v>0.86662744461450436</v>
      </c>
      <c r="AC26">
        <f t="shared" si="21"/>
        <v>-22.998835243895776</v>
      </c>
      <c r="AD26">
        <v>-4.1085926213115097E-2</v>
      </c>
      <c r="AE26">
        <v>4.6122551499042902E-2</v>
      </c>
      <c r="AF26">
        <v>3.4487218056042401</v>
      </c>
      <c r="AG26">
        <v>158</v>
      </c>
      <c r="AH26">
        <v>32</v>
      </c>
      <c r="AI26">
        <f t="shared" si="22"/>
        <v>1</v>
      </c>
      <c r="AJ26">
        <f t="shared" si="23"/>
        <v>0</v>
      </c>
      <c r="AK26">
        <f t="shared" si="24"/>
        <v>52323.232679808061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330</v>
      </c>
      <c r="AS26">
        <v>276.96346153846201</v>
      </c>
      <c r="AT26">
        <v>430.78399999999999</v>
      </c>
      <c r="AU26">
        <f t="shared" si="27"/>
        <v>0.35707115041769888</v>
      </c>
      <c r="AV26">
        <v>0.5</v>
      </c>
      <c r="AW26">
        <f t="shared" si="28"/>
        <v>1681.1920932252751</v>
      </c>
      <c r="AX26">
        <f t="shared" si="29"/>
        <v>50.492177429125093</v>
      </c>
      <c r="AY26">
        <f t="shared" si="30"/>
        <v>300.15259740054415</v>
      </c>
      <c r="AZ26">
        <f t="shared" si="31"/>
        <v>0.58108936265042344</v>
      </c>
      <c r="BA26">
        <f t="shared" si="32"/>
        <v>3.0628372353536451E-2</v>
      </c>
      <c r="BB26">
        <f t="shared" si="33"/>
        <v>-1</v>
      </c>
      <c r="BC26" t="s">
        <v>331</v>
      </c>
      <c r="BD26">
        <v>180.46</v>
      </c>
      <c r="BE26">
        <f t="shared" si="34"/>
        <v>250.32399999999998</v>
      </c>
      <c r="BF26">
        <f t="shared" si="35"/>
        <v>0.61448578027491563</v>
      </c>
      <c r="BG26">
        <f t="shared" si="36"/>
        <v>2.3871439654216999</v>
      </c>
      <c r="BH26">
        <f t="shared" si="37"/>
        <v>0.35707115041769882</v>
      </c>
      <c r="BI26" t="e">
        <f t="shared" si="38"/>
        <v>#DIV/0!</v>
      </c>
      <c r="BJ26">
        <v>6224</v>
      </c>
      <c r="BK26">
        <v>300</v>
      </c>
      <c r="BL26">
        <v>300</v>
      </c>
      <c r="BM26">
        <v>300</v>
      </c>
      <c r="BN26">
        <v>9859.52</v>
      </c>
      <c r="BO26">
        <v>387.00700000000001</v>
      </c>
      <c r="BP26">
        <v>-6.55603E-3</v>
      </c>
      <c r="BQ26">
        <v>1.3142400000000001</v>
      </c>
      <c r="BR26">
        <f t="shared" si="39"/>
        <v>1999.99451612903</v>
      </c>
      <c r="BS26">
        <f t="shared" si="40"/>
        <v>1681.1920932252751</v>
      </c>
      <c r="BT26">
        <f t="shared" si="41"/>
        <v>0.84059835147908613</v>
      </c>
      <c r="BU26">
        <f t="shared" si="42"/>
        <v>0.19119670295817248</v>
      </c>
      <c r="BV26">
        <v>0.5</v>
      </c>
      <c r="BW26" t="s">
        <v>281</v>
      </c>
      <c r="BX26">
        <v>1597514308.30323</v>
      </c>
      <c r="BY26">
        <v>677.60725806451603</v>
      </c>
      <c r="BZ26">
        <v>700.006967741935</v>
      </c>
      <c r="CA26">
        <v>20.151990322580598</v>
      </c>
      <c r="CB26">
        <v>16.9633580645161</v>
      </c>
      <c r="CC26">
        <v>500.05541935483899</v>
      </c>
      <c r="CD26">
        <v>99.026770967741896</v>
      </c>
      <c r="CE26">
        <v>0.199996451612903</v>
      </c>
      <c r="CF26">
        <v>27.382290322580602</v>
      </c>
      <c r="CG26">
        <v>27.308061290322598</v>
      </c>
      <c r="CH26">
        <v>999.9</v>
      </c>
      <c r="CI26">
        <v>10005.4467741935</v>
      </c>
      <c r="CJ26">
        <v>0</v>
      </c>
      <c r="CK26">
        <v>246.791</v>
      </c>
      <c r="CL26">
        <v>1999.99451612903</v>
      </c>
      <c r="CM26">
        <v>0.98000577419354795</v>
      </c>
      <c r="CN26">
        <v>1.9994354838709701E-2</v>
      </c>
      <c r="CO26">
        <v>0</v>
      </c>
      <c r="CP26">
        <v>277.01441935483899</v>
      </c>
      <c r="CQ26">
        <v>5.00054</v>
      </c>
      <c r="CR26">
        <v>8257.5377419354809</v>
      </c>
      <c r="CS26">
        <v>18703.606451612901</v>
      </c>
      <c r="CT26">
        <v>51.425129032257999</v>
      </c>
      <c r="CU26">
        <v>54.293999999999997</v>
      </c>
      <c r="CV26">
        <v>52.185064516129003</v>
      </c>
      <c r="CW26">
        <v>52.993709677419297</v>
      </c>
      <c r="CX26">
        <v>52.749870967741899</v>
      </c>
      <c r="CY26">
        <v>1955.1045161290299</v>
      </c>
      <c r="CZ26">
        <v>39.89</v>
      </c>
      <c r="DA26">
        <v>0</v>
      </c>
      <c r="DB26">
        <v>119.59999990463299</v>
      </c>
      <c r="DC26">
        <v>276.96346153846201</v>
      </c>
      <c r="DD26">
        <v>-1.8609914474168201</v>
      </c>
      <c r="DE26">
        <v>-27.7719657987017</v>
      </c>
      <c r="DF26">
        <v>8257.1557692307706</v>
      </c>
      <c r="DG26">
        <v>15</v>
      </c>
      <c r="DH26">
        <v>1597514342.3</v>
      </c>
      <c r="DI26" t="s">
        <v>332</v>
      </c>
      <c r="DJ26">
        <v>71</v>
      </c>
      <c r="DK26">
        <v>-0.37</v>
      </c>
      <c r="DL26">
        <v>0.108</v>
      </c>
      <c r="DM26">
        <v>700</v>
      </c>
      <c r="DN26">
        <v>17</v>
      </c>
      <c r="DO26">
        <v>0.19</v>
      </c>
      <c r="DP26">
        <v>0.03</v>
      </c>
      <c r="DQ26">
        <v>677.62338888888905</v>
      </c>
      <c r="DR26">
        <v>0.284420445200814</v>
      </c>
      <c r="DS26">
        <v>4.51181234287149E-2</v>
      </c>
      <c r="DT26">
        <v>1</v>
      </c>
      <c r="DU26">
        <v>20.147866666666701</v>
      </c>
      <c r="DV26">
        <v>2.20265076003196E-2</v>
      </c>
      <c r="DW26">
        <v>6.4650914461751004E-3</v>
      </c>
      <c r="DX26">
        <v>1</v>
      </c>
      <c r="DY26">
        <v>2</v>
      </c>
      <c r="DZ26">
        <v>2</v>
      </c>
      <c r="EA26" t="s">
        <v>283</v>
      </c>
      <c r="EB26">
        <v>1.8666199999999999</v>
      </c>
      <c r="EC26">
        <v>1.8631200000000001</v>
      </c>
      <c r="ED26">
        <v>1.8687499999999999</v>
      </c>
      <c r="EE26">
        <v>1.86676</v>
      </c>
      <c r="EF26">
        <v>1.8714200000000001</v>
      </c>
      <c r="EG26">
        <v>1.8638600000000001</v>
      </c>
      <c r="EH26">
        <v>1.8654299999999999</v>
      </c>
      <c r="EI26">
        <v>1.8653900000000001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-0.37</v>
      </c>
      <c r="EX26">
        <v>0.108</v>
      </c>
      <c r="EY26">
        <v>2</v>
      </c>
      <c r="EZ26">
        <v>326.48500000000001</v>
      </c>
      <c r="FA26">
        <v>461.83800000000002</v>
      </c>
      <c r="FB26">
        <v>21.4438</v>
      </c>
      <c r="FC26">
        <v>36.525399999999998</v>
      </c>
      <c r="FD26">
        <v>30.000599999999999</v>
      </c>
      <c r="FE26">
        <v>36.277900000000002</v>
      </c>
      <c r="FF26">
        <v>36.246699999999997</v>
      </c>
      <c r="FG26">
        <v>34.582099999999997</v>
      </c>
      <c r="FH26">
        <v>54.8172</v>
      </c>
      <c r="FI26">
        <v>0</v>
      </c>
      <c r="FJ26">
        <v>17.916599999999999</v>
      </c>
      <c r="FK26">
        <v>700</v>
      </c>
      <c r="FL26">
        <v>17.069299999999998</v>
      </c>
      <c r="FM26">
        <v>100.21599999999999</v>
      </c>
      <c r="FN26">
        <v>100.762</v>
      </c>
    </row>
    <row r="27" spans="1:170" x14ac:dyDescent="0.25">
      <c r="A27">
        <v>11</v>
      </c>
      <c r="B27">
        <v>1597514441.3</v>
      </c>
      <c r="C27">
        <v>1222.7000000476801</v>
      </c>
      <c r="D27" t="s">
        <v>333</v>
      </c>
      <c r="E27" t="s">
        <v>334</v>
      </c>
      <c r="G27">
        <v>1597514433.3</v>
      </c>
      <c r="H27">
        <f t="shared" si="0"/>
        <v>7.5071183228179877E-3</v>
      </c>
      <c r="I27">
        <f t="shared" si="1"/>
        <v>51.803298813476985</v>
      </c>
      <c r="J27">
        <f t="shared" si="2"/>
        <v>776.93490322580601</v>
      </c>
      <c r="K27">
        <f t="shared" si="3"/>
        <v>567.90844817092182</v>
      </c>
      <c r="L27">
        <f t="shared" si="4"/>
        <v>56.356508417611408</v>
      </c>
      <c r="M27">
        <f t="shared" si="5"/>
        <v>77.09929048353105</v>
      </c>
      <c r="N27">
        <f t="shared" si="6"/>
        <v>0.46344974733659239</v>
      </c>
      <c r="O27">
        <f t="shared" si="7"/>
        <v>3.3755827022210867</v>
      </c>
      <c r="P27">
        <f t="shared" si="8"/>
        <v>0.43078095896851804</v>
      </c>
      <c r="Q27">
        <f t="shared" si="9"/>
        <v>0.27198111301674577</v>
      </c>
      <c r="R27">
        <f t="shared" si="10"/>
        <v>321.44293308129744</v>
      </c>
      <c r="S27">
        <f t="shared" si="11"/>
        <v>27.377716096817299</v>
      </c>
      <c r="T27">
        <f t="shared" si="12"/>
        <v>27.491970967741899</v>
      </c>
      <c r="U27">
        <f t="shared" si="13"/>
        <v>3.6838918888911945</v>
      </c>
      <c r="V27">
        <f t="shared" si="14"/>
        <v>54.607861959828419</v>
      </c>
      <c r="W27">
        <f t="shared" si="15"/>
        <v>2.0041051211756278</v>
      </c>
      <c r="X27">
        <f t="shared" si="16"/>
        <v>3.6699937504418725</v>
      </c>
      <c r="Y27">
        <f t="shared" si="17"/>
        <v>1.6797867677155667</v>
      </c>
      <c r="Z27">
        <f t="shared" si="18"/>
        <v>-331.06391803627326</v>
      </c>
      <c r="AA27">
        <f t="shared" si="19"/>
        <v>-11.752083860383104</v>
      </c>
      <c r="AB27">
        <f t="shared" si="20"/>
        <v>-0.75480705859965513</v>
      </c>
      <c r="AC27">
        <f t="shared" si="21"/>
        <v>-22.127875873958608</v>
      </c>
      <c r="AD27">
        <v>-4.1069847617841E-2</v>
      </c>
      <c r="AE27">
        <v>4.6104501867285402E-2</v>
      </c>
      <c r="AF27">
        <v>3.44765308895788</v>
      </c>
      <c r="AG27">
        <v>158</v>
      </c>
      <c r="AH27">
        <v>32</v>
      </c>
      <c r="AI27">
        <f t="shared" si="22"/>
        <v>1</v>
      </c>
      <c r="AJ27">
        <f t="shared" si="23"/>
        <v>0</v>
      </c>
      <c r="AK27">
        <f t="shared" si="24"/>
        <v>52295.924441196323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335</v>
      </c>
      <c r="AS27">
        <v>274.45600000000002</v>
      </c>
      <c r="AT27">
        <v>423.39800000000002</v>
      </c>
      <c r="AU27">
        <f t="shared" si="27"/>
        <v>0.35177775993273463</v>
      </c>
      <c r="AV27">
        <v>0.5</v>
      </c>
      <c r="AW27">
        <f t="shared" si="28"/>
        <v>1681.2144867736256</v>
      </c>
      <c r="AX27">
        <f t="shared" si="29"/>
        <v>51.803298813476985</v>
      </c>
      <c r="AY27">
        <f t="shared" si="30"/>
        <v>295.70693306184404</v>
      </c>
      <c r="AZ27">
        <f t="shared" si="31"/>
        <v>0.57940283137851378</v>
      </c>
      <c r="BA27">
        <f t="shared" si="32"/>
        <v>3.1407830011511741E-2</v>
      </c>
      <c r="BB27">
        <f t="shared" si="33"/>
        <v>-1</v>
      </c>
      <c r="BC27" t="s">
        <v>336</v>
      </c>
      <c r="BD27">
        <v>178.08</v>
      </c>
      <c r="BE27">
        <f t="shared" si="34"/>
        <v>245.31800000000001</v>
      </c>
      <c r="BF27">
        <f t="shared" si="35"/>
        <v>0.60713848963386297</v>
      </c>
      <c r="BG27">
        <f t="shared" si="36"/>
        <v>2.3775718778077271</v>
      </c>
      <c r="BH27">
        <f t="shared" si="37"/>
        <v>0.35177775993273469</v>
      </c>
      <c r="BI27" t="e">
        <f t="shared" si="38"/>
        <v>#DIV/0!</v>
      </c>
      <c r="BJ27">
        <v>6226</v>
      </c>
      <c r="BK27">
        <v>300</v>
      </c>
      <c r="BL27">
        <v>300</v>
      </c>
      <c r="BM27">
        <v>300</v>
      </c>
      <c r="BN27">
        <v>9858.69</v>
      </c>
      <c r="BO27">
        <v>382.76299999999998</v>
      </c>
      <c r="BP27">
        <v>-6.5553299999999998E-3</v>
      </c>
      <c r="BQ27">
        <v>2.3687399999999998</v>
      </c>
      <c r="BR27">
        <f t="shared" si="39"/>
        <v>2000.02096774194</v>
      </c>
      <c r="BS27">
        <f t="shared" si="40"/>
        <v>1681.2144867736256</v>
      </c>
      <c r="BT27">
        <f t="shared" si="41"/>
        <v>0.84059843066132811</v>
      </c>
      <c r="BU27">
        <f t="shared" si="42"/>
        <v>0.19119686132265618</v>
      </c>
      <c r="BV27">
        <v>0.5</v>
      </c>
      <c r="BW27" t="s">
        <v>281</v>
      </c>
      <c r="BX27">
        <v>1597514433.3</v>
      </c>
      <c r="BY27">
        <v>776.93490322580601</v>
      </c>
      <c r="BZ27">
        <v>799.98648387096796</v>
      </c>
      <c r="CA27">
        <v>20.1955064516129</v>
      </c>
      <c r="CB27">
        <v>17.2536548387097</v>
      </c>
      <c r="CC27">
        <v>500.05977419354798</v>
      </c>
      <c r="CD27">
        <v>99.035190322580604</v>
      </c>
      <c r="CE27">
        <v>0.20000964516129</v>
      </c>
      <c r="CF27">
        <v>27.427393548387101</v>
      </c>
      <c r="CG27">
        <v>27.491970967741899</v>
      </c>
      <c r="CH27">
        <v>999.9</v>
      </c>
      <c r="CI27">
        <v>10000.680967741901</v>
      </c>
      <c r="CJ27">
        <v>0</v>
      </c>
      <c r="CK27">
        <v>249.04090322580601</v>
      </c>
      <c r="CL27">
        <v>2000.02096774194</v>
      </c>
      <c r="CM27">
        <v>0.98000416129032297</v>
      </c>
      <c r="CN27">
        <v>1.9996167741935501E-2</v>
      </c>
      <c r="CO27">
        <v>0</v>
      </c>
      <c r="CP27">
        <v>274.46370967741899</v>
      </c>
      <c r="CQ27">
        <v>5.00054</v>
      </c>
      <c r="CR27">
        <v>8223.5077419354802</v>
      </c>
      <c r="CS27">
        <v>18703.829032258102</v>
      </c>
      <c r="CT27">
        <v>51.618774193548397</v>
      </c>
      <c r="CU27">
        <v>54.5</v>
      </c>
      <c r="CV27">
        <v>52.417000000000002</v>
      </c>
      <c r="CW27">
        <v>53.174999999999997</v>
      </c>
      <c r="CX27">
        <v>52.9431935483871</v>
      </c>
      <c r="CY27">
        <v>1955.12516129032</v>
      </c>
      <c r="CZ27">
        <v>39.895806451612899</v>
      </c>
      <c r="DA27">
        <v>0</v>
      </c>
      <c r="DB27">
        <v>124.299999952316</v>
      </c>
      <c r="DC27">
        <v>274.45600000000002</v>
      </c>
      <c r="DD27">
        <v>-1.3851623945501801</v>
      </c>
      <c r="DE27">
        <v>7.4321367929951396</v>
      </c>
      <c r="DF27">
        <v>8223.4119230769193</v>
      </c>
      <c r="DG27">
        <v>15</v>
      </c>
      <c r="DH27">
        <v>1597514466.8</v>
      </c>
      <c r="DI27" t="s">
        <v>337</v>
      </c>
      <c r="DJ27">
        <v>72</v>
      </c>
      <c r="DK27">
        <v>-0.41</v>
      </c>
      <c r="DL27">
        <v>0.112</v>
      </c>
      <c r="DM27">
        <v>800</v>
      </c>
      <c r="DN27">
        <v>17</v>
      </c>
      <c r="DO27">
        <v>0.27</v>
      </c>
      <c r="DP27">
        <v>0.03</v>
      </c>
      <c r="DQ27">
        <v>776.95412962962996</v>
      </c>
      <c r="DR27">
        <v>0.26927844482580798</v>
      </c>
      <c r="DS27">
        <v>5.3857509637070901E-2</v>
      </c>
      <c r="DT27">
        <v>1</v>
      </c>
      <c r="DU27">
        <v>20.192831481481502</v>
      </c>
      <c r="DV27">
        <v>-1.15855917667233E-2</v>
      </c>
      <c r="DW27">
        <v>4.73332645046734E-3</v>
      </c>
      <c r="DX27">
        <v>1</v>
      </c>
      <c r="DY27">
        <v>2</v>
      </c>
      <c r="DZ27">
        <v>2</v>
      </c>
      <c r="EA27" t="s">
        <v>283</v>
      </c>
      <c r="EB27">
        <v>1.8666100000000001</v>
      </c>
      <c r="EC27">
        <v>1.8631200000000001</v>
      </c>
      <c r="ED27">
        <v>1.8688</v>
      </c>
      <c r="EE27">
        <v>1.86676</v>
      </c>
      <c r="EF27">
        <v>1.8714</v>
      </c>
      <c r="EG27">
        <v>1.8638600000000001</v>
      </c>
      <c r="EH27">
        <v>1.8654200000000001</v>
      </c>
      <c r="EI27">
        <v>1.8653900000000001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-0.41</v>
      </c>
      <c r="EX27">
        <v>0.112</v>
      </c>
      <c r="EY27">
        <v>2</v>
      </c>
      <c r="EZ27">
        <v>325.96699999999998</v>
      </c>
      <c r="FA27">
        <v>461.91199999999998</v>
      </c>
      <c r="FB27">
        <v>21.4648</v>
      </c>
      <c r="FC27">
        <v>36.680199999999999</v>
      </c>
      <c r="FD27">
        <v>30.000399999999999</v>
      </c>
      <c r="FE27">
        <v>36.4497</v>
      </c>
      <c r="FF27">
        <v>36.419699999999999</v>
      </c>
      <c r="FG27">
        <v>38.5364</v>
      </c>
      <c r="FH27">
        <v>54.040700000000001</v>
      </c>
      <c r="FI27">
        <v>0</v>
      </c>
      <c r="FJ27">
        <v>17.9466</v>
      </c>
      <c r="FK27">
        <v>800</v>
      </c>
      <c r="FL27">
        <v>17.372900000000001</v>
      </c>
      <c r="FM27">
        <v>100.18899999999999</v>
      </c>
      <c r="FN27">
        <v>100.729</v>
      </c>
    </row>
    <row r="28" spans="1:170" x14ac:dyDescent="0.25">
      <c r="A28">
        <v>12</v>
      </c>
      <c r="B28">
        <v>1597514558.8</v>
      </c>
      <c r="C28">
        <v>1340.2000000476801</v>
      </c>
      <c r="D28" t="s">
        <v>338</v>
      </c>
      <c r="E28" t="s">
        <v>339</v>
      </c>
      <c r="G28">
        <v>1597514550.80323</v>
      </c>
      <c r="H28">
        <f t="shared" si="0"/>
        <v>7.0099112047001056E-3</v>
      </c>
      <c r="I28">
        <f t="shared" si="1"/>
        <v>53.762737128886904</v>
      </c>
      <c r="J28">
        <f t="shared" si="2"/>
        <v>975.82619354838698</v>
      </c>
      <c r="K28">
        <f t="shared" si="3"/>
        <v>737.94313577962578</v>
      </c>
      <c r="L28">
        <f t="shared" si="4"/>
        <v>73.235498520915954</v>
      </c>
      <c r="M28">
        <f t="shared" si="5"/>
        <v>96.843664896729621</v>
      </c>
      <c r="N28">
        <f t="shared" si="6"/>
        <v>0.4260305299939291</v>
      </c>
      <c r="O28">
        <f t="shared" si="7"/>
        <v>3.3760192688119535</v>
      </c>
      <c r="P28">
        <f t="shared" si="8"/>
        <v>0.39825801204483385</v>
      </c>
      <c r="Q28">
        <f t="shared" si="9"/>
        <v>0.2512554828471677</v>
      </c>
      <c r="R28">
        <f t="shared" si="10"/>
        <v>321.4379127072861</v>
      </c>
      <c r="S28">
        <f t="shared" si="11"/>
        <v>27.414774393766717</v>
      </c>
      <c r="T28">
        <f t="shared" si="12"/>
        <v>27.588883870967699</v>
      </c>
      <c r="U28">
        <f t="shared" si="13"/>
        <v>3.7048353492541204</v>
      </c>
      <c r="V28">
        <f t="shared" si="14"/>
        <v>54.966695539426333</v>
      </c>
      <c r="W28">
        <f t="shared" si="15"/>
        <v>2.0083007307282457</v>
      </c>
      <c r="X28">
        <f t="shared" si="16"/>
        <v>3.6536683004488384</v>
      </c>
      <c r="Y28">
        <f t="shared" si="17"/>
        <v>1.6965346185258747</v>
      </c>
      <c r="Z28">
        <f t="shared" si="18"/>
        <v>-309.13708412727465</v>
      </c>
      <c r="AA28">
        <f t="shared" si="19"/>
        <v>-43.248611849407276</v>
      </c>
      <c r="AB28">
        <f t="shared" si="20"/>
        <v>-2.7776799510668417</v>
      </c>
      <c r="AC28">
        <f t="shared" si="21"/>
        <v>-33.72546322046265</v>
      </c>
      <c r="AD28">
        <v>-4.1076593496334399E-2</v>
      </c>
      <c r="AE28">
        <v>4.6112074706865597E-2</v>
      </c>
      <c r="AF28">
        <v>3.4481014933835601</v>
      </c>
      <c r="AG28">
        <v>159</v>
      </c>
      <c r="AH28">
        <v>32</v>
      </c>
      <c r="AI28">
        <f t="shared" si="22"/>
        <v>1</v>
      </c>
      <c r="AJ28">
        <f t="shared" si="23"/>
        <v>0</v>
      </c>
      <c r="AK28">
        <f t="shared" si="24"/>
        <v>52317.583692853899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340</v>
      </c>
      <c r="AS28">
        <v>272.611115384615</v>
      </c>
      <c r="AT28">
        <v>412.072</v>
      </c>
      <c r="AU28">
        <f t="shared" si="27"/>
        <v>0.33843814822503104</v>
      </c>
      <c r="AV28">
        <v>0.5</v>
      </c>
      <c r="AW28">
        <f t="shared" si="28"/>
        <v>1681.1842932251118</v>
      </c>
      <c r="AX28">
        <f t="shared" si="29"/>
        <v>53.762737128886904</v>
      </c>
      <c r="AY28">
        <f t="shared" si="30"/>
        <v>284.48844951205723</v>
      </c>
      <c r="AZ28">
        <f t="shared" si="31"/>
        <v>0.56303752742239221</v>
      </c>
      <c r="BA28">
        <f t="shared" si="32"/>
        <v>3.2573904806017677E-2</v>
      </c>
      <c r="BB28">
        <f t="shared" si="33"/>
        <v>-1</v>
      </c>
      <c r="BC28" t="s">
        <v>341</v>
      </c>
      <c r="BD28">
        <v>180.06</v>
      </c>
      <c r="BE28">
        <f t="shared" si="34"/>
        <v>232.012</v>
      </c>
      <c r="BF28">
        <f t="shared" si="35"/>
        <v>0.60109341161398977</v>
      </c>
      <c r="BG28">
        <f t="shared" si="36"/>
        <v>2.2885260468732644</v>
      </c>
      <c r="BH28">
        <f t="shared" si="37"/>
        <v>0.33843814822503104</v>
      </c>
      <c r="BI28" t="e">
        <f t="shared" si="38"/>
        <v>#DIV/0!</v>
      </c>
      <c r="BJ28">
        <v>6228</v>
      </c>
      <c r="BK28">
        <v>300</v>
      </c>
      <c r="BL28">
        <v>300</v>
      </c>
      <c r="BM28">
        <v>300</v>
      </c>
      <c r="BN28">
        <v>9858.2800000000007</v>
      </c>
      <c r="BO28">
        <v>374.45</v>
      </c>
      <c r="BP28">
        <v>-6.5549500000000004E-3</v>
      </c>
      <c r="BQ28">
        <v>1.89923</v>
      </c>
      <c r="BR28">
        <f t="shared" si="39"/>
        <v>1999.98451612903</v>
      </c>
      <c r="BS28">
        <f t="shared" si="40"/>
        <v>1681.1842932251118</v>
      </c>
      <c r="BT28">
        <f t="shared" si="41"/>
        <v>0.84059865447310755</v>
      </c>
      <c r="BU28">
        <f t="shared" si="42"/>
        <v>0.19119730894621517</v>
      </c>
      <c r="BV28">
        <v>0.5</v>
      </c>
      <c r="BW28" t="s">
        <v>281</v>
      </c>
      <c r="BX28">
        <v>1597514550.80323</v>
      </c>
      <c r="BY28">
        <v>975.82619354838698</v>
      </c>
      <c r="BZ28">
        <v>1000.06493548387</v>
      </c>
      <c r="CA28">
        <v>20.236248387096801</v>
      </c>
      <c r="CB28">
        <v>17.489312903225802</v>
      </c>
      <c r="CC28">
        <v>500.05229032258097</v>
      </c>
      <c r="CD28">
        <v>99.042754838709698</v>
      </c>
      <c r="CE28">
        <v>0.19998483870967701</v>
      </c>
      <c r="CF28">
        <v>27.351264516129</v>
      </c>
      <c r="CG28">
        <v>27.588883870967699</v>
      </c>
      <c r="CH28">
        <v>999.9</v>
      </c>
      <c r="CI28">
        <v>10001.5596774194</v>
      </c>
      <c r="CJ28">
        <v>0</v>
      </c>
      <c r="CK28">
        <v>256.72674193548397</v>
      </c>
      <c r="CL28">
        <v>1999.98451612903</v>
      </c>
      <c r="CM28">
        <v>0.97999400000000003</v>
      </c>
      <c r="CN28">
        <v>2.0006300000000001E-2</v>
      </c>
      <c r="CO28">
        <v>0</v>
      </c>
      <c r="CP28">
        <v>272.65435483870999</v>
      </c>
      <c r="CQ28">
        <v>5.00054</v>
      </c>
      <c r="CR28">
        <v>8248.2241935483908</v>
      </c>
      <c r="CS28">
        <v>18703.4483870968</v>
      </c>
      <c r="CT28">
        <v>51.739645161290298</v>
      </c>
      <c r="CU28">
        <v>54.594516129032201</v>
      </c>
      <c r="CV28">
        <v>52.548000000000002</v>
      </c>
      <c r="CW28">
        <v>53.241838709677403</v>
      </c>
      <c r="CX28">
        <v>53.007870967741901</v>
      </c>
      <c r="CY28">
        <v>1955.0745161290299</v>
      </c>
      <c r="CZ28">
        <v>39.909999999999997</v>
      </c>
      <c r="DA28">
        <v>0</v>
      </c>
      <c r="DB28">
        <v>116.700000047684</v>
      </c>
      <c r="DC28">
        <v>272.611115384615</v>
      </c>
      <c r="DD28">
        <v>-2.8912478633071799</v>
      </c>
      <c r="DE28">
        <v>-28.465983021518799</v>
      </c>
      <c r="DF28">
        <v>8247.9549999999999</v>
      </c>
      <c r="DG28">
        <v>15</v>
      </c>
      <c r="DH28">
        <v>1597514587.8</v>
      </c>
      <c r="DI28" t="s">
        <v>342</v>
      </c>
      <c r="DJ28">
        <v>73</v>
      </c>
      <c r="DK28">
        <v>-0.13600000000000001</v>
      </c>
      <c r="DL28">
        <v>0.115</v>
      </c>
      <c r="DM28">
        <v>1000</v>
      </c>
      <c r="DN28">
        <v>18</v>
      </c>
      <c r="DO28">
        <v>0.2</v>
      </c>
      <c r="DP28">
        <v>0.03</v>
      </c>
      <c r="DQ28">
        <v>975.51712962962995</v>
      </c>
      <c r="DR28">
        <v>0.28398874567858301</v>
      </c>
      <c r="DS28">
        <v>5.6837665620566601E-2</v>
      </c>
      <c r="DT28">
        <v>1</v>
      </c>
      <c r="DU28">
        <v>20.2384611111111</v>
      </c>
      <c r="DV28">
        <v>-4.9402473903348301E-2</v>
      </c>
      <c r="DW28">
        <v>6.4462282014127997E-3</v>
      </c>
      <c r="DX28">
        <v>1</v>
      </c>
      <c r="DY28">
        <v>2</v>
      </c>
      <c r="DZ28">
        <v>2</v>
      </c>
      <c r="EA28" t="s">
        <v>283</v>
      </c>
      <c r="EB28">
        <v>1.8666100000000001</v>
      </c>
      <c r="EC28">
        <v>1.86311</v>
      </c>
      <c r="ED28">
        <v>1.86877</v>
      </c>
      <c r="EE28">
        <v>1.86676</v>
      </c>
      <c r="EF28">
        <v>1.8714200000000001</v>
      </c>
      <c r="EG28">
        <v>1.8638600000000001</v>
      </c>
      <c r="EH28">
        <v>1.8654500000000001</v>
      </c>
      <c r="EI28">
        <v>1.8653900000000001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-0.13600000000000001</v>
      </c>
      <c r="EX28">
        <v>0.115</v>
      </c>
      <c r="EY28">
        <v>2</v>
      </c>
      <c r="EZ28">
        <v>325.67500000000001</v>
      </c>
      <c r="FA28">
        <v>462.51</v>
      </c>
      <c r="FB28">
        <v>21.3733</v>
      </c>
      <c r="FC28">
        <v>36.768799999999999</v>
      </c>
      <c r="FD28">
        <v>30.0002</v>
      </c>
      <c r="FE28">
        <v>36.565899999999999</v>
      </c>
      <c r="FF28">
        <v>36.538200000000003</v>
      </c>
      <c r="FG28">
        <v>46.1295</v>
      </c>
      <c r="FH28">
        <v>53.0032</v>
      </c>
      <c r="FI28">
        <v>0</v>
      </c>
      <c r="FJ28">
        <v>17.982299999999999</v>
      </c>
      <c r="FK28">
        <v>1000</v>
      </c>
      <c r="FL28">
        <v>17.599</v>
      </c>
      <c r="FM28">
        <v>100.173</v>
      </c>
      <c r="FN28">
        <v>100.71899999999999</v>
      </c>
    </row>
    <row r="29" spans="1:170" x14ac:dyDescent="0.25">
      <c r="A29">
        <v>13</v>
      </c>
      <c r="B29">
        <v>1597514688.8</v>
      </c>
      <c r="C29">
        <v>1470.2000000476801</v>
      </c>
      <c r="D29" t="s">
        <v>343</v>
      </c>
      <c r="E29" t="s">
        <v>344</v>
      </c>
      <c r="G29">
        <v>1597514680.8064499</v>
      </c>
      <c r="H29">
        <f t="shared" si="0"/>
        <v>6.3951752986859296E-3</v>
      </c>
      <c r="I29">
        <f t="shared" si="1"/>
        <v>53.502872504716414</v>
      </c>
      <c r="J29">
        <f t="shared" si="2"/>
        <v>1175.5917419354801</v>
      </c>
      <c r="K29">
        <f t="shared" si="3"/>
        <v>909.36663551182914</v>
      </c>
      <c r="L29">
        <f t="shared" si="4"/>
        <v>90.250185670144631</v>
      </c>
      <c r="M29">
        <f t="shared" si="5"/>
        <v>116.67172385563701</v>
      </c>
      <c r="N29">
        <f t="shared" si="6"/>
        <v>0.38095033807257406</v>
      </c>
      <c r="O29">
        <f t="shared" si="7"/>
        <v>3.3755718038879765</v>
      </c>
      <c r="P29">
        <f t="shared" si="8"/>
        <v>0.35857598659542839</v>
      </c>
      <c r="Q29">
        <f t="shared" si="9"/>
        <v>0.22601065117459818</v>
      </c>
      <c r="R29">
        <f t="shared" si="10"/>
        <v>321.44314879479651</v>
      </c>
      <c r="S29">
        <f t="shared" si="11"/>
        <v>27.530680094935228</v>
      </c>
      <c r="T29">
        <f t="shared" si="12"/>
        <v>27.6755225806452</v>
      </c>
      <c r="U29">
        <f t="shared" si="13"/>
        <v>3.7236463819566468</v>
      </c>
      <c r="V29">
        <f t="shared" si="14"/>
        <v>54.945724708953811</v>
      </c>
      <c r="W29">
        <f t="shared" si="15"/>
        <v>2.0046998631853952</v>
      </c>
      <c r="X29">
        <f t="shared" si="16"/>
        <v>3.6485092767530909</v>
      </c>
      <c r="Y29">
        <f t="shared" si="17"/>
        <v>1.7189465187712516</v>
      </c>
      <c r="Z29">
        <f t="shared" si="18"/>
        <v>-282.02723067204948</v>
      </c>
      <c r="AA29">
        <f t="shared" si="19"/>
        <v>-63.39905604636364</v>
      </c>
      <c r="AB29">
        <f t="shared" si="20"/>
        <v>-4.0736715232591196</v>
      </c>
      <c r="AC29">
        <f t="shared" si="21"/>
        <v>-28.056809446875732</v>
      </c>
      <c r="AD29">
        <v>-4.1069679220499401E-2</v>
      </c>
      <c r="AE29">
        <v>4.6104312826517002E-2</v>
      </c>
      <c r="AF29">
        <v>3.4476418951169401</v>
      </c>
      <c r="AG29">
        <v>158</v>
      </c>
      <c r="AH29">
        <v>32</v>
      </c>
      <c r="AI29">
        <f t="shared" si="22"/>
        <v>1</v>
      </c>
      <c r="AJ29">
        <f t="shared" si="23"/>
        <v>0</v>
      </c>
      <c r="AK29">
        <f t="shared" si="24"/>
        <v>52313.389396586324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345</v>
      </c>
      <c r="AS29">
        <v>269.96753846153803</v>
      </c>
      <c r="AT29">
        <v>400.71499999999997</v>
      </c>
      <c r="AU29">
        <f t="shared" si="27"/>
        <v>0.32628541866029959</v>
      </c>
      <c r="AV29">
        <v>0.5</v>
      </c>
      <c r="AW29">
        <f t="shared" si="28"/>
        <v>1681.2116803218846</v>
      </c>
      <c r="AX29">
        <f t="shared" si="29"/>
        <v>53.502872504716414</v>
      </c>
      <c r="AY29">
        <f t="shared" si="30"/>
        <v>274.27742848520592</v>
      </c>
      <c r="AZ29">
        <f t="shared" si="31"/>
        <v>0.56532697802677712</v>
      </c>
      <c r="BA29">
        <f t="shared" si="32"/>
        <v>3.2418804331814599E-2</v>
      </c>
      <c r="BB29">
        <f t="shared" si="33"/>
        <v>-1</v>
      </c>
      <c r="BC29" t="s">
        <v>346</v>
      </c>
      <c r="BD29">
        <v>174.18</v>
      </c>
      <c r="BE29">
        <f t="shared" si="34"/>
        <v>226.53499999999997</v>
      </c>
      <c r="BF29">
        <f t="shared" si="35"/>
        <v>0.5771622995937139</v>
      </c>
      <c r="BG29">
        <f t="shared" si="36"/>
        <v>2.3005798599150302</v>
      </c>
      <c r="BH29">
        <f t="shared" si="37"/>
        <v>0.32628541866029959</v>
      </c>
      <c r="BI29" t="e">
        <f t="shared" si="38"/>
        <v>#DIV/0!</v>
      </c>
      <c r="BJ29">
        <v>6230</v>
      </c>
      <c r="BK29">
        <v>300</v>
      </c>
      <c r="BL29">
        <v>300</v>
      </c>
      <c r="BM29">
        <v>300</v>
      </c>
      <c r="BN29">
        <v>9857.76</v>
      </c>
      <c r="BO29">
        <v>365.791</v>
      </c>
      <c r="BP29">
        <v>-6.5544499999999999E-3</v>
      </c>
      <c r="BQ29">
        <v>1.8875999999999999</v>
      </c>
      <c r="BR29">
        <f t="shared" si="39"/>
        <v>2000.0170967741899</v>
      </c>
      <c r="BS29">
        <f t="shared" si="40"/>
        <v>1681.2116803218846</v>
      </c>
      <c r="BT29">
        <f t="shared" si="41"/>
        <v>0.84059865439825299</v>
      </c>
      <c r="BU29">
        <f t="shared" si="42"/>
        <v>0.19119730879650626</v>
      </c>
      <c r="BV29">
        <v>0.5</v>
      </c>
      <c r="BW29" t="s">
        <v>281</v>
      </c>
      <c r="BX29">
        <v>1597514680.8064499</v>
      </c>
      <c r="BY29">
        <v>1175.5917419354801</v>
      </c>
      <c r="BZ29">
        <v>1199.9974193548401</v>
      </c>
      <c r="CA29">
        <v>20.1994838709677</v>
      </c>
      <c r="CB29">
        <v>17.693364516129002</v>
      </c>
      <c r="CC29">
        <v>500.05567741935499</v>
      </c>
      <c r="CD29">
        <v>99.045122580645199</v>
      </c>
      <c r="CE29">
        <v>0.19998070967741899</v>
      </c>
      <c r="CF29">
        <v>27.3271451612903</v>
      </c>
      <c r="CG29">
        <v>27.6755225806452</v>
      </c>
      <c r="CH29">
        <v>999.9</v>
      </c>
      <c r="CI29">
        <v>9999.6370967741896</v>
      </c>
      <c r="CJ29">
        <v>0</v>
      </c>
      <c r="CK29">
        <v>257.16509677419401</v>
      </c>
      <c r="CL29">
        <v>2000.0170967741899</v>
      </c>
      <c r="CM29">
        <v>0.97999451612903299</v>
      </c>
      <c r="CN29">
        <v>2.0005629032258099E-2</v>
      </c>
      <c r="CO29">
        <v>0</v>
      </c>
      <c r="CP29">
        <v>269.95741935483898</v>
      </c>
      <c r="CQ29">
        <v>5.00054</v>
      </c>
      <c r="CR29">
        <v>8239.9380645161309</v>
      </c>
      <c r="CS29">
        <v>18703.764516128998</v>
      </c>
      <c r="CT29">
        <v>51.874870967741899</v>
      </c>
      <c r="CU29">
        <v>54.727645161290297</v>
      </c>
      <c r="CV29">
        <v>52.6991935483871</v>
      </c>
      <c r="CW29">
        <v>53.348516129032198</v>
      </c>
      <c r="CX29">
        <v>53.1488709677419</v>
      </c>
      <c r="CY29">
        <v>1955.1064516128999</v>
      </c>
      <c r="CZ29">
        <v>39.910645161290297</v>
      </c>
      <c r="DA29">
        <v>0</v>
      </c>
      <c r="DB29">
        <v>129.09999990463299</v>
      </c>
      <c r="DC29">
        <v>269.96753846153803</v>
      </c>
      <c r="DD29">
        <v>-1.56724786055694</v>
      </c>
      <c r="DE29">
        <v>84.422563995511098</v>
      </c>
      <c r="DF29">
        <v>8240.0207692307704</v>
      </c>
      <c r="DG29">
        <v>15</v>
      </c>
      <c r="DH29">
        <v>1597514713.3</v>
      </c>
      <c r="DI29" t="s">
        <v>347</v>
      </c>
      <c r="DJ29">
        <v>74</v>
      </c>
      <c r="DK29">
        <v>-6.2E-2</v>
      </c>
      <c r="DL29">
        <v>0.11700000000000001</v>
      </c>
      <c r="DM29">
        <v>1200</v>
      </c>
      <c r="DN29">
        <v>18</v>
      </c>
      <c r="DO29">
        <v>0.17</v>
      </c>
      <c r="DP29">
        <v>0.03</v>
      </c>
      <c r="DQ29">
        <v>1175.4861111111099</v>
      </c>
      <c r="DR29">
        <v>0.26538840000663899</v>
      </c>
      <c r="DS29">
        <v>5.14751528217346E-2</v>
      </c>
      <c r="DT29">
        <v>1</v>
      </c>
      <c r="DU29">
        <v>20.203346296296299</v>
      </c>
      <c r="DV29">
        <v>-5.54223387800536E-2</v>
      </c>
      <c r="DW29">
        <v>7.2695384988511998E-3</v>
      </c>
      <c r="DX29">
        <v>1</v>
      </c>
      <c r="DY29">
        <v>2</v>
      </c>
      <c r="DZ29">
        <v>2</v>
      </c>
      <c r="EA29" t="s">
        <v>283</v>
      </c>
      <c r="EB29">
        <v>1.8666100000000001</v>
      </c>
      <c r="EC29">
        <v>1.8631599999999999</v>
      </c>
      <c r="ED29">
        <v>1.8688</v>
      </c>
      <c r="EE29">
        <v>1.8667499999999999</v>
      </c>
      <c r="EF29">
        <v>1.8714</v>
      </c>
      <c r="EG29">
        <v>1.8638600000000001</v>
      </c>
      <c r="EH29">
        <v>1.8653900000000001</v>
      </c>
      <c r="EI29">
        <v>1.8653599999999999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-6.2E-2</v>
      </c>
      <c r="EX29">
        <v>0.11700000000000001</v>
      </c>
      <c r="EY29">
        <v>2</v>
      </c>
      <c r="EZ29">
        <v>325.89499999999998</v>
      </c>
      <c r="FA29">
        <v>462.81799999999998</v>
      </c>
      <c r="FB29">
        <v>21.306100000000001</v>
      </c>
      <c r="FC29">
        <v>36.827399999999997</v>
      </c>
      <c r="FD29">
        <v>30.0001</v>
      </c>
      <c r="FE29">
        <v>36.654899999999998</v>
      </c>
      <c r="FF29">
        <v>36.6312</v>
      </c>
      <c r="FG29">
        <v>53.407600000000002</v>
      </c>
      <c r="FH29">
        <v>52.723300000000002</v>
      </c>
      <c r="FI29">
        <v>0</v>
      </c>
      <c r="FJ29">
        <v>17.9542</v>
      </c>
      <c r="FK29">
        <v>1200</v>
      </c>
      <c r="FL29">
        <v>17.674499999999998</v>
      </c>
      <c r="FM29">
        <v>100.163</v>
      </c>
      <c r="FN29">
        <v>100.70699999999999</v>
      </c>
    </row>
    <row r="30" spans="1:170" x14ac:dyDescent="0.25">
      <c r="A30">
        <v>14</v>
      </c>
      <c r="B30">
        <v>1597514804.8</v>
      </c>
      <c r="C30">
        <v>1586.2000000476801</v>
      </c>
      <c r="D30" t="s">
        <v>348</v>
      </c>
      <c r="E30" t="s">
        <v>349</v>
      </c>
      <c r="G30">
        <v>1597514796.8387101</v>
      </c>
      <c r="H30">
        <f t="shared" si="0"/>
        <v>5.9761961063194936E-3</v>
      </c>
      <c r="I30">
        <f t="shared" si="1"/>
        <v>54.145985819828894</v>
      </c>
      <c r="J30">
        <f t="shared" si="2"/>
        <v>1574.5614193548399</v>
      </c>
      <c r="K30">
        <f t="shared" si="3"/>
        <v>1272.8319210467382</v>
      </c>
      <c r="L30">
        <f t="shared" si="4"/>
        <v>126.31565902042735</v>
      </c>
      <c r="M30">
        <f t="shared" si="5"/>
        <v>156.2592515674682</v>
      </c>
      <c r="N30">
        <f t="shared" si="6"/>
        <v>0.34848907224630099</v>
      </c>
      <c r="O30">
        <f t="shared" si="7"/>
        <v>3.3768988596583371</v>
      </c>
      <c r="P30">
        <f t="shared" si="8"/>
        <v>0.32967118604968826</v>
      </c>
      <c r="Q30">
        <f t="shared" si="9"/>
        <v>0.20765048385453325</v>
      </c>
      <c r="R30">
        <f t="shared" si="10"/>
        <v>321.44161952935508</v>
      </c>
      <c r="S30">
        <f t="shared" si="11"/>
        <v>27.59031145261827</v>
      </c>
      <c r="T30">
        <f t="shared" si="12"/>
        <v>27.748322580645201</v>
      </c>
      <c r="U30">
        <f t="shared" si="13"/>
        <v>3.7395171321717759</v>
      </c>
      <c r="V30">
        <f t="shared" si="14"/>
        <v>54.724946960693011</v>
      </c>
      <c r="W30">
        <f t="shared" si="15"/>
        <v>1.9924760828138626</v>
      </c>
      <c r="X30">
        <f t="shared" si="16"/>
        <v>3.6408917568161141</v>
      </c>
      <c r="Y30">
        <f t="shared" si="17"/>
        <v>1.7470410493579134</v>
      </c>
      <c r="Z30">
        <f t="shared" si="18"/>
        <v>-263.55024828868966</v>
      </c>
      <c r="AA30">
        <f t="shared" si="19"/>
        <v>-83.1711154753377</v>
      </c>
      <c r="AB30">
        <f t="shared" si="20"/>
        <v>-5.343005711775298</v>
      </c>
      <c r="AC30">
        <f t="shared" si="21"/>
        <v>-30.622749946447556</v>
      </c>
      <c r="AD30">
        <v>-4.1090186222239297E-2</v>
      </c>
      <c r="AE30">
        <v>4.6127333732482102E-2</v>
      </c>
      <c r="AF30">
        <v>3.4490049370823299</v>
      </c>
      <c r="AG30">
        <v>158</v>
      </c>
      <c r="AH30">
        <v>32</v>
      </c>
      <c r="AI30">
        <f t="shared" si="22"/>
        <v>1</v>
      </c>
      <c r="AJ30">
        <f t="shared" si="23"/>
        <v>0</v>
      </c>
      <c r="AK30">
        <f t="shared" si="24"/>
        <v>52344.544016120744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350</v>
      </c>
      <c r="AS30">
        <v>269.12450000000001</v>
      </c>
      <c r="AT30">
        <v>391.52199999999999</v>
      </c>
      <c r="AU30">
        <f t="shared" si="27"/>
        <v>0.31261972507292046</v>
      </c>
      <c r="AV30">
        <v>0.5</v>
      </c>
      <c r="AW30">
        <f t="shared" si="28"/>
        <v>1681.2038029025334</v>
      </c>
      <c r="AX30">
        <f t="shared" si="29"/>
        <v>54.145985819828894</v>
      </c>
      <c r="AY30">
        <f t="shared" si="30"/>
        <v>262.78873532746917</v>
      </c>
      <c r="AZ30">
        <f t="shared" si="31"/>
        <v>0.55440562726998732</v>
      </c>
      <c r="BA30">
        <f t="shared" si="32"/>
        <v>3.2801487674856245E-2</v>
      </c>
      <c r="BB30">
        <f t="shared" si="33"/>
        <v>-1</v>
      </c>
      <c r="BC30" t="s">
        <v>351</v>
      </c>
      <c r="BD30">
        <v>174.46</v>
      </c>
      <c r="BE30">
        <f t="shared" si="34"/>
        <v>217.06199999999998</v>
      </c>
      <c r="BF30">
        <f t="shared" si="35"/>
        <v>0.5638826694677096</v>
      </c>
      <c r="BG30">
        <f t="shared" si="36"/>
        <v>2.244193511406626</v>
      </c>
      <c r="BH30">
        <f t="shared" si="37"/>
        <v>0.31261972507292052</v>
      </c>
      <c r="BI30" t="e">
        <f t="shared" si="38"/>
        <v>#DIV/0!</v>
      </c>
      <c r="BJ30">
        <v>6232</v>
      </c>
      <c r="BK30">
        <v>300</v>
      </c>
      <c r="BL30">
        <v>300</v>
      </c>
      <c r="BM30">
        <v>300</v>
      </c>
      <c r="BN30">
        <v>9857.07</v>
      </c>
      <c r="BO30">
        <v>356.56299999999999</v>
      </c>
      <c r="BP30">
        <v>-6.5540099999999999E-3</v>
      </c>
      <c r="BQ30">
        <v>1.5360400000000001</v>
      </c>
      <c r="BR30">
        <f t="shared" si="39"/>
        <v>2000.00774193548</v>
      </c>
      <c r="BS30">
        <f t="shared" si="40"/>
        <v>1681.2038029025334</v>
      </c>
      <c r="BT30">
        <f t="shared" si="41"/>
        <v>0.84059864752101987</v>
      </c>
      <c r="BU30">
        <f t="shared" si="42"/>
        <v>0.19119729504203983</v>
      </c>
      <c r="BV30">
        <v>0.5</v>
      </c>
      <c r="BW30" t="s">
        <v>281</v>
      </c>
      <c r="BX30">
        <v>1597514796.8387101</v>
      </c>
      <c r="BY30">
        <v>1574.5614193548399</v>
      </c>
      <c r="BZ30">
        <v>1599.98096774194</v>
      </c>
      <c r="CA30">
        <v>20.0773774193548</v>
      </c>
      <c r="CB30">
        <v>17.735151612903199</v>
      </c>
      <c r="CC30">
        <v>500.05509677419298</v>
      </c>
      <c r="CD30">
        <v>99.039861290322605</v>
      </c>
      <c r="CE30">
        <v>0.19999664516129001</v>
      </c>
      <c r="CF30">
        <v>27.291477419354798</v>
      </c>
      <c r="CG30">
        <v>27.748322580645201</v>
      </c>
      <c r="CH30">
        <v>999.9</v>
      </c>
      <c r="CI30">
        <v>10005.161612903201</v>
      </c>
      <c r="CJ30">
        <v>0</v>
      </c>
      <c r="CK30">
        <v>264.67616129032302</v>
      </c>
      <c r="CL30">
        <v>2000.00774193548</v>
      </c>
      <c r="CM30">
        <v>0.97999548387096802</v>
      </c>
      <c r="CN30">
        <v>2.0004370967741901E-2</v>
      </c>
      <c r="CO30">
        <v>0</v>
      </c>
      <c r="CP30">
        <v>269.15287096774199</v>
      </c>
      <c r="CQ30">
        <v>5.00054</v>
      </c>
      <c r="CR30">
        <v>8280.3203225806392</v>
      </c>
      <c r="CS30">
        <v>18703.674193548399</v>
      </c>
      <c r="CT30">
        <v>51.993677419354803</v>
      </c>
      <c r="CU30">
        <v>54.844290322580598</v>
      </c>
      <c r="CV30">
        <v>52.802096774193501</v>
      </c>
      <c r="CW30">
        <v>53.412935483871003</v>
      </c>
      <c r="CX30">
        <v>53.2476129032258</v>
      </c>
      <c r="CY30">
        <v>1955.0977419354799</v>
      </c>
      <c r="CZ30">
        <v>39.909999999999997</v>
      </c>
      <c r="DA30">
        <v>0</v>
      </c>
      <c r="DB30">
        <v>115.40000009536701</v>
      </c>
      <c r="DC30">
        <v>269.12450000000001</v>
      </c>
      <c r="DD30">
        <v>-2.1203076899494002</v>
      </c>
      <c r="DE30">
        <v>-19.398974321901999</v>
      </c>
      <c r="DF30">
        <v>8279.9430769230803</v>
      </c>
      <c r="DG30">
        <v>15</v>
      </c>
      <c r="DH30">
        <v>1597514838.9000001</v>
      </c>
      <c r="DI30" t="s">
        <v>352</v>
      </c>
      <c r="DJ30">
        <v>75</v>
      </c>
      <c r="DK30">
        <v>-0.46800000000000003</v>
      </c>
      <c r="DL30">
        <v>0.11799999999999999</v>
      </c>
      <c r="DM30">
        <v>1600</v>
      </c>
      <c r="DN30">
        <v>18</v>
      </c>
      <c r="DO30">
        <v>0.39</v>
      </c>
      <c r="DP30">
        <v>0.04</v>
      </c>
      <c r="DQ30">
        <v>1574.9692592592601</v>
      </c>
      <c r="DR30">
        <v>-3.7559330823421597E-2</v>
      </c>
      <c r="DS30">
        <v>7.3076617627621798E-2</v>
      </c>
      <c r="DT30">
        <v>1</v>
      </c>
      <c r="DU30">
        <v>20.086262962963001</v>
      </c>
      <c r="DV30">
        <v>-9.2832737317196198E-2</v>
      </c>
      <c r="DW30">
        <v>1.20814718305023E-2</v>
      </c>
      <c r="DX30">
        <v>1</v>
      </c>
      <c r="DY30">
        <v>2</v>
      </c>
      <c r="DZ30">
        <v>2</v>
      </c>
      <c r="EA30" t="s">
        <v>283</v>
      </c>
      <c r="EB30">
        <v>1.8666100000000001</v>
      </c>
      <c r="EC30">
        <v>1.8631</v>
      </c>
      <c r="ED30">
        <v>1.86879</v>
      </c>
      <c r="EE30">
        <v>1.86676</v>
      </c>
      <c r="EF30">
        <v>1.8714</v>
      </c>
      <c r="EG30">
        <v>1.8638600000000001</v>
      </c>
      <c r="EH30">
        <v>1.8653999999999999</v>
      </c>
      <c r="EI30">
        <v>1.86538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-0.46800000000000003</v>
      </c>
      <c r="EX30">
        <v>0.11799999999999999</v>
      </c>
      <c r="EY30">
        <v>2</v>
      </c>
      <c r="EZ30">
        <v>326.21499999999997</v>
      </c>
      <c r="FA30">
        <v>463.887</v>
      </c>
      <c r="FB30">
        <v>21.2211</v>
      </c>
      <c r="FC30">
        <v>36.823999999999998</v>
      </c>
      <c r="FD30">
        <v>30.0001</v>
      </c>
      <c r="FE30">
        <v>36.687100000000001</v>
      </c>
      <c r="FF30">
        <v>36.668599999999998</v>
      </c>
      <c r="FG30">
        <v>67.138800000000003</v>
      </c>
      <c r="FH30">
        <v>53.420900000000003</v>
      </c>
      <c r="FI30">
        <v>0</v>
      </c>
      <c r="FJ30">
        <v>17.863700000000001</v>
      </c>
      <c r="FK30">
        <v>1600</v>
      </c>
      <c r="FL30">
        <v>17.746500000000001</v>
      </c>
      <c r="FM30">
        <v>100.164</v>
      </c>
      <c r="FN30">
        <v>100.71</v>
      </c>
    </row>
    <row r="31" spans="1:170" x14ac:dyDescent="0.25">
      <c r="A31">
        <v>15</v>
      </c>
      <c r="B31">
        <v>1597514930.3</v>
      </c>
      <c r="C31">
        <v>1711.7000000476801</v>
      </c>
      <c r="D31" t="s">
        <v>353</v>
      </c>
      <c r="E31" t="s">
        <v>354</v>
      </c>
      <c r="G31">
        <v>1597514922.3483901</v>
      </c>
      <c r="H31">
        <f t="shared" si="0"/>
        <v>5.5017000444062027E-3</v>
      </c>
      <c r="I31">
        <f t="shared" si="1"/>
        <v>54.640921177922337</v>
      </c>
      <c r="J31">
        <f t="shared" si="2"/>
        <v>1774.2867741935499</v>
      </c>
      <c r="K31">
        <f t="shared" si="3"/>
        <v>1435.2595339781051</v>
      </c>
      <c r="L31">
        <f t="shared" si="4"/>
        <v>142.42872896719666</v>
      </c>
      <c r="M31">
        <f t="shared" si="5"/>
        <v>176.07227410032303</v>
      </c>
      <c r="N31">
        <f t="shared" si="6"/>
        <v>0.31268855552921954</v>
      </c>
      <c r="O31">
        <f t="shared" si="7"/>
        <v>3.3767402931872832</v>
      </c>
      <c r="P31">
        <f t="shared" si="8"/>
        <v>0.29744693336859346</v>
      </c>
      <c r="Q31">
        <f t="shared" si="9"/>
        <v>0.18721180537199439</v>
      </c>
      <c r="R31">
        <f t="shared" si="10"/>
        <v>321.43770677272681</v>
      </c>
      <c r="S31">
        <f t="shared" si="11"/>
        <v>27.789235031240977</v>
      </c>
      <c r="T31">
        <f t="shared" si="12"/>
        <v>27.965393548387102</v>
      </c>
      <c r="U31">
        <f t="shared" si="13"/>
        <v>3.787190562728219</v>
      </c>
      <c r="V31">
        <f t="shared" si="14"/>
        <v>54.783430262639456</v>
      </c>
      <c r="W31">
        <f t="shared" si="15"/>
        <v>2.0052595543858232</v>
      </c>
      <c r="X31">
        <f t="shared" si="16"/>
        <v>3.6603395310814375</v>
      </c>
      <c r="Y31">
        <f t="shared" si="17"/>
        <v>1.7819310083423958</v>
      </c>
      <c r="Z31">
        <f t="shared" si="18"/>
        <v>-242.62497195831355</v>
      </c>
      <c r="AA31">
        <f t="shared" si="19"/>
        <v>-106.13036138705563</v>
      </c>
      <c r="AB31">
        <f t="shared" si="20"/>
        <v>-6.8287434715310313</v>
      </c>
      <c r="AC31">
        <f t="shared" si="21"/>
        <v>-34.146370044173395</v>
      </c>
      <c r="AD31">
        <v>-4.1087735703931302E-2</v>
      </c>
      <c r="AE31">
        <v>4.6124582811004101E-2</v>
      </c>
      <c r="AF31">
        <v>3.4488420703810001</v>
      </c>
      <c r="AG31">
        <v>158</v>
      </c>
      <c r="AH31">
        <v>32</v>
      </c>
      <c r="AI31">
        <f t="shared" si="22"/>
        <v>1</v>
      </c>
      <c r="AJ31">
        <f t="shared" si="23"/>
        <v>0</v>
      </c>
      <c r="AK31">
        <f t="shared" si="24"/>
        <v>52325.611392003055</v>
      </c>
      <c r="AL31">
        <v>0</v>
      </c>
      <c r="AM31">
        <v>0</v>
      </c>
      <c r="AN31">
        <v>0</v>
      </c>
      <c r="AO31">
        <f t="shared" si="25"/>
        <v>0</v>
      </c>
      <c r="AP31" t="e">
        <f t="shared" si="26"/>
        <v>#DIV/0!</v>
      </c>
      <c r="AQ31">
        <v>-1</v>
      </c>
      <c r="AR31" t="s">
        <v>355</v>
      </c>
      <c r="AS31">
        <v>266.890923076923</v>
      </c>
      <c r="AT31">
        <v>384.60700000000003</v>
      </c>
      <c r="AU31">
        <f t="shared" si="27"/>
        <v>0.30606847229269618</v>
      </c>
      <c r="AV31">
        <v>0.5</v>
      </c>
      <c r="AW31">
        <f t="shared" si="28"/>
        <v>1681.1832093541443</v>
      </c>
      <c r="AX31">
        <f t="shared" si="29"/>
        <v>54.640921177922337</v>
      </c>
      <c r="AY31">
        <f t="shared" si="30"/>
        <v>257.27858826557747</v>
      </c>
      <c r="AZ31">
        <f t="shared" si="31"/>
        <v>0.54759013746499674</v>
      </c>
      <c r="BA31">
        <f t="shared" si="32"/>
        <v>3.309628651317411E-2</v>
      </c>
      <c r="BB31">
        <f t="shared" si="33"/>
        <v>-1</v>
      </c>
      <c r="BC31" t="s">
        <v>356</v>
      </c>
      <c r="BD31">
        <v>174</v>
      </c>
      <c r="BE31">
        <f t="shared" si="34"/>
        <v>210.60700000000003</v>
      </c>
      <c r="BF31">
        <f t="shared" si="35"/>
        <v>0.55893715272083555</v>
      </c>
      <c r="BG31">
        <f t="shared" si="36"/>
        <v>2.2103850574712647</v>
      </c>
      <c r="BH31">
        <f t="shared" si="37"/>
        <v>0.30606847229269624</v>
      </c>
      <c r="BI31" t="e">
        <f t="shared" si="38"/>
        <v>#DIV/0!</v>
      </c>
      <c r="BJ31">
        <v>6234</v>
      </c>
      <c r="BK31">
        <v>300</v>
      </c>
      <c r="BL31">
        <v>300</v>
      </c>
      <c r="BM31">
        <v>300</v>
      </c>
      <c r="BN31">
        <v>9856.34</v>
      </c>
      <c r="BO31">
        <v>352.71100000000001</v>
      </c>
      <c r="BP31">
        <v>-6.55341E-3</v>
      </c>
      <c r="BQ31">
        <v>1.7545500000000001</v>
      </c>
      <c r="BR31">
        <f t="shared" si="39"/>
        <v>1999.98322580645</v>
      </c>
      <c r="BS31">
        <f t="shared" si="40"/>
        <v>1681.1832093541443</v>
      </c>
      <c r="BT31">
        <f t="shared" si="41"/>
        <v>0.84059865485933938</v>
      </c>
      <c r="BU31">
        <f t="shared" si="42"/>
        <v>0.19119730971867885</v>
      </c>
      <c r="BV31">
        <v>0.5</v>
      </c>
      <c r="BW31" t="s">
        <v>281</v>
      </c>
      <c r="BX31">
        <v>1597514922.3483901</v>
      </c>
      <c r="BY31">
        <v>1774.2867741935499</v>
      </c>
      <c r="BZ31">
        <v>1800.0448387096801</v>
      </c>
      <c r="CA31">
        <v>20.207074193548401</v>
      </c>
      <c r="CB31">
        <v>18.051109677419401</v>
      </c>
      <c r="CC31">
        <v>500.05709677419401</v>
      </c>
      <c r="CD31">
        <v>99.035522580645207</v>
      </c>
      <c r="CE31">
        <v>0.19999935483871001</v>
      </c>
      <c r="CF31">
        <v>27.3824096774193</v>
      </c>
      <c r="CG31">
        <v>27.965393548387102</v>
      </c>
      <c r="CH31">
        <v>999.9</v>
      </c>
      <c r="CI31">
        <v>10005.0032258065</v>
      </c>
      <c r="CJ31">
        <v>0</v>
      </c>
      <c r="CK31">
        <v>262.539290322581</v>
      </c>
      <c r="CL31">
        <v>1999.98322580645</v>
      </c>
      <c r="CM31">
        <v>0.97999677419354803</v>
      </c>
      <c r="CN31">
        <v>2.0003029032258101E-2</v>
      </c>
      <c r="CO31">
        <v>0</v>
      </c>
      <c r="CP31">
        <v>266.90119354838703</v>
      </c>
      <c r="CQ31">
        <v>5.00054</v>
      </c>
      <c r="CR31">
        <v>8226.8887096774197</v>
      </c>
      <c r="CS31">
        <v>18703.445161290299</v>
      </c>
      <c r="CT31">
        <v>52.231709677419303</v>
      </c>
      <c r="CU31">
        <v>55.0741935483871</v>
      </c>
      <c r="CV31">
        <v>53.027999999999999</v>
      </c>
      <c r="CW31">
        <v>53.632870967741901</v>
      </c>
      <c r="CX31">
        <v>53.455387096774203</v>
      </c>
      <c r="CY31">
        <v>1955.07322580645</v>
      </c>
      <c r="CZ31">
        <v>39.909999999999997</v>
      </c>
      <c r="DA31">
        <v>0</v>
      </c>
      <c r="DB31">
        <v>124.799999952316</v>
      </c>
      <c r="DC31">
        <v>266.890923076923</v>
      </c>
      <c r="DD31">
        <v>-1.7277948687356</v>
      </c>
      <c r="DE31">
        <v>-29.032136736485999</v>
      </c>
      <c r="DF31">
        <v>8226.7680769230792</v>
      </c>
      <c r="DG31">
        <v>15</v>
      </c>
      <c r="DH31">
        <v>1597514959.9000001</v>
      </c>
      <c r="DI31" t="s">
        <v>357</v>
      </c>
      <c r="DJ31">
        <v>76</v>
      </c>
      <c r="DK31">
        <v>-0.128</v>
      </c>
      <c r="DL31">
        <v>0.124</v>
      </c>
      <c r="DM31">
        <v>1800</v>
      </c>
      <c r="DN31">
        <v>18</v>
      </c>
      <c r="DO31">
        <v>0.22</v>
      </c>
      <c r="DP31">
        <v>0.05</v>
      </c>
      <c r="DQ31">
        <v>1773.96722222222</v>
      </c>
      <c r="DR31">
        <v>-4.3893111212770203E-2</v>
      </c>
      <c r="DS31">
        <v>5.6483910087405297E-2</v>
      </c>
      <c r="DT31">
        <v>1</v>
      </c>
      <c r="DU31">
        <v>20.202525925925901</v>
      </c>
      <c r="DV31">
        <v>-1.7842933586592401E-2</v>
      </c>
      <c r="DW31">
        <v>2.82732599655735E-3</v>
      </c>
      <c r="DX31">
        <v>1</v>
      </c>
      <c r="DY31">
        <v>2</v>
      </c>
      <c r="DZ31">
        <v>2</v>
      </c>
      <c r="EA31" t="s">
        <v>283</v>
      </c>
      <c r="EB31">
        <v>1.8666199999999999</v>
      </c>
      <c r="EC31">
        <v>1.8631</v>
      </c>
      <c r="ED31">
        <v>1.86876</v>
      </c>
      <c r="EE31">
        <v>1.86676</v>
      </c>
      <c r="EF31">
        <v>1.87137</v>
      </c>
      <c r="EG31">
        <v>1.8638600000000001</v>
      </c>
      <c r="EH31">
        <v>1.8653900000000001</v>
      </c>
      <c r="EI31">
        <v>1.86537</v>
      </c>
      <c r="EJ31" t="s">
        <v>284</v>
      </c>
      <c r="EK31" t="s">
        <v>19</v>
      </c>
      <c r="EL31" t="s">
        <v>19</v>
      </c>
      <c r="EM31" t="s">
        <v>19</v>
      </c>
      <c r="EN31" t="s">
        <v>285</v>
      </c>
      <c r="EO31" t="s">
        <v>286</v>
      </c>
      <c r="EP31" t="s">
        <v>287</v>
      </c>
      <c r="EQ31" t="s">
        <v>287</v>
      </c>
      <c r="ER31" t="s">
        <v>287</v>
      </c>
      <c r="ES31" t="s">
        <v>287</v>
      </c>
      <c r="ET31">
        <v>0</v>
      </c>
      <c r="EU31">
        <v>100</v>
      </c>
      <c r="EV31">
        <v>100</v>
      </c>
      <c r="EW31">
        <v>-0.128</v>
      </c>
      <c r="EX31">
        <v>0.124</v>
      </c>
      <c r="EY31">
        <v>2</v>
      </c>
      <c r="EZ31">
        <v>326.36399999999998</v>
      </c>
      <c r="FA31">
        <v>464.15</v>
      </c>
      <c r="FB31">
        <v>21.288</v>
      </c>
      <c r="FC31">
        <v>36.858600000000003</v>
      </c>
      <c r="FD31">
        <v>30.0002</v>
      </c>
      <c r="FE31">
        <v>36.7318</v>
      </c>
      <c r="FF31">
        <v>36.716299999999997</v>
      </c>
      <c r="FG31">
        <v>73.6083</v>
      </c>
      <c r="FH31">
        <v>51.831299999999999</v>
      </c>
      <c r="FI31">
        <v>0</v>
      </c>
      <c r="FJ31">
        <v>17.952400000000001</v>
      </c>
      <c r="FK31">
        <v>1800</v>
      </c>
      <c r="FL31">
        <v>18.050899999999999</v>
      </c>
      <c r="FM31">
        <v>100.158</v>
      </c>
      <c r="FN31">
        <v>100.703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2020-08-15T13:10:14Z</dcterms:created>
  <dcterms:modified xsi:type="dcterms:W3CDTF">2024-11-20T09:05:56Z</dcterms:modified>
</cp:coreProperties>
</file>