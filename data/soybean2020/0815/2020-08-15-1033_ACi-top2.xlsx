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815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2" i="1" l="1"/>
  <c r="BT32" i="1"/>
  <c r="BR32" i="1"/>
  <c r="BS32" i="1" s="1"/>
  <c r="BI32" i="1"/>
  <c r="BH32" i="1"/>
  <c r="BG32" i="1"/>
  <c r="BF32" i="1"/>
  <c r="BE32" i="1"/>
  <c r="BB32" i="1"/>
  <c r="AZ32" i="1"/>
  <c r="AU32" i="1"/>
  <c r="AO32" i="1"/>
  <c r="AP32" i="1" s="1"/>
  <c r="AK32" i="1"/>
  <c r="AI32" i="1"/>
  <c r="X32" i="1"/>
  <c r="W32" i="1"/>
  <c r="V32" i="1"/>
  <c r="O32" i="1"/>
  <c r="I32" i="1"/>
  <c r="AX32" i="1" s="1"/>
  <c r="H32" i="1"/>
  <c r="BU31" i="1"/>
  <c r="BT31" i="1"/>
  <c r="BR31" i="1"/>
  <c r="BS31" i="1" s="1"/>
  <c r="BI31" i="1"/>
  <c r="BH31" i="1"/>
  <c r="BG31" i="1"/>
  <c r="BF31" i="1"/>
  <c r="BE31" i="1"/>
  <c r="BB31" i="1"/>
  <c r="AZ31" i="1"/>
  <c r="AU31" i="1"/>
  <c r="AO31" i="1"/>
  <c r="AP31" i="1" s="1"/>
  <c r="AK31" i="1"/>
  <c r="AI31" i="1"/>
  <c r="M31" i="1" s="1"/>
  <c r="X31" i="1"/>
  <c r="W31" i="1"/>
  <c r="V31" i="1"/>
  <c r="O31" i="1"/>
  <c r="I31" i="1"/>
  <c r="AX31" i="1" s="1"/>
  <c r="BU30" i="1"/>
  <c r="BT30" i="1"/>
  <c r="BR30" i="1"/>
  <c r="BS30" i="1" s="1"/>
  <c r="AW30" i="1" s="1"/>
  <c r="BI30" i="1"/>
  <c r="BH30" i="1"/>
  <c r="BG30" i="1"/>
  <c r="BF30" i="1"/>
  <c r="BE30" i="1"/>
  <c r="AZ30" i="1" s="1"/>
  <c r="BB30" i="1"/>
  <c r="AU30" i="1"/>
  <c r="AY30" i="1" s="1"/>
  <c r="AO30" i="1"/>
  <c r="AP30" i="1" s="1"/>
  <c r="AK30" i="1"/>
  <c r="AI30" i="1"/>
  <c r="H30" i="1" s="1"/>
  <c r="X30" i="1"/>
  <c r="W30" i="1"/>
  <c r="V30" i="1"/>
  <c r="R30" i="1"/>
  <c r="O30" i="1"/>
  <c r="BU29" i="1"/>
  <c r="BT29" i="1"/>
  <c r="BR29" i="1"/>
  <c r="BS29" i="1" s="1"/>
  <c r="BI29" i="1"/>
  <c r="BH29" i="1"/>
  <c r="BG29" i="1"/>
  <c r="BF29" i="1"/>
  <c r="BE29" i="1"/>
  <c r="BB29" i="1"/>
  <c r="AZ29" i="1"/>
  <c r="AW29" i="1"/>
  <c r="AY29" i="1" s="1"/>
  <c r="AU29" i="1"/>
  <c r="AO29" i="1"/>
  <c r="AP29" i="1" s="1"/>
  <c r="AK29" i="1"/>
  <c r="AI29" i="1"/>
  <c r="AJ29" i="1" s="1"/>
  <c r="X29" i="1"/>
  <c r="W29" i="1"/>
  <c r="V29" i="1" s="1"/>
  <c r="R29" i="1"/>
  <c r="O29" i="1"/>
  <c r="M29" i="1"/>
  <c r="BU28" i="1"/>
  <c r="BT28" i="1"/>
  <c r="BR28" i="1"/>
  <c r="BS28" i="1" s="1"/>
  <c r="R28" i="1" s="1"/>
  <c r="BI28" i="1"/>
  <c r="BH28" i="1"/>
  <c r="BG28" i="1"/>
  <c r="BF28" i="1"/>
  <c r="BE28" i="1"/>
  <c r="AZ28" i="1" s="1"/>
  <c r="BB28" i="1"/>
  <c r="AW28" i="1"/>
  <c r="AU28" i="1"/>
  <c r="AY28" i="1" s="1"/>
  <c r="AO28" i="1"/>
  <c r="AP28" i="1" s="1"/>
  <c r="AK28" i="1"/>
  <c r="AI28" i="1" s="1"/>
  <c r="J28" i="1" s="1"/>
  <c r="AJ28" i="1"/>
  <c r="X28" i="1"/>
  <c r="W28" i="1"/>
  <c r="V28" i="1"/>
  <c r="O28" i="1"/>
  <c r="M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O27" i="1"/>
  <c r="AP27" i="1" s="1"/>
  <c r="AK27" i="1"/>
  <c r="AI27" i="1"/>
  <c r="AJ27" i="1" s="1"/>
  <c r="X27" i="1"/>
  <c r="W27" i="1"/>
  <c r="V27" i="1"/>
  <c r="O27" i="1"/>
  <c r="BU26" i="1"/>
  <c r="BT26" i="1"/>
  <c r="BR26" i="1"/>
  <c r="BS26" i="1" s="1"/>
  <c r="BI26" i="1"/>
  <c r="BH26" i="1"/>
  <c r="BG26" i="1"/>
  <c r="BF26" i="1"/>
  <c r="BE26" i="1"/>
  <c r="BB26" i="1"/>
  <c r="AZ26" i="1"/>
  <c r="AU26" i="1"/>
  <c r="AO26" i="1"/>
  <c r="AP26" i="1" s="1"/>
  <c r="AK26" i="1"/>
  <c r="AI26" i="1" s="1"/>
  <c r="X26" i="1"/>
  <c r="W26" i="1"/>
  <c r="V26" i="1"/>
  <c r="O26" i="1"/>
  <c r="BU25" i="1"/>
  <c r="BT25" i="1"/>
  <c r="BR25" i="1"/>
  <c r="BS25" i="1" s="1"/>
  <c r="AW25" i="1" s="1"/>
  <c r="BI25" i="1"/>
  <c r="BH25" i="1"/>
  <c r="BG25" i="1"/>
  <c r="BF25" i="1"/>
  <c r="BE25" i="1"/>
  <c r="AZ25" i="1" s="1"/>
  <c r="BB25" i="1"/>
  <c r="AU25" i="1"/>
  <c r="AY25" i="1" s="1"/>
  <c r="AO25" i="1"/>
  <c r="AP25" i="1" s="1"/>
  <c r="AK25" i="1"/>
  <c r="AI25" i="1"/>
  <c r="I25" i="1" s="1"/>
  <c r="AX25" i="1" s="1"/>
  <c r="BA25" i="1" s="1"/>
  <c r="X25" i="1"/>
  <c r="W25" i="1"/>
  <c r="V25" i="1"/>
  <c r="R25" i="1"/>
  <c r="O25" i="1"/>
  <c r="BU24" i="1"/>
  <c r="BT24" i="1"/>
  <c r="BR24" i="1"/>
  <c r="BS24" i="1" s="1"/>
  <c r="BI24" i="1"/>
  <c r="BH24" i="1"/>
  <c r="BG24" i="1"/>
  <c r="BF24" i="1"/>
  <c r="BE24" i="1"/>
  <c r="BB24" i="1"/>
  <c r="AZ24" i="1"/>
  <c r="AW24" i="1"/>
  <c r="AU24" i="1"/>
  <c r="AY24" i="1" s="1"/>
  <c r="AP24" i="1"/>
  <c r="AO24" i="1"/>
  <c r="AK24" i="1"/>
  <c r="AI24" i="1"/>
  <c r="J24" i="1" s="1"/>
  <c r="X24" i="1"/>
  <c r="W24" i="1"/>
  <c r="V24" i="1"/>
  <c r="R24" i="1"/>
  <c r="O24" i="1"/>
  <c r="M24" i="1"/>
  <c r="BU23" i="1"/>
  <c r="BT23" i="1"/>
  <c r="BR23" i="1"/>
  <c r="BS23" i="1" s="1"/>
  <c r="R23" i="1" s="1"/>
  <c r="BI23" i="1"/>
  <c r="BH23" i="1"/>
  <c r="BG23" i="1"/>
  <c r="BF23" i="1"/>
  <c r="BE23" i="1"/>
  <c r="AZ23" i="1" s="1"/>
  <c r="BB23" i="1"/>
  <c r="AW23" i="1"/>
  <c r="AU23" i="1"/>
  <c r="AY23" i="1" s="1"/>
  <c r="AO23" i="1"/>
  <c r="AP23" i="1" s="1"/>
  <c r="AK23" i="1"/>
  <c r="AI23" i="1"/>
  <c r="M23" i="1" s="1"/>
  <c r="X23" i="1"/>
  <c r="W23" i="1"/>
  <c r="V23" i="1"/>
  <c r="O23" i="1"/>
  <c r="BU22" i="1"/>
  <c r="BT22" i="1"/>
  <c r="BS22" i="1" s="1"/>
  <c r="BR22" i="1"/>
  <c r="BI22" i="1"/>
  <c r="BH22" i="1"/>
  <c r="BG22" i="1"/>
  <c r="BF22" i="1"/>
  <c r="BE22" i="1"/>
  <c r="BB22" i="1"/>
  <c r="AZ22" i="1"/>
  <c r="AU22" i="1"/>
  <c r="AO22" i="1"/>
  <c r="AP22" i="1" s="1"/>
  <c r="AK22" i="1"/>
  <c r="AI22" i="1" s="1"/>
  <c r="X22" i="1"/>
  <c r="W22" i="1"/>
  <c r="V22" i="1"/>
  <c r="O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 s="1"/>
  <c r="X21" i="1"/>
  <c r="W21" i="1"/>
  <c r="V21" i="1"/>
  <c r="O21" i="1"/>
  <c r="BU20" i="1"/>
  <c r="BT20" i="1"/>
  <c r="BR20" i="1"/>
  <c r="BS20" i="1" s="1"/>
  <c r="AW20" i="1" s="1"/>
  <c r="BI20" i="1"/>
  <c r="BH20" i="1"/>
  <c r="BG20" i="1"/>
  <c r="BF20" i="1"/>
  <c r="BE20" i="1"/>
  <c r="BB20" i="1"/>
  <c r="BA20" i="1"/>
  <c r="AZ20" i="1"/>
  <c r="AU20" i="1"/>
  <c r="AY20" i="1" s="1"/>
  <c r="AO20" i="1"/>
  <c r="AP20" i="1" s="1"/>
  <c r="AK20" i="1"/>
  <c r="AI20" i="1"/>
  <c r="I20" i="1" s="1"/>
  <c r="AX20" i="1" s="1"/>
  <c r="X20" i="1"/>
  <c r="W20" i="1"/>
  <c r="V20" i="1"/>
  <c r="O20" i="1"/>
  <c r="BU19" i="1"/>
  <c r="BT19" i="1"/>
  <c r="BR19" i="1"/>
  <c r="BS19" i="1" s="1"/>
  <c r="R19" i="1" s="1"/>
  <c r="BI19" i="1"/>
  <c r="BH19" i="1"/>
  <c r="BG19" i="1"/>
  <c r="BF19" i="1"/>
  <c r="BE19" i="1"/>
  <c r="BB19" i="1"/>
  <c r="AZ19" i="1"/>
  <c r="AX19" i="1"/>
  <c r="AU19" i="1"/>
  <c r="AP19" i="1"/>
  <c r="AO19" i="1"/>
  <c r="AK19" i="1"/>
  <c r="AI19" i="1"/>
  <c r="I19" i="1" s="1"/>
  <c r="X19" i="1"/>
  <c r="W19" i="1"/>
  <c r="V19" i="1"/>
  <c r="O19" i="1"/>
  <c r="M19" i="1"/>
  <c r="J19" i="1"/>
  <c r="BU18" i="1"/>
  <c r="BT18" i="1"/>
  <c r="BR18" i="1"/>
  <c r="BS18" i="1" s="1"/>
  <c r="R18" i="1" s="1"/>
  <c r="S18" i="1" s="1"/>
  <c r="T18" i="1" s="1"/>
  <c r="BI18" i="1"/>
  <c r="BH18" i="1"/>
  <c r="BG18" i="1"/>
  <c r="BF18" i="1"/>
  <c r="BE18" i="1"/>
  <c r="AZ18" i="1" s="1"/>
  <c r="BB18" i="1"/>
  <c r="AU18" i="1"/>
  <c r="AO18" i="1"/>
  <c r="AP18" i="1" s="1"/>
  <c r="AK18" i="1"/>
  <c r="AI18" i="1"/>
  <c r="M18" i="1" s="1"/>
  <c r="X18" i="1"/>
  <c r="W18" i="1"/>
  <c r="V18" i="1"/>
  <c r="O18" i="1"/>
  <c r="J18" i="1"/>
  <c r="I18" i="1"/>
  <c r="AX18" i="1" s="1"/>
  <c r="H18" i="1"/>
  <c r="BU17" i="1"/>
  <c r="BT17" i="1"/>
  <c r="BS17" i="1"/>
  <c r="BR17" i="1"/>
  <c r="BI17" i="1"/>
  <c r="BH17" i="1"/>
  <c r="BG17" i="1"/>
  <c r="BF17" i="1"/>
  <c r="BE17" i="1"/>
  <c r="BB17" i="1"/>
  <c r="AZ17" i="1"/>
  <c r="AU17" i="1"/>
  <c r="AP17" i="1"/>
  <c r="AO17" i="1"/>
  <c r="AK17" i="1"/>
  <c r="AI17" i="1"/>
  <c r="X17" i="1"/>
  <c r="W17" i="1"/>
  <c r="V17" i="1" s="1"/>
  <c r="O17" i="1"/>
  <c r="AW26" i="1" l="1"/>
  <c r="R26" i="1"/>
  <c r="M22" i="1"/>
  <c r="J22" i="1"/>
  <c r="I22" i="1"/>
  <c r="AX22" i="1" s="1"/>
  <c r="H22" i="1"/>
  <c r="AJ22" i="1"/>
  <c r="S25" i="1"/>
  <c r="T25" i="1" s="1"/>
  <c r="AW31" i="1"/>
  <c r="BA31" i="1" s="1"/>
  <c r="R31" i="1"/>
  <c r="AW21" i="1"/>
  <c r="R21" i="1"/>
  <c r="AJ23" i="1"/>
  <c r="S29" i="1"/>
  <c r="T29" i="1" s="1"/>
  <c r="Z32" i="1"/>
  <c r="AY21" i="1"/>
  <c r="AA29" i="1"/>
  <c r="AB18" i="1"/>
  <c r="AC18" i="1" s="1"/>
  <c r="U18" i="1"/>
  <c r="Y18" i="1" s="1"/>
  <c r="BA18" i="1"/>
  <c r="H23" i="1"/>
  <c r="I23" i="1"/>
  <c r="AX23" i="1" s="1"/>
  <c r="BA23" i="1" s="1"/>
  <c r="AJ18" i="1"/>
  <c r="Z18" i="1"/>
  <c r="P18" i="1"/>
  <c r="N18" i="1" s="1"/>
  <c r="Q18" i="1" s="1"/>
  <c r="K18" i="1" s="1"/>
  <c r="L18" i="1" s="1"/>
  <c r="M27" i="1"/>
  <c r="J27" i="1"/>
  <c r="I27" i="1"/>
  <c r="AX27" i="1" s="1"/>
  <c r="M32" i="1"/>
  <c r="J32" i="1"/>
  <c r="S19" i="1"/>
  <c r="T19" i="1" s="1"/>
  <c r="AW22" i="1"/>
  <c r="AY22" i="1" s="1"/>
  <c r="R22" i="1"/>
  <c r="J23" i="1"/>
  <c r="BA32" i="1"/>
  <c r="M26" i="1"/>
  <c r="J26" i="1"/>
  <c r="I26" i="1"/>
  <c r="AX26" i="1" s="1"/>
  <c r="BA26" i="1" s="1"/>
  <c r="H26" i="1"/>
  <c r="AJ26" i="1"/>
  <c r="AY26" i="1"/>
  <c r="P30" i="1"/>
  <c r="N30" i="1" s="1"/>
  <c r="Q30" i="1" s="1"/>
  <c r="K30" i="1" s="1"/>
  <c r="L30" i="1" s="1"/>
  <c r="Z30" i="1"/>
  <c r="M17" i="1"/>
  <c r="J17" i="1"/>
  <c r="H17" i="1"/>
  <c r="I17" i="1"/>
  <c r="AX17" i="1" s="1"/>
  <c r="AJ17" i="1"/>
  <c r="S23" i="1"/>
  <c r="T23" i="1" s="1"/>
  <c r="R20" i="1"/>
  <c r="AY18" i="1"/>
  <c r="H27" i="1"/>
  <c r="H28" i="1"/>
  <c r="R32" i="1"/>
  <c r="AW32" i="1"/>
  <c r="AY32" i="1" s="1"/>
  <c r="R17" i="1"/>
  <c r="AW17" i="1"/>
  <c r="AY17" i="1" s="1"/>
  <c r="AA18" i="1"/>
  <c r="AJ32" i="1"/>
  <c r="AW18" i="1"/>
  <c r="I28" i="1"/>
  <c r="AX28" i="1" s="1"/>
  <c r="BA28" i="1" s="1"/>
  <c r="S30" i="1"/>
  <c r="T30" i="1" s="1"/>
  <c r="R27" i="1"/>
  <c r="AW27" i="1"/>
  <c r="AY27" i="1" s="1"/>
  <c r="AW19" i="1"/>
  <c r="AY19" i="1" s="1"/>
  <c r="J21" i="1"/>
  <c r="H21" i="1"/>
  <c r="AJ21" i="1"/>
  <c r="M21" i="1"/>
  <c r="I21" i="1"/>
  <c r="AX21" i="1" s="1"/>
  <c r="BA21" i="1" s="1"/>
  <c r="AJ31" i="1"/>
  <c r="H31" i="1"/>
  <c r="H24" i="1"/>
  <c r="M25" i="1"/>
  <c r="I29" i="1"/>
  <c r="AX29" i="1" s="1"/>
  <c r="BA29" i="1" s="1"/>
  <c r="J31" i="1"/>
  <c r="AJ20" i="1"/>
  <c r="H25" i="1"/>
  <c r="I30" i="1"/>
  <c r="AX30" i="1" s="1"/>
  <c r="BA30" i="1" s="1"/>
  <c r="H20" i="1"/>
  <c r="J30" i="1"/>
  <c r="J25" i="1"/>
  <c r="J20" i="1"/>
  <c r="H29" i="1"/>
  <c r="M30" i="1"/>
  <c r="H19" i="1"/>
  <c r="M20" i="1"/>
  <c r="I24" i="1"/>
  <c r="AX24" i="1" s="1"/>
  <c r="BA24" i="1" s="1"/>
  <c r="J29" i="1"/>
  <c r="AJ30" i="1"/>
  <c r="AJ25" i="1"/>
  <c r="AJ24" i="1"/>
  <c r="AJ19" i="1"/>
  <c r="Z24" i="1" l="1"/>
  <c r="S22" i="1"/>
  <c r="T22" i="1" s="1"/>
  <c r="Z27" i="1"/>
  <c r="S21" i="1"/>
  <c r="T21" i="1" s="1"/>
  <c r="S20" i="1"/>
  <c r="T20" i="1" s="1"/>
  <c r="BA27" i="1"/>
  <c r="S17" i="1"/>
  <c r="T17" i="1" s="1"/>
  <c r="S32" i="1"/>
  <c r="T32" i="1" s="1"/>
  <c r="S27" i="1"/>
  <c r="T27" i="1" s="1"/>
  <c r="S31" i="1"/>
  <c r="T31" i="1" s="1"/>
  <c r="P31" i="1" s="1"/>
  <c r="N31" i="1" s="1"/>
  <c r="Q31" i="1" s="1"/>
  <c r="K31" i="1" s="1"/>
  <c r="L31" i="1" s="1"/>
  <c r="U23" i="1"/>
  <c r="Y23" i="1" s="1"/>
  <c r="AB23" i="1"/>
  <c r="AC23" i="1" s="1"/>
  <c r="AB30" i="1"/>
  <c r="AC30" i="1" s="1"/>
  <c r="AA30" i="1"/>
  <c r="U30" i="1"/>
  <c r="Y30" i="1" s="1"/>
  <c r="Z22" i="1"/>
  <c r="AY31" i="1"/>
  <c r="BA17" i="1"/>
  <c r="Z20" i="1"/>
  <c r="BA19" i="1"/>
  <c r="S24" i="1"/>
  <c r="T24" i="1" s="1"/>
  <c r="P21" i="1"/>
  <c r="N21" i="1" s="1"/>
  <c r="Q21" i="1" s="1"/>
  <c r="K21" i="1" s="1"/>
  <c r="L21" i="1" s="1"/>
  <c r="Z21" i="1"/>
  <c r="Z28" i="1"/>
  <c r="P28" i="1"/>
  <c r="N28" i="1" s="1"/>
  <c r="Q28" i="1" s="1"/>
  <c r="K28" i="1" s="1"/>
  <c r="L28" i="1" s="1"/>
  <c r="Z17" i="1"/>
  <c r="AA23" i="1"/>
  <c r="S26" i="1"/>
  <c r="T26" i="1" s="1"/>
  <c r="Z26" i="1"/>
  <c r="Z31" i="1"/>
  <c r="AB29" i="1"/>
  <c r="AC29" i="1" s="1"/>
  <c r="U29" i="1"/>
  <c r="Y29" i="1" s="1"/>
  <c r="U19" i="1"/>
  <c r="Y19" i="1" s="1"/>
  <c r="AB19" i="1"/>
  <c r="Z19" i="1"/>
  <c r="P19" i="1"/>
  <c r="N19" i="1" s="1"/>
  <c r="Q19" i="1" s="1"/>
  <c r="K19" i="1" s="1"/>
  <c r="L19" i="1" s="1"/>
  <c r="AA25" i="1"/>
  <c r="AB25" i="1"/>
  <c r="U25" i="1"/>
  <c r="Y25" i="1" s="1"/>
  <c r="Z29" i="1"/>
  <c r="P29" i="1"/>
  <c r="N29" i="1" s="1"/>
  <c r="Q29" i="1" s="1"/>
  <c r="K29" i="1" s="1"/>
  <c r="L29" i="1" s="1"/>
  <c r="BA22" i="1"/>
  <c r="S28" i="1"/>
  <c r="T28" i="1" s="1"/>
  <c r="Z25" i="1"/>
  <c r="P25" i="1"/>
  <c r="N25" i="1" s="1"/>
  <c r="Q25" i="1" s="1"/>
  <c r="K25" i="1" s="1"/>
  <c r="L25" i="1" s="1"/>
  <c r="AA19" i="1"/>
  <c r="Z23" i="1"/>
  <c r="P23" i="1"/>
  <c r="N23" i="1" s="1"/>
  <c r="Q23" i="1" s="1"/>
  <c r="K23" i="1" s="1"/>
  <c r="L23" i="1" s="1"/>
  <c r="AB26" i="1" l="1"/>
  <c r="AA26" i="1"/>
  <c r="U26" i="1"/>
  <c r="Y26" i="1" s="1"/>
  <c r="U17" i="1"/>
  <c r="Y17" i="1" s="1"/>
  <c r="AA17" i="1"/>
  <c r="AB17" i="1"/>
  <c r="AC17" i="1" s="1"/>
  <c r="U32" i="1"/>
  <c r="Y32" i="1" s="1"/>
  <c r="AB32" i="1"/>
  <c r="AA32" i="1"/>
  <c r="P32" i="1"/>
  <c r="N32" i="1" s="1"/>
  <c r="Q32" i="1" s="1"/>
  <c r="K32" i="1" s="1"/>
  <c r="L32" i="1" s="1"/>
  <c r="P17" i="1"/>
  <c r="N17" i="1" s="1"/>
  <c r="Q17" i="1" s="1"/>
  <c r="K17" i="1" s="1"/>
  <c r="L17" i="1" s="1"/>
  <c r="P26" i="1"/>
  <c r="N26" i="1" s="1"/>
  <c r="Q26" i="1" s="1"/>
  <c r="K26" i="1" s="1"/>
  <c r="L26" i="1" s="1"/>
  <c r="AB28" i="1"/>
  <c r="U28" i="1"/>
  <c r="Y28" i="1" s="1"/>
  <c r="AA28" i="1"/>
  <c r="AB20" i="1"/>
  <c r="AC20" i="1" s="1"/>
  <c r="U20" i="1"/>
  <c r="Y20" i="1" s="1"/>
  <c r="AA20" i="1"/>
  <c r="AB24" i="1"/>
  <c r="U24" i="1"/>
  <c r="Y24" i="1" s="1"/>
  <c r="AA24" i="1"/>
  <c r="P20" i="1"/>
  <c r="N20" i="1" s="1"/>
  <c r="Q20" i="1" s="1"/>
  <c r="K20" i="1" s="1"/>
  <c r="L20" i="1" s="1"/>
  <c r="U22" i="1"/>
  <c r="Y22" i="1" s="1"/>
  <c r="AA22" i="1"/>
  <c r="AB22" i="1"/>
  <c r="U27" i="1"/>
  <c r="Y27" i="1" s="1"/>
  <c r="AA27" i="1"/>
  <c r="AB27" i="1"/>
  <c r="AC27" i="1" s="1"/>
  <c r="AB21" i="1"/>
  <c r="U21" i="1"/>
  <c r="Y21" i="1" s="1"/>
  <c r="AA21" i="1"/>
  <c r="AC25" i="1"/>
  <c r="P27" i="1"/>
  <c r="N27" i="1" s="1"/>
  <c r="Q27" i="1" s="1"/>
  <c r="K27" i="1" s="1"/>
  <c r="L27" i="1" s="1"/>
  <c r="P24" i="1"/>
  <c r="N24" i="1" s="1"/>
  <c r="Q24" i="1" s="1"/>
  <c r="K24" i="1" s="1"/>
  <c r="L24" i="1" s="1"/>
  <c r="U31" i="1"/>
  <c r="Y31" i="1" s="1"/>
  <c r="AB31" i="1"/>
  <c r="AA31" i="1"/>
  <c r="AC19" i="1"/>
  <c r="P22" i="1"/>
  <c r="N22" i="1" s="1"/>
  <c r="Q22" i="1" s="1"/>
  <c r="K22" i="1" s="1"/>
  <c r="L22" i="1" s="1"/>
  <c r="AC28" i="1" l="1"/>
  <c r="AC32" i="1"/>
  <c r="AC24" i="1"/>
  <c r="AC21" i="1"/>
  <c r="AC31" i="1"/>
  <c r="AC22" i="1"/>
  <c r="AC26" i="1"/>
</calcChain>
</file>

<file path=xl/sharedStrings.xml><?xml version="1.0" encoding="utf-8"?>
<sst xmlns="http://schemas.openxmlformats.org/spreadsheetml/2006/main" count="805" uniqueCount="365">
  <si>
    <t>File opened</t>
  </si>
  <si>
    <t>2020-08-15 10:33:36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</si>
  <si>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</si>
  <si>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</si>
  <si>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</si>
  <si>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</si>
  <si>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</si>
  <si>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</si>
  <si>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</si>
  <si>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</si>
  <si>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</si>
  <si>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</si>
  <si>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</si>
  <si>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{"co2aspan2b": "0.163711", "h2oazero": "1.00263", "flowbzero": "0.22736", "co2azero": "0.869071", "co2bzero": "0.880288", "h2obspan1": "0.998578", "h2oaspanconc2": "0", "co2bspanconc1": "1002", "co2aspanconc2": "0", "tbzero": "0.197721", "h2oaspanconc1": "12.19", "flowazero": "0.42932", "co2aspanconc1": "1002", "h2obzero": "1.01783", "co2bspan1": "0.992131", "oxygen": "21", "chamberpressurezero": "2.59209", "co2aspan1": "0.992625", "tazero": "0.00774765", "ssa_ref": "36614.9", "co2bspan2": "0", "co2aspan2a": "0.164928", "h2oaspan2b": "0.0662632", "co2aspan2": "0", "h2oaspan1": "1.00223", "co2bspan2a": "0.163389", "h2obspanconc2": "0", "h2obspanconc1": "20", "ssb_ref": "36526.8", "h2oaspan2": "0", "h2obspan2": "0", "flowmeterzero": "0.990908", "h2oaspan2a": "0.0661155", "h2obspan2b": "0.0963575", "co2bspanconc2": "0", "co2bspan2b": "0.162103", "h2obspan2a": "0.0975941"}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</si>
  <si>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</si>
  <si>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</si>
  <si>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</si>
  <si>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</si>
  <si>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</si>
  <si>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</si>
  <si>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</si>
  <si>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</si>
  <si>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</si>
  <si>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10:33:36</t>
  </si>
  <si>
    <t>Stability Definition:	H2O_s (Meas): Slp&lt;0.2	CO2_s (Meas): Slp&lt;0.3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</si>
  <si>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</si>
  <si>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</si>
  <si>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</si>
  <si>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</si>
  <si>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</si>
  <si>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</si>
  <si>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</si>
  <si>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</si>
  <si>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</si>
  <si>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</si>
  <si>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</si>
  <si>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</si>
  <si>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</si>
  <si>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</si>
  <si>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</si>
  <si>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</si>
  <si>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</si>
  <si>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</si>
  <si>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</si>
  <si>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</si>
  <si>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</si>
  <si>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</si>
  <si>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</si>
  <si>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</si>
  <si>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</si>
  <si>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</si>
  <si>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</si>
  <si>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</si>
  <si>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</si>
  <si>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</si>
  <si>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</si>
  <si>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</si>
  <si>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</si>
  <si>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</si>
  <si>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</si>
  <si>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</si>
  <si>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</si>
  <si>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</si>
  <si>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</si>
  <si>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</si>
  <si>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</si>
  <si>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</si>
  <si>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</si>
  <si>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</si>
  <si>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</si>
  <si>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</si>
  <si>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3.00186 75.5949 388.782 621.537 849.04 1054.8 1229.05 1393.75</t>
  </si>
  <si>
    <t>Fs_true</t>
  </si>
  <si>
    <t>0.276677 99.6915 402.487 601.632 800.517 1001.11 1200.75 1401.88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</si>
  <si>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</si>
  <si>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</si>
  <si>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</si>
  <si>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</si>
  <si>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</si>
  <si>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</si>
  <si>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</si>
  <si>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</si>
  <si>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</si>
  <si>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</si>
  <si>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</si>
  <si>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</si>
  <si>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</si>
  <si>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</si>
  <si>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</si>
  <si>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</si>
  <si>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</si>
  <si>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</si>
  <si>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</si>
  <si>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</si>
  <si>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</si>
  <si>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</si>
  <si>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</si>
  <si>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</si>
  <si>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</si>
  <si>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</si>
  <si>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</si>
  <si>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</si>
  <si>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</si>
  <si>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</si>
  <si>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</si>
  <si>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</si>
  <si>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</si>
  <si>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</si>
  <si>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</si>
  <si>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</si>
  <si>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</si>
  <si>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</si>
  <si>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</si>
  <si>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</si>
  <si>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</si>
  <si>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</si>
  <si>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</si>
  <si>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</si>
  <si>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</si>
  <si>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</si>
  <si>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</si>
  <si>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</si>
  <si>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</si>
  <si>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</si>
  <si>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</si>
  <si>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</si>
  <si>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</si>
  <si>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</si>
  <si>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</si>
  <si>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</si>
  <si>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</si>
  <si>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</si>
  <si>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</si>
  <si>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</si>
  <si>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</si>
  <si>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</si>
  <si>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</si>
  <si>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</si>
  <si>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</si>
  <si>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</si>
  <si>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</si>
  <si>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</si>
  <si>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</si>
  <si>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</si>
  <si>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</si>
  <si>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</si>
  <si>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</si>
  <si>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</si>
  <si>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</si>
  <si>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</si>
  <si>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</si>
  <si>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</si>
  <si>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</si>
  <si>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</si>
  <si>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</si>
  <si>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</si>
  <si>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</si>
  <si>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</si>
  <si>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</si>
  <si>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</si>
  <si>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</si>
  <si>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</si>
  <si>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</si>
  <si>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</si>
  <si>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</si>
  <si>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</si>
  <si>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</si>
  <si>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</si>
  <si>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</si>
  <si>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</si>
  <si>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</si>
  <si>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</si>
  <si>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</si>
  <si>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</si>
  <si>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</si>
  <si>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</si>
  <si>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</si>
  <si>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</si>
  <si>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</si>
  <si>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</si>
  <si>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</si>
  <si>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</si>
  <si>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</si>
  <si>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</si>
  <si>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</si>
  <si>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</si>
  <si>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</si>
  <si>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</si>
  <si>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</si>
  <si>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</si>
  <si>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</si>
  <si>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</si>
  <si>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</si>
  <si>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</si>
  <si>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</si>
  <si>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</si>
  <si>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</si>
  <si>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</si>
  <si>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</si>
  <si>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</si>
  <si>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</si>
  <si>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</si>
  <si>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</si>
  <si>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</si>
  <si>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</si>
  <si>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</si>
  <si>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</si>
  <si>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</si>
  <si>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</si>
  <si>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</si>
  <si>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</si>
  <si>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</si>
  <si>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</si>
  <si>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</si>
  <si>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</si>
  <si>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</si>
  <si>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</si>
  <si>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</si>
  <si>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</si>
  <si>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</si>
  <si>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</si>
  <si>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</si>
  <si>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</si>
  <si>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</si>
  <si>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</si>
  <si>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</si>
  <si>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</si>
  <si>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</si>
  <si>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</si>
  <si>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</si>
  <si>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</si>
  <si>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</si>
  <si>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</si>
  <si>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</si>
  <si>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</si>
  <si>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</si>
  <si>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</si>
  <si>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</si>
  <si>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</si>
  <si>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</si>
  <si>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</si>
  <si>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</si>
  <si>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</si>
  <si>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</si>
  <si>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</si>
  <si>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</si>
  <si>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</si>
  <si>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</si>
  <si>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</si>
  <si>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</si>
  <si>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</si>
  <si>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</si>
  <si>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</si>
  <si>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</si>
  <si>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</si>
  <si>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</si>
  <si>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</si>
  <si>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</si>
  <si>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</si>
  <si>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</si>
  <si>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</si>
  <si>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</si>
  <si>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</si>
  <si>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</si>
  <si>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</si>
  <si>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</si>
  <si>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</si>
  <si>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</si>
  <si>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</si>
  <si>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</si>
  <si>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</si>
  <si>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</si>
  <si>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</si>
  <si>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</si>
  <si>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</si>
  <si>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</si>
  <si>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</si>
  <si>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20200815 10:35:57</t>
  </si>
  <si>
    <t>10:35:57</t>
  </si>
  <si>
    <t>MPF-6114-20200815-10_35_59</t>
  </si>
  <si>
    <t>DARK-6115-20200815-10_36_07</t>
  </si>
  <si>
    <t>0: Broadleaf</t>
  </si>
  <si>
    <t>10:36:35</t>
  </si>
  <si>
    <t>0/2</t>
  </si>
  <si>
    <t>5</t>
  </si>
  <si>
    <t>11111111</t>
  </si>
  <si>
    <t>oooooooo</t>
  </si>
  <si>
    <t>off</t>
  </si>
  <si>
    <t>20200815 10:41:19</t>
  </si>
  <si>
    <t>10:41:19</t>
  </si>
  <si>
    <t>MPF-6116-20200815-10_41_21</t>
  </si>
  <si>
    <t>DARK-6117-20200815-10_41_28</t>
  </si>
  <si>
    <t>10:41:50</t>
  </si>
  <si>
    <t>2/2</t>
  </si>
  <si>
    <t>20200815 10:43:22</t>
  </si>
  <si>
    <t>10:43:22</t>
  </si>
  <si>
    <t>MPF-6118-20200815-10_43_24</t>
  </si>
  <si>
    <t>DARK-6119-20200815-10_43_31</t>
  </si>
  <si>
    <t>10:43:54</t>
  </si>
  <si>
    <t>20200815 10:45:25</t>
  </si>
  <si>
    <t>10:45:25</t>
  </si>
  <si>
    <t>MPF-6120-20200815-10_45_27</t>
  </si>
  <si>
    <t>DARK-6121-20200815-10_45_35</t>
  </si>
  <si>
    <t>10:45:53</t>
  </si>
  <si>
    <t>20200815 10:47:25</t>
  </si>
  <si>
    <t>10:47:25</t>
  </si>
  <si>
    <t>MPF-6122-20200815-10_47_26</t>
  </si>
  <si>
    <t>DARK-6123-20200815-10_47_34</t>
  </si>
  <si>
    <t>10:47:52</t>
  </si>
  <si>
    <t>20200815 10:49:24</t>
  </si>
  <si>
    <t>10:49:24</t>
  </si>
  <si>
    <t>MPF-6124-20200815-10_49_26</t>
  </si>
  <si>
    <t>DARK-6125-20200815-10_49_33</t>
  </si>
  <si>
    <t>10:49:57</t>
  </si>
  <si>
    <t>20200815 10:51:28</t>
  </si>
  <si>
    <t>10:51:28</t>
  </si>
  <si>
    <t>MPF-6126-20200815-10_51_30</t>
  </si>
  <si>
    <t>DARK-6127-20200815-10_51_37</t>
  </si>
  <si>
    <t>10:52:00</t>
  </si>
  <si>
    <t>20200815 10:53:54</t>
  </si>
  <si>
    <t>10:53:54</t>
  </si>
  <si>
    <t>MPF-6128-20200815-10_53_55</t>
  </si>
  <si>
    <t>DARK-6129-20200815-10_54_03</t>
  </si>
  <si>
    <t>10:54:25</t>
  </si>
  <si>
    <t>20200815 10:56:27</t>
  </si>
  <si>
    <t>10:56:27</t>
  </si>
  <si>
    <t>MPF-6130-20200815-10_56_28</t>
  </si>
  <si>
    <t>DARK-6131-20200815-10_56_36</t>
  </si>
  <si>
    <t>10:56:56</t>
  </si>
  <si>
    <t>1/2</t>
  </si>
  <si>
    <t>20200815 10:58:57</t>
  </si>
  <si>
    <t>10:58:57</t>
  </si>
  <si>
    <t>MPF-6132-20200815-10_58_59</t>
  </si>
  <si>
    <t>DARK-6133-20200815-10_59_07</t>
  </si>
  <si>
    <t>10:59:23</t>
  </si>
  <si>
    <t>20200815 11:00:54</t>
  </si>
  <si>
    <t>11:00:54</t>
  </si>
  <si>
    <t>MPF-6134-20200815-11_00_56</t>
  </si>
  <si>
    <t>DARK-6135-20200815-11_01_04</t>
  </si>
  <si>
    <t>11:01:23</t>
  </si>
  <si>
    <t>20200815 11:03:12</t>
  </si>
  <si>
    <t>11:03:12</t>
  </si>
  <si>
    <t>MPF-6136-20200815-11_03_13</t>
  </si>
  <si>
    <t>DARK-6137-20200815-11_03_21</t>
  </si>
  <si>
    <t>11:03:41</t>
  </si>
  <si>
    <t>20200815 11:05:18</t>
  </si>
  <si>
    <t>11:05:18</t>
  </si>
  <si>
    <t>MPF-6138-20200815-11_05_20</t>
  </si>
  <si>
    <t>DARK-6139-20200815-11_05_27</t>
  </si>
  <si>
    <t>11:05:58</t>
  </si>
  <si>
    <t>20200815 11:07:29</t>
  </si>
  <si>
    <t>11:07:29</t>
  </si>
  <si>
    <t>MPF-6140-20200815-11_07_31</t>
  </si>
  <si>
    <t>DARK-6141-20200815-11_07_38</t>
  </si>
  <si>
    <t>11:07:54</t>
  </si>
  <si>
    <t>20200815 11:09:25</t>
  </si>
  <si>
    <t>11:09:25</t>
  </si>
  <si>
    <t>MPF-6142-20200815-11_09_27</t>
  </si>
  <si>
    <t>DARK-6143-20200815-11_09_34</t>
  </si>
  <si>
    <t>11:09:52</t>
  </si>
  <si>
    <t>20200815 11:11:28</t>
  </si>
  <si>
    <t>11:11:28</t>
  </si>
  <si>
    <t>MPF-6144-20200815-11_11_29</t>
  </si>
  <si>
    <t>DARK-6145-20200815-11_11_37</t>
  </si>
  <si>
    <t>11:12:04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</si>
</sst>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2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1597505757.4000001</v>
      </c>
      <c r="C17">
        <v>0</v>
      </c>
      <c r="D17" t="s">
        <v>277</v>
      </c>
      <c r="E17" t="s">
        <v>278</v>
      </c>
      <c r="G17">
        <v>1597505749.40323</v>
      </c>
      <c r="H17">
        <f t="shared" ref="H17:H32" si="0">CC17*AI17*(CA17-CB17)/(100*$B$5*(1000-AI17*CA17))</f>
        <v>1.6234068336151073E-2</v>
      </c>
      <c r="I17">
        <f t="shared" ref="I17:I32" si="1">CC17*AI17*(BZ17-BY17*(1000-AI17*CB17)/(1000-AI17*CA17))/(100*$B$5)</f>
        <v>28.40703185582478</v>
      </c>
      <c r="J17">
        <f t="shared" ref="J17:J32" si="2">BY17 - IF(AI17&gt;1, I17*$B$5*100/(AK17*CI17), 0)</f>
        <v>386.72193548387099</v>
      </c>
      <c r="K17">
        <f t="shared" ref="K17:K32" si="3">((Q17-H17/2)*J17-I17)/(Q17+H17/2)</f>
        <v>347.51770347364533</v>
      </c>
      <c r="L17">
        <f t="shared" ref="L17:L32" si="4">K17*(CD17+CE17)/1000</f>
        <v>34.492761905368098</v>
      </c>
      <c r="M17">
        <f t="shared" ref="M17:M32" si="5">(BY17 - IF(AI17&gt;1, I17*$B$5*100/(AK17*CI17), 0))*(CD17+CE17)/1000</f>
        <v>38.383965797701812</v>
      </c>
      <c r="N17">
        <f t="shared" ref="N17:N32" si="6">2/((1/P17-1/O17)+SIGN(P17)*SQRT((1/P17-1/O17)*(1/P17-1/O17) + 4*BV17/((BV17+1)*(BV17+1))*(2*1/P17*1/O17-1/O17*1/O17)))</f>
        <v>1.7410985443915912</v>
      </c>
      <c r="O17">
        <f t="shared" ref="O17:O32" si="7">AF17+AE17*$B$5+AD17*$B$5*$B$5</f>
        <v>3.375269283679438</v>
      </c>
      <c r="P17">
        <f t="shared" ref="P17:P32" si="8">H17*(1000-(1000*0.61365*EXP(17.502*T17/(240.97+T17))/(CD17+CE17)+CA17)/2)/(1000*0.61365*EXP(17.502*T17/(240.97+T17))/(CD17+CE17)-CA17)</f>
        <v>1.3589242835107944</v>
      </c>
      <c r="Q17">
        <f t="shared" ref="Q17:Q32" si="9">1/((BV17+1)/(N17/1.6)+1/(O17/1.37)) + BV17/((BV17+1)/(N17/1.6) + BV17/(O17/1.37))</f>
        <v>0.87661148632715058</v>
      </c>
      <c r="R17">
        <f t="shared" ref="R17:R32" si="10">(BS17*BU17)</f>
        <v>321.43788883496927</v>
      </c>
      <c r="S17">
        <f t="shared" ref="S17:S32" si="11">(CF17+(R17+2*0.95*0.0000000567*(((CF17+$B$7)+273)^4-(CF17+273)^4)-44100*H17)/(1.84*29.3*O17+8*0.95*0.0000000567*(CF17+273)^3))</f>
        <v>24.456716007044722</v>
      </c>
      <c r="T17">
        <f t="shared" ref="T17:T32" si="12">($C$7*CG17+$D$7*CH17+$E$7*S17)</f>
        <v>25.5778838709677</v>
      </c>
      <c r="U17">
        <f t="shared" ref="U17:U32" si="13">0.61365*EXP(17.502*T17/(240.97+T17))</f>
        <v>3.2908899213924627</v>
      </c>
      <c r="V17">
        <f t="shared" ref="V17:V32" si="14">(W17/X17*100)</f>
        <v>61.524896118103598</v>
      </c>
      <c r="W17">
        <f t="shared" ref="W17:W32" si="15">CA17*(CD17+CE17)/1000</f>
        <v>2.1375922262671687</v>
      </c>
      <c r="X17">
        <f t="shared" ref="X17:X32" si="16">0.61365*EXP(17.502*CF17/(240.97+CF17))</f>
        <v>3.474353247446095</v>
      </c>
      <c r="Y17">
        <f t="shared" ref="Y17:Y32" si="17">(U17-CA17*(CD17+CE17)/1000)</f>
        <v>1.153297695125294</v>
      </c>
      <c r="Z17">
        <f t="shared" ref="Z17:Z32" si="18">(-H17*44100)</f>
        <v>-715.92241362426228</v>
      </c>
      <c r="AA17">
        <f t="shared" ref="AA17:AA32" si="19">2*29.3*O17*0.92*(CF17-T17)</f>
        <v>166.87360553101345</v>
      </c>
      <c r="AB17">
        <f t="shared" ref="AB17:AB32" si="20">2*0.95*0.0000000567*(((CF17+$B$7)+273)^4-(T17+273)^4)</f>
        <v>10.56729084368923</v>
      </c>
      <c r="AC17">
        <f t="shared" ref="AC17:AC32" si="21">R17+AB17+Z17+AA17</f>
        <v>-217.0436284145903</v>
      </c>
      <c r="AD17">
        <v>-4.1065004877957202E-2</v>
      </c>
      <c r="AE17">
        <v>4.6099065467518498E-2</v>
      </c>
      <c r="AF17">
        <v>3.4473311722562299</v>
      </c>
      <c r="AG17">
        <v>152</v>
      </c>
      <c r="AH17">
        <v>30</v>
      </c>
      <c r="AI17">
        <f t="shared" ref="AI17:AI32" si="22">IF(AG17*$H$13&gt;=AK17,1,(AK17/(AK17-AG17*$H$13)))</f>
        <v>1</v>
      </c>
      <c r="AJ17">
        <f t="shared" ref="AJ17:AJ32" si="23">(AI17-1)*100</f>
        <v>0</v>
      </c>
      <c r="AK17">
        <f t="shared" ref="AK17:AK32" si="24">MAX(0,($B$13+$C$13*CI17)/(1+$D$13*CI17)*CD17/(CF17+273)*$E$13)</f>
        <v>52453.233369194553</v>
      </c>
      <c r="AL17">
        <v>0</v>
      </c>
      <c r="AM17">
        <v>0</v>
      </c>
      <c r="AN17">
        <v>0</v>
      </c>
      <c r="AO17">
        <f t="shared" ref="AO17:AO32" si="25">AN17-AM17</f>
        <v>0</v>
      </c>
      <c r="AP17" t="e">
        <f t="shared" ref="AP17:AP32" si="26">AO17/AN17</f>
        <v>#DIV/0!</v>
      </c>
      <c r="AQ17">
        <v>-1</v>
      </c>
      <c r="AR17" t="s">
        <v>279</v>
      </c>
      <c r="AS17">
        <v>468.61103846153799</v>
      </c>
      <c r="AT17">
        <v>592.13499999999999</v>
      </c>
      <c r="AU17">
        <f t="shared" ref="AU17:AU32" si="27">1-AS17/AT17</f>
        <v>0.20860776940809445</v>
      </c>
      <c r="AV17">
        <v>0.5</v>
      </c>
      <c r="AW17">
        <f t="shared" ref="AW17:AW32" si="28">BS17</f>
        <v>1681.1847674186783</v>
      </c>
      <c r="AX17">
        <f t="shared" ref="AX17:AX32" si="29">I17</f>
        <v>28.40703185582478</v>
      </c>
      <c r="AY17">
        <f t="shared" ref="AY17:AY32" si="30">AU17*AV17*AW17</f>
        <v>175.35410214703828</v>
      </c>
      <c r="AZ17">
        <f t="shared" ref="AZ17:AZ32" si="31">BE17/AT17</f>
        <v>0.61724944480566091</v>
      </c>
      <c r="BA17">
        <f t="shared" ref="BA17:BA32" si="32">(AX17-AQ17)/AW17</f>
        <v>1.7491850048687314E-2</v>
      </c>
      <c r="BB17">
        <f t="shared" ref="BB17:BB32" si="33">(AN17-AT17)/AT17</f>
        <v>-1</v>
      </c>
      <c r="BC17" t="s">
        <v>280</v>
      </c>
      <c r="BD17">
        <v>226.64</v>
      </c>
      <c r="BE17">
        <f t="shared" ref="BE17:BE32" si="34">AT17-BD17</f>
        <v>365.495</v>
      </c>
      <c r="BF17">
        <f t="shared" ref="BF17:BF32" si="35">(AT17-AS17)/(AT17-BD17)</f>
        <v>0.33796347840178936</v>
      </c>
      <c r="BG17">
        <f t="shared" ref="BG17:BG32" si="36">(AN17-AT17)/(AN17-BD17)</f>
        <v>2.6126676667843278</v>
      </c>
      <c r="BH17">
        <f t="shared" ref="BH17:BH32" si="37">(AT17-AS17)/(AT17-AM17)</f>
        <v>0.20860776940809445</v>
      </c>
      <c r="BI17" t="e">
        <f t="shared" ref="BI17:BI32" si="38">(AN17-AT17)/(AN17-AM17)</f>
        <v>#DIV/0!</v>
      </c>
      <c r="BJ17">
        <v>6114</v>
      </c>
      <c r="BK17">
        <v>300</v>
      </c>
      <c r="BL17">
        <v>300</v>
      </c>
      <c r="BM17">
        <v>300</v>
      </c>
      <c r="BN17">
        <v>9873.73</v>
      </c>
      <c r="BO17">
        <v>556.24900000000002</v>
      </c>
      <c r="BP17">
        <v>-6.5677699999999997E-3</v>
      </c>
      <c r="BQ17">
        <v>2.1545399999999999E-2</v>
      </c>
      <c r="BR17">
        <f t="shared" ref="BR17:BR32" si="39">$B$11*CJ17+$C$11*CK17+$F$11*CL17</f>
        <v>1999.9851612903201</v>
      </c>
      <c r="BS17">
        <f t="shared" ref="BS17:BS32" si="40">BR17*BT17</f>
        <v>1681.1847674186783</v>
      </c>
      <c r="BT17">
        <f t="shared" ref="BT17:BT32" si="41">($B$11*$D$9+$C$11*$D$9+$F$11*((CY17+CQ17)/MAX(CY17+CQ17+CZ17, 0.1)*$I$9+CZ17/MAX(CY17+CQ17+CZ17, 0.1)*$J$9))/($B$11+$C$11+$F$11)</f>
        <v>0.84059862040878197</v>
      </c>
      <c r="BU17">
        <f t="shared" ref="BU17:BU32" si="42">($B$11*$K$9+$C$11*$K$9+$F$11*((CY17+CQ17)/MAX(CY17+CQ17+CZ17, 0.1)*$P$9+CZ17/MAX(CY17+CQ17+CZ17, 0.1)*$Q$9))/($B$11+$C$11+$F$11)</f>
        <v>0.19119724081756395</v>
      </c>
      <c r="BV17">
        <v>0.5</v>
      </c>
      <c r="BW17" t="s">
        <v>281</v>
      </c>
      <c r="BX17">
        <v>1597505749.40323</v>
      </c>
      <c r="BY17">
        <v>386.72193548387099</v>
      </c>
      <c r="BZ17">
        <v>400.59419354838701</v>
      </c>
      <c r="CA17">
        <v>21.536435483870999</v>
      </c>
      <c r="CB17">
        <v>15.183474193548401</v>
      </c>
      <c r="CC17">
        <v>500.06425806451603</v>
      </c>
      <c r="CD17">
        <v>99.054693548387107</v>
      </c>
      <c r="CE17">
        <v>0.199996387096774</v>
      </c>
      <c r="CF17">
        <v>26.494935483871</v>
      </c>
      <c r="CG17">
        <v>25.5778838709677</v>
      </c>
      <c r="CH17">
        <v>999.9</v>
      </c>
      <c r="CI17">
        <v>9997.5329032258105</v>
      </c>
      <c r="CJ17">
        <v>0</v>
      </c>
      <c r="CK17">
        <v>165.684129032258</v>
      </c>
      <c r="CL17">
        <v>1999.9851612903201</v>
      </c>
      <c r="CM17">
        <v>0.97999490322580696</v>
      </c>
      <c r="CN17">
        <v>2.0005112903225802E-2</v>
      </c>
      <c r="CO17">
        <v>0</v>
      </c>
      <c r="CP17">
        <v>470.02419354838702</v>
      </c>
      <c r="CQ17">
        <v>5.00054</v>
      </c>
      <c r="CR17">
        <v>11556.1129032258</v>
      </c>
      <c r="CS17">
        <v>18703.464516128999</v>
      </c>
      <c r="CT17">
        <v>47.239677419354798</v>
      </c>
      <c r="CU17">
        <v>49.155064516129002</v>
      </c>
      <c r="CV17">
        <v>47.640935483870997</v>
      </c>
      <c r="CW17">
        <v>48.245677419354799</v>
      </c>
      <c r="CX17">
        <v>48.8283870967742</v>
      </c>
      <c r="CY17">
        <v>1955.07741935484</v>
      </c>
      <c r="CZ17">
        <v>39.907741935483898</v>
      </c>
      <c r="DA17">
        <v>0</v>
      </c>
      <c r="DB17">
        <v>198.89999985694899</v>
      </c>
      <c r="DC17">
        <v>468.61103846153799</v>
      </c>
      <c r="DD17">
        <v>-159.167555569851</v>
      </c>
      <c r="DE17">
        <v>-3315.6923080298302</v>
      </c>
      <c r="DF17">
        <v>11526.592307692301</v>
      </c>
      <c r="DG17">
        <v>15</v>
      </c>
      <c r="DH17">
        <v>1597505795.9000001</v>
      </c>
      <c r="DI17" t="s">
        <v>282</v>
      </c>
      <c r="DJ17">
        <v>16</v>
      </c>
      <c r="DK17">
        <v>-0.46700000000000003</v>
      </c>
      <c r="DL17">
        <v>7.0000000000000007E-2</v>
      </c>
      <c r="DM17">
        <v>400</v>
      </c>
      <c r="DN17">
        <v>14</v>
      </c>
      <c r="DO17">
        <v>0.16</v>
      </c>
      <c r="DP17">
        <v>0.01</v>
      </c>
      <c r="DQ17">
        <v>387.19120370370399</v>
      </c>
      <c r="DR17">
        <v>0.60689571886663396</v>
      </c>
      <c r="DS17">
        <v>0.41235225770053502</v>
      </c>
      <c r="DT17">
        <v>0</v>
      </c>
      <c r="DU17">
        <v>21.952796296296299</v>
      </c>
      <c r="DV17">
        <v>-3.59165395495772</v>
      </c>
      <c r="DW17">
        <v>0.55662458056574005</v>
      </c>
      <c r="DX17">
        <v>0</v>
      </c>
      <c r="DY17">
        <v>0</v>
      </c>
      <c r="DZ17">
        <v>2</v>
      </c>
      <c r="EA17" t="s">
        <v>283</v>
      </c>
      <c r="EB17">
        <v>1.8667499999999999</v>
      </c>
      <c r="EC17">
        <v>1.86328</v>
      </c>
      <c r="ED17">
        <v>1.8689100000000001</v>
      </c>
      <c r="EE17">
        <v>1.8668899999999999</v>
      </c>
      <c r="EF17">
        <v>1.87154</v>
      </c>
      <c r="EG17">
        <v>1.86402</v>
      </c>
      <c r="EH17">
        <v>1.8656600000000001</v>
      </c>
      <c r="EI17">
        <v>1.86557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-0.46700000000000003</v>
      </c>
      <c r="EX17">
        <v>7.0000000000000007E-2</v>
      </c>
      <c r="EY17">
        <v>2</v>
      </c>
      <c r="EZ17">
        <v>332.822</v>
      </c>
      <c r="FA17">
        <v>498.86700000000002</v>
      </c>
      <c r="FB17">
        <v>25.611499999999999</v>
      </c>
      <c r="FC17">
        <v>33.816400000000002</v>
      </c>
      <c r="FD17">
        <v>30.000499999999999</v>
      </c>
      <c r="FE17">
        <v>33.770200000000003</v>
      </c>
      <c r="FF17">
        <v>33.745699999999999</v>
      </c>
      <c r="FG17">
        <v>21.9481</v>
      </c>
      <c r="FH17">
        <v>51.722499999999997</v>
      </c>
      <c r="FI17">
        <v>0</v>
      </c>
      <c r="FJ17">
        <v>26.522600000000001</v>
      </c>
      <c r="FK17">
        <v>400</v>
      </c>
      <c r="FL17">
        <v>14.289899999999999</v>
      </c>
      <c r="FM17">
        <v>100.697</v>
      </c>
      <c r="FN17">
        <v>101.17</v>
      </c>
    </row>
    <row r="18" spans="1:170" x14ac:dyDescent="0.25">
      <c r="A18">
        <v>2</v>
      </c>
      <c r="B18">
        <v>1597506079.4000001</v>
      </c>
      <c r="C18">
        <v>322</v>
      </c>
      <c r="D18" t="s">
        <v>288</v>
      </c>
      <c r="E18" t="s">
        <v>289</v>
      </c>
      <c r="G18">
        <v>1597506071.4000001</v>
      </c>
      <c r="H18">
        <f t="shared" si="0"/>
        <v>1.2068192901933712E-2</v>
      </c>
      <c r="I18">
        <f t="shared" si="1"/>
        <v>39.390560456137926</v>
      </c>
      <c r="J18">
        <f t="shared" si="2"/>
        <v>382.396032258064</v>
      </c>
      <c r="K18">
        <f t="shared" si="3"/>
        <v>296.43217165818135</v>
      </c>
      <c r="L18">
        <f t="shared" si="4"/>
        <v>29.418525481131091</v>
      </c>
      <c r="M18">
        <f t="shared" si="5"/>
        <v>37.949752066179961</v>
      </c>
      <c r="N18">
        <f t="shared" si="6"/>
        <v>0.91252053794898413</v>
      </c>
      <c r="O18">
        <f t="shared" si="7"/>
        <v>3.3751441758102532</v>
      </c>
      <c r="P18">
        <f t="shared" si="8"/>
        <v>0.79446919343722511</v>
      </c>
      <c r="Q18">
        <f t="shared" si="9"/>
        <v>0.5058715954441968</v>
      </c>
      <c r="R18">
        <f t="shared" si="10"/>
        <v>321.44173142071043</v>
      </c>
      <c r="S18">
        <f t="shared" si="11"/>
        <v>27.547407301961197</v>
      </c>
      <c r="T18">
        <f t="shared" si="12"/>
        <v>27.2183806451613</v>
      </c>
      <c r="U18">
        <f t="shared" si="13"/>
        <v>3.6253239216986364</v>
      </c>
      <c r="V18">
        <f t="shared" si="14"/>
        <v>54.900416390758032</v>
      </c>
      <c r="W18">
        <f t="shared" si="15"/>
        <v>2.1617657229344922</v>
      </c>
      <c r="X18">
        <f t="shared" si="16"/>
        <v>3.9376126176310842</v>
      </c>
      <c r="Y18">
        <f t="shared" si="17"/>
        <v>1.4635581987641442</v>
      </c>
      <c r="Z18">
        <f t="shared" si="18"/>
        <v>-532.20730697527665</v>
      </c>
      <c r="AA18">
        <f t="shared" si="19"/>
        <v>257.77326137043781</v>
      </c>
      <c r="AB18">
        <f t="shared" si="20"/>
        <v>16.63570942047761</v>
      </c>
      <c r="AC18">
        <f t="shared" si="21"/>
        <v>63.643395236349193</v>
      </c>
      <c r="AD18">
        <v>-4.1063071848469801E-2</v>
      </c>
      <c r="AE18">
        <v>4.6096895472576199E-2</v>
      </c>
      <c r="AF18">
        <v>3.4472026722589799</v>
      </c>
      <c r="AG18">
        <v>154</v>
      </c>
      <c r="AH18">
        <v>31</v>
      </c>
      <c r="AI18">
        <f t="shared" si="22"/>
        <v>1</v>
      </c>
      <c r="AJ18">
        <f t="shared" si="23"/>
        <v>0</v>
      </c>
      <c r="AK18">
        <f t="shared" si="24"/>
        <v>52078.456113175307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318.64373076923101</v>
      </c>
      <c r="AT18">
        <v>486.32100000000003</v>
      </c>
      <c r="AU18">
        <f t="shared" si="27"/>
        <v>0.34478722742955581</v>
      </c>
      <c r="AV18">
        <v>0.5</v>
      </c>
      <c r="AW18">
        <f t="shared" si="28"/>
        <v>1681.2067843200475</v>
      </c>
      <c r="AX18">
        <f t="shared" si="29"/>
        <v>39.390560456137926</v>
      </c>
      <c r="AY18">
        <f t="shared" si="30"/>
        <v>289.82931295073422</v>
      </c>
      <c r="AZ18">
        <f t="shared" si="31"/>
        <v>0.59467100947727947</v>
      </c>
      <c r="BA18">
        <f t="shared" si="32"/>
        <v>2.4024742722218797E-2</v>
      </c>
      <c r="BB18">
        <f t="shared" si="33"/>
        <v>-1</v>
      </c>
      <c r="BC18" t="s">
        <v>291</v>
      </c>
      <c r="BD18">
        <v>197.12</v>
      </c>
      <c r="BE18">
        <f t="shared" si="34"/>
        <v>289.20100000000002</v>
      </c>
      <c r="BF18">
        <f t="shared" si="35"/>
        <v>0.57979491506173564</v>
      </c>
      <c r="BG18">
        <f t="shared" si="36"/>
        <v>2.4671316964285714</v>
      </c>
      <c r="BH18">
        <f t="shared" si="37"/>
        <v>0.34478722742955581</v>
      </c>
      <c r="BI18" t="e">
        <f t="shared" si="38"/>
        <v>#DIV/0!</v>
      </c>
      <c r="BJ18">
        <v>6116</v>
      </c>
      <c r="BK18">
        <v>300</v>
      </c>
      <c r="BL18">
        <v>300</v>
      </c>
      <c r="BM18">
        <v>300</v>
      </c>
      <c r="BN18">
        <v>9871.39</v>
      </c>
      <c r="BO18">
        <v>440.66399999999999</v>
      </c>
      <c r="BP18">
        <v>-6.5666199999999996E-3</v>
      </c>
      <c r="BQ18">
        <v>1.4067400000000001</v>
      </c>
      <c r="BR18">
        <f t="shared" si="39"/>
        <v>2000.0116129032299</v>
      </c>
      <c r="BS18">
        <f t="shared" si="40"/>
        <v>1681.2067843200475</v>
      </c>
      <c r="BT18">
        <f t="shared" si="41"/>
        <v>0.8405985112654405</v>
      </c>
      <c r="BU18">
        <f t="shared" si="42"/>
        <v>0.19119702253088117</v>
      </c>
      <c r="BV18">
        <v>0.5</v>
      </c>
      <c r="BW18" t="s">
        <v>281</v>
      </c>
      <c r="BX18">
        <v>1597506071.4000001</v>
      </c>
      <c r="BY18">
        <v>382.396032258064</v>
      </c>
      <c r="BZ18">
        <v>399.99599999999998</v>
      </c>
      <c r="CA18">
        <v>21.782767741935501</v>
      </c>
      <c r="CB18">
        <v>17.061229032258101</v>
      </c>
      <c r="CC18">
        <v>500.06216129032299</v>
      </c>
      <c r="CD18">
        <v>99.042003225806397</v>
      </c>
      <c r="CE18">
        <v>0.200009935483871</v>
      </c>
      <c r="CF18">
        <v>28.635022580645199</v>
      </c>
      <c r="CG18">
        <v>27.2183806451613</v>
      </c>
      <c r="CH18">
        <v>999.9</v>
      </c>
      <c r="CI18">
        <v>9998.3432258064495</v>
      </c>
      <c r="CJ18">
        <v>0</v>
      </c>
      <c r="CK18">
        <v>164.18448387096799</v>
      </c>
      <c r="CL18">
        <v>2000.0116129032299</v>
      </c>
      <c r="CM18">
        <v>0.97999954838709702</v>
      </c>
      <c r="CN18">
        <v>2.00004580645161E-2</v>
      </c>
      <c r="CO18">
        <v>0</v>
      </c>
      <c r="CP18">
        <v>318.70990322580701</v>
      </c>
      <c r="CQ18">
        <v>5.00054</v>
      </c>
      <c r="CR18">
        <v>8328.9083870967697</v>
      </c>
      <c r="CS18">
        <v>18703.745161290299</v>
      </c>
      <c r="CT18">
        <v>46.872806451612902</v>
      </c>
      <c r="CU18">
        <v>48.667000000000002</v>
      </c>
      <c r="CV18">
        <v>47.253999999999998</v>
      </c>
      <c r="CW18">
        <v>47.759935483870997</v>
      </c>
      <c r="CX18">
        <v>48.624741935483897</v>
      </c>
      <c r="CY18">
        <v>1955.10935483871</v>
      </c>
      <c r="CZ18">
        <v>39.900967741935503</v>
      </c>
      <c r="DA18">
        <v>0</v>
      </c>
      <c r="DB18">
        <v>321.09999990463302</v>
      </c>
      <c r="DC18">
        <v>318.64373076923101</v>
      </c>
      <c r="DD18">
        <v>-5.2962393117373203</v>
      </c>
      <c r="DE18">
        <v>-184.59452994643601</v>
      </c>
      <c r="DF18">
        <v>8327.0942307692294</v>
      </c>
      <c r="DG18">
        <v>15</v>
      </c>
      <c r="DH18">
        <v>1597506110.9000001</v>
      </c>
      <c r="DI18" t="s">
        <v>292</v>
      </c>
      <c r="DJ18">
        <v>17</v>
      </c>
      <c r="DK18">
        <v>-0.34100000000000003</v>
      </c>
      <c r="DL18">
        <v>0.11700000000000001</v>
      </c>
      <c r="DM18">
        <v>400</v>
      </c>
      <c r="DN18">
        <v>17</v>
      </c>
      <c r="DO18">
        <v>0.28000000000000003</v>
      </c>
      <c r="DP18">
        <v>0.02</v>
      </c>
      <c r="DQ18">
        <v>382.26792592592602</v>
      </c>
      <c r="DR18">
        <v>2.1296740994915998E-2</v>
      </c>
      <c r="DS18">
        <v>1.97041562186995E-2</v>
      </c>
      <c r="DT18">
        <v>1</v>
      </c>
      <c r="DU18">
        <v>21.7402962962963</v>
      </c>
      <c r="DV18">
        <v>-3.12370497427105E-2</v>
      </c>
      <c r="DW18">
        <v>7.1302943413081602E-3</v>
      </c>
      <c r="DX18">
        <v>1</v>
      </c>
      <c r="DY18">
        <v>2</v>
      </c>
      <c r="DZ18">
        <v>2</v>
      </c>
      <c r="EA18" t="s">
        <v>293</v>
      </c>
      <c r="EB18">
        <v>1.8667</v>
      </c>
      <c r="EC18">
        <v>1.8632500000000001</v>
      </c>
      <c r="ED18">
        <v>1.86883</v>
      </c>
      <c r="EE18">
        <v>1.8667800000000001</v>
      </c>
      <c r="EF18">
        <v>1.8714900000000001</v>
      </c>
      <c r="EG18">
        <v>1.86398</v>
      </c>
      <c r="EH18">
        <v>1.86555</v>
      </c>
      <c r="EI18">
        <v>1.8655299999999999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-0.34100000000000003</v>
      </c>
      <c r="EX18">
        <v>0.11700000000000001</v>
      </c>
      <c r="EY18">
        <v>2</v>
      </c>
      <c r="EZ18">
        <v>330.839</v>
      </c>
      <c r="FA18">
        <v>497.24599999999998</v>
      </c>
      <c r="FB18">
        <v>22.921900000000001</v>
      </c>
      <c r="FC18">
        <v>34.001600000000003</v>
      </c>
      <c r="FD18">
        <v>30.0014</v>
      </c>
      <c r="FE18">
        <v>33.877800000000001</v>
      </c>
      <c r="FF18">
        <v>33.861800000000002</v>
      </c>
      <c r="FG18">
        <v>22.052399999999999</v>
      </c>
      <c r="FH18">
        <v>41.225099999999998</v>
      </c>
      <c r="FI18">
        <v>0</v>
      </c>
      <c r="FJ18">
        <v>22.8123</v>
      </c>
      <c r="FK18">
        <v>400</v>
      </c>
      <c r="FL18">
        <v>17.1401</v>
      </c>
      <c r="FM18">
        <v>100.67100000000001</v>
      </c>
      <c r="FN18">
        <v>101.15</v>
      </c>
    </row>
    <row r="19" spans="1:170" x14ac:dyDescent="0.25">
      <c r="A19">
        <v>3</v>
      </c>
      <c r="B19">
        <v>1597506202.4000001</v>
      </c>
      <c r="C19">
        <v>445</v>
      </c>
      <c r="D19" t="s">
        <v>294</v>
      </c>
      <c r="E19" t="s">
        <v>295</v>
      </c>
      <c r="G19">
        <v>1597506194.4000001</v>
      </c>
      <c r="H19">
        <f t="shared" si="0"/>
        <v>1.2198312726158223E-2</v>
      </c>
      <c r="I19">
        <f t="shared" si="1"/>
        <v>29.999138429514815</v>
      </c>
      <c r="J19">
        <f t="shared" si="2"/>
        <v>286.599516129032</v>
      </c>
      <c r="K19">
        <f t="shared" si="3"/>
        <v>222.34203314442377</v>
      </c>
      <c r="L19">
        <f t="shared" si="4"/>
        <v>22.064481550162164</v>
      </c>
      <c r="M19">
        <f t="shared" si="5"/>
        <v>28.441179773717582</v>
      </c>
      <c r="N19">
        <f t="shared" si="6"/>
        <v>0.93124933876777927</v>
      </c>
      <c r="O19">
        <f t="shared" si="7"/>
        <v>3.3806563444067579</v>
      </c>
      <c r="P19">
        <f t="shared" si="8"/>
        <v>0.808821040702695</v>
      </c>
      <c r="Q19">
        <f t="shared" si="9"/>
        <v>0.51516572048317966</v>
      </c>
      <c r="R19">
        <f t="shared" si="10"/>
        <v>321.43898322185595</v>
      </c>
      <c r="S19">
        <f t="shared" si="11"/>
        <v>26.853139879664081</v>
      </c>
      <c r="T19">
        <f t="shared" si="12"/>
        <v>26.857654838709699</v>
      </c>
      <c r="U19">
        <f t="shared" si="13"/>
        <v>3.549345865173124</v>
      </c>
      <c r="V19">
        <f t="shared" si="14"/>
        <v>55.312987224130062</v>
      </c>
      <c r="W19">
        <f t="shared" si="15"/>
        <v>2.0952633883083811</v>
      </c>
      <c r="X19">
        <f t="shared" si="16"/>
        <v>3.7880134367328675</v>
      </c>
      <c r="Y19">
        <f t="shared" si="17"/>
        <v>1.4540824768647429</v>
      </c>
      <c r="Z19">
        <f t="shared" si="18"/>
        <v>-537.94559122357759</v>
      </c>
      <c r="AA19">
        <f t="shared" si="19"/>
        <v>202.57323847187561</v>
      </c>
      <c r="AB19">
        <f t="shared" si="20"/>
        <v>12.985287972351529</v>
      </c>
      <c r="AC19">
        <f t="shared" si="21"/>
        <v>-0.94808155749453249</v>
      </c>
      <c r="AD19">
        <v>-4.1148270216047597E-2</v>
      </c>
      <c r="AE19">
        <v>4.61925381039692E-2</v>
      </c>
      <c r="AF19">
        <v>3.45286434906301</v>
      </c>
      <c r="AG19">
        <v>154</v>
      </c>
      <c r="AH19">
        <v>31</v>
      </c>
      <c r="AI19">
        <f t="shared" si="22"/>
        <v>1</v>
      </c>
      <c r="AJ19">
        <f t="shared" si="23"/>
        <v>0</v>
      </c>
      <c r="AK19">
        <f t="shared" si="24"/>
        <v>52297.403539298481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296</v>
      </c>
      <c r="AS19">
        <v>291.93707692307697</v>
      </c>
      <c r="AT19">
        <v>428.34199999999998</v>
      </c>
      <c r="AU19">
        <f t="shared" si="27"/>
        <v>0.31844863001275392</v>
      </c>
      <c r="AV19">
        <v>0.5</v>
      </c>
      <c r="AW19">
        <f t="shared" si="28"/>
        <v>1681.1924125800278</v>
      </c>
      <c r="AX19">
        <f t="shared" si="29"/>
        <v>29.999138429514815</v>
      </c>
      <c r="AY19">
        <f t="shared" si="30"/>
        <v>267.68671028697321</v>
      </c>
      <c r="AZ19">
        <f t="shared" si="31"/>
        <v>0.54863170083718149</v>
      </c>
      <c r="BA19">
        <f t="shared" si="32"/>
        <v>1.8438780830531021E-2</v>
      </c>
      <c r="BB19">
        <f t="shared" si="33"/>
        <v>-1</v>
      </c>
      <c r="BC19" t="s">
        <v>297</v>
      </c>
      <c r="BD19">
        <v>193.34</v>
      </c>
      <c r="BE19">
        <f t="shared" si="34"/>
        <v>235.00199999999998</v>
      </c>
      <c r="BF19">
        <f t="shared" si="35"/>
        <v>0.58044154125038516</v>
      </c>
      <c r="BG19">
        <f t="shared" si="36"/>
        <v>2.2154856729078305</v>
      </c>
      <c r="BH19">
        <f t="shared" si="37"/>
        <v>0.31844863001275386</v>
      </c>
      <c r="BI19" t="e">
        <f t="shared" si="38"/>
        <v>#DIV/0!</v>
      </c>
      <c r="BJ19">
        <v>6118</v>
      </c>
      <c r="BK19">
        <v>300</v>
      </c>
      <c r="BL19">
        <v>300</v>
      </c>
      <c r="BM19">
        <v>300</v>
      </c>
      <c r="BN19">
        <v>9871.34</v>
      </c>
      <c r="BO19">
        <v>391.17899999999997</v>
      </c>
      <c r="BP19">
        <v>-6.5664699999999996E-3</v>
      </c>
      <c r="BQ19">
        <v>1.4461999999999999</v>
      </c>
      <c r="BR19">
        <f t="shared" si="39"/>
        <v>1999.99451612903</v>
      </c>
      <c r="BS19">
        <f t="shared" si="40"/>
        <v>1681.1924125800278</v>
      </c>
      <c r="BT19">
        <f t="shared" si="41"/>
        <v>0.84059851115690032</v>
      </c>
      <c r="BU19">
        <f t="shared" si="42"/>
        <v>0.19119702231380065</v>
      </c>
      <c r="BV19">
        <v>0.5</v>
      </c>
      <c r="BW19" t="s">
        <v>281</v>
      </c>
      <c r="BX19">
        <v>1597506194.4000001</v>
      </c>
      <c r="BY19">
        <v>286.599516129032</v>
      </c>
      <c r="BZ19">
        <v>299.99564516128999</v>
      </c>
      <c r="CA19">
        <v>21.1138032258064</v>
      </c>
      <c r="CB19">
        <v>16.338190322580601</v>
      </c>
      <c r="CC19">
        <v>500.07235483871</v>
      </c>
      <c r="CD19">
        <v>99.036654838709694</v>
      </c>
      <c r="CE19">
        <v>0.20000877419354801</v>
      </c>
      <c r="CF19">
        <v>27.9691193548387</v>
      </c>
      <c r="CG19">
        <v>26.857654838709699</v>
      </c>
      <c r="CH19">
        <v>999.9</v>
      </c>
      <c r="CI19">
        <v>10019.629032258101</v>
      </c>
      <c r="CJ19">
        <v>0</v>
      </c>
      <c r="CK19">
        <v>159.47409677419401</v>
      </c>
      <c r="CL19">
        <v>1999.99451612903</v>
      </c>
      <c r="CM19">
        <v>0.97999954838709602</v>
      </c>
      <c r="CN19">
        <v>2.00004580645161E-2</v>
      </c>
      <c r="CO19">
        <v>0</v>
      </c>
      <c r="CP19">
        <v>292.03958064516098</v>
      </c>
      <c r="CQ19">
        <v>5.00054</v>
      </c>
      <c r="CR19">
        <v>7729.8658064516103</v>
      </c>
      <c r="CS19">
        <v>18703.587096774201</v>
      </c>
      <c r="CT19">
        <v>46.918999999999997</v>
      </c>
      <c r="CU19">
        <v>48.727645161290297</v>
      </c>
      <c r="CV19">
        <v>47.308129032258002</v>
      </c>
      <c r="CW19">
        <v>47.824322580645202</v>
      </c>
      <c r="CX19">
        <v>48.626838709677401</v>
      </c>
      <c r="CY19">
        <v>1955.09387096774</v>
      </c>
      <c r="CZ19">
        <v>39.900645161290299</v>
      </c>
      <c r="DA19">
        <v>0</v>
      </c>
      <c r="DB19">
        <v>122.59999990463299</v>
      </c>
      <c r="DC19">
        <v>291.93707692307697</v>
      </c>
      <c r="DD19">
        <v>-5.9616410332995802</v>
      </c>
      <c r="DE19">
        <v>-84.545983014933199</v>
      </c>
      <c r="DF19">
        <v>7728.8573076923103</v>
      </c>
      <c r="DG19">
        <v>15</v>
      </c>
      <c r="DH19">
        <v>1597506234.4000001</v>
      </c>
      <c r="DI19" t="s">
        <v>298</v>
      </c>
      <c r="DJ19">
        <v>18</v>
      </c>
      <c r="DK19">
        <v>-0.41499999999999998</v>
      </c>
      <c r="DL19">
        <v>0.10100000000000001</v>
      </c>
      <c r="DM19">
        <v>300</v>
      </c>
      <c r="DN19">
        <v>16</v>
      </c>
      <c r="DO19">
        <v>0.19</v>
      </c>
      <c r="DP19">
        <v>0.02</v>
      </c>
      <c r="DQ19">
        <v>286.67914814814799</v>
      </c>
      <c r="DR19">
        <v>-4.5392795883465703E-2</v>
      </c>
      <c r="DS19">
        <v>1.8905620766605701E-2</v>
      </c>
      <c r="DT19">
        <v>1</v>
      </c>
      <c r="DU19">
        <v>21.146277777777801</v>
      </c>
      <c r="DV19">
        <v>-0.16428130360208501</v>
      </c>
      <c r="DW19">
        <v>2.1896014068747E-2</v>
      </c>
      <c r="DX19">
        <v>1</v>
      </c>
      <c r="DY19">
        <v>2</v>
      </c>
      <c r="DZ19">
        <v>2</v>
      </c>
      <c r="EA19" t="s">
        <v>293</v>
      </c>
      <c r="EB19">
        <v>1.86676</v>
      </c>
      <c r="EC19">
        <v>1.86328</v>
      </c>
      <c r="ED19">
        <v>1.8689199999999999</v>
      </c>
      <c r="EE19">
        <v>1.8668800000000001</v>
      </c>
      <c r="EF19">
        <v>1.8715299999999999</v>
      </c>
      <c r="EG19">
        <v>1.86402</v>
      </c>
      <c r="EH19">
        <v>1.86568</v>
      </c>
      <c r="EI19">
        <v>1.86554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-0.41499999999999998</v>
      </c>
      <c r="EX19">
        <v>0.10100000000000001</v>
      </c>
      <c r="EY19">
        <v>2</v>
      </c>
      <c r="EZ19">
        <v>330.66199999999998</v>
      </c>
      <c r="FA19">
        <v>495.76299999999998</v>
      </c>
      <c r="FB19">
        <v>23.634499999999999</v>
      </c>
      <c r="FC19">
        <v>34.080500000000001</v>
      </c>
      <c r="FD19">
        <v>29.999600000000001</v>
      </c>
      <c r="FE19">
        <v>33.9741</v>
      </c>
      <c r="FF19">
        <v>33.959600000000002</v>
      </c>
      <c r="FG19">
        <v>17.579999999999998</v>
      </c>
      <c r="FH19">
        <v>46.105400000000003</v>
      </c>
      <c r="FI19">
        <v>0</v>
      </c>
      <c r="FJ19">
        <v>23.742599999999999</v>
      </c>
      <c r="FK19">
        <v>300</v>
      </c>
      <c r="FL19">
        <v>16.270199999999999</v>
      </c>
      <c r="FM19">
        <v>100.657</v>
      </c>
      <c r="FN19">
        <v>101.14</v>
      </c>
    </row>
    <row r="20" spans="1:170" x14ac:dyDescent="0.25">
      <c r="A20">
        <v>4</v>
      </c>
      <c r="B20">
        <v>1597506325.9000001</v>
      </c>
      <c r="C20">
        <v>568.5</v>
      </c>
      <c r="D20" t="s">
        <v>299</v>
      </c>
      <c r="E20" t="s">
        <v>300</v>
      </c>
      <c r="G20">
        <v>1597506317.92258</v>
      </c>
      <c r="H20">
        <f t="shared" si="0"/>
        <v>1.1563454668663676E-2</v>
      </c>
      <c r="I20">
        <f t="shared" si="1"/>
        <v>19.065700256921499</v>
      </c>
      <c r="J20">
        <f t="shared" si="2"/>
        <v>191.48048387096799</v>
      </c>
      <c r="K20">
        <f t="shared" si="3"/>
        <v>147.43243929557269</v>
      </c>
      <c r="L20">
        <f t="shared" si="4"/>
        <v>14.630429735129535</v>
      </c>
      <c r="M20">
        <f t="shared" si="5"/>
        <v>19.001528960030758</v>
      </c>
      <c r="N20">
        <f t="shared" si="6"/>
        <v>0.85499861144819778</v>
      </c>
      <c r="O20">
        <f t="shared" si="7"/>
        <v>3.3729894642179374</v>
      </c>
      <c r="P20">
        <f t="shared" si="8"/>
        <v>0.7503946997954174</v>
      </c>
      <c r="Q20">
        <f t="shared" si="9"/>
        <v>0.47732430738812476</v>
      </c>
      <c r="R20">
        <f t="shared" si="10"/>
        <v>321.44212660006622</v>
      </c>
      <c r="S20">
        <f t="shared" si="11"/>
        <v>27.212924150995701</v>
      </c>
      <c r="T20">
        <f t="shared" si="12"/>
        <v>27.0844548387097</v>
      </c>
      <c r="U20">
        <f t="shared" si="13"/>
        <v>3.5969516724130584</v>
      </c>
      <c r="V20">
        <f t="shared" si="14"/>
        <v>55.04640971324514</v>
      </c>
      <c r="W20">
        <f t="shared" si="15"/>
        <v>2.1117451939363523</v>
      </c>
      <c r="X20">
        <f t="shared" si="16"/>
        <v>3.8362995968985589</v>
      </c>
      <c r="Y20">
        <f t="shared" si="17"/>
        <v>1.4852064784767061</v>
      </c>
      <c r="Z20">
        <f t="shared" si="18"/>
        <v>-509.94835088806809</v>
      </c>
      <c r="AA20">
        <f t="shared" si="19"/>
        <v>200.40507651610477</v>
      </c>
      <c r="AB20">
        <f t="shared" si="20"/>
        <v>12.904082717549839</v>
      </c>
      <c r="AC20">
        <f t="shared" si="21"/>
        <v>24.802934945652737</v>
      </c>
      <c r="AD20">
        <v>-4.1029784631777498E-2</v>
      </c>
      <c r="AE20">
        <v>4.6059527655718802E-2</v>
      </c>
      <c r="AF20">
        <v>3.4449895474336101</v>
      </c>
      <c r="AG20">
        <v>153</v>
      </c>
      <c r="AH20">
        <v>31</v>
      </c>
      <c r="AI20">
        <f t="shared" si="22"/>
        <v>1</v>
      </c>
      <c r="AJ20">
        <f t="shared" si="23"/>
        <v>0</v>
      </c>
      <c r="AK20">
        <f t="shared" si="24"/>
        <v>52115.294662591172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301</v>
      </c>
      <c r="AS20">
        <v>272.90550000000002</v>
      </c>
      <c r="AT20">
        <v>377.08</v>
      </c>
      <c r="AU20">
        <f t="shared" si="27"/>
        <v>0.27626630953643783</v>
      </c>
      <c r="AV20">
        <v>0.5</v>
      </c>
      <c r="AW20">
        <f t="shared" si="28"/>
        <v>1681.2086996767978</v>
      </c>
      <c r="AX20">
        <f t="shared" si="29"/>
        <v>19.065700256921499</v>
      </c>
      <c r="AY20">
        <f t="shared" si="30"/>
        <v>232.23066151013117</v>
      </c>
      <c r="AZ20">
        <f t="shared" si="31"/>
        <v>0.49782539514161445</v>
      </c>
      <c r="BA20">
        <f t="shared" si="32"/>
        <v>1.1935282193566455E-2</v>
      </c>
      <c r="BB20">
        <f t="shared" si="33"/>
        <v>-1</v>
      </c>
      <c r="BC20" t="s">
        <v>302</v>
      </c>
      <c r="BD20">
        <v>189.36</v>
      </c>
      <c r="BE20">
        <f t="shared" si="34"/>
        <v>187.71999999999997</v>
      </c>
      <c r="BF20">
        <f t="shared" si="35"/>
        <v>0.55494619646281684</v>
      </c>
      <c r="BG20">
        <f t="shared" si="36"/>
        <v>1.9913392479932401</v>
      </c>
      <c r="BH20">
        <f t="shared" si="37"/>
        <v>0.27626630953643783</v>
      </c>
      <c r="BI20" t="e">
        <f t="shared" si="38"/>
        <v>#DIV/0!</v>
      </c>
      <c r="BJ20">
        <v>6120</v>
      </c>
      <c r="BK20">
        <v>300</v>
      </c>
      <c r="BL20">
        <v>300</v>
      </c>
      <c r="BM20">
        <v>300</v>
      </c>
      <c r="BN20">
        <v>9871.48</v>
      </c>
      <c r="BO20">
        <v>350.88799999999998</v>
      </c>
      <c r="BP20">
        <v>-6.5665100000000002E-3</v>
      </c>
      <c r="BQ20">
        <v>1.6674199999999999</v>
      </c>
      <c r="BR20">
        <f t="shared" si="39"/>
        <v>2000.0138709677401</v>
      </c>
      <c r="BS20">
        <f t="shared" si="40"/>
        <v>1681.2086996767978</v>
      </c>
      <c r="BT20">
        <f t="shared" si="41"/>
        <v>0.84059851988092305</v>
      </c>
      <c r="BU20">
        <f t="shared" si="42"/>
        <v>0.19119703976184607</v>
      </c>
      <c r="BV20">
        <v>0.5</v>
      </c>
      <c r="BW20" t="s">
        <v>281</v>
      </c>
      <c r="BX20">
        <v>1597506317.92258</v>
      </c>
      <c r="BY20">
        <v>191.48048387096799</v>
      </c>
      <c r="BZ20">
        <v>199.99122580645201</v>
      </c>
      <c r="CA20">
        <v>21.280287096774199</v>
      </c>
      <c r="CB20">
        <v>16.753977419354801</v>
      </c>
      <c r="CC20">
        <v>500.07100000000003</v>
      </c>
      <c r="CD20">
        <v>99.034800000000004</v>
      </c>
      <c r="CE20">
        <v>0.200007516129032</v>
      </c>
      <c r="CF20">
        <v>28.1865225806452</v>
      </c>
      <c r="CG20">
        <v>27.0844548387097</v>
      </c>
      <c r="CH20">
        <v>999.9</v>
      </c>
      <c r="CI20">
        <v>9990.9648387096695</v>
      </c>
      <c r="CJ20">
        <v>0</v>
      </c>
      <c r="CK20">
        <v>152.12467741935501</v>
      </c>
      <c r="CL20">
        <v>2000.0138709677401</v>
      </c>
      <c r="CM20">
        <v>0.97999906451612895</v>
      </c>
      <c r="CN20">
        <v>2.0000877419354801E-2</v>
      </c>
      <c r="CO20">
        <v>0</v>
      </c>
      <c r="CP20">
        <v>272.92961290322597</v>
      </c>
      <c r="CQ20">
        <v>5.00054</v>
      </c>
      <c r="CR20">
        <v>7253.5932258064504</v>
      </c>
      <c r="CS20">
        <v>18703.754838709701</v>
      </c>
      <c r="CT20">
        <v>46.850677419354803</v>
      </c>
      <c r="CU20">
        <v>48.707322580645098</v>
      </c>
      <c r="CV20">
        <v>47.262</v>
      </c>
      <c r="CW20">
        <v>47.792064516129003</v>
      </c>
      <c r="CX20">
        <v>48.578258064516099</v>
      </c>
      <c r="CY20">
        <v>1955.1122580645199</v>
      </c>
      <c r="CZ20">
        <v>39.901612903225796</v>
      </c>
      <c r="DA20">
        <v>0</v>
      </c>
      <c r="DB20">
        <v>122.59999990463299</v>
      </c>
      <c r="DC20">
        <v>272.90550000000002</v>
      </c>
      <c r="DD20">
        <v>-5.0749059924437496</v>
      </c>
      <c r="DE20">
        <v>-224.477606941609</v>
      </c>
      <c r="DF20">
        <v>7252.7496153846196</v>
      </c>
      <c r="DG20">
        <v>15</v>
      </c>
      <c r="DH20">
        <v>1597506353.4000001</v>
      </c>
      <c r="DI20" t="s">
        <v>303</v>
      </c>
      <c r="DJ20">
        <v>19</v>
      </c>
      <c r="DK20">
        <v>-0.39500000000000002</v>
      </c>
      <c r="DL20">
        <v>0.113</v>
      </c>
      <c r="DM20">
        <v>200</v>
      </c>
      <c r="DN20">
        <v>17</v>
      </c>
      <c r="DO20">
        <v>0.21</v>
      </c>
      <c r="DP20">
        <v>0.02</v>
      </c>
      <c r="DQ20">
        <v>191.46540740740701</v>
      </c>
      <c r="DR20">
        <v>-4.0521060346985702E-2</v>
      </c>
      <c r="DS20">
        <v>1.5010513005419199E-2</v>
      </c>
      <c r="DT20">
        <v>1</v>
      </c>
      <c r="DU20">
        <v>21.267451851851899</v>
      </c>
      <c r="DV20">
        <v>8.1011646143104698E-3</v>
      </c>
      <c r="DW20">
        <v>2.6387244913053899E-3</v>
      </c>
      <c r="DX20">
        <v>1</v>
      </c>
      <c r="DY20">
        <v>2</v>
      </c>
      <c r="DZ20">
        <v>2</v>
      </c>
      <c r="EA20" t="s">
        <v>293</v>
      </c>
      <c r="EB20">
        <v>1.86676</v>
      </c>
      <c r="EC20">
        <v>1.8632500000000001</v>
      </c>
      <c r="ED20">
        <v>1.8689</v>
      </c>
      <c r="EE20">
        <v>1.8668100000000001</v>
      </c>
      <c r="EF20">
        <v>1.8714999999999999</v>
      </c>
      <c r="EG20">
        <v>1.8640099999999999</v>
      </c>
      <c r="EH20">
        <v>1.86561</v>
      </c>
      <c r="EI20">
        <v>1.86554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-0.39500000000000002</v>
      </c>
      <c r="EX20">
        <v>0.113</v>
      </c>
      <c r="EY20">
        <v>2</v>
      </c>
      <c r="EZ20">
        <v>331.31299999999999</v>
      </c>
      <c r="FA20">
        <v>495.69499999999999</v>
      </c>
      <c r="FB20">
        <v>23.0382</v>
      </c>
      <c r="FC20">
        <v>34.052900000000001</v>
      </c>
      <c r="FD20">
        <v>30.0002</v>
      </c>
      <c r="FE20">
        <v>34.011400000000002</v>
      </c>
      <c r="FF20">
        <v>34.005899999999997</v>
      </c>
      <c r="FG20">
        <v>12.952400000000001</v>
      </c>
      <c r="FH20">
        <v>43.630200000000002</v>
      </c>
      <c r="FI20">
        <v>0</v>
      </c>
      <c r="FJ20">
        <v>22.9755</v>
      </c>
      <c r="FK20">
        <v>200</v>
      </c>
      <c r="FL20">
        <v>16.800699999999999</v>
      </c>
      <c r="FM20">
        <v>100.652</v>
      </c>
      <c r="FN20">
        <v>101.142</v>
      </c>
    </row>
    <row r="21" spans="1:170" x14ac:dyDescent="0.25">
      <c r="A21">
        <v>5</v>
      </c>
      <c r="B21">
        <v>1597506445</v>
      </c>
      <c r="C21">
        <v>687.59999990463302</v>
      </c>
      <c r="D21" t="s">
        <v>304</v>
      </c>
      <c r="E21" t="s">
        <v>305</v>
      </c>
      <c r="G21">
        <v>1597506436.9516101</v>
      </c>
      <c r="H21">
        <f t="shared" si="0"/>
        <v>1.1321521185152689E-2</v>
      </c>
      <c r="I21">
        <f t="shared" si="1"/>
        <v>6.8894543878365866</v>
      </c>
      <c r="J21">
        <f t="shared" si="2"/>
        <v>96.803580645161304</v>
      </c>
      <c r="K21">
        <f t="shared" si="3"/>
        <v>79.851499195942878</v>
      </c>
      <c r="L21">
        <f t="shared" si="4"/>
        <v>7.9241625823579245</v>
      </c>
      <c r="M21">
        <f t="shared" si="5"/>
        <v>9.6064234148484147</v>
      </c>
      <c r="N21">
        <f t="shared" si="6"/>
        <v>0.83117385541434108</v>
      </c>
      <c r="O21">
        <f t="shared" si="7"/>
        <v>3.3730161982243376</v>
      </c>
      <c r="P21">
        <f t="shared" si="8"/>
        <v>0.73195843162540664</v>
      </c>
      <c r="Q21">
        <f t="shared" si="9"/>
        <v>0.46539751038320321</v>
      </c>
      <c r="R21">
        <f t="shared" si="10"/>
        <v>321.44413446202418</v>
      </c>
      <c r="S21">
        <f t="shared" si="11"/>
        <v>26.960859291136554</v>
      </c>
      <c r="T21">
        <f t="shared" si="12"/>
        <v>26.966783870967699</v>
      </c>
      <c r="U21">
        <f t="shared" si="13"/>
        <v>3.5721831762569307</v>
      </c>
      <c r="V21">
        <f t="shared" si="14"/>
        <v>55.223632520734469</v>
      </c>
      <c r="W21">
        <f t="shared" si="15"/>
        <v>2.0809727602080028</v>
      </c>
      <c r="X21">
        <f t="shared" si="16"/>
        <v>3.7682648989572956</v>
      </c>
      <c r="Y21">
        <f t="shared" si="17"/>
        <v>1.4912104160489279</v>
      </c>
      <c r="Z21">
        <f t="shared" si="18"/>
        <v>-499.27908426523362</v>
      </c>
      <c r="AA21">
        <f t="shared" si="19"/>
        <v>165.97499537776267</v>
      </c>
      <c r="AB21">
        <f t="shared" si="20"/>
        <v>10.664404606885368</v>
      </c>
      <c r="AC21">
        <f t="shared" si="21"/>
        <v>-1.1955498185614317</v>
      </c>
      <c r="AD21">
        <v>-4.1030197575852398E-2</v>
      </c>
      <c r="AE21">
        <v>4.6059991221618697E-2</v>
      </c>
      <c r="AF21">
        <v>3.4450170060845098</v>
      </c>
      <c r="AG21">
        <v>153</v>
      </c>
      <c r="AH21">
        <v>31</v>
      </c>
      <c r="AI21">
        <f t="shared" si="22"/>
        <v>1</v>
      </c>
      <c r="AJ21">
        <f t="shared" si="23"/>
        <v>0</v>
      </c>
      <c r="AK21">
        <f t="shared" si="24"/>
        <v>52169.005668157239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306</v>
      </c>
      <c r="AS21">
        <v>267.726038461538</v>
      </c>
      <c r="AT21">
        <v>348.38099999999997</v>
      </c>
      <c r="AU21">
        <f t="shared" si="27"/>
        <v>0.23151366331247103</v>
      </c>
      <c r="AV21">
        <v>0.5</v>
      </c>
      <c r="AW21">
        <f t="shared" si="28"/>
        <v>1681.219267418734</v>
      </c>
      <c r="AX21">
        <f t="shared" si="29"/>
        <v>6.8894543878365866</v>
      </c>
      <c r="AY21">
        <f t="shared" si="30"/>
        <v>194.61261571580999</v>
      </c>
      <c r="AZ21">
        <f t="shared" si="31"/>
        <v>0.43332156460886212</v>
      </c>
      <c r="BA21">
        <f t="shared" si="32"/>
        <v>4.6926980559470321E-3</v>
      </c>
      <c r="BB21">
        <f t="shared" si="33"/>
        <v>-1</v>
      </c>
      <c r="BC21" t="s">
        <v>307</v>
      </c>
      <c r="BD21">
        <v>197.42</v>
      </c>
      <c r="BE21">
        <f t="shared" si="34"/>
        <v>150.96099999999998</v>
      </c>
      <c r="BF21">
        <f t="shared" si="35"/>
        <v>0.53427681015932582</v>
      </c>
      <c r="BG21">
        <f t="shared" si="36"/>
        <v>1.7646692331070812</v>
      </c>
      <c r="BH21">
        <f t="shared" si="37"/>
        <v>0.23151366331247106</v>
      </c>
      <c r="BI21" t="e">
        <f t="shared" si="38"/>
        <v>#DIV/0!</v>
      </c>
      <c r="BJ21">
        <v>6122</v>
      </c>
      <c r="BK21">
        <v>300</v>
      </c>
      <c r="BL21">
        <v>300</v>
      </c>
      <c r="BM21">
        <v>300</v>
      </c>
      <c r="BN21">
        <v>9871.75</v>
      </c>
      <c r="BO21">
        <v>326.64800000000002</v>
      </c>
      <c r="BP21">
        <v>-6.5667599999999996E-3</v>
      </c>
      <c r="BQ21">
        <v>1.3727400000000001</v>
      </c>
      <c r="BR21">
        <f t="shared" si="39"/>
        <v>2000.0264516129</v>
      </c>
      <c r="BS21">
        <f t="shared" si="40"/>
        <v>1681.219267418734</v>
      </c>
      <c r="BT21">
        <f t="shared" si="41"/>
        <v>0.84059851611609071</v>
      </c>
      <c r="BU21">
        <f t="shared" si="42"/>
        <v>0.19119703223218146</v>
      </c>
      <c r="BV21">
        <v>0.5</v>
      </c>
      <c r="BW21" t="s">
        <v>281</v>
      </c>
      <c r="BX21">
        <v>1597506436.9516101</v>
      </c>
      <c r="BY21">
        <v>96.803580645161304</v>
      </c>
      <c r="BZ21">
        <v>99.997225806451596</v>
      </c>
      <c r="CA21">
        <v>20.969887096774201</v>
      </c>
      <c r="CB21">
        <v>16.536967741935499</v>
      </c>
      <c r="CC21">
        <v>500.08174193548399</v>
      </c>
      <c r="CD21">
        <v>99.036158064516101</v>
      </c>
      <c r="CE21">
        <v>0.200082483870968</v>
      </c>
      <c r="CF21">
        <v>27.879506451612901</v>
      </c>
      <c r="CG21">
        <v>26.966783870967699</v>
      </c>
      <c r="CH21">
        <v>999.9</v>
      </c>
      <c r="CI21">
        <v>9990.9283870967793</v>
      </c>
      <c r="CJ21">
        <v>0</v>
      </c>
      <c r="CK21">
        <v>137.923967741935</v>
      </c>
      <c r="CL21">
        <v>2000.0264516129</v>
      </c>
      <c r="CM21">
        <v>0.97999887096774196</v>
      </c>
      <c r="CN21">
        <v>2.0001045161290299E-2</v>
      </c>
      <c r="CO21">
        <v>0</v>
      </c>
      <c r="CP21">
        <v>267.76887096774198</v>
      </c>
      <c r="CQ21">
        <v>5.00054</v>
      </c>
      <c r="CR21">
        <v>6979.8754838709701</v>
      </c>
      <c r="CS21">
        <v>18703.874193548399</v>
      </c>
      <c r="CT21">
        <v>46.763935483871002</v>
      </c>
      <c r="CU21">
        <v>48.590451612903202</v>
      </c>
      <c r="CV21">
        <v>47.168999999999997</v>
      </c>
      <c r="CW21">
        <v>47.659064516129</v>
      </c>
      <c r="CX21">
        <v>48.455290322580602</v>
      </c>
      <c r="CY21">
        <v>1955.12483870968</v>
      </c>
      <c r="CZ21">
        <v>39.901612903225796</v>
      </c>
      <c r="DA21">
        <v>0</v>
      </c>
      <c r="DB21">
        <v>118.59999990463299</v>
      </c>
      <c r="DC21">
        <v>267.726038461538</v>
      </c>
      <c r="DD21">
        <v>-2.0770256372069298</v>
      </c>
      <c r="DE21">
        <v>-92.940854785642799</v>
      </c>
      <c r="DF21">
        <v>6978.8215384615396</v>
      </c>
      <c r="DG21">
        <v>15</v>
      </c>
      <c r="DH21">
        <v>1597506472.9000001</v>
      </c>
      <c r="DI21" t="s">
        <v>308</v>
      </c>
      <c r="DJ21">
        <v>20</v>
      </c>
      <c r="DK21">
        <v>-0.32100000000000001</v>
      </c>
      <c r="DL21">
        <v>0.108</v>
      </c>
      <c r="DM21">
        <v>100</v>
      </c>
      <c r="DN21">
        <v>17</v>
      </c>
      <c r="DO21">
        <v>0.25</v>
      </c>
      <c r="DP21">
        <v>0.02</v>
      </c>
      <c r="DQ21">
        <v>96.72775</v>
      </c>
      <c r="DR21">
        <v>2.8628399437416199E-2</v>
      </c>
      <c r="DS21">
        <v>8.6329204105451106E-3</v>
      </c>
      <c r="DT21">
        <v>1</v>
      </c>
      <c r="DU21">
        <v>20.9848462962963</v>
      </c>
      <c r="DV21">
        <v>-0.106653599826481</v>
      </c>
      <c r="DW21">
        <v>1.41420402027923E-2</v>
      </c>
      <c r="DX21">
        <v>1</v>
      </c>
      <c r="DY21">
        <v>2</v>
      </c>
      <c r="DZ21">
        <v>2</v>
      </c>
      <c r="EA21" t="s">
        <v>293</v>
      </c>
      <c r="EB21">
        <v>1.86676</v>
      </c>
      <c r="EC21">
        <v>1.8632500000000001</v>
      </c>
      <c r="ED21">
        <v>1.8689</v>
      </c>
      <c r="EE21">
        <v>1.8669100000000001</v>
      </c>
      <c r="EF21">
        <v>1.8715200000000001</v>
      </c>
      <c r="EG21">
        <v>1.8640099999999999</v>
      </c>
      <c r="EH21">
        <v>1.8656699999999999</v>
      </c>
      <c r="EI21">
        <v>1.86554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-0.32100000000000001</v>
      </c>
      <c r="EX21">
        <v>0.108</v>
      </c>
      <c r="EY21">
        <v>2</v>
      </c>
      <c r="EZ21">
        <v>331.55799999999999</v>
      </c>
      <c r="FA21">
        <v>494.76</v>
      </c>
      <c r="FB21">
        <v>23.353200000000001</v>
      </c>
      <c r="FC21">
        <v>34.003700000000002</v>
      </c>
      <c r="FD21">
        <v>29.999600000000001</v>
      </c>
      <c r="FE21">
        <v>34.002499999999998</v>
      </c>
      <c r="FF21">
        <v>34.002899999999997</v>
      </c>
      <c r="FG21">
        <v>8.1352200000000003</v>
      </c>
      <c r="FH21">
        <v>45.136899999999997</v>
      </c>
      <c r="FI21">
        <v>0</v>
      </c>
      <c r="FJ21">
        <v>23.376999999999999</v>
      </c>
      <c r="FK21">
        <v>100</v>
      </c>
      <c r="FL21">
        <v>16.499400000000001</v>
      </c>
      <c r="FM21">
        <v>100.65900000000001</v>
      </c>
      <c r="FN21">
        <v>101.158</v>
      </c>
    </row>
    <row r="22" spans="1:170" x14ac:dyDescent="0.25">
      <c r="A22">
        <v>6</v>
      </c>
      <c r="B22">
        <v>1597506564.5</v>
      </c>
      <c r="C22">
        <v>807.09999990463302</v>
      </c>
      <c r="D22" t="s">
        <v>309</v>
      </c>
      <c r="E22" t="s">
        <v>310</v>
      </c>
      <c r="G22">
        <v>1597506556.4419401</v>
      </c>
      <c r="H22">
        <f t="shared" si="0"/>
        <v>1.0998505425783907E-2</v>
      </c>
      <c r="I22">
        <f t="shared" si="1"/>
        <v>0.82160194196545022</v>
      </c>
      <c r="J22">
        <f t="shared" si="2"/>
        <v>49.453729032258103</v>
      </c>
      <c r="K22">
        <f t="shared" si="3"/>
        <v>46.41565655819943</v>
      </c>
      <c r="L22">
        <f t="shared" si="4"/>
        <v>4.6062533265344321</v>
      </c>
      <c r="M22">
        <f t="shared" si="5"/>
        <v>4.9077492543651315</v>
      </c>
      <c r="N22">
        <f t="shared" si="6"/>
        <v>0.78862898235468104</v>
      </c>
      <c r="O22">
        <f t="shared" si="7"/>
        <v>3.3765809962318105</v>
      </c>
      <c r="P22">
        <f t="shared" si="8"/>
        <v>0.69880807094912456</v>
      </c>
      <c r="Q22">
        <f t="shared" si="9"/>
        <v>0.44396963280969148</v>
      </c>
      <c r="R22">
        <f t="shared" si="10"/>
        <v>321.44328135238521</v>
      </c>
      <c r="S22">
        <f t="shared" si="11"/>
        <v>27.000751527131047</v>
      </c>
      <c r="T22">
        <f t="shared" si="12"/>
        <v>27.015090322580601</v>
      </c>
      <c r="U22">
        <f t="shared" si="13"/>
        <v>3.5823331007421526</v>
      </c>
      <c r="V22">
        <f t="shared" si="14"/>
        <v>54.906302684641339</v>
      </c>
      <c r="W22">
        <f t="shared" si="15"/>
        <v>2.0648524221057505</v>
      </c>
      <c r="X22">
        <f t="shared" si="16"/>
        <v>3.7606837851847219</v>
      </c>
      <c r="Y22">
        <f t="shared" si="17"/>
        <v>1.5174806786364021</v>
      </c>
      <c r="Z22">
        <f t="shared" si="18"/>
        <v>-485.03408927707028</v>
      </c>
      <c r="AA22">
        <f t="shared" si="19"/>
        <v>151.07470539190106</v>
      </c>
      <c r="AB22">
        <f t="shared" si="20"/>
        <v>9.6974311005987808</v>
      </c>
      <c r="AC22">
        <f t="shared" si="21"/>
        <v>-2.818671432185198</v>
      </c>
      <c r="AD22">
        <v>-4.1085273948380997E-2</v>
      </c>
      <c r="AE22">
        <v>4.6121819274737297E-2</v>
      </c>
      <c r="AF22">
        <v>3.4486784534758601</v>
      </c>
      <c r="AG22">
        <v>153</v>
      </c>
      <c r="AH22">
        <v>31</v>
      </c>
      <c r="AI22">
        <f t="shared" si="22"/>
        <v>1</v>
      </c>
      <c r="AJ22">
        <f t="shared" si="23"/>
        <v>0</v>
      </c>
      <c r="AK22">
        <f t="shared" si="24"/>
        <v>52242.232743788561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311</v>
      </c>
      <c r="AS22">
        <v>266.074538461538</v>
      </c>
      <c r="AT22">
        <v>330.28199999999998</v>
      </c>
      <c r="AU22">
        <f t="shared" si="27"/>
        <v>0.19440193997390709</v>
      </c>
      <c r="AV22">
        <v>0.5</v>
      </c>
      <c r="AW22">
        <f t="shared" si="28"/>
        <v>1681.2149162483158</v>
      </c>
      <c r="AX22">
        <f t="shared" si="29"/>
        <v>0.82160194196545022</v>
      </c>
      <c r="AY22">
        <f t="shared" si="30"/>
        <v>163.41572061587115</v>
      </c>
      <c r="AZ22">
        <f t="shared" si="31"/>
        <v>0.3968790306465384</v>
      </c>
      <c r="BA22">
        <f t="shared" si="32"/>
        <v>1.0835033191535159E-3</v>
      </c>
      <c r="BB22">
        <f t="shared" si="33"/>
        <v>-1</v>
      </c>
      <c r="BC22" t="s">
        <v>312</v>
      </c>
      <c r="BD22">
        <v>199.2</v>
      </c>
      <c r="BE22">
        <f t="shared" si="34"/>
        <v>131.08199999999999</v>
      </c>
      <c r="BF22">
        <f t="shared" si="35"/>
        <v>0.48982668511665972</v>
      </c>
      <c r="BG22">
        <f t="shared" si="36"/>
        <v>1.6580421686746989</v>
      </c>
      <c r="BH22">
        <f t="shared" si="37"/>
        <v>0.19440193997390712</v>
      </c>
      <c r="BI22" t="e">
        <f t="shared" si="38"/>
        <v>#DIV/0!</v>
      </c>
      <c r="BJ22">
        <v>6124</v>
      </c>
      <c r="BK22">
        <v>300</v>
      </c>
      <c r="BL22">
        <v>300</v>
      </c>
      <c r="BM22">
        <v>300</v>
      </c>
      <c r="BN22">
        <v>9872.23</v>
      </c>
      <c r="BO22">
        <v>314.95600000000002</v>
      </c>
      <c r="BP22">
        <v>-6.5669200000000004E-3</v>
      </c>
      <c r="BQ22">
        <v>1.7532700000000001</v>
      </c>
      <c r="BR22">
        <f t="shared" si="39"/>
        <v>2000.0212903225799</v>
      </c>
      <c r="BS22">
        <f t="shared" si="40"/>
        <v>1681.2149162483158</v>
      </c>
      <c r="BT22">
        <f t="shared" si="41"/>
        <v>0.84059850981744078</v>
      </c>
      <c r="BU22">
        <f t="shared" si="42"/>
        <v>0.19119701963488167</v>
      </c>
      <c r="BV22">
        <v>0.5</v>
      </c>
      <c r="BW22" t="s">
        <v>281</v>
      </c>
      <c r="BX22">
        <v>1597506556.4419401</v>
      </c>
      <c r="BY22">
        <v>49.453729032258103</v>
      </c>
      <c r="BZ22">
        <v>49.999854838709702</v>
      </c>
      <c r="CA22">
        <v>20.806819354838701</v>
      </c>
      <c r="CB22">
        <v>16.499600000000001</v>
      </c>
      <c r="CC22">
        <v>500.074903225806</v>
      </c>
      <c r="CD22">
        <v>99.039248387096805</v>
      </c>
      <c r="CE22">
        <v>0.199966741935484</v>
      </c>
      <c r="CF22">
        <v>27.8449967741935</v>
      </c>
      <c r="CG22">
        <v>27.015090322580601</v>
      </c>
      <c r="CH22">
        <v>999.9</v>
      </c>
      <c r="CI22">
        <v>10004.027419354799</v>
      </c>
      <c r="CJ22">
        <v>0</v>
      </c>
      <c r="CK22">
        <v>137.07667741935501</v>
      </c>
      <c r="CL22">
        <v>2000.0212903225799</v>
      </c>
      <c r="CM22">
        <v>0.97999767741935495</v>
      </c>
      <c r="CN22">
        <v>2.0002219354838702E-2</v>
      </c>
      <c r="CO22">
        <v>0</v>
      </c>
      <c r="CP22">
        <v>266.10819354838702</v>
      </c>
      <c r="CQ22">
        <v>5.00054</v>
      </c>
      <c r="CR22">
        <v>6924.4980645161304</v>
      </c>
      <c r="CS22">
        <v>18703.819354838699</v>
      </c>
      <c r="CT22">
        <v>46.649000000000001</v>
      </c>
      <c r="CU22">
        <v>48.487612903225802</v>
      </c>
      <c r="CV22">
        <v>47.070193548387103</v>
      </c>
      <c r="CW22">
        <v>47.546064516129</v>
      </c>
      <c r="CX22">
        <v>48.350612903225802</v>
      </c>
      <c r="CY22">
        <v>1955.1141935483899</v>
      </c>
      <c r="CZ22">
        <v>39.900967741935503</v>
      </c>
      <c r="DA22">
        <v>0</v>
      </c>
      <c r="DB22">
        <v>119</v>
      </c>
      <c r="DC22">
        <v>266.074538461538</v>
      </c>
      <c r="DD22">
        <v>-1.3793504461816799</v>
      </c>
      <c r="DE22">
        <v>40.5176069398576</v>
      </c>
      <c r="DF22">
        <v>6924.9630769230798</v>
      </c>
      <c r="DG22">
        <v>15</v>
      </c>
      <c r="DH22">
        <v>1597506597</v>
      </c>
      <c r="DI22" t="s">
        <v>313</v>
      </c>
      <c r="DJ22">
        <v>21</v>
      </c>
      <c r="DK22">
        <v>-0.34899999999999998</v>
      </c>
      <c r="DL22">
        <v>0.111</v>
      </c>
      <c r="DM22">
        <v>50</v>
      </c>
      <c r="DN22">
        <v>17</v>
      </c>
      <c r="DO22">
        <v>0.33</v>
      </c>
      <c r="DP22">
        <v>0.02</v>
      </c>
      <c r="DQ22">
        <v>49.487803703703698</v>
      </c>
      <c r="DR22">
        <v>-6.3748580218102702E-2</v>
      </c>
      <c r="DS22">
        <v>1.02656017298148E-2</v>
      </c>
      <c r="DT22">
        <v>1</v>
      </c>
      <c r="DU22">
        <v>20.8171888888889</v>
      </c>
      <c r="DV22">
        <v>-0.13501836963029701</v>
      </c>
      <c r="DW22">
        <v>1.8672961901445701E-2</v>
      </c>
      <c r="DX22">
        <v>1</v>
      </c>
      <c r="DY22">
        <v>2</v>
      </c>
      <c r="DZ22">
        <v>2</v>
      </c>
      <c r="EA22" t="s">
        <v>293</v>
      </c>
      <c r="EB22">
        <v>1.86676</v>
      </c>
      <c r="EC22">
        <v>1.8632500000000001</v>
      </c>
      <c r="ED22">
        <v>1.8689100000000001</v>
      </c>
      <c r="EE22">
        <v>1.8668899999999999</v>
      </c>
      <c r="EF22">
        <v>1.87151</v>
      </c>
      <c r="EG22">
        <v>1.86402</v>
      </c>
      <c r="EH22">
        <v>1.86565</v>
      </c>
      <c r="EI22">
        <v>1.86554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-0.34899999999999998</v>
      </c>
      <c r="EX22">
        <v>0.111</v>
      </c>
      <c r="EY22">
        <v>2</v>
      </c>
      <c r="EZ22">
        <v>331.738</v>
      </c>
      <c r="FA22">
        <v>494.52699999999999</v>
      </c>
      <c r="FB22">
        <v>22.956</v>
      </c>
      <c r="FC22">
        <v>33.923999999999999</v>
      </c>
      <c r="FD22">
        <v>29.999500000000001</v>
      </c>
      <c r="FE22">
        <v>33.965400000000002</v>
      </c>
      <c r="FF22">
        <v>33.970999999999997</v>
      </c>
      <c r="FG22">
        <v>5.7017499999999997</v>
      </c>
      <c r="FH22">
        <v>45.751199999999997</v>
      </c>
      <c r="FI22">
        <v>0</v>
      </c>
      <c r="FJ22">
        <v>22.956</v>
      </c>
      <c r="FK22">
        <v>50</v>
      </c>
      <c r="FL22">
        <v>16.516100000000002</v>
      </c>
      <c r="FM22">
        <v>100.669</v>
      </c>
      <c r="FN22">
        <v>101.17400000000001</v>
      </c>
    </row>
    <row r="23" spans="1:170" x14ac:dyDescent="0.25">
      <c r="A23">
        <v>7</v>
      </c>
      <c r="B23">
        <v>1597506688.5</v>
      </c>
      <c r="C23">
        <v>931.09999990463302</v>
      </c>
      <c r="D23" t="s">
        <v>314</v>
      </c>
      <c r="E23" t="s">
        <v>315</v>
      </c>
      <c r="G23">
        <v>1597506680.5</v>
      </c>
      <c r="H23">
        <f t="shared" si="0"/>
        <v>1.0586572648744602E-2</v>
      </c>
      <c r="I23">
        <f t="shared" si="1"/>
        <v>37.460565725594677</v>
      </c>
      <c r="J23">
        <f t="shared" si="2"/>
        <v>383.39074193548402</v>
      </c>
      <c r="K23">
        <f t="shared" si="3"/>
        <v>286.96208612189855</v>
      </c>
      <c r="L23">
        <f t="shared" si="4"/>
        <v>28.48027098462514</v>
      </c>
      <c r="M23">
        <f t="shared" si="5"/>
        <v>38.050574453521222</v>
      </c>
      <c r="N23">
        <f t="shared" si="6"/>
        <v>0.75196271978412688</v>
      </c>
      <c r="O23">
        <f t="shared" si="7"/>
        <v>3.3766844489289314</v>
      </c>
      <c r="P23">
        <f t="shared" si="8"/>
        <v>0.6698379665027332</v>
      </c>
      <c r="Q23">
        <f t="shared" si="9"/>
        <v>0.42527747417876538</v>
      </c>
      <c r="R23">
        <f t="shared" si="10"/>
        <v>321.43919979828252</v>
      </c>
      <c r="S23">
        <f t="shared" si="11"/>
        <v>27.059767710020623</v>
      </c>
      <c r="T23">
        <f t="shared" si="12"/>
        <v>26.983493548387099</v>
      </c>
      <c r="U23">
        <f t="shared" si="13"/>
        <v>3.5756912914499135</v>
      </c>
      <c r="V23">
        <f t="shared" si="14"/>
        <v>54.664185998192174</v>
      </c>
      <c r="W23">
        <f t="shared" si="15"/>
        <v>2.0515851883420519</v>
      </c>
      <c r="X23">
        <f t="shared" si="16"/>
        <v>3.7530700418915979</v>
      </c>
      <c r="Y23">
        <f t="shared" si="17"/>
        <v>1.5241061031078615</v>
      </c>
      <c r="Z23">
        <f t="shared" si="18"/>
        <v>-466.86785380963693</v>
      </c>
      <c r="AA23">
        <f t="shared" si="19"/>
        <v>150.51088757988731</v>
      </c>
      <c r="AB23">
        <f t="shared" si="20"/>
        <v>9.657745264884765</v>
      </c>
      <c r="AC23">
        <f t="shared" si="21"/>
        <v>14.739978833417638</v>
      </c>
      <c r="AD23">
        <v>-4.1086872687722299E-2</v>
      </c>
      <c r="AE23">
        <v>4.6123613999705201E-2</v>
      </c>
      <c r="AF23">
        <v>3.44878471168041</v>
      </c>
      <c r="AG23">
        <v>152</v>
      </c>
      <c r="AH23">
        <v>30</v>
      </c>
      <c r="AI23">
        <f t="shared" si="22"/>
        <v>1</v>
      </c>
      <c r="AJ23">
        <f t="shared" si="23"/>
        <v>0</v>
      </c>
      <c r="AK23">
        <f t="shared" si="24"/>
        <v>52250.390949759341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316</v>
      </c>
      <c r="AS23">
        <v>269.79376923076899</v>
      </c>
      <c r="AT23">
        <v>398.678</v>
      </c>
      <c r="AU23">
        <f t="shared" si="27"/>
        <v>0.32327901406456094</v>
      </c>
      <c r="AV23">
        <v>0.5</v>
      </c>
      <c r="AW23">
        <f t="shared" si="28"/>
        <v>1681.1910674186622</v>
      </c>
      <c r="AX23">
        <f t="shared" si="29"/>
        <v>37.460565725594677</v>
      </c>
      <c r="AY23">
        <f t="shared" si="30"/>
        <v>271.74689536462597</v>
      </c>
      <c r="AZ23">
        <f t="shared" si="31"/>
        <v>0.55327356914602766</v>
      </c>
      <c r="BA23">
        <f t="shared" si="32"/>
        <v>2.2876974825144579E-2</v>
      </c>
      <c r="BB23">
        <f t="shared" si="33"/>
        <v>-1</v>
      </c>
      <c r="BC23" t="s">
        <v>317</v>
      </c>
      <c r="BD23">
        <v>178.1</v>
      </c>
      <c r="BE23">
        <f t="shared" si="34"/>
        <v>220.578</v>
      </c>
      <c r="BF23">
        <f t="shared" si="35"/>
        <v>0.58430229111348819</v>
      </c>
      <c r="BG23">
        <f t="shared" si="36"/>
        <v>2.2385064570466029</v>
      </c>
      <c r="BH23">
        <f t="shared" si="37"/>
        <v>0.32327901406456089</v>
      </c>
      <c r="BI23" t="e">
        <f t="shared" si="38"/>
        <v>#DIV/0!</v>
      </c>
      <c r="BJ23">
        <v>6126</v>
      </c>
      <c r="BK23">
        <v>300</v>
      </c>
      <c r="BL23">
        <v>300</v>
      </c>
      <c r="BM23">
        <v>300</v>
      </c>
      <c r="BN23">
        <v>9872.98</v>
      </c>
      <c r="BO23">
        <v>361.21199999999999</v>
      </c>
      <c r="BP23">
        <v>-6.5676500000000004E-3</v>
      </c>
      <c r="BQ23">
        <v>1.1496900000000001</v>
      </c>
      <c r="BR23">
        <f t="shared" si="39"/>
        <v>1999.9925806451599</v>
      </c>
      <c r="BS23">
        <f t="shared" si="40"/>
        <v>1681.1910674186622</v>
      </c>
      <c r="BT23">
        <f t="shared" si="41"/>
        <v>0.84059865205916995</v>
      </c>
      <c r="BU23">
        <f t="shared" si="42"/>
        <v>0.19119730411833993</v>
      </c>
      <c r="BV23">
        <v>0.5</v>
      </c>
      <c r="BW23" t="s">
        <v>281</v>
      </c>
      <c r="BX23">
        <v>1597506680.5</v>
      </c>
      <c r="BY23">
        <v>383.39074193548402</v>
      </c>
      <c r="BZ23">
        <v>399.99609677419397</v>
      </c>
      <c r="CA23">
        <v>20.6714032258065</v>
      </c>
      <c r="CB23">
        <v>16.5249064516129</v>
      </c>
      <c r="CC23">
        <v>500.07193548387102</v>
      </c>
      <c r="CD23">
        <v>99.047512903225794</v>
      </c>
      <c r="CE23">
        <v>0.19999177419354799</v>
      </c>
      <c r="CF23">
        <v>27.810277419354801</v>
      </c>
      <c r="CG23">
        <v>26.983493548387099</v>
      </c>
      <c r="CH23">
        <v>999.9</v>
      </c>
      <c r="CI23">
        <v>10003.5819354839</v>
      </c>
      <c r="CJ23">
        <v>0</v>
      </c>
      <c r="CK23">
        <v>149.04119354838701</v>
      </c>
      <c r="CL23">
        <v>1999.9925806451599</v>
      </c>
      <c r="CM23">
        <v>0.97999658064516104</v>
      </c>
      <c r="CN23">
        <v>2.0003645161290301E-2</v>
      </c>
      <c r="CO23">
        <v>0</v>
      </c>
      <c r="CP23">
        <v>269.77370967741899</v>
      </c>
      <c r="CQ23">
        <v>5.00054</v>
      </c>
      <c r="CR23">
        <v>7084.7667741935502</v>
      </c>
      <c r="CS23">
        <v>18703.548387096798</v>
      </c>
      <c r="CT23">
        <v>46.525935483871002</v>
      </c>
      <c r="CU23">
        <v>48.366741935483901</v>
      </c>
      <c r="CV23">
        <v>46.9593548387097</v>
      </c>
      <c r="CW23">
        <v>47.435096774193497</v>
      </c>
      <c r="CX23">
        <v>48.243548387096801</v>
      </c>
      <c r="CY23">
        <v>1955.0825806451601</v>
      </c>
      <c r="CZ23">
        <v>39.909999999999997</v>
      </c>
      <c r="DA23">
        <v>0</v>
      </c>
      <c r="DB23">
        <v>123.299999952316</v>
      </c>
      <c r="DC23">
        <v>269.79376923076899</v>
      </c>
      <c r="DD23">
        <v>1.58078632368133</v>
      </c>
      <c r="DE23">
        <v>102.602051174129</v>
      </c>
      <c r="DF23">
        <v>7085.5503846153897</v>
      </c>
      <c r="DG23">
        <v>15</v>
      </c>
      <c r="DH23">
        <v>1597506720.5</v>
      </c>
      <c r="DI23" t="s">
        <v>318</v>
      </c>
      <c r="DJ23">
        <v>22</v>
      </c>
      <c r="DK23">
        <v>-0.28299999999999997</v>
      </c>
      <c r="DL23">
        <v>0.112</v>
      </c>
      <c r="DM23">
        <v>400</v>
      </c>
      <c r="DN23">
        <v>17</v>
      </c>
      <c r="DO23">
        <v>0.17</v>
      </c>
      <c r="DP23">
        <v>0.03</v>
      </c>
      <c r="DQ23">
        <v>383.29812962963001</v>
      </c>
      <c r="DR23">
        <v>0.26227101200679198</v>
      </c>
      <c r="DS23">
        <v>3.5055007723999103E-2</v>
      </c>
      <c r="DT23">
        <v>1</v>
      </c>
      <c r="DU23">
        <v>20.671085185185198</v>
      </c>
      <c r="DV23">
        <v>-1.0589822755854E-2</v>
      </c>
      <c r="DW23">
        <v>2.2479132222117701E-3</v>
      </c>
      <c r="DX23">
        <v>1</v>
      </c>
      <c r="DY23">
        <v>2</v>
      </c>
      <c r="DZ23">
        <v>2</v>
      </c>
      <c r="EA23" t="s">
        <v>293</v>
      </c>
      <c r="EB23">
        <v>1.86676</v>
      </c>
      <c r="EC23">
        <v>1.8632599999999999</v>
      </c>
      <c r="ED23">
        <v>1.8689</v>
      </c>
      <c r="EE23">
        <v>1.8669100000000001</v>
      </c>
      <c r="EF23">
        <v>1.8715299999999999</v>
      </c>
      <c r="EG23">
        <v>1.8640300000000001</v>
      </c>
      <c r="EH23">
        <v>1.8656699999999999</v>
      </c>
      <c r="EI23">
        <v>1.86555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-0.28299999999999997</v>
      </c>
      <c r="EX23">
        <v>0.112</v>
      </c>
      <c r="EY23">
        <v>2</v>
      </c>
      <c r="EZ23">
        <v>332.339</v>
      </c>
      <c r="FA23">
        <v>495.298</v>
      </c>
      <c r="FB23">
        <v>23.652999999999999</v>
      </c>
      <c r="FC23">
        <v>33.823300000000003</v>
      </c>
      <c r="FD23">
        <v>29.9998</v>
      </c>
      <c r="FE23">
        <v>33.895000000000003</v>
      </c>
      <c r="FF23">
        <v>33.905700000000003</v>
      </c>
      <c r="FG23">
        <v>22.0502</v>
      </c>
      <c r="FH23">
        <v>45.393300000000004</v>
      </c>
      <c r="FI23">
        <v>0</v>
      </c>
      <c r="FJ23">
        <v>23.6538</v>
      </c>
      <c r="FK23">
        <v>400</v>
      </c>
      <c r="FL23">
        <v>16.673300000000001</v>
      </c>
      <c r="FM23">
        <v>100.68600000000001</v>
      </c>
      <c r="FN23">
        <v>101.197</v>
      </c>
    </row>
    <row r="24" spans="1:170" x14ac:dyDescent="0.25">
      <c r="A24">
        <v>8</v>
      </c>
      <c r="B24">
        <v>1597506834.0999999</v>
      </c>
      <c r="C24">
        <v>1076.6999998092699</v>
      </c>
      <c r="D24" t="s">
        <v>319</v>
      </c>
      <c r="E24" t="s">
        <v>320</v>
      </c>
      <c r="G24">
        <v>1597506826.0999999</v>
      </c>
      <c r="H24">
        <f t="shared" si="0"/>
        <v>1.0025898060290524E-2</v>
      </c>
      <c r="I24">
        <f t="shared" si="1"/>
        <v>37.436901386751522</v>
      </c>
      <c r="J24">
        <f t="shared" si="2"/>
        <v>383.495580645161</v>
      </c>
      <c r="K24">
        <f t="shared" si="3"/>
        <v>282.27777031157524</v>
      </c>
      <c r="L24">
        <f t="shared" si="4"/>
        <v>28.017333198566025</v>
      </c>
      <c r="M24">
        <f t="shared" si="5"/>
        <v>38.063654290783617</v>
      </c>
      <c r="N24">
        <f t="shared" si="6"/>
        <v>0.70834891922699872</v>
      </c>
      <c r="O24">
        <f t="shared" si="7"/>
        <v>3.3785460706852266</v>
      </c>
      <c r="P24">
        <f t="shared" si="8"/>
        <v>0.63501406292908524</v>
      </c>
      <c r="Q24">
        <f t="shared" si="9"/>
        <v>0.40283808873503191</v>
      </c>
      <c r="R24">
        <f t="shared" si="10"/>
        <v>321.4388394128045</v>
      </c>
      <c r="S24">
        <f t="shared" si="11"/>
        <v>26.873891440680879</v>
      </c>
      <c r="T24">
        <f t="shared" si="12"/>
        <v>26.9742161290323</v>
      </c>
      <c r="U24">
        <f t="shared" si="13"/>
        <v>3.5737431713932364</v>
      </c>
      <c r="V24">
        <f t="shared" si="14"/>
        <v>55.661667342442811</v>
      </c>
      <c r="W24">
        <f t="shared" si="15"/>
        <v>2.0510707685473175</v>
      </c>
      <c r="X24">
        <f t="shared" si="16"/>
        <v>3.6848892001899247</v>
      </c>
      <c r="Y24">
        <f t="shared" si="17"/>
        <v>1.5226724028459189</v>
      </c>
      <c r="Z24">
        <f t="shared" si="18"/>
        <v>-442.14210445881213</v>
      </c>
      <c r="AA24">
        <f t="shared" si="19"/>
        <v>95.148592047316896</v>
      </c>
      <c r="AB24">
        <f t="shared" si="20"/>
        <v>6.0921386352472666</v>
      </c>
      <c r="AC24">
        <f t="shared" si="21"/>
        <v>-19.462534363443439</v>
      </c>
      <c r="AD24">
        <v>-4.1115645598973197E-2</v>
      </c>
      <c r="AE24">
        <v>4.6155914113229703E-2</v>
      </c>
      <c r="AF24">
        <v>3.4506968248546599</v>
      </c>
      <c r="AG24">
        <v>151</v>
      </c>
      <c r="AH24">
        <v>30</v>
      </c>
      <c r="AI24">
        <f t="shared" si="22"/>
        <v>1</v>
      </c>
      <c r="AJ24">
        <f t="shared" si="23"/>
        <v>0</v>
      </c>
      <c r="AK24">
        <f t="shared" si="24"/>
        <v>52340.210026607216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321</v>
      </c>
      <c r="AS24">
        <v>273.29288461538499</v>
      </c>
      <c r="AT24">
        <v>411.51400000000001</v>
      </c>
      <c r="AU24">
        <f t="shared" si="27"/>
        <v>0.33588435723842935</v>
      </c>
      <c r="AV24">
        <v>0.5</v>
      </c>
      <c r="AW24">
        <f t="shared" si="28"/>
        <v>1681.1891706444733</v>
      </c>
      <c r="AX24">
        <f t="shared" si="29"/>
        <v>37.436901386751522</v>
      </c>
      <c r="AY24">
        <f t="shared" si="30"/>
        <v>282.34257198906352</v>
      </c>
      <c r="AZ24">
        <f t="shared" si="31"/>
        <v>0.55112098251821329</v>
      </c>
      <c r="BA24">
        <f t="shared" si="32"/>
        <v>2.2862924683256781E-2</v>
      </c>
      <c r="BB24">
        <f t="shared" si="33"/>
        <v>-1</v>
      </c>
      <c r="BC24" t="s">
        <v>322</v>
      </c>
      <c r="BD24">
        <v>184.72</v>
      </c>
      <c r="BE24">
        <f t="shared" si="34"/>
        <v>226.79400000000001</v>
      </c>
      <c r="BF24">
        <f t="shared" si="35"/>
        <v>0.60945666721613012</v>
      </c>
      <c r="BG24">
        <f t="shared" si="36"/>
        <v>2.2277717626678215</v>
      </c>
      <c r="BH24">
        <f t="shared" si="37"/>
        <v>0.33588435723842935</v>
      </c>
      <c r="BI24" t="e">
        <f t="shared" si="38"/>
        <v>#DIV/0!</v>
      </c>
      <c r="BJ24">
        <v>6128</v>
      </c>
      <c r="BK24">
        <v>300</v>
      </c>
      <c r="BL24">
        <v>300</v>
      </c>
      <c r="BM24">
        <v>300</v>
      </c>
      <c r="BN24">
        <v>9873.52</v>
      </c>
      <c r="BO24">
        <v>371.82400000000001</v>
      </c>
      <c r="BP24">
        <v>-6.5681400000000001E-3</v>
      </c>
      <c r="BQ24">
        <v>0.75314300000000001</v>
      </c>
      <c r="BR24">
        <f t="shared" si="39"/>
        <v>1999.9903225806499</v>
      </c>
      <c r="BS24">
        <f t="shared" si="40"/>
        <v>1681.1891706444733</v>
      </c>
      <c r="BT24">
        <f t="shared" si="41"/>
        <v>0.8405986527350704</v>
      </c>
      <c r="BU24">
        <f t="shared" si="42"/>
        <v>0.19119730547014108</v>
      </c>
      <c r="BV24">
        <v>0.5</v>
      </c>
      <c r="BW24" t="s">
        <v>281</v>
      </c>
      <c r="BX24">
        <v>1597506826.0999999</v>
      </c>
      <c r="BY24">
        <v>383.495580645161</v>
      </c>
      <c r="BZ24">
        <v>400.00596774193599</v>
      </c>
      <c r="CA24">
        <v>20.664767741935499</v>
      </c>
      <c r="CB24">
        <v>16.737835483870999</v>
      </c>
      <c r="CC24">
        <v>500.070516129032</v>
      </c>
      <c r="CD24">
        <v>99.054474193548401</v>
      </c>
      <c r="CE24">
        <v>0.20000541935483901</v>
      </c>
      <c r="CF24">
        <v>27.496596774193499</v>
      </c>
      <c r="CG24">
        <v>26.9742161290323</v>
      </c>
      <c r="CH24">
        <v>999.9</v>
      </c>
      <c r="CI24">
        <v>10009.8838709677</v>
      </c>
      <c r="CJ24">
        <v>0</v>
      </c>
      <c r="CK24">
        <v>148.804612903226</v>
      </c>
      <c r="CL24">
        <v>1999.9903225806499</v>
      </c>
      <c r="CM24">
        <v>0.97999606451612897</v>
      </c>
      <c r="CN24">
        <v>2.00043161290323E-2</v>
      </c>
      <c r="CO24">
        <v>0</v>
      </c>
      <c r="CP24">
        <v>273.28441935483897</v>
      </c>
      <c r="CQ24">
        <v>5.00054</v>
      </c>
      <c r="CR24">
        <v>7108.5177419354804</v>
      </c>
      <c r="CS24">
        <v>18703.525806451598</v>
      </c>
      <c r="CT24">
        <v>46.481580645161301</v>
      </c>
      <c r="CU24">
        <v>48.316129032257997</v>
      </c>
      <c r="CV24">
        <v>46.896999999999998</v>
      </c>
      <c r="CW24">
        <v>47.394903225806402</v>
      </c>
      <c r="CX24">
        <v>48.189193548387102</v>
      </c>
      <c r="CY24">
        <v>1955.0803225806401</v>
      </c>
      <c r="CZ24">
        <v>39.909999999999997</v>
      </c>
      <c r="DA24">
        <v>0</v>
      </c>
      <c r="DB24">
        <v>144.89999985694899</v>
      </c>
      <c r="DC24">
        <v>273.29288461538499</v>
      </c>
      <c r="DD24">
        <v>1.6167179640512599</v>
      </c>
      <c r="DE24">
        <v>34.813675171668997</v>
      </c>
      <c r="DF24">
        <v>7108.9246153846098</v>
      </c>
      <c r="DG24">
        <v>15</v>
      </c>
      <c r="DH24">
        <v>1597506865.5999999</v>
      </c>
      <c r="DI24" t="s">
        <v>323</v>
      </c>
      <c r="DJ24">
        <v>23</v>
      </c>
      <c r="DK24">
        <v>-0.32300000000000001</v>
      </c>
      <c r="DL24">
        <v>0.107</v>
      </c>
      <c r="DM24">
        <v>400</v>
      </c>
      <c r="DN24">
        <v>16</v>
      </c>
      <c r="DO24">
        <v>0.12</v>
      </c>
      <c r="DP24">
        <v>0.02</v>
      </c>
      <c r="DQ24">
        <v>383.55853703703701</v>
      </c>
      <c r="DR24">
        <v>-0.26445740423095798</v>
      </c>
      <c r="DS24">
        <v>4.5201898093118503E-2</v>
      </c>
      <c r="DT24">
        <v>1</v>
      </c>
      <c r="DU24">
        <v>20.6916962962963</v>
      </c>
      <c r="DV24">
        <v>-0.196707604345328</v>
      </c>
      <c r="DW24">
        <v>2.9231743038987502E-2</v>
      </c>
      <c r="DX24">
        <v>1</v>
      </c>
      <c r="DY24">
        <v>2</v>
      </c>
      <c r="DZ24">
        <v>2</v>
      </c>
      <c r="EA24" t="s">
        <v>293</v>
      </c>
      <c r="EB24">
        <v>1.86676</v>
      </c>
      <c r="EC24">
        <v>1.8632599999999999</v>
      </c>
      <c r="ED24">
        <v>1.8689100000000001</v>
      </c>
      <c r="EE24">
        <v>1.8669100000000001</v>
      </c>
      <c r="EF24">
        <v>1.8714900000000001</v>
      </c>
      <c r="EG24">
        <v>1.8640099999999999</v>
      </c>
      <c r="EH24">
        <v>1.86561</v>
      </c>
      <c r="EI24">
        <v>1.86554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-0.32300000000000001</v>
      </c>
      <c r="EX24">
        <v>0.107</v>
      </c>
      <c r="EY24">
        <v>2</v>
      </c>
      <c r="EZ24">
        <v>333.23599999999999</v>
      </c>
      <c r="FA24">
        <v>494.20800000000003</v>
      </c>
      <c r="FB24">
        <v>23.1295</v>
      </c>
      <c r="FC24">
        <v>33.741300000000003</v>
      </c>
      <c r="FD24">
        <v>30.0001</v>
      </c>
      <c r="FE24">
        <v>33.8185</v>
      </c>
      <c r="FF24">
        <v>33.832900000000002</v>
      </c>
      <c r="FG24">
        <v>22.0474</v>
      </c>
      <c r="FH24">
        <v>46.889400000000002</v>
      </c>
      <c r="FI24">
        <v>0</v>
      </c>
      <c r="FJ24">
        <v>23.055900000000001</v>
      </c>
      <c r="FK24">
        <v>400</v>
      </c>
      <c r="FL24">
        <v>16.4724</v>
      </c>
      <c r="FM24">
        <v>100.702</v>
      </c>
      <c r="FN24">
        <v>101.223</v>
      </c>
    </row>
    <row r="25" spans="1:170" x14ac:dyDescent="0.25">
      <c r="A25">
        <v>9</v>
      </c>
      <c r="B25">
        <v>1597506987.0999999</v>
      </c>
      <c r="C25">
        <v>1229.6999998092699</v>
      </c>
      <c r="D25" t="s">
        <v>324</v>
      </c>
      <c r="E25" t="s">
        <v>325</v>
      </c>
      <c r="G25">
        <v>1597506979.0999999</v>
      </c>
      <c r="H25">
        <f t="shared" si="0"/>
        <v>8.5489972337148713E-3</v>
      </c>
      <c r="I25">
        <f t="shared" si="1"/>
        <v>43.029414808700245</v>
      </c>
      <c r="J25">
        <f t="shared" si="2"/>
        <v>481.15196774193498</v>
      </c>
      <c r="K25">
        <f t="shared" si="3"/>
        <v>340.41221450404447</v>
      </c>
      <c r="L25">
        <f t="shared" si="4"/>
        <v>33.788473572990434</v>
      </c>
      <c r="M25">
        <f t="shared" si="5"/>
        <v>47.757953016834414</v>
      </c>
      <c r="N25">
        <f t="shared" si="6"/>
        <v>0.57144561766951618</v>
      </c>
      <c r="O25">
        <f t="shared" si="7"/>
        <v>3.3762579300530429</v>
      </c>
      <c r="P25">
        <f t="shared" si="8"/>
        <v>0.52264508151636102</v>
      </c>
      <c r="Q25">
        <f t="shared" si="9"/>
        <v>0.33068972126661555</v>
      </c>
      <c r="R25">
        <f t="shared" si="10"/>
        <v>321.4400238981035</v>
      </c>
      <c r="S25">
        <f t="shared" si="11"/>
        <v>26.831867191734624</v>
      </c>
      <c r="T25">
        <f t="shared" si="12"/>
        <v>27.0152258064516</v>
      </c>
      <c r="U25">
        <f t="shared" si="13"/>
        <v>3.5823616033412011</v>
      </c>
      <c r="V25">
        <f t="shared" si="14"/>
        <v>55.615001531111965</v>
      </c>
      <c r="W25">
        <f t="shared" si="15"/>
        <v>2.0044813643802324</v>
      </c>
      <c r="X25">
        <f t="shared" si="16"/>
        <v>3.6042098520106878</v>
      </c>
      <c r="Y25">
        <f t="shared" si="17"/>
        <v>1.5778802389609687</v>
      </c>
      <c r="Z25">
        <f t="shared" si="18"/>
        <v>-377.01077800682583</v>
      </c>
      <c r="AA25">
        <f t="shared" si="19"/>
        <v>18.85324654811048</v>
      </c>
      <c r="AB25">
        <f t="shared" si="20"/>
        <v>1.2059145145690953</v>
      </c>
      <c r="AC25">
        <f t="shared" si="21"/>
        <v>-35.511593046042762</v>
      </c>
      <c r="AD25">
        <v>-4.1080281482848001E-2</v>
      </c>
      <c r="AE25">
        <v>4.6116214794812503E-2</v>
      </c>
      <c r="AF25">
        <v>3.4483466263948102</v>
      </c>
      <c r="AG25">
        <v>150</v>
      </c>
      <c r="AH25">
        <v>30</v>
      </c>
      <c r="AI25">
        <f t="shared" si="22"/>
        <v>1</v>
      </c>
      <c r="AJ25">
        <f t="shared" si="23"/>
        <v>0</v>
      </c>
      <c r="AK25">
        <f t="shared" si="24"/>
        <v>52362.935077884831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326</v>
      </c>
      <c r="AS25">
        <v>281.98284615384603</v>
      </c>
      <c r="AT25">
        <v>435.61799999999999</v>
      </c>
      <c r="AU25">
        <f t="shared" si="27"/>
        <v>0.35268320832966948</v>
      </c>
      <c r="AV25">
        <v>0.5</v>
      </c>
      <c r="AW25">
        <f t="shared" si="28"/>
        <v>1681.1954030956449</v>
      </c>
      <c r="AX25">
        <f t="shared" si="29"/>
        <v>43.029414808700245</v>
      </c>
      <c r="AY25">
        <f t="shared" si="30"/>
        <v>296.46469429643201</v>
      </c>
      <c r="AZ25">
        <f t="shared" si="31"/>
        <v>0.57283675146573365</v>
      </c>
      <c r="BA25">
        <f t="shared" si="32"/>
        <v>2.6189349987293158E-2</v>
      </c>
      <c r="BB25">
        <f t="shared" si="33"/>
        <v>-1</v>
      </c>
      <c r="BC25" t="s">
        <v>327</v>
      </c>
      <c r="BD25">
        <v>186.08</v>
      </c>
      <c r="BE25">
        <f t="shared" si="34"/>
        <v>249.53799999999998</v>
      </c>
      <c r="BF25">
        <f t="shared" si="35"/>
        <v>0.61567838904757588</v>
      </c>
      <c r="BG25">
        <f t="shared" si="36"/>
        <v>2.3410253654342217</v>
      </c>
      <c r="BH25">
        <f t="shared" si="37"/>
        <v>0.35268320832966948</v>
      </c>
      <c r="BI25" t="e">
        <f t="shared" si="38"/>
        <v>#DIV/0!</v>
      </c>
      <c r="BJ25">
        <v>6130</v>
      </c>
      <c r="BK25">
        <v>300</v>
      </c>
      <c r="BL25">
        <v>300</v>
      </c>
      <c r="BM25">
        <v>300</v>
      </c>
      <c r="BN25">
        <v>9873.9599999999991</v>
      </c>
      <c r="BO25">
        <v>392.80099999999999</v>
      </c>
      <c r="BP25">
        <v>-6.5685199999999996E-3</v>
      </c>
      <c r="BQ25">
        <v>1.02521</v>
      </c>
      <c r="BR25">
        <f t="shared" si="39"/>
        <v>1999.99774193548</v>
      </c>
      <c r="BS25">
        <f t="shared" si="40"/>
        <v>1681.1954030956449</v>
      </c>
      <c r="BT25">
        <f t="shared" si="41"/>
        <v>0.84059865061081673</v>
      </c>
      <c r="BU25">
        <f t="shared" si="42"/>
        <v>0.19119730122163348</v>
      </c>
      <c r="BV25">
        <v>0.5</v>
      </c>
      <c r="BW25" t="s">
        <v>281</v>
      </c>
      <c r="BX25">
        <v>1597506979.0999999</v>
      </c>
      <c r="BY25">
        <v>481.15196774193498</v>
      </c>
      <c r="BZ25">
        <v>500.00658064516102</v>
      </c>
      <c r="CA25">
        <v>20.194754838709699</v>
      </c>
      <c r="CB25">
        <v>16.8446580645161</v>
      </c>
      <c r="CC25">
        <v>500.06629032258098</v>
      </c>
      <c r="CD25">
        <v>99.057529032258103</v>
      </c>
      <c r="CE25">
        <v>0.199995032258065</v>
      </c>
      <c r="CF25">
        <v>27.118803225806499</v>
      </c>
      <c r="CG25">
        <v>27.0152258064516</v>
      </c>
      <c r="CH25">
        <v>999.9</v>
      </c>
      <c r="CI25">
        <v>10000.965806451601</v>
      </c>
      <c r="CJ25">
        <v>0</v>
      </c>
      <c r="CK25">
        <v>170.827387096774</v>
      </c>
      <c r="CL25">
        <v>1999.99774193548</v>
      </c>
      <c r="CM25">
        <v>0.97999551612903202</v>
      </c>
      <c r="CN25">
        <v>2.00048193548387E-2</v>
      </c>
      <c r="CO25">
        <v>0</v>
      </c>
      <c r="CP25">
        <v>282.00464516129</v>
      </c>
      <c r="CQ25">
        <v>5.00054</v>
      </c>
      <c r="CR25">
        <v>7436.5267741935504</v>
      </c>
      <c r="CS25">
        <v>18703.590322580701</v>
      </c>
      <c r="CT25">
        <v>46.4371935483871</v>
      </c>
      <c r="CU25">
        <v>48.311999999999998</v>
      </c>
      <c r="CV25">
        <v>46.858741935483899</v>
      </c>
      <c r="CW25">
        <v>47.360774193548401</v>
      </c>
      <c r="CX25">
        <v>48.086322580645103</v>
      </c>
      <c r="CY25">
        <v>1955.08741935484</v>
      </c>
      <c r="CZ25">
        <v>39.909999999999997</v>
      </c>
      <c r="DA25">
        <v>0</v>
      </c>
      <c r="DB25">
        <v>152.60000014305101</v>
      </c>
      <c r="DC25">
        <v>281.98284615384603</v>
      </c>
      <c r="DD25">
        <v>-8.5470262767093005E-3</v>
      </c>
      <c r="DE25">
        <v>89.904273587332796</v>
      </c>
      <c r="DF25">
        <v>7437.3176923076899</v>
      </c>
      <c r="DG25">
        <v>15</v>
      </c>
      <c r="DH25">
        <v>1597507016.0999999</v>
      </c>
      <c r="DI25" t="s">
        <v>328</v>
      </c>
      <c r="DJ25">
        <v>24</v>
      </c>
      <c r="DK25">
        <v>-0.27600000000000002</v>
      </c>
      <c r="DL25">
        <v>0.112</v>
      </c>
      <c r="DM25">
        <v>500</v>
      </c>
      <c r="DN25">
        <v>17</v>
      </c>
      <c r="DO25">
        <v>0.16</v>
      </c>
      <c r="DP25">
        <v>0.02</v>
      </c>
      <c r="DQ25">
        <v>481.077</v>
      </c>
      <c r="DR25">
        <v>0.27841280731856599</v>
      </c>
      <c r="DS25">
        <v>4.3056810017565603E-2</v>
      </c>
      <c r="DT25">
        <v>1</v>
      </c>
      <c r="DU25">
        <v>20.234922222222199</v>
      </c>
      <c r="DV25">
        <v>-0.46791080617494901</v>
      </c>
      <c r="DW25">
        <v>6.1087665199336103E-2</v>
      </c>
      <c r="DX25">
        <v>0</v>
      </c>
      <c r="DY25">
        <v>1</v>
      </c>
      <c r="DZ25">
        <v>2</v>
      </c>
      <c r="EA25" t="s">
        <v>329</v>
      </c>
      <c r="EB25">
        <v>1.8667499999999999</v>
      </c>
      <c r="EC25">
        <v>1.86324</v>
      </c>
      <c r="ED25">
        <v>1.8689</v>
      </c>
      <c r="EE25">
        <v>1.8667899999999999</v>
      </c>
      <c r="EF25">
        <v>1.8714900000000001</v>
      </c>
      <c r="EG25">
        <v>1.8640099999999999</v>
      </c>
      <c r="EH25">
        <v>1.8655600000000001</v>
      </c>
      <c r="EI25">
        <v>1.86554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-0.27600000000000002</v>
      </c>
      <c r="EX25">
        <v>0.112</v>
      </c>
      <c r="EY25">
        <v>2</v>
      </c>
      <c r="EZ25">
        <v>333.988</v>
      </c>
      <c r="FA25">
        <v>493.48</v>
      </c>
      <c r="FB25">
        <v>21.163799999999998</v>
      </c>
      <c r="FC25">
        <v>33.686799999999998</v>
      </c>
      <c r="FD25">
        <v>29.9999</v>
      </c>
      <c r="FE25">
        <v>33.755200000000002</v>
      </c>
      <c r="FF25">
        <v>33.769799999999996</v>
      </c>
      <c r="FG25">
        <v>26.327999999999999</v>
      </c>
      <c r="FH25">
        <v>46.088200000000001</v>
      </c>
      <c r="FI25">
        <v>0</v>
      </c>
      <c r="FJ25">
        <v>21.183599999999998</v>
      </c>
      <c r="FK25">
        <v>500</v>
      </c>
      <c r="FL25">
        <v>16.6629</v>
      </c>
      <c r="FM25">
        <v>100.705</v>
      </c>
      <c r="FN25">
        <v>101.22799999999999</v>
      </c>
    </row>
    <row r="26" spans="1:170" x14ac:dyDescent="0.25">
      <c r="A26">
        <v>10</v>
      </c>
      <c r="B26">
        <v>1597507137.5999999</v>
      </c>
      <c r="C26">
        <v>1380.1999998092699</v>
      </c>
      <c r="D26" t="s">
        <v>330</v>
      </c>
      <c r="E26" t="s">
        <v>331</v>
      </c>
      <c r="G26">
        <v>1597507129.5999999</v>
      </c>
      <c r="H26">
        <f t="shared" si="0"/>
        <v>7.4698823200978507E-3</v>
      </c>
      <c r="I26">
        <f t="shared" si="1"/>
        <v>47.016725929366778</v>
      </c>
      <c r="J26">
        <f t="shared" si="2"/>
        <v>579.50293548387106</v>
      </c>
      <c r="K26">
        <f t="shared" si="3"/>
        <v>396.69648026915326</v>
      </c>
      <c r="L26">
        <f t="shared" si="4"/>
        <v>39.375828649203541</v>
      </c>
      <c r="M26">
        <f t="shared" si="5"/>
        <v>57.52107574496597</v>
      </c>
      <c r="N26">
        <f t="shared" si="6"/>
        <v>0.47281769048569566</v>
      </c>
      <c r="O26">
        <f t="shared" si="7"/>
        <v>3.3756301740459795</v>
      </c>
      <c r="P26">
        <f t="shared" si="8"/>
        <v>0.43886714279038563</v>
      </c>
      <c r="Q26">
        <f t="shared" si="9"/>
        <v>0.27713886387749165</v>
      </c>
      <c r="R26">
        <f t="shared" si="10"/>
        <v>321.44115617659742</v>
      </c>
      <c r="S26">
        <f t="shared" si="11"/>
        <v>26.802065474113768</v>
      </c>
      <c r="T26">
        <f t="shared" si="12"/>
        <v>27.0523903225806</v>
      </c>
      <c r="U26">
        <f t="shared" si="13"/>
        <v>3.5901876166349531</v>
      </c>
      <c r="V26">
        <f t="shared" si="14"/>
        <v>54.925294564492091</v>
      </c>
      <c r="W26">
        <f t="shared" si="15"/>
        <v>1.9478424475880203</v>
      </c>
      <c r="X26">
        <f t="shared" si="16"/>
        <v>3.5463486596342344</v>
      </c>
      <c r="Y26">
        <f t="shared" si="17"/>
        <v>1.6423451690469328</v>
      </c>
      <c r="Z26">
        <f t="shared" si="18"/>
        <v>-329.4218103163152</v>
      </c>
      <c r="AA26">
        <f t="shared" si="19"/>
        <v>-38.054063306261142</v>
      </c>
      <c r="AB26">
        <f t="shared" si="20"/>
        <v>-2.4316140688683836</v>
      </c>
      <c r="AC26">
        <f t="shared" si="21"/>
        <v>-48.466331514847312</v>
      </c>
      <c r="AD26">
        <v>-4.10705811391898E-2</v>
      </c>
      <c r="AE26">
        <v>4.6105325309259398E-2</v>
      </c>
      <c r="AF26">
        <v>3.4477018479842201</v>
      </c>
      <c r="AG26">
        <v>151</v>
      </c>
      <c r="AH26">
        <v>30</v>
      </c>
      <c r="AI26">
        <f t="shared" si="22"/>
        <v>1</v>
      </c>
      <c r="AJ26">
        <f t="shared" si="23"/>
        <v>0</v>
      </c>
      <c r="AK26">
        <f t="shared" si="24"/>
        <v>52399.218360080355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332</v>
      </c>
      <c r="AS26">
        <v>284.59776923076902</v>
      </c>
      <c r="AT26">
        <v>443.358</v>
      </c>
      <c r="AU26">
        <f t="shared" si="27"/>
        <v>0.35808586011582288</v>
      </c>
      <c r="AV26">
        <v>0.5</v>
      </c>
      <c r="AW26">
        <f t="shared" si="28"/>
        <v>1681.2013641928609</v>
      </c>
      <c r="AX26">
        <f t="shared" si="29"/>
        <v>47.016725929366778</v>
      </c>
      <c r="AY26">
        <f t="shared" si="30"/>
        <v>301.00721826244768</v>
      </c>
      <c r="AZ26">
        <f t="shared" si="31"/>
        <v>0.58268487317246997</v>
      </c>
      <c r="BA26">
        <f t="shared" si="32"/>
        <v>2.8560960603561874E-2</v>
      </c>
      <c r="BB26">
        <f t="shared" si="33"/>
        <v>-1</v>
      </c>
      <c r="BC26" t="s">
        <v>333</v>
      </c>
      <c r="BD26">
        <v>185.02</v>
      </c>
      <c r="BE26">
        <f t="shared" si="34"/>
        <v>258.33799999999997</v>
      </c>
      <c r="BF26">
        <f t="shared" si="35"/>
        <v>0.6145446305585357</v>
      </c>
      <c r="BG26">
        <f t="shared" si="36"/>
        <v>2.3962706734407089</v>
      </c>
      <c r="BH26">
        <f t="shared" si="37"/>
        <v>0.35808586011582283</v>
      </c>
      <c r="BI26" t="e">
        <f t="shared" si="38"/>
        <v>#DIV/0!</v>
      </c>
      <c r="BJ26">
        <v>6132</v>
      </c>
      <c r="BK26">
        <v>300</v>
      </c>
      <c r="BL26">
        <v>300</v>
      </c>
      <c r="BM26">
        <v>300</v>
      </c>
      <c r="BN26">
        <v>9873.65</v>
      </c>
      <c r="BO26">
        <v>400.24900000000002</v>
      </c>
      <c r="BP26">
        <v>-6.5681799999999999E-3</v>
      </c>
      <c r="BQ26">
        <v>1.72366</v>
      </c>
      <c r="BR26">
        <f t="shared" si="39"/>
        <v>2000.0048387096799</v>
      </c>
      <c r="BS26">
        <f t="shared" si="40"/>
        <v>1681.2013641928609</v>
      </c>
      <c r="BT26">
        <f t="shared" si="41"/>
        <v>0.84059864839002196</v>
      </c>
      <c r="BU26">
        <f t="shared" si="42"/>
        <v>0.1911972967800441</v>
      </c>
      <c r="BV26">
        <v>0.5</v>
      </c>
      <c r="BW26" t="s">
        <v>281</v>
      </c>
      <c r="BX26">
        <v>1597507129.5999999</v>
      </c>
      <c r="BY26">
        <v>579.50293548387106</v>
      </c>
      <c r="BZ26">
        <v>600.03829032258102</v>
      </c>
      <c r="CA26">
        <v>19.623770967741901</v>
      </c>
      <c r="CB26">
        <v>16.694861290322599</v>
      </c>
      <c r="CC26">
        <v>500.06970967741898</v>
      </c>
      <c r="CD26">
        <v>99.059329032258105</v>
      </c>
      <c r="CE26">
        <v>0.200005516129032</v>
      </c>
      <c r="CF26">
        <v>26.843287096774201</v>
      </c>
      <c r="CG26">
        <v>27.0523903225806</v>
      </c>
      <c r="CH26">
        <v>999.9</v>
      </c>
      <c r="CI26">
        <v>9998.4225806451595</v>
      </c>
      <c r="CJ26">
        <v>0</v>
      </c>
      <c r="CK26">
        <v>176.32916129032299</v>
      </c>
      <c r="CL26">
        <v>2000.0048387096799</v>
      </c>
      <c r="CM26">
        <v>0.97999619354838696</v>
      </c>
      <c r="CN26">
        <v>2.0004148387096798E-2</v>
      </c>
      <c r="CO26">
        <v>0</v>
      </c>
      <c r="CP26">
        <v>284.61467741935502</v>
      </c>
      <c r="CQ26">
        <v>5.00054</v>
      </c>
      <c r="CR26">
        <v>7525.27870967742</v>
      </c>
      <c r="CS26">
        <v>18703.654838709699</v>
      </c>
      <c r="CT26">
        <v>46.646935483870998</v>
      </c>
      <c r="CU26">
        <v>48.6208064516129</v>
      </c>
      <c r="CV26">
        <v>47.0741935483871</v>
      </c>
      <c r="CW26">
        <v>47.6770322580645</v>
      </c>
      <c r="CX26">
        <v>48.261935483871</v>
      </c>
      <c r="CY26">
        <v>1955.0948387096801</v>
      </c>
      <c r="CZ26">
        <v>39.909999999999997</v>
      </c>
      <c r="DA26">
        <v>0</v>
      </c>
      <c r="DB26">
        <v>149.60000014305101</v>
      </c>
      <c r="DC26">
        <v>284.59776923076902</v>
      </c>
      <c r="DD26">
        <v>-2.71610256540882</v>
      </c>
      <c r="DE26">
        <v>-16.159658125410601</v>
      </c>
      <c r="DF26">
        <v>7525.2103846153896</v>
      </c>
      <c r="DG26">
        <v>15</v>
      </c>
      <c r="DH26">
        <v>1597507163.0999999</v>
      </c>
      <c r="DI26" t="s">
        <v>334</v>
      </c>
      <c r="DJ26">
        <v>25</v>
      </c>
      <c r="DK26">
        <v>-0.25800000000000001</v>
      </c>
      <c r="DL26">
        <v>0.112</v>
      </c>
      <c r="DM26">
        <v>600</v>
      </c>
      <c r="DN26">
        <v>17</v>
      </c>
      <c r="DO26">
        <v>0.11</v>
      </c>
      <c r="DP26">
        <v>0.03</v>
      </c>
      <c r="DQ26">
        <v>579.40525925925897</v>
      </c>
      <c r="DR26">
        <v>0.80507718696416497</v>
      </c>
      <c r="DS26">
        <v>0.106824741409608</v>
      </c>
      <c r="DT26">
        <v>0</v>
      </c>
      <c r="DU26">
        <v>19.6132611111111</v>
      </c>
      <c r="DV26">
        <v>9.4776443682111397E-2</v>
      </c>
      <c r="DW26">
        <v>1.6262914146708701E-2</v>
      </c>
      <c r="DX26">
        <v>1</v>
      </c>
      <c r="DY26">
        <v>1</v>
      </c>
      <c r="DZ26">
        <v>2</v>
      </c>
      <c r="EA26" t="s">
        <v>329</v>
      </c>
      <c r="EB26">
        <v>1.86673</v>
      </c>
      <c r="EC26">
        <v>1.8632500000000001</v>
      </c>
      <c r="ED26">
        <v>1.8689</v>
      </c>
      <c r="EE26">
        <v>1.8668100000000001</v>
      </c>
      <c r="EF26">
        <v>1.8714900000000001</v>
      </c>
      <c r="EG26">
        <v>1.8640099999999999</v>
      </c>
      <c r="EH26">
        <v>1.86554</v>
      </c>
      <c r="EI26">
        <v>1.8655299999999999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-0.25800000000000001</v>
      </c>
      <c r="EX26">
        <v>0.112</v>
      </c>
      <c r="EY26">
        <v>2</v>
      </c>
      <c r="EZ26">
        <v>333.93900000000002</v>
      </c>
      <c r="FA26">
        <v>492.339</v>
      </c>
      <c r="FB26">
        <v>21.4406</v>
      </c>
      <c r="FC26">
        <v>33.764099999999999</v>
      </c>
      <c r="FD26">
        <v>30.000800000000002</v>
      </c>
      <c r="FE26">
        <v>33.787799999999997</v>
      </c>
      <c r="FF26">
        <v>33.797499999999999</v>
      </c>
      <c r="FG26">
        <v>30.467099999999999</v>
      </c>
      <c r="FH26">
        <v>46.334200000000003</v>
      </c>
      <c r="FI26">
        <v>0</v>
      </c>
      <c r="FJ26">
        <v>21.3886</v>
      </c>
      <c r="FK26">
        <v>600</v>
      </c>
      <c r="FL26">
        <v>16.740100000000002</v>
      </c>
      <c r="FM26">
        <v>100.69</v>
      </c>
      <c r="FN26">
        <v>101.211</v>
      </c>
    </row>
    <row r="27" spans="1:170" x14ac:dyDescent="0.25">
      <c r="A27">
        <v>11</v>
      </c>
      <c r="B27">
        <v>1597507254.5999999</v>
      </c>
      <c r="C27">
        <v>1497.1999998092699</v>
      </c>
      <c r="D27" t="s">
        <v>335</v>
      </c>
      <c r="E27" t="s">
        <v>336</v>
      </c>
      <c r="G27">
        <v>1597507246.5999999</v>
      </c>
      <c r="H27">
        <f t="shared" si="0"/>
        <v>6.9076817246563728E-3</v>
      </c>
      <c r="I27">
        <f t="shared" si="1"/>
        <v>50.325820758185749</v>
      </c>
      <c r="J27">
        <f t="shared" si="2"/>
        <v>678.07412903225804</v>
      </c>
      <c r="K27">
        <f t="shared" si="3"/>
        <v>466.06914875051643</v>
      </c>
      <c r="L27">
        <f t="shared" si="4"/>
        <v>46.262611613621168</v>
      </c>
      <c r="M27">
        <f t="shared" si="5"/>
        <v>67.306493383572288</v>
      </c>
      <c r="N27">
        <f t="shared" si="6"/>
        <v>0.43460350995386265</v>
      </c>
      <c r="O27">
        <f t="shared" si="7"/>
        <v>3.3754860599697789</v>
      </c>
      <c r="P27">
        <f t="shared" si="8"/>
        <v>0.40573838475363205</v>
      </c>
      <c r="Q27">
        <f t="shared" si="9"/>
        <v>0.25601997411201638</v>
      </c>
      <c r="R27">
        <f t="shared" si="10"/>
        <v>321.44400589673148</v>
      </c>
      <c r="S27">
        <f t="shared" si="11"/>
        <v>26.419655014783878</v>
      </c>
      <c r="T27">
        <f t="shared" si="12"/>
        <v>26.9294935483871</v>
      </c>
      <c r="U27">
        <f t="shared" si="13"/>
        <v>3.5643650873924169</v>
      </c>
      <c r="V27">
        <f t="shared" si="14"/>
        <v>55.826417221191683</v>
      </c>
      <c r="W27">
        <f t="shared" si="15"/>
        <v>1.9211408772242915</v>
      </c>
      <c r="X27">
        <f t="shared" si="16"/>
        <v>3.4412756054404783</v>
      </c>
      <c r="Y27">
        <f t="shared" si="17"/>
        <v>1.6432242101681254</v>
      </c>
      <c r="Z27">
        <f t="shared" si="18"/>
        <v>-304.62876405734602</v>
      </c>
      <c r="AA27">
        <f t="shared" si="19"/>
        <v>-108.59110051216931</v>
      </c>
      <c r="AB27">
        <f t="shared" si="20"/>
        <v>-6.9172004391665132</v>
      </c>
      <c r="AC27">
        <f t="shared" si="21"/>
        <v>-98.693059111950333</v>
      </c>
      <c r="AD27">
        <v>-4.1068354343072898E-2</v>
      </c>
      <c r="AE27">
        <v>4.6102825535540203E-2</v>
      </c>
      <c r="AF27">
        <v>3.4475538262709899</v>
      </c>
      <c r="AG27">
        <v>151</v>
      </c>
      <c r="AH27">
        <v>30</v>
      </c>
      <c r="AI27">
        <f t="shared" si="22"/>
        <v>1</v>
      </c>
      <c r="AJ27">
        <f t="shared" si="23"/>
        <v>0</v>
      </c>
      <c r="AK27">
        <f t="shared" si="24"/>
        <v>52485.897566820655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337</v>
      </c>
      <c r="AS27">
        <v>286.57492307692303</v>
      </c>
      <c r="AT27">
        <v>447.78199999999998</v>
      </c>
      <c r="AU27">
        <f t="shared" si="27"/>
        <v>0.36001240988489258</v>
      </c>
      <c r="AV27">
        <v>0.5</v>
      </c>
      <c r="AW27">
        <f t="shared" si="28"/>
        <v>1681.2162770960836</v>
      </c>
      <c r="AX27">
        <f t="shared" si="29"/>
        <v>50.325820758185749</v>
      </c>
      <c r="AY27">
        <f t="shared" si="30"/>
        <v>302.62936172753422</v>
      </c>
      <c r="AZ27">
        <f t="shared" si="31"/>
        <v>0.5837706741226758</v>
      </c>
      <c r="BA27">
        <f t="shared" si="32"/>
        <v>3.0528981581619801E-2</v>
      </c>
      <c r="BB27">
        <f t="shared" si="33"/>
        <v>-1</v>
      </c>
      <c r="BC27" t="s">
        <v>338</v>
      </c>
      <c r="BD27">
        <v>186.38</v>
      </c>
      <c r="BE27">
        <f t="shared" si="34"/>
        <v>261.40199999999999</v>
      </c>
      <c r="BF27">
        <f t="shared" si="35"/>
        <v>0.61670177321932107</v>
      </c>
      <c r="BG27">
        <f t="shared" si="36"/>
        <v>2.4025217297993349</v>
      </c>
      <c r="BH27">
        <f t="shared" si="37"/>
        <v>0.36001240988489258</v>
      </c>
      <c r="BI27" t="e">
        <f t="shared" si="38"/>
        <v>#DIV/0!</v>
      </c>
      <c r="BJ27">
        <v>6134</v>
      </c>
      <c r="BK27">
        <v>300</v>
      </c>
      <c r="BL27">
        <v>300</v>
      </c>
      <c r="BM27">
        <v>300</v>
      </c>
      <c r="BN27">
        <v>9874.0400000000009</v>
      </c>
      <c r="BO27">
        <v>403.13200000000001</v>
      </c>
      <c r="BP27">
        <v>-6.5682800000000001E-3</v>
      </c>
      <c r="BQ27">
        <v>2.00082</v>
      </c>
      <c r="BR27">
        <f t="shared" si="39"/>
        <v>2000.0225806451599</v>
      </c>
      <c r="BS27">
        <f t="shared" si="40"/>
        <v>1681.2162770960836</v>
      </c>
      <c r="BT27">
        <f t="shared" si="41"/>
        <v>0.84059864791814654</v>
      </c>
      <c r="BU27">
        <f t="shared" si="42"/>
        <v>0.19119729583629327</v>
      </c>
      <c r="BV27">
        <v>0.5</v>
      </c>
      <c r="BW27" t="s">
        <v>281</v>
      </c>
      <c r="BX27">
        <v>1597507246.5999999</v>
      </c>
      <c r="BY27">
        <v>678.07412903225804</v>
      </c>
      <c r="BZ27">
        <v>700.07541935483903</v>
      </c>
      <c r="CA27">
        <v>19.3543870967742</v>
      </c>
      <c r="CB27">
        <v>16.645112903225801</v>
      </c>
      <c r="CC27">
        <v>500.05922580645199</v>
      </c>
      <c r="CD27">
        <v>99.061238709677397</v>
      </c>
      <c r="CE27">
        <v>0.200022709677419</v>
      </c>
      <c r="CF27">
        <v>26.332770967741901</v>
      </c>
      <c r="CG27">
        <v>26.9294935483871</v>
      </c>
      <c r="CH27">
        <v>999.9</v>
      </c>
      <c r="CI27">
        <v>9997.6877419354896</v>
      </c>
      <c r="CJ27">
        <v>0</v>
      </c>
      <c r="CK27">
        <v>178.19438709677399</v>
      </c>
      <c r="CL27">
        <v>2000.0225806451599</v>
      </c>
      <c r="CM27">
        <v>0.97999551612903202</v>
      </c>
      <c r="CN27">
        <v>2.00048193548387E-2</v>
      </c>
      <c r="CO27">
        <v>0</v>
      </c>
      <c r="CP27">
        <v>286.62422580645199</v>
      </c>
      <c r="CQ27">
        <v>5.00054</v>
      </c>
      <c r="CR27">
        <v>7591.2319354838701</v>
      </c>
      <c r="CS27">
        <v>18703.825806451601</v>
      </c>
      <c r="CT27">
        <v>46.774000000000001</v>
      </c>
      <c r="CU27">
        <v>48.802193548387102</v>
      </c>
      <c r="CV27">
        <v>47.251903225806402</v>
      </c>
      <c r="CW27">
        <v>47.836451612903197</v>
      </c>
      <c r="CX27">
        <v>48.3725806451613</v>
      </c>
      <c r="CY27">
        <v>1955.1122580645199</v>
      </c>
      <c r="CZ27">
        <v>39.9103225806452</v>
      </c>
      <c r="DA27">
        <v>0</v>
      </c>
      <c r="DB27">
        <v>116.700000047684</v>
      </c>
      <c r="DC27">
        <v>286.57492307692303</v>
      </c>
      <c r="DD27">
        <v>-2.88321366485853</v>
      </c>
      <c r="DE27">
        <v>6.8629059876797296</v>
      </c>
      <c r="DF27">
        <v>7591.1415384615402</v>
      </c>
      <c r="DG27">
        <v>15</v>
      </c>
      <c r="DH27">
        <v>1597507283.5999999</v>
      </c>
      <c r="DI27" t="s">
        <v>339</v>
      </c>
      <c r="DJ27">
        <v>26</v>
      </c>
      <c r="DK27">
        <v>-0.251</v>
      </c>
      <c r="DL27">
        <v>0.106</v>
      </c>
      <c r="DM27">
        <v>700</v>
      </c>
      <c r="DN27">
        <v>16</v>
      </c>
      <c r="DO27">
        <v>0.1</v>
      </c>
      <c r="DP27">
        <v>0.03</v>
      </c>
      <c r="DQ27">
        <v>678.04861111111097</v>
      </c>
      <c r="DR27">
        <v>0.170424242424282</v>
      </c>
      <c r="DS27">
        <v>3.2045347883703099E-2</v>
      </c>
      <c r="DT27">
        <v>1</v>
      </c>
      <c r="DU27">
        <v>19.365246296296299</v>
      </c>
      <c r="DV27">
        <v>-2.2946598056032101E-2</v>
      </c>
      <c r="DW27">
        <v>1.6790878398514199E-2</v>
      </c>
      <c r="DX27">
        <v>1</v>
      </c>
      <c r="DY27">
        <v>2</v>
      </c>
      <c r="DZ27">
        <v>2</v>
      </c>
      <c r="EA27" t="s">
        <v>293</v>
      </c>
      <c r="EB27">
        <v>1.86676</v>
      </c>
      <c r="EC27">
        <v>1.8632500000000001</v>
      </c>
      <c r="ED27">
        <v>1.8689</v>
      </c>
      <c r="EE27">
        <v>1.8668499999999999</v>
      </c>
      <c r="EF27">
        <v>1.8714900000000001</v>
      </c>
      <c r="EG27">
        <v>1.8640099999999999</v>
      </c>
      <c r="EH27">
        <v>1.86554</v>
      </c>
      <c r="EI27">
        <v>1.86554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-0.251</v>
      </c>
      <c r="EX27">
        <v>0.106</v>
      </c>
      <c r="EY27">
        <v>2</v>
      </c>
      <c r="EZ27">
        <v>333.76100000000002</v>
      </c>
      <c r="FA27">
        <v>490.94799999999998</v>
      </c>
      <c r="FB27">
        <v>20.806100000000001</v>
      </c>
      <c r="FC27">
        <v>33.883600000000001</v>
      </c>
      <c r="FD27">
        <v>29.9986</v>
      </c>
      <c r="FE27">
        <v>33.857100000000003</v>
      </c>
      <c r="FF27">
        <v>33.860199999999999</v>
      </c>
      <c r="FG27">
        <v>34.481699999999996</v>
      </c>
      <c r="FH27">
        <v>48.240499999999997</v>
      </c>
      <c r="FI27">
        <v>0</v>
      </c>
      <c r="FJ27">
        <v>20.79</v>
      </c>
      <c r="FK27">
        <v>700</v>
      </c>
      <c r="FL27">
        <v>16.2836</v>
      </c>
      <c r="FM27">
        <v>100.678</v>
      </c>
      <c r="FN27">
        <v>101.20099999999999</v>
      </c>
    </row>
    <row r="28" spans="1:170" x14ac:dyDescent="0.25">
      <c r="A28">
        <v>12</v>
      </c>
      <c r="B28">
        <v>1597507392.0999999</v>
      </c>
      <c r="C28">
        <v>1634.6999998092699</v>
      </c>
      <c r="D28" t="s">
        <v>340</v>
      </c>
      <c r="E28" t="s">
        <v>341</v>
      </c>
      <c r="G28">
        <v>1597507384.0999999</v>
      </c>
      <c r="H28">
        <f t="shared" si="0"/>
        <v>6.0339810403978377E-3</v>
      </c>
      <c r="I28">
        <f t="shared" si="1"/>
        <v>51.731847356521115</v>
      </c>
      <c r="J28">
        <f t="shared" si="2"/>
        <v>777.46074193548395</v>
      </c>
      <c r="K28">
        <f t="shared" si="3"/>
        <v>521.30098129181351</v>
      </c>
      <c r="L28">
        <f t="shared" si="4"/>
        <v>51.746103185101454</v>
      </c>
      <c r="M28">
        <f t="shared" si="5"/>
        <v>77.17338968913019</v>
      </c>
      <c r="N28">
        <f t="shared" si="6"/>
        <v>0.36542548096237798</v>
      </c>
      <c r="O28">
        <f t="shared" si="7"/>
        <v>3.3756878614465333</v>
      </c>
      <c r="P28">
        <f t="shared" si="8"/>
        <v>0.34478524954824497</v>
      </c>
      <c r="Q28">
        <f t="shared" si="9"/>
        <v>0.21724801359768198</v>
      </c>
      <c r="R28">
        <f t="shared" si="10"/>
        <v>321.43796419092678</v>
      </c>
      <c r="S28">
        <f t="shared" si="11"/>
        <v>26.769008763378597</v>
      </c>
      <c r="T28">
        <f t="shared" si="12"/>
        <v>27.1222225806452</v>
      </c>
      <c r="U28">
        <f t="shared" si="13"/>
        <v>3.6049330972397828</v>
      </c>
      <c r="V28">
        <f t="shared" si="14"/>
        <v>55.187294530726263</v>
      </c>
      <c r="W28">
        <f t="shared" si="15"/>
        <v>1.9160655483211524</v>
      </c>
      <c r="X28">
        <f t="shared" si="16"/>
        <v>3.4719323797515704</v>
      </c>
      <c r="Y28">
        <f t="shared" si="17"/>
        <v>1.6888675489186304</v>
      </c>
      <c r="Z28">
        <f t="shared" si="18"/>
        <v>-266.09856388154464</v>
      </c>
      <c r="AA28">
        <f t="shared" si="19"/>
        <v>-116.31162387001756</v>
      </c>
      <c r="AB28">
        <f t="shared" si="20"/>
        <v>-7.4212834143176964</v>
      </c>
      <c r="AC28">
        <f t="shared" si="21"/>
        <v>-68.393506974953127</v>
      </c>
      <c r="AD28">
        <v>-4.1071472514958601E-2</v>
      </c>
      <c r="AE28">
        <v>4.6106325956648701E-2</v>
      </c>
      <c r="AF28">
        <v>3.4477610995930701</v>
      </c>
      <c r="AG28">
        <v>150</v>
      </c>
      <c r="AH28">
        <v>30</v>
      </c>
      <c r="AI28">
        <f t="shared" si="22"/>
        <v>1</v>
      </c>
      <c r="AJ28">
        <f t="shared" si="23"/>
        <v>0</v>
      </c>
      <c r="AK28">
        <f t="shared" si="24"/>
        <v>52463.416162999434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342</v>
      </c>
      <c r="AS28">
        <v>283.55969230769199</v>
      </c>
      <c r="AT28">
        <v>443.51400000000001</v>
      </c>
      <c r="AU28">
        <f t="shared" si="27"/>
        <v>0.36065221772550138</v>
      </c>
      <c r="AV28">
        <v>0.5</v>
      </c>
      <c r="AW28">
        <f t="shared" si="28"/>
        <v>1681.1845641928578</v>
      </c>
      <c r="AX28">
        <f t="shared" si="29"/>
        <v>51.731847356521115</v>
      </c>
      <c r="AY28">
        <f t="shared" si="30"/>
        <v>303.16147074101735</v>
      </c>
      <c r="AZ28">
        <f t="shared" si="31"/>
        <v>0.58639411608201775</v>
      </c>
      <c r="BA28">
        <f t="shared" si="32"/>
        <v>3.1365888362077515E-2</v>
      </c>
      <c r="BB28">
        <f t="shared" si="33"/>
        <v>-1</v>
      </c>
      <c r="BC28" t="s">
        <v>343</v>
      </c>
      <c r="BD28">
        <v>183.44</v>
      </c>
      <c r="BE28">
        <f t="shared" si="34"/>
        <v>260.07400000000001</v>
      </c>
      <c r="BF28">
        <f t="shared" si="35"/>
        <v>0.61503382765023806</v>
      </c>
      <c r="BG28">
        <f t="shared" si="36"/>
        <v>2.4177605756650675</v>
      </c>
      <c r="BH28">
        <f t="shared" si="37"/>
        <v>0.36065221772550138</v>
      </c>
      <c r="BI28" t="e">
        <f t="shared" si="38"/>
        <v>#DIV/0!</v>
      </c>
      <c r="BJ28">
        <v>6136</v>
      </c>
      <c r="BK28">
        <v>300</v>
      </c>
      <c r="BL28">
        <v>300</v>
      </c>
      <c r="BM28">
        <v>300</v>
      </c>
      <c r="BN28">
        <v>9873.65</v>
      </c>
      <c r="BO28">
        <v>401.30099999999999</v>
      </c>
      <c r="BP28">
        <v>-6.5681400000000001E-3</v>
      </c>
      <c r="BQ28">
        <v>2.0127299999999999</v>
      </c>
      <c r="BR28">
        <f t="shared" si="39"/>
        <v>1999.9848387096799</v>
      </c>
      <c r="BS28">
        <f t="shared" si="40"/>
        <v>1681.1845641928578</v>
      </c>
      <c r="BT28">
        <f t="shared" si="41"/>
        <v>0.84059865437654968</v>
      </c>
      <c r="BU28">
        <f t="shared" si="42"/>
        <v>0.19119730875309945</v>
      </c>
      <c r="BV28">
        <v>0.5</v>
      </c>
      <c r="BW28" t="s">
        <v>281</v>
      </c>
      <c r="BX28">
        <v>1597507384.0999999</v>
      </c>
      <c r="BY28">
        <v>777.46074193548395</v>
      </c>
      <c r="BZ28">
        <v>800.02703225806499</v>
      </c>
      <c r="CA28">
        <v>19.302841935483901</v>
      </c>
      <c r="CB28">
        <v>16.936145161290298</v>
      </c>
      <c r="CC28">
        <v>500.06474193548399</v>
      </c>
      <c r="CD28">
        <v>99.063380645161303</v>
      </c>
      <c r="CE28">
        <v>0.20001045161290301</v>
      </c>
      <c r="CF28">
        <v>26.483112903225798</v>
      </c>
      <c r="CG28">
        <v>27.1222225806452</v>
      </c>
      <c r="CH28">
        <v>999.9</v>
      </c>
      <c r="CI28">
        <v>9998.2306451612894</v>
      </c>
      <c r="CJ28">
        <v>0</v>
      </c>
      <c r="CK28">
        <v>155.69138709677401</v>
      </c>
      <c r="CL28">
        <v>1999.9848387096799</v>
      </c>
      <c r="CM28">
        <v>0.97999606451612897</v>
      </c>
      <c r="CN28">
        <v>2.00043161290323E-2</v>
      </c>
      <c r="CO28">
        <v>0</v>
      </c>
      <c r="CP28">
        <v>283.57125806451597</v>
      </c>
      <c r="CQ28">
        <v>5.00054</v>
      </c>
      <c r="CR28">
        <v>7311.7377419354798</v>
      </c>
      <c r="CS28">
        <v>18703.4774193548</v>
      </c>
      <c r="CT28">
        <v>46.802096774193501</v>
      </c>
      <c r="CU28">
        <v>48.872967741935497</v>
      </c>
      <c r="CV28">
        <v>47.318258064516101</v>
      </c>
      <c r="CW28">
        <v>47.840451612903202</v>
      </c>
      <c r="CX28">
        <v>48.395000000000003</v>
      </c>
      <c r="CY28">
        <v>1955.0748387096801</v>
      </c>
      <c r="CZ28">
        <v>39.909999999999997</v>
      </c>
      <c r="DA28">
        <v>0</v>
      </c>
      <c r="DB28">
        <v>137</v>
      </c>
      <c r="DC28">
        <v>283.55969230769199</v>
      </c>
      <c r="DD28">
        <v>-0.31644444469136901</v>
      </c>
      <c r="DE28">
        <v>-593.64205177456995</v>
      </c>
      <c r="DF28">
        <v>7305.3942307692296</v>
      </c>
      <c r="DG28">
        <v>15</v>
      </c>
      <c r="DH28">
        <v>1597507421.5999999</v>
      </c>
      <c r="DI28" t="s">
        <v>344</v>
      </c>
      <c r="DJ28">
        <v>27</v>
      </c>
      <c r="DK28">
        <v>-0.3</v>
      </c>
      <c r="DL28">
        <v>0.115</v>
      </c>
      <c r="DM28">
        <v>800</v>
      </c>
      <c r="DN28">
        <v>17</v>
      </c>
      <c r="DO28">
        <v>0.22</v>
      </c>
      <c r="DP28">
        <v>0.03</v>
      </c>
      <c r="DQ28">
        <v>777.482296296296</v>
      </c>
      <c r="DR28">
        <v>0.271789705698262</v>
      </c>
      <c r="DS28">
        <v>5.32734488901681E-2</v>
      </c>
      <c r="DT28">
        <v>1</v>
      </c>
      <c r="DU28">
        <v>19.296735185185199</v>
      </c>
      <c r="DV28">
        <v>-2.6225781261515299E-2</v>
      </c>
      <c r="DW28">
        <v>4.6424832677816903E-3</v>
      </c>
      <c r="DX28">
        <v>1</v>
      </c>
      <c r="DY28">
        <v>2</v>
      </c>
      <c r="DZ28">
        <v>2</v>
      </c>
      <c r="EA28" t="s">
        <v>293</v>
      </c>
      <c r="EB28">
        <v>1.8666499999999999</v>
      </c>
      <c r="EC28">
        <v>1.86324</v>
      </c>
      <c r="ED28">
        <v>1.8688800000000001</v>
      </c>
      <c r="EE28">
        <v>1.86677</v>
      </c>
      <c r="EF28">
        <v>1.8714900000000001</v>
      </c>
      <c r="EG28">
        <v>1.8639699999999999</v>
      </c>
      <c r="EH28">
        <v>1.86554</v>
      </c>
      <c r="EI28">
        <v>1.8654500000000001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-0.3</v>
      </c>
      <c r="EX28">
        <v>0.115</v>
      </c>
      <c r="EY28">
        <v>2</v>
      </c>
      <c r="EZ28">
        <v>334.21800000000002</v>
      </c>
      <c r="FA28">
        <v>490.49900000000002</v>
      </c>
      <c r="FB28">
        <v>20.757899999999999</v>
      </c>
      <c r="FC28">
        <v>33.945500000000003</v>
      </c>
      <c r="FD28">
        <v>30.001200000000001</v>
      </c>
      <c r="FE28">
        <v>33.919600000000003</v>
      </c>
      <c r="FF28">
        <v>33.917900000000003</v>
      </c>
      <c r="FG28">
        <v>38.426900000000003</v>
      </c>
      <c r="FH28">
        <v>45.896000000000001</v>
      </c>
      <c r="FI28">
        <v>0</v>
      </c>
      <c r="FJ28">
        <v>20.699400000000001</v>
      </c>
      <c r="FK28">
        <v>800</v>
      </c>
      <c r="FL28">
        <v>16.876000000000001</v>
      </c>
      <c r="FM28">
        <v>100.65900000000001</v>
      </c>
      <c r="FN28">
        <v>101.187</v>
      </c>
    </row>
    <row r="29" spans="1:170" x14ac:dyDescent="0.25">
      <c r="A29">
        <v>13</v>
      </c>
      <c r="B29">
        <v>1597507518.5999999</v>
      </c>
      <c r="C29">
        <v>1761.1999998092699</v>
      </c>
      <c r="D29" t="s">
        <v>345</v>
      </c>
      <c r="E29" t="s">
        <v>346</v>
      </c>
      <c r="G29">
        <v>1597507510.5999999</v>
      </c>
      <c r="H29">
        <f t="shared" si="0"/>
        <v>5.2962738638391649E-3</v>
      </c>
      <c r="I29">
        <f t="shared" si="1"/>
        <v>54.268236076613654</v>
      </c>
      <c r="J29">
        <f t="shared" si="2"/>
        <v>976.18048387096803</v>
      </c>
      <c r="K29">
        <f t="shared" si="3"/>
        <v>666.67258498546369</v>
      </c>
      <c r="L29">
        <f t="shared" si="4"/>
        <v>66.17828149103552</v>
      </c>
      <c r="M29">
        <f t="shared" si="5"/>
        <v>96.902060025577299</v>
      </c>
      <c r="N29">
        <f t="shared" si="6"/>
        <v>0.31649072634991177</v>
      </c>
      <c r="O29">
        <f t="shared" si="7"/>
        <v>3.3774297290173019</v>
      </c>
      <c r="P29">
        <f t="shared" si="8"/>
        <v>0.30088913957989255</v>
      </c>
      <c r="Q29">
        <f t="shared" si="9"/>
        <v>0.18939334399234359</v>
      </c>
      <c r="R29">
        <f t="shared" si="10"/>
        <v>321.43678006721007</v>
      </c>
      <c r="S29">
        <f t="shared" si="11"/>
        <v>26.719523464498561</v>
      </c>
      <c r="T29">
        <f t="shared" si="12"/>
        <v>27.0216064516129</v>
      </c>
      <c r="U29">
        <f t="shared" si="13"/>
        <v>3.583704164243652</v>
      </c>
      <c r="V29">
        <f t="shared" si="14"/>
        <v>54.979842267995693</v>
      </c>
      <c r="W29">
        <f t="shared" si="15"/>
        <v>1.8845330125514146</v>
      </c>
      <c r="X29">
        <f t="shared" si="16"/>
        <v>3.4276799183333049</v>
      </c>
      <c r="Y29">
        <f t="shared" si="17"/>
        <v>1.6991711516922374</v>
      </c>
      <c r="Z29">
        <f t="shared" si="18"/>
        <v>-233.56567739530718</v>
      </c>
      <c r="AA29">
        <f t="shared" si="19"/>
        <v>-137.63435237465424</v>
      </c>
      <c r="AB29">
        <f t="shared" si="20"/>
        <v>-8.7633008097198246</v>
      </c>
      <c r="AC29">
        <f t="shared" si="21"/>
        <v>-58.526550512471204</v>
      </c>
      <c r="AD29">
        <v>-4.1098390759212899E-2</v>
      </c>
      <c r="AE29">
        <v>4.6136544043991902E-2</v>
      </c>
      <c r="AF29">
        <v>3.4495502039661701</v>
      </c>
      <c r="AG29">
        <v>151</v>
      </c>
      <c r="AH29">
        <v>30</v>
      </c>
      <c r="AI29">
        <f t="shared" si="22"/>
        <v>1</v>
      </c>
      <c r="AJ29">
        <f t="shared" si="23"/>
        <v>0</v>
      </c>
      <c r="AK29">
        <f t="shared" si="24"/>
        <v>52534.597047490177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347</v>
      </c>
      <c r="AS29">
        <v>280.82015384615403</v>
      </c>
      <c r="AT29">
        <v>434.56400000000002</v>
      </c>
      <c r="AU29">
        <f t="shared" si="27"/>
        <v>0.3537887311278568</v>
      </c>
      <c r="AV29">
        <v>0.5</v>
      </c>
      <c r="AW29">
        <f t="shared" si="28"/>
        <v>1681.178331934791</v>
      </c>
      <c r="AX29">
        <f t="shared" si="29"/>
        <v>54.268236076613654</v>
      </c>
      <c r="AY29">
        <f t="shared" si="30"/>
        <v>297.39097442742826</v>
      </c>
      <c r="AZ29">
        <f t="shared" si="31"/>
        <v>0.57805984849182168</v>
      </c>
      <c r="BA29">
        <f t="shared" si="32"/>
        <v>3.2874701646319685E-2</v>
      </c>
      <c r="BB29">
        <f t="shared" si="33"/>
        <v>-1</v>
      </c>
      <c r="BC29" t="s">
        <v>348</v>
      </c>
      <c r="BD29">
        <v>183.36</v>
      </c>
      <c r="BE29">
        <f t="shared" si="34"/>
        <v>251.20400000000001</v>
      </c>
      <c r="BF29">
        <f t="shared" si="35"/>
        <v>0.61202785844909313</v>
      </c>
      <c r="BG29">
        <f t="shared" si="36"/>
        <v>2.3700043630017453</v>
      </c>
      <c r="BH29">
        <f t="shared" si="37"/>
        <v>0.35378873112785686</v>
      </c>
      <c r="BI29" t="e">
        <f t="shared" si="38"/>
        <v>#DIV/0!</v>
      </c>
      <c r="BJ29">
        <v>6138</v>
      </c>
      <c r="BK29">
        <v>300</v>
      </c>
      <c r="BL29">
        <v>300</v>
      </c>
      <c r="BM29">
        <v>300</v>
      </c>
      <c r="BN29">
        <v>9873.7999999999993</v>
      </c>
      <c r="BO29">
        <v>393.22</v>
      </c>
      <c r="BP29">
        <v>-6.5682800000000001E-3</v>
      </c>
      <c r="BQ29">
        <v>1.38812</v>
      </c>
      <c r="BR29">
        <f t="shared" si="39"/>
        <v>1999.9774193548401</v>
      </c>
      <c r="BS29">
        <f t="shared" si="40"/>
        <v>1681.178331934791</v>
      </c>
      <c r="BT29">
        <f t="shared" si="41"/>
        <v>0.84059865659738875</v>
      </c>
      <c r="BU29">
        <f t="shared" si="42"/>
        <v>0.19119731319477762</v>
      </c>
      <c r="BV29">
        <v>0.5</v>
      </c>
      <c r="BW29" t="s">
        <v>281</v>
      </c>
      <c r="BX29">
        <v>1597507510.5999999</v>
      </c>
      <c r="BY29">
        <v>976.18048387096803</v>
      </c>
      <c r="BZ29">
        <v>999.95261290322605</v>
      </c>
      <c r="CA29">
        <v>18.984574193548401</v>
      </c>
      <c r="CB29">
        <v>16.906564516128999</v>
      </c>
      <c r="CC29">
        <v>500.067580645161</v>
      </c>
      <c r="CD29">
        <v>99.066574193548405</v>
      </c>
      <c r="CE29">
        <v>0.19996680645161299</v>
      </c>
      <c r="CF29">
        <v>26.2657225806452</v>
      </c>
      <c r="CG29">
        <v>27.0216064516129</v>
      </c>
      <c r="CH29">
        <v>999.9</v>
      </c>
      <c r="CI29">
        <v>10004.460967741899</v>
      </c>
      <c r="CJ29">
        <v>0</v>
      </c>
      <c r="CK29">
        <v>184.654161290323</v>
      </c>
      <c r="CL29">
        <v>1999.9774193548401</v>
      </c>
      <c r="CM29">
        <v>0.97999522580645204</v>
      </c>
      <c r="CN29">
        <v>2.00050709677419E-2</v>
      </c>
      <c r="CO29">
        <v>0</v>
      </c>
      <c r="CP29">
        <v>280.878193548387</v>
      </c>
      <c r="CQ29">
        <v>5.00054</v>
      </c>
      <c r="CR29">
        <v>7501.1990322580596</v>
      </c>
      <c r="CS29">
        <v>18703.380645161302</v>
      </c>
      <c r="CT29">
        <v>46.832451612903199</v>
      </c>
      <c r="CU29">
        <v>48.850612903225802</v>
      </c>
      <c r="CV29">
        <v>47.312064516128999</v>
      </c>
      <c r="CW29">
        <v>47.824322580645202</v>
      </c>
      <c r="CX29">
        <v>48.372838709677403</v>
      </c>
      <c r="CY29">
        <v>1955.06741935484</v>
      </c>
      <c r="CZ29">
        <v>39.909999999999997</v>
      </c>
      <c r="DA29">
        <v>0</v>
      </c>
      <c r="DB29">
        <v>126.10000014305101</v>
      </c>
      <c r="DC29">
        <v>280.82015384615403</v>
      </c>
      <c r="DD29">
        <v>-3.3443418693123101</v>
      </c>
      <c r="DE29">
        <v>-220.25880346569301</v>
      </c>
      <c r="DF29">
        <v>7498.5050000000001</v>
      </c>
      <c r="DG29">
        <v>15</v>
      </c>
      <c r="DH29">
        <v>1597507558.2</v>
      </c>
      <c r="DI29" t="s">
        <v>349</v>
      </c>
      <c r="DJ29">
        <v>28</v>
      </c>
      <c r="DK29">
        <v>-6.0000000000000001E-3</v>
      </c>
      <c r="DL29">
        <v>0.11700000000000001</v>
      </c>
      <c r="DM29">
        <v>1000</v>
      </c>
      <c r="DN29">
        <v>17</v>
      </c>
      <c r="DO29">
        <v>0.16</v>
      </c>
      <c r="DP29">
        <v>0.04</v>
      </c>
      <c r="DQ29">
        <v>975.85594444444496</v>
      </c>
      <c r="DR29">
        <v>0.28451915380237802</v>
      </c>
      <c r="DS29">
        <v>4.5588098132712702E-2</v>
      </c>
      <c r="DT29">
        <v>1</v>
      </c>
      <c r="DU29">
        <v>18.968003703703701</v>
      </c>
      <c r="DV29">
        <v>0.13952292738708699</v>
      </c>
      <c r="DW29">
        <v>2.3231890302412499E-2</v>
      </c>
      <c r="DX29">
        <v>1</v>
      </c>
      <c r="DY29">
        <v>2</v>
      </c>
      <c r="DZ29">
        <v>2</v>
      </c>
      <c r="EA29" t="s">
        <v>293</v>
      </c>
      <c r="EB29">
        <v>1.86673</v>
      </c>
      <c r="EC29">
        <v>1.8632500000000001</v>
      </c>
      <c r="ED29">
        <v>1.8689</v>
      </c>
      <c r="EE29">
        <v>1.8668</v>
      </c>
      <c r="EF29">
        <v>1.8714900000000001</v>
      </c>
      <c r="EG29">
        <v>1.8640099999999999</v>
      </c>
      <c r="EH29">
        <v>1.86554</v>
      </c>
      <c r="EI29">
        <v>1.86554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-6.0000000000000001E-3</v>
      </c>
      <c r="EX29">
        <v>0.11700000000000001</v>
      </c>
      <c r="EY29">
        <v>2</v>
      </c>
      <c r="EZ29">
        <v>333.88</v>
      </c>
      <c r="FA29">
        <v>490.54500000000002</v>
      </c>
      <c r="FB29">
        <v>20.9117</v>
      </c>
      <c r="FC29">
        <v>33.976100000000002</v>
      </c>
      <c r="FD29">
        <v>30</v>
      </c>
      <c r="FE29">
        <v>33.956299999999999</v>
      </c>
      <c r="FF29">
        <v>33.957299999999996</v>
      </c>
      <c r="FG29">
        <v>45.998699999999999</v>
      </c>
      <c r="FH29">
        <v>46.029699999999998</v>
      </c>
      <c r="FI29">
        <v>0</v>
      </c>
      <c r="FJ29">
        <v>20.912199999999999</v>
      </c>
      <c r="FK29">
        <v>1000</v>
      </c>
      <c r="FL29">
        <v>16.957799999999999</v>
      </c>
      <c r="FM29">
        <v>100.657</v>
      </c>
      <c r="FN29">
        <v>101.18300000000001</v>
      </c>
    </row>
    <row r="30" spans="1:170" x14ac:dyDescent="0.25">
      <c r="A30">
        <v>14</v>
      </c>
      <c r="B30">
        <v>1597507649.5999999</v>
      </c>
      <c r="C30">
        <v>1892.1999998092699</v>
      </c>
      <c r="D30" t="s">
        <v>350</v>
      </c>
      <c r="E30" t="s">
        <v>351</v>
      </c>
      <c r="G30">
        <v>1597507641.6064501</v>
      </c>
      <c r="H30">
        <f t="shared" si="0"/>
        <v>4.8413122050618247E-3</v>
      </c>
      <c r="I30">
        <f t="shared" si="1"/>
        <v>54.624193148348901</v>
      </c>
      <c r="J30">
        <f t="shared" si="2"/>
        <v>1175.8357741935499</v>
      </c>
      <c r="K30">
        <f t="shared" si="3"/>
        <v>830.66314784883514</v>
      </c>
      <c r="L30">
        <f t="shared" si="4"/>
        <v>82.457145607397067</v>
      </c>
      <c r="M30">
        <f t="shared" si="5"/>
        <v>116.72127491649377</v>
      </c>
      <c r="N30">
        <f t="shared" si="6"/>
        <v>0.28681106127166561</v>
      </c>
      <c r="O30">
        <f t="shared" si="7"/>
        <v>3.3801695361660702</v>
      </c>
      <c r="P30">
        <f t="shared" si="8"/>
        <v>0.27394439100446494</v>
      </c>
      <c r="Q30">
        <f t="shared" si="9"/>
        <v>0.17232315794738073</v>
      </c>
      <c r="R30">
        <f t="shared" si="10"/>
        <v>321.44208288211433</v>
      </c>
      <c r="S30">
        <f t="shared" si="11"/>
        <v>26.610936385061365</v>
      </c>
      <c r="T30">
        <f t="shared" si="12"/>
        <v>27.014525806451601</v>
      </c>
      <c r="U30">
        <f t="shared" si="13"/>
        <v>3.5822143420436046</v>
      </c>
      <c r="V30">
        <f t="shared" si="14"/>
        <v>55.424869724964765</v>
      </c>
      <c r="W30">
        <f t="shared" si="15"/>
        <v>1.8761453952182197</v>
      </c>
      <c r="X30">
        <f t="shared" si="16"/>
        <v>3.3850244565810073</v>
      </c>
      <c r="Y30">
        <f t="shared" si="17"/>
        <v>1.7060689468253849</v>
      </c>
      <c r="Z30">
        <f t="shared" si="18"/>
        <v>-213.50186824322648</v>
      </c>
      <c r="AA30">
        <f t="shared" si="19"/>
        <v>-175.06646715729732</v>
      </c>
      <c r="AB30">
        <f t="shared" si="20"/>
        <v>-11.125409217723233</v>
      </c>
      <c r="AC30">
        <f t="shared" si="21"/>
        <v>-78.251661736132718</v>
      </c>
      <c r="AD30">
        <v>-4.1140743400496199E-2</v>
      </c>
      <c r="AE30">
        <v>4.6184088594127599E-2</v>
      </c>
      <c r="AF30">
        <v>3.4523643325797999</v>
      </c>
      <c r="AG30">
        <v>151</v>
      </c>
      <c r="AH30">
        <v>30</v>
      </c>
      <c r="AI30">
        <f t="shared" si="22"/>
        <v>1</v>
      </c>
      <c r="AJ30">
        <f t="shared" si="23"/>
        <v>0</v>
      </c>
      <c r="AK30">
        <f t="shared" si="24"/>
        <v>52623.76771988847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352</v>
      </c>
      <c r="AS30">
        <v>276.93538461538498</v>
      </c>
      <c r="AT30">
        <v>422.58699999999999</v>
      </c>
      <c r="AU30">
        <f t="shared" si="27"/>
        <v>0.34466657844329096</v>
      </c>
      <c r="AV30">
        <v>0.5</v>
      </c>
      <c r="AW30">
        <f t="shared" si="28"/>
        <v>1681.2062416122142</v>
      </c>
      <c r="AX30">
        <f t="shared" si="29"/>
        <v>54.624193148348901</v>
      </c>
      <c r="AY30">
        <f t="shared" si="30"/>
        <v>289.72780147699331</v>
      </c>
      <c r="AZ30">
        <f t="shared" si="31"/>
        <v>0.57367358674071844</v>
      </c>
      <c r="BA30">
        <f t="shared" si="32"/>
        <v>3.3085883082974624E-2</v>
      </c>
      <c r="BB30">
        <f t="shared" si="33"/>
        <v>-1</v>
      </c>
      <c r="BC30" t="s">
        <v>353</v>
      </c>
      <c r="BD30">
        <v>180.16</v>
      </c>
      <c r="BE30">
        <f t="shared" si="34"/>
        <v>242.42699999999999</v>
      </c>
      <c r="BF30">
        <f t="shared" si="35"/>
        <v>0.60080607929238494</v>
      </c>
      <c r="BG30">
        <f t="shared" si="36"/>
        <v>2.3456205595026645</v>
      </c>
      <c r="BH30">
        <f t="shared" si="37"/>
        <v>0.34466657844329102</v>
      </c>
      <c r="BI30" t="e">
        <f t="shared" si="38"/>
        <v>#DIV/0!</v>
      </c>
      <c r="BJ30">
        <v>6140</v>
      </c>
      <c r="BK30">
        <v>300</v>
      </c>
      <c r="BL30">
        <v>300</v>
      </c>
      <c r="BM30">
        <v>300</v>
      </c>
      <c r="BN30">
        <v>9873.67</v>
      </c>
      <c r="BO30">
        <v>381.851</v>
      </c>
      <c r="BP30">
        <v>-6.5680399999999998E-3</v>
      </c>
      <c r="BQ30">
        <v>1.3114300000000001</v>
      </c>
      <c r="BR30">
        <f t="shared" si="39"/>
        <v>2000.0106451612901</v>
      </c>
      <c r="BS30">
        <f t="shared" si="40"/>
        <v>1681.2062416122142</v>
      </c>
      <c r="BT30">
        <f t="shared" si="41"/>
        <v>0.84059864665202022</v>
      </c>
      <c r="BU30">
        <f t="shared" si="42"/>
        <v>0.19119729330404064</v>
      </c>
      <c r="BV30">
        <v>0.5</v>
      </c>
      <c r="BW30" t="s">
        <v>281</v>
      </c>
      <c r="BX30">
        <v>1597507641.6064501</v>
      </c>
      <c r="BY30">
        <v>1175.8357741935499</v>
      </c>
      <c r="BZ30">
        <v>1199.9596774193501</v>
      </c>
      <c r="CA30">
        <v>18.900058064516099</v>
      </c>
      <c r="CB30">
        <v>17.000354838709701</v>
      </c>
      <c r="CC30">
        <v>500.05822580645201</v>
      </c>
      <c r="CD30">
        <v>99.066667741935504</v>
      </c>
      <c r="CE30">
        <v>0.19997941935483901</v>
      </c>
      <c r="CF30">
        <v>26.053845161290301</v>
      </c>
      <c r="CG30">
        <v>27.014525806451601</v>
      </c>
      <c r="CH30">
        <v>999.9</v>
      </c>
      <c r="CI30">
        <v>10014.7612903226</v>
      </c>
      <c r="CJ30">
        <v>0</v>
      </c>
      <c r="CK30">
        <v>167.66445161290301</v>
      </c>
      <c r="CL30">
        <v>2000.0106451612901</v>
      </c>
      <c r="CM30">
        <v>0.97999599999999998</v>
      </c>
      <c r="CN30">
        <v>2.0004399999999999E-2</v>
      </c>
      <c r="CO30">
        <v>0</v>
      </c>
      <c r="CP30">
        <v>276.97570967741899</v>
      </c>
      <c r="CQ30">
        <v>5.00054</v>
      </c>
      <c r="CR30">
        <v>7287.5593548387096</v>
      </c>
      <c r="CS30">
        <v>18703.712903225802</v>
      </c>
      <c r="CT30">
        <v>46.9533225806451</v>
      </c>
      <c r="CU30">
        <v>48.997967741935497</v>
      </c>
      <c r="CV30">
        <v>47.433</v>
      </c>
      <c r="CW30">
        <v>47.953193548387098</v>
      </c>
      <c r="CX30">
        <v>48.412999999999997</v>
      </c>
      <c r="CY30">
        <v>1955.10064516129</v>
      </c>
      <c r="CZ30">
        <v>39.909999999999997</v>
      </c>
      <c r="DA30">
        <v>0</v>
      </c>
      <c r="DB30">
        <v>130.40000009536701</v>
      </c>
      <c r="DC30">
        <v>276.93538461538498</v>
      </c>
      <c r="DD30">
        <v>-2.0616068306985702</v>
      </c>
      <c r="DE30">
        <v>266.28547043697898</v>
      </c>
      <c r="DF30">
        <v>7290.3065384615402</v>
      </c>
      <c r="DG30">
        <v>15</v>
      </c>
      <c r="DH30">
        <v>1597507674.0999999</v>
      </c>
      <c r="DI30" t="s">
        <v>354</v>
      </c>
      <c r="DJ30">
        <v>29</v>
      </c>
      <c r="DK30">
        <v>3.0000000000000001E-3</v>
      </c>
      <c r="DL30">
        <v>0.11700000000000001</v>
      </c>
      <c r="DM30">
        <v>1200</v>
      </c>
      <c r="DN30">
        <v>17</v>
      </c>
      <c r="DO30">
        <v>0.16</v>
      </c>
      <c r="DP30">
        <v>0.05</v>
      </c>
      <c r="DQ30">
        <v>1175.82203703704</v>
      </c>
      <c r="DR30">
        <v>5.1741682065216899E-2</v>
      </c>
      <c r="DS30">
        <v>7.0484556481062097E-2</v>
      </c>
      <c r="DT30">
        <v>1</v>
      </c>
      <c r="DU30">
        <v>18.895416666666701</v>
      </c>
      <c r="DV30">
        <v>5.8962410362175699E-2</v>
      </c>
      <c r="DW30">
        <v>1.6502937448964802E-2</v>
      </c>
      <c r="DX30">
        <v>1</v>
      </c>
      <c r="DY30">
        <v>2</v>
      </c>
      <c r="DZ30">
        <v>2</v>
      </c>
      <c r="EA30" t="s">
        <v>293</v>
      </c>
      <c r="EB30">
        <v>1.86673</v>
      </c>
      <c r="EC30">
        <v>1.8632500000000001</v>
      </c>
      <c r="ED30">
        <v>1.8689</v>
      </c>
      <c r="EE30">
        <v>1.8668199999999999</v>
      </c>
      <c r="EF30">
        <v>1.8714900000000001</v>
      </c>
      <c r="EG30">
        <v>1.8640099999999999</v>
      </c>
      <c r="EH30">
        <v>1.86554</v>
      </c>
      <c r="EI30">
        <v>1.86554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3.0000000000000001E-3</v>
      </c>
      <c r="EX30">
        <v>0.11700000000000001</v>
      </c>
      <c r="EY30">
        <v>2</v>
      </c>
      <c r="EZ30">
        <v>333.596</v>
      </c>
      <c r="FA30">
        <v>490.07100000000003</v>
      </c>
      <c r="FB30">
        <v>20.560199999999998</v>
      </c>
      <c r="FC30">
        <v>34.037500000000001</v>
      </c>
      <c r="FD30">
        <v>29.998000000000001</v>
      </c>
      <c r="FE30">
        <v>34.0122</v>
      </c>
      <c r="FF30">
        <v>34.012</v>
      </c>
      <c r="FG30">
        <v>53.247500000000002</v>
      </c>
      <c r="FH30">
        <v>46.541400000000003</v>
      </c>
      <c r="FI30">
        <v>0</v>
      </c>
      <c r="FJ30">
        <v>20.543099999999999</v>
      </c>
      <c r="FK30">
        <v>1200</v>
      </c>
      <c r="FL30">
        <v>16.841200000000001</v>
      </c>
      <c r="FM30">
        <v>100.648</v>
      </c>
      <c r="FN30">
        <v>101.175</v>
      </c>
    </row>
    <row r="31" spans="1:170" x14ac:dyDescent="0.25">
      <c r="A31">
        <v>15</v>
      </c>
      <c r="B31">
        <v>1597507765.5999999</v>
      </c>
      <c r="C31">
        <v>2008.1999998092699</v>
      </c>
      <c r="D31" t="s">
        <v>355</v>
      </c>
      <c r="E31" t="s">
        <v>356</v>
      </c>
      <c r="G31">
        <v>1597507757.6516099</v>
      </c>
      <c r="H31">
        <f t="shared" si="0"/>
        <v>4.5722245128984613E-3</v>
      </c>
      <c r="I31">
        <f t="shared" si="1"/>
        <v>53.921996730321965</v>
      </c>
      <c r="J31">
        <f t="shared" si="2"/>
        <v>1575.547</v>
      </c>
      <c r="K31">
        <f t="shared" si="3"/>
        <v>1201.8833420111851</v>
      </c>
      <c r="L31">
        <f t="shared" si="4"/>
        <v>119.30286269985</v>
      </c>
      <c r="M31">
        <f t="shared" si="5"/>
        <v>156.39393678892614</v>
      </c>
      <c r="N31">
        <f t="shared" si="6"/>
        <v>0.2677866482213449</v>
      </c>
      <c r="O31">
        <f t="shared" si="7"/>
        <v>3.3763039665459509</v>
      </c>
      <c r="P31">
        <f t="shared" si="8"/>
        <v>0.25652198621590944</v>
      </c>
      <c r="Q31">
        <f t="shared" si="9"/>
        <v>0.16129883917807139</v>
      </c>
      <c r="R31">
        <f t="shared" si="10"/>
        <v>321.43953041944809</v>
      </c>
      <c r="S31">
        <f t="shared" si="11"/>
        <v>26.444248194078689</v>
      </c>
      <c r="T31">
        <f t="shared" si="12"/>
        <v>26.952635483870999</v>
      </c>
      <c r="U31">
        <f t="shared" si="13"/>
        <v>3.569215140831834</v>
      </c>
      <c r="V31">
        <f t="shared" si="14"/>
        <v>55.344539316617414</v>
      </c>
      <c r="W31">
        <f t="shared" si="15"/>
        <v>1.8482358542802522</v>
      </c>
      <c r="X31">
        <f t="shared" si="16"/>
        <v>3.3395089689098056</v>
      </c>
      <c r="Y31">
        <f t="shared" si="17"/>
        <v>1.7209792865515818</v>
      </c>
      <c r="Z31">
        <f t="shared" si="18"/>
        <v>-201.63510101882216</v>
      </c>
      <c r="AA31">
        <f t="shared" si="19"/>
        <v>-205.22422406038879</v>
      </c>
      <c r="AB31">
        <f t="shared" si="20"/>
        <v>-13.037878687948412</v>
      </c>
      <c r="AC31">
        <f t="shared" si="21"/>
        <v>-98.457673347711278</v>
      </c>
      <c r="AD31">
        <v>-4.10809928893765E-2</v>
      </c>
      <c r="AE31">
        <v>4.6117013410963401E-2</v>
      </c>
      <c r="AF31">
        <v>3.4483939112815301</v>
      </c>
      <c r="AG31">
        <v>150</v>
      </c>
      <c r="AH31">
        <v>30</v>
      </c>
      <c r="AI31">
        <f t="shared" si="22"/>
        <v>1</v>
      </c>
      <c r="AJ31">
        <f t="shared" si="23"/>
        <v>0</v>
      </c>
      <c r="AK31">
        <f t="shared" si="24"/>
        <v>52590.613905419392</v>
      </c>
      <c r="AL31">
        <v>0</v>
      </c>
      <c r="AM31">
        <v>0</v>
      </c>
      <c r="AN31">
        <v>0</v>
      </c>
      <c r="AO31">
        <f t="shared" si="25"/>
        <v>0</v>
      </c>
      <c r="AP31" t="e">
        <f t="shared" si="26"/>
        <v>#DIV/0!</v>
      </c>
      <c r="AQ31">
        <v>-1</v>
      </c>
      <c r="AR31" t="s">
        <v>357</v>
      </c>
      <c r="AS31">
        <v>275.77738461538502</v>
      </c>
      <c r="AT31">
        <v>402.51600000000002</v>
      </c>
      <c r="AU31">
        <f t="shared" si="27"/>
        <v>0.31486603112575651</v>
      </c>
      <c r="AV31">
        <v>0.5</v>
      </c>
      <c r="AW31">
        <f t="shared" si="28"/>
        <v>1681.1924613532822</v>
      </c>
      <c r="AX31">
        <f t="shared" si="29"/>
        <v>53.921996730321965</v>
      </c>
      <c r="AY31">
        <f t="shared" si="30"/>
        <v>264.67519893242485</v>
      </c>
      <c r="AZ31">
        <f t="shared" si="31"/>
        <v>0.56299873793836763</v>
      </c>
      <c r="BA31">
        <f t="shared" si="32"/>
        <v>3.2668476687144017E-2</v>
      </c>
      <c r="BB31">
        <f t="shared" si="33"/>
        <v>-1</v>
      </c>
      <c r="BC31" t="s">
        <v>358</v>
      </c>
      <c r="BD31">
        <v>175.9</v>
      </c>
      <c r="BE31">
        <f t="shared" si="34"/>
        <v>226.61600000000001</v>
      </c>
      <c r="BF31">
        <f t="shared" si="35"/>
        <v>0.55926596261788664</v>
      </c>
      <c r="BG31">
        <f t="shared" si="36"/>
        <v>2.2883229107447414</v>
      </c>
      <c r="BH31">
        <f t="shared" si="37"/>
        <v>0.31486603112575651</v>
      </c>
      <c r="BI31" t="e">
        <f t="shared" si="38"/>
        <v>#DIV/0!</v>
      </c>
      <c r="BJ31">
        <v>6142</v>
      </c>
      <c r="BK31">
        <v>300</v>
      </c>
      <c r="BL31">
        <v>300</v>
      </c>
      <c r="BM31">
        <v>300</v>
      </c>
      <c r="BN31">
        <v>9873.8700000000008</v>
      </c>
      <c r="BO31">
        <v>367.53199999999998</v>
      </c>
      <c r="BP31">
        <v>-6.5681100000000003E-3</v>
      </c>
      <c r="BQ31">
        <v>0.94741799999999998</v>
      </c>
      <c r="BR31">
        <f t="shared" si="39"/>
        <v>1999.9941935483901</v>
      </c>
      <c r="BS31">
        <f t="shared" si="40"/>
        <v>1681.1924613532822</v>
      </c>
      <c r="BT31">
        <f t="shared" si="41"/>
        <v>0.84059867112439468</v>
      </c>
      <c r="BU31">
        <f t="shared" si="42"/>
        <v>0.19119734224878937</v>
      </c>
      <c r="BV31">
        <v>0.5</v>
      </c>
      <c r="BW31" t="s">
        <v>281</v>
      </c>
      <c r="BX31">
        <v>1597507757.6516099</v>
      </c>
      <c r="BY31">
        <v>1575.547</v>
      </c>
      <c r="BZ31">
        <v>1599.9935483871</v>
      </c>
      <c r="CA31">
        <v>18.619535483871001</v>
      </c>
      <c r="CB31">
        <v>16.8249741935484</v>
      </c>
      <c r="CC31">
        <v>500.07674193548399</v>
      </c>
      <c r="CD31">
        <v>99.063222580645203</v>
      </c>
      <c r="CE31">
        <v>0.20004077419354799</v>
      </c>
      <c r="CF31">
        <v>25.825174193548399</v>
      </c>
      <c r="CG31">
        <v>26.952635483870999</v>
      </c>
      <c r="CH31">
        <v>999.9</v>
      </c>
      <c r="CI31">
        <v>10000.5641935484</v>
      </c>
      <c r="CJ31">
        <v>0</v>
      </c>
      <c r="CK31">
        <v>179.22690322580601</v>
      </c>
      <c r="CL31">
        <v>1999.9941935483901</v>
      </c>
      <c r="CM31">
        <v>0.97999435483871</v>
      </c>
      <c r="CN31">
        <v>2.0005825806451601E-2</v>
      </c>
      <c r="CO31">
        <v>0</v>
      </c>
      <c r="CP31">
        <v>275.78870967741898</v>
      </c>
      <c r="CQ31">
        <v>5.00054</v>
      </c>
      <c r="CR31">
        <v>7337.28774193548</v>
      </c>
      <c r="CS31">
        <v>18703.558064516099</v>
      </c>
      <c r="CT31">
        <v>46.957322580645098</v>
      </c>
      <c r="CU31">
        <v>49.036000000000001</v>
      </c>
      <c r="CV31">
        <v>47.473580645161299</v>
      </c>
      <c r="CW31">
        <v>47.977580645161297</v>
      </c>
      <c r="CX31">
        <v>48.429064516129003</v>
      </c>
      <c r="CY31">
        <v>1955.0822580645199</v>
      </c>
      <c r="CZ31">
        <v>39.911290322580697</v>
      </c>
      <c r="DA31">
        <v>0</v>
      </c>
      <c r="DB31">
        <v>115.10000014305101</v>
      </c>
      <c r="DC31">
        <v>275.77738461538502</v>
      </c>
      <c r="DD31">
        <v>-3.9083076899045701</v>
      </c>
      <c r="DE31">
        <v>361.06256381517397</v>
      </c>
      <c r="DF31">
        <v>7338.17076923077</v>
      </c>
      <c r="DG31">
        <v>15</v>
      </c>
      <c r="DH31">
        <v>1597507792.0999999</v>
      </c>
      <c r="DI31" t="s">
        <v>359</v>
      </c>
      <c r="DJ31">
        <v>30</v>
      </c>
      <c r="DK31">
        <v>-0.13</v>
      </c>
      <c r="DL31">
        <v>0.115</v>
      </c>
      <c r="DM31">
        <v>1600</v>
      </c>
      <c r="DN31">
        <v>17</v>
      </c>
      <c r="DO31">
        <v>0.14000000000000001</v>
      </c>
      <c r="DP31">
        <v>0.05</v>
      </c>
      <c r="DQ31">
        <v>1575.65703703704</v>
      </c>
      <c r="DR31">
        <v>0.162345135573192</v>
      </c>
      <c r="DS31">
        <v>3.35895502726535E-2</v>
      </c>
      <c r="DT31">
        <v>1</v>
      </c>
      <c r="DU31">
        <v>18.618872222222201</v>
      </c>
      <c r="DV31">
        <v>4.27436798305416E-2</v>
      </c>
      <c r="DW31">
        <v>8.5596472899529801E-3</v>
      </c>
      <c r="DX31">
        <v>1</v>
      </c>
      <c r="DY31">
        <v>2</v>
      </c>
      <c r="DZ31">
        <v>2</v>
      </c>
      <c r="EA31" t="s">
        <v>293</v>
      </c>
      <c r="EB31">
        <v>1.8667499999999999</v>
      </c>
      <c r="EC31">
        <v>1.8632500000000001</v>
      </c>
      <c r="ED31">
        <v>1.8689</v>
      </c>
      <c r="EE31">
        <v>1.8667899999999999</v>
      </c>
      <c r="EF31">
        <v>1.8714900000000001</v>
      </c>
      <c r="EG31">
        <v>1.8640000000000001</v>
      </c>
      <c r="EH31">
        <v>1.86554</v>
      </c>
      <c r="EI31">
        <v>1.8655299999999999</v>
      </c>
      <c r="EJ31" t="s">
        <v>284</v>
      </c>
      <c r="EK31" t="s">
        <v>19</v>
      </c>
      <c r="EL31" t="s">
        <v>19</v>
      </c>
      <c r="EM31" t="s">
        <v>19</v>
      </c>
      <c r="EN31" t="s">
        <v>285</v>
      </c>
      <c r="EO31" t="s">
        <v>286</v>
      </c>
      <c r="EP31" t="s">
        <v>287</v>
      </c>
      <c r="EQ31" t="s">
        <v>287</v>
      </c>
      <c r="ER31" t="s">
        <v>287</v>
      </c>
      <c r="ES31" t="s">
        <v>287</v>
      </c>
      <c r="ET31">
        <v>0</v>
      </c>
      <c r="EU31">
        <v>100</v>
      </c>
      <c r="EV31">
        <v>100</v>
      </c>
      <c r="EW31">
        <v>-0.13</v>
      </c>
      <c r="EX31">
        <v>0.115</v>
      </c>
      <c r="EY31">
        <v>2</v>
      </c>
      <c r="EZ31">
        <v>334.15899999999999</v>
      </c>
      <c r="FA31">
        <v>489.98599999999999</v>
      </c>
      <c r="FB31">
        <v>20.440799999999999</v>
      </c>
      <c r="FC31">
        <v>34.084400000000002</v>
      </c>
      <c r="FD31">
        <v>29.998100000000001</v>
      </c>
      <c r="FE31">
        <v>34.054400000000001</v>
      </c>
      <c r="FF31">
        <v>34.051600000000001</v>
      </c>
      <c r="FG31">
        <v>66.914599999999993</v>
      </c>
      <c r="FH31">
        <v>47.411700000000003</v>
      </c>
      <c r="FI31">
        <v>0</v>
      </c>
      <c r="FJ31">
        <v>20.501000000000001</v>
      </c>
      <c r="FK31">
        <v>1600</v>
      </c>
      <c r="FL31">
        <v>16.714300000000001</v>
      </c>
      <c r="FM31">
        <v>100.64</v>
      </c>
      <c r="FN31">
        <v>101.169</v>
      </c>
    </row>
    <row r="32" spans="1:170" x14ac:dyDescent="0.25">
      <c r="A32">
        <v>16</v>
      </c>
      <c r="B32">
        <v>1597507888.0999999</v>
      </c>
      <c r="C32">
        <v>2130.6999998092701</v>
      </c>
      <c r="D32" t="s">
        <v>360</v>
      </c>
      <c r="E32" t="s">
        <v>361</v>
      </c>
      <c r="G32">
        <v>1597507880.12903</v>
      </c>
      <c r="H32">
        <f t="shared" si="0"/>
        <v>4.2869399214005462E-3</v>
      </c>
      <c r="I32">
        <f t="shared" si="1"/>
        <v>54.605729837501364</v>
      </c>
      <c r="J32">
        <f t="shared" si="2"/>
        <v>1775.17103225806</v>
      </c>
      <c r="K32">
        <f t="shared" si="3"/>
        <v>1365.9154589619652</v>
      </c>
      <c r="L32">
        <f t="shared" si="4"/>
        <v>135.58300490078892</v>
      </c>
      <c r="M32">
        <f t="shared" si="5"/>
        <v>176.20638318955071</v>
      </c>
      <c r="N32">
        <f t="shared" si="6"/>
        <v>0.24817185982710796</v>
      </c>
      <c r="O32">
        <f t="shared" si="7"/>
        <v>3.374524737385975</v>
      </c>
      <c r="P32">
        <f t="shared" si="8"/>
        <v>0.23845991884164766</v>
      </c>
      <c r="Q32">
        <f t="shared" si="9"/>
        <v>0.14987836055934353</v>
      </c>
      <c r="R32">
        <f t="shared" si="10"/>
        <v>321.43605929625255</v>
      </c>
      <c r="S32">
        <f t="shared" si="11"/>
        <v>26.798430071079743</v>
      </c>
      <c r="T32">
        <f t="shared" si="12"/>
        <v>27.069787096774199</v>
      </c>
      <c r="U32">
        <f t="shared" si="13"/>
        <v>3.5938561120194721</v>
      </c>
      <c r="V32">
        <f t="shared" si="14"/>
        <v>54.704577561363365</v>
      </c>
      <c r="W32">
        <f t="shared" si="15"/>
        <v>1.8583779749475102</v>
      </c>
      <c r="X32">
        <f t="shared" si="16"/>
        <v>3.3971160326810415</v>
      </c>
      <c r="Y32">
        <f t="shared" si="17"/>
        <v>1.7354781370719619</v>
      </c>
      <c r="Z32">
        <f t="shared" si="18"/>
        <v>-189.0540505337641</v>
      </c>
      <c r="AA32">
        <f t="shared" si="19"/>
        <v>-173.85801814976503</v>
      </c>
      <c r="AB32">
        <f t="shared" si="20"/>
        <v>-11.073499833223021</v>
      </c>
      <c r="AC32">
        <f t="shared" si="21"/>
        <v>-52.549509220499601</v>
      </c>
      <c r="AD32">
        <v>-4.1053501437370202E-2</v>
      </c>
      <c r="AE32">
        <v>4.60861518477029E-2</v>
      </c>
      <c r="AF32">
        <v>3.4465664394400499</v>
      </c>
      <c r="AG32">
        <v>150</v>
      </c>
      <c r="AH32">
        <v>30</v>
      </c>
      <c r="AI32">
        <f t="shared" si="22"/>
        <v>1</v>
      </c>
      <c r="AJ32">
        <f t="shared" si="23"/>
        <v>0</v>
      </c>
      <c r="AK32">
        <f t="shared" si="24"/>
        <v>52506.047117306429</v>
      </c>
      <c r="AL32">
        <v>0</v>
      </c>
      <c r="AM32">
        <v>0</v>
      </c>
      <c r="AN32">
        <v>0</v>
      </c>
      <c r="AO32">
        <f t="shared" si="25"/>
        <v>0</v>
      </c>
      <c r="AP32" t="e">
        <f t="shared" si="26"/>
        <v>#DIV/0!</v>
      </c>
      <c r="AQ32">
        <v>-1</v>
      </c>
      <c r="AR32" t="s">
        <v>362</v>
      </c>
      <c r="AS32">
        <v>271.46719230769202</v>
      </c>
      <c r="AT32">
        <v>395.96800000000002</v>
      </c>
      <c r="AU32">
        <f t="shared" si="27"/>
        <v>0.31442138680981291</v>
      </c>
      <c r="AV32">
        <v>0.5</v>
      </c>
      <c r="AW32">
        <f t="shared" si="28"/>
        <v>1681.1745383864049</v>
      </c>
      <c r="AX32">
        <f t="shared" si="29"/>
        <v>54.605729837501364</v>
      </c>
      <c r="AY32">
        <f t="shared" si="30"/>
        <v>264.29861491440022</v>
      </c>
      <c r="AZ32">
        <f t="shared" si="31"/>
        <v>0.54870090512364644</v>
      </c>
      <c r="BA32">
        <f t="shared" si="32"/>
        <v>3.3075524621537435E-2</v>
      </c>
      <c r="BB32">
        <f t="shared" si="33"/>
        <v>-1</v>
      </c>
      <c r="BC32" t="s">
        <v>363</v>
      </c>
      <c r="BD32">
        <v>178.7</v>
      </c>
      <c r="BE32">
        <f t="shared" si="34"/>
        <v>217.26800000000003</v>
      </c>
      <c r="BF32">
        <f t="shared" si="35"/>
        <v>0.5730287372844044</v>
      </c>
      <c r="BG32">
        <f t="shared" si="36"/>
        <v>2.2158254057078905</v>
      </c>
      <c r="BH32">
        <f t="shared" si="37"/>
        <v>0.31442138680981291</v>
      </c>
      <c r="BI32" t="e">
        <f t="shared" si="38"/>
        <v>#DIV/0!</v>
      </c>
      <c r="BJ32">
        <v>6144</v>
      </c>
      <c r="BK32">
        <v>300</v>
      </c>
      <c r="BL32">
        <v>300</v>
      </c>
      <c r="BM32">
        <v>300</v>
      </c>
      <c r="BN32">
        <v>9873.3799999999992</v>
      </c>
      <c r="BO32">
        <v>360.73</v>
      </c>
      <c r="BP32">
        <v>-6.5678500000000001E-3</v>
      </c>
      <c r="BQ32">
        <v>1.27136</v>
      </c>
      <c r="BR32">
        <f t="shared" si="39"/>
        <v>1999.9729032258099</v>
      </c>
      <c r="BS32">
        <f t="shared" si="40"/>
        <v>1681.1745383864049</v>
      </c>
      <c r="BT32">
        <f t="shared" si="41"/>
        <v>0.84059865794921196</v>
      </c>
      <c r="BU32">
        <f t="shared" si="42"/>
        <v>0.19119731589842398</v>
      </c>
      <c r="BV32">
        <v>0.5</v>
      </c>
      <c r="BW32" t="s">
        <v>281</v>
      </c>
      <c r="BX32">
        <v>1597507880.12903</v>
      </c>
      <c r="BY32">
        <v>1775.17103225806</v>
      </c>
      <c r="BZ32">
        <v>1800.0545161290299</v>
      </c>
      <c r="CA32">
        <v>18.722016129032301</v>
      </c>
      <c r="CB32">
        <v>17.039535483870999</v>
      </c>
      <c r="CC32">
        <v>500.05683870967698</v>
      </c>
      <c r="CD32">
        <v>99.061616129032302</v>
      </c>
      <c r="CE32">
        <v>0.20002119354838699</v>
      </c>
      <c r="CF32">
        <v>26.1141419354839</v>
      </c>
      <c r="CG32">
        <v>27.069787096774199</v>
      </c>
      <c r="CH32">
        <v>999.9</v>
      </c>
      <c r="CI32">
        <v>9994.0338709677399</v>
      </c>
      <c r="CJ32">
        <v>0</v>
      </c>
      <c r="CK32">
        <v>191.263451612903</v>
      </c>
      <c r="CL32">
        <v>1999.9729032258099</v>
      </c>
      <c r="CM32">
        <v>0.97999606451612897</v>
      </c>
      <c r="CN32">
        <v>2.00043161290323E-2</v>
      </c>
      <c r="CO32">
        <v>0</v>
      </c>
      <c r="CP32">
        <v>271.471</v>
      </c>
      <c r="CQ32">
        <v>5.00054</v>
      </c>
      <c r="CR32">
        <v>7332.7335483871002</v>
      </c>
      <c r="CS32">
        <v>18703.361290322599</v>
      </c>
      <c r="CT32">
        <v>46.929129032257997</v>
      </c>
      <c r="CU32">
        <v>49.03</v>
      </c>
      <c r="CV32">
        <v>47.471548387096803</v>
      </c>
      <c r="CW32">
        <v>47.945258064516104</v>
      </c>
      <c r="CX32">
        <v>48.419161290322599</v>
      </c>
      <c r="CY32">
        <v>1955.06290322581</v>
      </c>
      <c r="CZ32">
        <v>39.909999999999997</v>
      </c>
      <c r="DA32">
        <v>0</v>
      </c>
      <c r="DB32">
        <v>121.90000009536701</v>
      </c>
      <c r="DC32">
        <v>271.46719230769202</v>
      </c>
      <c r="DD32">
        <v>-2.4623247962299799</v>
      </c>
      <c r="DE32">
        <v>-38.573675279022702</v>
      </c>
      <c r="DF32">
        <v>7332.6215384615398</v>
      </c>
      <c r="DG32">
        <v>15</v>
      </c>
      <c r="DH32">
        <v>1597507924.5999999</v>
      </c>
      <c r="DI32" t="s">
        <v>364</v>
      </c>
      <c r="DJ32">
        <v>31</v>
      </c>
      <c r="DK32">
        <v>0.14199999999999999</v>
      </c>
      <c r="DL32">
        <v>0.11700000000000001</v>
      </c>
      <c r="DM32">
        <v>1800</v>
      </c>
      <c r="DN32">
        <v>17</v>
      </c>
      <c r="DO32">
        <v>0.78</v>
      </c>
      <c r="DP32">
        <v>0.03</v>
      </c>
      <c r="DQ32">
        <v>1774.86851851852</v>
      </c>
      <c r="DR32">
        <v>0.255871255739333</v>
      </c>
      <c r="DS32">
        <v>8.0723749486389496E-2</v>
      </c>
      <c r="DT32">
        <v>1</v>
      </c>
      <c r="DU32">
        <v>18.719155555555599</v>
      </c>
      <c r="DV32">
        <v>6.4011448867520903E-3</v>
      </c>
      <c r="DW32">
        <v>2.52979772772649E-3</v>
      </c>
      <c r="DX32">
        <v>1</v>
      </c>
      <c r="DY32">
        <v>2</v>
      </c>
      <c r="DZ32">
        <v>2</v>
      </c>
      <c r="EA32" t="s">
        <v>293</v>
      </c>
      <c r="EB32">
        <v>1.8667199999999999</v>
      </c>
      <c r="EC32">
        <v>1.86324</v>
      </c>
      <c r="ED32">
        <v>1.86887</v>
      </c>
      <c r="EE32">
        <v>1.86676</v>
      </c>
      <c r="EF32">
        <v>1.8714900000000001</v>
      </c>
      <c r="EG32">
        <v>1.8639600000000001</v>
      </c>
      <c r="EH32">
        <v>1.86554</v>
      </c>
      <c r="EI32">
        <v>1.8654900000000001</v>
      </c>
      <c r="EJ32" t="s">
        <v>284</v>
      </c>
      <c r="EK32" t="s">
        <v>19</v>
      </c>
      <c r="EL32" t="s">
        <v>19</v>
      </c>
      <c r="EM32" t="s">
        <v>19</v>
      </c>
      <c r="EN32" t="s">
        <v>285</v>
      </c>
      <c r="EO32" t="s">
        <v>286</v>
      </c>
      <c r="EP32" t="s">
        <v>287</v>
      </c>
      <c r="EQ32" t="s">
        <v>287</v>
      </c>
      <c r="ER32" t="s">
        <v>287</v>
      </c>
      <c r="ES32" t="s">
        <v>287</v>
      </c>
      <c r="ET32">
        <v>0</v>
      </c>
      <c r="EU32">
        <v>100</v>
      </c>
      <c r="EV32">
        <v>100</v>
      </c>
      <c r="EW32">
        <v>0.14199999999999999</v>
      </c>
      <c r="EX32">
        <v>0.11700000000000001</v>
      </c>
      <c r="EY32">
        <v>2</v>
      </c>
      <c r="EZ32">
        <v>334.93900000000002</v>
      </c>
      <c r="FA32">
        <v>490.25099999999998</v>
      </c>
      <c r="FB32">
        <v>20.545300000000001</v>
      </c>
      <c r="FC32">
        <v>34.058999999999997</v>
      </c>
      <c r="FD32">
        <v>30.000699999999998</v>
      </c>
      <c r="FE32">
        <v>34.060600000000001</v>
      </c>
      <c r="FF32">
        <v>34.063800000000001</v>
      </c>
      <c r="FG32">
        <v>73.361900000000006</v>
      </c>
      <c r="FH32">
        <v>46.592599999999997</v>
      </c>
      <c r="FI32">
        <v>0</v>
      </c>
      <c r="FJ32">
        <v>20.521000000000001</v>
      </c>
      <c r="FK32">
        <v>1800</v>
      </c>
      <c r="FL32">
        <v>17.013400000000001</v>
      </c>
      <c r="FM32">
        <v>100.639</v>
      </c>
      <c r="FN32">
        <v>101.173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2020-08-15T11:12:27Z</dcterms:created>
  <dcterms:modified xsi:type="dcterms:W3CDTF">2024-11-20T09:06:59Z</dcterms:modified>
</cp:coreProperties>
</file>