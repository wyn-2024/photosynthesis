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 s="1"/>
  <c r="X31" i="1"/>
  <c r="W31" i="1"/>
  <c r="V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I30" i="1" s="1"/>
  <c r="AX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/>
  <c r="AJ28" i="1" s="1"/>
  <c r="X28" i="1"/>
  <c r="W28" i="1"/>
  <c r="V28" i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V27" i="1"/>
  <c r="O27" i="1"/>
  <c r="BU26" i="1"/>
  <c r="BT26" i="1"/>
  <c r="BS26" i="1" s="1"/>
  <c r="BR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/>
  <c r="I26" i="1" s="1"/>
  <c r="AX26" i="1" s="1"/>
  <c r="X26" i="1"/>
  <c r="V26" i="1" s="1"/>
  <c r="W26" i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H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P24" i="1"/>
  <c r="AO24" i="1"/>
  <c r="AK24" i="1"/>
  <c r="AI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P23" i="1"/>
  <c r="AO23" i="1"/>
  <c r="AK23" i="1"/>
  <c r="AI23" i="1"/>
  <c r="J23" i="1" s="1"/>
  <c r="X23" i="1"/>
  <c r="W23" i="1"/>
  <c r="V23" i="1"/>
  <c r="O23" i="1"/>
  <c r="M23" i="1"/>
  <c r="BU22" i="1"/>
  <c r="BT22" i="1"/>
  <c r="BS22" i="1"/>
  <c r="R22" i="1" s="1"/>
  <c r="BR22" i="1"/>
  <c r="BI22" i="1"/>
  <c r="BH22" i="1"/>
  <c r="BG22" i="1"/>
  <c r="BF22" i="1"/>
  <c r="BE22" i="1"/>
  <c r="BB22" i="1"/>
  <c r="AZ22" i="1"/>
  <c r="AW22" i="1"/>
  <c r="AU22" i="1"/>
  <c r="AY22" i="1" s="1"/>
  <c r="AO22" i="1"/>
  <c r="AP22" i="1" s="1"/>
  <c r="AK22" i="1"/>
  <c r="AI22" i="1"/>
  <c r="M22" i="1" s="1"/>
  <c r="X22" i="1"/>
  <c r="V22" i="1" s="1"/>
  <c r="W22" i="1"/>
  <c r="O22" i="1"/>
  <c r="BU21" i="1"/>
  <c r="BT21" i="1"/>
  <c r="BS21" i="1" s="1"/>
  <c r="BR21" i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J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P20" i="1"/>
  <c r="AO20" i="1"/>
  <c r="AK20" i="1"/>
  <c r="AI20" i="1"/>
  <c r="M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S18" i="1" s="1"/>
  <c r="BR18" i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J17" i="1" s="1"/>
  <c r="X17" i="1"/>
  <c r="W17" i="1"/>
  <c r="V17" i="1" s="1"/>
  <c r="O17" i="1"/>
  <c r="R30" i="1" l="1"/>
  <c r="AW30" i="1"/>
  <c r="AY30" i="1" s="1"/>
  <c r="M29" i="1"/>
  <c r="J29" i="1"/>
  <c r="I29" i="1"/>
  <c r="AX29" i="1" s="1"/>
  <c r="H29" i="1"/>
  <c r="AJ29" i="1"/>
  <c r="R26" i="1"/>
  <c r="AW26" i="1"/>
  <c r="AW18" i="1"/>
  <c r="R18" i="1"/>
  <c r="AJ27" i="1"/>
  <c r="J27" i="1"/>
  <c r="M27" i="1"/>
  <c r="H27" i="1"/>
  <c r="I27" i="1"/>
  <c r="AX27" i="1" s="1"/>
  <c r="BA27" i="1" s="1"/>
  <c r="R23" i="1"/>
  <c r="AW23" i="1"/>
  <c r="AY23" i="1" s="1"/>
  <c r="I31" i="1"/>
  <c r="AX31" i="1" s="1"/>
  <c r="BA31" i="1" s="1"/>
  <c r="AJ31" i="1"/>
  <c r="M31" i="1"/>
  <c r="J31" i="1"/>
  <c r="H31" i="1"/>
  <c r="R25" i="1"/>
  <c r="AW25" i="1"/>
  <c r="BA30" i="1"/>
  <c r="R28" i="1"/>
  <c r="AW28" i="1"/>
  <c r="AY28" i="1" s="1"/>
  <c r="J24" i="1"/>
  <c r="M24" i="1"/>
  <c r="I24" i="1"/>
  <c r="AX24" i="1" s="1"/>
  <c r="AJ24" i="1"/>
  <c r="H24" i="1"/>
  <c r="AW24" i="1"/>
  <c r="AY24" i="1" s="1"/>
  <c r="R24" i="1"/>
  <c r="AY18" i="1"/>
  <c r="AW31" i="1"/>
  <c r="AY31" i="1" s="1"/>
  <c r="R31" i="1"/>
  <c r="Z25" i="1"/>
  <c r="AW29" i="1"/>
  <c r="AY29" i="1" s="1"/>
  <c r="R29" i="1"/>
  <c r="AW17" i="1"/>
  <c r="AY17" i="1" s="1"/>
  <c r="R17" i="1"/>
  <c r="I18" i="1"/>
  <c r="AX18" i="1" s="1"/>
  <c r="H18" i="1"/>
  <c r="AJ18" i="1"/>
  <c r="J18" i="1"/>
  <c r="M18" i="1"/>
  <c r="BA26" i="1"/>
  <c r="AY26" i="1"/>
  <c r="R27" i="1"/>
  <c r="AW27" i="1"/>
  <c r="AY27" i="1" s="1"/>
  <c r="AY25" i="1"/>
  <c r="AY20" i="1"/>
  <c r="AW21" i="1"/>
  <c r="AY21" i="1" s="1"/>
  <c r="R21" i="1"/>
  <c r="R20" i="1"/>
  <c r="AW20" i="1"/>
  <c r="AW19" i="1"/>
  <c r="AY19" i="1" s="1"/>
  <c r="R19" i="1"/>
  <c r="H22" i="1"/>
  <c r="S22" i="1" s="1"/>
  <c r="T22" i="1" s="1"/>
  <c r="I22" i="1"/>
  <c r="AX22" i="1" s="1"/>
  <c r="BA22" i="1" s="1"/>
  <c r="J26" i="1"/>
  <c r="AJ21" i="1"/>
  <c r="H21" i="1"/>
  <c r="I25" i="1"/>
  <c r="AX25" i="1" s="1"/>
  <c r="BA25" i="1" s="1"/>
  <c r="J30" i="1"/>
  <c r="I20" i="1"/>
  <c r="AX20" i="1" s="1"/>
  <c r="BA20" i="1" s="1"/>
  <c r="J25" i="1"/>
  <c r="AJ22" i="1"/>
  <c r="AJ26" i="1"/>
  <c r="AJ20" i="1"/>
  <c r="H20" i="1"/>
  <c r="M21" i="1"/>
  <c r="J20" i="1"/>
  <c r="AJ17" i="1"/>
  <c r="M30" i="1"/>
  <c r="AJ19" i="1"/>
  <c r="M25" i="1"/>
  <c r="H19" i="1"/>
  <c r="H26" i="1"/>
  <c r="H30" i="1"/>
  <c r="AJ23" i="1"/>
  <c r="H28" i="1"/>
  <c r="I17" i="1"/>
  <c r="AX17" i="1" s="1"/>
  <c r="BA17" i="1" s="1"/>
  <c r="J22" i="1"/>
  <c r="M17" i="1"/>
  <c r="AJ25" i="1"/>
  <c r="M26" i="1"/>
  <c r="J19" i="1"/>
  <c r="H23" i="1"/>
  <c r="I28" i="1"/>
  <c r="AX28" i="1" s="1"/>
  <c r="I21" i="1"/>
  <c r="AX21" i="1" s="1"/>
  <c r="AJ30" i="1"/>
  <c r="I19" i="1"/>
  <c r="AX19" i="1" s="1"/>
  <c r="BA19" i="1" s="1"/>
  <c r="I23" i="1"/>
  <c r="AX23" i="1" s="1"/>
  <c r="J28" i="1"/>
  <c r="H17" i="1"/>
  <c r="AB22" i="1" l="1"/>
  <c r="U22" i="1"/>
  <c r="Y22" i="1" s="1"/>
  <c r="AA22" i="1"/>
  <c r="S23" i="1"/>
  <c r="T23" i="1" s="1"/>
  <c r="Z27" i="1"/>
  <c r="S27" i="1"/>
  <c r="T27" i="1" s="1"/>
  <c r="P27" i="1" s="1"/>
  <c r="N27" i="1" s="1"/>
  <c r="Q27" i="1" s="1"/>
  <c r="K27" i="1" s="1"/>
  <c r="L27" i="1" s="1"/>
  <c r="Z21" i="1"/>
  <c r="S17" i="1"/>
  <c r="T17" i="1" s="1"/>
  <c r="BA29" i="1"/>
  <c r="Z24" i="1"/>
  <c r="P24" i="1"/>
  <c r="N24" i="1" s="1"/>
  <c r="Q24" i="1" s="1"/>
  <c r="K24" i="1" s="1"/>
  <c r="L24" i="1" s="1"/>
  <c r="S25" i="1"/>
  <c r="T25" i="1" s="1"/>
  <c r="BA21" i="1"/>
  <c r="Z31" i="1"/>
  <c r="P31" i="1"/>
  <c r="N31" i="1" s="1"/>
  <c r="Q31" i="1" s="1"/>
  <c r="K31" i="1" s="1"/>
  <c r="L31" i="1" s="1"/>
  <c r="P18" i="1"/>
  <c r="N18" i="1" s="1"/>
  <c r="Q18" i="1" s="1"/>
  <c r="K18" i="1" s="1"/>
  <c r="L18" i="1" s="1"/>
  <c r="Z18" i="1"/>
  <c r="S29" i="1"/>
  <c r="T29" i="1" s="1"/>
  <c r="Z17" i="1"/>
  <c r="S18" i="1"/>
  <c r="T18" i="1" s="1"/>
  <c r="S19" i="1"/>
  <c r="T19" i="1" s="1"/>
  <c r="S30" i="1"/>
  <c r="T30" i="1" s="1"/>
  <c r="S24" i="1"/>
  <c r="T24" i="1" s="1"/>
  <c r="BA24" i="1"/>
  <c r="Z23" i="1"/>
  <c r="P23" i="1"/>
  <c r="N23" i="1" s="1"/>
  <c r="Q23" i="1" s="1"/>
  <c r="K23" i="1" s="1"/>
  <c r="L23" i="1" s="1"/>
  <c r="Z20" i="1"/>
  <c r="BA18" i="1"/>
  <c r="S21" i="1"/>
  <c r="T21" i="1" s="1"/>
  <c r="BA28" i="1"/>
  <c r="S26" i="1"/>
  <c r="T26" i="1" s="1"/>
  <c r="P30" i="1"/>
  <c r="N30" i="1" s="1"/>
  <c r="Q30" i="1" s="1"/>
  <c r="K30" i="1" s="1"/>
  <c r="L30" i="1" s="1"/>
  <c r="Z30" i="1"/>
  <c r="Z26" i="1"/>
  <c r="S31" i="1"/>
  <c r="T31" i="1" s="1"/>
  <c r="BA23" i="1"/>
  <c r="S28" i="1"/>
  <c r="T28" i="1" s="1"/>
  <c r="Z29" i="1"/>
  <c r="Z22" i="1"/>
  <c r="P22" i="1"/>
  <c r="N22" i="1" s="1"/>
  <c r="Q22" i="1" s="1"/>
  <c r="K22" i="1" s="1"/>
  <c r="L22" i="1" s="1"/>
  <c r="P28" i="1"/>
  <c r="N28" i="1" s="1"/>
  <c r="Q28" i="1" s="1"/>
  <c r="K28" i="1" s="1"/>
  <c r="L28" i="1" s="1"/>
  <c r="Z28" i="1"/>
  <c r="Z19" i="1"/>
  <c r="P19" i="1"/>
  <c r="N19" i="1" s="1"/>
  <c r="Q19" i="1" s="1"/>
  <c r="K19" i="1" s="1"/>
  <c r="L19" i="1" s="1"/>
  <c r="S20" i="1"/>
  <c r="T20" i="1" s="1"/>
  <c r="U29" i="1" l="1"/>
  <c r="Y29" i="1" s="1"/>
  <c r="AA29" i="1"/>
  <c r="AB29" i="1"/>
  <c r="AC29" i="1" s="1"/>
  <c r="U26" i="1"/>
  <c r="Y26" i="1" s="1"/>
  <c r="AB26" i="1"/>
  <c r="AA26" i="1"/>
  <c r="AB21" i="1"/>
  <c r="U21" i="1"/>
  <c r="Y21" i="1" s="1"/>
  <c r="AA21" i="1"/>
  <c r="U25" i="1"/>
  <c r="Y25" i="1" s="1"/>
  <c r="AA25" i="1"/>
  <c r="AB25" i="1"/>
  <c r="AC25" i="1" s="1"/>
  <c r="P25" i="1"/>
  <c r="N25" i="1" s="1"/>
  <c r="Q25" i="1" s="1"/>
  <c r="K25" i="1" s="1"/>
  <c r="L25" i="1" s="1"/>
  <c r="AA20" i="1"/>
  <c r="AB20" i="1"/>
  <c r="U20" i="1"/>
  <c r="Y20" i="1" s="1"/>
  <c r="U30" i="1"/>
  <c r="Y30" i="1" s="1"/>
  <c r="AA30" i="1"/>
  <c r="AB30" i="1"/>
  <c r="AC30" i="1" s="1"/>
  <c r="AB23" i="1"/>
  <c r="AC23" i="1" s="1"/>
  <c r="U23" i="1"/>
  <c r="Y23" i="1" s="1"/>
  <c r="AA23" i="1"/>
  <c r="U19" i="1"/>
  <c r="Y19" i="1" s="1"/>
  <c r="AB19" i="1"/>
  <c r="AC19" i="1" s="1"/>
  <c r="AA19" i="1"/>
  <c r="P21" i="1"/>
  <c r="N21" i="1" s="1"/>
  <c r="Q21" i="1" s="1"/>
  <c r="K21" i="1" s="1"/>
  <c r="L21" i="1" s="1"/>
  <c r="U31" i="1"/>
  <c r="Y31" i="1" s="1"/>
  <c r="AA31" i="1"/>
  <c r="AB31" i="1"/>
  <c r="AC31" i="1" s="1"/>
  <c r="P20" i="1"/>
  <c r="N20" i="1" s="1"/>
  <c r="Q20" i="1" s="1"/>
  <c r="K20" i="1" s="1"/>
  <c r="L20" i="1" s="1"/>
  <c r="AB17" i="1"/>
  <c r="U17" i="1"/>
  <c r="Y17" i="1" s="1"/>
  <c r="AA17" i="1"/>
  <c r="AA24" i="1"/>
  <c r="AB24" i="1"/>
  <c r="AC24" i="1" s="1"/>
  <c r="U24" i="1"/>
  <c r="Y24" i="1" s="1"/>
  <c r="P29" i="1"/>
  <c r="N29" i="1" s="1"/>
  <c r="Q29" i="1" s="1"/>
  <c r="K29" i="1" s="1"/>
  <c r="L29" i="1" s="1"/>
  <c r="AB28" i="1"/>
  <c r="U28" i="1"/>
  <c r="Y28" i="1" s="1"/>
  <c r="AA28" i="1"/>
  <c r="P17" i="1"/>
  <c r="N17" i="1" s="1"/>
  <c r="Q17" i="1" s="1"/>
  <c r="K17" i="1" s="1"/>
  <c r="L17" i="1" s="1"/>
  <c r="AB27" i="1"/>
  <c r="AC27" i="1" s="1"/>
  <c r="U27" i="1"/>
  <c r="Y27" i="1" s="1"/>
  <c r="AA27" i="1"/>
  <c r="AB18" i="1"/>
  <c r="U18" i="1"/>
  <c r="Y18" i="1" s="1"/>
  <c r="AA18" i="1"/>
  <c r="P26" i="1"/>
  <c r="N26" i="1" s="1"/>
  <c r="Q26" i="1" s="1"/>
  <c r="K26" i="1" s="1"/>
  <c r="L26" i="1" s="1"/>
  <c r="AC22" i="1"/>
  <c r="AC21" i="1" l="1"/>
  <c r="AC20" i="1"/>
  <c r="AC28" i="1"/>
  <c r="AC17" i="1"/>
  <c r="AC18" i="1"/>
  <c r="AC26" i="1"/>
</calcChain>
</file>

<file path=xl/sharedStrings.xml><?xml version="1.0" encoding="utf-8"?>
<sst xmlns="http://schemas.openxmlformats.org/spreadsheetml/2006/main" count="788" uniqueCount="359">
  <si>
    <t>File opened</t>
  </si>
  <si>
    <t>2020-08-15 13:10:28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</si>
  <si>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</si>
  <si>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</si>
  <si>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</si>
  <si>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</si>
  <si>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</si>
  <si>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</si>
  <si>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</si>
  <si>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</si>
  <si>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</si>
  <si>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</si>
  <si>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</si>
  <si>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{"co2aspan2b": "0.163711", "h2oazero": "1.00263", "flowbzero": "0.22736", "co2azero": "0.869071", "co2bzero": "0.880288", "h2obspan1": "0.998578", "h2oaspanconc2": "0", "co2bspanconc1": "1002", "co2aspanconc2": "0", "tbzero": "0.197721", "h2oaspanconc1": "12.19", "flowazero": "0.42932", "co2aspanconc1": "1002", "h2obzero": "1.01783", "co2bspan1": "0.992131", "oxygen": "21", "chamberpressurezero": "2.59209", "co2aspan1": "0.992625", "tazero": "0.00774765", "ssa_ref": "36614.9", "co2bspan2": "0", "co2aspan2a": "0.164928", "h2oaspan2b": "0.0662632", "co2aspan2": "0", "h2oaspan1": "1.00223", "co2bspan2a": "0.163389", "h2obspanconc2": "0", "h2obspanconc1": "20", "ssb_ref": "36526.8", "h2oaspan2": "0", "h2obspan2": "0", "flowmeterzero": "0.990908", "h2oaspan2a": "0.0661155", "h2obspan2b": "0.0963575", "co2bspanconc2": "0", "co2bspan2b": "0.162103", "h2obspan2a": "0.0975941"}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</si>
  <si>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</si>
  <si>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</si>
  <si>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</si>
  <si>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</si>
  <si>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</si>
  <si>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</si>
  <si>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</si>
  <si>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</si>
  <si>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</si>
  <si>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13:10:28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</si>
  <si>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</si>
  <si>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</si>
  <si>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</si>
  <si>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</si>
  <si>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</si>
  <si>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</si>
  <si>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</si>
  <si>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</si>
  <si>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</si>
  <si>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</si>
  <si>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</si>
  <si>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</si>
  <si>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</si>
  <si>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</si>
  <si>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</si>
  <si>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</si>
  <si>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</si>
  <si>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</si>
  <si>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</si>
  <si>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</si>
  <si>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</si>
  <si>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</si>
  <si>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</si>
  <si>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</si>
  <si>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</si>
  <si>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</si>
  <si>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</si>
  <si>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</si>
  <si>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</si>
  <si>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</si>
  <si>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</si>
  <si>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</si>
  <si>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</si>
  <si>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</si>
  <si>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</si>
  <si>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</si>
  <si>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</si>
  <si>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</si>
  <si>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</si>
  <si>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</si>
  <si>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</si>
  <si>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</si>
  <si>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</si>
  <si>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</si>
  <si>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</si>
  <si>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</si>
  <si>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</si>
  <si>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3.00186 75.5949 388.782 621.537 849.04 1054.8 1229.05 1393.75</t>
  </si>
  <si>
    <t>Fs_true</t>
  </si>
  <si>
    <t>0.276677 99.6915 402.487 601.632 800.517 1001.11 1200.75 1401.88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</si>
  <si>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</si>
  <si>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</si>
  <si>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</si>
  <si>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</si>
  <si>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</si>
  <si>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</si>
  <si>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</si>
  <si>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</si>
  <si>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</si>
  <si>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</si>
  <si>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</si>
  <si>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</si>
  <si>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</si>
  <si>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</si>
  <si>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</si>
  <si>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</si>
  <si>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</si>
  <si>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</si>
  <si>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</si>
  <si>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</si>
  <si>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</si>
  <si>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</si>
  <si>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</si>
  <si>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</si>
  <si>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</si>
  <si>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</si>
  <si>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</si>
  <si>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</si>
  <si>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</si>
  <si>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</si>
  <si>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</si>
  <si>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</si>
  <si>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</si>
  <si>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</si>
  <si>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</si>
  <si>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</si>
  <si>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</si>
  <si>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</si>
  <si>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</si>
  <si>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</si>
  <si>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</si>
  <si>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</si>
  <si>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</si>
  <si>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</si>
  <si>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</si>
  <si>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</si>
  <si>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</si>
  <si>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</si>
  <si>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</si>
  <si>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</si>
  <si>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</si>
  <si>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</si>
  <si>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</si>
  <si>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</si>
  <si>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</si>
  <si>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</si>
  <si>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</si>
  <si>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</si>
  <si>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</si>
  <si>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</si>
  <si>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</si>
  <si>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</si>
  <si>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</si>
  <si>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</si>
  <si>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</si>
  <si>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</si>
  <si>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</si>
  <si>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</si>
  <si>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</si>
  <si>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</si>
  <si>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</si>
  <si>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</si>
  <si>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</si>
  <si>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</si>
  <si>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</si>
  <si>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</si>
  <si>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</si>
  <si>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</si>
  <si>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</si>
  <si>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</si>
  <si>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</si>
  <si>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</si>
  <si>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</si>
  <si>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</si>
  <si>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</si>
  <si>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</si>
  <si>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</si>
  <si>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</si>
  <si>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</si>
  <si>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</si>
  <si>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</si>
  <si>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</si>
  <si>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</si>
  <si>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</si>
  <si>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</si>
  <si>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</si>
  <si>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</si>
  <si>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</si>
  <si>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</si>
  <si>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</si>
  <si>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</si>
  <si>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</si>
  <si>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</si>
  <si>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</si>
  <si>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</si>
  <si>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</si>
  <si>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</si>
  <si>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</si>
  <si>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</si>
  <si>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</si>
  <si>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</si>
  <si>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</si>
  <si>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</si>
  <si>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</si>
  <si>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</si>
  <si>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</si>
  <si>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</si>
  <si>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</si>
  <si>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</si>
  <si>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</si>
  <si>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</si>
  <si>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</si>
  <si>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</si>
  <si>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</si>
  <si>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</si>
  <si>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</si>
  <si>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</si>
  <si>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</si>
  <si>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</si>
  <si>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</si>
  <si>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</si>
  <si>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</si>
  <si>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</si>
  <si>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</si>
  <si>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</si>
  <si>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</si>
  <si>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</si>
  <si>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</si>
  <si>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</si>
  <si>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</si>
  <si>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</si>
  <si>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</si>
  <si>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</si>
  <si>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</si>
  <si>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</si>
  <si>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</si>
  <si>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</si>
  <si>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</si>
  <si>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</si>
  <si>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</si>
  <si>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</si>
  <si>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</si>
  <si>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</si>
  <si>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</si>
  <si>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</si>
  <si>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</si>
  <si>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</si>
  <si>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</si>
  <si>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</si>
  <si>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</si>
  <si>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</si>
  <si>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</si>
  <si>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</si>
  <si>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</si>
  <si>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</si>
  <si>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</si>
  <si>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</si>
  <si>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</si>
  <si>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</si>
  <si>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</si>
  <si>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</si>
  <si>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</si>
  <si>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</si>
  <si>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</si>
  <si>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</si>
  <si>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</si>
  <si>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</si>
  <si>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</si>
  <si>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</si>
  <si>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</si>
  <si>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</si>
  <si>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</si>
  <si>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</si>
  <si>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</si>
  <si>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</si>
  <si>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</si>
  <si>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</si>
  <si>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</si>
  <si>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</si>
  <si>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</si>
  <si>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</si>
  <si>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</si>
  <si>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</si>
  <si>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</si>
  <si>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</si>
  <si>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</si>
  <si>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</si>
  <si>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</si>
  <si>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</si>
  <si>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</si>
  <si>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</si>
  <si>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</si>
  <si>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</si>
  <si>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20200815 13:17:14</t>
  </si>
  <si>
    <t>13:17:14</t>
  </si>
  <si>
    <t>MPF-6236-20200815-13_17_16</t>
  </si>
  <si>
    <t>DARK-6237-20200815-13_17_23</t>
  </si>
  <si>
    <t>0: Broadleaf</t>
  </si>
  <si>
    <t>13:17:49</t>
  </si>
  <si>
    <t>2/2</t>
  </si>
  <si>
    <t>5</t>
  </si>
  <si>
    <t>11111111</t>
  </si>
  <si>
    <t>oooooooo</t>
  </si>
  <si>
    <t>off</t>
  </si>
  <si>
    <t>20200815 13:19:51</t>
  </si>
  <si>
    <t>13:19:51</t>
  </si>
  <si>
    <t>MPF-6238-20200815-13_19_53</t>
  </si>
  <si>
    <t>DARK-6239-20200815-13_20_00</t>
  </si>
  <si>
    <t>13:20:27</t>
  </si>
  <si>
    <t>1/2</t>
  </si>
  <si>
    <t>20200815 13:21:58</t>
  </si>
  <si>
    <t>13:21:58</t>
  </si>
  <si>
    <t>MPF-6240-20200815-13_22_00</t>
  </si>
  <si>
    <t>DARK-6241-20200815-13_22_08</t>
  </si>
  <si>
    <t>13:22:27</t>
  </si>
  <si>
    <t>20200815 13:23:58</t>
  </si>
  <si>
    <t>13:23:58</t>
  </si>
  <si>
    <t>MPF-6242-20200815-13_24_00</t>
  </si>
  <si>
    <t>DARK-6243-20200815-13_24_08</t>
  </si>
  <si>
    <t>13:24:33</t>
  </si>
  <si>
    <t>20200815 13:26:05</t>
  </si>
  <si>
    <t>13:26:05</t>
  </si>
  <si>
    <t>MPF-6244-20200815-13_26_07</t>
  </si>
  <si>
    <t>DARK-6245-20200815-13_26_14</t>
  </si>
  <si>
    <t>13:26:37</t>
  </si>
  <si>
    <t>20200815 13:28:08</t>
  </si>
  <si>
    <t>13:28:08</t>
  </si>
  <si>
    <t>MPF-6246-20200815-13_28_10</t>
  </si>
  <si>
    <t>DARK-6247-20200815-13_28_18</t>
  </si>
  <si>
    <t>13:28:39</t>
  </si>
  <si>
    <t>20200815 13:30:11</t>
  </si>
  <si>
    <t>13:30:11</t>
  </si>
  <si>
    <t>MPF-6248-20200815-13_30_13</t>
  </si>
  <si>
    <t>DARK-6249-20200815-13_30_20</t>
  </si>
  <si>
    <t>13:30:39</t>
  </si>
  <si>
    <t>20200815 13:32:11</t>
  </si>
  <si>
    <t>13:32:11</t>
  </si>
  <si>
    <t>MPF-6250-20200815-13_32_12</t>
  </si>
  <si>
    <t>DARK-6251-20200815-13_32_20</t>
  </si>
  <si>
    <t>13:32:38</t>
  </si>
  <si>
    <t>20200815 13:34:11</t>
  </si>
  <si>
    <t>13:34:11</t>
  </si>
  <si>
    <t>MPF-6252-20200815-13_34_12</t>
  </si>
  <si>
    <t>DARK-6253-20200815-13_34_20</t>
  </si>
  <si>
    <t>13:34:36</t>
  </si>
  <si>
    <t>20200815 13:36:27</t>
  </si>
  <si>
    <t>13:36:27</t>
  </si>
  <si>
    <t>MPF-6254-20200815-13_36_29</t>
  </si>
  <si>
    <t>DARK-6255-20200815-13_36_36</t>
  </si>
  <si>
    <t>13:36:55</t>
  </si>
  <si>
    <t>20200815 13:38:35</t>
  </si>
  <si>
    <t>13:38:35</t>
  </si>
  <si>
    <t>MPF-6256-20200815-13_38_36</t>
  </si>
  <si>
    <t>DARK-6257-20200815-13_38_44</t>
  </si>
  <si>
    <t>13:39:04</t>
  </si>
  <si>
    <t>20200815 13:40:38</t>
  </si>
  <si>
    <t>13:40:38</t>
  </si>
  <si>
    <t>MPF-6258-20200815-13_40_40</t>
  </si>
  <si>
    <t>DARK-6259-20200815-13_40_47</t>
  </si>
  <si>
    <t>13:41:08</t>
  </si>
  <si>
    <t>20200815 13:42:40</t>
  </si>
  <si>
    <t>13:42:40</t>
  </si>
  <si>
    <t>MPF-6260-20200815-13_42_41</t>
  </si>
  <si>
    <t>DARK-6261-20200815-13_42_49</t>
  </si>
  <si>
    <t>13:43:07</t>
  </si>
  <si>
    <t>20200815 13:44:58</t>
  </si>
  <si>
    <t>13:44:58</t>
  </si>
  <si>
    <t>MPF-6262-20200815-13_45_00</t>
  </si>
  <si>
    <t>DARK-6263-20200815-13_45_07</t>
  </si>
  <si>
    <t>13:45:39</t>
  </si>
  <si>
    <t>20200815 13:47:13</t>
  </si>
  <si>
    <t>13:47:13</t>
  </si>
  <si>
    <t>MPF-6264-20200815-13_47_14</t>
  </si>
  <si>
    <t>DARK-6265-20200815-13_47_22</t>
  </si>
  <si>
    <t>13:47:40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</si>
</sst>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1597515434.4000001</v>
      </c>
      <c r="C17">
        <v>0</v>
      </c>
      <c r="D17" t="s">
        <v>277</v>
      </c>
      <c r="E17" t="s">
        <v>278</v>
      </c>
      <c r="G17">
        <v>1597515426.4000001</v>
      </c>
      <c r="H17">
        <f t="shared" ref="H17:H31" si="0">CC17*AI17*(CA17-CB17)/(100*$B$5*(1000-AI17*CA17))</f>
        <v>1.1477473473446704E-2</v>
      </c>
      <c r="I17">
        <f t="shared" ref="I17:I31" si="1">CC17*AI17*(BZ17-BY17*(1000-AI17*CB17)/(1000-AI17*CA17))/(100*$B$5)</f>
        <v>38.14054343027545</v>
      </c>
      <c r="J17">
        <f t="shared" ref="J17:J31" si="2">BY17 - IF(AI17&gt;1, I17*$B$5*100/(AK17*CI17), 0)</f>
        <v>382.96822580645198</v>
      </c>
      <c r="K17">
        <f t="shared" ref="K17:K31" si="3">((Q17-H17/2)*J17-I17)/(Q17+H17/2)</f>
        <v>291.72606837651591</v>
      </c>
      <c r="L17">
        <f t="shared" ref="L17:L31" si="4">K17*(CD17+CE17)/1000</f>
        <v>28.94905662446563</v>
      </c>
      <c r="M17">
        <f t="shared" ref="M17:M31" si="5">(BY17 - IF(AI17&gt;1, I17*$B$5*100/(AK17*CI17), 0))*(CD17+CE17)/1000</f>
        <v>38.003353337396135</v>
      </c>
      <c r="N17">
        <f t="shared" ref="N17:N31" si="6">2/((1/P17-1/O17)+SIGN(P17)*SQRT((1/P17-1/O17)*(1/P17-1/O17) + 4*BV17/((BV17+1)*(BV17+1))*(2*1/P17*1/O17-1/O17*1/O17)))</f>
        <v>0.82133710929032333</v>
      </c>
      <c r="O17">
        <f t="shared" ref="O17:O31" si="7">AF17+AE17*$B$5+AD17*$B$5*$B$5</f>
        <v>3.372820673006558</v>
      </c>
      <c r="P17">
        <f t="shared" ref="P17:P31" si="8">H17*(1000-(1000*0.61365*EXP(17.502*T17/(240.97+T17))/(CD17+CE17)+CA17)/2)/(1000*0.61365*EXP(17.502*T17/(240.97+T17))/(CD17+CE17)-CA17)</f>
        <v>0.72430509034313917</v>
      </c>
      <c r="Q17">
        <f t="shared" ref="Q17:Q31" si="9">1/((BV17+1)/(N17/1.6)+1/(O17/1.37)) + BV17/((BV17+1)/(N17/1.6) + BV17/(O17/1.37))</f>
        <v>0.46044983531457828</v>
      </c>
      <c r="R17">
        <f t="shared" ref="R17:R31" si="10">(BS17*BU17)</f>
        <v>321.4384396238159</v>
      </c>
      <c r="S17">
        <f t="shared" ref="S17:S31" si="11">(CF17+(R17+2*0.95*0.0000000567*(((CF17+$B$7)+273)^4-(CF17+273)^4)-44100*H17)/(1.84*29.3*O17+8*0.95*0.0000000567*(CF17+273)^3))</f>
        <v>27.009744522514506</v>
      </c>
      <c r="T17">
        <f t="shared" ref="T17:T31" si="12">($C$7*CG17+$D$7*CH17+$E$7*S17)</f>
        <v>27.0443903225806</v>
      </c>
      <c r="U17">
        <f t="shared" ref="U17:U31" si="13">0.61365*EXP(17.502*T17/(240.97+T17))</f>
        <v>3.5885017368163772</v>
      </c>
      <c r="V17">
        <f t="shared" ref="V17:V31" si="14">(W17/X17*100)</f>
        <v>54.419209658662325</v>
      </c>
      <c r="W17">
        <f t="shared" ref="W17:W31" si="15">CA17*(CD17+CE17)/1000</f>
        <v>2.06078589027672</v>
      </c>
      <c r="X17">
        <f t="shared" ref="X17:X31" si="16">0.61365*EXP(17.502*CF17/(240.97+CF17))</f>
        <v>3.7868721416623679</v>
      </c>
      <c r="Y17">
        <f t="shared" ref="Y17:Y31" si="17">(U17-CA17*(CD17+CE17)/1000)</f>
        <v>1.5277158465396572</v>
      </c>
      <c r="Z17">
        <f t="shared" ref="Z17:Z31" si="18">(-H17*44100)</f>
        <v>-506.15658017899966</v>
      </c>
      <c r="AA17">
        <f t="shared" ref="AA17:AA31" si="19">2*29.3*O17*0.92*(CF17-T17)</f>
        <v>167.20889447617091</v>
      </c>
      <c r="AB17">
        <f t="shared" ref="AB17:AB31" si="20">2*0.95*0.0000000567*(((CF17+$B$7)+273)^4-(T17+273)^4)</f>
        <v>10.753005350257148</v>
      </c>
      <c r="AC17">
        <f t="shared" ref="AC17:AC31" si="21">R17+AB17+Z17+AA17</f>
        <v>-6.7562407287557278</v>
      </c>
      <c r="AD17">
        <v>-4.1027177449445E-2</v>
      </c>
      <c r="AE17">
        <v>4.6056600865148803E-2</v>
      </c>
      <c r="AF17">
        <v>3.4448161810740401</v>
      </c>
      <c r="AG17">
        <v>148</v>
      </c>
      <c r="AH17">
        <v>30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52150.631825349032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320.75846153846197</v>
      </c>
      <c r="AT17">
        <v>475.09500000000003</v>
      </c>
      <c r="AU17">
        <f t="shared" ref="AU17:AU31" si="27">1-AS17/AT17</f>
        <v>0.32485405752857444</v>
      </c>
      <c r="AV17">
        <v>0.5</v>
      </c>
      <c r="AW17">
        <f t="shared" ref="AW17:AW31" si="28">BS17</f>
        <v>1681.1921222575254</v>
      </c>
      <c r="AX17">
        <f t="shared" ref="AX17:AX31" si="29">I17</f>
        <v>38.14054343027545</v>
      </c>
      <c r="AY17">
        <f t="shared" ref="AY17:AY31" si="30">AU17*AV17*AW17</f>
        <v>273.07104120021614</v>
      </c>
      <c r="AZ17">
        <f t="shared" ref="AZ17:AZ31" si="31">BE17/AT17</f>
        <v>0.58833496458603007</v>
      </c>
      <c r="BA17">
        <f t="shared" ref="BA17:BA31" si="32">(AX17-AQ17)/AW17</f>
        <v>2.3281422100477754E-2</v>
      </c>
      <c r="BB17">
        <f t="shared" ref="BB17:BB31" si="33">(AN17-AT17)/AT17</f>
        <v>-1</v>
      </c>
      <c r="BC17" t="s">
        <v>280</v>
      </c>
      <c r="BD17">
        <v>195.58</v>
      </c>
      <c r="BE17">
        <f t="shared" ref="BE17:BE31" si="34">AT17-BD17</f>
        <v>279.51499999999999</v>
      </c>
      <c r="BF17">
        <f t="shared" ref="BF17:BF31" si="35">(AT17-AS17)/(AT17-BD17)</f>
        <v>0.55215834020191423</v>
      </c>
      <c r="BG17">
        <f t="shared" ref="BG17:BG31" si="36">(AN17-AT17)/(AN17-BD17)</f>
        <v>2.4291594232539113</v>
      </c>
      <c r="BH17">
        <f t="shared" ref="BH17:BH31" si="37">(AT17-AS17)/(AT17-AM17)</f>
        <v>0.32485405752857438</v>
      </c>
      <c r="BI17" t="e">
        <f t="shared" ref="BI17:BI31" si="38">(AN17-AT17)/(AN17-AM17)</f>
        <v>#DIV/0!</v>
      </c>
      <c r="BJ17">
        <v>6236</v>
      </c>
      <c r="BK17">
        <v>300</v>
      </c>
      <c r="BL17">
        <v>300</v>
      </c>
      <c r="BM17">
        <v>300</v>
      </c>
      <c r="BN17">
        <v>9860.25</v>
      </c>
      <c r="BO17">
        <v>434.39299999999997</v>
      </c>
      <c r="BP17">
        <v>-6.5566299999999999E-3</v>
      </c>
      <c r="BQ17">
        <v>1.96204</v>
      </c>
      <c r="BR17">
        <f t="shared" ref="BR17:BR31" si="39">$B$11*CJ17+$C$11*CK17+$F$11*CL17</f>
        <v>1999.99451612903</v>
      </c>
      <c r="BS17">
        <f t="shared" ref="BS17:BS31" si="40">BR17*BT17</f>
        <v>1681.1921222575254</v>
      </c>
      <c r="BT17">
        <f t="shared" ref="BT17:BT31" si="41">($B$11*$D$9+$C$11*$D$9+$F$11*((CY17+CQ17)/MAX(CY17+CQ17+CZ17, 0.1)*$I$9+CZ17/MAX(CY17+CQ17+CZ17, 0.1)*$J$9))/($B$11+$C$11+$F$11)</f>
        <v>0.84059836599525106</v>
      </c>
      <c r="BU17">
        <f t="shared" ref="BU17:BU31" si="42">($B$11*$K$9+$C$11*$K$9+$F$11*((CY17+CQ17)/MAX(CY17+CQ17+CZ17, 0.1)*$P$9+CZ17/MAX(CY17+CQ17+CZ17, 0.1)*$Q$9))/($B$11+$C$11+$F$11)</f>
        <v>0.19119673199050233</v>
      </c>
      <c r="BV17">
        <v>0.5</v>
      </c>
      <c r="BW17" t="s">
        <v>281</v>
      </c>
      <c r="BX17">
        <v>1597515426.4000001</v>
      </c>
      <c r="BY17">
        <v>382.96822580645198</v>
      </c>
      <c r="BZ17">
        <v>399.98074193548399</v>
      </c>
      <c r="CA17">
        <v>20.766996774193601</v>
      </c>
      <c r="CB17">
        <v>16.271851612903198</v>
      </c>
      <c r="CC17">
        <v>500.05596774193498</v>
      </c>
      <c r="CD17">
        <v>99.033670967741898</v>
      </c>
      <c r="CE17">
        <v>0.20002722580645199</v>
      </c>
      <c r="CF17">
        <v>27.963951612903202</v>
      </c>
      <c r="CG17">
        <v>27.0443903225806</v>
      </c>
      <c r="CH17">
        <v>999.9</v>
      </c>
      <c r="CI17">
        <v>9990.4438709677397</v>
      </c>
      <c r="CJ17">
        <v>0</v>
      </c>
      <c r="CK17">
        <v>274.70919354838702</v>
      </c>
      <c r="CL17">
        <v>1999.99451612903</v>
      </c>
      <c r="CM17">
        <v>0.98000374193548401</v>
      </c>
      <c r="CN17">
        <v>1.9996090322580599E-2</v>
      </c>
      <c r="CO17">
        <v>0</v>
      </c>
      <c r="CP17">
        <v>320.793838709677</v>
      </c>
      <c r="CQ17">
        <v>5.00054</v>
      </c>
      <c r="CR17">
        <v>9220.7051612903197</v>
      </c>
      <c r="CS17">
        <v>18703.603225806499</v>
      </c>
      <c r="CT17">
        <v>51.138838709677401</v>
      </c>
      <c r="CU17">
        <v>53.411064516129002</v>
      </c>
      <c r="CV17">
        <v>51.723516129032198</v>
      </c>
      <c r="CW17">
        <v>52.1429032258064</v>
      </c>
      <c r="CX17">
        <v>52.477516129032203</v>
      </c>
      <c r="CY17">
        <v>1955.1035483871001</v>
      </c>
      <c r="CZ17">
        <v>39.890967741935498</v>
      </c>
      <c r="DA17">
        <v>0</v>
      </c>
      <c r="DB17">
        <v>503.09999990463302</v>
      </c>
      <c r="DC17">
        <v>320.75846153846197</v>
      </c>
      <c r="DD17">
        <v>-10.799111099532601</v>
      </c>
      <c r="DE17">
        <v>-198.96000010479199</v>
      </c>
      <c r="DF17">
        <v>9219.7761538461491</v>
      </c>
      <c r="DG17">
        <v>15</v>
      </c>
      <c r="DH17">
        <v>1597515469.4000001</v>
      </c>
      <c r="DI17" t="s">
        <v>282</v>
      </c>
      <c r="DJ17">
        <v>77</v>
      </c>
      <c r="DK17">
        <v>-0.45200000000000001</v>
      </c>
      <c r="DL17">
        <v>0.10199999999999999</v>
      </c>
      <c r="DM17">
        <v>400</v>
      </c>
      <c r="DN17">
        <v>16</v>
      </c>
      <c r="DO17">
        <v>0.17</v>
      </c>
      <c r="DP17">
        <v>0.02</v>
      </c>
      <c r="DQ17">
        <v>383.32431481481501</v>
      </c>
      <c r="DR17">
        <v>-0.29460949113796098</v>
      </c>
      <c r="DS17">
        <v>4.26644201118958E-2</v>
      </c>
      <c r="DT17">
        <v>1</v>
      </c>
      <c r="DU17">
        <v>20.8096</v>
      </c>
      <c r="DV17">
        <v>-0.18355631789591301</v>
      </c>
      <c r="DW17">
        <v>2.88372958099339E-2</v>
      </c>
      <c r="DX17">
        <v>1</v>
      </c>
      <c r="DY17">
        <v>2</v>
      </c>
      <c r="DZ17">
        <v>2</v>
      </c>
      <c r="EA17" t="s">
        <v>283</v>
      </c>
      <c r="EB17">
        <v>1.8666700000000001</v>
      </c>
      <c r="EC17">
        <v>1.8632</v>
      </c>
      <c r="ED17">
        <v>1.8688899999999999</v>
      </c>
      <c r="EE17">
        <v>1.86676</v>
      </c>
      <c r="EF17">
        <v>1.8714900000000001</v>
      </c>
      <c r="EG17">
        <v>1.86391</v>
      </c>
      <c r="EH17">
        <v>1.8654900000000001</v>
      </c>
      <c r="EI17">
        <v>1.8653900000000001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-0.45200000000000001</v>
      </c>
      <c r="EX17">
        <v>0.10199999999999999</v>
      </c>
      <c r="EY17">
        <v>2</v>
      </c>
      <c r="EZ17">
        <v>336.34199999999998</v>
      </c>
      <c r="FA17">
        <v>459.779</v>
      </c>
      <c r="FB17">
        <v>22.836600000000001</v>
      </c>
      <c r="FC17">
        <v>36.627200000000002</v>
      </c>
      <c r="FD17">
        <v>30.000399999999999</v>
      </c>
      <c r="FE17">
        <v>36.611699999999999</v>
      </c>
      <c r="FF17">
        <v>36.611199999999997</v>
      </c>
      <c r="FG17">
        <v>22.014600000000002</v>
      </c>
      <c r="FH17">
        <v>57.104900000000001</v>
      </c>
      <c r="FI17">
        <v>0</v>
      </c>
      <c r="FJ17">
        <v>22.8065</v>
      </c>
      <c r="FK17">
        <v>400</v>
      </c>
      <c r="FL17">
        <v>16.464700000000001</v>
      </c>
      <c r="FM17">
        <v>100.19499999999999</v>
      </c>
      <c r="FN17">
        <v>100.756</v>
      </c>
    </row>
    <row r="18" spans="1:170" x14ac:dyDescent="0.25">
      <c r="A18">
        <v>2</v>
      </c>
      <c r="B18">
        <v>1597515591.4000001</v>
      </c>
      <c r="C18">
        <v>157</v>
      </c>
      <c r="D18" t="s">
        <v>288</v>
      </c>
      <c r="E18" t="s">
        <v>289</v>
      </c>
      <c r="G18">
        <v>1597515583.4000001</v>
      </c>
      <c r="H18">
        <f t="shared" si="0"/>
        <v>1.0625231982427746E-2</v>
      </c>
      <c r="I18">
        <f t="shared" si="1"/>
        <v>28.51907525990589</v>
      </c>
      <c r="J18">
        <f t="shared" si="2"/>
        <v>287.36651612903199</v>
      </c>
      <c r="K18">
        <f t="shared" si="3"/>
        <v>214.13132045060709</v>
      </c>
      <c r="L18">
        <f t="shared" si="4"/>
        <v>21.24787343551818</v>
      </c>
      <c r="M18">
        <f t="shared" si="5"/>
        <v>28.51487279612558</v>
      </c>
      <c r="N18">
        <f t="shared" si="6"/>
        <v>0.75301667070038569</v>
      </c>
      <c r="O18">
        <f t="shared" si="7"/>
        <v>3.375007591564557</v>
      </c>
      <c r="P18">
        <f t="shared" si="8"/>
        <v>0.67063886466697764</v>
      </c>
      <c r="Q18">
        <f t="shared" si="9"/>
        <v>0.42579719214520584</v>
      </c>
      <c r="R18">
        <f t="shared" si="10"/>
        <v>321.44009649699416</v>
      </c>
      <c r="S18">
        <f t="shared" si="11"/>
        <v>26.665356024722037</v>
      </c>
      <c r="T18">
        <f t="shared" si="12"/>
        <v>26.932829032258098</v>
      </c>
      <c r="U18">
        <f t="shared" si="13"/>
        <v>3.5650637782376804</v>
      </c>
      <c r="V18">
        <f t="shared" si="14"/>
        <v>55.520251722523604</v>
      </c>
      <c r="W18">
        <f t="shared" si="15"/>
        <v>2.0373269563285374</v>
      </c>
      <c r="X18">
        <f t="shared" si="16"/>
        <v>3.6695203878227898</v>
      </c>
      <c r="Y18">
        <f t="shared" si="17"/>
        <v>1.527736821909143</v>
      </c>
      <c r="Z18">
        <f t="shared" si="18"/>
        <v>-468.57273042506358</v>
      </c>
      <c r="AA18">
        <f t="shared" si="19"/>
        <v>89.586815369920743</v>
      </c>
      <c r="AB18">
        <f t="shared" si="20"/>
        <v>5.7388094647159207</v>
      </c>
      <c r="AC18">
        <f t="shared" si="21"/>
        <v>-51.807009093432754</v>
      </c>
      <c r="AD18">
        <v>-4.1060961535158702E-2</v>
      </c>
      <c r="AE18">
        <v>4.60945264610109E-2</v>
      </c>
      <c r="AF18">
        <v>3.4470623847831701</v>
      </c>
      <c r="AG18">
        <v>156</v>
      </c>
      <c r="AH18">
        <v>31</v>
      </c>
      <c r="AI18">
        <f t="shared" si="22"/>
        <v>1</v>
      </c>
      <c r="AJ18">
        <f t="shared" si="23"/>
        <v>0</v>
      </c>
      <c r="AK18">
        <f t="shared" si="24"/>
        <v>52285.305624038316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285.19596153846197</v>
      </c>
      <c r="AT18">
        <v>407.411</v>
      </c>
      <c r="AU18">
        <f t="shared" si="27"/>
        <v>0.29997972185713695</v>
      </c>
      <c r="AV18">
        <v>0.5</v>
      </c>
      <c r="AW18">
        <f t="shared" si="28"/>
        <v>1681.2007982438204</v>
      </c>
      <c r="AX18">
        <f t="shared" si="29"/>
        <v>28.51907525990589</v>
      </c>
      <c r="AY18">
        <f t="shared" si="30"/>
        <v>252.16307392158893</v>
      </c>
      <c r="AZ18">
        <f t="shared" si="31"/>
        <v>0.53064595703110617</v>
      </c>
      <c r="BA18">
        <f t="shared" si="32"/>
        <v>1.7558328125195675E-2</v>
      </c>
      <c r="BB18">
        <f t="shared" si="33"/>
        <v>-1</v>
      </c>
      <c r="BC18" t="s">
        <v>291</v>
      </c>
      <c r="BD18">
        <v>191.22</v>
      </c>
      <c r="BE18">
        <f t="shared" si="34"/>
        <v>216.191</v>
      </c>
      <c r="BF18">
        <f t="shared" si="35"/>
        <v>0.56531048221960223</v>
      </c>
      <c r="BG18">
        <f t="shared" si="36"/>
        <v>2.1305878046229476</v>
      </c>
      <c r="BH18">
        <f t="shared" si="37"/>
        <v>0.29997972185713695</v>
      </c>
      <c r="BI18" t="e">
        <f t="shared" si="38"/>
        <v>#DIV/0!</v>
      </c>
      <c r="BJ18">
        <v>6238</v>
      </c>
      <c r="BK18">
        <v>300</v>
      </c>
      <c r="BL18">
        <v>300</v>
      </c>
      <c r="BM18">
        <v>300</v>
      </c>
      <c r="BN18">
        <v>9860.84</v>
      </c>
      <c r="BO18">
        <v>375.42700000000002</v>
      </c>
      <c r="BP18">
        <v>-6.5569900000000004E-3</v>
      </c>
      <c r="BQ18">
        <v>2.2909199999999998</v>
      </c>
      <c r="BR18">
        <f t="shared" si="39"/>
        <v>2000.0048387096799</v>
      </c>
      <c r="BS18">
        <f t="shared" si="40"/>
        <v>1681.2007982438204</v>
      </c>
      <c r="BT18">
        <f t="shared" si="41"/>
        <v>0.84059836541618638</v>
      </c>
      <c r="BU18">
        <f t="shared" si="42"/>
        <v>0.19119673083237287</v>
      </c>
      <c r="BV18">
        <v>0.5</v>
      </c>
      <c r="BW18" t="s">
        <v>281</v>
      </c>
      <c r="BX18">
        <v>1597515583.4000001</v>
      </c>
      <c r="BY18">
        <v>287.36651612903199</v>
      </c>
      <c r="BZ18">
        <v>299.99429032258098</v>
      </c>
      <c r="CA18">
        <v>20.5317258064516</v>
      </c>
      <c r="CB18">
        <v>16.369287096774201</v>
      </c>
      <c r="CC18">
        <v>500.047129032258</v>
      </c>
      <c r="CD18">
        <v>99.028254838709699</v>
      </c>
      <c r="CE18">
        <v>0.199982258064516</v>
      </c>
      <c r="CF18">
        <v>27.425190322580601</v>
      </c>
      <c r="CG18">
        <v>26.932829032258098</v>
      </c>
      <c r="CH18">
        <v>999.9</v>
      </c>
      <c r="CI18">
        <v>9999.2174193548399</v>
      </c>
      <c r="CJ18">
        <v>0</v>
      </c>
      <c r="CK18">
        <v>280.16303225806502</v>
      </c>
      <c r="CL18">
        <v>2000.0048387096799</v>
      </c>
      <c r="CM18">
        <v>0.98000229032258002</v>
      </c>
      <c r="CN18">
        <v>1.9997348387096801E-2</v>
      </c>
      <c r="CO18">
        <v>0</v>
      </c>
      <c r="CP18">
        <v>285.23283870967703</v>
      </c>
      <c r="CQ18">
        <v>5.00054</v>
      </c>
      <c r="CR18">
        <v>8558.1622580645198</v>
      </c>
      <c r="CS18">
        <v>18703.7</v>
      </c>
      <c r="CT18">
        <v>50.917064516129003</v>
      </c>
      <c r="CU18">
        <v>53.233741935483899</v>
      </c>
      <c r="CV18">
        <v>51.533999999999999</v>
      </c>
      <c r="CW18">
        <v>51.931096774193499</v>
      </c>
      <c r="CX18">
        <v>52.286096774193503</v>
      </c>
      <c r="CY18">
        <v>1955.1054838709699</v>
      </c>
      <c r="CZ18">
        <v>39.890967741935498</v>
      </c>
      <c r="DA18">
        <v>0</v>
      </c>
      <c r="DB18">
        <v>156.200000047684</v>
      </c>
      <c r="DC18">
        <v>285.19596153846197</v>
      </c>
      <c r="DD18">
        <v>-4.2368888926473298</v>
      </c>
      <c r="DE18">
        <v>19.172307700869801</v>
      </c>
      <c r="DF18">
        <v>8558.2950000000001</v>
      </c>
      <c r="DG18">
        <v>15</v>
      </c>
      <c r="DH18">
        <v>1597515627.4000001</v>
      </c>
      <c r="DI18" t="s">
        <v>292</v>
      </c>
      <c r="DJ18">
        <v>78</v>
      </c>
      <c r="DK18">
        <v>-0.42299999999999999</v>
      </c>
      <c r="DL18">
        <v>0.10199999999999999</v>
      </c>
      <c r="DM18">
        <v>300</v>
      </c>
      <c r="DN18">
        <v>16</v>
      </c>
      <c r="DO18">
        <v>0.16</v>
      </c>
      <c r="DP18">
        <v>0.03</v>
      </c>
      <c r="DQ18">
        <v>287.33722222222201</v>
      </c>
      <c r="DR18">
        <v>-3.82115494567489E-2</v>
      </c>
      <c r="DS18">
        <v>1.7375660570088599E-2</v>
      </c>
      <c r="DT18">
        <v>1</v>
      </c>
      <c r="DU18">
        <v>20.581281481481501</v>
      </c>
      <c r="DV18">
        <v>-0.45343030303033199</v>
      </c>
      <c r="DW18">
        <v>6.2404430855491203E-2</v>
      </c>
      <c r="DX18">
        <v>0</v>
      </c>
      <c r="DY18">
        <v>1</v>
      </c>
      <c r="DZ18">
        <v>2</v>
      </c>
      <c r="EA18" t="s">
        <v>293</v>
      </c>
      <c r="EB18">
        <v>1.8667400000000001</v>
      </c>
      <c r="EC18">
        <v>1.8632500000000001</v>
      </c>
      <c r="ED18">
        <v>1.8689</v>
      </c>
      <c r="EE18">
        <v>1.8668100000000001</v>
      </c>
      <c r="EF18">
        <v>1.8714900000000001</v>
      </c>
      <c r="EG18">
        <v>1.8640000000000001</v>
      </c>
      <c r="EH18">
        <v>1.86554</v>
      </c>
      <c r="EI18">
        <v>1.86541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-0.42299999999999999</v>
      </c>
      <c r="EX18">
        <v>0.10199999999999999</v>
      </c>
      <c r="EY18">
        <v>2</v>
      </c>
      <c r="EZ18">
        <v>328.62400000000002</v>
      </c>
      <c r="FA18">
        <v>459.524</v>
      </c>
      <c r="FB18">
        <v>22.071300000000001</v>
      </c>
      <c r="FC18">
        <v>36.539000000000001</v>
      </c>
      <c r="FD18">
        <v>29.994900000000001</v>
      </c>
      <c r="FE18">
        <v>36.533099999999997</v>
      </c>
      <c r="FF18">
        <v>36.533200000000001</v>
      </c>
      <c r="FG18">
        <v>17.527899999999999</v>
      </c>
      <c r="FH18">
        <v>57.950800000000001</v>
      </c>
      <c r="FI18">
        <v>0</v>
      </c>
      <c r="FJ18">
        <v>22.327400000000001</v>
      </c>
      <c r="FK18">
        <v>300</v>
      </c>
      <c r="FL18">
        <v>16.1877</v>
      </c>
      <c r="FM18">
        <v>100.214</v>
      </c>
      <c r="FN18">
        <v>100.777</v>
      </c>
    </row>
    <row r="19" spans="1:170" x14ac:dyDescent="0.25">
      <c r="A19">
        <v>3</v>
      </c>
      <c r="B19">
        <v>1597515718.9000001</v>
      </c>
      <c r="C19">
        <v>284.5</v>
      </c>
      <c r="D19" t="s">
        <v>294</v>
      </c>
      <c r="E19" t="s">
        <v>295</v>
      </c>
      <c r="G19">
        <v>1597515710.90323</v>
      </c>
      <c r="H19">
        <f t="shared" si="0"/>
        <v>9.6999030866487951E-3</v>
      </c>
      <c r="I19">
        <f t="shared" si="1"/>
        <v>17.81470896356678</v>
      </c>
      <c r="J19">
        <f t="shared" si="2"/>
        <v>192.13325806451601</v>
      </c>
      <c r="K19">
        <f t="shared" si="3"/>
        <v>140.66899859679134</v>
      </c>
      <c r="L19">
        <f t="shared" si="4"/>
        <v>13.957999461508962</v>
      </c>
      <c r="M19">
        <f t="shared" si="5"/>
        <v>19.064583805629287</v>
      </c>
      <c r="N19">
        <f t="shared" si="6"/>
        <v>0.65978319611280911</v>
      </c>
      <c r="O19">
        <f t="shared" si="7"/>
        <v>3.376899031279005</v>
      </c>
      <c r="P19">
        <f t="shared" si="8"/>
        <v>0.59564532512905077</v>
      </c>
      <c r="Q19">
        <f t="shared" si="9"/>
        <v>0.37751993291709002</v>
      </c>
      <c r="R19">
        <f t="shared" si="10"/>
        <v>321.43817472738152</v>
      </c>
      <c r="S19">
        <f t="shared" si="11"/>
        <v>26.915490108983974</v>
      </c>
      <c r="T19">
        <f t="shared" si="12"/>
        <v>27.131145161290299</v>
      </c>
      <c r="U19">
        <f t="shared" si="13"/>
        <v>3.6068209545089913</v>
      </c>
      <c r="V19">
        <f t="shared" si="14"/>
        <v>55.382015306783963</v>
      </c>
      <c r="W19">
        <f t="shared" si="15"/>
        <v>2.0369115518552077</v>
      </c>
      <c r="X19">
        <f t="shared" si="16"/>
        <v>3.677929632159302</v>
      </c>
      <c r="Y19">
        <f t="shared" si="17"/>
        <v>1.5699094026537836</v>
      </c>
      <c r="Z19">
        <f t="shared" si="18"/>
        <v>-427.76572612121186</v>
      </c>
      <c r="AA19">
        <f t="shared" si="19"/>
        <v>60.651456400627104</v>
      </c>
      <c r="AB19">
        <f t="shared" si="20"/>
        <v>3.8876808161781153</v>
      </c>
      <c r="AC19">
        <f t="shared" si="21"/>
        <v>-41.788414177025139</v>
      </c>
      <c r="AD19">
        <v>-4.1090188874527901E-2</v>
      </c>
      <c r="AE19">
        <v>4.6127336709908297E-2</v>
      </c>
      <c r="AF19">
        <v>3.4490051133573001</v>
      </c>
      <c r="AG19">
        <v>156</v>
      </c>
      <c r="AH19">
        <v>31</v>
      </c>
      <c r="AI19">
        <f t="shared" si="22"/>
        <v>1</v>
      </c>
      <c r="AJ19">
        <f t="shared" si="23"/>
        <v>0</v>
      </c>
      <c r="AK19">
        <f t="shared" si="24"/>
        <v>52314.136977630224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271.34188461538503</v>
      </c>
      <c r="AT19">
        <v>366.62200000000001</v>
      </c>
      <c r="AU19">
        <f t="shared" si="27"/>
        <v>0.2598865190430879</v>
      </c>
      <c r="AV19">
        <v>0.5</v>
      </c>
      <c r="AW19">
        <f t="shared" si="28"/>
        <v>1681.1883287090627</v>
      </c>
      <c r="AX19">
        <f t="shared" si="29"/>
        <v>17.81470896356678</v>
      </c>
      <c r="AY19">
        <f t="shared" si="30"/>
        <v>218.45909130203248</v>
      </c>
      <c r="AZ19">
        <f t="shared" si="31"/>
        <v>0.48273698796035158</v>
      </c>
      <c r="BA19">
        <f t="shared" si="32"/>
        <v>1.1191315477436169E-2</v>
      </c>
      <c r="BB19">
        <f t="shared" si="33"/>
        <v>-1</v>
      </c>
      <c r="BC19" t="s">
        <v>297</v>
      </c>
      <c r="BD19">
        <v>189.64</v>
      </c>
      <c r="BE19">
        <f t="shared" si="34"/>
        <v>176.98200000000003</v>
      </c>
      <c r="BF19">
        <f t="shared" si="35"/>
        <v>0.53836048516015733</v>
      </c>
      <c r="BG19">
        <f t="shared" si="36"/>
        <v>1.9332524783800888</v>
      </c>
      <c r="BH19">
        <f t="shared" si="37"/>
        <v>0.2598865190430879</v>
      </c>
      <c r="BI19" t="e">
        <f t="shared" si="38"/>
        <v>#DIV/0!</v>
      </c>
      <c r="BJ19">
        <v>6240</v>
      </c>
      <c r="BK19">
        <v>300</v>
      </c>
      <c r="BL19">
        <v>300</v>
      </c>
      <c r="BM19">
        <v>300</v>
      </c>
      <c r="BN19">
        <v>9861.1200000000008</v>
      </c>
      <c r="BO19">
        <v>342.35599999999999</v>
      </c>
      <c r="BP19">
        <v>-6.5572499999999997E-3</v>
      </c>
      <c r="BQ19">
        <v>2.2294</v>
      </c>
      <c r="BR19">
        <f t="shared" si="39"/>
        <v>1999.9896774193501</v>
      </c>
      <c r="BS19">
        <f t="shared" si="40"/>
        <v>1681.1883287090627</v>
      </c>
      <c r="BT19">
        <f t="shared" si="41"/>
        <v>0.84059850292745164</v>
      </c>
      <c r="BU19">
        <f t="shared" si="42"/>
        <v>0.19119700585490315</v>
      </c>
      <c r="BV19">
        <v>0.5</v>
      </c>
      <c r="BW19" t="s">
        <v>281</v>
      </c>
      <c r="BX19">
        <v>1597515710.90323</v>
      </c>
      <c r="BY19">
        <v>192.13325806451601</v>
      </c>
      <c r="BZ19">
        <v>200.00374193548399</v>
      </c>
      <c r="CA19">
        <v>20.528035483871001</v>
      </c>
      <c r="CB19">
        <v>16.728141935483901</v>
      </c>
      <c r="CC19">
        <v>500.05522580645197</v>
      </c>
      <c r="CD19">
        <v>99.025848387096801</v>
      </c>
      <c r="CE19">
        <v>0.199991</v>
      </c>
      <c r="CF19">
        <v>27.464293548387101</v>
      </c>
      <c r="CG19">
        <v>27.131145161290299</v>
      </c>
      <c r="CH19">
        <v>999.9</v>
      </c>
      <c r="CI19">
        <v>10006.578064516099</v>
      </c>
      <c r="CJ19">
        <v>0</v>
      </c>
      <c r="CK19">
        <v>288.27496774193497</v>
      </c>
      <c r="CL19">
        <v>1999.9896774193501</v>
      </c>
      <c r="CM19">
        <v>0.98000174193548395</v>
      </c>
      <c r="CN19">
        <v>1.9997935483871E-2</v>
      </c>
      <c r="CO19">
        <v>0</v>
      </c>
      <c r="CP19">
        <v>271.31183870967698</v>
      </c>
      <c r="CQ19">
        <v>5.00054</v>
      </c>
      <c r="CR19">
        <v>8316.8119354838691</v>
      </c>
      <c r="CS19">
        <v>18703.554838709701</v>
      </c>
      <c r="CT19">
        <v>50.777935483870998</v>
      </c>
      <c r="CU19">
        <v>53.152935483870998</v>
      </c>
      <c r="CV19">
        <v>51.414999999999999</v>
      </c>
      <c r="CW19">
        <v>51.793999999999997</v>
      </c>
      <c r="CX19">
        <v>52.156870967741902</v>
      </c>
      <c r="CY19">
        <v>1955.08967741935</v>
      </c>
      <c r="CZ19">
        <v>39.9</v>
      </c>
      <c r="DA19">
        <v>0</v>
      </c>
      <c r="DB19">
        <v>126.700000047684</v>
      </c>
      <c r="DC19">
        <v>271.34188461538503</v>
      </c>
      <c r="DD19">
        <v>-3.4157606784943</v>
      </c>
      <c r="DE19">
        <v>57.320341965860401</v>
      </c>
      <c r="DF19">
        <v>8316.8530769230802</v>
      </c>
      <c r="DG19">
        <v>15</v>
      </c>
      <c r="DH19">
        <v>1597515747.4000001</v>
      </c>
      <c r="DI19" t="s">
        <v>298</v>
      </c>
      <c r="DJ19">
        <v>79</v>
      </c>
      <c r="DK19">
        <v>-0.42499999999999999</v>
      </c>
      <c r="DL19">
        <v>0.107</v>
      </c>
      <c r="DM19">
        <v>200</v>
      </c>
      <c r="DN19">
        <v>17</v>
      </c>
      <c r="DO19">
        <v>0.22</v>
      </c>
      <c r="DP19">
        <v>0.02</v>
      </c>
      <c r="DQ19">
        <v>192.13403703703699</v>
      </c>
      <c r="DR19">
        <v>1.4568514464282801E-2</v>
      </c>
      <c r="DS19">
        <v>1.3782655448819301E-2</v>
      </c>
      <c r="DT19">
        <v>1</v>
      </c>
      <c r="DU19">
        <v>20.520892592592599</v>
      </c>
      <c r="DV19">
        <v>8.5800011242947692E-3</v>
      </c>
      <c r="DW19">
        <v>8.3631655324351694E-3</v>
      </c>
      <c r="DX19">
        <v>1</v>
      </c>
      <c r="DY19">
        <v>2</v>
      </c>
      <c r="DZ19">
        <v>2</v>
      </c>
      <c r="EA19" t="s">
        <v>283</v>
      </c>
      <c r="EB19">
        <v>1.8666100000000001</v>
      </c>
      <c r="EC19">
        <v>1.86314</v>
      </c>
      <c r="ED19">
        <v>1.86877</v>
      </c>
      <c r="EE19">
        <v>1.86676</v>
      </c>
      <c r="EF19">
        <v>1.87137</v>
      </c>
      <c r="EG19">
        <v>1.8638600000000001</v>
      </c>
      <c r="EH19">
        <v>1.8653900000000001</v>
      </c>
      <c r="EI19">
        <v>1.8653599999999999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-0.42499999999999999</v>
      </c>
      <c r="EX19">
        <v>0.107</v>
      </c>
      <c r="EY19">
        <v>2</v>
      </c>
      <c r="EZ19">
        <v>328.73599999999999</v>
      </c>
      <c r="FA19">
        <v>459.62099999999998</v>
      </c>
      <c r="FB19">
        <v>21.221900000000002</v>
      </c>
      <c r="FC19">
        <v>36.473500000000001</v>
      </c>
      <c r="FD19">
        <v>29.9999</v>
      </c>
      <c r="FE19">
        <v>36.479300000000002</v>
      </c>
      <c r="FF19">
        <v>36.482199999999999</v>
      </c>
      <c r="FG19">
        <v>12.867000000000001</v>
      </c>
      <c r="FH19">
        <v>56.6751</v>
      </c>
      <c r="FI19">
        <v>0</v>
      </c>
      <c r="FJ19">
        <v>20.341100000000001</v>
      </c>
      <c r="FK19">
        <v>200</v>
      </c>
      <c r="FL19">
        <v>16.581700000000001</v>
      </c>
      <c r="FM19">
        <v>100.214</v>
      </c>
      <c r="FN19">
        <v>100.78400000000001</v>
      </c>
    </row>
    <row r="20" spans="1:170" x14ac:dyDescent="0.25">
      <c r="A20">
        <v>4</v>
      </c>
      <c r="B20">
        <v>1597515838.9000001</v>
      </c>
      <c r="C20">
        <v>404.5</v>
      </c>
      <c r="D20" t="s">
        <v>299</v>
      </c>
      <c r="E20" t="s">
        <v>300</v>
      </c>
      <c r="G20">
        <v>1597515830.90323</v>
      </c>
      <c r="H20">
        <f t="shared" si="0"/>
        <v>9.3786947283694116E-3</v>
      </c>
      <c r="I20">
        <f t="shared" si="1"/>
        <v>6.4404539583168692</v>
      </c>
      <c r="J20">
        <f t="shared" si="2"/>
        <v>97.058541935483902</v>
      </c>
      <c r="K20">
        <f t="shared" si="3"/>
        <v>77.003021075621689</v>
      </c>
      <c r="L20">
        <f t="shared" si="4"/>
        <v>7.6404937170225642</v>
      </c>
      <c r="M20">
        <f t="shared" si="5"/>
        <v>9.6304686424336978</v>
      </c>
      <c r="N20">
        <f t="shared" si="6"/>
        <v>0.6299744073926804</v>
      </c>
      <c r="O20">
        <f t="shared" si="7"/>
        <v>3.3761466111764751</v>
      </c>
      <c r="P20">
        <f t="shared" si="8"/>
        <v>0.57121344791780648</v>
      </c>
      <c r="Q20">
        <f t="shared" si="9"/>
        <v>0.36182999886838729</v>
      </c>
      <c r="R20">
        <f t="shared" si="10"/>
        <v>321.43740247278311</v>
      </c>
      <c r="S20">
        <f t="shared" si="11"/>
        <v>26.601227653144552</v>
      </c>
      <c r="T20">
        <f t="shared" si="12"/>
        <v>26.971367741935499</v>
      </c>
      <c r="U20">
        <f t="shared" si="13"/>
        <v>3.5731452384044844</v>
      </c>
      <c r="V20">
        <f t="shared" si="14"/>
        <v>55.339392397812695</v>
      </c>
      <c r="W20">
        <f t="shared" si="15"/>
        <v>1.9896758258827292</v>
      </c>
      <c r="X20">
        <f t="shared" si="16"/>
        <v>3.5954059841852759</v>
      </c>
      <c r="Y20">
        <f t="shared" si="17"/>
        <v>1.5834694125217552</v>
      </c>
      <c r="Z20">
        <f t="shared" si="18"/>
        <v>-413.60043752109107</v>
      </c>
      <c r="AA20">
        <f t="shared" si="19"/>
        <v>19.250708953310049</v>
      </c>
      <c r="AB20">
        <f t="shared" si="20"/>
        <v>1.2308516943562833</v>
      </c>
      <c r="AC20">
        <f t="shared" si="21"/>
        <v>-71.681474400641648</v>
      </c>
      <c r="AD20">
        <v>-4.1078561279037001E-2</v>
      </c>
      <c r="AE20">
        <v>4.6114283715336497E-2</v>
      </c>
      <c r="AF20">
        <v>3.4482322888619499</v>
      </c>
      <c r="AG20">
        <v>156</v>
      </c>
      <c r="AH20">
        <v>31</v>
      </c>
      <c r="AI20">
        <f t="shared" si="22"/>
        <v>1</v>
      </c>
      <c r="AJ20">
        <f t="shared" si="23"/>
        <v>0</v>
      </c>
      <c r="AK20">
        <f t="shared" si="24"/>
        <v>52367.362706713793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268.52496153846198</v>
      </c>
      <c r="AT20">
        <v>340.71499999999997</v>
      </c>
      <c r="AU20">
        <f t="shared" si="27"/>
        <v>0.21187807540477521</v>
      </c>
      <c r="AV20">
        <v>0.5</v>
      </c>
      <c r="AW20">
        <f t="shared" si="28"/>
        <v>1681.1842641929386</v>
      </c>
      <c r="AX20">
        <f t="shared" si="29"/>
        <v>6.4404539583168692</v>
      </c>
      <c r="AY20">
        <f t="shared" si="30"/>
        <v>178.10304314899648</v>
      </c>
      <c r="AZ20">
        <f t="shared" si="31"/>
        <v>0.42638275391456198</v>
      </c>
      <c r="BA20">
        <f t="shared" si="32"/>
        <v>4.4257218657044106E-3</v>
      </c>
      <c r="BB20">
        <f t="shared" si="33"/>
        <v>-1</v>
      </c>
      <c r="BC20" t="s">
        <v>302</v>
      </c>
      <c r="BD20">
        <v>195.44</v>
      </c>
      <c r="BE20">
        <f t="shared" si="34"/>
        <v>145.27499999999998</v>
      </c>
      <c r="BF20">
        <f t="shared" si="35"/>
        <v>0.49691989992454316</v>
      </c>
      <c r="BG20">
        <f t="shared" si="36"/>
        <v>1.743322758902988</v>
      </c>
      <c r="BH20">
        <f t="shared" si="37"/>
        <v>0.21187807540477524</v>
      </c>
      <c r="BI20" t="e">
        <f t="shared" si="38"/>
        <v>#DIV/0!</v>
      </c>
      <c r="BJ20">
        <v>6242</v>
      </c>
      <c r="BK20">
        <v>300</v>
      </c>
      <c r="BL20">
        <v>300</v>
      </c>
      <c r="BM20">
        <v>300</v>
      </c>
      <c r="BN20">
        <v>9861.48</v>
      </c>
      <c r="BO20">
        <v>323.43799999999999</v>
      </c>
      <c r="BP20">
        <v>-6.5574099999999996E-3</v>
      </c>
      <c r="BQ20">
        <v>2.30396</v>
      </c>
      <c r="BR20">
        <f t="shared" si="39"/>
        <v>1999.9848387096799</v>
      </c>
      <c r="BS20">
        <f t="shared" si="40"/>
        <v>1681.1842641929386</v>
      </c>
      <c r="BT20">
        <f t="shared" si="41"/>
        <v>0.84059850437545303</v>
      </c>
      <c r="BU20">
        <f t="shared" si="42"/>
        <v>0.19119700875090623</v>
      </c>
      <c r="BV20">
        <v>0.5</v>
      </c>
      <c r="BW20" t="s">
        <v>281</v>
      </c>
      <c r="BX20">
        <v>1597515830.90323</v>
      </c>
      <c r="BY20">
        <v>97.058541935483902</v>
      </c>
      <c r="BZ20">
        <v>99.998519354838706</v>
      </c>
      <c r="CA20">
        <v>20.052506451612899</v>
      </c>
      <c r="CB20">
        <v>16.376651612903199</v>
      </c>
      <c r="CC20">
        <v>500.05393548387099</v>
      </c>
      <c r="CD20">
        <v>99.023306451612896</v>
      </c>
      <c r="CE20">
        <v>0.199991677419355</v>
      </c>
      <c r="CF20">
        <v>27.077132258064498</v>
      </c>
      <c r="CG20">
        <v>26.971367741935499</v>
      </c>
      <c r="CH20">
        <v>999.9</v>
      </c>
      <c r="CI20">
        <v>10004.0032258064</v>
      </c>
      <c r="CJ20">
        <v>0</v>
      </c>
      <c r="CK20">
        <v>288.35422580645201</v>
      </c>
      <c r="CL20">
        <v>1999.9848387096799</v>
      </c>
      <c r="CM20">
        <v>0.98000090322580602</v>
      </c>
      <c r="CN20">
        <v>1.99990258064516E-2</v>
      </c>
      <c r="CO20">
        <v>0</v>
      </c>
      <c r="CP20">
        <v>268.54554838709703</v>
      </c>
      <c r="CQ20">
        <v>5.00054</v>
      </c>
      <c r="CR20">
        <v>8234.0996774193609</v>
      </c>
      <c r="CS20">
        <v>18703.5</v>
      </c>
      <c r="CT20">
        <v>50.729612903225799</v>
      </c>
      <c r="CU20">
        <v>53.076258064516097</v>
      </c>
      <c r="CV20">
        <v>51.370870967741901</v>
      </c>
      <c r="CW20">
        <v>51.747935483870997</v>
      </c>
      <c r="CX20">
        <v>52.064064516129001</v>
      </c>
      <c r="CY20">
        <v>1955.0848387096801</v>
      </c>
      <c r="CZ20">
        <v>39.9</v>
      </c>
      <c r="DA20">
        <v>0</v>
      </c>
      <c r="DB20">
        <v>119.5</v>
      </c>
      <c r="DC20">
        <v>268.52496153846198</v>
      </c>
      <c r="DD20">
        <v>-1.88317948207345</v>
      </c>
      <c r="DE20">
        <v>26.615726470360901</v>
      </c>
      <c r="DF20">
        <v>8234.2557692307691</v>
      </c>
      <c r="DG20">
        <v>15</v>
      </c>
      <c r="DH20">
        <v>1597515873.9000001</v>
      </c>
      <c r="DI20" t="s">
        <v>303</v>
      </c>
      <c r="DJ20">
        <v>80</v>
      </c>
      <c r="DK20">
        <v>-0.34699999999999998</v>
      </c>
      <c r="DL20">
        <v>0.107</v>
      </c>
      <c r="DM20">
        <v>100</v>
      </c>
      <c r="DN20">
        <v>16</v>
      </c>
      <c r="DO20">
        <v>0.51</v>
      </c>
      <c r="DP20">
        <v>0.03</v>
      </c>
      <c r="DQ20">
        <v>96.985918518518503</v>
      </c>
      <c r="DR20">
        <v>-5.3484359937736398E-2</v>
      </c>
      <c r="DS20">
        <v>1.31272274875126E-2</v>
      </c>
      <c r="DT20">
        <v>1</v>
      </c>
      <c r="DU20">
        <v>20.0532222222222</v>
      </c>
      <c r="DV20">
        <v>-2.11976449993358E-2</v>
      </c>
      <c r="DW20">
        <v>4.8878407967445497E-3</v>
      </c>
      <c r="DX20">
        <v>1</v>
      </c>
      <c r="DY20">
        <v>2</v>
      </c>
      <c r="DZ20">
        <v>2</v>
      </c>
      <c r="EA20" t="s">
        <v>283</v>
      </c>
      <c r="EB20">
        <v>1.8666100000000001</v>
      </c>
      <c r="EC20">
        <v>1.8631200000000001</v>
      </c>
      <c r="ED20">
        <v>1.8687400000000001</v>
      </c>
      <c r="EE20">
        <v>1.86676</v>
      </c>
      <c r="EF20">
        <v>1.8714</v>
      </c>
      <c r="EG20">
        <v>1.8638600000000001</v>
      </c>
      <c r="EH20">
        <v>1.8653900000000001</v>
      </c>
      <c r="EI20">
        <v>1.86538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-0.34699999999999998</v>
      </c>
      <c r="EX20">
        <v>0.107</v>
      </c>
      <c r="EY20">
        <v>2</v>
      </c>
      <c r="EZ20">
        <v>328.69</v>
      </c>
      <c r="FA20">
        <v>458.49599999999998</v>
      </c>
      <c r="FB20">
        <v>21.030799999999999</v>
      </c>
      <c r="FC20">
        <v>36.505200000000002</v>
      </c>
      <c r="FD20">
        <v>30.000299999999999</v>
      </c>
      <c r="FE20">
        <v>36.472700000000003</v>
      </c>
      <c r="FF20">
        <v>36.472099999999998</v>
      </c>
      <c r="FG20">
        <v>8.0201200000000004</v>
      </c>
      <c r="FH20">
        <v>57.629899999999999</v>
      </c>
      <c r="FI20">
        <v>0</v>
      </c>
      <c r="FJ20">
        <v>21.2484</v>
      </c>
      <c r="FK20">
        <v>100</v>
      </c>
      <c r="FL20">
        <v>16.361499999999999</v>
      </c>
      <c r="FM20">
        <v>100.21</v>
      </c>
      <c r="FN20">
        <v>100.774</v>
      </c>
    </row>
    <row r="21" spans="1:170" x14ac:dyDescent="0.25">
      <c r="A21">
        <v>5</v>
      </c>
      <c r="B21">
        <v>1597515965.4000001</v>
      </c>
      <c r="C21">
        <v>531</v>
      </c>
      <c r="D21" t="s">
        <v>304</v>
      </c>
      <c r="E21" t="s">
        <v>305</v>
      </c>
      <c r="G21">
        <v>1597515957.40323</v>
      </c>
      <c r="H21">
        <f t="shared" si="0"/>
        <v>8.9377349432256392E-3</v>
      </c>
      <c r="I21">
        <f t="shared" si="1"/>
        <v>0.89096798408517941</v>
      </c>
      <c r="J21">
        <f t="shared" si="2"/>
        <v>49.463383870967697</v>
      </c>
      <c r="K21">
        <f t="shared" si="3"/>
        <v>45.597333170616452</v>
      </c>
      <c r="L21">
        <f t="shared" si="4"/>
        <v>4.5241514675395891</v>
      </c>
      <c r="M21">
        <f t="shared" si="5"/>
        <v>4.9077396674049201</v>
      </c>
      <c r="N21">
        <f t="shared" si="6"/>
        <v>0.58948690416632865</v>
      </c>
      <c r="O21">
        <f t="shared" si="7"/>
        <v>3.3767866506011486</v>
      </c>
      <c r="P21">
        <f t="shared" si="8"/>
        <v>0.53771306526905038</v>
      </c>
      <c r="Q21">
        <f t="shared" si="9"/>
        <v>0.34034259565736241</v>
      </c>
      <c r="R21">
        <f t="shared" si="10"/>
        <v>321.43050366502894</v>
      </c>
      <c r="S21">
        <f t="shared" si="11"/>
        <v>26.741154293533803</v>
      </c>
      <c r="T21">
        <f t="shared" si="12"/>
        <v>27.049319354838701</v>
      </c>
      <c r="U21">
        <f t="shared" si="13"/>
        <v>3.5895403745773344</v>
      </c>
      <c r="V21">
        <f t="shared" si="14"/>
        <v>55.128182876775853</v>
      </c>
      <c r="W21">
        <f t="shared" si="15"/>
        <v>1.9866789056287331</v>
      </c>
      <c r="X21">
        <f t="shared" si="16"/>
        <v>3.603744585722001</v>
      </c>
      <c r="Y21">
        <f t="shared" si="17"/>
        <v>1.6028614689486014</v>
      </c>
      <c r="Z21">
        <f t="shared" si="18"/>
        <v>-394.15411099625067</v>
      </c>
      <c r="AA21">
        <f t="shared" si="19"/>
        <v>12.248983084979958</v>
      </c>
      <c r="AB21">
        <f t="shared" si="20"/>
        <v>0.78348671448962193</v>
      </c>
      <c r="AC21">
        <f t="shared" si="21"/>
        <v>-59.691137531752133</v>
      </c>
      <c r="AD21">
        <v>-4.1088452115456503E-2</v>
      </c>
      <c r="AE21">
        <v>4.61253870457023E-2</v>
      </c>
      <c r="AF21">
        <v>3.44888968497157</v>
      </c>
      <c r="AG21">
        <v>156</v>
      </c>
      <c r="AH21">
        <v>31</v>
      </c>
      <c r="AI21">
        <f t="shared" si="22"/>
        <v>1</v>
      </c>
      <c r="AJ21">
        <f t="shared" si="23"/>
        <v>0</v>
      </c>
      <c r="AK21">
        <f t="shared" si="24"/>
        <v>52372.486935304318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266.91880769230801</v>
      </c>
      <c r="AT21">
        <v>325.84100000000001</v>
      </c>
      <c r="AU21">
        <f t="shared" si="27"/>
        <v>0.18083111796149653</v>
      </c>
      <c r="AV21">
        <v>0.5</v>
      </c>
      <c r="AW21">
        <f t="shared" si="28"/>
        <v>1681.1479545155137</v>
      </c>
      <c r="AX21">
        <f t="shared" si="29"/>
        <v>0.89096798408517941</v>
      </c>
      <c r="AY21">
        <f t="shared" si="30"/>
        <v>152.00193203686175</v>
      </c>
      <c r="AZ21">
        <f t="shared" si="31"/>
        <v>0.38804508947615557</v>
      </c>
      <c r="BA21">
        <f t="shared" si="32"/>
        <v>1.1248075929343967E-3</v>
      </c>
      <c r="BB21">
        <f t="shared" si="33"/>
        <v>-1</v>
      </c>
      <c r="BC21" t="s">
        <v>307</v>
      </c>
      <c r="BD21">
        <v>199.4</v>
      </c>
      <c r="BE21">
        <f t="shared" si="34"/>
        <v>126.441</v>
      </c>
      <c r="BF21">
        <f t="shared" si="35"/>
        <v>0.46600542788883353</v>
      </c>
      <c r="BG21">
        <f t="shared" si="36"/>
        <v>1.6341073219658977</v>
      </c>
      <c r="BH21">
        <f t="shared" si="37"/>
        <v>0.18083111796149656</v>
      </c>
      <c r="BI21" t="e">
        <f t="shared" si="38"/>
        <v>#DIV/0!</v>
      </c>
      <c r="BJ21">
        <v>6244</v>
      </c>
      <c r="BK21">
        <v>300</v>
      </c>
      <c r="BL21">
        <v>300</v>
      </c>
      <c r="BM21">
        <v>300</v>
      </c>
      <c r="BN21">
        <v>9861.4699999999993</v>
      </c>
      <c r="BO21">
        <v>313.84100000000001</v>
      </c>
      <c r="BP21">
        <v>-6.5574700000000001E-3</v>
      </c>
      <c r="BQ21">
        <v>1.97482</v>
      </c>
      <c r="BR21">
        <f t="shared" si="39"/>
        <v>1999.94161290323</v>
      </c>
      <c r="BS21">
        <f t="shared" si="40"/>
        <v>1681.1479545155137</v>
      </c>
      <c r="BT21">
        <f t="shared" si="41"/>
        <v>0.84059851731124435</v>
      </c>
      <c r="BU21">
        <f t="shared" si="42"/>
        <v>0.19119703462248883</v>
      </c>
      <c r="BV21">
        <v>0.5</v>
      </c>
      <c r="BW21" t="s">
        <v>281</v>
      </c>
      <c r="BX21">
        <v>1597515957.40323</v>
      </c>
      <c r="BY21">
        <v>49.463383870967697</v>
      </c>
      <c r="BZ21">
        <v>49.996548387096801</v>
      </c>
      <c r="CA21">
        <v>20.023038709677401</v>
      </c>
      <c r="CB21">
        <v>16.5199161290323</v>
      </c>
      <c r="CC21">
        <v>500.05525806451601</v>
      </c>
      <c r="CD21">
        <v>99.019674193548397</v>
      </c>
      <c r="CE21">
        <v>0.19997645161290301</v>
      </c>
      <c r="CF21">
        <v>27.1166032258065</v>
      </c>
      <c r="CG21">
        <v>27.049319354838701</v>
      </c>
      <c r="CH21">
        <v>999.9</v>
      </c>
      <c r="CI21">
        <v>10006.7790322581</v>
      </c>
      <c r="CJ21">
        <v>0</v>
      </c>
      <c r="CK21">
        <v>280.76361290322598</v>
      </c>
      <c r="CL21">
        <v>1999.94161290323</v>
      </c>
      <c r="CM21">
        <v>0.98000090322580602</v>
      </c>
      <c r="CN21">
        <v>1.99990258064516E-2</v>
      </c>
      <c r="CO21">
        <v>0</v>
      </c>
      <c r="CP21">
        <v>266.93229032258103</v>
      </c>
      <c r="CQ21">
        <v>5.00054</v>
      </c>
      <c r="CR21">
        <v>8129.9480645161302</v>
      </c>
      <c r="CS21">
        <v>18703.0935483871</v>
      </c>
      <c r="CT21">
        <v>50.723580645161299</v>
      </c>
      <c r="CU21">
        <v>53.058064516129001</v>
      </c>
      <c r="CV21">
        <v>51.3445161290323</v>
      </c>
      <c r="CW21">
        <v>51.723580645161299</v>
      </c>
      <c r="CX21">
        <v>52.02</v>
      </c>
      <c r="CY21">
        <v>1955.0416129032301</v>
      </c>
      <c r="CZ21">
        <v>39.9</v>
      </c>
      <c r="DA21">
        <v>0</v>
      </c>
      <c r="DB21">
        <v>125.700000047684</v>
      </c>
      <c r="DC21">
        <v>266.91880769230801</v>
      </c>
      <c r="DD21">
        <v>-0.40817094005111398</v>
      </c>
      <c r="DE21">
        <v>105.127179556082</v>
      </c>
      <c r="DF21">
        <v>8130.4488461538504</v>
      </c>
      <c r="DG21">
        <v>15</v>
      </c>
      <c r="DH21">
        <v>1597515997.4000001</v>
      </c>
      <c r="DI21" t="s">
        <v>308</v>
      </c>
      <c r="DJ21">
        <v>81</v>
      </c>
      <c r="DK21">
        <v>-0.39800000000000002</v>
      </c>
      <c r="DL21">
        <v>0.107</v>
      </c>
      <c r="DM21">
        <v>50</v>
      </c>
      <c r="DN21">
        <v>17</v>
      </c>
      <c r="DO21">
        <v>0.31</v>
      </c>
      <c r="DP21">
        <v>0.03</v>
      </c>
      <c r="DQ21">
        <v>49.524846296296303</v>
      </c>
      <c r="DR21">
        <v>-8.90422609516721E-2</v>
      </c>
      <c r="DS21">
        <v>1.6903678242750301E-2</v>
      </c>
      <c r="DT21">
        <v>1</v>
      </c>
      <c r="DU21">
        <v>20.019733333333299</v>
      </c>
      <c r="DV21">
        <v>2.9672461025406299E-2</v>
      </c>
      <c r="DW21">
        <v>4.7304372987111197E-3</v>
      </c>
      <c r="DX21">
        <v>1</v>
      </c>
      <c r="DY21">
        <v>2</v>
      </c>
      <c r="DZ21">
        <v>2</v>
      </c>
      <c r="EA21" t="s">
        <v>283</v>
      </c>
      <c r="EB21">
        <v>1.8666100000000001</v>
      </c>
      <c r="EC21">
        <v>1.8631</v>
      </c>
      <c r="ED21">
        <v>1.8687400000000001</v>
      </c>
      <c r="EE21">
        <v>1.8667499999999999</v>
      </c>
      <c r="EF21">
        <v>1.8713900000000001</v>
      </c>
      <c r="EG21">
        <v>1.8638600000000001</v>
      </c>
      <c r="EH21">
        <v>1.8653999999999999</v>
      </c>
      <c r="EI21">
        <v>1.86534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-0.39800000000000002</v>
      </c>
      <c r="EX21">
        <v>0.107</v>
      </c>
      <c r="EY21">
        <v>2</v>
      </c>
      <c r="EZ21">
        <v>328.33300000000003</v>
      </c>
      <c r="FA21">
        <v>457.58100000000002</v>
      </c>
      <c r="FB21">
        <v>21.0761</v>
      </c>
      <c r="FC21">
        <v>36.550800000000002</v>
      </c>
      <c r="FD21">
        <v>30.0002</v>
      </c>
      <c r="FE21">
        <v>36.495699999999999</v>
      </c>
      <c r="FF21">
        <v>36.488999999999997</v>
      </c>
      <c r="FG21">
        <v>5.57226</v>
      </c>
      <c r="FH21">
        <v>56.973100000000002</v>
      </c>
      <c r="FI21">
        <v>0</v>
      </c>
      <c r="FJ21">
        <v>20.550599999999999</v>
      </c>
      <c r="FK21">
        <v>50</v>
      </c>
      <c r="FL21">
        <v>16.468699999999998</v>
      </c>
      <c r="FM21">
        <v>100.19799999999999</v>
      </c>
      <c r="FN21">
        <v>100.762</v>
      </c>
    </row>
    <row r="22" spans="1:170" x14ac:dyDescent="0.25">
      <c r="A22">
        <v>6</v>
      </c>
      <c r="B22">
        <v>1597516088.9000001</v>
      </c>
      <c r="C22">
        <v>654.5</v>
      </c>
      <c r="D22" t="s">
        <v>309</v>
      </c>
      <c r="E22" t="s">
        <v>310</v>
      </c>
      <c r="G22">
        <v>1597516080.9000001</v>
      </c>
      <c r="H22">
        <f t="shared" si="0"/>
        <v>8.5669723191655195E-3</v>
      </c>
      <c r="I22">
        <f t="shared" si="1"/>
        <v>35.637455359647454</v>
      </c>
      <c r="J22">
        <f t="shared" si="2"/>
        <v>384.403419354839</v>
      </c>
      <c r="K22">
        <f t="shared" si="3"/>
        <v>266.55325886764979</v>
      </c>
      <c r="L22">
        <f t="shared" si="4"/>
        <v>26.44694214145089</v>
      </c>
      <c r="M22">
        <f t="shared" si="5"/>
        <v>38.139826291529694</v>
      </c>
      <c r="N22">
        <f t="shared" si="6"/>
        <v>0.56282991601053822</v>
      </c>
      <c r="O22">
        <f t="shared" si="7"/>
        <v>3.3748983246374071</v>
      </c>
      <c r="P22">
        <f t="shared" si="8"/>
        <v>0.51540712090741081</v>
      </c>
      <c r="Q22">
        <f t="shared" si="9"/>
        <v>0.32605657151802092</v>
      </c>
      <c r="R22">
        <f t="shared" si="10"/>
        <v>321.44327160773969</v>
      </c>
      <c r="S22">
        <f t="shared" si="11"/>
        <v>26.96643727533559</v>
      </c>
      <c r="T22">
        <f t="shared" si="12"/>
        <v>27.044874193548399</v>
      </c>
      <c r="U22">
        <f t="shared" si="13"/>
        <v>3.5886036857159236</v>
      </c>
      <c r="V22">
        <f t="shared" si="14"/>
        <v>54.648823754866683</v>
      </c>
      <c r="W22">
        <f t="shared" si="15"/>
        <v>1.9857501042293739</v>
      </c>
      <c r="X22">
        <f t="shared" si="16"/>
        <v>3.6336557089255472</v>
      </c>
      <c r="Y22">
        <f t="shared" si="17"/>
        <v>1.6028535814865497</v>
      </c>
      <c r="Z22">
        <f t="shared" si="18"/>
        <v>-377.80347927519944</v>
      </c>
      <c r="AA22">
        <f t="shared" si="19"/>
        <v>38.693194050495165</v>
      </c>
      <c r="AB22">
        <f t="shared" si="20"/>
        <v>2.4780235152560555</v>
      </c>
      <c r="AC22">
        <f t="shared" si="21"/>
        <v>-15.188990101708541</v>
      </c>
      <c r="AD22">
        <v>-4.10592733192316E-2</v>
      </c>
      <c r="AE22">
        <v>4.6092631290736902E-2</v>
      </c>
      <c r="AF22">
        <v>3.4469501553328601</v>
      </c>
      <c r="AG22">
        <v>155</v>
      </c>
      <c r="AH22">
        <v>31</v>
      </c>
      <c r="AI22">
        <f t="shared" si="22"/>
        <v>1</v>
      </c>
      <c r="AJ22">
        <f t="shared" si="23"/>
        <v>0</v>
      </c>
      <c r="AK22">
        <f t="shared" si="24"/>
        <v>52312.220600972432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266.31134615384599</v>
      </c>
      <c r="AT22">
        <v>386.267</v>
      </c>
      <c r="AU22">
        <f t="shared" si="27"/>
        <v>0.31055113133183521</v>
      </c>
      <c r="AV22">
        <v>0.5</v>
      </c>
      <c r="AW22">
        <f t="shared" si="28"/>
        <v>1681.2151545155266</v>
      </c>
      <c r="AX22">
        <f t="shared" si="29"/>
        <v>35.637455359647454</v>
      </c>
      <c r="AY22">
        <f t="shared" si="30"/>
        <v>261.05163412351146</v>
      </c>
      <c r="AZ22">
        <f t="shared" si="31"/>
        <v>0.53058376718694578</v>
      </c>
      <c r="BA22">
        <f t="shared" si="32"/>
        <v>2.1792246674224882E-2</v>
      </c>
      <c r="BB22">
        <f t="shared" si="33"/>
        <v>-1</v>
      </c>
      <c r="BC22" t="s">
        <v>312</v>
      </c>
      <c r="BD22">
        <v>181.32</v>
      </c>
      <c r="BE22">
        <f t="shared" si="34"/>
        <v>204.947</v>
      </c>
      <c r="BF22">
        <f t="shared" si="35"/>
        <v>0.58530085264070231</v>
      </c>
      <c r="BG22">
        <f t="shared" si="36"/>
        <v>2.1303055371718509</v>
      </c>
      <c r="BH22">
        <f t="shared" si="37"/>
        <v>0.31055113133183526</v>
      </c>
      <c r="BI22" t="e">
        <f t="shared" si="38"/>
        <v>#DIV/0!</v>
      </c>
      <c r="BJ22">
        <v>6246</v>
      </c>
      <c r="BK22">
        <v>300</v>
      </c>
      <c r="BL22">
        <v>300</v>
      </c>
      <c r="BM22">
        <v>300</v>
      </c>
      <c r="BN22">
        <v>9861.6200000000008</v>
      </c>
      <c r="BO22">
        <v>351.29</v>
      </c>
      <c r="BP22">
        <v>-6.5577200000000004E-3</v>
      </c>
      <c r="BQ22">
        <v>1.16544</v>
      </c>
      <c r="BR22">
        <f t="shared" si="39"/>
        <v>2000.0216129032301</v>
      </c>
      <c r="BS22">
        <f t="shared" si="40"/>
        <v>1681.2151545155266</v>
      </c>
      <c r="BT22">
        <f t="shared" si="41"/>
        <v>0.84059849337081705</v>
      </c>
      <c r="BU22">
        <f t="shared" si="42"/>
        <v>0.19119698674163424</v>
      </c>
      <c r="BV22">
        <v>0.5</v>
      </c>
      <c r="BW22" t="s">
        <v>281</v>
      </c>
      <c r="BX22">
        <v>1597516080.9000001</v>
      </c>
      <c r="BY22">
        <v>384.403419354839</v>
      </c>
      <c r="BZ22">
        <v>399.97380645161297</v>
      </c>
      <c r="CA22">
        <v>20.013964516129001</v>
      </c>
      <c r="CB22">
        <v>16.656161290322601</v>
      </c>
      <c r="CC22">
        <v>500.05987096774197</v>
      </c>
      <c r="CD22">
        <v>99.018222580645201</v>
      </c>
      <c r="CE22">
        <v>0.200005903225806</v>
      </c>
      <c r="CF22">
        <v>27.257535483870999</v>
      </c>
      <c r="CG22">
        <v>27.044874193548399</v>
      </c>
      <c r="CH22">
        <v>999.9</v>
      </c>
      <c r="CI22">
        <v>9999.8193548387098</v>
      </c>
      <c r="CJ22">
        <v>0</v>
      </c>
      <c r="CK22">
        <v>284.95561290322598</v>
      </c>
      <c r="CL22">
        <v>2000.0216129032301</v>
      </c>
      <c r="CM22">
        <v>0.980001161290323</v>
      </c>
      <c r="CN22">
        <v>1.9998690322580601E-2</v>
      </c>
      <c r="CO22">
        <v>0</v>
      </c>
      <c r="CP22">
        <v>266.30099999999999</v>
      </c>
      <c r="CQ22">
        <v>5.00054</v>
      </c>
      <c r="CR22">
        <v>8124.1625806451602</v>
      </c>
      <c r="CS22">
        <v>18703.848387096801</v>
      </c>
      <c r="CT22">
        <v>50.695322580645197</v>
      </c>
      <c r="CU22">
        <v>53.078258064516099</v>
      </c>
      <c r="CV22">
        <v>51.3444516129032</v>
      </c>
      <c r="CW22">
        <v>51.727580645161297</v>
      </c>
      <c r="CX22">
        <v>52.023935483871</v>
      </c>
      <c r="CY22">
        <v>1955.12161290323</v>
      </c>
      <c r="CZ22">
        <v>39.9</v>
      </c>
      <c r="DA22">
        <v>0</v>
      </c>
      <c r="DB22">
        <v>122.5</v>
      </c>
      <c r="DC22">
        <v>266.31134615384599</v>
      </c>
      <c r="DD22">
        <v>1.0949401683891999</v>
      </c>
      <c r="DE22">
        <v>39.618461502875903</v>
      </c>
      <c r="DF22">
        <v>8124.3876923076896</v>
      </c>
      <c r="DG22">
        <v>15</v>
      </c>
      <c r="DH22">
        <v>1597516119.9000001</v>
      </c>
      <c r="DI22" t="s">
        <v>313</v>
      </c>
      <c r="DJ22">
        <v>82</v>
      </c>
      <c r="DK22">
        <v>-0.38100000000000001</v>
      </c>
      <c r="DL22">
        <v>0.108</v>
      </c>
      <c r="DM22">
        <v>400</v>
      </c>
      <c r="DN22">
        <v>17</v>
      </c>
      <c r="DO22">
        <v>0.28000000000000003</v>
      </c>
      <c r="DP22">
        <v>0.03</v>
      </c>
      <c r="DQ22">
        <v>384.39372222222198</v>
      </c>
      <c r="DR22">
        <v>-0.12680156133397799</v>
      </c>
      <c r="DS22">
        <v>4.2536005082693597E-2</v>
      </c>
      <c r="DT22">
        <v>1</v>
      </c>
      <c r="DU22">
        <v>19.997487037037001</v>
      </c>
      <c r="DV22">
        <v>0.207777259126811</v>
      </c>
      <c r="DW22">
        <v>3.4836113904418202E-2</v>
      </c>
      <c r="DX22">
        <v>0</v>
      </c>
      <c r="DY22">
        <v>1</v>
      </c>
      <c r="DZ22">
        <v>2</v>
      </c>
      <c r="EA22" t="s">
        <v>293</v>
      </c>
      <c r="EB22">
        <v>1.8666100000000001</v>
      </c>
      <c r="EC22">
        <v>1.86311</v>
      </c>
      <c r="ED22">
        <v>1.86877</v>
      </c>
      <c r="EE22">
        <v>1.8667499999999999</v>
      </c>
      <c r="EF22">
        <v>1.8714299999999999</v>
      </c>
      <c r="EG22">
        <v>1.8638600000000001</v>
      </c>
      <c r="EH22">
        <v>1.8653900000000001</v>
      </c>
      <c r="EI22">
        <v>1.86537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-0.38100000000000001</v>
      </c>
      <c r="EX22">
        <v>0.108</v>
      </c>
      <c r="EY22">
        <v>2</v>
      </c>
      <c r="EZ22">
        <v>329.08800000000002</v>
      </c>
      <c r="FA22">
        <v>458.30200000000002</v>
      </c>
      <c r="FB22">
        <v>21.3308</v>
      </c>
      <c r="FC22">
        <v>36.5595</v>
      </c>
      <c r="FD22">
        <v>29.999300000000002</v>
      </c>
      <c r="FE22">
        <v>36.516100000000002</v>
      </c>
      <c r="FF22">
        <v>36.5092</v>
      </c>
      <c r="FG22">
        <v>22.018999999999998</v>
      </c>
      <c r="FH22">
        <v>56.853999999999999</v>
      </c>
      <c r="FI22">
        <v>0</v>
      </c>
      <c r="FJ22">
        <v>21.331600000000002</v>
      </c>
      <c r="FK22">
        <v>400</v>
      </c>
      <c r="FL22">
        <v>16.709499999999998</v>
      </c>
      <c r="FM22">
        <v>100.19199999999999</v>
      </c>
      <c r="FN22">
        <v>100.755</v>
      </c>
    </row>
    <row r="23" spans="1:170" x14ac:dyDescent="0.25">
      <c r="A23">
        <v>7</v>
      </c>
      <c r="B23">
        <v>1597516211.5</v>
      </c>
      <c r="C23">
        <v>777.09999990463302</v>
      </c>
      <c r="D23" t="s">
        <v>314</v>
      </c>
      <c r="E23" t="s">
        <v>315</v>
      </c>
      <c r="G23">
        <v>1597516203.4419401</v>
      </c>
      <c r="H23">
        <f t="shared" si="0"/>
        <v>8.327978209571537E-3</v>
      </c>
      <c r="I23">
        <f t="shared" si="1"/>
        <v>35.683777969688542</v>
      </c>
      <c r="J23">
        <f t="shared" si="2"/>
        <v>384.50190322580602</v>
      </c>
      <c r="K23">
        <f t="shared" si="3"/>
        <v>264.04405242463122</v>
      </c>
      <c r="L23">
        <f t="shared" si="4"/>
        <v>26.195716288049105</v>
      </c>
      <c r="M23">
        <f t="shared" si="5"/>
        <v>38.146296713095509</v>
      </c>
      <c r="N23">
        <f t="shared" si="6"/>
        <v>0.5490947771244391</v>
      </c>
      <c r="O23">
        <f t="shared" si="7"/>
        <v>3.3732052875951912</v>
      </c>
      <c r="P23">
        <f t="shared" si="8"/>
        <v>0.50383805921280345</v>
      </c>
      <c r="Q23">
        <f t="shared" si="9"/>
        <v>0.31865350417322469</v>
      </c>
      <c r="R23">
        <f t="shared" si="10"/>
        <v>321.43858659650255</v>
      </c>
      <c r="S23">
        <f t="shared" si="11"/>
        <v>26.858715169291095</v>
      </c>
      <c r="T23">
        <f t="shared" si="12"/>
        <v>27.028812903225798</v>
      </c>
      <c r="U23">
        <f t="shared" si="13"/>
        <v>3.5852210124249306</v>
      </c>
      <c r="V23">
        <f t="shared" si="14"/>
        <v>55.329382606445556</v>
      </c>
      <c r="W23">
        <f t="shared" si="15"/>
        <v>1.9914658953430637</v>
      </c>
      <c r="X23">
        <f t="shared" si="16"/>
        <v>3.5992917352941318</v>
      </c>
      <c r="Y23">
        <f t="shared" si="17"/>
        <v>1.5937551170818669</v>
      </c>
      <c r="Z23">
        <f t="shared" si="18"/>
        <v>-367.26383904210479</v>
      </c>
      <c r="AA23">
        <f t="shared" si="19"/>
        <v>12.133917870415674</v>
      </c>
      <c r="AB23">
        <f t="shared" si="20"/>
        <v>0.77678932217084629</v>
      </c>
      <c r="AC23">
        <f t="shared" si="21"/>
        <v>-32.914545253015746</v>
      </c>
      <c r="AD23">
        <v>-4.1033118367030302E-2</v>
      </c>
      <c r="AE23">
        <v>4.6063270065591203E-2</v>
      </c>
      <c r="AF23">
        <v>3.4452112209321299</v>
      </c>
      <c r="AG23">
        <v>155</v>
      </c>
      <c r="AH23">
        <v>31</v>
      </c>
      <c r="AI23">
        <f t="shared" si="22"/>
        <v>1</v>
      </c>
      <c r="AJ23">
        <f t="shared" si="23"/>
        <v>0</v>
      </c>
      <c r="AK23">
        <f t="shared" si="24"/>
        <v>52308.294513671011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266.48184615384599</v>
      </c>
      <c r="AT23">
        <v>393.52699999999999</v>
      </c>
      <c r="AU23">
        <f t="shared" si="27"/>
        <v>0.3228371975649803</v>
      </c>
      <c r="AV23">
        <v>0.5</v>
      </c>
      <c r="AW23">
        <f t="shared" si="28"/>
        <v>1681.1904964510056</v>
      </c>
      <c r="AX23">
        <f t="shared" si="29"/>
        <v>35.683777969688542</v>
      </c>
      <c r="AY23">
        <f t="shared" si="30"/>
        <v>271.37541422356031</v>
      </c>
      <c r="AZ23">
        <f t="shared" si="31"/>
        <v>0.54585072942898449</v>
      </c>
      <c r="BA23">
        <f t="shared" si="32"/>
        <v>2.1820119758663891E-2</v>
      </c>
      <c r="BB23">
        <f t="shared" si="33"/>
        <v>-1</v>
      </c>
      <c r="BC23" t="s">
        <v>317</v>
      </c>
      <c r="BD23">
        <v>178.72</v>
      </c>
      <c r="BE23">
        <f t="shared" si="34"/>
        <v>214.80699999999999</v>
      </c>
      <c r="BF23">
        <f t="shared" si="35"/>
        <v>0.59143861161951894</v>
      </c>
      <c r="BG23">
        <f t="shared" si="36"/>
        <v>2.2019192032229187</v>
      </c>
      <c r="BH23">
        <f t="shared" si="37"/>
        <v>0.3228371975649803</v>
      </c>
      <c r="BI23" t="e">
        <f t="shared" si="38"/>
        <v>#DIV/0!</v>
      </c>
      <c r="BJ23">
        <v>6248</v>
      </c>
      <c r="BK23">
        <v>300</v>
      </c>
      <c r="BL23">
        <v>300</v>
      </c>
      <c r="BM23">
        <v>300</v>
      </c>
      <c r="BN23">
        <v>9861.67</v>
      </c>
      <c r="BO23">
        <v>355.10199999999998</v>
      </c>
      <c r="BP23">
        <v>-6.5577600000000002E-3</v>
      </c>
      <c r="BQ23">
        <v>0.57772800000000002</v>
      </c>
      <c r="BR23">
        <f t="shared" si="39"/>
        <v>1999.99225806452</v>
      </c>
      <c r="BS23">
        <f t="shared" si="40"/>
        <v>1681.1904964510056</v>
      </c>
      <c r="BT23">
        <f t="shared" si="41"/>
        <v>0.84059850215518694</v>
      </c>
      <c r="BU23">
        <f t="shared" si="42"/>
        <v>0.1911970043103739</v>
      </c>
      <c r="BV23">
        <v>0.5</v>
      </c>
      <c r="BW23" t="s">
        <v>281</v>
      </c>
      <c r="BX23">
        <v>1597516203.4419401</v>
      </c>
      <c r="BY23">
        <v>384.50190322580602</v>
      </c>
      <c r="BZ23">
        <v>400.05467741935502</v>
      </c>
      <c r="CA23">
        <v>20.073309677419399</v>
      </c>
      <c r="CB23">
        <v>16.809319354838699</v>
      </c>
      <c r="CC23">
        <v>500.05099999999999</v>
      </c>
      <c r="CD23">
        <v>99.009661290322597</v>
      </c>
      <c r="CE23">
        <v>0.19998212903225801</v>
      </c>
      <c r="CF23">
        <v>27.095535483871</v>
      </c>
      <c r="CG23">
        <v>27.028812903225798</v>
      </c>
      <c r="CH23">
        <v>999.9</v>
      </c>
      <c r="CI23">
        <v>9994.3135483870992</v>
      </c>
      <c r="CJ23">
        <v>0</v>
      </c>
      <c r="CK23">
        <v>285.92690322580597</v>
      </c>
      <c r="CL23">
        <v>1999.99225806452</v>
      </c>
      <c r="CM23">
        <v>0.98000129032258099</v>
      </c>
      <c r="CN23">
        <v>1.99985225806452E-2</v>
      </c>
      <c r="CO23">
        <v>0</v>
      </c>
      <c r="CP23">
        <v>266.457290322581</v>
      </c>
      <c r="CQ23">
        <v>5.00054</v>
      </c>
      <c r="CR23">
        <v>8110.0358064516104</v>
      </c>
      <c r="CS23">
        <v>18703.558064516099</v>
      </c>
      <c r="CT23">
        <v>50.677064516129001</v>
      </c>
      <c r="CU23">
        <v>53.061999999999998</v>
      </c>
      <c r="CV23">
        <v>51.3241935483871</v>
      </c>
      <c r="CW23">
        <v>51.693322580645201</v>
      </c>
      <c r="CX23">
        <v>52.003806451612903</v>
      </c>
      <c r="CY23">
        <v>1955.0922580645199</v>
      </c>
      <c r="CZ23">
        <v>39.9</v>
      </c>
      <c r="DA23">
        <v>0</v>
      </c>
      <c r="DB23">
        <v>121.90000009536701</v>
      </c>
      <c r="DC23">
        <v>266.48184615384599</v>
      </c>
      <c r="DD23">
        <v>0.17299145985061201</v>
      </c>
      <c r="DE23">
        <v>66.525128237161894</v>
      </c>
      <c r="DF23">
        <v>8110.7561538461496</v>
      </c>
      <c r="DG23">
        <v>15</v>
      </c>
      <c r="DH23">
        <v>1597516239.4000001</v>
      </c>
      <c r="DI23" t="s">
        <v>318</v>
      </c>
      <c r="DJ23">
        <v>83</v>
      </c>
      <c r="DK23">
        <v>-0.39200000000000002</v>
      </c>
      <c r="DL23">
        <v>0.106</v>
      </c>
      <c r="DM23">
        <v>400</v>
      </c>
      <c r="DN23">
        <v>17</v>
      </c>
      <c r="DO23">
        <v>0.17</v>
      </c>
      <c r="DP23">
        <v>0.02</v>
      </c>
      <c r="DQ23">
        <v>384.48814814814801</v>
      </c>
      <c r="DR23">
        <v>0.25798323954532298</v>
      </c>
      <c r="DS23">
        <v>3.6187990338216201E-2</v>
      </c>
      <c r="DT23">
        <v>1</v>
      </c>
      <c r="DU23">
        <v>20.077733333333299</v>
      </c>
      <c r="DV23">
        <v>-2.13595747926103E-2</v>
      </c>
      <c r="DW23">
        <v>4.7631688798297402E-3</v>
      </c>
      <c r="DX23">
        <v>1</v>
      </c>
      <c r="DY23">
        <v>2</v>
      </c>
      <c r="DZ23">
        <v>2</v>
      </c>
      <c r="EA23" t="s">
        <v>283</v>
      </c>
      <c r="EB23">
        <v>1.8666100000000001</v>
      </c>
      <c r="EC23">
        <v>1.8631200000000001</v>
      </c>
      <c r="ED23">
        <v>1.86877</v>
      </c>
      <c r="EE23">
        <v>1.86676</v>
      </c>
      <c r="EF23">
        <v>1.8714500000000001</v>
      </c>
      <c r="EG23">
        <v>1.8638600000000001</v>
      </c>
      <c r="EH23">
        <v>1.8653900000000001</v>
      </c>
      <c r="EI23">
        <v>1.8653500000000001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-0.39200000000000002</v>
      </c>
      <c r="EX23">
        <v>0.106</v>
      </c>
      <c r="EY23">
        <v>2</v>
      </c>
      <c r="EZ23">
        <v>329.14699999999999</v>
      </c>
      <c r="FA23">
        <v>458.45699999999999</v>
      </c>
      <c r="FB23">
        <v>20.9649</v>
      </c>
      <c r="FC23">
        <v>36.525399999999998</v>
      </c>
      <c r="FD23">
        <v>30</v>
      </c>
      <c r="FE23">
        <v>36.499099999999999</v>
      </c>
      <c r="FF23">
        <v>36.492400000000004</v>
      </c>
      <c r="FG23">
        <v>22.011900000000001</v>
      </c>
      <c r="FH23">
        <v>56.899700000000003</v>
      </c>
      <c r="FI23">
        <v>0</v>
      </c>
      <c r="FJ23">
        <v>20.863900000000001</v>
      </c>
      <c r="FK23">
        <v>400</v>
      </c>
      <c r="FL23">
        <v>16.686399999999999</v>
      </c>
      <c r="FM23">
        <v>100.19799999999999</v>
      </c>
      <c r="FN23">
        <v>100.76600000000001</v>
      </c>
    </row>
    <row r="24" spans="1:170" x14ac:dyDescent="0.25">
      <c r="A24">
        <v>8</v>
      </c>
      <c r="B24">
        <v>1597516331</v>
      </c>
      <c r="C24">
        <v>896.59999990463302</v>
      </c>
      <c r="D24" t="s">
        <v>319</v>
      </c>
      <c r="E24" t="s">
        <v>320</v>
      </c>
      <c r="G24">
        <v>1597516322.9451599</v>
      </c>
      <c r="H24">
        <f t="shared" si="0"/>
        <v>7.6781425750738772E-3</v>
      </c>
      <c r="I24">
        <f t="shared" si="1"/>
        <v>41.731041289564139</v>
      </c>
      <c r="J24">
        <f t="shared" si="2"/>
        <v>481.79909677419403</v>
      </c>
      <c r="K24">
        <f t="shared" si="3"/>
        <v>327.2352305276288</v>
      </c>
      <c r="L24">
        <f t="shared" si="4"/>
        <v>32.462929899734732</v>
      </c>
      <c r="M24">
        <f t="shared" si="5"/>
        <v>47.796229883675736</v>
      </c>
      <c r="N24">
        <f t="shared" si="6"/>
        <v>0.49646327873143187</v>
      </c>
      <c r="O24">
        <f t="shared" si="7"/>
        <v>3.3731034604582488</v>
      </c>
      <c r="P24">
        <f t="shared" si="8"/>
        <v>0.45914988663830431</v>
      </c>
      <c r="Q24">
        <f t="shared" si="9"/>
        <v>0.29008708720196574</v>
      </c>
      <c r="R24">
        <f t="shared" si="10"/>
        <v>321.43884401470143</v>
      </c>
      <c r="S24">
        <f t="shared" si="11"/>
        <v>26.879184980782682</v>
      </c>
      <c r="T24">
        <f t="shared" si="12"/>
        <v>27.024554838709701</v>
      </c>
      <c r="U24">
        <f t="shared" si="13"/>
        <v>3.5843246870456587</v>
      </c>
      <c r="V24">
        <f t="shared" si="14"/>
        <v>55.196373431241931</v>
      </c>
      <c r="W24">
        <f t="shared" si="15"/>
        <v>1.9718463479733304</v>
      </c>
      <c r="X24">
        <f t="shared" si="16"/>
        <v>3.5724201163861924</v>
      </c>
      <c r="Y24">
        <f t="shared" si="17"/>
        <v>1.6124783390723283</v>
      </c>
      <c r="Z24">
        <f t="shared" si="18"/>
        <v>-338.606087560758</v>
      </c>
      <c r="AA24">
        <f t="shared" si="19"/>
        <v>-10.300378662185754</v>
      </c>
      <c r="AB24">
        <f t="shared" si="20"/>
        <v>-0.65899504329227943</v>
      </c>
      <c r="AC24">
        <f t="shared" si="21"/>
        <v>-28.126617251534615</v>
      </c>
      <c r="AD24">
        <v>-4.10315454731194E-2</v>
      </c>
      <c r="AE24">
        <v>4.60615043543832E-2</v>
      </c>
      <c r="AF24">
        <v>3.4451066336419598</v>
      </c>
      <c r="AG24">
        <v>155</v>
      </c>
      <c r="AH24">
        <v>31</v>
      </c>
      <c r="AI24">
        <f t="shared" si="22"/>
        <v>1</v>
      </c>
      <c r="AJ24">
        <f t="shared" si="23"/>
        <v>0</v>
      </c>
      <c r="AK24">
        <f t="shared" si="24"/>
        <v>52328.495522117031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274.72530769230798</v>
      </c>
      <c r="AT24">
        <v>414.01799999999997</v>
      </c>
      <c r="AU24">
        <f t="shared" si="27"/>
        <v>0.33644115064488023</v>
      </c>
      <c r="AV24">
        <v>0.5</v>
      </c>
      <c r="AW24">
        <f t="shared" si="28"/>
        <v>1681.1918512897105</v>
      </c>
      <c r="AX24">
        <f t="shared" si="29"/>
        <v>41.731041289564139</v>
      </c>
      <c r="AY24">
        <f t="shared" si="30"/>
        <v>282.81106045135328</v>
      </c>
      <c r="AZ24">
        <f t="shared" si="31"/>
        <v>0.55910129511277284</v>
      </c>
      <c r="BA24">
        <f t="shared" si="32"/>
        <v>2.5417111828601492E-2</v>
      </c>
      <c r="BB24">
        <f t="shared" si="33"/>
        <v>-1</v>
      </c>
      <c r="BC24" t="s">
        <v>322</v>
      </c>
      <c r="BD24">
        <v>182.54</v>
      </c>
      <c r="BE24">
        <f t="shared" si="34"/>
        <v>231.47799999999998</v>
      </c>
      <c r="BF24">
        <f t="shared" si="35"/>
        <v>0.60175348114158578</v>
      </c>
      <c r="BG24">
        <f t="shared" si="36"/>
        <v>2.2680946641831925</v>
      </c>
      <c r="BH24">
        <f t="shared" si="37"/>
        <v>0.33644115064488017</v>
      </c>
      <c r="BI24" t="e">
        <f t="shared" si="38"/>
        <v>#DIV/0!</v>
      </c>
      <c r="BJ24">
        <v>6250</v>
      </c>
      <c r="BK24">
        <v>300</v>
      </c>
      <c r="BL24">
        <v>300</v>
      </c>
      <c r="BM24">
        <v>300</v>
      </c>
      <c r="BN24">
        <v>9861.49</v>
      </c>
      <c r="BO24">
        <v>375.678</v>
      </c>
      <c r="BP24">
        <v>-6.5576899999999997E-3</v>
      </c>
      <c r="BQ24">
        <v>1.5816300000000001</v>
      </c>
      <c r="BR24">
        <f t="shared" si="39"/>
        <v>1999.9938709677399</v>
      </c>
      <c r="BS24">
        <f t="shared" si="40"/>
        <v>1681.1918512897105</v>
      </c>
      <c r="BT24">
        <f t="shared" si="41"/>
        <v>0.84059850167252248</v>
      </c>
      <c r="BU24">
        <f t="shared" si="42"/>
        <v>0.19119700334504516</v>
      </c>
      <c r="BV24">
        <v>0.5</v>
      </c>
      <c r="BW24" t="s">
        <v>281</v>
      </c>
      <c r="BX24">
        <v>1597516322.9451599</v>
      </c>
      <c r="BY24">
        <v>481.79909677419403</v>
      </c>
      <c r="BZ24">
        <v>499.969290322581</v>
      </c>
      <c r="CA24">
        <v>19.876751612903199</v>
      </c>
      <c r="CB24">
        <v>16.866864516128999</v>
      </c>
      <c r="CC24">
        <v>500.05370967741902</v>
      </c>
      <c r="CD24">
        <v>99.003645161290294</v>
      </c>
      <c r="CE24">
        <v>0.20000674193548401</v>
      </c>
      <c r="CF24">
        <v>26.967912903225798</v>
      </c>
      <c r="CG24">
        <v>27.024554838709701</v>
      </c>
      <c r="CH24">
        <v>999.9</v>
      </c>
      <c r="CI24">
        <v>9994.5377419354809</v>
      </c>
      <c r="CJ24">
        <v>0</v>
      </c>
      <c r="CK24">
        <v>286.367903225806</v>
      </c>
      <c r="CL24">
        <v>1999.9938709677399</v>
      </c>
      <c r="CM24">
        <v>0.98000187096774205</v>
      </c>
      <c r="CN24">
        <v>1.9997767741935499E-2</v>
      </c>
      <c r="CO24">
        <v>0</v>
      </c>
      <c r="CP24">
        <v>274.73596774193601</v>
      </c>
      <c r="CQ24">
        <v>5.00054</v>
      </c>
      <c r="CR24">
        <v>8279.5777419354799</v>
      </c>
      <c r="CS24">
        <v>18703.577419354799</v>
      </c>
      <c r="CT24">
        <v>50.749806451612898</v>
      </c>
      <c r="CU24">
        <v>53.125</v>
      </c>
      <c r="CV24">
        <v>51.366870967741903</v>
      </c>
      <c r="CW24">
        <v>51.77</v>
      </c>
      <c r="CX24">
        <v>52.031999999999996</v>
      </c>
      <c r="CY24">
        <v>1955.09387096774</v>
      </c>
      <c r="CZ24">
        <v>39.9</v>
      </c>
      <c r="DA24">
        <v>0</v>
      </c>
      <c r="DB24">
        <v>118.90000009536701</v>
      </c>
      <c r="DC24">
        <v>274.72530769230798</v>
      </c>
      <c r="DD24">
        <v>-1.1751111088155901</v>
      </c>
      <c r="DE24">
        <v>-35.723076926273897</v>
      </c>
      <c r="DF24">
        <v>8279.2092307692292</v>
      </c>
      <c r="DG24">
        <v>15</v>
      </c>
      <c r="DH24">
        <v>1597516358.9000001</v>
      </c>
      <c r="DI24" t="s">
        <v>323</v>
      </c>
      <c r="DJ24">
        <v>84</v>
      </c>
      <c r="DK24">
        <v>-0.28999999999999998</v>
      </c>
      <c r="DL24">
        <v>0.11</v>
      </c>
      <c r="DM24">
        <v>500</v>
      </c>
      <c r="DN24">
        <v>17</v>
      </c>
      <c r="DO24">
        <v>0.27</v>
      </c>
      <c r="DP24">
        <v>0.03</v>
      </c>
      <c r="DQ24">
        <v>481.690907407407</v>
      </c>
      <c r="DR24">
        <v>0.11395785974655701</v>
      </c>
      <c r="DS24">
        <v>2.2290396967799501E-2</v>
      </c>
      <c r="DT24">
        <v>1</v>
      </c>
      <c r="DU24">
        <v>19.879357407407401</v>
      </c>
      <c r="DV24">
        <v>-6.97419583588718E-2</v>
      </c>
      <c r="DW24">
        <v>9.0801085376906107E-3</v>
      </c>
      <c r="DX24">
        <v>1</v>
      </c>
      <c r="DY24">
        <v>2</v>
      </c>
      <c r="DZ24">
        <v>2</v>
      </c>
      <c r="EA24" t="s">
        <v>283</v>
      </c>
      <c r="EB24">
        <v>1.8666100000000001</v>
      </c>
      <c r="EC24">
        <v>1.86313</v>
      </c>
      <c r="ED24">
        <v>1.8687400000000001</v>
      </c>
      <c r="EE24">
        <v>1.86676</v>
      </c>
      <c r="EF24">
        <v>1.8714</v>
      </c>
      <c r="EG24">
        <v>1.8638600000000001</v>
      </c>
      <c r="EH24">
        <v>1.8653900000000001</v>
      </c>
      <c r="EI24">
        <v>1.86531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-0.28999999999999998</v>
      </c>
      <c r="EX24">
        <v>0.11</v>
      </c>
      <c r="EY24">
        <v>2</v>
      </c>
      <c r="EZ24">
        <v>329.60300000000001</v>
      </c>
      <c r="FA24">
        <v>458.36799999999999</v>
      </c>
      <c r="FB24">
        <v>20.914899999999999</v>
      </c>
      <c r="FC24">
        <v>36.511800000000001</v>
      </c>
      <c r="FD24">
        <v>30.0001</v>
      </c>
      <c r="FE24">
        <v>36.485500000000002</v>
      </c>
      <c r="FF24">
        <v>36.482199999999999</v>
      </c>
      <c r="FG24">
        <v>26.313099999999999</v>
      </c>
      <c r="FH24">
        <v>56.660499999999999</v>
      </c>
      <c r="FI24">
        <v>0</v>
      </c>
      <c r="FJ24">
        <v>20.668700000000001</v>
      </c>
      <c r="FK24">
        <v>500</v>
      </c>
      <c r="FL24">
        <v>16.8551</v>
      </c>
      <c r="FM24">
        <v>100.203</v>
      </c>
      <c r="FN24">
        <v>100.76900000000001</v>
      </c>
    </row>
    <row r="25" spans="1:170" x14ac:dyDescent="0.25">
      <c r="A25">
        <v>9</v>
      </c>
      <c r="B25">
        <v>1597516451</v>
      </c>
      <c r="C25">
        <v>1016.59999990463</v>
      </c>
      <c r="D25" t="s">
        <v>324</v>
      </c>
      <c r="E25" t="s">
        <v>325</v>
      </c>
      <c r="G25">
        <v>1597516443</v>
      </c>
      <c r="H25">
        <f t="shared" si="0"/>
        <v>6.9413344199774334E-3</v>
      </c>
      <c r="I25">
        <f t="shared" si="1"/>
        <v>46.125178318227462</v>
      </c>
      <c r="J25">
        <f t="shared" si="2"/>
        <v>579.90909677419302</v>
      </c>
      <c r="K25">
        <f t="shared" si="3"/>
        <v>386.03953673142024</v>
      </c>
      <c r="L25">
        <f t="shared" si="4"/>
        <v>38.295449480001373</v>
      </c>
      <c r="M25">
        <f t="shared" si="5"/>
        <v>57.527474275154482</v>
      </c>
      <c r="N25">
        <f t="shared" si="6"/>
        <v>0.43315015265475953</v>
      </c>
      <c r="O25">
        <f t="shared" si="7"/>
        <v>3.3751305873096058</v>
      </c>
      <c r="P25">
        <f t="shared" si="8"/>
        <v>0.40446812352568262</v>
      </c>
      <c r="Q25">
        <f t="shared" si="9"/>
        <v>0.25521110460122126</v>
      </c>
      <c r="R25">
        <f t="shared" si="10"/>
        <v>321.43560695448849</v>
      </c>
      <c r="S25">
        <f t="shared" si="11"/>
        <v>26.963841155889234</v>
      </c>
      <c r="T25">
        <f t="shared" si="12"/>
        <v>27.1038322580645</v>
      </c>
      <c r="U25">
        <f t="shared" si="13"/>
        <v>3.6010447570736259</v>
      </c>
      <c r="V25">
        <f t="shared" si="14"/>
        <v>54.745451075066384</v>
      </c>
      <c r="W25">
        <f t="shared" si="15"/>
        <v>1.9461958404903403</v>
      </c>
      <c r="X25">
        <f t="shared" si="16"/>
        <v>3.5549909668690773</v>
      </c>
      <c r="Y25">
        <f t="shared" si="17"/>
        <v>1.6548489165832856</v>
      </c>
      <c r="Z25">
        <f t="shared" si="18"/>
        <v>-306.1128479210048</v>
      </c>
      <c r="AA25">
        <f t="shared" si="19"/>
        <v>-39.875662363066489</v>
      </c>
      <c r="AB25">
        <f t="shared" si="20"/>
        <v>-2.549572869228184</v>
      </c>
      <c r="AC25">
        <f t="shared" si="21"/>
        <v>-27.102476198810997</v>
      </c>
      <c r="AD25">
        <v>-4.1062861895798601E-2</v>
      </c>
      <c r="AE25">
        <v>4.609665978231E-2</v>
      </c>
      <c r="AF25">
        <v>3.4471887153281799</v>
      </c>
      <c r="AG25">
        <v>155</v>
      </c>
      <c r="AH25">
        <v>31</v>
      </c>
      <c r="AI25">
        <f t="shared" si="22"/>
        <v>1</v>
      </c>
      <c r="AJ25">
        <f t="shared" si="23"/>
        <v>0</v>
      </c>
      <c r="AK25">
        <f t="shared" si="24"/>
        <v>52381.275830125342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277.855153846154</v>
      </c>
      <c r="AT25">
        <v>426.447</v>
      </c>
      <c r="AU25">
        <f t="shared" si="27"/>
        <v>0.34844153236825681</v>
      </c>
      <c r="AV25">
        <v>0.5</v>
      </c>
      <c r="AW25">
        <f t="shared" si="28"/>
        <v>1681.1774619322987</v>
      </c>
      <c r="AX25">
        <f t="shared" si="29"/>
        <v>46.125178318227462</v>
      </c>
      <c r="AY25">
        <f t="shared" si="30"/>
        <v>292.89602550933347</v>
      </c>
      <c r="AZ25">
        <f t="shared" si="31"/>
        <v>0.56927824559675644</v>
      </c>
      <c r="BA25">
        <f t="shared" si="32"/>
        <v>2.8031055248660716E-2</v>
      </c>
      <c r="BB25">
        <f t="shared" si="33"/>
        <v>-1</v>
      </c>
      <c r="BC25" t="s">
        <v>327</v>
      </c>
      <c r="BD25">
        <v>183.68</v>
      </c>
      <c r="BE25">
        <f t="shared" si="34"/>
        <v>242.767</v>
      </c>
      <c r="BF25">
        <f t="shared" si="35"/>
        <v>0.61207596647751139</v>
      </c>
      <c r="BG25">
        <f t="shared" si="36"/>
        <v>2.3216844512195123</v>
      </c>
      <c r="BH25">
        <f t="shared" si="37"/>
        <v>0.34844153236825681</v>
      </c>
      <c r="BI25" t="e">
        <f t="shared" si="38"/>
        <v>#DIV/0!</v>
      </c>
      <c r="BJ25">
        <v>6252</v>
      </c>
      <c r="BK25">
        <v>300</v>
      </c>
      <c r="BL25">
        <v>300</v>
      </c>
      <c r="BM25">
        <v>300</v>
      </c>
      <c r="BN25">
        <v>9861.07</v>
      </c>
      <c r="BO25">
        <v>385.87599999999998</v>
      </c>
      <c r="BP25">
        <v>-6.5573100000000002E-3</v>
      </c>
      <c r="BQ25">
        <v>2.5232199999999998</v>
      </c>
      <c r="BR25">
        <f t="shared" si="39"/>
        <v>1999.9770967741899</v>
      </c>
      <c r="BS25">
        <f t="shared" si="40"/>
        <v>1681.1774619322987</v>
      </c>
      <c r="BT25">
        <f t="shared" si="41"/>
        <v>0.84059835717314435</v>
      </c>
      <c r="BU25">
        <f t="shared" si="42"/>
        <v>0.19119671434628879</v>
      </c>
      <c r="BV25">
        <v>0.5</v>
      </c>
      <c r="BW25" t="s">
        <v>281</v>
      </c>
      <c r="BX25">
        <v>1597516443</v>
      </c>
      <c r="BY25">
        <v>579.90909677419302</v>
      </c>
      <c r="BZ25">
        <v>599.96725806451605</v>
      </c>
      <c r="CA25">
        <v>19.6187419354839</v>
      </c>
      <c r="CB25">
        <v>16.896958064516099</v>
      </c>
      <c r="CC25">
        <v>500.05103225806499</v>
      </c>
      <c r="CD25">
        <v>99.000874193548398</v>
      </c>
      <c r="CE25">
        <v>0.19997400000000001</v>
      </c>
      <c r="CF25">
        <v>26.884687096774201</v>
      </c>
      <c r="CG25">
        <v>27.1038322580645</v>
      </c>
      <c r="CH25">
        <v>999.9</v>
      </c>
      <c r="CI25">
        <v>10002.4458064516</v>
      </c>
      <c r="CJ25">
        <v>0</v>
      </c>
      <c r="CK25">
        <v>287.32806451612902</v>
      </c>
      <c r="CL25">
        <v>1999.9770967741899</v>
      </c>
      <c r="CM25">
        <v>0.98000277419354798</v>
      </c>
      <c r="CN25">
        <v>1.9996929032258099E-2</v>
      </c>
      <c r="CO25">
        <v>0</v>
      </c>
      <c r="CP25">
        <v>277.88187096774197</v>
      </c>
      <c r="CQ25">
        <v>5.00054</v>
      </c>
      <c r="CR25">
        <v>8352.4874193548403</v>
      </c>
      <c r="CS25">
        <v>18703.4258064516</v>
      </c>
      <c r="CT25">
        <v>50.883000000000003</v>
      </c>
      <c r="CU25">
        <v>53.258000000000003</v>
      </c>
      <c r="CV25">
        <v>51.495935483871001</v>
      </c>
      <c r="CW25">
        <v>51.963419354838699</v>
      </c>
      <c r="CX25">
        <v>52.137</v>
      </c>
      <c r="CY25">
        <v>1955.0854838709699</v>
      </c>
      <c r="CZ25">
        <v>39.89</v>
      </c>
      <c r="DA25">
        <v>0</v>
      </c>
      <c r="DB25">
        <v>119.59999990463299</v>
      </c>
      <c r="DC25">
        <v>277.855153846154</v>
      </c>
      <c r="DD25">
        <v>-2.1489230662690102</v>
      </c>
      <c r="DE25">
        <v>-105.535042570263</v>
      </c>
      <c r="DF25">
        <v>8351.5215384615403</v>
      </c>
      <c r="DG25">
        <v>15</v>
      </c>
      <c r="DH25">
        <v>1597516476.5</v>
      </c>
      <c r="DI25" t="s">
        <v>328</v>
      </c>
      <c r="DJ25">
        <v>85</v>
      </c>
      <c r="DK25">
        <v>-0.26400000000000001</v>
      </c>
      <c r="DL25">
        <v>0.113</v>
      </c>
      <c r="DM25">
        <v>600</v>
      </c>
      <c r="DN25">
        <v>17</v>
      </c>
      <c r="DO25">
        <v>0.1</v>
      </c>
      <c r="DP25">
        <v>0.04</v>
      </c>
      <c r="DQ25">
        <v>579.86079629629603</v>
      </c>
      <c r="DR25">
        <v>0.27308404802741898</v>
      </c>
      <c r="DS25">
        <v>4.2981210205467198E-2</v>
      </c>
      <c r="DT25">
        <v>1</v>
      </c>
      <c r="DU25">
        <v>19.6177981481482</v>
      </c>
      <c r="DV25">
        <v>-1.97054316752436E-2</v>
      </c>
      <c r="DW25">
        <v>6.4297483027961604E-3</v>
      </c>
      <c r="DX25">
        <v>1</v>
      </c>
      <c r="DY25">
        <v>2</v>
      </c>
      <c r="DZ25">
        <v>2</v>
      </c>
      <c r="EA25" t="s">
        <v>283</v>
      </c>
      <c r="EB25">
        <v>1.8666100000000001</v>
      </c>
      <c r="EC25">
        <v>1.8631599999999999</v>
      </c>
      <c r="ED25">
        <v>1.8687499999999999</v>
      </c>
      <c r="EE25">
        <v>1.8667400000000001</v>
      </c>
      <c r="EF25">
        <v>1.87144</v>
      </c>
      <c r="EG25">
        <v>1.8638600000000001</v>
      </c>
      <c r="EH25">
        <v>1.8653900000000001</v>
      </c>
      <c r="EI25">
        <v>1.8653200000000001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-0.26400000000000001</v>
      </c>
      <c r="EX25">
        <v>0.113</v>
      </c>
      <c r="EY25">
        <v>2</v>
      </c>
      <c r="EZ25">
        <v>329.60300000000001</v>
      </c>
      <c r="FA25">
        <v>458.096</v>
      </c>
      <c r="FB25">
        <v>20.8765</v>
      </c>
      <c r="FC25">
        <v>36.521999999999998</v>
      </c>
      <c r="FD25">
        <v>30.0002</v>
      </c>
      <c r="FE25">
        <v>36.485500000000002</v>
      </c>
      <c r="FF25">
        <v>36.482199999999999</v>
      </c>
      <c r="FG25">
        <v>30.470600000000001</v>
      </c>
      <c r="FH25">
        <v>56.227400000000003</v>
      </c>
      <c r="FI25">
        <v>0</v>
      </c>
      <c r="FJ25">
        <v>19.777899999999999</v>
      </c>
      <c r="FK25">
        <v>600</v>
      </c>
      <c r="FL25">
        <v>16.9682</v>
      </c>
      <c r="FM25">
        <v>100.20099999999999</v>
      </c>
      <c r="FN25">
        <v>100.77</v>
      </c>
    </row>
    <row r="26" spans="1:170" x14ac:dyDescent="0.25">
      <c r="A26">
        <v>10</v>
      </c>
      <c r="B26">
        <v>1597516587.5</v>
      </c>
      <c r="C26">
        <v>1153.0999999046301</v>
      </c>
      <c r="D26" t="s">
        <v>329</v>
      </c>
      <c r="E26" t="s">
        <v>330</v>
      </c>
      <c r="G26">
        <v>1597516579.5</v>
      </c>
      <c r="H26">
        <f t="shared" si="0"/>
        <v>6.253516558517809E-3</v>
      </c>
      <c r="I26">
        <f t="shared" si="1"/>
        <v>48.975762467246916</v>
      </c>
      <c r="J26">
        <f t="shared" si="2"/>
        <v>678.69045161290296</v>
      </c>
      <c r="K26">
        <f t="shared" si="3"/>
        <v>446.14209862739045</v>
      </c>
      <c r="L26">
        <f t="shared" si="4"/>
        <v>44.258240306867926</v>
      </c>
      <c r="M26">
        <f t="shared" si="5"/>
        <v>67.327529040355046</v>
      </c>
      <c r="N26">
        <f t="shared" si="6"/>
        <v>0.38044592868625676</v>
      </c>
      <c r="O26">
        <f t="shared" si="7"/>
        <v>3.3762285545607282</v>
      </c>
      <c r="P26">
        <f t="shared" si="8"/>
        <v>0.35813299416800021</v>
      </c>
      <c r="Q26">
        <f t="shared" si="9"/>
        <v>0.22572871956552151</v>
      </c>
      <c r="R26">
        <f t="shared" si="10"/>
        <v>321.43694372209967</v>
      </c>
      <c r="S26">
        <f t="shared" si="11"/>
        <v>27.047207883601224</v>
      </c>
      <c r="T26">
        <f t="shared" si="12"/>
        <v>27.218535483871001</v>
      </c>
      <c r="U26">
        <f t="shared" si="13"/>
        <v>3.625356837074778</v>
      </c>
      <c r="V26">
        <f t="shared" si="14"/>
        <v>54.856225243855306</v>
      </c>
      <c r="W26">
        <f t="shared" si="15"/>
        <v>1.9417502216898699</v>
      </c>
      <c r="X26">
        <f t="shared" si="16"/>
        <v>3.5397080514711026</v>
      </c>
      <c r="Y26">
        <f t="shared" si="17"/>
        <v>1.6836066153849081</v>
      </c>
      <c r="Z26">
        <f t="shared" si="18"/>
        <v>-275.78008023063541</v>
      </c>
      <c r="AA26">
        <f t="shared" si="19"/>
        <v>-74.103553046520432</v>
      </c>
      <c r="AB26">
        <f t="shared" si="20"/>
        <v>-4.7374801400998585</v>
      </c>
      <c r="AC26">
        <f t="shared" si="21"/>
        <v>-33.184169695156044</v>
      </c>
      <c r="AD26">
        <v>-4.1079827542694201E-2</v>
      </c>
      <c r="AE26">
        <v>4.6115705207222503E-2</v>
      </c>
      <c r="AF26">
        <v>3.4483164543170601</v>
      </c>
      <c r="AG26">
        <v>156</v>
      </c>
      <c r="AH26">
        <v>31</v>
      </c>
      <c r="AI26">
        <f t="shared" si="22"/>
        <v>1</v>
      </c>
      <c r="AJ26">
        <f t="shared" si="23"/>
        <v>0</v>
      </c>
      <c r="AK26">
        <f t="shared" si="24"/>
        <v>52414.864531497413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277.37515384615398</v>
      </c>
      <c r="AT26">
        <v>428.13</v>
      </c>
      <c r="AU26">
        <f t="shared" si="27"/>
        <v>0.35212399540757722</v>
      </c>
      <c r="AV26">
        <v>0.5</v>
      </c>
      <c r="AW26">
        <f t="shared" si="28"/>
        <v>1681.1845061285035</v>
      </c>
      <c r="AX26">
        <f t="shared" si="29"/>
        <v>48.975762467246916</v>
      </c>
      <c r="AY26">
        <f t="shared" si="30"/>
        <v>295.99270265764159</v>
      </c>
      <c r="AZ26">
        <f t="shared" si="31"/>
        <v>0.5774180739495014</v>
      </c>
      <c r="BA26">
        <f t="shared" si="32"/>
        <v>2.9726518585597144E-2</v>
      </c>
      <c r="BB26">
        <f t="shared" si="33"/>
        <v>-1</v>
      </c>
      <c r="BC26" t="s">
        <v>332</v>
      </c>
      <c r="BD26">
        <v>180.92</v>
      </c>
      <c r="BE26">
        <f t="shared" si="34"/>
        <v>247.21</v>
      </c>
      <c r="BF26">
        <f t="shared" si="35"/>
        <v>0.60982503197219373</v>
      </c>
      <c r="BG26">
        <f t="shared" si="36"/>
        <v>2.3664050409020563</v>
      </c>
      <c r="BH26">
        <f t="shared" si="37"/>
        <v>0.35212399540757716</v>
      </c>
      <c r="BI26" t="e">
        <f t="shared" si="38"/>
        <v>#DIV/0!</v>
      </c>
      <c r="BJ26">
        <v>6254</v>
      </c>
      <c r="BK26">
        <v>300</v>
      </c>
      <c r="BL26">
        <v>300</v>
      </c>
      <c r="BM26">
        <v>300</v>
      </c>
      <c r="BN26">
        <v>9860.3700000000008</v>
      </c>
      <c r="BO26">
        <v>388.11700000000002</v>
      </c>
      <c r="BP26">
        <v>-6.5568400000000004E-3</v>
      </c>
      <c r="BQ26">
        <v>2.3369800000000001</v>
      </c>
      <c r="BR26">
        <f t="shared" si="39"/>
        <v>1999.98548387097</v>
      </c>
      <c r="BS26">
        <f t="shared" si="40"/>
        <v>1681.1845061285035</v>
      </c>
      <c r="BT26">
        <f t="shared" si="41"/>
        <v>0.84059835418133755</v>
      </c>
      <c r="BU26">
        <f t="shared" si="42"/>
        <v>0.19119670836267524</v>
      </c>
      <c r="BV26">
        <v>0.5</v>
      </c>
      <c r="BW26" t="s">
        <v>281</v>
      </c>
      <c r="BX26">
        <v>1597516579.5</v>
      </c>
      <c r="BY26">
        <v>678.69045161290296</v>
      </c>
      <c r="BZ26">
        <v>699.97645161290302</v>
      </c>
      <c r="CA26">
        <v>19.573677419354802</v>
      </c>
      <c r="CB26">
        <v>17.1214612903226</v>
      </c>
      <c r="CC26">
        <v>500.04664516128997</v>
      </c>
      <c r="CD26">
        <v>99.002129032258097</v>
      </c>
      <c r="CE26">
        <v>0.19998716129032301</v>
      </c>
      <c r="CF26">
        <v>26.811416129032299</v>
      </c>
      <c r="CG26">
        <v>27.218535483871001</v>
      </c>
      <c r="CH26">
        <v>999.9</v>
      </c>
      <c r="CI26">
        <v>10006.4516129032</v>
      </c>
      <c r="CJ26">
        <v>0</v>
      </c>
      <c r="CK26">
        <v>286.16467741935497</v>
      </c>
      <c r="CL26">
        <v>1999.98548387097</v>
      </c>
      <c r="CM26">
        <v>0.98000480645161303</v>
      </c>
      <c r="CN26">
        <v>1.99951677419355E-2</v>
      </c>
      <c r="CO26">
        <v>0</v>
      </c>
      <c r="CP26">
        <v>277.38722580645202</v>
      </c>
      <c r="CQ26">
        <v>5.00054</v>
      </c>
      <c r="CR26">
        <v>8326.9009677419308</v>
      </c>
      <c r="CS26">
        <v>18703.535483871001</v>
      </c>
      <c r="CT26">
        <v>51.074129032258</v>
      </c>
      <c r="CU26">
        <v>53.481516129032201</v>
      </c>
      <c r="CV26">
        <v>51.668999999999997</v>
      </c>
      <c r="CW26">
        <v>52.1871935483871</v>
      </c>
      <c r="CX26">
        <v>52.304258064516098</v>
      </c>
      <c r="CY26">
        <v>1955.0954838709699</v>
      </c>
      <c r="CZ26">
        <v>39.89</v>
      </c>
      <c r="DA26">
        <v>0</v>
      </c>
      <c r="DB26">
        <v>136.09999990463299</v>
      </c>
      <c r="DC26">
        <v>277.37515384615398</v>
      </c>
      <c r="DD26">
        <v>-1.2310427363993099</v>
      </c>
      <c r="DE26">
        <v>-64.850256467891199</v>
      </c>
      <c r="DF26">
        <v>8326.4565384615398</v>
      </c>
      <c r="DG26">
        <v>15</v>
      </c>
      <c r="DH26">
        <v>1597516615</v>
      </c>
      <c r="DI26" t="s">
        <v>333</v>
      </c>
      <c r="DJ26">
        <v>86</v>
      </c>
      <c r="DK26">
        <v>-0.27400000000000002</v>
      </c>
      <c r="DL26">
        <v>0.112</v>
      </c>
      <c r="DM26">
        <v>700</v>
      </c>
      <c r="DN26">
        <v>17</v>
      </c>
      <c r="DO26">
        <v>0.37</v>
      </c>
      <c r="DP26">
        <v>0.04</v>
      </c>
      <c r="DQ26">
        <v>678.67244444444498</v>
      </c>
      <c r="DR26">
        <v>0.29228130360189403</v>
      </c>
      <c r="DS26">
        <v>4.7609782167380099E-2</v>
      </c>
      <c r="DT26">
        <v>1</v>
      </c>
      <c r="DU26">
        <v>19.574898148148101</v>
      </c>
      <c r="DV26">
        <v>2.5975986277965799E-3</v>
      </c>
      <c r="DW26">
        <v>3.1518066976789199E-3</v>
      </c>
      <c r="DX26">
        <v>1</v>
      </c>
      <c r="DY26">
        <v>2</v>
      </c>
      <c r="DZ26">
        <v>2</v>
      </c>
      <c r="EA26" t="s">
        <v>283</v>
      </c>
      <c r="EB26">
        <v>1.8666100000000001</v>
      </c>
      <c r="EC26">
        <v>1.8631</v>
      </c>
      <c r="ED26">
        <v>1.8687400000000001</v>
      </c>
      <c r="EE26">
        <v>1.8667199999999999</v>
      </c>
      <c r="EF26">
        <v>1.87141</v>
      </c>
      <c r="EG26">
        <v>1.8638600000000001</v>
      </c>
      <c r="EH26">
        <v>1.8653900000000001</v>
      </c>
      <c r="EI26">
        <v>1.86528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-0.27400000000000002</v>
      </c>
      <c r="EX26">
        <v>0.112</v>
      </c>
      <c r="EY26">
        <v>2</v>
      </c>
      <c r="EZ26">
        <v>328.74599999999998</v>
      </c>
      <c r="FA26">
        <v>457.779</v>
      </c>
      <c r="FB26">
        <v>20.8612</v>
      </c>
      <c r="FC26">
        <v>36.5732</v>
      </c>
      <c r="FD26">
        <v>30.0002</v>
      </c>
      <c r="FE26">
        <v>36.5124</v>
      </c>
      <c r="FF26">
        <v>36.5045</v>
      </c>
      <c r="FG26">
        <v>34.5152</v>
      </c>
      <c r="FH26">
        <v>55.924700000000001</v>
      </c>
      <c r="FI26">
        <v>0</v>
      </c>
      <c r="FJ26">
        <v>17.450500000000002</v>
      </c>
      <c r="FK26">
        <v>700</v>
      </c>
      <c r="FL26">
        <v>17.213100000000001</v>
      </c>
      <c r="FM26">
        <v>100.194</v>
      </c>
      <c r="FN26">
        <v>100.758</v>
      </c>
    </row>
    <row r="27" spans="1:170" x14ac:dyDescent="0.25">
      <c r="A27">
        <v>11</v>
      </c>
      <c r="B27">
        <v>1597516715</v>
      </c>
      <c r="C27">
        <v>1280.5999999046301</v>
      </c>
      <c r="D27" t="s">
        <v>334</v>
      </c>
      <c r="E27" t="s">
        <v>335</v>
      </c>
      <c r="G27">
        <v>1597516707</v>
      </c>
      <c r="H27">
        <f t="shared" si="0"/>
        <v>5.6990579087281435E-3</v>
      </c>
      <c r="I27">
        <f t="shared" si="1"/>
        <v>50.902979682474154</v>
      </c>
      <c r="J27">
        <f t="shared" si="2"/>
        <v>777.86241935483895</v>
      </c>
      <c r="K27">
        <f t="shared" si="3"/>
        <v>506.34301420125161</v>
      </c>
      <c r="L27">
        <f t="shared" si="4"/>
        <v>50.22977168684465</v>
      </c>
      <c r="M27">
        <f t="shared" si="5"/>
        <v>77.16478875413226</v>
      </c>
      <c r="N27">
        <f t="shared" si="6"/>
        <v>0.33672723627073448</v>
      </c>
      <c r="O27">
        <f t="shared" si="7"/>
        <v>3.3749465405603649</v>
      </c>
      <c r="P27">
        <f t="shared" si="8"/>
        <v>0.31911409317608896</v>
      </c>
      <c r="Q27">
        <f t="shared" si="9"/>
        <v>0.20095197327749093</v>
      </c>
      <c r="R27">
        <f t="shared" si="10"/>
        <v>321.44111389694666</v>
      </c>
      <c r="S27">
        <f t="shared" si="11"/>
        <v>27.22636793359284</v>
      </c>
      <c r="T27">
        <f t="shared" si="12"/>
        <v>27.409070967741901</v>
      </c>
      <c r="U27">
        <f t="shared" si="13"/>
        <v>3.6660587684035222</v>
      </c>
      <c r="V27">
        <f t="shared" si="14"/>
        <v>54.764551475374191</v>
      </c>
      <c r="W27">
        <f t="shared" si="15"/>
        <v>1.9445266859222929</v>
      </c>
      <c r="X27">
        <f t="shared" si="16"/>
        <v>3.5507032077066905</v>
      </c>
      <c r="Y27">
        <f t="shared" si="17"/>
        <v>1.7215320824812292</v>
      </c>
      <c r="Z27">
        <f t="shared" si="18"/>
        <v>-251.32845377491114</v>
      </c>
      <c r="AA27">
        <f t="shared" si="19"/>
        <v>-99.146966984272339</v>
      </c>
      <c r="AB27">
        <f t="shared" si="20"/>
        <v>-6.3486449448120474</v>
      </c>
      <c r="AC27">
        <f t="shared" si="21"/>
        <v>-35.382951807048883</v>
      </c>
      <c r="AD27">
        <v>-4.1060018270721602E-2</v>
      </c>
      <c r="AE27">
        <v>4.6093467564045698E-2</v>
      </c>
      <c r="AF27">
        <v>3.44699967851516</v>
      </c>
      <c r="AG27">
        <v>156</v>
      </c>
      <c r="AH27">
        <v>31</v>
      </c>
      <c r="AI27">
        <f t="shared" si="22"/>
        <v>1</v>
      </c>
      <c r="AJ27">
        <f t="shared" si="23"/>
        <v>0</v>
      </c>
      <c r="AK27">
        <f t="shared" si="24"/>
        <v>52381.387500615143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276.18223076923101</v>
      </c>
      <c r="AT27">
        <v>428.01400000000001</v>
      </c>
      <c r="AU27">
        <f t="shared" si="27"/>
        <v>0.35473552087260929</v>
      </c>
      <c r="AV27">
        <v>0.5</v>
      </c>
      <c r="AW27">
        <f t="shared" si="28"/>
        <v>1681.2064545156059</v>
      </c>
      <c r="AX27">
        <f t="shared" si="29"/>
        <v>50.902979682474154</v>
      </c>
      <c r="AY27">
        <f t="shared" si="30"/>
        <v>298.1918236684931</v>
      </c>
      <c r="AZ27">
        <f t="shared" si="31"/>
        <v>0.57174298036980098</v>
      </c>
      <c r="BA27">
        <f t="shared" si="32"/>
        <v>3.0872460394775602E-2</v>
      </c>
      <c r="BB27">
        <f t="shared" si="33"/>
        <v>-1</v>
      </c>
      <c r="BC27" t="s">
        <v>337</v>
      </c>
      <c r="BD27">
        <v>183.3</v>
      </c>
      <c r="BE27">
        <f t="shared" si="34"/>
        <v>244.714</v>
      </c>
      <c r="BF27">
        <f t="shared" si="35"/>
        <v>0.62044578254929839</v>
      </c>
      <c r="BG27">
        <f t="shared" si="36"/>
        <v>2.3350463720676484</v>
      </c>
      <c r="BH27">
        <f t="shared" si="37"/>
        <v>0.35473552087260929</v>
      </c>
      <c r="BI27" t="e">
        <f t="shared" si="38"/>
        <v>#DIV/0!</v>
      </c>
      <c r="BJ27">
        <v>6256</v>
      </c>
      <c r="BK27">
        <v>300</v>
      </c>
      <c r="BL27">
        <v>300</v>
      </c>
      <c r="BM27">
        <v>300</v>
      </c>
      <c r="BN27">
        <v>9859.85</v>
      </c>
      <c r="BO27">
        <v>387.90499999999997</v>
      </c>
      <c r="BP27">
        <v>-6.5563100000000001E-3</v>
      </c>
      <c r="BQ27">
        <v>2.68085</v>
      </c>
      <c r="BR27">
        <f t="shared" si="39"/>
        <v>2000.0116129032299</v>
      </c>
      <c r="BS27">
        <f t="shared" si="40"/>
        <v>1681.2064545156059</v>
      </c>
      <c r="BT27">
        <f t="shared" si="41"/>
        <v>0.84059834636417718</v>
      </c>
      <c r="BU27">
        <f t="shared" si="42"/>
        <v>0.19119669272835454</v>
      </c>
      <c r="BV27">
        <v>0.5</v>
      </c>
      <c r="BW27" t="s">
        <v>281</v>
      </c>
      <c r="BX27">
        <v>1597516707</v>
      </c>
      <c r="BY27">
        <v>777.86241935483895</v>
      </c>
      <c r="BZ27">
        <v>799.99454838709698</v>
      </c>
      <c r="CA27">
        <v>19.601870967741899</v>
      </c>
      <c r="CB27">
        <v>17.367164516129002</v>
      </c>
      <c r="CC27">
        <v>500.05187096774199</v>
      </c>
      <c r="CD27">
        <v>99.001096774193599</v>
      </c>
      <c r="CE27">
        <v>0.199978935483871</v>
      </c>
      <c r="CF27">
        <v>26.864158064516101</v>
      </c>
      <c r="CG27">
        <v>27.409070967741901</v>
      </c>
      <c r="CH27">
        <v>999.9</v>
      </c>
      <c r="CI27">
        <v>10001.7306451613</v>
      </c>
      <c r="CJ27">
        <v>0</v>
      </c>
      <c r="CK27">
        <v>284.04493548387097</v>
      </c>
      <c r="CL27">
        <v>2000.0116129032299</v>
      </c>
      <c r="CM27">
        <v>0.98000538709677398</v>
      </c>
      <c r="CN27">
        <v>1.99946774193548E-2</v>
      </c>
      <c r="CO27">
        <v>0</v>
      </c>
      <c r="CP27">
        <v>276.18054838709702</v>
      </c>
      <c r="CQ27">
        <v>5.00054</v>
      </c>
      <c r="CR27">
        <v>8309.3796774193506</v>
      </c>
      <c r="CS27">
        <v>18703.770967741901</v>
      </c>
      <c r="CT27">
        <v>51.239677419354798</v>
      </c>
      <c r="CU27">
        <v>53.662999999999997</v>
      </c>
      <c r="CV27">
        <v>51.848548387096798</v>
      </c>
      <c r="CW27">
        <v>52.352645161290297</v>
      </c>
      <c r="CX27">
        <v>52.467483870967698</v>
      </c>
      <c r="CY27">
        <v>1955.12161290323</v>
      </c>
      <c r="CZ27">
        <v>39.89</v>
      </c>
      <c r="DA27">
        <v>0</v>
      </c>
      <c r="DB27">
        <v>126.799999952316</v>
      </c>
      <c r="DC27">
        <v>276.18223076923101</v>
      </c>
      <c r="DD27">
        <v>-2.3290940048432098</v>
      </c>
      <c r="DE27">
        <v>64.728547100770598</v>
      </c>
      <c r="DF27">
        <v>8309.7719230769198</v>
      </c>
      <c r="DG27">
        <v>15</v>
      </c>
      <c r="DH27">
        <v>1597516744.5</v>
      </c>
      <c r="DI27" t="s">
        <v>338</v>
      </c>
      <c r="DJ27">
        <v>87</v>
      </c>
      <c r="DK27">
        <v>-0.28899999999999998</v>
      </c>
      <c r="DL27">
        <v>0.11700000000000001</v>
      </c>
      <c r="DM27">
        <v>800</v>
      </c>
      <c r="DN27">
        <v>17</v>
      </c>
      <c r="DO27">
        <v>0.26</v>
      </c>
      <c r="DP27">
        <v>0.04</v>
      </c>
      <c r="DQ27">
        <v>777.85037037037</v>
      </c>
      <c r="DR27">
        <v>0.235746140651755</v>
      </c>
      <c r="DS27">
        <v>6.1588628188043601E-2</v>
      </c>
      <c r="DT27">
        <v>1</v>
      </c>
      <c r="DU27">
        <v>19.594535185185201</v>
      </c>
      <c r="DV27">
        <v>2.1930245854773999E-2</v>
      </c>
      <c r="DW27">
        <v>4.7399467651100102E-3</v>
      </c>
      <c r="DX27">
        <v>1</v>
      </c>
      <c r="DY27">
        <v>2</v>
      </c>
      <c r="DZ27">
        <v>2</v>
      </c>
      <c r="EA27" t="s">
        <v>283</v>
      </c>
      <c r="EB27">
        <v>1.8666100000000001</v>
      </c>
      <c r="EC27">
        <v>1.8631</v>
      </c>
      <c r="ED27">
        <v>1.8687400000000001</v>
      </c>
      <c r="EE27">
        <v>1.8667199999999999</v>
      </c>
      <c r="EF27">
        <v>1.87138</v>
      </c>
      <c r="EG27">
        <v>1.8638600000000001</v>
      </c>
      <c r="EH27">
        <v>1.8653900000000001</v>
      </c>
      <c r="EI27">
        <v>1.8653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-0.28899999999999998</v>
      </c>
      <c r="EX27">
        <v>0.11700000000000001</v>
      </c>
      <c r="EY27">
        <v>2</v>
      </c>
      <c r="EZ27">
        <v>328.89400000000001</v>
      </c>
      <c r="FA27">
        <v>457.74</v>
      </c>
      <c r="FB27">
        <v>20.889500000000002</v>
      </c>
      <c r="FC27">
        <v>36.627899999999997</v>
      </c>
      <c r="FD27">
        <v>30.000299999999999</v>
      </c>
      <c r="FE27">
        <v>36.553600000000003</v>
      </c>
      <c r="FF27">
        <v>36.542999999999999</v>
      </c>
      <c r="FG27">
        <v>38.468400000000003</v>
      </c>
      <c r="FH27">
        <v>55.435699999999997</v>
      </c>
      <c r="FI27">
        <v>0</v>
      </c>
      <c r="FJ27">
        <v>17.466200000000001</v>
      </c>
      <c r="FK27">
        <v>800</v>
      </c>
      <c r="FL27">
        <v>17.320599999999999</v>
      </c>
      <c r="FM27">
        <v>100.184</v>
      </c>
      <c r="FN27">
        <v>100.748</v>
      </c>
    </row>
    <row r="28" spans="1:170" x14ac:dyDescent="0.25">
      <c r="A28">
        <v>12</v>
      </c>
      <c r="B28">
        <v>1597516838.5</v>
      </c>
      <c r="C28">
        <v>1404.0999999046301</v>
      </c>
      <c r="D28" t="s">
        <v>339</v>
      </c>
      <c r="E28" t="s">
        <v>340</v>
      </c>
      <c r="G28">
        <v>1597516830.5</v>
      </c>
      <c r="H28">
        <f t="shared" si="0"/>
        <v>5.1916040244459312E-3</v>
      </c>
      <c r="I28">
        <f t="shared" si="1"/>
        <v>54.016468749549468</v>
      </c>
      <c r="J28">
        <f t="shared" si="2"/>
        <v>976.37903225806497</v>
      </c>
      <c r="K28">
        <f t="shared" si="3"/>
        <v>647.52316962710699</v>
      </c>
      <c r="L28">
        <f t="shared" si="4"/>
        <v>64.235162034926674</v>
      </c>
      <c r="M28">
        <f t="shared" si="5"/>
        <v>96.858102206164176</v>
      </c>
      <c r="N28">
        <f t="shared" si="6"/>
        <v>0.29505914247324672</v>
      </c>
      <c r="O28">
        <f t="shared" si="7"/>
        <v>3.3760693667514849</v>
      </c>
      <c r="P28">
        <f t="shared" si="8"/>
        <v>0.28144495368339145</v>
      </c>
      <c r="Q28">
        <f t="shared" si="9"/>
        <v>0.17707392195164845</v>
      </c>
      <c r="R28">
        <f t="shared" si="10"/>
        <v>321.43823081310177</v>
      </c>
      <c r="S28">
        <f t="shared" si="11"/>
        <v>27.377975218256747</v>
      </c>
      <c r="T28">
        <f t="shared" si="12"/>
        <v>27.664396774193499</v>
      </c>
      <c r="U28">
        <f t="shared" si="13"/>
        <v>3.7212260876320937</v>
      </c>
      <c r="V28">
        <f t="shared" si="14"/>
        <v>54.621644585437238</v>
      </c>
      <c r="W28">
        <f t="shared" si="15"/>
        <v>1.9435806904185968</v>
      </c>
      <c r="X28">
        <f t="shared" si="16"/>
        <v>3.5582610248552973</v>
      </c>
      <c r="Y28">
        <f t="shared" si="17"/>
        <v>1.7776453972134969</v>
      </c>
      <c r="Z28">
        <f t="shared" si="18"/>
        <v>-228.94973747806557</v>
      </c>
      <c r="AA28">
        <f t="shared" si="19"/>
        <v>-139.06846765284328</v>
      </c>
      <c r="AB28">
        <f t="shared" si="20"/>
        <v>-8.9149455037438816</v>
      </c>
      <c r="AC28">
        <f t="shared" si="21"/>
        <v>-55.494919821550951</v>
      </c>
      <c r="AD28">
        <v>-4.1077367640548798E-2</v>
      </c>
      <c r="AE28">
        <v>4.6112943751565001E-2</v>
      </c>
      <c r="AF28">
        <v>3.4481529498105501</v>
      </c>
      <c r="AG28">
        <v>155</v>
      </c>
      <c r="AH28">
        <v>31</v>
      </c>
      <c r="AI28">
        <f t="shared" si="22"/>
        <v>1</v>
      </c>
      <c r="AJ28">
        <f t="shared" si="23"/>
        <v>0</v>
      </c>
      <c r="AK28">
        <f t="shared" si="24"/>
        <v>52396.299370621913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273.74480769230797</v>
      </c>
      <c r="AT28">
        <v>426.37099999999998</v>
      </c>
      <c r="AU28">
        <f t="shared" si="27"/>
        <v>0.35796569726292837</v>
      </c>
      <c r="AV28">
        <v>0.5</v>
      </c>
      <c r="AW28">
        <f t="shared" si="28"/>
        <v>1681.1912803220537</v>
      </c>
      <c r="AX28">
        <f t="shared" si="29"/>
        <v>54.016468749549468</v>
      </c>
      <c r="AY28">
        <f t="shared" si="30"/>
        <v>300.90440444641962</v>
      </c>
      <c r="AZ28">
        <f t="shared" si="31"/>
        <v>0.57909895372809117</v>
      </c>
      <c r="BA28">
        <f t="shared" si="32"/>
        <v>3.2724693134864674E-2</v>
      </c>
      <c r="BB28">
        <f t="shared" si="33"/>
        <v>-1</v>
      </c>
      <c r="BC28" t="s">
        <v>342</v>
      </c>
      <c r="BD28">
        <v>179.46</v>
      </c>
      <c r="BE28">
        <f t="shared" si="34"/>
        <v>246.91099999999997</v>
      </c>
      <c r="BF28">
        <f t="shared" si="35"/>
        <v>0.61814253843567935</v>
      </c>
      <c r="BG28">
        <f t="shared" si="36"/>
        <v>2.3758553438092052</v>
      </c>
      <c r="BH28">
        <f t="shared" si="37"/>
        <v>0.35796569726292832</v>
      </c>
      <c r="BI28" t="e">
        <f t="shared" si="38"/>
        <v>#DIV/0!</v>
      </c>
      <c r="BJ28">
        <v>6258</v>
      </c>
      <c r="BK28">
        <v>300</v>
      </c>
      <c r="BL28">
        <v>300</v>
      </c>
      <c r="BM28">
        <v>300</v>
      </c>
      <c r="BN28">
        <v>9859.68</v>
      </c>
      <c r="BO28">
        <v>382.42200000000003</v>
      </c>
      <c r="BP28">
        <v>-6.5561999999999999E-3</v>
      </c>
      <c r="BQ28">
        <v>2.0224899999999999</v>
      </c>
      <c r="BR28">
        <f t="shared" si="39"/>
        <v>1999.9935483871</v>
      </c>
      <c r="BS28">
        <f t="shared" si="40"/>
        <v>1681.1912803220537</v>
      </c>
      <c r="BT28">
        <f t="shared" si="41"/>
        <v>0.84059835176861186</v>
      </c>
      <c r="BU28">
        <f t="shared" si="42"/>
        <v>0.19119670353722401</v>
      </c>
      <c r="BV28">
        <v>0.5</v>
      </c>
      <c r="BW28" t="s">
        <v>281</v>
      </c>
      <c r="BX28">
        <v>1597516830.5</v>
      </c>
      <c r="BY28">
        <v>976.37903225806497</v>
      </c>
      <c r="BZ28">
        <v>1000.01058064516</v>
      </c>
      <c r="CA28">
        <v>19.592283870967702</v>
      </c>
      <c r="CB28">
        <v>17.556554838709701</v>
      </c>
      <c r="CC28">
        <v>500.05561290322601</v>
      </c>
      <c r="CD28">
        <v>99.001370967741906</v>
      </c>
      <c r="CE28">
        <v>0.199962741935484</v>
      </c>
      <c r="CF28">
        <v>26.900329032258099</v>
      </c>
      <c r="CG28">
        <v>27.664396774193499</v>
      </c>
      <c r="CH28">
        <v>999.9</v>
      </c>
      <c r="CI28">
        <v>10005.9290322581</v>
      </c>
      <c r="CJ28">
        <v>0</v>
      </c>
      <c r="CK28">
        <v>295.51590322580603</v>
      </c>
      <c r="CL28">
        <v>1999.9935483871</v>
      </c>
      <c r="CM28">
        <v>0.98000529032257999</v>
      </c>
      <c r="CN28">
        <v>1.9994758064516099E-2</v>
      </c>
      <c r="CO28">
        <v>0</v>
      </c>
      <c r="CP28">
        <v>273.747903225806</v>
      </c>
      <c r="CQ28">
        <v>5.00054</v>
      </c>
      <c r="CR28">
        <v>8322.5696774193493</v>
      </c>
      <c r="CS28">
        <v>18703.606451612901</v>
      </c>
      <c r="CT28">
        <v>51.263838709677401</v>
      </c>
      <c r="CU28">
        <v>53.753999999999998</v>
      </c>
      <c r="CV28">
        <v>51.927129032258101</v>
      </c>
      <c r="CW28">
        <v>52.407129032258098</v>
      </c>
      <c r="CX28">
        <v>52.515870967741897</v>
      </c>
      <c r="CY28">
        <v>1955.1035483871001</v>
      </c>
      <c r="CZ28">
        <v>39.89</v>
      </c>
      <c r="DA28">
        <v>0</v>
      </c>
      <c r="DB28">
        <v>122.5</v>
      </c>
      <c r="DC28">
        <v>273.74480769230797</v>
      </c>
      <c r="DD28">
        <v>-4.0286837545799701</v>
      </c>
      <c r="DE28">
        <v>-23.451623925458001</v>
      </c>
      <c r="DF28">
        <v>8322.4192307692301</v>
      </c>
      <c r="DG28">
        <v>15</v>
      </c>
      <c r="DH28">
        <v>1597516868.5</v>
      </c>
      <c r="DI28" t="s">
        <v>343</v>
      </c>
      <c r="DJ28">
        <v>88</v>
      </c>
      <c r="DK28">
        <v>-2.9000000000000001E-2</v>
      </c>
      <c r="DL28">
        <v>0.11899999999999999</v>
      </c>
      <c r="DM28">
        <v>1000</v>
      </c>
      <c r="DN28">
        <v>18</v>
      </c>
      <c r="DO28">
        <v>0.31</v>
      </c>
      <c r="DP28">
        <v>0.04</v>
      </c>
      <c r="DQ28">
        <v>976.08529629629595</v>
      </c>
      <c r="DR28">
        <v>0.29358033161805802</v>
      </c>
      <c r="DS28">
        <v>6.2135344992950398E-2</v>
      </c>
      <c r="DT28">
        <v>1</v>
      </c>
      <c r="DU28">
        <v>19.592609259259302</v>
      </c>
      <c r="DV28">
        <v>-1.74559176672224E-2</v>
      </c>
      <c r="DW28">
        <v>5.1855664542365901E-3</v>
      </c>
      <c r="DX28">
        <v>1</v>
      </c>
      <c r="DY28">
        <v>2</v>
      </c>
      <c r="DZ28">
        <v>2</v>
      </c>
      <c r="EA28" t="s">
        <v>283</v>
      </c>
      <c r="EB28">
        <v>1.8666100000000001</v>
      </c>
      <c r="EC28">
        <v>1.8631200000000001</v>
      </c>
      <c r="ED28">
        <v>1.8687400000000001</v>
      </c>
      <c r="EE28">
        <v>1.86673</v>
      </c>
      <c r="EF28">
        <v>1.87141</v>
      </c>
      <c r="EG28">
        <v>1.8638600000000001</v>
      </c>
      <c r="EH28">
        <v>1.8653900000000001</v>
      </c>
      <c r="EI28">
        <v>1.8653299999999999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-2.9000000000000001E-2</v>
      </c>
      <c r="EX28">
        <v>0.11899999999999999</v>
      </c>
      <c r="EY28">
        <v>2</v>
      </c>
      <c r="EZ28">
        <v>328.92399999999998</v>
      </c>
      <c r="FA28">
        <v>457.78199999999998</v>
      </c>
      <c r="FB28">
        <v>20.8963</v>
      </c>
      <c r="FC28">
        <v>36.664400000000001</v>
      </c>
      <c r="FD28">
        <v>30.0002</v>
      </c>
      <c r="FE28">
        <v>36.591200000000001</v>
      </c>
      <c r="FF28">
        <v>36.580300000000001</v>
      </c>
      <c r="FG28">
        <v>46.07</v>
      </c>
      <c r="FH28">
        <v>54.798099999999998</v>
      </c>
      <c r="FI28">
        <v>0</v>
      </c>
      <c r="FJ28">
        <v>17.47</v>
      </c>
      <c r="FK28">
        <v>1000</v>
      </c>
      <c r="FL28">
        <v>17.686599999999999</v>
      </c>
      <c r="FM28">
        <v>100.175</v>
      </c>
      <c r="FN28">
        <v>100.74</v>
      </c>
    </row>
    <row r="29" spans="1:170" x14ac:dyDescent="0.25">
      <c r="A29">
        <v>13</v>
      </c>
      <c r="B29">
        <v>1597516960.0999999</v>
      </c>
      <c r="C29">
        <v>1525.6999998092699</v>
      </c>
      <c r="D29" t="s">
        <v>344</v>
      </c>
      <c r="E29" t="s">
        <v>345</v>
      </c>
      <c r="G29">
        <v>1597516952.0999999</v>
      </c>
      <c r="H29">
        <f t="shared" si="0"/>
        <v>4.7320204836708343E-3</v>
      </c>
      <c r="I29">
        <f t="shared" si="1"/>
        <v>54.771078909625679</v>
      </c>
      <c r="J29">
        <f t="shared" si="2"/>
        <v>1175.8061290322601</v>
      </c>
      <c r="K29">
        <f t="shared" si="3"/>
        <v>809.34214001464056</v>
      </c>
      <c r="L29">
        <f t="shared" si="4"/>
        <v>80.291164101374093</v>
      </c>
      <c r="M29">
        <f t="shared" si="5"/>
        <v>116.6463948804431</v>
      </c>
      <c r="N29">
        <f t="shared" si="6"/>
        <v>0.26947540084653576</v>
      </c>
      <c r="O29">
        <f t="shared" si="7"/>
        <v>3.3740151719347011</v>
      </c>
      <c r="P29">
        <f t="shared" si="8"/>
        <v>0.25806408216051679</v>
      </c>
      <c r="Q29">
        <f t="shared" si="9"/>
        <v>0.16227504428243641</v>
      </c>
      <c r="R29">
        <f t="shared" si="10"/>
        <v>321.43817932946092</v>
      </c>
      <c r="S29">
        <f t="shared" si="11"/>
        <v>27.444562473301261</v>
      </c>
      <c r="T29">
        <f t="shared" si="12"/>
        <v>27.660177419354799</v>
      </c>
      <c r="U29">
        <f t="shared" si="13"/>
        <v>3.7203085734219341</v>
      </c>
      <c r="V29">
        <f t="shared" si="14"/>
        <v>55.017065258838571</v>
      </c>
      <c r="W29">
        <f t="shared" si="15"/>
        <v>1.953233377534237</v>
      </c>
      <c r="X29">
        <f t="shared" si="16"/>
        <v>3.5502318568699867</v>
      </c>
      <c r="Y29">
        <f t="shared" si="17"/>
        <v>1.7670751958876971</v>
      </c>
      <c r="Z29">
        <f t="shared" si="18"/>
        <v>-208.6821033298838</v>
      </c>
      <c r="AA29">
        <f t="shared" si="19"/>
        <v>-145.20658750212291</v>
      </c>
      <c r="AB29">
        <f t="shared" si="20"/>
        <v>-9.3121124387490504</v>
      </c>
      <c r="AC29">
        <f t="shared" si="21"/>
        <v>-41.762623941294862</v>
      </c>
      <c r="AD29">
        <v>-4.1045629167379798E-2</v>
      </c>
      <c r="AE29">
        <v>4.6077314534989901E-2</v>
      </c>
      <c r="AF29">
        <v>3.4460430595342402</v>
      </c>
      <c r="AG29">
        <v>155</v>
      </c>
      <c r="AH29">
        <v>31</v>
      </c>
      <c r="AI29">
        <f t="shared" si="22"/>
        <v>1</v>
      </c>
      <c r="AJ29">
        <f t="shared" si="23"/>
        <v>0</v>
      </c>
      <c r="AK29">
        <f t="shared" si="24"/>
        <v>52364.270400873087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270.96773076923103</v>
      </c>
      <c r="AT29">
        <v>412.24299999999999</v>
      </c>
      <c r="AU29">
        <f t="shared" si="27"/>
        <v>0.34269901303544015</v>
      </c>
      <c r="AV29">
        <v>0.5</v>
      </c>
      <c r="AW29">
        <f t="shared" si="28"/>
        <v>1681.1910093543079</v>
      </c>
      <c r="AX29">
        <f t="shared" si="29"/>
        <v>54.771078909625679</v>
      </c>
      <c r="AY29">
        <f t="shared" si="30"/>
        <v>288.07124981488835</v>
      </c>
      <c r="AZ29">
        <f t="shared" si="31"/>
        <v>0.56850692431405747</v>
      </c>
      <c r="BA29">
        <f t="shared" si="32"/>
        <v>3.3173552915349923E-2</v>
      </c>
      <c r="BB29">
        <f t="shared" si="33"/>
        <v>-1</v>
      </c>
      <c r="BC29" t="s">
        <v>347</v>
      </c>
      <c r="BD29">
        <v>177.88</v>
      </c>
      <c r="BE29">
        <f t="shared" si="34"/>
        <v>234.363</v>
      </c>
      <c r="BF29">
        <f t="shared" si="35"/>
        <v>0.60280534568498001</v>
      </c>
      <c r="BG29">
        <f t="shared" si="36"/>
        <v>2.3175342927816507</v>
      </c>
      <c r="BH29">
        <f t="shared" si="37"/>
        <v>0.3426990130354402</v>
      </c>
      <c r="BI29" t="e">
        <f t="shared" si="38"/>
        <v>#DIV/0!</v>
      </c>
      <c r="BJ29">
        <v>6260</v>
      </c>
      <c r="BK29">
        <v>300</v>
      </c>
      <c r="BL29">
        <v>300</v>
      </c>
      <c r="BM29">
        <v>300</v>
      </c>
      <c r="BN29">
        <v>9859.76</v>
      </c>
      <c r="BO29">
        <v>373.67599999999999</v>
      </c>
      <c r="BP29">
        <v>-6.5562700000000003E-3</v>
      </c>
      <c r="BQ29">
        <v>2.14337</v>
      </c>
      <c r="BR29">
        <f t="shared" si="39"/>
        <v>1999.99322580645</v>
      </c>
      <c r="BS29">
        <f t="shared" si="40"/>
        <v>1681.1910093543079</v>
      </c>
      <c r="BT29">
        <f t="shared" si="41"/>
        <v>0.84059835186512055</v>
      </c>
      <c r="BU29">
        <f t="shared" si="42"/>
        <v>0.19119670373024131</v>
      </c>
      <c r="BV29">
        <v>0.5</v>
      </c>
      <c r="BW29" t="s">
        <v>281</v>
      </c>
      <c r="BX29">
        <v>1597516952.0999999</v>
      </c>
      <c r="BY29">
        <v>1175.8061290322601</v>
      </c>
      <c r="BZ29">
        <v>1199.9374193548399</v>
      </c>
      <c r="CA29">
        <v>19.6887677419355</v>
      </c>
      <c r="CB29">
        <v>17.833435483871</v>
      </c>
      <c r="CC29">
        <v>500.05629032258099</v>
      </c>
      <c r="CD29">
        <v>99.005496774193603</v>
      </c>
      <c r="CE29">
        <v>0.19996916129032299</v>
      </c>
      <c r="CF29">
        <v>26.861899999999999</v>
      </c>
      <c r="CG29">
        <v>27.660177419354799</v>
      </c>
      <c r="CH29">
        <v>999.9</v>
      </c>
      <c r="CI29">
        <v>9997.7812903225804</v>
      </c>
      <c r="CJ29">
        <v>0</v>
      </c>
      <c r="CK29">
        <v>293.03496774193599</v>
      </c>
      <c r="CL29">
        <v>1999.99322580645</v>
      </c>
      <c r="CM29">
        <v>0.98000509677419301</v>
      </c>
      <c r="CN29">
        <v>1.99949193548387E-2</v>
      </c>
      <c r="CO29">
        <v>0</v>
      </c>
      <c r="CP29">
        <v>270.99554838709702</v>
      </c>
      <c r="CQ29">
        <v>5.00054</v>
      </c>
      <c r="CR29">
        <v>8240.9512903225805</v>
      </c>
      <c r="CS29">
        <v>18703.5903225806</v>
      </c>
      <c r="CT29">
        <v>51.199258064516101</v>
      </c>
      <c r="CU29">
        <v>53.723580645161299</v>
      </c>
      <c r="CV29">
        <v>51.887</v>
      </c>
      <c r="CW29">
        <v>52.340451612903202</v>
      </c>
      <c r="CX29">
        <v>52.477645161290297</v>
      </c>
      <c r="CY29">
        <v>1955.1032258064499</v>
      </c>
      <c r="CZ29">
        <v>39.89</v>
      </c>
      <c r="DA29">
        <v>0</v>
      </c>
      <c r="DB29">
        <v>120.799999952316</v>
      </c>
      <c r="DC29">
        <v>270.96773076923103</v>
      </c>
      <c r="DD29">
        <v>0.11223931994087499</v>
      </c>
      <c r="DE29">
        <v>-89.494017253783696</v>
      </c>
      <c r="DF29">
        <v>8240.4030769230794</v>
      </c>
      <c r="DG29">
        <v>15</v>
      </c>
      <c r="DH29">
        <v>1597516987.5999999</v>
      </c>
      <c r="DI29" t="s">
        <v>348</v>
      </c>
      <c r="DJ29">
        <v>89</v>
      </c>
      <c r="DK29">
        <v>-7.9000000000000001E-2</v>
      </c>
      <c r="DL29">
        <v>0.123</v>
      </c>
      <c r="DM29">
        <v>1201</v>
      </c>
      <c r="DN29">
        <v>18</v>
      </c>
      <c r="DO29">
        <v>0.12</v>
      </c>
      <c r="DP29">
        <v>0.05</v>
      </c>
      <c r="DQ29">
        <v>1175.87574074074</v>
      </c>
      <c r="DR29">
        <v>-0.13141223556315501</v>
      </c>
      <c r="DS29">
        <v>8.0129567573123894E-2</v>
      </c>
      <c r="DT29">
        <v>1</v>
      </c>
      <c r="DU29">
        <v>19.6920685185185</v>
      </c>
      <c r="DV29">
        <v>-6.9332875929103005E-2</v>
      </c>
      <c r="DW29">
        <v>9.0487327550259605E-3</v>
      </c>
      <c r="DX29">
        <v>1</v>
      </c>
      <c r="DY29">
        <v>2</v>
      </c>
      <c r="DZ29">
        <v>2</v>
      </c>
      <c r="EA29" t="s">
        <v>283</v>
      </c>
      <c r="EB29">
        <v>1.8666100000000001</v>
      </c>
      <c r="EC29">
        <v>1.8631</v>
      </c>
      <c r="ED29">
        <v>1.8687400000000001</v>
      </c>
      <c r="EE29">
        <v>1.8667499999999999</v>
      </c>
      <c r="EF29">
        <v>1.8714500000000001</v>
      </c>
      <c r="EG29">
        <v>1.8638600000000001</v>
      </c>
      <c r="EH29">
        <v>1.8653900000000001</v>
      </c>
      <c r="EI29">
        <v>1.86527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-7.9000000000000001E-2</v>
      </c>
      <c r="EX29">
        <v>0.123</v>
      </c>
      <c r="EY29">
        <v>2</v>
      </c>
      <c r="EZ29">
        <v>329.07900000000001</v>
      </c>
      <c r="FA29">
        <v>458.09199999999998</v>
      </c>
      <c r="FB29">
        <v>20.8629</v>
      </c>
      <c r="FC29">
        <v>36.689700000000002</v>
      </c>
      <c r="FD29">
        <v>30.0001</v>
      </c>
      <c r="FE29">
        <v>36.615200000000002</v>
      </c>
      <c r="FF29">
        <v>36.604100000000003</v>
      </c>
      <c r="FG29">
        <v>53.364600000000003</v>
      </c>
      <c r="FH29">
        <v>54.588500000000003</v>
      </c>
      <c r="FI29">
        <v>0</v>
      </c>
      <c r="FJ29">
        <v>17.5428</v>
      </c>
      <c r="FK29">
        <v>1200</v>
      </c>
      <c r="FL29">
        <v>17.870100000000001</v>
      </c>
      <c r="FM29">
        <v>100.173</v>
      </c>
      <c r="FN29">
        <v>100.736</v>
      </c>
    </row>
    <row r="30" spans="1:170" x14ac:dyDescent="0.25">
      <c r="A30">
        <v>14</v>
      </c>
      <c r="B30">
        <v>1597517098.5999999</v>
      </c>
      <c r="C30">
        <v>1664.1999998092699</v>
      </c>
      <c r="D30" t="s">
        <v>349</v>
      </c>
      <c r="E30" t="s">
        <v>350</v>
      </c>
      <c r="G30">
        <v>1597517090.6064501</v>
      </c>
      <c r="H30">
        <f t="shared" si="0"/>
        <v>4.3578386107449539E-3</v>
      </c>
      <c r="I30">
        <f t="shared" si="1"/>
        <v>54.486046576578786</v>
      </c>
      <c r="J30">
        <f t="shared" si="2"/>
        <v>1575.4447741935501</v>
      </c>
      <c r="K30">
        <f t="shared" si="3"/>
        <v>1169.3560370332114</v>
      </c>
      <c r="L30">
        <f t="shared" si="4"/>
        <v>116.01082742134889</v>
      </c>
      <c r="M30">
        <f t="shared" si="5"/>
        <v>156.29854896421338</v>
      </c>
      <c r="N30">
        <f t="shared" si="6"/>
        <v>0.24649597234498188</v>
      </c>
      <c r="O30">
        <f t="shared" si="7"/>
        <v>3.3747123933707774</v>
      </c>
      <c r="P30">
        <f t="shared" si="8"/>
        <v>0.23691254328067787</v>
      </c>
      <c r="Q30">
        <f t="shared" si="9"/>
        <v>0.14890032773720668</v>
      </c>
      <c r="R30">
        <f t="shared" si="10"/>
        <v>321.44254307124561</v>
      </c>
      <c r="S30">
        <f t="shared" si="11"/>
        <v>27.343587473546339</v>
      </c>
      <c r="T30">
        <f t="shared" si="12"/>
        <v>27.5946161290323</v>
      </c>
      <c r="U30">
        <f t="shared" si="13"/>
        <v>3.7060773726414427</v>
      </c>
      <c r="V30">
        <f t="shared" si="14"/>
        <v>55.048613486538834</v>
      </c>
      <c r="W30">
        <f t="shared" si="15"/>
        <v>1.9330590738209654</v>
      </c>
      <c r="X30">
        <f t="shared" si="16"/>
        <v>3.5115490679772723</v>
      </c>
      <c r="Y30">
        <f t="shared" si="17"/>
        <v>1.7730182988204772</v>
      </c>
      <c r="Z30">
        <f t="shared" si="18"/>
        <v>-192.18068273385248</v>
      </c>
      <c r="AA30">
        <f t="shared" si="19"/>
        <v>-167.18764579958605</v>
      </c>
      <c r="AB30">
        <f t="shared" si="20"/>
        <v>-10.70607372171097</v>
      </c>
      <c r="AC30">
        <f t="shared" si="21"/>
        <v>-48.631859183903913</v>
      </c>
      <c r="AD30">
        <v>-4.1056400665980201E-2</v>
      </c>
      <c r="AE30">
        <v>4.6089406485804001E-2</v>
      </c>
      <c r="AF30">
        <v>3.4467591830630901</v>
      </c>
      <c r="AG30">
        <v>154</v>
      </c>
      <c r="AH30">
        <v>31</v>
      </c>
      <c r="AI30">
        <f t="shared" si="22"/>
        <v>1</v>
      </c>
      <c r="AJ30">
        <f t="shared" si="23"/>
        <v>0</v>
      </c>
      <c r="AK30">
        <f t="shared" si="24"/>
        <v>52410.076665609624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269.19088461538502</v>
      </c>
      <c r="AT30">
        <v>395.98399999999998</v>
      </c>
      <c r="AU30">
        <f t="shared" si="27"/>
        <v>0.32019757208527355</v>
      </c>
      <c r="AV30">
        <v>0.5</v>
      </c>
      <c r="AW30">
        <f t="shared" si="28"/>
        <v>1681.2135480639779</v>
      </c>
      <c r="AX30">
        <f t="shared" si="29"/>
        <v>54.486046576578786</v>
      </c>
      <c r="AY30">
        <f t="shared" si="30"/>
        <v>269.16024812347706</v>
      </c>
      <c r="AZ30">
        <f t="shared" si="31"/>
        <v>0.55584064002585964</v>
      </c>
      <c r="BA30">
        <f t="shared" si="32"/>
        <v>3.3003568547537832E-2</v>
      </c>
      <c r="BB30">
        <f t="shared" si="33"/>
        <v>-1</v>
      </c>
      <c r="BC30" t="s">
        <v>352</v>
      </c>
      <c r="BD30">
        <v>175.88</v>
      </c>
      <c r="BE30">
        <f t="shared" si="34"/>
        <v>220.10399999999998</v>
      </c>
      <c r="BF30">
        <f t="shared" si="35"/>
        <v>0.57606002337356421</v>
      </c>
      <c r="BG30">
        <f t="shared" si="36"/>
        <v>2.2514441664771434</v>
      </c>
      <c r="BH30">
        <f t="shared" si="37"/>
        <v>0.32019757208527355</v>
      </c>
      <c r="BI30" t="e">
        <f t="shared" si="38"/>
        <v>#DIV/0!</v>
      </c>
      <c r="BJ30">
        <v>6262</v>
      </c>
      <c r="BK30">
        <v>300</v>
      </c>
      <c r="BL30">
        <v>300</v>
      </c>
      <c r="BM30">
        <v>300</v>
      </c>
      <c r="BN30">
        <v>9860.58</v>
      </c>
      <c r="BO30">
        <v>360.46</v>
      </c>
      <c r="BP30">
        <v>-6.55691E-3</v>
      </c>
      <c r="BQ30">
        <v>1.2836000000000001</v>
      </c>
      <c r="BR30">
        <f t="shared" si="39"/>
        <v>2000.02</v>
      </c>
      <c r="BS30">
        <f t="shared" si="40"/>
        <v>1681.2135480639779</v>
      </c>
      <c r="BT30">
        <f t="shared" si="41"/>
        <v>0.84059836804830845</v>
      </c>
      <c r="BU30">
        <f t="shared" si="42"/>
        <v>0.19119673609661705</v>
      </c>
      <c r="BV30">
        <v>0.5</v>
      </c>
      <c r="BW30" t="s">
        <v>281</v>
      </c>
      <c r="BX30">
        <v>1597517090.6064501</v>
      </c>
      <c r="BY30">
        <v>1575.4447741935501</v>
      </c>
      <c r="BZ30">
        <v>1599.9825806451599</v>
      </c>
      <c r="CA30">
        <v>19.4846838709677</v>
      </c>
      <c r="CB30">
        <v>17.7757096774194</v>
      </c>
      <c r="CC30">
        <v>500.05758064516101</v>
      </c>
      <c r="CD30">
        <v>99.009170967741895</v>
      </c>
      <c r="CE30">
        <v>0.199986677419355</v>
      </c>
      <c r="CF30">
        <v>26.675687096774201</v>
      </c>
      <c r="CG30">
        <v>27.5946161290323</v>
      </c>
      <c r="CH30">
        <v>999.9</v>
      </c>
      <c r="CI30">
        <v>10000.0338709677</v>
      </c>
      <c r="CJ30">
        <v>0</v>
      </c>
      <c r="CK30">
        <v>282.98393548387099</v>
      </c>
      <c r="CL30">
        <v>2000.02</v>
      </c>
      <c r="CM30">
        <v>0.98000325806451605</v>
      </c>
      <c r="CN30">
        <v>1.9996509677419401E-2</v>
      </c>
      <c r="CO30">
        <v>0</v>
      </c>
      <c r="CP30">
        <v>269.18451612903198</v>
      </c>
      <c r="CQ30">
        <v>5.00054</v>
      </c>
      <c r="CR30">
        <v>8160.0322580645197</v>
      </c>
      <c r="CS30">
        <v>18703.848387096801</v>
      </c>
      <c r="CT30">
        <v>51.031999999999996</v>
      </c>
      <c r="CU30">
        <v>53.517935483871</v>
      </c>
      <c r="CV30">
        <v>51.733741935483899</v>
      </c>
      <c r="CW30">
        <v>52.112741935483903</v>
      </c>
      <c r="CX30">
        <v>52.298000000000002</v>
      </c>
      <c r="CY30">
        <v>1955.12838709677</v>
      </c>
      <c r="CZ30">
        <v>39.891612903225798</v>
      </c>
      <c r="DA30">
        <v>0</v>
      </c>
      <c r="DB30">
        <v>138.200000047684</v>
      </c>
      <c r="DC30">
        <v>269.19088461538502</v>
      </c>
      <c r="DD30">
        <v>-1.0794871755345501</v>
      </c>
      <c r="DE30">
        <v>-88.154872243524096</v>
      </c>
      <c r="DF30">
        <v>8160.4226923076903</v>
      </c>
      <c r="DG30">
        <v>15</v>
      </c>
      <c r="DH30">
        <v>1597517139.0999999</v>
      </c>
      <c r="DI30" t="s">
        <v>353</v>
      </c>
      <c r="DJ30">
        <v>90</v>
      </c>
      <c r="DK30">
        <v>-0.311</v>
      </c>
      <c r="DL30">
        <v>0.123</v>
      </c>
      <c r="DM30">
        <v>1600</v>
      </c>
      <c r="DN30">
        <v>18</v>
      </c>
      <c r="DO30">
        <v>0.25</v>
      </c>
      <c r="DP30">
        <v>0.06</v>
      </c>
      <c r="DQ30">
        <v>1575.6627777777801</v>
      </c>
      <c r="DR30">
        <v>0.14026063192698901</v>
      </c>
      <c r="DS30">
        <v>4.8816233891614103E-2</v>
      </c>
      <c r="DT30">
        <v>1</v>
      </c>
      <c r="DU30">
        <v>19.504999999999999</v>
      </c>
      <c r="DV30">
        <v>-0.195468397678637</v>
      </c>
      <c r="DW30">
        <v>2.5918833421393301E-2</v>
      </c>
      <c r="DX30">
        <v>1</v>
      </c>
      <c r="DY30">
        <v>2</v>
      </c>
      <c r="DZ30">
        <v>2</v>
      </c>
      <c r="EA30" t="s">
        <v>283</v>
      </c>
      <c r="EB30">
        <v>1.8666100000000001</v>
      </c>
      <c r="EC30">
        <v>1.86311</v>
      </c>
      <c r="ED30">
        <v>1.8687400000000001</v>
      </c>
      <c r="EE30">
        <v>1.86673</v>
      </c>
      <c r="EF30">
        <v>1.87141</v>
      </c>
      <c r="EG30">
        <v>1.8638600000000001</v>
      </c>
      <c r="EH30">
        <v>1.8653900000000001</v>
      </c>
      <c r="EI30">
        <v>1.8652899999999999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-0.311</v>
      </c>
      <c r="EX30">
        <v>0.123</v>
      </c>
      <c r="EY30">
        <v>2</v>
      </c>
      <c r="EZ30">
        <v>329.93099999999998</v>
      </c>
      <c r="FA30">
        <v>459.2</v>
      </c>
      <c r="FB30">
        <v>20.684899999999999</v>
      </c>
      <c r="FC30">
        <v>36.627299999999998</v>
      </c>
      <c r="FD30">
        <v>29.9998</v>
      </c>
      <c r="FE30">
        <v>36.581000000000003</v>
      </c>
      <c r="FF30">
        <v>36.5702</v>
      </c>
      <c r="FG30">
        <v>67.076700000000002</v>
      </c>
      <c r="FH30">
        <v>54.863399999999999</v>
      </c>
      <c r="FI30">
        <v>0</v>
      </c>
      <c r="FJ30">
        <v>17.386299999999999</v>
      </c>
      <c r="FK30">
        <v>1600</v>
      </c>
      <c r="FL30">
        <v>17.840199999999999</v>
      </c>
      <c r="FM30">
        <v>100.18600000000001</v>
      </c>
      <c r="FN30">
        <v>100.756</v>
      </c>
    </row>
    <row r="31" spans="1:170" x14ac:dyDescent="0.25">
      <c r="A31">
        <v>15</v>
      </c>
      <c r="B31">
        <v>1597517233.0999999</v>
      </c>
      <c r="C31">
        <v>1798.6999998092699</v>
      </c>
      <c r="D31" t="s">
        <v>354</v>
      </c>
      <c r="E31" t="s">
        <v>355</v>
      </c>
      <c r="G31">
        <v>1597517225.0999999</v>
      </c>
      <c r="H31">
        <f t="shared" si="0"/>
        <v>3.8632601093706266E-3</v>
      </c>
      <c r="I31">
        <f t="shared" si="1"/>
        <v>54.866368277325975</v>
      </c>
      <c r="J31">
        <f t="shared" si="2"/>
        <v>1775.23451612903</v>
      </c>
      <c r="K31">
        <f t="shared" si="3"/>
        <v>1307.2043727992127</v>
      </c>
      <c r="L31">
        <f t="shared" si="4"/>
        <v>129.68035645209778</v>
      </c>
      <c r="M31">
        <f t="shared" si="5"/>
        <v>176.11098128803519</v>
      </c>
      <c r="N31">
        <f t="shared" si="6"/>
        <v>0.21418228947483439</v>
      </c>
      <c r="O31">
        <f t="shared" si="7"/>
        <v>3.3747776278880193</v>
      </c>
      <c r="P31">
        <f t="shared" si="8"/>
        <v>0.20690703636343391</v>
      </c>
      <c r="Q31">
        <f t="shared" si="9"/>
        <v>0.12994996314596513</v>
      </c>
      <c r="R31">
        <f t="shared" si="10"/>
        <v>321.43838730800036</v>
      </c>
      <c r="S31">
        <f t="shared" si="11"/>
        <v>27.437132679455146</v>
      </c>
      <c r="T31">
        <f t="shared" si="12"/>
        <v>27.674003225806398</v>
      </c>
      <c r="U31">
        <f t="shared" si="13"/>
        <v>3.7233157824016834</v>
      </c>
      <c r="V31">
        <f t="shared" si="14"/>
        <v>54.845056412458483</v>
      </c>
      <c r="W31">
        <f t="shared" si="15"/>
        <v>1.9237434995853169</v>
      </c>
      <c r="X31">
        <f t="shared" si="16"/>
        <v>3.5075969019302957</v>
      </c>
      <c r="Y31">
        <f t="shared" si="17"/>
        <v>1.7995722828163665</v>
      </c>
      <c r="Z31">
        <f t="shared" si="18"/>
        <v>-170.36977082324464</v>
      </c>
      <c r="AA31">
        <f t="shared" si="19"/>
        <v>-185.1144148586977</v>
      </c>
      <c r="AB31">
        <f t="shared" si="20"/>
        <v>-11.857384709113841</v>
      </c>
      <c r="AC31">
        <f t="shared" si="21"/>
        <v>-45.903183083055808</v>
      </c>
      <c r="AD31">
        <v>-4.10574085365479E-2</v>
      </c>
      <c r="AE31">
        <v>4.60905379088105E-2</v>
      </c>
      <c r="AF31">
        <v>3.4468261862165899</v>
      </c>
      <c r="AG31">
        <v>154</v>
      </c>
      <c r="AH31">
        <v>31</v>
      </c>
      <c r="AI31">
        <f t="shared" si="22"/>
        <v>1</v>
      </c>
      <c r="AJ31">
        <f t="shared" si="23"/>
        <v>0</v>
      </c>
      <c r="AK31">
        <f t="shared" si="24"/>
        <v>52414.55202558617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356</v>
      </c>
      <c r="AS31">
        <v>267.133115384615</v>
      </c>
      <c r="AT31">
        <v>386.00799999999998</v>
      </c>
      <c r="AU31">
        <f t="shared" si="27"/>
        <v>0.30795963973644325</v>
      </c>
      <c r="AV31">
        <v>0.5</v>
      </c>
      <c r="AW31">
        <f t="shared" si="28"/>
        <v>1681.1908769590295</v>
      </c>
      <c r="AX31">
        <f t="shared" si="29"/>
        <v>54.866368277325975</v>
      </c>
      <c r="AY31">
        <f t="shared" si="30"/>
        <v>258.8694683982489</v>
      </c>
      <c r="AZ31">
        <f t="shared" si="31"/>
        <v>0.54348096412509583</v>
      </c>
      <c r="BA31">
        <f t="shared" si="32"/>
        <v>3.3230235211826831E-2</v>
      </c>
      <c r="BB31">
        <f t="shared" si="33"/>
        <v>-1</v>
      </c>
      <c r="BC31" t="s">
        <v>357</v>
      </c>
      <c r="BD31">
        <v>176.22</v>
      </c>
      <c r="BE31">
        <f t="shared" si="34"/>
        <v>209.78799999999998</v>
      </c>
      <c r="BF31">
        <f t="shared" si="35"/>
        <v>0.56664291863874483</v>
      </c>
      <c r="BG31">
        <f t="shared" si="36"/>
        <v>2.1904891612756781</v>
      </c>
      <c r="BH31">
        <f t="shared" si="37"/>
        <v>0.30795963973644325</v>
      </c>
      <c r="BI31" t="e">
        <f t="shared" si="38"/>
        <v>#DIV/0!</v>
      </c>
      <c r="BJ31">
        <v>6264</v>
      </c>
      <c r="BK31">
        <v>300</v>
      </c>
      <c r="BL31">
        <v>300</v>
      </c>
      <c r="BM31">
        <v>300</v>
      </c>
      <c r="BN31">
        <v>9861.1</v>
      </c>
      <c r="BO31">
        <v>355.09500000000003</v>
      </c>
      <c r="BP31">
        <v>-6.55734E-3</v>
      </c>
      <c r="BQ31">
        <v>1.97458</v>
      </c>
      <c r="BR31">
        <f t="shared" si="39"/>
        <v>1999.9929032258101</v>
      </c>
      <c r="BS31">
        <f t="shared" si="40"/>
        <v>1681.1908769590295</v>
      </c>
      <c r="BT31">
        <f t="shared" si="41"/>
        <v>0.8405984212481048</v>
      </c>
      <c r="BU31">
        <f t="shared" si="42"/>
        <v>0.19119684249620977</v>
      </c>
      <c r="BV31">
        <v>0.5</v>
      </c>
      <c r="BW31" t="s">
        <v>281</v>
      </c>
      <c r="BX31">
        <v>1597517225.0999999</v>
      </c>
      <c r="BY31">
        <v>1775.23451612903</v>
      </c>
      <c r="BZ31">
        <v>1799.9219354838699</v>
      </c>
      <c r="CA31">
        <v>19.3917258064516</v>
      </c>
      <c r="CB31">
        <v>17.876535483870999</v>
      </c>
      <c r="CC31">
        <v>500.04870967741903</v>
      </c>
      <c r="CD31">
        <v>99.004374193548401</v>
      </c>
      <c r="CE31">
        <v>0.19997300000000001</v>
      </c>
      <c r="CF31">
        <v>26.6565612903226</v>
      </c>
      <c r="CG31">
        <v>27.674003225806398</v>
      </c>
      <c r="CH31">
        <v>999.9</v>
      </c>
      <c r="CI31">
        <v>10000.763870967699</v>
      </c>
      <c r="CJ31">
        <v>0</v>
      </c>
      <c r="CK31">
        <v>303.95361290322597</v>
      </c>
      <c r="CL31">
        <v>1999.9929032258101</v>
      </c>
      <c r="CM31">
        <v>0.98000209677419303</v>
      </c>
      <c r="CN31">
        <v>1.9997516129032299E-2</v>
      </c>
      <c r="CO31">
        <v>0</v>
      </c>
      <c r="CP31">
        <v>267.132322580645</v>
      </c>
      <c r="CQ31">
        <v>5.00054</v>
      </c>
      <c r="CR31">
        <v>8212.7432258064491</v>
      </c>
      <c r="CS31">
        <v>18703.577419354799</v>
      </c>
      <c r="CT31">
        <v>50.913129032258098</v>
      </c>
      <c r="CU31">
        <v>53.302064516129001</v>
      </c>
      <c r="CV31">
        <v>51.574258064516101</v>
      </c>
      <c r="CW31">
        <v>51.963451612903199</v>
      </c>
      <c r="CX31">
        <v>52.1488709677419</v>
      </c>
      <c r="CY31">
        <v>1955.0932258064499</v>
      </c>
      <c r="CZ31">
        <v>39.894516129032297</v>
      </c>
      <c r="DA31">
        <v>0</v>
      </c>
      <c r="DB31">
        <v>133.90000009536701</v>
      </c>
      <c r="DC31">
        <v>267.133115384615</v>
      </c>
      <c r="DD31">
        <v>-1.7681709427894701</v>
      </c>
      <c r="DE31">
        <v>-7.1347008416100097</v>
      </c>
      <c r="DF31">
        <v>8212.79653846154</v>
      </c>
      <c r="DG31">
        <v>15</v>
      </c>
      <c r="DH31">
        <v>1597517260.5999999</v>
      </c>
      <c r="DI31" t="s">
        <v>358</v>
      </c>
      <c r="DJ31">
        <v>91</v>
      </c>
      <c r="DK31">
        <v>-0.161</v>
      </c>
      <c r="DL31">
        <v>0.125</v>
      </c>
      <c r="DM31">
        <v>1799</v>
      </c>
      <c r="DN31">
        <v>18</v>
      </c>
      <c r="DO31">
        <v>0.33</v>
      </c>
      <c r="DP31">
        <v>0.05</v>
      </c>
      <c r="DQ31">
        <v>1775.0762962962999</v>
      </c>
      <c r="DR31">
        <v>0.18872498570622701</v>
      </c>
      <c r="DS31">
        <v>6.6535879941721596E-2</v>
      </c>
      <c r="DT31">
        <v>1</v>
      </c>
      <c r="DU31">
        <v>19.393844444444401</v>
      </c>
      <c r="DV31">
        <v>-4.0854431103484801E-2</v>
      </c>
      <c r="DW31">
        <v>5.3767905429922304E-3</v>
      </c>
      <c r="DX31">
        <v>1</v>
      </c>
      <c r="DY31">
        <v>2</v>
      </c>
      <c r="DZ31">
        <v>2</v>
      </c>
      <c r="EA31" t="s">
        <v>283</v>
      </c>
      <c r="EB31">
        <v>1.8666100000000001</v>
      </c>
      <c r="EC31">
        <v>1.8631</v>
      </c>
      <c r="ED31">
        <v>1.8687400000000001</v>
      </c>
      <c r="EE31">
        <v>1.8667499999999999</v>
      </c>
      <c r="EF31">
        <v>1.8713900000000001</v>
      </c>
      <c r="EG31">
        <v>1.8638600000000001</v>
      </c>
      <c r="EH31">
        <v>1.8653900000000001</v>
      </c>
      <c r="EI31">
        <v>1.8652299999999999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-0.161</v>
      </c>
      <c r="EX31">
        <v>0.125</v>
      </c>
      <c r="EY31">
        <v>2</v>
      </c>
      <c r="EZ31">
        <v>330.16500000000002</v>
      </c>
      <c r="FA31">
        <v>459.76600000000002</v>
      </c>
      <c r="FB31">
        <v>20.644600000000001</v>
      </c>
      <c r="FC31">
        <v>36.548400000000001</v>
      </c>
      <c r="FD31">
        <v>29.9999</v>
      </c>
      <c r="FE31">
        <v>36.5212</v>
      </c>
      <c r="FF31">
        <v>36.515999999999998</v>
      </c>
      <c r="FG31">
        <v>73.530900000000003</v>
      </c>
      <c r="FH31">
        <v>54.561700000000002</v>
      </c>
      <c r="FI31">
        <v>0</v>
      </c>
      <c r="FJ31">
        <v>17.300899999999999</v>
      </c>
      <c r="FK31">
        <v>1800</v>
      </c>
      <c r="FL31">
        <v>17.859000000000002</v>
      </c>
      <c r="FM31">
        <v>100.20099999999999</v>
      </c>
      <c r="FN31">
        <v>100.77200000000001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2020-08-15T13:47:50Z</dcterms:created>
  <dcterms:modified xsi:type="dcterms:W3CDTF">2024-11-20T09:06:07Z</dcterms:modified>
</cp:coreProperties>
</file>