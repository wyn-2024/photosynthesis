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1" i="1" l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I31" i="1"/>
  <c r="I31" i="1" s="1"/>
  <c r="AX31" i="1" s="1"/>
  <c r="X31" i="1"/>
  <c r="W31" i="1"/>
  <c r="V31" i="1"/>
  <c r="O31" i="1"/>
  <c r="BU30" i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W30" i="1"/>
  <c r="V30" i="1"/>
  <c r="O30" i="1"/>
  <c r="I30" i="1"/>
  <c r="AX30" i="1" s="1"/>
  <c r="BU29" i="1"/>
  <c r="BT29" i="1"/>
  <c r="BR29" i="1"/>
  <c r="BS29" i="1" s="1"/>
  <c r="AW29" i="1" s="1"/>
  <c r="BI29" i="1"/>
  <c r="BH29" i="1"/>
  <c r="BG29" i="1"/>
  <c r="BF29" i="1"/>
  <c r="BE29" i="1"/>
  <c r="AZ29" i="1" s="1"/>
  <c r="BB29" i="1"/>
  <c r="AU29" i="1"/>
  <c r="AO29" i="1"/>
  <c r="AP29" i="1" s="1"/>
  <c r="AK29" i="1"/>
  <c r="AI29" i="1"/>
  <c r="J29" i="1" s="1"/>
  <c r="X29" i="1"/>
  <c r="W29" i="1"/>
  <c r="V29" i="1"/>
  <c r="O29" i="1"/>
  <c r="BU28" i="1"/>
  <c r="BT28" i="1"/>
  <c r="BR28" i="1"/>
  <c r="BS28" i="1" s="1"/>
  <c r="R28" i="1" s="1"/>
  <c r="BI28" i="1"/>
  <c r="BH28" i="1"/>
  <c r="BG28" i="1"/>
  <c r="BF28" i="1"/>
  <c r="BE28" i="1"/>
  <c r="BB28" i="1"/>
  <c r="AZ28" i="1"/>
  <c r="AW28" i="1"/>
  <c r="AY28" i="1" s="1"/>
  <c r="AU28" i="1"/>
  <c r="AP28" i="1"/>
  <c r="AO28" i="1"/>
  <c r="AK28" i="1"/>
  <c r="AI28" i="1"/>
  <c r="J28" i="1" s="1"/>
  <c r="X28" i="1"/>
  <c r="W28" i="1"/>
  <c r="V28" i="1" s="1"/>
  <c r="O28" i="1"/>
  <c r="M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 s="1"/>
  <c r="AJ27" i="1"/>
  <c r="X27" i="1"/>
  <c r="W27" i="1"/>
  <c r="V27" i="1"/>
  <c r="O27" i="1"/>
  <c r="BU26" i="1"/>
  <c r="R26" i="1" s="1"/>
  <c r="BT26" i="1"/>
  <c r="BS26" i="1"/>
  <c r="BR26" i="1"/>
  <c r="BI26" i="1"/>
  <c r="BH26" i="1"/>
  <c r="BG26" i="1"/>
  <c r="BF26" i="1"/>
  <c r="BE26" i="1"/>
  <c r="BB26" i="1"/>
  <c r="AZ26" i="1"/>
  <c r="AY26" i="1"/>
  <c r="AW26" i="1"/>
  <c r="AU26" i="1"/>
  <c r="AO26" i="1"/>
  <c r="AP26" i="1" s="1"/>
  <c r="AK26" i="1"/>
  <c r="AI26" i="1"/>
  <c r="I26" i="1" s="1"/>
  <c r="AX26" i="1" s="1"/>
  <c r="BA26" i="1" s="1"/>
  <c r="X26" i="1"/>
  <c r="V26" i="1" s="1"/>
  <c r="W26" i="1"/>
  <c r="O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J24" i="1" s="1"/>
  <c r="X24" i="1"/>
  <c r="W24" i="1"/>
  <c r="V24" i="1"/>
  <c r="O24" i="1"/>
  <c r="BU23" i="1"/>
  <c r="BT23" i="1"/>
  <c r="BR23" i="1"/>
  <c r="BS23" i="1" s="1"/>
  <c r="R23" i="1" s="1"/>
  <c r="BI23" i="1"/>
  <c r="BH23" i="1"/>
  <c r="BG23" i="1"/>
  <c r="BF23" i="1"/>
  <c r="BE23" i="1"/>
  <c r="BB23" i="1"/>
  <c r="AZ23" i="1"/>
  <c r="AU23" i="1"/>
  <c r="AO23" i="1"/>
  <c r="AP23" i="1" s="1"/>
  <c r="AK23" i="1"/>
  <c r="AI23" i="1"/>
  <c r="J23" i="1" s="1"/>
  <c r="X23" i="1"/>
  <c r="W23" i="1"/>
  <c r="V23" i="1"/>
  <c r="O23" i="1"/>
  <c r="M23" i="1"/>
  <c r="BU22" i="1"/>
  <c r="BT22" i="1"/>
  <c r="BR22" i="1"/>
  <c r="BS22" i="1" s="1"/>
  <c r="BI22" i="1"/>
  <c r="BH22" i="1"/>
  <c r="BG22" i="1"/>
  <c r="BF22" i="1"/>
  <c r="BE22" i="1"/>
  <c r="AZ22" i="1" s="1"/>
  <c r="BB22" i="1"/>
  <c r="AU22" i="1"/>
  <c r="AO22" i="1"/>
  <c r="AP22" i="1" s="1"/>
  <c r="AK22" i="1"/>
  <c r="AI22" i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AJ21" i="1" s="1"/>
  <c r="X21" i="1"/>
  <c r="W21" i="1"/>
  <c r="V21" i="1" s="1"/>
  <c r="O21" i="1"/>
  <c r="BU20" i="1"/>
  <c r="BT20" i="1"/>
  <c r="BR20" i="1"/>
  <c r="BS20" i="1" s="1"/>
  <c r="BI20" i="1"/>
  <c r="BH20" i="1"/>
  <c r="BG20" i="1"/>
  <c r="BF20" i="1"/>
  <c r="BE20" i="1"/>
  <c r="AZ20" i="1" s="1"/>
  <c r="BB20" i="1"/>
  <c r="AU20" i="1"/>
  <c r="AO20" i="1"/>
  <c r="AP20" i="1" s="1"/>
  <c r="AK20" i="1"/>
  <c r="AI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M19" i="1" s="1"/>
  <c r="X19" i="1"/>
  <c r="W19" i="1"/>
  <c r="V19" i="1"/>
  <c r="O19" i="1"/>
  <c r="BU18" i="1"/>
  <c r="BT18" i="1"/>
  <c r="BR18" i="1"/>
  <c r="BS18" i="1" s="1"/>
  <c r="R18" i="1" s="1"/>
  <c r="BI18" i="1"/>
  <c r="BH18" i="1"/>
  <c r="BG18" i="1"/>
  <c r="BF18" i="1"/>
  <c r="BE18" i="1"/>
  <c r="BB18" i="1"/>
  <c r="AZ18" i="1"/>
  <c r="AU18" i="1"/>
  <c r="AP18" i="1"/>
  <c r="AO18" i="1"/>
  <c r="AK18" i="1"/>
  <c r="AI18" i="1" s="1"/>
  <c r="X18" i="1"/>
  <c r="W18" i="1"/>
  <c r="V18" i="1"/>
  <c r="O18" i="1"/>
  <c r="J18" i="1"/>
  <c r="BU17" i="1"/>
  <c r="BT17" i="1"/>
  <c r="BR17" i="1"/>
  <c r="BS17" i="1" s="1"/>
  <c r="BI17" i="1"/>
  <c r="BH17" i="1"/>
  <c r="BG17" i="1"/>
  <c r="BF17" i="1"/>
  <c r="BE17" i="1"/>
  <c r="AZ17" i="1" s="1"/>
  <c r="BB17" i="1"/>
  <c r="AU17" i="1"/>
  <c r="AO17" i="1"/>
  <c r="AP17" i="1" s="1"/>
  <c r="AK17" i="1"/>
  <c r="AI17" i="1"/>
  <c r="X17" i="1"/>
  <c r="W17" i="1"/>
  <c r="V17" i="1"/>
  <c r="O17" i="1"/>
  <c r="AW17" i="1" l="1"/>
  <c r="R17" i="1"/>
  <c r="R22" i="1"/>
  <c r="AW22" i="1"/>
  <c r="AY22" i="1"/>
  <c r="BA31" i="1"/>
  <c r="I18" i="1"/>
  <c r="AX18" i="1" s="1"/>
  <c r="H18" i="1"/>
  <c r="AJ18" i="1"/>
  <c r="M18" i="1"/>
  <c r="AY19" i="1"/>
  <c r="AY18" i="1"/>
  <c r="R20" i="1"/>
  <c r="AW20" i="1"/>
  <c r="AY20" i="1" s="1"/>
  <c r="AW30" i="1"/>
  <c r="BA30" i="1" s="1"/>
  <c r="R30" i="1"/>
  <c r="R24" i="1"/>
  <c r="AW24" i="1"/>
  <c r="AY24" i="1" s="1"/>
  <c r="M27" i="1"/>
  <c r="J27" i="1"/>
  <c r="I27" i="1"/>
  <c r="AX27" i="1" s="1"/>
  <c r="R27" i="1"/>
  <c r="AW27" i="1"/>
  <c r="R19" i="1"/>
  <c r="AW19" i="1"/>
  <c r="AY27" i="1"/>
  <c r="S23" i="1"/>
  <c r="T23" i="1" s="1"/>
  <c r="H20" i="1"/>
  <c r="M20" i="1"/>
  <c r="J20" i="1"/>
  <c r="AJ20" i="1"/>
  <c r="I20" i="1"/>
  <c r="AX20" i="1" s="1"/>
  <c r="BA20" i="1" s="1"/>
  <c r="M25" i="1"/>
  <c r="J25" i="1"/>
  <c r="H25" i="1"/>
  <c r="I25" i="1"/>
  <c r="AX25" i="1" s="1"/>
  <c r="BA25" i="1" s="1"/>
  <c r="AJ25" i="1"/>
  <c r="R21" i="1"/>
  <c r="AW21" i="1"/>
  <c r="AY21" i="1" s="1"/>
  <c r="R29" i="1"/>
  <c r="I17" i="1"/>
  <c r="AX17" i="1" s="1"/>
  <c r="BA17" i="1" s="1"/>
  <c r="J17" i="1"/>
  <c r="M17" i="1"/>
  <c r="H17" i="1"/>
  <c r="AJ17" i="1"/>
  <c r="AW18" i="1"/>
  <c r="R25" i="1"/>
  <c r="AW25" i="1"/>
  <c r="AY25" i="1" s="1"/>
  <c r="S26" i="1"/>
  <c r="T26" i="1" s="1"/>
  <c r="M22" i="1"/>
  <c r="J22" i="1"/>
  <c r="I22" i="1"/>
  <c r="AX22" i="1" s="1"/>
  <c r="BA22" i="1" s="1"/>
  <c r="H22" i="1"/>
  <c r="AY23" i="1"/>
  <c r="H27" i="1"/>
  <c r="R31" i="1"/>
  <c r="AW31" i="1"/>
  <c r="AY31" i="1" s="1"/>
  <c r="AJ22" i="1"/>
  <c r="AW23" i="1"/>
  <c r="AY17" i="1"/>
  <c r="AY29" i="1"/>
  <c r="H21" i="1"/>
  <c r="J26" i="1"/>
  <c r="J21" i="1"/>
  <c r="AJ30" i="1"/>
  <c r="H30" i="1"/>
  <c r="M31" i="1"/>
  <c r="AJ26" i="1"/>
  <c r="H31" i="1"/>
  <c r="J31" i="1"/>
  <c r="M26" i="1"/>
  <c r="AJ29" i="1"/>
  <c r="AJ19" i="1"/>
  <c r="H24" i="1"/>
  <c r="J19" i="1"/>
  <c r="AJ28" i="1"/>
  <c r="AJ23" i="1"/>
  <c r="H28" i="1"/>
  <c r="M29" i="1"/>
  <c r="I21" i="1"/>
  <c r="AX21" i="1" s="1"/>
  <c r="M21" i="1"/>
  <c r="AJ24" i="1"/>
  <c r="H29" i="1"/>
  <c r="I29" i="1"/>
  <c r="AX29" i="1" s="1"/>
  <c r="BA29" i="1" s="1"/>
  <c r="H23" i="1"/>
  <c r="M24" i="1"/>
  <c r="I28" i="1"/>
  <c r="AX28" i="1" s="1"/>
  <c r="BA28" i="1" s="1"/>
  <c r="H26" i="1"/>
  <c r="J30" i="1"/>
  <c r="AJ31" i="1"/>
  <c r="H19" i="1"/>
  <c r="I24" i="1"/>
  <c r="AX24" i="1" s="1"/>
  <c r="BA24" i="1" s="1"/>
  <c r="I19" i="1"/>
  <c r="AX19" i="1" s="1"/>
  <c r="BA19" i="1" s="1"/>
  <c r="I23" i="1"/>
  <c r="AX23" i="1" s="1"/>
  <c r="BA23" i="1" s="1"/>
  <c r="S31" i="1" l="1"/>
  <c r="T31" i="1" s="1"/>
  <c r="S20" i="1"/>
  <c r="T20" i="1" s="1"/>
  <c r="Z28" i="1"/>
  <c r="Z25" i="1"/>
  <c r="Z22" i="1"/>
  <c r="S24" i="1"/>
  <c r="T24" i="1" s="1"/>
  <c r="S30" i="1"/>
  <c r="T30" i="1" s="1"/>
  <c r="Z24" i="1"/>
  <c r="P24" i="1"/>
  <c r="N24" i="1" s="1"/>
  <c r="Q24" i="1" s="1"/>
  <c r="K24" i="1" s="1"/>
  <c r="L24" i="1" s="1"/>
  <c r="Z20" i="1"/>
  <c r="P20" i="1"/>
  <c r="N20" i="1" s="1"/>
  <c r="Q20" i="1" s="1"/>
  <c r="K20" i="1" s="1"/>
  <c r="L20" i="1" s="1"/>
  <c r="AY30" i="1"/>
  <c r="AB23" i="1"/>
  <c r="AC23" i="1" s="1"/>
  <c r="U23" i="1"/>
  <c r="Y23" i="1" s="1"/>
  <c r="P30" i="1"/>
  <c r="N30" i="1" s="1"/>
  <c r="Q30" i="1" s="1"/>
  <c r="K30" i="1" s="1"/>
  <c r="L30" i="1" s="1"/>
  <c r="Z30" i="1"/>
  <c r="BA18" i="1"/>
  <c r="Z27" i="1"/>
  <c r="U26" i="1"/>
  <c r="Y26" i="1" s="1"/>
  <c r="AB26" i="1"/>
  <c r="AA26" i="1"/>
  <c r="Z31" i="1"/>
  <c r="P31" i="1"/>
  <c r="N31" i="1" s="1"/>
  <c r="Q31" i="1" s="1"/>
  <c r="K31" i="1" s="1"/>
  <c r="L31" i="1" s="1"/>
  <c r="S25" i="1"/>
  <c r="T25" i="1" s="1"/>
  <c r="S27" i="1"/>
  <c r="T27" i="1" s="1"/>
  <c r="Z19" i="1"/>
  <c r="P19" i="1"/>
  <c r="N19" i="1" s="1"/>
  <c r="Q19" i="1" s="1"/>
  <c r="K19" i="1" s="1"/>
  <c r="L19" i="1" s="1"/>
  <c r="Z17" i="1"/>
  <c r="P17" i="1"/>
  <c r="N17" i="1" s="1"/>
  <c r="Q17" i="1" s="1"/>
  <c r="K17" i="1" s="1"/>
  <c r="L17" i="1" s="1"/>
  <c r="Z18" i="1"/>
  <c r="S18" i="1"/>
  <c r="T18" i="1" s="1"/>
  <c r="P26" i="1"/>
  <c r="N26" i="1" s="1"/>
  <c r="Q26" i="1" s="1"/>
  <c r="K26" i="1" s="1"/>
  <c r="L26" i="1" s="1"/>
  <c r="Z26" i="1"/>
  <c r="AA23" i="1"/>
  <c r="P21" i="1"/>
  <c r="N21" i="1" s="1"/>
  <c r="Q21" i="1" s="1"/>
  <c r="K21" i="1" s="1"/>
  <c r="L21" i="1" s="1"/>
  <c r="Z21" i="1"/>
  <c r="S19" i="1"/>
  <c r="T19" i="1" s="1"/>
  <c r="P23" i="1"/>
  <c r="N23" i="1" s="1"/>
  <c r="Q23" i="1" s="1"/>
  <c r="K23" i="1" s="1"/>
  <c r="L23" i="1" s="1"/>
  <c r="Z23" i="1"/>
  <c r="S29" i="1"/>
  <c r="T29" i="1" s="1"/>
  <c r="Z29" i="1"/>
  <c r="S21" i="1"/>
  <c r="T21" i="1" s="1"/>
  <c r="S22" i="1"/>
  <c r="T22" i="1" s="1"/>
  <c r="P22" i="1" s="1"/>
  <c r="N22" i="1" s="1"/>
  <c r="Q22" i="1" s="1"/>
  <c r="K22" i="1" s="1"/>
  <c r="L22" i="1" s="1"/>
  <c r="S28" i="1"/>
  <c r="T28" i="1" s="1"/>
  <c r="S17" i="1"/>
  <c r="T17" i="1" s="1"/>
  <c r="BA21" i="1"/>
  <c r="BA27" i="1"/>
  <c r="AB17" i="1" l="1"/>
  <c r="U17" i="1"/>
  <c r="Y17" i="1" s="1"/>
  <c r="AA17" i="1"/>
  <c r="AB28" i="1"/>
  <c r="U28" i="1"/>
  <c r="Y28" i="1" s="1"/>
  <c r="AA28" i="1"/>
  <c r="AB27" i="1"/>
  <c r="U27" i="1"/>
  <c r="Y27" i="1" s="1"/>
  <c r="AA27" i="1"/>
  <c r="U21" i="1"/>
  <c r="Y21" i="1" s="1"/>
  <c r="AB21" i="1"/>
  <c r="AA21" i="1"/>
  <c r="AA25" i="1"/>
  <c r="AB25" i="1"/>
  <c r="AC25" i="1" s="1"/>
  <c r="U25" i="1"/>
  <c r="Y25" i="1" s="1"/>
  <c r="P25" i="1"/>
  <c r="N25" i="1" s="1"/>
  <c r="Q25" i="1" s="1"/>
  <c r="K25" i="1" s="1"/>
  <c r="L25" i="1" s="1"/>
  <c r="AB29" i="1"/>
  <c r="U29" i="1"/>
  <c r="Y29" i="1" s="1"/>
  <c r="AA29" i="1"/>
  <c r="P28" i="1"/>
  <c r="N28" i="1" s="1"/>
  <c r="Q28" i="1" s="1"/>
  <c r="K28" i="1" s="1"/>
  <c r="L28" i="1" s="1"/>
  <c r="AC26" i="1"/>
  <c r="U18" i="1"/>
  <c r="Y18" i="1" s="1"/>
  <c r="AB18" i="1"/>
  <c r="AA18" i="1"/>
  <c r="AB24" i="1"/>
  <c r="AA24" i="1"/>
  <c r="U24" i="1"/>
  <c r="Y24" i="1" s="1"/>
  <c r="P18" i="1"/>
  <c r="N18" i="1" s="1"/>
  <c r="Q18" i="1" s="1"/>
  <c r="K18" i="1" s="1"/>
  <c r="L18" i="1" s="1"/>
  <c r="AB22" i="1"/>
  <c r="U22" i="1"/>
  <c r="Y22" i="1" s="1"/>
  <c r="AA22" i="1"/>
  <c r="P27" i="1"/>
  <c r="N27" i="1" s="1"/>
  <c r="Q27" i="1" s="1"/>
  <c r="K27" i="1" s="1"/>
  <c r="L27" i="1" s="1"/>
  <c r="U30" i="1"/>
  <c r="Y30" i="1" s="1"/>
  <c r="AB30" i="1"/>
  <c r="AA30" i="1"/>
  <c r="P29" i="1"/>
  <c r="N29" i="1" s="1"/>
  <c r="Q29" i="1" s="1"/>
  <c r="K29" i="1" s="1"/>
  <c r="L29" i="1" s="1"/>
  <c r="AB20" i="1"/>
  <c r="AC20" i="1" s="1"/>
  <c r="AA20" i="1"/>
  <c r="U20" i="1"/>
  <c r="Y20" i="1" s="1"/>
  <c r="AB19" i="1"/>
  <c r="U19" i="1"/>
  <c r="Y19" i="1" s="1"/>
  <c r="AA19" i="1"/>
  <c r="U31" i="1"/>
  <c r="Y31" i="1" s="1"/>
  <c r="AA31" i="1"/>
  <c r="AB31" i="1"/>
  <c r="AC31" i="1" s="1"/>
  <c r="AC29" i="1" l="1"/>
  <c r="AC28" i="1"/>
  <c r="AC19" i="1"/>
  <c r="AC18" i="1"/>
  <c r="AC30" i="1"/>
  <c r="AC27" i="1"/>
  <c r="AC22" i="1"/>
  <c r="AC21" i="1"/>
  <c r="AC24" i="1"/>
  <c r="AC17" i="1"/>
</calcChain>
</file>

<file path=xl/sharedStrings.xml><?xml version="1.0" encoding="utf-8"?>
<sst xmlns="http://schemas.openxmlformats.org/spreadsheetml/2006/main" count="788" uniqueCount="360">
  <si>
    <t>File opened</t>
  </si>
  <si>
    <t>2020-08-15 09:59:46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</si>
  <si>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</si>
  <si>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</si>
  <si>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</si>
  <si>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</si>
  <si>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</si>
  <si>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</si>
  <si>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</si>
  <si>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</si>
  <si>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</si>
  <si>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</si>
  <si>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</si>
  <si>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{"co2aspan2b": "0.163711", "h2oazero": "1.00263", "flowbzero": "0.22736", "co2azero": "0.869071", "co2bzero": "0.880288", "h2obspan1": "0.998578", "h2oaspanconc2": "0", "co2bspanconc1": "1002", "co2aspanconc2": "0", "tbzero": "0.197721", "h2oaspanconc1": "12.19", "flowazero": "0.42932", "co2aspanconc1": "1002", "h2obzero": "1.01783", "co2bspan1": "0.992131", "oxygen": "21", "chamberpressurezero": "2.59209", "co2aspan1": "0.992625", "tazero": "0.00774765", "ssa_ref": "36614.9", "co2bspan2": "0", "co2aspan2a": "0.164928", "h2oaspan2b": "0.0662632", "co2aspan2": "0", "h2oaspan1": "1.00223", "co2bspan2a": "0.163389", "h2obspanconc2": "0", "h2obspanconc1": "20", "ssb_ref": "36526.8", "h2oaspan2": "0", "h2obspan2": "0", "flowmeterzero": "0.990908", "h2oaspan2a": "0.0661155", "h2obspan2b": "0.0963575", "co2bspanconc2": "0", "co2bspan2b": "0.162103", "h2obspan2a": "0.0975941"}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</si>
  <si>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</si>
  <si>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</si>
  <si>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</si>
  <si>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</si>
  <si>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</si>
  <si>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</si>
  <si>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</si>
  <si>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</si>
  <si>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</si>
  <si>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09:59:46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</si>
  <si>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</si>
  <si>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</si>
  <si>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</si>
  <si>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</si>
  <si>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</si>
  <si>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</si>
  <si>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</si>
  <si>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</si>
  <si>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</si>
  <si>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</si>
  <si>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</si>
  <si>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</si>
  <si>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</si>
  <si>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</si>
  <si>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</si>
  <si>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</si>
  <si>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</si>
  <si>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</si>
  <si>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</si>
  <si>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</si>
  <si>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</si>
  <si>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</si>
  <si>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</si>
  <si>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</si>
  <si>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</si>
  <si>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</si>
  <si>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</si>
  <si>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</si>
  <si>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</si>
  <si>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</si>
  <si>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</si>
  <si>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</si>
  <si>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</si>
  <si>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</si>
  <si>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</si>
  <si>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</si>
  <si>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</si>
  <si>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</si>
  <si>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</si>
  <si>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</si>
  <si>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</si>
  <si>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</si>
  <si>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</si>
  <si>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</si>
  <si>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</si>
  <si>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</si>
  <si>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</si>
  <si>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3.00186 75.5949 388.782 621.537 849.04 1054.8 1229.05 1393.75</t>
  </si>
  <si>
    <t>Fs_true</t>
  </si>
  <si>
    <t>0.276677 99.6915 402.487 601.632 800.517 1001.11 1200.75 1401.88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</si>
  <si>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</si>
  <si>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</si>
  <si>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</si>
  <si>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</si>
  <si>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</si>
  <si>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</si>
  <si>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</si>
  <si>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</si>
  <si>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</si>
  <si>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</si>
  <si>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</si>
  <si>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</si>
  <si>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</si>
  <si>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</si>
  <si>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</si>
  <si>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</si>
  <si>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</si>
  <si>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</si>
  <si>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</si>
  <si>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</si>
  <si>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</si>
  <si>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</si>
  <si>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</si>
  <si>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</si>
  <si>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</si>
  <si>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</si>
  <si>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</si>
  <si>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</si>
  <si>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</si>
  <si>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</si>
  <si>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</si>
  <si>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</si>
  <si>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</si>
  <si>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</si>
  <si>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</si>
  <si>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</si>
  <si>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</si>
  <si>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</si>
  <si>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</si>
  <si>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</si>
  <si>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</si>
  <si>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</si>
  <si>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</si>
  <si>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</si>
  <si>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</si>
  <si>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</si>
  <si>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</si>
  <si>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</si>
  <si>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</si>
  <si>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</si>
  <si>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</si>
  <si>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</si>
  <si>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</si>
  <si>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</si>
  <si>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</si>
  <si>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</si>
  <si>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</si>
  <si>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</si>
  <si>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</si>
  <si>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</si>
  <si>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</si>
  <si>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</si>
  <si>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</si>
  <si>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</si>
  <si>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</si>
  <si>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</si>
  <si>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</si>
  <si>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</si>
  <si>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</si>
  <si>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</si>
  <si>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</si>
  <si>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</si>
  <si>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</si>
  <si>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</si>
  <si>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</si>
  <si>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</si>
  <si>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</si>
  <si>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</si>
  <si>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</si>
  <si>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</si>
  <si>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</si>
  <si>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</si>
  <si>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</si>
  <si>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</si>
  <si>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</si>
  <si>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</si>
  <si>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</si>
  <si>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</si>
  <si>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</si>
  <si>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</si>
  <si>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</si>
  <si>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</si>
  <si>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</si>
  <si>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</si>
  <si>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</si>
  <si>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</si>
  <si>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</si>
  <si>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</si>
  <si>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</si>
  <si>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</si>
  <si>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</si>
  <si>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</si>
  <si>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</si>
  <si>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</si>
  <si>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</si>
  <si>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</si>
  <si>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</si>
  <si>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</si>
  <si>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</si>
  <si>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</si>
  <si>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</si>
  <si>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</si>
  <si>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</si>
  <si>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</si>
  <si>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</si>
  <si>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</si>
  <si>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</si>
  <si>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</si>
  <si>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</si>
  <si>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</si>
  <si>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</si>
  <si>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</si>
  <si>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</si>
  <si>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</si>
  <si>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</si>
  <si>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</si>
  <si>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</si>
  <si>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</si>
  <si>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</si>
  <si>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</si>
  <si>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</si>
  <si>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</si>
  <si>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</si>
  <si>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</si>
  <si>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</si>
  <si>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</si>
  <si>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</si>
  <si>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</si>
  <si>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</si>
  <si>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</si>
  <si>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</si>
  <si>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</si>
  <si>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</si>
  <si>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</si>
  <si>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</si>
  <si>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</si>
  <si>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</si>
  <si>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</si>
  <si>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</si>
  <si>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</si>
  <si>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</si>
  <si>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</si>
  <si>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</si>
  <si>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</si>
  <si>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</si>
  <si>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</si>
  <si>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</si>
  <si>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</si>
  <si>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</si>
  <si>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</si>
  <si>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</si>
  <si>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</si>
  <si>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</si>
  <si>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</si>
  <si>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</si>
  <si>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</si>
  <si>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</si>
  <si>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</si>
  <si>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</si>
  <si>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</si>
  <si>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</si>
  <si>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</si>
  <si>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</si>
  <si>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</si>
  <si>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</si>
  <si>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</si>
  <si>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</si>
  <si>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</si>
  <si>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</si>
  <si>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</si>
  <si>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</si>
  <si>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</si>
  <si>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</si>
  <si>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</si>
  <si>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</si>
  <si>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</si>
  <si>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</si>
  <si>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</si>
  <si>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</si>
  <si>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</si>
  <si>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</si>
  <si>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</si>
  <si>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</si>
  <si>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</si>
  <si>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</si>
  <si>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</si>
  <si>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</si>
  <si>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</si>
  <si>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</si>
  <si>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</si>
  <si>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</si>
  <si>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</si>
  <si>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</si>
  <si>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20200815 10:01:37</t>
  </si>
  <si>
    <t>10:01:37</t>
  </si>
  <si>
    <t>MPF-6084-20200815-10_01_39</t>
  </si>
  <si>
    <t>DARK-6085-20200815-10_01_47</t>
  </si>
  <si>
    <t>0: Broadleaf</t>
  </si>
  <si>
    <t>10:02:10</t>
  </si>
  <si>
    <t>2/2</t>
  </si>
  <si>
    <t>5</t>
  </si>
  <si>
    <t>11111111</t>
  </si>
  <si>
    <t>oooooooo</t>
  </si>
  <si>
    <t>off</t>
  </si>
  <si>
    <t>20200815 10:03:42</t>
  </si>
  <si>
    <t>10:03:42</t>
  </si>
  <si>
    <t>MPF-6086-20200815-10_03_44</t>
  </si>
  <si>
    <t>DARK-6087-20200815-10_03_52</t>
  </si>
  <si>
    <t>10:04:11</t>
  </si>
  <si>
    <t>20200815 10:05:42</t>
  </si>
  <si>
    <t>10:05:42</t>
  </si>
  <si>
    <t>MPF-6088-20200815-10_05_44</t>
  </si>
  <si>
    <t>DARK-6089-20200815-10_05_52</t>
  </si>
  <si>
    <t>10:06:13</t>
  </si>
  <si>
    <t>20200815 10:07:45</t>
  </si>
  <si>
    <t>10:07:45</t>
  </si>
  <si>
    <t>MPF-6090-20200815-10_07_46</t>
  </si>
  <si>
    <t>DARK-6091-20200815-10_07_54</t>
  </si>
  <si>
    <t>10:08:16</t>
  </si>
  <si>
    <t>20200815 10:09:48</t>
  </si>
  <si>
    <t>10:09:48</t>
  </si>
  <si>
    <t>MPF-6092-20200815-10_09_49</t>
  </si>
  <si>
    <t>DARK-6093-20200815-10_09_57</t>
  </si>
  <si>
    <t>10:10:22</t>
  </si>
  <si>
    <t>20200815 10:11:53</t>
  </si>
  <si>
    <t>10:11:53</t>
  </si>
  <si>
    <t>MPF-6094-20200815-10_11_55</t>
  </si>
  <si>
    <t>DARK-6095-20200815-10_12_03</t>
  </si>
  <si>
    <t>10:12:21</t>
  </si>
  <si>
    <t>20200815 10:13:53</t>
  </si>
  <si>
    <t>10:13:53</t>
  </si>
  <si>
    <t>MPF-6096-20200815-10_13_54</t>
  </si>
  <si>
    <t>DARK-6097-20200815-10_14_02</t>
  </si>
  <si>
    <t>10:14:23</t>
  </si>
  <si>
    <t>20200815 10:16:01</t>
  </si>
  <si>
    <t>10:16:01</t>
  </si>
  <si>
    <t>MPF-6098-20200815-10_16_03</t>
  </si>
  <si>
    <t>DARK-6099-20200815-10_16_11</t>
  </si>
  <si>
    <t>10:16:30</t>
  </si>
  <si>
    <t>20200815 10:18:32</t>
  </si>
  <si>
    <t>10:18:32</t>
  </si>
  <si>
    <t>MPF-6100-20200815-10_18_34</t>
  </si>
  <si>
    <t>DARK-6101-20200815-10_18_41</t>
  </si>
  <si>
    <t>10:18:58</t>
  </si>
  <si>
    <t>1/2</t>
  </si>
  <si>
    <t>20200815 10:21:00</t>
  </si>
  <si>
    <t>10:21:00</t>
  </si>
  <si>
    <t>MPF-6102-20200815-10_21_01</t>
  </si>
  <si>
    <t>DARK-6103-20200815-10_21_09</t>
  </si>
  <si>
    <t>10:21:26</t>
  </si>
  <si>
    <t>0/2</t>
  </si>
  <si>
    <t>20200815 10:23:28</t>
  </si>
  <si>
    <t>10:23:28</t>
  </si>
  <si>
    <t>MPF-6104-20200815-10_23_29</t>
  </si>
  <si>
    <t>DARK-6105-20200815-10_23_37</t>
  </si>
  <si>
    <t>10:23:52</t>
  </si>
  <si>
    <t>20200815 10:25:54</t>
  </si>
  <si>
    <t>10:25:54</t>
  </si>
  <si>
    <t>MPF-6106-20200815-10_25_55</t>
  </si>
  <si>
    <t>DARK-6107-20200815-10_26_03</t>
  </si>
  <si>
    <t>10:26:22</t>
  </si>
  <si>
    <t>20200815 10:28:23</t>
  </si>
  <si>
    <t>10:28:23</t>
  </si>
  <si>
    <t>MPF-6108-20200815-10_28_25</t>
  </si>
  <si>
    <t>DARK-6109-20200815-10_28_33</t>
  </si>
  <si>
    <t>10:28:48</t>
  </si>
  <si>
    <t>20200815 10:30:33</t>
  </si>
  <si>
    <t>10:30:33</t>
  </si>
  <si>
    <t>MPF-6110-20200815-10_30_34</t>
  </si>
  <si>
    <t>DARK-6111-20200815-10_30_42</t>
  </si>
  <si>
    <t>10:31:06</t>
  </si>
  <si>
    <t>20200815 10:32:37</t>
  </si>
  <si>
    <t>10:32:37</t>
  </si>
  <si>
    <t>MPF-6112-20200815-10_32_39</t>
  </si>
  <si>
    <t>DARK-6113-20200815-10_32_47</t>
  </si>
  <si>
    <t>10:33:03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</si>
</sst>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1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1597503697.7</v>
      </c>
      <c r="C17">
        <v>0</v>
      </c>
      <c r="D17" t="s">
        <v>277</v>
      </c>
      <c r="E17" t="s">
        <v>278</v>
      </c>
      <c r="G17">
        <v>1597503689.7290299</v>
      </c>
      <c r="H17">
        <f t="shared" ref="H17:H31" si="0">CC17*AI17*(CA17-CB17)/(100*$B$5*(1000-AI17*CA17))</f>
        <v>1.2551087608297786E-2</v>
      </c>
      <c r="I17">
        <f t="shared" ref="I17:I31" si="1">CC17*AI17*(BZ17-BY17*(1000-AI17*CB17)/(1000-AI17*CA17))/(100*$B$5)</f>
        <v>39.800803855516563</v>
      </c>
      <c r="J17">
        <f t="shared" ref="J17:J31" si="2">BY17 - IF(AI17&gt;1, I17*$B$5*100/(AK17*CI17), 0)</f>
        <v>382.118290322581</v>
      </c>
      <c r="K17">
        <f t="shared" ref="K17:K31" si="3">((Q17-H17/2)*J17-I17)/(Q17+H17/2)</f>
        <v>300.73516230367716</v>
      </c>
      <c r="L17">
        <f t="shared" ref="L17:L31" si="4">K17*(CD17+CE17)/1000</f>
        <v>29.844201012566728</v>
      </c>
      <c r="M17">
        <f t="shared" ref="M17:M31" si="5">(BY17 - IF(AI17&gt;1, I17*$B$5*100/(AK17*CI17), 0))*(CD17+CE17)/1000</f>
        <v>37.920457919216851</v>
      </c>
      <c r="N17">
        <f t="shared" ref="N17:N31" si="6">2/((1/P17-1/O17)+SIGN(P17)*SQRT((1/P17-1/O17)*(1/P17-1/O17) + 4*BV17/((BV17+1)*(BV17+1))*(2*1/P17*1/O17-1/O17*1/O17)))</f>
        <v>0.98601042000261596</v>
      </c>
      <c r="O17">
        <f t="shared" ref="O17:O31" si="7">AF17+AE17*$B$5+AD17*$B$5*$B$5</f>
        <v>3.3742960300140163</v>
      </c>
      <c r="P17">
        <f t="shared" ref="P17:P31" si="8">H17*(1000-(1000*0.61365*EXP(17.502*T17/(240.97+T17))/(CD17+CE17)+CA17)/2)/(1000*0.61365*EXP(17.502*T17/(240.97+T17))/(CD17+CE17)-CA17)</f>
        <v>0.84966171983392824</v>
      </c>
      <c r="Q17">
        <f t="shared" ref="Q17:Q31" si="9">1/((BV17+1)/(N17/1.6)+1/(O17/1.37)) + BV17/((BV17+1)/(N17/1.6) + BV17/(O17/1.37))</f>
        <v>0.54171032353347881</v>
      </c>
      <c r="R17">
        <f t="shared" ref="R17:R31" si="10">(BS17*BU17)</f>
        <v>321.44276000900913</v>
      </c>
      <c r="S17">
        <f t="shared" ref="S17:S31" si="11">(CF17+(R17+2*0.95*0.0000000567*(((CF17+$B$7)+273)^4-(CF17+273)^4)-44100*H17)/(1.84*29.3*O17+8*0.95*0.0000000567*(CF17+273)^3))</f>
        <v>27.441928343930471</v>
      </c>
      <c r="T17">
        <f t="shared" ref="T17:T31" si="12">($C$7*CG17+$D$7*CH17+$E$7*S17)</f>
        <v>27.010951612903199</v>
      </c>
      <c r="U17">
        <f t="shared" ref="U17:U31" si="13">0.61365*EXP(17.502*T17/(240.97+T17))</f>
        <v>3.5814625095856831</v>
      </c>
      <c r="V17">
        <f t="shared" ref="V17:V31" si="14">(W17/X17*100)</f>
        <v>54.788118144003249</v>
      </c>
      <c r="W17">
        <f t="shared" ref="W17:W31" si="15">CA17*(CD17+CE17)/1000</f>
        <v>2.1579306251562715</v>
      </c>
      <c r="X17">
        <f t="shared" ref="X17:X31" si="16">0.61365*EXP(17.502*CF17/(240.97+CF17))</f>
        <v>3.9386836019525973</v>
      </c>
      <c r="Y17">
        <f t="shared" ref="Y17:Y31" si="17">(U17-CA17*(CD17+CE17)/1000)</f>
        <v>1.4235318844294116</v>
      </c>
      <c r="Z17">
        <f t="shared" ref="Z17:Z31" si="18">(-H17*44100)</f>
        <v>-553.50296352593239</v>
      </c>
      <c r="AA17">
        <f t="shared" ref="AA17:AA31" si="19">2*29.3*O17*0.92*(CF17-T17)</f>
        <v>296.29560078667436</v>
      </c>
      <c r="AB17">
        <f t="shared" ref="AB17:AB31" si="20">2*0.95*0.0000000567*(((CF17+$B$7)+273)^4-(T17+273)^4)</f>
        <v>19.107313143445857</v>
      </c>
      <c r="AC17">
        <f t="shared" ref="AC17:AC31" si="21">R17+AB17+Z17+AA17</f>
        <v>83.342710413196983</v>
      </c>
      <c r="AD17">
        <v>-4.1049968074509502E-2</v>
      </c>
      <c r="AE17">
        <v>4.6082185338352198E-2</v>
      </c>
      <c r="AF17">
        <v>3.4463315316353502</v>
      </c>
      <c r="AG17">
        <v>150</v>
      </c>
      <c r="AH17">
        <v>30</v>
      </c>
      <c r="AI17">
        <f t="shared" ref="AI17:AI31" si="22">IF(AG17*$H$13&gt;=AK17,1,(AK17/(AK17-AG17*$H$13)))</f>
        <v>1</v>
      </c>
      <c r="AJ17">
        <f t="shared" ref="AJ17:AJ31" si="23">(AI17-1)*100</f>
        <v>0</v>
      </c>
      <c r="AK17">
        <f t="shared" ref="AK17:AK31" si="24">MAX(0,($B$13+$C$13*CI17)/(1+$D$13*CI17)*CD17/(CF17+273)*$E$13)</f>
        <v>52061.609632720094</v>
      </c>
      <c r="AL17">
        <v>0</v>
      </c>
      <c r="AM17">
        <v>0</v>
      </c>
      <c r="AN17">
        <v>0</v>
      </c>
      <c r="AO17">
        <f t="shared" ref="AO17:AO31" si="25">AN17-AM17</f>
        <v>0</v>
      </c>
      <c r="AP17" t="e">
        <f t="shared" ref="AP17:AP31" si="26">AO17/AN17</f>
        <v>#DIV/0!</v>
      </c>
      <c r="AQ17">
        <v>-1</v>
      </c>
      <c r="AR17" t="s">
        <v>279</v>
      </c>
      <c r="AS17">
        <v>317.88626923076902</v>
      </c>
      <c r="AT17">
        <v>484.05399999999997</v>
      </c>
      <c r="AU17">
        <f t="shared" ref="AU17:AU31" si="27">1-AS17/AT17</f>
        <v>0.34328345756719492</v>
      </c>
      <c r="AV17">
        <v>0.5</v>
      </c>
      <c r="AW17">
        <f t="shared" ref="AW17:AW31" si="28">BS17</f>
        <v>1681.2122030956796</v>
      </c>
      <c r="AX17">
        <f t="shared" ref="AX17:AX31" si="29">I17</f>
        <v>39.800803855516563</v>
      </c>
      <c r="AY17">
        <f t="shared" ref="AY17:AY31" si="30">AU17*AV17*AW17</f>
        <v>288.56616899142301</v>
      </c>
      <c r="AZ17">
        <f t="shared" ref="AZ17:AZ31" si="31">BE17/AT17</f>
        <v>0.59996198771211473</v>
      </c>
      <c r="BA17">
        <f t="shared" ref="BA17:BA31" si="32">(AX17-AQ17)/AW17</f>
        <v>2.4268681716911465E-2</v>
      </c>
      <c r="BB17">
        <f t="shared" ref="BB17:BB31" si="33">(AN17-AT17)/AT17</f>
        <v>-1</v>
      </c>
      <c r="BC17" t="s">
        <v>280</v>
      </c>
      <c r="BD17">
        <v>193.64</v>
      </c>
      <c r="BE17">
        <f t="shared" ref="BE17:BE31" si="34">AT17-BD17</f>
        <v>290.41399999999999</v>
      </c>
      <c r="BF17">
        <f t="shared" ref="BF17:BF31" si="35">(AT17-AS17)/(AT17-BD17)</f>
        <v>0.57217534543524406</v>
      </c>
      <c r="BG17">
        <f t="shared" ref="BG17:BG31" si="36">(AN17-AT17)/(AN17-BD17)</f>
        <v>2.4997624457756662</v>
      </c>
      <c r="BH17">
        <f t="shared" ref="BH17:BH31" si="37">(AT17-AS17)/(AT17-AM17)</f>
        <v>0.34328345756719492</v>
      </c>
      <c r="BI17" t="e">
        <f t="shared" ref="BI17:BI31" si="38">(AN17-AT17)/(AN17-AM17)</f>
        <v>#DIV/0!</v>
      </c>
      <c r="BJ17">
        <v>6084</v>
      </c>
      <c r="BK17">
        <v>300</v>
      </c>
      <c r="BL17">
        <v>300</v>
      </c>
      <c r="BM17">
        <v>300</v>
      </c>
      <c r="BN17">
        <v>9872.57</v>
      </c>
      <c r="BO17">
        <v>437.35899999999998</v>
      </c>
      <c r="BP17">
        <v>-6.5677900000000004E-3</v>
      </c>
      <c r="BQ17">
        <v>1.3663000000000001</v>
      </c>
      <c r="BR17">
        <f t="shared" ref="BR17:BR31" si="39">$B$11*CJ17+$C$11*CK17+$F$11*CL17</f>
        <v>2000.0180645161299</v>
      </c>
      <c r="BS17">
        <f t="shared" ref="BS17:BS31" si="40">BR17*BT17</f>
        <v>1681.2122030956796</v>
      </c>
      <c r="BT17">
        <f t="shared" ref="BT17:BT31" si="41">($B$11*$D$9+$C$11*$D$9+$F$11*((CY17+CQ17)/MAX(CY17+CQ17+CZ17, 0.1)*$I$9+CZ17/MAX(CY17+CQ17+CZ17, 0.1)*$J$9))/($B$11+$C$11+$F$11)</f>
        <v>0.84059850904517708</v>
      </c>
      <c r="BU17">
        <f t="shared" ref="BU17:BU31" si="42">($B$11*$K$9+$C$11*$K$9+$F$11*((CY17+CQ17)/MAX(CY17+CQ17+CZ17, 0.1)*$P$9+CZ17/MAX(CY17+CQ17+CZ17, 0.1)*$Q$9))/($B$11+$C$11+$F$11)</f>
        <v>0.19119701809035433</v>
      </c>
      <c r="BV17">
        <v>0.5</v>
      </c>
      <c r="BW17" t="s">
        <v>281</v>
      </c>
      <c r="BX17">
        <v>1597503689.7290299</v>
      </c>
      <c r="BY17">
        <v>382.118290322581</v>
      </c>
      <c r="BZ17">
        <v>399.95532258064497</v>
      </c>
      <c r="CA17">
        <v>21.745116129032301</v>
      </c>
      <c r="CB17">
        <v>16.834316129032299</v>
      </c>
      <c r="CC17">
        <v>500.04735483871002</v>
      </c>
      <c r="CD17">
        <v>99.037503225806503</v>
      </c>
      <c r="CE17">
        <v>0.199981290322581</v>
      </c>
      <c r="CF17">
        <v>28.6397096774194</v>
      </c>
      <c r="CG17">
        <v>27.010951612903199</v>
      </c>
      <c r="CH17">
        <v>999.9</v>
      </c>
      <c r="CI17">
        <v>9995.6067741935494</v>
      </c>
      <c r="CJ17">
        <v>0</v>
      </c>
      <c r="CK17">
        <v>124.64106451612901</v>
      </c>
      <c r="CL17">
        <v>2000.0180645161299</v>
      </c>
      <c r="CM17">
        <v>0.979999838709677</v>
      </c>
      <c r="CN17">
        <v>2.0000206451612899E-2</v>
      </c>
      <c r="CO17">
        <v>0</v>
      </c>
      <c r="CP17">
        <v>317.94348387096801</v>
      </c>
      <c r="CQ17">
        <v>5.00054</v>
      </c>
      <c r="CR17">
        <v>8064.4787096774198</v>
      </c>
      <c r="CS17">
        <v>18703.806451612902</v>
      </c>
      <c r="CT17">
        <v>46.5681612903226</v>
      </c>
      <c r="CU17">
        <v>47.160967741935501</v>
      </c>
      <c r="CV17">
        <v>46.596548387096803</v>
      </c>
      <c r="CW17">
        <v>46.755870967741899</v>
      </c>
      <c r="CX17">
        <v>48.247806451612902</v>
      </c>
      <c r="CY17">
        <v>1955.1167741935501</v>
      </c>
      <c r="CZ17">
        <v>39.900967741935503</v>
      </c>
      <c r="DA17">
        <v>0</v>
      </c>
      <c r="DB17">
        <v>1587483743.3</v>
      </c>
      <c r="DC17">
        <v>317.88626923076902</v>
      </c>
      <c r="DD17">
        <v>-4.6748376266253002</v>
      </c>
      <c r="DE17">
        <v>-93.684102633488706</v>
      </c>
      <c r="DF17">
        <v>8063.2923076923098</v>
      </c>
      <c r="DG17">
        <v>15</v>
      </c>
      <c r="DH17">
        <v>1597503730.7</v>
      </c>
      <c r="DI17" t="s">
        <v>282</v>
      </c>
      <c r="DJ17">
        <v>1</v>
      </c>
      <c r="DK17">
        <v>-0.44700000000000001</v>
      </c>
      <c r="DL17">
        <v>0.114</v>
      </c>
      <c r="DM17">
        <v>400</v>
      </c>
      <c r="DN17">
        <v>17</v>
      </c>
      <c r="DO17">
        <v>7.0000000000000007E-2</v>
      </c>
      <c r="DP17">
        <v>0.02</v>
      </c>
      <c r="DQ17">
        <v>382.12779629629603</v>
      </c>
      <c r="DR17">
        <v>3.5770832196517499E-2</v>
      </c>
      <c r="DS17">
        <v>1.22948041263261E-2</v>
      </c>
      <c r="DT17">
        <v>1</v>
      </c>
      <c r="DU17">
        <v>21.7476981481481</v>
      </c>
      <c r="DV17">
        <v>4.5830482068175603E-2</v>
      </c>
      <c r="DW17">
        <v>9.2294915942950397E-3</v>
      </c>
      <c r="DX17">
        <v>1</v>
      </c>
      <c r="DY17">
        <v>2</v>
      </c>
      <c r="DZ17">
        <v>2</v>
      </c>
      <c r="EA17" t="s">
        <v>283</v>
      </c>
      <c r="EB17">
        <v>1.8667499999999999</v>
      </c>
      <c r="EC17">
        <v>1.8632500000000001</v>
      </c>
      <c r="ED17">
        <v>1.8689</v>
      </c>
      <c r="EE17">
        <v>1.8668800000000001</v>
      </c>
      <c r="EF17">
        <v>1.8714900000000001</v>
      </c>
      <c r="EG17">
        <v>1.8640099999999999</v>
      </c>
      <c r="EH17">
        <v>1.8656900000000001</v>
      </c>
      <c r="EI17">
        <v>1.8655999999999999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-0.44700000000000001</v>
      </c>
      <c r="EX17">
        <v>0.114</v>
      </c>
      <c r="EY17">
        <v>2</v>
      </c>
      <c r="EZ17">
        <v>334.57499999999999</v>
      </c>
      <c r="FA17">
        <v>523.65700000000004</v>
      </c>
      <c r="FB17">
        <v>24.213000000000001</v>
      </c>
      <c r="FC17">
        <v>32.0505</v>
      </c>
      <c r="FD17">
        <v>30.001000000000001</v>
      </c>
      <c r="FE17">
        <v>31.713100000000001</v>
      </c>
      <c r="FF17">
        <v>31.6614</v>
      </c>
      <c r="FG17">
        <v>21.7622</v>
      </c>
      <c r="FH17">
        <v>46.714399999999998</v>
      </c>
      <c r="FI17">
        <v>69.864400000000003</v>
      </c>
      <c r="FJ17">
        <v>24.208300000000001</v>
      </c>
      <c r="FK17">
        <v>400</v>
      </c>
      <c r="FL17">
        <v>16.897099999999998</v>
      </c>
      <c r="FM17">
        <v>101.04600000000001</v>
      </c>
      <c r="FN17">
        <v>101.43899999999999</v>
      </c>
    </row>
    <row r="18" spans="1:170" x14ac:dyDescent="0.25">
      <c r="A18">
        <v>2</v>
      </c>
      <c r="B18">
        <v>1597503822.8</v>
      </c>
      <c r="C18">
        <v>125.09999990463299</v>
      </c>
      <c r="D18" t="s">
        <v>288</v>
      </c>
      <c r="E18" t="s">
        <v>289</v>
      </c>
      <c r="G18">
        <v>1597503814.73226</v>
      </c>
      <c r="H18">
        <f t="shared" si="0"/>
        <v>1.2164223655935492E-2</v>
      </c>
      <c r="I18">
        <f t="shared" si="1"/>
        <v>30.596991893489168</v>
      </c>
      <c r="J18">
        <f t="shared" si="2"/>
        <v>286.34938709677402</v>
      </c>
      <c r="K18">
        <f t="shared" si="3"/>
        <v>222.46769608573834</v>
      </c>
      <c r="L18">
        <f t="shared" si="4"/>
        <v>22.077289210930768</v>
      </c>
      <c r="M18">
        <f t="shared" si="5"/>
        <v>28.416791945702709</v>
      </c>
      <c r="N18">
        <f t="shared" si="6"/>
        <v>0.95647064413824889</v>
      </c>
      <c r="O18">
        <f t="shared" si="7"/>
        <v>3.3760384724507948</v>
      </c>
      <c r="P18">
        <f t="shared" si="8"/>
        <v>0.82765802476869843</v>
      </c>
      <c r="Q18">
        <f t="shared" si="9"/>
        <v>0.52740736446011172</v>
      </c>
      <c r="R18">
        <f t="shared" si="10"/>
        <v>321.43550218017663</v>
      </c>
      <c r="S18">
        <f t="shared" si="11"/>
        <v>27.432531505498076</v>
      </c>
      <c r="T18">
        <f t="shared" si="12"/>
        <v>27.024377419354799</v>
      </c>
      <c r="U18">
        <f t="shared" si="13"/>
        <v>3.5842873444001837</v>
      </c>
      <c r="V18">
        <f t="shared" si="14"/>
        <v>55.358404492238769</v>
      </c>
      <c r="W18">
        <f t="shared" si="15"/>
        <v>2.1680392261713979</v>
      </c>
      <c r="X18">
        <f t="shared" si="16"/>
        <v>3.9163686996711702</v>
      </c>
      <c r="Y18">
        <f t="shared" si="17"/>
        <v>1.4162481182287858</v>
      </c>
      <c r="Z18">
        <f t="shared" si="18"/>
        <v>-536.44226322675513</v>
      </c>
      <c r="AA18">
        <f t="shared" si="19"/>
        <v>276.18806818366431</v>
      </c>
      <c r="AB18">
        <f t="shared" si="20"/>
        <v>17.793926101479542</v>
      </c>
      <c r="AC18">
        <f t="shared" si="21"/>
        <v>78.975233238565352</v>
      </c>
      <c r="AD18">
        <v>-4.1076890242181398E-2</v>
      </c>
      <c r="AE18">
        <v>4.6112407830075197E-2</v>
      </c>
      <c r="AF18">
        <v>3.4481212177593701</v>
      </c>
      <c r="AG18">
        <v>149</v>
      </c>
      <c r="AH18">
        <v>30</v>
      </c>
      <c r="AI18">
        <f t="shared" si="22"/>
        <v>1</v>
      </c>
      <c r="AJ18">
        <f t="shared" si="23"/>
        <v>0</v>
      </c>
      <c r="AK18">
        <f t="shared" si="24"/>
        <v>52111.284631083508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291.17288461538499</v>
      </c>
      <c r="AT18">
        <v>425.541</v>
      </c>
      <c r="AU18">
        <f t="shared" si="27"/>
        <v>0.31575832971350593</v>
      </c>
      <c r="AV18">
        <v>0.5</v>
      </c>
      <c r="AW18">
        <f t="shared" si="28"/>
        <v>1681.1769190317232</v>
      </c>
      <c r="AX18">
        <f t="shared" si="29"/>
        <v>30.596991893489168</v>
      </c>
      <c r="AY18">
        <f t="shared" si="30"/>
        <v>265.42280795317743</v>
      </c>
      <c r="AZ18">
        <f t="shared" si="31"/>
        <v>0.54697667204805178</v>
      </c>
      <c r="BA18">
        <f t="shared" si="32"/>
        <v>1.8794566791749383E-2</v>
      </c>
      <c r="BB18">
        <f t="shared" si="33"/>
        <v>-1</v>
      </c>
      <c r="BC18" t="s">
        <v>291</v>
      </c>
      <c r="BD18">
        <v>192.78</v>
      </c>
      <c r="BE18">
        <f t="shared" si="34"/>
        <v>232.761</v>
      </c>
      <c r="BF18">
        <f t="shared" si="35"/>
        <v>0.5772793353895842</v>
      </c>
      <c r="BG18">
        <f t="shared" si="36"/>
        <v>2.2073918456271397</v>
      </c>
      <c r="BH18">
        <f t="shared" si="37"/>
        <v>0.31575832971350587</v>
      </c>
      <c r="BI18" t="e">
        <f t="shared" si="38"/>
        <v>#DIV/0!</v>
      </c>
      <c r="BJ18">
        <v>6086</v>
      </c>
      <c r="BK18">
        <v>300</v>
      </c>
      <c r="BL18">
        <v>300</v>
      </c>
      <c r="BM18">
        <v>300</v>
      </c>
      <c r="BN18">
        <v>9869.15</v>
      </c>
      <c r="BO18">
        <v>390.67500000000001</v>
      </c>
      <c r="BP18">
        <v>-6.5649699999999998E-3</v>
      </c>
      <c r="BQ18">
        <v>1.86673</v>
      </c>
      <c r="BR18">
        <f t="shared" si="39"/>
        <v>1999.9764516129001</v>
      </c>
      <c r="BS18">
        <f t="shared" si="40"/>
        <v>1681.1769190317232</v>
      </c>
      <c r="BT18">
        <f t="shared" si="41"/>
        <v>0.84059835688361328</v>
      </c>
      <c r="BU18">
        <f t="shared" si="42"/>
        <v>0.1911967137672268</v>
      </c>
      <c r="BV18">
        <v>0.5</v>
      </c>
      <c r="BW18" t="s">
        <v>281</v>
      </c>
      <c r="BX18">
        <v>1597503814.73226</v>
      </c>
      <c r="BY18">
        <v>286.34938709677402</v>
      </c>
      <c r="BZ18">
        <v>299.98022580645198</v>
      </c>
      <c r="CA18">
        <v>21.846825806451601</v>
      </c>
      <c r="CB18">
        <v>17.0878709677419</v>
      </c>
      <c r="CC18">
        <v>500.045677419355</v>
      </c>
      <c r="CD18">
        <v>99.038177419354795</v>
      </c>
      <c r="CE18">
        <v>0.20000232258064499</v>
      </c>
      <c r="CF18">
        <v>28.541819354838701</v>
      </c>
      <c r="CG18">
        <v>27.024377419354799</v>
      </c>
      <c r="CH18">
        <v>999.9</v>
      </c>
      <c r="CI18">
        <v>10002.094193548401</v>
      </c>
      <c r="CJ18">
        <v>0</v>
      </c>
      <c r="CK18">
        <v>119.303096774194</v>
      </c>
      <c r="CL18">
        <v>1999.9764516129001</v>
      </c>
      <c r="CM18">
        <v>0.98000590322580605</v>
      </c>
      <c r="CN18">
        <v>1.99941806451613E-2</v>
      </c>
      <c r="CO18">
        <v>0</v>
      </c>
      <c r="CP18">
        <v>291.26622580645198</v>
      </c>
      <c r="CQ18">
        <v>5.00054</v>
      </c>
      <c r="CR18">
        <v>7535.1645161290298</v>
      </c>
      <c r="CS18">
        <v>18703.432258064498</v>
      </c>
      <c r="CT18">
        <v>47.352645161290297</v>
      </c>
      <c r="CU18">
        <v>48.156999999999996</v>
      </c>
      <c r="CV18">
        <v>47.489774193548399</v>
      </c>
      <c r="CW18">
        <v>47.699258064516101</v>
      </c>
      <c r="CX18">
        <v>49.009967741935498</v>
      </c>
      <c r="CY18">
        <v>1955.0864516129</v>
      </c>
      <c r="CZ18">
        <v>39.89</v>
      </c>
      <c r="DA18">
        <v>0</v>
      </c>
      <c r="DB18">
        <v>124.5</v>
      </c>
      <c r="DC18">
        <v>291.17288461538499</v>
      </c>
      <c r="DD18">
        <v>-6.1210598316255904</v>
      </c>
      <c r="DE18">
        <v>-94.202393223922797</v>
      </c>
      <c r="DF18">
        <v>7534.13230769231</v>
      </c>
      <c r="DG18">
        <v>15</v>
      </c>
      <c r="DH18">
        <v>1597503851.2</v>
      </c>
      <c r="DI18" t="s">
        <v>292</v>
      </c>
      <c r="DJ18">
        <v>2</v>
      </c>
      <c r="DK18">
        <v>-0.47099999999999997</v>
      </c>
      <c r="DL18">
        <v>0.11700000000000001</v>
      </c>
      <c r="DM18">
        <v>300</v>
      </c>
      <c r="DN18">
        <v>17</v>
      </c>
      <c r="DO18">
        <v>0.27</v>
      </c>
      <c r="DP18">
        <v>0.02</v>
      </c>
      <c r="DQ18">
        <v>286.36496296296298</v>
      </c>
      <c r="DR18">
        <v>3.7709400224398698E-2</v>
      </c>
      <c r="DS18">
        <v>1.7799254003261499E-2</v>
      </c>
      <c r="DT18">
        <v>1</v>
      </c>
      <c r="DU18">
        <v>21.8483611111111</v>
      </c>
      <c r="DV18">
        <v>-2.6448554621488499E-2</v>
      </c>
      <c r="DW18">
        <v>7.1676592766519703E-3</v>
      </c>
      <c r="DX18">
        <v>1</v>
      </c>
      <c r="DY18">
        <v>2</v>
      </c>
      <c r="DZ18">
        <v>2</v>
      </c>
      <c r="EA18" t="s">
        <v>283</v>
      </c>
      <c r="EB18">
        <v>1.8667400000000001</v>
      </c>
      <c r="EC18">
        <v>1.8632500000000001</v>
      </c>
      <c r="ED18">
        <v>1.8689</v>
      </c>
      <c r="EE18">
        <v>1.86686</v>
      </c>
      <c r="EF18">
        <v>1.8714900000000001</v>
      </c>
      <c r="EG18">
        <v>1.8640099999999999</v>
      </c>
      <c r="EH18">
        <v>1.8656900000000001</v>
      </c>
      <c r="EI18">
        <v>1.86554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-0.47099999999999997</v>
      </c>
      <c r="EX18">
        <v>0.11700000000000001</v>
      </c>
      <c r="EY18">
        <v>2</v>
      </c>
      <c r="EZ18">
        <v>335.25700000000001</v>
      </c>
      <c r="FA18">
        <v>522.346</v>
      </c>
      <c r="FB18">
        <v>22.852799999999998</v>
      </c>
      <c r="FC18">
        <v>32.269199999999998</v>
      </c>
      <c r="FD18">
        <v>30.000599999999999</v>
      </c>
      <c r="FE18">
        <v>32.002499999999998</v>
      </c>
      <c r="FF18">
        <v>31.958500000000001</v>
      </c>
      <c r="FG18">
        <v>17.3521</v>
      </c>
      <c r="FH18">
        <v>44.759300000000003</v>
      </c>
      <c r="FI18">
        <v>64.502099999999999</v>
      </c>
      <c r="FJ18">
        <v>22.8538</v>
      </c>
      <c r="FK18">
        <v>300</v>
      </c>
      <c r="FL18">
        <v>17.017299999999999</v>
      </c>
      <c r="FM18">
        <v>100.997</v>
      </c>
      <c r="FN18">
        <v>101.392</v>
      </c>
    </row>
    <row r="19" spans="1:170" x14ac:dyDescent="0.25">
      <c r="A19">
        <v>3</v>
      </c>
      <c r="B19">
        <v>1597503942.8</v>
      </c>
      <c r="C19">
        <v>245.09999990463299</v>
      </c>
      <c r="D19" t="s">
        <v>293</v>
      </c>
      <c r="E19" t="s">
        <v>294</v>
      </c>
      <c r="G19">
        <v>1597503934.79355</v>
      </c>
      <c r="H19">
        <f t="shared" si="0"/>
        <v>1.254317162426552E-2</v>
      </c>
      <c r="I19">
        <f t="shared" si="1"/>
        <v>19.653582400818774</v>
      </c>
      <c r="J19">
        <f t="shared" si="2"/>
        <v>191.158677419355</v>
      </c>
      <c r="K19">
        <f t="shared" si="3"/>
        <v>150.57844655670718</v>
      </c>
      <c r="L19">
        <f t="shared" si="4"/>
        <v>14.943655006223644</v>
      </c>
      <c r="M19">
        <f t="shared" si="5"/>
        <v>18.970904482834126</v>
      </c>
      <c r="N19">
        <f t="shared" si="6"/>
        <v>0.97645486094952549</v>
      </c>
      <c r="O19">
        <f t="shared" si="7"/>
        <v>3.3766469696652672</v>
      </c>
      <c r="P19">
        <f t="shared" si="8"/>
        <v>0.84262475968626394</v>
      </c>
      <c r="Q19">
        <f t="shared" si="9"/>
        <v>0.5371289328737906</v>
      </c>
      <c r="R19">
        <f t="shared" si="10"/>
        <v>321.44136211115676</v>
      </c>
      <c r="S19">
        <f t="shared" si="11"/>
        <v>27.202235888383559</v>
      </c>
      <c r="T19">
        <f t="shared" si="12"/>
        <v>26.9781612903226</v>
      </c>
      <c r="U19">
        <f t="shared" si="13"/>
        <v>3.5745714833220958</v>
      </c>
      <c r="V19">
        <f t="shared" si="14"/>
        <v>55.097197079714533</v>
      </c>
      <c r="W19">
        <f t="shared" si="15"/>
        <v>2.1398083373782968</v>
      </c>
      <c r="X19">
        <f t="shared" si="16"/>
        <v>3.8836972673626673</v>
      </c>
      <c r="Y19">
        <f t="shared" si="17"/>
        <v>1.4347631459437991</v>
      </c>
      <c r="Z19">
        <f t="shared" si="18"/>
        <v>-553.1538686301094</v>
      </c>
      <c r="AA19">
        <f t="shared" si="19"/>
        <v>258.40010169069973</v>
      </c>
      <c r="AB19">
        <f t="shared" si="20"/>
        <v>16.629088986564952</v>
      </c>
      <c r="AC19">
        <f t="shared" si="21"/>
        <v>43.316684158312057</v>
      </c>
      <c r="AD19">
        <v>-4.1086293487404703E-2</v>
      </c>
      <c r="AE19">
        <v>4.6122963796607901E-2</v>
      </c>
      <c r="AF19">
        <v>3.4487462160216702</v>
      </c>
      <c r="AG19">
        <v>0</v>
      </c>
      <c r="AH19">
        <v>0</v>
      </c>
      <c r="AI19">
        <f t="shared" si="22"/>
        <v>1</v>
      </c>
      <c r="AJ19">
        <f t="shared" si="23"/>
        <v>0</v>
      </c>
      <c r="AK19">
        <f t="shared" si="24"/>
        <v>52147.738624381949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275.84561538461497</v>
      </c>
      <c r="AT19">
        <v>379.66199999999998</v>
      </c>
      <c r="AU19">
        <f t="shared" si="27"/>
        <v>0.27344423359563241</v>
      </c>
      <c r="AV19">
        <v>0.5</v>
      </c>
      <c r="AW19">
        <f t="shared" si="28"/>
        <v>1681.2024480638286</v>
      </c>
      <c r="AX19">
        <f t="shared" si="29"/>
        <v>19.653582400818774</v>
      </c>
      <c r="AY19">
        <f t="shared" si="30"/>
        <v>229.8575574649573</v>
      </c>
      <c r="AZ19">
        <f t="shared" si="31"/>
        <v>0.48822900369275823</v>
      </c>
      <c r="BA19">
        <f t="shared" si="32"/>
        <v>1.2285006142243399E-2</v>
      </c>
      <c r="BB19">
        <f t="shared" si="33"/>
        <v>-1</v>
      </c>
      <c r="BC19" t="s">
        <v>296</v>
      </c>
      <c r="BD19">
        <v>194.3</v>
      </c>
      <c r="BE19">
        <f t="shared" si="34"/>
        <v>185.36199999999997</v>
      </c>
      <c r="BF19">
        <f t="shared" si="35"/>
        <v>0.56007371853662036</v>
      </c>
      <c r="BG19">
        <f t="shared" si="36"/>
        <v>1.9539989706639216</v>
      </c>
      <c r="BH19">
        <f t="shared" si="37"/>
        <v>0.27344423359563247</v>
      </c>
      <c r="BI19" t="e">
        <f t="shared" si="38"/>
        <v>#DIV/0!</v>
      </c>
      <c r="BJ19">
        <v>6088</v>
      </c>
      <c r="BK19">
        <v>300</v>
      </c>
      <c r="BL19">
        <v>300</v>
      </c>
      <c r="BM19">
        <v>300</v>
      </c>
      <c r="BN19">
        <v>9866.2000000000007</v>
      </c>
      <c r="BO19">
        <v>352.94400000000002</v>
      </c>
      <c r="BP19">
        <v>-6.5626E-3</v>
      </c>
      <c r="BQ19">
        <v>2.54636</v>
      </c>
      <c r="BR19">
        <f t="shared" si="39"/>
        <v>2000.0061290322601</v>
      </c>
      <c r="BS19">
        <f t="shared" si="40"/>
        <v>1681.2024480638286</v>
      </c>
      <c r="BT19">
        <f t="shared" si="41"/>
        <v>0.84059864800379858</v>
      </c>
      <c r="BU19">
        <f t="shared" si="42"/>
        <v>0.19119729600759713</v>
      </c>
      <c r="BV19">
        <v>0.5</v>
      </c>
      <c r="BW19" t="s">
        <v>281</v>
      </c>
      <c r="BX19">
        <v>1597503934.79355</v>
      </c>
      <c r="BY19">
        <v>191.158677419355</v>
      </c>
      <c r="BZ19">
        <v>199.97848387096801</v>
      </c>
      <c r="CA19">
        <v>21.561593548387101</v>
      </c>
      <c r="CB19">
        <v>16.6529064516129</v>
      </c>
      <c r="CC19">
        <v>500.04087096774202</v>
      </c>
      <c r="CD19">
        <v>99.041667741935498</v>
      </c>
      <c r="CE19">
        <v>0.199992322580645</v>
      </c>
      <c r="CF19">
        <v>28.397616129032301</v>
      </c>
      <c r="CG19">
        <v>26.9781612903226</v>
      </c>
      <c r="CH19">
        <v>999.9</v>
      </c>
      <c r="CI19">
        <v>10004.0312903226</v>
      </c>
      <c r="CJ19">
        <v>0</v>
      </c>
      <c r="CK19">
        <v>120.93129032258101</v>
      </c>
      <c r="CL19">
        <v>2000.0061290322601</v>
      </c>
      <c r="CM19">
        <v>0.97999693548387101</v>
      </c>
      <c r="CN19">
        <v>2.00028806451613E-2</v>
      </c>
      <c r="CO19">
        <v>0</v>
      </c>
      <c r="CP19">
        <v>275.89258064516099</v>
      </c>
      <c r="CQ19">
        <v>5.00054</v>
      </c>
      <c r="CR19">
        <v>7246.52870967742</v>
      </c>
      <c r="CS19">
        <v>18703.670967741898</v>
      </c>
      <c r="CT19">
        <v>48.130870967741899</v>
      </c>
      <c r="CU19">
        <v>49.163064516128998</v>
      </c>
      <c r="CV19">
        <v>48.322161290322597</v>
      </c>
      <c r="CW19">
        <v>48.560225806451598</v>
      </c>
      <c r="CX19">
        <v>49.717419354838697</v>
      </c>
      <c r="CY19">
        <v>1955.09612903226</v>
      </c>
      <c r="CZ19">
        <v>39.909999999999997</v>
      </c>
      <c r="DA19">
        <v>0</v>
      </c>
      <c r="DB19">
        <v>119.5</v>
      </c>
      <c r="DC19">
        <v>275.84561538461497</v>
      </c>
      <c r="DD19">
        <v>-5.97189743755255</v>
      </c>
      <c r="DE19">
        <v>-102.860854768284</v>
      </c>
      <c r="DF19">
        <v>7245.3330769230797</v>
      </c>
      <c r="DG19">
        <v>15</v>
      </c>
      <c r="DH19">
        <v>1597503973.8</v>
      </c>
      <c r="DI19" t="s">
        <v>297</v>
      </c>
      <c r="DJ19">
        <v>3</v>
      </c>
      <c r="DK19">
        <v>-0.41799999999999998</v>
      </c>
      <c r="DL19">
        <v>0.111</v>
      </c>
      <c r="DM19">
        <v>200</v>
      </c>
      <c r="DN19">
        <v>17</v>
      </c>
      <c r="DO19">
        <v>0.14000000000000001</v>
      </c>
      <c r="DP19">
        <v>0.02</v>
      </c>
      <c r="DQ19">
        <v>191.105685185185</v>
      </c>
      <c r="DR19">
        <v>1.00308734332187E-2</v>
      </c>
      <c r="DS19">
        <v>1.0586196592689201E-2</v>
      </c>
      <c r="DT19">
        <v>1</v>
      </c>
      <c r="DU19">
        <v>21.572190740740702</v>
      </c>
      <c r="DV19">
        <v>-4.7913966627203299E-2</v>
      </c>
      <c r="DW19">
        <v>1.0646217699406499E-2</v>
      </c>
      <c r="DX19">
        <v>1</v>
      </c>
      <c r="DY19">
        <v>2</v>
      </c>
      <c r="DZ19">
        <v>2</v>
      </c>
      <c r="EA19" t="s">
        <v>283</v>
      </c>
      <c r="EB19">
        <v>1.86673</v>
      </c>
      <c r="EC19">
        <v>1.8632500000000001</v>
      </c>
      <c r="ED19">
        <v>1.8689100000000001</v>
      </c>
      <c r="EE19">
        <v>1.8669</v>
      </c>
      <c r="EF19">
        <v>1.8714900000000001</v>
      </c>
      <c r="EG19">
        <v>1.8640099999999999</v>
      </c>
      <c r="EH19">
        <v>1.8656900000000001</v>
      </c>
      <c r="EI19">
        <v>1.86558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-0.41799999999999998</v>
      </c>
      <c r="EX19">
        <v>0.111</v>
      </c>
      <c r="EY19">
        <v>2</v>
      </c>
      <c r="EZ19">
        <v>510.04500000000002</v>
      </c>
      <c r="FA19">
        <v>527.47900000000004</v>
      </c>
      <c r="FB19">
        <v>23.485499999999998</v>
      </c>
      <c r="FC19">
        <v>32.446599999999997</v>
      </c>
      <c r="FD19">
        <v>30.000699999999998</v>
      </c>
      <c r="FE19">
        <v>32.2376</v>
      </c>
      <c r="FF19">
        <v>32.204000000000001</v>
      </c>
      <c r="FG19">
        <v>12.7515</v>
      </c>
      <c r="FH19">
        <v>44.658799999999999</v>
      </c>
      <c r="FI19">
        <v>59.072400000000002</v>
      </c>
      <c r="FJ19">
        <v>23.495999999999999</v>
      </c>
      <c r="FK19">
        <v>200</v>
      </c>
      <c r="FL19">
        <v>16.726199999999999</v>
      </c>
      <c r="FM19">
        <v>100.96</v>
      </c>
      <c r="FN19">
        <v>101.35899999999999</v>
      </c>
    </row>
    <row r="20" spans="1:170" x14ac:dyDescent="0.25">
      <c r="A20">
        <v>4</v>
      </c>
      <c r="B20">
        <v>1597504065.3</v>
      </c>
      <c r="C20">
        <v>367.59999990463302</v>
      </c>
      <c r="D20" t="s">
        <v>298</v>
      </c>
      <c r="E20" t="s">
        <v>299</v>
      </c>
      <c r="G20">
        <v>1597504057.3</v>
      </c>
      <c r="H20">
        <f t="shared" si="0"/>
        <v>1.2185976604358889E-2</v>
      </c>
      <c r="I20">
        <f t="shared" si="1"/>
        <v>7.252914240846617</v>
      </c>
      <c r="J20">
        <f t="shared" si="2"/>
        <v>96.630054838709697</v>
      </c>
      <c r="K20">
        <f t="shared" si="3"/>
        <v>80.450141351264207</v>
      </c>
      <c r="L20">
        <f t="shared" si="4"/>
        <v>7.9838172333677004</v>
      </c>
      <c r="M20">
        <f t="shared" si="5"/>
        <v>9.5895008277749074</v>
      </c>
      <c r="N20">
        <f t="shared" si="6"/>
        <v>0.93109784137420004</v>
      </c>
      <c r="O20">
        <f t="shared" si="7"/>
        <v>3.3725748719532169</v>
      </c>
      <c r="P20">
        <f t="shared" si="8"/>
        <v>0.80845444562461044</v>
      </c>
      <c r="Q20">
        <f t="shared" si="9"/>
        <v>0.51495094898033367</v>
      </c>
      <c r="R20">
        <f t="shared" si="10"/>
        <v>321.44090336030064</v>
      </c>
      <c r="S20">
        <f t="shared" si="11"/>
        <v>27.2576987937232</v>
      </c>
      <c r="T20">
        <f t="shared" si="12"/>
        <v>27.060141935483902</v>
      </c>
      <c r="U20">
        <f t="shared" si="13"/>
        <v>3.5918218120568097</v>
      </c>
      <c r="V20">
        <f t="shared" si="14"/>
        <v>55.159120076109204</v>
      </c>
      <c r="W20">
        <f t="shared" si="15"/>
        <v>2.1391621021698635</v>
      </c>
      <c r="X20">
        <f t="shared" si="16"/>
        <v>3.8781657488702188</v>
      </c>
      <c r="Y20">
        <f t="shared" si="17"/>
        <v>1.4526597098869463</v>
      </c>
      <c r="Z20">
        <f t="shared" si="18"/>
        <v>-537.40156825222698</v>
      </c>
      <c r="AA20">
        <f t="shared" si="19"/>
        <v>238.72441145249473</v>
      </c>
      <c r="AB20">
        <f t="shared" si="20"/>
        <v>15.385825416165028</v>
      </c>
      <c r="AC20">
        <f t="shared" si="21"/>
        <v>38.149571976733398</v>
      </c>
      <c r="AD20">
        <v>-4.1023380862022001E-2</v>
      </c>
      <c r="AE20">
        <v>4.6052338863167203E-2</v>
      </c>
      <c r="AF20">
        <v>3.4445637176749702</v>
      </c>
      <c r="AG20">
        <v>146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52075.312328903456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270.77765384615401</v>
      </c>
      <c r="AT20">
        <v>349.18700000000001</v>
      </c>
      <c r="AU20">
        <f t="shared" si="27"/>
        <v>0.22454829691210154</v>
      </c>
      <c r="AV20">
        <v>0.5</v>
      </c>
      <c r="AW20">
        <f t="shared" si="28"/>
        <v>1681.202689999393</v>
      </c>
      <c r="AX20">
        <f t="shared" si="29"/>
        <v>7.252914240846617</v>
      </c>
      <c r="AY20">
        <f t="shared" si="30"/>
        <v>188.75560040170376</v>
      </c>
      <c r="AZ20">
        <f t="shared" si="31"/>
        <v>0.43812341238362257</v>
      </c>
      <c r="BA20">
        <f t="shared" si="32"/>
        <v>4.9089347108108644E-3</v>
      </c>
      <c r="BB20">
        <f t="shared" si="33"/>
        <v>-1</v>
      </c>
      <c r="BC20" t="s">
        <v>301</v>
      </c>
      <c r="BD20">
        <v>196.2</v>
      </c>
      <c r="BE20">
        <f t="shared" si="34"/>
        <v>152.98700000000002</v>
      </c>
      <c r="BF20">
        <f t="shared" si="35"/>
        <v>0.51252293432674667</v>
      </c>
      <c r="BG20">
        <f t="shared" si="36"/>
        <v>1.7797502548419981</v>
      </c>
      <c r="BH20">
        <f t="shared" si="37"/>
        <v>0.22454829691210154</v>
      </c>
      <c r="BI20" t="e">
        <f t="shared" si="38"/>
        <v>#DIV/0!</v>
      </c>
      <c r="BJ20">
        <v>6090</v>
      </c>
      <c r="BK20">
        <v>300</v>
      </c>
      <c r="BL20">
        <v>300</v>
      </c>
      <c r="BM20">
        <v>300</v>
      </c>
      <c r="BN20">
        <v>9863.99</v>
      </c>
      <c r="BO20">
        <v>329.93</v>
      </c>
      <c r="BP20">
        <v>-6.5605799999999999E-3</v>
      </c>
      <c r="BQ20">
        <v>1.9036599999999999</v>
      </c>
      <c r="BR20">
        <f t="shared" si="39"/>
        <v>2000.00677419355</v>
      </c>
      <c r="BS20">
        <f t="shared" si="40"/>
        <v>1681.202689999393</v>
      </c>
      <c r="BT20">
        <f t="shared" si="41"/>
        <v>0.84059849781123552</v>
      </c>
      <c r="BU20">
        <f t="shared" si="42"/>
        <v>0.19119699562247114</v>
      </c>
      <c r="BV20">
        <v>0.5</v>
      </c>
      <c r="BW20" t="s">
        <v>281</v>
      </c>
      <c r="BX20">
        <v>1597504057.3</v>
      </c>
      <c r="BY20">
        <v>96.630054838709697</v>
      </c>
      <c r="BZ20">
        <v>100.002303225806</v>
      </c>
      <c r="CA20">
        <v>21.555590322580599</v>
      </c>
      <c r="CB20">
        <v>16.786170967741899</v>
      </c>
      <c r="CC20">
        <v>499.98961290322598</v>
      </c>
      <c r="CD20">
        <v>99.038538709677397</v>
      </c>
      <c r="CE20">
        <v>0.200780193548387</v>
      </c>
      <c r="CF20">
        <v>28.373096774193499</v>
      </c>
      <c r="CG20">
        <v>27.060141935483902</v>
      </c>
      <c r="CH20">
        <v>999.9</v>
      </c>
      <c r="CI20">
        <v>9989.0283870967705</v>
      </c>
      <c r="CJ20">
        <v>0</v>
      </c>
      <c r="CK20">
        <v>123.672193548387</v>
      </c>
      <c r="CL20">
        <v>2000.00677419355</v>
      </c>
      <c r="CM20">
        <v>0.98000064516129004</v>
      </c>
      <c r="CN20">
        <v>1.99993612903226E-2</v>
      </c>
      <c r="CO20">
        <v>0</v>
      </c>
      <c r="CP20">
        <v>270.81909677419401</v>
      </c>
      <c r="CQ20">
        <v>5.00054</v>
      </c>
      <c r="CR20">
        <v>7180.7348387096799</v>
      </c>
      <c r="CS20">
        <v>18703.693548387098</v>
      </c>
      <c r="CT20">
        <v>48.810064516129003</v>
      </c>
      <c r="CU20">
        <v>50.003838709677403</v>
      </c>
      <c r="CV20">
        <v>49.082322580645098</v>
      </c>
      <c r="CW20">
        <v>49.324258064516101</v>
      </c>
      <c r="CX20">
        <v>50.374806451612898</v>
      </c>
      <c r="CY20">
        <v>1955.1067741935501</v>
      </c>
      <c r="CZ20">
        <v>39.9</v>
      </c>
      <c r="DA20">
        <v>0</v>
      </c>
      <c r="DB20">
        <v>122.09999990463299</v>
      </c>
      <c r="DC20">
        <v>270.77765384615401</v>
      </c>
      <c r="DD20">
        <v>-2.3353504252649802</v>
      </c>
      <c r="DE20">
        <v>-24.901538511197501</v>
      </c>
      <c r="DF20">
        <v>7180.5973076923101</v>
      </c>
      <c r="DG20">
        <v>15</v>
      </c>
      <c r="DH20">
        <v>1597504096.8</v>
      </c>
      <c r="DI20" t="s">
        <v>302</v>
      </c>
      <c r="DJ20">
        <v>4</v>
      </c>
      <c r="DK20">
        <v>-0.36299999999999999</v>
      </c>
      <c r="DL20">
        <v>0.113</v>
      </c>
      <c r="DM20">
        <v>100</v>
      </c>
      <c r="DN20">
        <v>17</v>
      </c>
      <c r="DO20">
        <v>0.41</v>
      </c>
      <c r="DP20">
        <v>0.02</v>
      </c>
      <c r="DQ20">
        <v>96.564416666666702</v>
      </c>
      <c r="DR20">
        <v>0.11486106346488401</v>
      </c>
      <c r="DS20">
        <v>1.8969339296174399E-2</v>
      </c>
      <c r="DT20">
        <v>1</v>
      </c>
      <c r="DU20">
        <v>21.5467648148148</v>
      </c>
      <c r="DV20">
        <v>4.4719039451146497E-2</v>
      </c>
      <c r="DW20">
        <v>1.96193607836317E-2</v>
      </c>
      <c r="DX20">
        <v>1</v>
      </c>
      <c r="DY20">
        <v>2</v>
      </c>
      <c r="DZ20">
        <v>2</v>
      </c>
      <c r="EA20" t="s">
        <v>283</v>
      </c>
      <c r="EB20">
        <v>1.8667100000000001</v>
      </c>
      <c r="EC20">
        <v>1.8632500000000001</v>
      </c>
      <c r="ED20">
        <v>1.8689</v>
      </c>
      <c r="EE20">
        <v>1.8667899999999999</v>
      </c>
      <c r="EF20">
        <v>1.8714900000000001</v>
      </c>
      <c r="EG20">
        <v>1.8640000000000001</v>
      </c>
      <c r="EH20">
        <v>1.86568</v>
      </c>
      <c r="EI20">
        <v>1.86555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-0.36299999999999999</v>
      </c>
      <c r="EX20">
        <v>0.113</v>
      </c>
      <c r="EY20">
        <v>2</v>
      </c>
      <c r="EZ20">
        <v>338.26100000000002</v>
      </c>
      <c r="FA20">
        <v>519.01099999999997</v>
      </c>
      <c r="FB20">
        <v>22.5138</v>
      </c>
      <c r="FC20">
        <v>32.605699999999999</v>
      </c>
      <c r="FD20">
        <v>30.000699999999998</v>
      </c>
      <c r="FE20">
        <v>32.443600000000004</v>
      </c>
      <c r="FF20">
        <v>32.417499999999997</v>
      </c>
      <c r="FG20">
        <v>7.9700800000000003</v>
      </c>
      <c r="FH20">
        <v>43.402900000000002</v>
      </c>
      <c r="FI20">
        <v>53.6477</v>
      </c>
      <c r="FJ20">
        <v>22.5032</v>
      </c>
      <c r="FK20">
        <v>100</v>
      </c>
      <c r="FL20">
        <v>16.8264</v>
      </c>
      <c r="FM20">
        <v>100.922</v>
      </c>
      <c r="FN20">
        <v>101.325</v>
      </c>
    </row>
    <row r="21" spans="1:170" x14ac:dyDescent="0.25">
      <c r="A21">
        <v>5</v>
      </c>
      <c r="B21">
        <v>1597504188.3</v>
      </c>
      <c r="C21">
        <v>490.59999990463302</v>
      </c>
      <c r="D21" t="s">
        <v>303</v>
      </c>
      <c r="E21" t="s">
        <v>304</v>
      </c>
      <c r="G21">
        <v>1597504180.3</v>
      </c>
      <c r="H21">
        <f t="shared" si="0"/>
        <v>1.2015576384716399E-2</v>
      </c>
      <c r="I21">
        <f t="shared" si="1"/>
        <v>0.87148222467503333</v>
      </c>
      <c r="J21">
        <f t="shared" si="2"/>
        <v>49.399454838709701</v>
      </c>
      <c r="K21">
        <f t="shared" si="3"/>
        <v>46.552206601330653</v>
      </c>
      <c r="L21">
        <f t="shared" si="4"/>
        <v>4.6196530128142186</v>
      </c>
      <c r="M21">
        <f t="shared" si="5"/>
        <v>4.902202431162566</v>
      </c>
      <c r="N21">
        <f t="shared" si="6"/>
        <v>0.91794402134052455</v>
      </c>
      <c r="O21">
        <f t="shared" si="7"/>
        <v>3.3751676013966518</v>
      </c>
      <c r="P21">
        <f t="shared" si="8"/>
        <v>0.79858371635668524</v>
      </c>
      <c r="Q21">
        <f t="shared" si="9"/>
        <v>0.50853995247162775</v>
      </c>
      <c r="R21">
        <f t="shared" si="10"/>
        <v>321.44028555662135</v>
      </c>
      <c r="S21">
        <f t="shared" si="11"/>
        <v>27.141037168003038</v>
      </c>
      <c r="T21">
        <f t="shared" si="12"/>
        <v>26.937951612903198</v>
      </c>
      <c r="U21">
        <f t="shared" si="13"/>
        <v>3.5661370488205475</v>
      </c>
      <c r="V21">
        <f t="shared" si="14"/>
        <v>55.053654812096852</v>
      </c>
      <c r="W21">
        <f t="shared" si="15"/>
        <v>2.1157673738119405</v>
      </c>
      <c r="X21">
        <f t="shared" si="16"/>
        <v>3.8431006643123835</v>
      </c>
      <c r="Y21">
        <f t="shared" si="17"/>
        <v>1.450369675008607</v>
      </c>
      <c r="Z21">
        <f t="shared" si="18"/>
        <v>-529.88691856599326</v>
      </c>
      <c r="AA21">
        <f t="shared" si="19"/>
        <v>232.72944369418877</v>
      </c>
      <c r="AB21">
        <f t="shared" si="20"/>
        <v>14.967123963074929</v>
      </c>
      <c r="AC21">
        <f t="shared" si="21"/>
        <v>39.249934647891791</v>
      </c>
      <c r="AD21">
        <v>-4.1063433792485199E-2</v>
      </c>
      <c r="AE21">
        <v>4.6097301786441502E-2</v>
      </c>
      <c r="AF21">
        <v>3.4472267329937099</v>
      </c>
      <c r="AG21">
        <v>149</v>
      </c>
      <c r="AH21">
        <v>30</v>
      </c>
      <c r="AI21">
        <f t="shared" si="22"/>
        <v>1</v>
      </c>
      <c r="AJ21">
        <f t="shared" si="23"/>
        <v>0</v>
      </c>
      <c r="AK21">
        <f t="shared" si="24"/>
        <v>52151.049805701543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269.53476923076897</v>
      </c>
      <c r="AT21">
        <v>333.05399999999997</v>
      </c>
      <c r="AU21">
        <f t="shared" si="27"/>
        <v>0.19071751358407651</v>
      </c>
      <c r="AV21">
        <v>0.5</v>
      </c>
      <c r="AW21">
        <f t="shared" si="28"/>
        <v>1681.1994383864908</v>
      </c>
      <c r="AX21">
        <f t="shared" si="29"/>
        <v>0.87148222467503333</v>
      </c>
      <c r="AY21">
        <f t="shared" si="30"/>
        <v>160.31708836400867</v>
      </c>
      <c r="AZ21">
        <f t="shared" si="31"/>
        <v>0.40081788538795504</v>
      </c>
      <c r="BA21">
        <f t="shared" si="32"/>
        <v>1.1131827562773659E-3</v>
      </c>
      <c r="BB21">
        <f t="shared" si="33"/>
        <v>-1</v>
      </c>
      <c r="BC21" t="s">
        <v>306</v>
      </c>
      <c r="BD21">
        <v>199.56</v>
      </c>
      <c r="BE21">
        <f t="shared" si="34"/>
        <v>133.49399999999997</v>
      </c>
      <c r="BF21">
        <f t="shared" si="35"/>
        <v>0.47582086662494955</v>
      </c>
      <c r="BG21">
        <f t="shared" si="36"/>
        <v>1.6689416716776908</v>
      </c>
      <c r="BH21">
        <f t="shared" si="37"/>
        <v>0.19071751358407649</v>
      </c>
      <c r="BI21" t="e">
        <f t="shared" si="38"/>
        <v>#DIV/0!</v>
      </c>
      <c r="BJ21">
        <v>6092</v>
      </c>
      <c r="BK21">
        <v>300</v>
      </c>
      <c r="BL21">
        <v>300</v>
      </c>
      <c r="BM21">
        <v>300</v>
      </c>
      <c r="BN21">
        <v>9862.91</v>
      </c>
      <c r="BO21">
        <v>317.96499999999997</v>
      </c>
      <c r="BP21">
        <v>-6.5594099999999999E-3</v>
      </c>
      <c r="BQ21">
        <v>2.6041300000000001</v>
      </c>
      <c r="BR21">
        <f t="shared" si="39"/>
        <v>2000.0029032258101</v>
      </c>
      <c r="BS21">
        <f t="shared" si="40"/>
        <v>1681.1994383864908</v>
      </c>
      <c r="BT21">
        <f t="shared" si="41"/>
        <v>0.84059849896961636</v>
      </c>
      <c r="BU21">
        <f t="shared" si="42"/>
        <v>0.19119699793923287</v>
      </c>
      <c r="BV21">
        <v>0.5</v>
      </c>
      <c r="BW21" t="s">
        <v>281</v>
      </c>
      <c r="BX21">
        <v>1597504180.3</v>
      </c>
      <c r="BY21">
        <v>49.399454838709701</v>
      </c>
      <c r="BZ21">
        <v>49.9854129032258</v>
      </c>
      <c r="CA21">
        <v>21.320570967741901</v>
      </c>
      <c r="CB21">
        <v>16.617293548387099</v>
      </c>
      <c r="CC21">
        <v>500.051193548387</v>
      </c>
      <c r="CD21">
        <v>99.036006451612906</v>
      </c>
      <c r="CE21">
        <v>0.19995570967741899</v>
      </c>
      <c r="CF21">
        <v>28.216951612903198</v>
      </c>
      <c r="CG21">
        <v>26.937951612903198</v>
      </c>
      <c r="CH21">
        <v>999.9</v>
      </c>
      <c r="CI21">
        <v>9999.0367741935497</v>
      </c>
      <c r="CJ21">
        <v>0</v>
      </c>
      <c r="CK21">
        <v>127.667064516129</v>
      </c>
      <c r="CL21">
        <v>2000.0029032258101</v>
      </c>
      <c r="CM21">
        <v>0.98000174193548395</v>
      </c>
      <c r="CN21">
        <v>1.9997935483871E-2</v>
      </c>
      <c r="CO21">
        <v>0</v>
      </c>
      <c r="CP21">
        <v>269.55041935483899</v>
      </c>
      <c r="CQ21">
        <v>5.00054</v>
      </c>
      <c r="CR21">
        <v>7185.0480645161297</v>
      </c>
      <c r="CS21">
        <v>18703.674193548399</v>
      </c>
      <c r="CT21">
        <v>49.360677419354801</v>
      </c>
      <c r="CU21">
        <v>50.683193548387102</v>
      </c>
      <c r="CV21">
        <v>49.673032258064502</v>
      </c>
      <c r="CW21">
        <v>49.881</v>
      </c>
      <c r="CX21">
        <v>50.884999999999998</v>
      </c>
      <c r="CY21">
        <v>1955.10290322581</v>
      </c>
      <c r="CZ21">
        <v>39.9</v>
      </c>
      <c r="DA21">
        <v>0</v>
      </c>
      <c r="DB21">
        <v>122.59999990463299</v>
      </c>
      <c r="DC21">
        <v>269.53476923076897</v>
      </c>
      <c r="DD21">
        <v>-0.80929915246995099</v>
      </c>
      <c r="DE21">
        <v>-15.531623925097</v>
      </c>
      <c r="DF21">
        <v>7184.7846153846103</v>
      </c>
      <c r="DG21">
        <v>15</v>
      </c>
      <c r="DH21">
        <v>1597504222.3</v>
      </c>
      <c r="DI21" t="s">
        <v>307</v>
      </c>
      <c r="DJ21">
        <v>5</v>
      </c>
      <c r="DK21">
        <v>-0.35899999999999999</v>
      </c>
      <c r="DL21">
        <v>0.115</v>
      </c>
      <c r="DM21">
        <v>50</v>
      </c>
      <c r="DN21">
        <v>17</v>
      </c>
      <c r="DO21">
        <v>0.2</v>
      </c>
      <c r="DP21">
        <v>0.02</v>
      </c>
      <c r="DQ21">
        <v>49.392633333333301</v>
      </c>
      <c r="DR21">
        <v>1.35711835334505E-2</v>
      </c>
      <c r="DS21">
        <v>8.9263446958781807E-3</v>
      </c>
      <c r="DT21">
        <v>1</v>
      </c>
      <c r="DU21">
        <v>21.315666666666701</v>
      </c>
      <c r="DV21">
        <v>2.7529331046312999E-2</v>
      </c>
      <c r="DW21">
        <v>6.1762088335446403E-3</v>
      </c>
      <c r="DX21">
        <v>1</v>
      </c>
      <c r="DY21">
        <v>2</v>
      </c>
      <c r="DZ21">
        <v>2</v>
      </c>
      <c r="EA21" t="s">
        <v>283</v>
      </c>
      <c r="EB21">
        <v>1.8667499999999999</v>
      </c>
      <c r="EC21">
        <v>1.8632500000000001</v>
      </c>
      <c r="ED21">
        <v>1.8689</v>
      </c>
      <c r="EE21">
        <v>1.86686</v>
      </c>
      <c r="EF21">
        <v>1.8714900000000001</v>
      </c>
      <c r="EG21">
        <v>1.8640099999999999</v>
      </c>
      <c r="EH21">
        <v>1.8656900000000001</v>
      </c>
      <c r="EI21">
        <v>1.86557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-0.35899999999999999</v>
      </c>
      <c r="EX21">
        <v>0.115</v>
      </c>
      <c r="EY21">
        <v>2</v>
      </c>
      <c r="EZ21">
        <v>335.97899999999998</v>
      </c>
      <c r="FA21">
        <v>517.29300000000001</v>
      </c>
      <c r="FB21">
        <v>23.217099999999999</v>
      </c>
      <c r="FC21">
        <v>32.7209</v>
      </c>
      <c r="FD21">
        <v>30.000299999999999</v>
      </c>
      <c r="FE21">
        <v>32.599200000000003</v>
      </c>
      <c r="FF21">
        <v>32.578800000000001</v>
      </c>
      <c r="FG21">
        <v>5.5635599999999998</v>
      </c>
      <c r="FH21">
        <v>42.785800000000002</v>
      </c>
      <c r="FI21">
        <v>48.691000000000003</v>
      </c>
      <c r="FJ21">
        <v>23.255400000000002</v>
      </c>
      <c r="FK21">
        <v>50</v>
      </c>
      <c r="FL21">
        <v>16.684000000000001</v>
      </c>
      <c r="FM21">
        <v>100.899</v>
      </c>
      <c r="FN21">
        <v>101.31</v>
      </c>
    </row>
    <row r="22" spans="1:170" x14ac:dyDescent="0.25">
      <c r="A22">
        <v>6</v>
      </c>
      <c r="B22">
        <v>1597504313.8</v>
      </c>
      <c r="C22">
        <v>616.09999990463302</v>
      </c>
      <c r="D22" t="s">
        <v>308</v>
      </c>
      <c r="E22" t="s">
        <v>309</v>
      </c>
      <c r="G22">
        <v>1597504305.8</v>
      </c>
      <c r="H22">
        <f t="shared" si="0"/>
        <v>1.1575796545313603E-2</v>
      </c>
      <c r="I22">
        <f t="shared" si="1"/>
        <v>38.088383318659808</v>
      </c>
      <c r="J22">
        <f t="shared" si="2"/>
        <v>382.981516129032</v>
      </c>
      <c r="K22">
        <f t="shared" si="3"/>
        <v>296.01060123472297</v>
      </c>
      <c r="L22">
        <f t="shared" si="4"/>
        <v>29.376250613631431</v>
      </c>
      <c r="M22">
        <f t="shared" si="5"/>
        <v>38.007290790486884</v>
      </c>
      <c r="N22">
        <f t="shared" si="6"/>
        <v>0.86671125426029083</v>
      </c>
      <c r="O22">
        <f t="shared" si="7"/>
        <v>3.3709304224964356</v>
      </c>
      <c r="P22">
        <f t="shared" si="8"/>
        <v>0.75935655721634487</v>
      </c>
      <c r="Q22">
        <f t="shared" si="9"/>
        <v>0.48313071873464419</v>
      </c>
      <c r="R22">
        <f t="shared" si="10"/>
        <v>321.43982680594445</v>
      </c>
      <c r="S22">
        <f t="shared" si="11"/>
        <v>27.403610790631259</v>
      </c>
      <c r="T22">
        <f t="shared" si="12"/>
        <v>27.043274193548399</v>
      </c>
      <c r="U22">
        <f t="shared" si="13"/>
        <v>3.5882665843297099</v>
      </c>
      <c r="V22">
        <f t="shared" si="14"/>
        <v>54.613811568671302</v>
      </c>
      <c r="W22">
        <f t="shared" si="15"/>
        <v>2.1189230915623027</v>
      </c>
      <c r="X22">
        <f t="shared" si="16"/>
        <v>3.8798300845528293</v>
      </c>
      <c r="Y22">
        <f t="shared" si="17"/>
        <v>1.4693434927674072</v>
      </c>
      <c r="Z22">
        <f t="shared" si="18"/>
        <v>-510.49262764832986</v>
      </c>
      <c r="AA22">
        <f t="shared" si="19"/>
        <v>243.0147574112093</v>
      </c>
      <c r="AB22">
        <f t="shared" si="20"/>
        <v>15.669240734198704</v>
      </c>
      <c r="AC22">
        <f t="shared" si="21"/>
        <v>69.631197303022589</v>
      </c>
      <c r="AD22">
        <v>-4.0997984242836301E-2</v>
      </c>
      <c r="AE22">
        <v>4.6023828933265197E-2</v>
      </c>
      <c r="AF22">
        <v>3.4428747016012502</v>
      </c>
      <c r="AG22">
        <v>149</v>
      </c>
      <c r="AH22">
        <v>30</v>
      </c>
      <c r="AI22">
        <f t="shared" si="22"/>
        <v>1</v>
      </c>
      <c r="AJ22">
        <f t="shared" si="23"/>
        <v>0</v>
      </c>
      <c r="AK22">
        <f t="shared" si="24"/>
        <v>52043.145866786857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270.72626923076899</v>
      </c>
      <c r="AT22">
        <v>397.99299999999999</v>
      </c>
      <c r="AU22">
        <f t="shared" si="27"/>
        <v>0.31977127931705085</v>
      </c>
      <c r="AV22">
        <v>0.5</v>
      </c>
      <c r="AW22">
        <f t="shared" si="28"/>
        <v>1681.1996803220554</v>
      </c>
      <c r="AX22">
        <f t="shared" si="29"/>
        <v>38.088383318659808</v>
      </c>
      <c r="AY22">
        <f t="shared" si="30"/>
        <v>268.79968628200027</v>
      </c>
      <c r="AZ22">
        <f t="shared" si="31"/>
        <v>0.55381124793652148</v>
      </c>
      <c r="BA22">
        <f t="shared" si="32"/>
        <v>2.3250291905344597E-2</v>
      </c>
      <c r="BB22">
        <f t="shared" si="33"/>
        <v>-1</v>
      </c>
      <c r="BC22" t="s">
        <v>311</v>
      </c>
      <c r="BD22">
        <v>177.58</v>
      </c>
      <c r="BE22">
        <f t="shared" si="34"/>
        <v>220.41299999999998</v>
      </c>
      <c r="BF22">
        <f t="shared" si="35"/>
        <v>0.57740120033405928</v>
      </c>
      <c r="BG22">
        <f t="shared" si="36"/>
        <v>2.2412039644104063</v>
      </c>
      <c r="BH22">
        <f t="shared" si="37"/>
        <v>0.31977127931705079</v>
      </c>
      <c r="BI22" t="e">
        <f t="shared" si="38"/>
        <v>#DIV/0!</v>
      </c>
      <c r="BJ22">
        <v>6094</v>
      </c>
      <c r="BK22">
        <v>300</v>
      </c>
      <c r="BL22">
        <v>300</v>
      </c>
      <c r="BM22">
        <v>300</v>
      </c>
      <c r="BN22">
        <v>9860.83</v>
      </c>
      <c r="BO22">
        <v>359.87</v>
      </c>
      <c r="BP22">
        <v>-6.5579599999999998E-3</v>
      </c>
      <c r="BQ22">
        <v>1.00519</v>
      </c>
      <c r="BR22">
        <f t="shared" si="39"/>
        <v>2000.0035483871</v>
      </c>
      <c r="BS22">
        <f t="shared" si="40"/>
        <v>1681.1996803220554</v>
      </c>
      <c r="BT22">
        <f t="shared" si="41"/>
        <v>0.84059834877685924</v>
      </c>
      <c r="BU22">
        <f t="shared" si="42"/>
        <v>0.1911966975537186</v>
      </c>
      <c r="BV22">
        <v>0.5</v>
      </c>
      <c r="BW22" t="s">
        <v>281</v>
      </c>
      <c r="BX22">
        <v>1597504305.8</v>
      </c>
      <c r="BY22">
        <v>382.981516129032</v>
      </c>
      <c r="BZ22">
        <v>399.98787096774203</v>
      </c>
      <c r="CA22">
        <v>21.3513870967742</v>
      </c>
      <c r="CB22">
        <v>16.820551612903198</v>
      </c>
      <c r="CC22">
        <v>500.06835483870998</v>
      </c>
      <c r="CD22">
        <v>99.040435483870993</v>
      </c>
      <c r="CE22">
        <v>0.20010012903225799</v>
      </c>
      <c r="CF22">
        <v>28.380477419354801</v>
      </c>
      <c r="CG22">
        <v>27.043274193548399</v>
      </c>
      <c r="CH22">
        <v>999.9</v>
      </c>
      <c r="CI22">
        <v>9982.6532258064508</v>
      </c>
      <c r="CJ22">
        <v>0</v>
      </c>
      <c r="CK22">
        <v>129.86909677419399</v>
      </c>
      <c r="CL22">
        <v>2000.0035483871</v>
      </c>
      <c r="CM22">
        <v>0.98000606451612904</v>
      </c>
      <c r="CN22">
        <v>1.9994112903225801E-2</v>
      </c>
      <c r="CO22">
        <v>0</v>
      </c>
      <c r="CP22">
        <v>270.73496774193501</v>
      </c>
      <c r="CQ22">
        <v>5.00054</v>
      </c>
      <c r="CR22">
        <v>7234.0161290322603</v>
      </c>
      <c r="CS22">
        <v>18703.703225806501</v>
      </c>
      <c r="CT22">
        <v>49.890999999999998</v>
      </c>
      <c r="CU22">
        <v>51.271935483870998</v>
      </c>
      <c r="CV22">
        <v>50.2296774193548</v>
      </c>
      <c r="CW22">
        <v>50.419032258064497</v>
      </c>
      <c r="CX22">
        <v>51.366741935483901</v>
      </c>
      <c r="CY22">
        <v>1955.1135483871001</v>
      </c>
      <c r="CZ22">
        <v>39.89</v>
      </c>
      <c r="DA22">
        <v>0</v>
      </c>
      <c r="DB22">
        <v>125</v>
      </c>
      <c r="DC22">
        <v>270.72626923076899</v>
      </c>
      <c r="DD22">
        <v>1.2837265038430199</v>
      </c>
      <c r="DE22">
        <v>38.110427438349802</v>
      </c>
      <c r="DF22">
        <v>7234.5273076923104</v>
      </c>
      <c r="DG22">
        <v>15</v>
      </c>
      <c r="DH22">
        <v>1597504341.8</v>
      </c>
      <c r="DI22" t="s">
        <v>312</v>
      </c>
      <c r="DJ22">
        <v>6</v>
      </c>
      <c r="DK22">
        <v>-0.30099999999999999</v>
      </c>
      <c r="DL22">
        <v>0.115</v>
      </c>
      <c r="DM22">
        <v>400</v>
      </c>
      <c r="DN22">
        <v>17</v>
      </c>
      <c r="DO22">
        <v>7.0000000000000007E-2</v>
      </c>
      <c r="DP22">
        <v>0.02</v>
      </c>
      <c r="DQ22">
        <v>382.89187037036999</v>
      </c>
      <c r="DR22">
        <v>0.29937564322506199</v>
      </c>
      <c r="DS22">
        <v>4.1754594467220803E-2</v>
      </c>
      <c r="DT22">
        <v>1</v>
      </c>
      <c r="DU22">
        <v>21.354062962962999</v>
      </c>
      <c r="DV22">
        <v>-3.1239794168082601E-2</v>
      </c>
      <c r="DW22">
        <v>5.6619685196179197E-3</v>
      </c>
      <c r="DX22">
        <v>1</v>
      </c>
      <c r="DY22">
        <v>2</v>
      </c>
      <c r="DZ22">
        <v>2</v>
      </c>
      <c r="EA22" t="s">
        <v>283</v>
      </c>
      <c r="EB22">
        <v>1.8667400000000001</v>
      </c>
      <c r="EC22">
        <v>1.8632500000000001</v>
      </c>
      <c r="ED22">
        <v>1.8689</v>
      </c>
      <c r="EE22">
        <v>1.8668899999999999</v>
      </c>
      <c r="EF22">
        <v>1.8714900000000001</v>
      </c>
      <c r="EG22">
        <v>1.8640099999999999</v>
      </c>
      <c r="EH22">
        <v>1.86568</v>
      </c>
      <c r="EI22">
        <v>1.86557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-0.30099999999999999</v>
      </c>
      <c r="EX22">
        <v>0.115</v>
      </c>
      <c r="EY22">
        <v>2</v>
      </c>
      <c r="EZ22">
        <v>335.32400000000001</v>
      </c>
      <c r="FA22">
        <v>516.67899999999997</v>
      </c>
      <c r="FB22">
        <v>23.1037</v>
      </c>
      <c r="FC22">
        <v>32.825400000000002</v>
      </c>
      <c r="FD22">
        <v>30.000699999999998</v>
      </c>
      <c r="FE22">
        <v>32.7378</v>
      </c>
      <c r="FF22">
        <v>32.7239</v>
      </c>
      <c r="FG22">
        <v>21.8568</v>
      </c>
      <c r="FH22">
        <v>41.427399999999999</v>
      </c>
      <c r="FI22">
        <v>44.017400000000002</v>
      </c>
      <c r="FJ22">
        <v>23.071100000000001</v>
      </c>
      <c r="FK22">
        <v>400</v>
      </c>
      <c r="FL22">
        <v>16.9284</v>
      </c>
      <c r="FM22">
        <v>100.875</v>
      </c>
      <c r="FN22">
        <v>101.294</v>
      </c>
    </row>
    <row r="23" spans="1:170" x14ac:dyDescent="0.25">
      <c r="A23">
        <v>7</v>
      </c>
      <c r="B23">
        <v>1597504433.3</v>
      </c>
      <c r="C23">
        <v>735.59999990463302</v>
      </c>
      <c r="D23" t="s">
        <v>313</v>
      </c>
      <c r="E23" t="s">
        <v>314</v>
      </c>
      <c r="G23">
        <v>1597504425.3</v>
      </c>
      <c r="H23">
        <f t="shared" si="0"/>
        <v>1.1234728980239358E-2</v>
      </c>
      <c r="I23">
        <f t="shared" si="1"/>
        <v>38.479345578917972</v>
      </c>
      <c r="J23">
        <f t="shared" si="2"/>
        <v>382.87809677419398</v>
      </c>
      <c r="K23">
        <f t="shared" si="3"/>
        <v>293.4646357673638</v>
      </c>
      <c r="L23">
        <f t="shared" si="4"/>
        <v>29.12616293117663</v>
      </c>
      <c r="M23">
        <f t="shared" si="5"/>
        <v>38.00038733888281</v>
      </c>
      <c r="N23">
        <f t="shared" si="6"/>
        <v>0.84585617693532167</v>
      </c>
      <c r="O23">
        <f t="shared" si="7"/>
        <v>3.3789992278148415</v>
      </c>
      <c r="P23">
        <f t="shared" si="8"/>
        <v>0.74349319066395925</v>
      </c>
      <c r="Q23">
        <f t="shared" si="9"/>
        <v>0.47284389567044938</v>
      </c>
      <c r="R23">
        <f t="shared" si="10"/>
        <v>321.43527221787627</v>
      </c>
      <c r="S23">
        <f t="shared" si="11"/>
        <v>27.287965937032009</v>
      </c>
      <c r="T23">
        <f t="shared" si="12"/>
        <v>26.9844258064516</v>
      </c>
      <c r="U23">
        <f t="shared" si="13"/>
        <v>3.575887103022628</v>
      </c>
      <c r="V23">
        <f t="shared" si="14"/>
        <v>55.244521808857918</v>
      </c>
      <c r="W23">
        <f t="shared" si="15"/>
        <v>2.1191853775373208</v>
      </c>
      <c r="X23">
        <f t="shared" si="16"/>
        <v>3.8360099936597338</v>
      </c>
      <c r="Y23">
        <f t="shared" si="17"/>
        <v>1.4567017254853072</v>
      </c>
      <c r="Z23">
        <f t="shared" si="18"/>
        <v>-495.45154802855569</v>
      </c>
      <c r="AA23">
        <f t="shared" si="19"/>
        <v>218.74806252904065</v>
      </c>
      <c r="AB23">
        <f t="shared" si="20"/>
        <v>14.053038015263953</v>
      </c>
      <c r="AC23">
        <f t="shared" si="21"/>
        <v>58.784824733625186</v>
      </c>
      <c r="AD23">
        <v>-4.1122650592897797E-2</v>
      </c>
      <c r="AE23">
        <v>4.6163777832581299E-2</v>
      </c>
      <c r="AF23">
        <v>3.4511622745212698</v>
      </c>
      <c r="AG23">
        <v>149</v>
      </c>
      <c r="AH23">
        <v>30</v>
      </c>
      <c r="AI23">
        <f t="shared" si="22"/>
        <v>1</v>
      </c>
      <c r="AJ23">
        <f t="shared" si="23"/>
        <v>0</v>
      </c>
      <c r="AK23">
        <f t="shared" si="24"/>
        <v>52228.958576334713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271.60476923076902</v>
      </c>
      <c r="AT23">
        <v>407.13499999999999</v>
      </c>
      <c r="AU23">
        <f t="shared" si="27"/>
        <v>0.33288769270446161</v>
      </c>
      <c r="AV23">
        <v>0.5</v>
      </c>
      <c r="AW23">
        <f t="shared" si="28"/>
        <v>1681.1746049702363</v>
      </c>
      <c r="AX23">
        <f t="shared" si="29"/>
        <v>38.479345578917972</v>
      </c>
      <c r="AY23">
        <f t="shared" si="30"/>
        <v>279.82116764093831</v>
      </c>
      <c r="AZ23">
        <f t="shared" si="31"/>
        <v>0.55213872548417597</v>
      </c>
      <c r="BA23">
        <f t="shared" si="32"/>
        <v>2.3483191729283183E-2</v>
      </c>
      <c r="BB23">
        <f t="shared" si="33"/>
        <v>-1</v>
      </c>
      <c r="BC23" t="s">
        <v>316</v>
      </c>
      <c r="BD23">
        <v>182.34</v>
      </c>
      <c r="BE23">
        <f t="shared" si="34"/>
        <v>224.79499999999999</v>
      </c>
      <c r="BF23">
        <f t="shared" si="35"/>
        <v>0.60290589545688733</v>
      </c>
      <c r="BG23">
        <f t="shared" si="36"/>
        <v>2.2328342656575626</v>
      </c>
      <c r="BH23">
        <f t="shared" si="37"/>
        <v>0.33288769270446161</v>
      </c>
      <c r="BI23" t="e">
        <f t="shared" si="38"/>
        <v>#DIV/0!</v>
      </c>
      <c r="BJ23">
        <v>6096</v>
      </c>
      <c r="BK23">
        <v>300</v>
      </c>
      <c r="BL23">
        <v>300</v>
      </c>
      <c r="BM23">
        <v>300</v>
      </c>
      <c r="BN23">
        <v>9860.14</v>
      </c>
      <c r="BO23">
        <v>366.28800000000001</v>
      </c>
      <c r="BP23">
        <v>-6.5573300000000001E-3</v>
      </c>
      <c r="BQ23">
        <v>0.900177</v>
      </c>
      <c r="BR23">
        <f t="shared" si="39"/>
        <v>1999.9735483871</v>
      </c>
      <c r="BS23">
        <f t="shared" si="40"/>
        <v>1681.1746049702363</v>
      </c>
      <c r="BT23">
        <f t="shared" si="41"/>
        <v>0.84059842007712426</v>
      </c>
      <c r="BU23">
        <f t="shared" si="42"/>
        <v>0.19119684015424859</v>
      </c>
      <c r="BV23">
        <v>0.5</v>
      </c>
      <c r="BW23" t="s">
        <v>281</v>
      </c>
      <c r="BX23">
        <v>1597504425.3</v>
      </c>
      <c r="BY23">
        <v>382.87809677419398</v>
      </c>
      <c r="BZ23">
        <v>399.98819354838702</v>
      </c>
      <c r="CA23">
        <v>21.3521419354839</v>
      </c>
      <c r="CB23">
        <v>16.954783870967699</v>
      </c>
      <c r="CC23">
        <v>500.065870967742</v>
      </c>
      <c r="CD23">
        <v>99.049316129032306</v>
      </c>
      <c r="CE23">
        <v>0.19999496774193501</v>
      </c>
      <c r="CF23">
        <v>28.185225806451601</v>
      </c>
      <c r="CG23">
        <v>26.9844258064516</v>
      </c>
      <c r="CH23">
        <v>999.9</v>
      </c>
      <c r="CI23">
        <v>10012.1106451613</v>
      </c>
      <c r="CJ23">
        <v>0</v>
      </c>
      <c r="CK23">
        <v>129.786612903226</v>
      </c>
      <c r="CL23">
        <v>1999.9735483871</v>
      </c>
      <c r="CM23">
        <v>0.98000451612903305</v>
      </c>
      <c r="CN23">
        <v>1.9995809677419301E-2</v>
      </c>
      <c r="CO23">
        <v>0</v>
      </c>
      <c r="CP23">
        <v>271.59616129032298</v>
      </c>
      <c r="CQ23">
        <v>5.00054</v>
      </c>
      <c r="CR23">
        <v>7250.0274193548403</v>
      </c>
      <c r="CS23">
        <v>18703.4064516129</v>
      </c>
      <c r="CT23">
        <v>50.310064516129003</v>
      </c>
      <c r="CU23">
        <v>51.701387096774198</v>
      </c>
      <c r="CV23">
        <v>50.673000000000002</v>
      </c>
      <c r="CW23">
        <v>50.802</v>
      </c>
      <c r="CX23">
        <v>51.77</v>
      </c>
      <c r="CY23">
        <v>1955.0812903225799</v>
      </c>
      <c r="CZ23">
        <v>39.894193548387101</v>
      </c>
      <c r="DA23">
        <v>0</v>
      </c>
      <c r="DB23">
        <v>118.89999985694899</v>
      </c>
      <c r="DC23">
        <v>271.60476923076902</v>
      </c>
      <c r="DD23">
        <v>0.96765813236049503</v>
      </c>
      <c r="DE23">
        <v>125.658461276423</v>
      </c>
      <c r="DF23">
        <v>7251.0342307692299</v>
      </c>
      <c r="DG23">
        <v>15</v>
      </c>
      <c r="DH23">
        <v>1597504463.3</v>
      </c>
      <c r="DI23" t="s">
        <v>317</v>
      </c>
      <c r="DJ23">
        <v>7</v>
      </c>
      <c r="DK23">
        <v>-0.38700000000000001</v>
      </c>
      <c r="DL23">
        <v>0.11600000000000001</v>
      </c>
      <c r="DM23">
        <v>400</v>
      </c>
      <c r="DN23">
        <v>17</v>
      </c>
      <c r="DO23">
        <v>0.1</v>
      </c>
      <c r="DP23">
        <v>0.02</v>
      </c>
      <c r="DQ23">
        <v>382.97675925925898</v>
      </c>
      <c r="DR23">
        <v>-0.102298456260749</v>
      </c>
      <c r="DS23">
        <v>2.0759589649463998E-2</v>
      </c>
      <c r="DT23">
        <v>1</v>
      </c>
      <c r="DU23">
        <v>21.362048148148101</v>
      </c>
      <c r="DV23">
        <v>-9.9669296740993202E-2</v>
      </c>
      <c r="DW23">
        <v>1.4927550228684699E-2</v>
      </c>
      <c r="DX23">
        <v>1</v>
      </c>
      <c r="DY23">
        <v>2</v>
      </c>
      <c r="DZ23">
        <v>2</v>
      </c>
      <c r="EA23" t="s">
        <v>283</v>
      </c>
      <c r="EB23">
        <v>1.86676</v>
      </c>
      <c r="EC23">
        <v>1.86328</v>
      </c>
      <c r="ED23">
        <v>1.8689</v>
      </c>
      <c r="EE23">
        <v>1.8669</v>
      </c>
      <c r="EF23">
        <v>1.8714999999999999</v>
      </c>
      <c r="EG23">
        <v>1.8640099999999999</v>
      </c>
      <c r="EH23">
        <v>1.8656900000000001</v>
      </c>
      <c r="EI23">
        <v>1.86558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-0.38700000000000001</v>
      </c>
      <c r="EX23">
        <v>0.11600000000000001</v>
      </c>
      <c r="EY23">
        <v>2</v>
      </c>
      <c r="EZ23">
        <v>335.279</v>
      </c>
      <c r="FA23">
        <v>514.90800000000002</v>
      </c>
      <c r="FB23">
        <v>22.959700000000002</v>
      </c>
      <c r="FC23">
        <v>32.928899999999999</v>
      </c>
      <c r="FD23">
        <v>29.999300000000002</v>
      </c>
      <c r="FE23">
        <v>32.852699999999999</v>
      </c>
      <c r="FF23">
        <v>32.840899999999998</v>
      </c>
      <c r="FG23">
        <v>21.864599999999999</v>
      </c>
      <c r="FH23">
        <v>41.0839</v>
      </c>
      <c r="FI23">
        <v>39.829700000000003</v>
      </c>
      <c r="FJ23">
        <v>22.961500000000001</v>
      </c>
      <c r="FK23">
        <v>400</v>
      </c>
      <c r="FL23">
        <v>16.9099</v>
      </c>
      <c r="FM23">
        <v>100.85599999999999</v>
      </c>
      <c r="FN23">
        <v>101.28</v>
      </c>
    </row>
    <row r="24" spans="1:170" x14ac:dyDescent="0.25">
      <c r="A24">
        <v>8</v>
      </c>
      <c r="B24">
        <v>1597504561.8</v>
      </c>
      <c r="C24">
        <v>864.09999990463302</v>
      </c>
      <c r="D24" t="s">
        <v>318</v>
      </c>
      <c r="E24" t="s">
        <v>319</v>
      </c>
      <c r="G24">
        <v>1597504553.8</v>
      </c>
      <c r="H24">
        <f t="shared" si="0"/>
        <v>1.0461693064183797E-2</v>
      </c>
      <c r="I24">
        <f t="shared" si="1"/>
        <v>45.09417899095574</v>
      </c>
      <c r="J24">
        <f t="shared" si="2"/>
        <v>479.95948387096797</v>
      </c>
      <c r="K24">
        <f t="shared" si="3"/>
        <v>365.30540866550058</v>
      </c>
      <c r="L24">
        <f t="shared" si="4"/>
        <v>36.258332138981544</v>
      </c>
      <c r="M24">
        <f t="shared" si="5"/>
        <v>47.638304735265223</v>
      </c>
      <c r="N24">
        <f t="shared" si="6"/>
        <v>0.76485118370641691</v>
      </c>
      <c r="O24">
        <f t="shared" si="7"/>
        <v>3.3768449089319277</v>
      </c>
      <c r="P24">
        <f t="shared" si="8"/>
        <v>0.68006007721820882</v>
      </c>
      <c r="Q24">
        <f t="shared" si="9"/>
        <v>0.43186977727607112</v>
      </c>
      <c r="R24">
        <f t="shared" si="10"/>
        <v>321.44457072041956</v>
      </c>
      <c r="S24">
        <f t="shared" si="11"/>
        <v>27.386865766235779</v>
      </c>
      <c r="T24">
        <f t="shared" si="12"/>
        <v>27.038354838709701</v>
      </c>
      <c r="U24">
        <f t="shared" si="13"/>
        <v>3.5872303066316218</v>
      </c>
      <c r="V24">
        <f t="shared" si="14"/>
        <v>55.09659875779893</v>
      </c>
      <c r="W24">
        <f t="shared" si="15"/>
        <v>2.1041214136808875</v>
      </c>
      <c r="X24">
        <f t="shared" si="16"/>
        <v>3.8189678875287174</v>
      </c>
      <c r="Y24">
        <f t="shared" si="17"/>
        <v>1.4831088929507343</v>
      </c>
      <c r="Z24">
        <f t="shared" si="18"/>
        <v>-461.36066413050543</v>
      </c>
      <c r="AA24">
        <f t="shared" si="19"/>
        <v>194.87071790457017</v>
      </c>
      <c r="AB24">
        <f t="shared" si="20"/>
        <v>12.525653081127585</v>
      </c>
      <c r="AC24">
        <f t="shared" si="21"/>
        <v>67.480277575611893</v>
      </c>
      <c r="AD24">
        <v>-4.1089352451028301E-2</v>
      </c>
      <c r="AE24">
        <v>4.6126397751255398E-2</v>
      </c>
      <c r="AF24">
        <v>3.4489495232335301</v>
      </c>
      <c r="AG24">
        <v>148</v>
      </c>
      <c r="AH24">
        <v>30</v>
      </c>
      <c r="AI24">
        <f t="shared" si="22"/>
        <v>1</v>
      </c>
      <c r="AJ24">
        <f t="shared" si="23"/>
        <v>0</v>
      </c>
      <c r="AK24">
        <f t="shared" si="24"/>
        <v>52201.775122532898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280.63380769230798</v>
      </c>
      <c r="AT24">
        <v>432.68299999999999</v>
      </c>
      <c r="AU24">
        <f t="shared" si="27"/>
        <v>0.35141013700027968</v>
      </c>
      <c r="AV24">
        <v>0.5</v>
      </c>
      <c r="AW24">
        <f t="shared" si="28"/>
        <v>1681.2226655443089</v>
      </c>
      <c r="AX24">
        <f t="shared" si="29"/>
        <v>45.09417899095574</v>
      </c>
      <c r="AY24">
        <f t="shared" si="30"/>
        <v>295.39934361345047</v>
      </c>
      <c r="AZ24">
        <f t="shared" si="31"/>
        <v>0.57918383666564199</v>
      </c>
      <c r="BA24">
        <f t="shared" si="32"/>
        <v>2.741705779706009E-2</v>
      </c>
      <c r="BB24">
        <f t="shared" si="33"/>
        <v>-1</v>
      </c>
      <c r="BC24" t="s">
        <v>321</v>
      </c>
      <c r="BD24">
        <v>182.08</v>
      </c>
      <c r="BE24">
        <f t="shared" si="34"/>
        <v>250.60299999999998</v>
      </c>
      <c r="BF24">
        <f t="shared" si="35"/>
        <v>0.60673332844256467</v>
      </c>
      <c r="BG24">
        <f t="shared" si="36"/>
        <v>2.376334578207381</v>
      </c>
      <c r="BH24">
        <f t="shared" si="37"/>
        <v>0.35141013700027968</v>
      </c>
      <c r="BI24" t="e">
        <f t="shared" si="38"/>
        <v>#DIV/0!</v>
      </c>
      <c r="BJ24">
        <v>6098</v>
      </c>
      <c r="BK24">
        <v>300</v>
      </c>
      <c r="BL24">
        <v>300</v>
      </c>
      <c r="BM24">
        <v>300</v>
      </c>
      <c r="BN24">
        <v>9861.67</v>
      </c>
      <c r="BO24">
        <v>387.72800000000001</v>
      </c>
      <c r="BP24">
        <v>-6.5580400000000002E-3</v>
      </c>
      <c r="BQ24">
        <v>0.98489400000000005</v>
      </c>
      <c r="BR24">
        <f t="shared" si="39"/>
        <v>2000.0306451612901</v>
      </c>
      <c r="BS24">
        <f t="shared" si="40"/>
        <v>1681.2226655443089</v>
      </c>
      <c r="BT24">
        <f t="shared" si="41"/>
        <v>0.84059845263457389</v>
      </c>
      <c r="BU24">
        <f t="shared" si="42"/>
        <v>0.1911969052691479</v>
      </c>
      <c r="BV24">
        <v>0.5</v>
      </c>
      <c r="BW24" t="s">
        <v>281</v>
      </c>
      <c r="BX24">
        <v>1597504553.8</v>
      </c>
      <c r="BY24">
        <v>479.95948387096797</v>
      </c>
      <c r="BZ24">
        <v>500.00325806451599</v>
      </c>
      <c r="CA24">
        <v>21.199180645161299</v>
      </c>
      <c r="CB24">
        <v>17.1037</v>
      </c>
      <c r="CC24">
        <v>500.05919354838699</v>
      </c>
      <c r="CD24">
        <v>99.054845161290302</v>
      </c>
      <c r="CE24">
        <v>0.20000100000000001</v>
      </c>
      <c r="CF24">
        <v>28.108764516129</v>
      </c>
      <c r="CG24">
        <v>27.038354838709701</v>
      </c>
      <c r="CH24">
        <v>999.9</v>
      </c>
      <c r="CI24">
        <v>10003.445161290299</v>
      </c>
      <c r="CJ24">
        <v>0</v>
      </c>
      <c r="CK24">
        <v>136.87319354838701</v>
      </c>
      <c r="CL24">
        <v>2000.0306451612901</v>
      </c>
      <c r="CM24">
        <v>0.98000190322580605</v>
      </c>
      <c r="CN24">
        <v>1.9997767741935499E-2</v>
      </c>
      <c r="CO24">
        <v>0</v>
      </c>
      <c r="CP24">
        <v>280.660387096774</v>
      </c>
      <c r="CQ24">
        <v>5.00054</v>
      </c>
      <c r="CR24">
        <v>7496.8687096774202</v>
      </c>
      <c r="CS24">
        <v>18703.945161290299</v>
      </c>
      <c r="CT24">
        <v>50.283903225806398</v>
      </c>
      <c r="CU24">
        <v>51.7195161290323</v>
      </c>
      <c r="CV24">
        <v>50.689258064516103</v>
      </c>
      <c r="CW24">
        <v>50.596645161290297</v>
      </c>
      <c r="CX24">
        <v>51.655064516129002</v>
      </c>
      <c r="CY24">
        <v>1955.1309677419399</v>
      </c>
      <c r="CZ24">
        <v>39.897419354838703</v>
      </c>
      <c r="DA24">
        <v>0</v>
      </c>
      <c r="DB24">
        <v>127.700000047684</v>
      </c>
      <c r="DC24">
        <v>280.63380769230798</v>
      </c>
      <c r="DD24">
        <v>-1.69213674055647</v>
      </c>
      <c r="DE24">
        <v>-61.829743542821703</v>
      </c>
      <c r="DF24">
        <v>7496.39</v>
      </c>
      <c r="DG24">
        <v>15</v>
      </c>
      <c r="DH24">
        <v>1597504590.8</v>
      </c>
      <c r="DI24" t="s">
        <v>322</v>
      </c>
      <c r="DJ24">
        <v>8</v>
      </c>
      <c r="DK24">
        <v>-0.30199999999999999</v>
      </c>
      <c r="DL24">
        <v>0.12</v>
      </c>
      <c r="DM24">
        <v>500</v>
      </c>
      <c r="DN24">
        <v>17</v>
      </c>
      <c r="DO24">
        <v>0.09</v>
      </c>
      <c r="DP24">
        <v>0.02</v>
      </c>
      <c r="DQ24">
        <v>479.85142592592598</v>
      </c>
      <c r="DR24">
        <v>0.29160891938253902</v>
      </c>
      <c r="DS24">
        <v>4.8887096628202398E-2</v>
      </c>
      <c r="DT24">
        <v>1</v>
      </c>
      <c r="DU24">
        <v>21.1975759259259</v>
      </c>
      <c r="DV24">
        <v>-3.1877873070322998E-2</v>
      </c>
      <c r="DW24">
        <v>5.2827088724962E-3</v>
      </c>
      <c r="DX24">
        <v>1</v>
      </c>
      <c r="DY24">
        <v>2</v>
      </c>
      <c r="DZ24">
        <v>2</v>
      </c>
      <c r="EA24" t="s">
        <v>283</v>
      </c>
      <c r="EB24">
        <v>1.8667400000000001</v>
      </c>
      <c r="EC24">
        <v>1.8632500000000001</v>
      </c>
      <c r="ED24">
        <v>1.8689</v>
      </c>
      <c r="EE24">
        <v>1.8668899999999999</v>
      </c>
      <c r="EF24">
        <v>1.8714900000000001</v>
      </c>
      <c r="EG24">
        <v>1.8640099999999999</v>
      </c>
      <c r="EH24">
        <v>1.8656699999999999</v>
      </c>
      <c r="EI24">
        <v>1.86554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-0.30199999999999999</v>
      </c>
      <c r="EX24">
        <v>0.12</v>
      </c>
      <c r="EY24">
        <v>2</v>
      </c>
      <c r="EZ24">
        <v>336.19900000000001</v>
      </c>
      <c r="FA24">
        <v>514.09100000000001</v>
      </c>
      <c r="FB24">
        <v>22.287299999999998</v>
      </c>
      <c r="FC24">
        <v>32.991799999999998</v>
      </c>
      <c r="FD24">
        <v>30.000399999999999</v>
      </c>
      <c r="FE24">
        <v>32.938499999999998</v>
      </c>
      <c r="FF24">
        <v>32.930500000000002</v>
      </c>
      <c r="FG24">
        <v>26.138999999999999</v>
      </c>
      <c r="FH24">
        <v>39.301000000000002</v>
      </c>
      <c r="FI24">
        <v>35.282899999999998</v>
      </c>
      <c r="FJ24">
        <v>22.261700000000001</v>
      </c>
      <c r="FK24">
        <v>500</v>
      </c>
      <c r="FL24">
        <v>17.156199999999998</v>
      </c>
      <c r="FM24">
        <v>100.845</v>
      </c>
      <c r="FN24">
        <v>101.276</v>
      </c>
    </row>
    <row r="25" spans="1:170" x14ac:dyDescent="0.25">
      <c r="A25">
        <v>9</v>
      </c>
      <c r="B25">
        <v>1597504712.3</v>
      </c>
      <c r="C25">
        <v>1014.59999990463</v>
      </c>
      <c r="D25" t="s">
        <v>323</v>
      </c>
      <c r="E25" t="s">
        <v>324</v>
      </c>
      <c r="G25">
        <v>1597504704.30968</v>
      </c>
      <c r="H25">
        <f t="shared" si="0"/>
        <v>9.6026193003243051E-3</v>
      </c>
      <c r="I25">
        <f t="shared" si="1"/>
        <v>48.462408257569926</v>
      </c>
      <c r="J25">
        <f t="shared" si="2"/>
        <v>578.41012903225806</v>
      </c>
      <c r="K25">
        <f t="shared" si="3"/>
        <v>440.38259015911609</v>
      </c>
      <c r="L25">
        <f t="shared" si="4"/>
        <v>43.709973370664393</v>
      </c>
      <c r="M25">
        <f t="shared" si="5"/>
        <v>57.40983386329539</v>
      </c>
      <c r="N25">
        <f t="shared" si="6"/>
        <v>0.67696360574703307</v>
      </c>
      <c r="O25">
        <f t="shared" si="7"/>
        <v>3.380981293655823</v>
      </c>
      <c r="P25">
        <f t="shared" si="8"/>
        <v>0.60969685257477368</v>
      </c>
      <c r="Q25">
        <f t="shared" si="9"/>
        <v>0.38654567057646999</v>
      </c>
      <c r="R25">
        <f t="shared" si="10"/>
        <v>321.43940573284186</v>
      </c>
      <c r="S25">
        <f t="shared" si="11"/>
        <v>27.193699263877999</v>
      </c>
      <c r="T25">
        <f t="shared" si="12"/>
        <v>26.998958064516099</v>
      </c>
      <c r="U25">
        <f t="shared" si="13"/>
        <v>3.5789406703386022</v>
      </c>
      <c r="V25">
        <f t="shared" si="14"/>
        <v>55.182423010102468</v>
      </c>
      <c r="W25">
        <f t="shared" si="15"/>
        <v>2.0601058728490331</v>
      </c>
      <c r="X25">
        <f t="shared" si="16"/>
        <v>3.7332646166549832</v>
      </c>
      <c r="Y25">
        <f t="shared" si="17"/>
        <v>1.5188347974895691</v>
      </c>
      <c r="Z25">
        <f t="shared" si="18"/>
        <v>-423.47551114430183</v>
      </c>
      <c r="AA25">
        <f t="shared" si="19"/>
        <v>131.36886647386336</v>
      </c>
      <c r="AB25">
        <f t="shared" si="20"/>
        <v>8.415595217360293</v>
      </c>
      <c r="AC25">
        <f t="shared" si="21"/>
        <v>37.748356279763698</v>
      </c>
      <c r="AD25">
        <v>-4.1153294709172498E-2</v>
      </c>
      <c r="AE25">
        <v>4.6198178537671601E-2</v>
      </c>
      <c r="AF25">
        <v>3.45319811541717</v>
      </c>
      <c r="AG25">
        <v>149</v>
      </c>
      <c r="AH25">
        <v>30</v>
      </c>
      <c r="AI25">
        <f t="shared" si="22"/>
        <v>1</v>
      </c>
      <c r="AJ25">
        <f t="shared" si="23"/>
        <v>0</v>
      </c>
      <c r="AK25">
        <f t="shared" si="24"/>
        <v>52347.302593009619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281.80019230769199</v>
      </c>
      <c r="AT25">
        <v>433.39800000000002</v>
      </c>
      <c r="AU25">
        <f t="shared" si="27"/>
        <v>0.34978889540862679</v>
      </c>
      <c r="AV25">
        <v>0.5</v>
      </c>
      <c r="AW25">
        <f t="shared" si="28"/>
        <v>1681.1921512896297</v>
      </c>
      <c r="AX25">
        <f t="shared" si="29"/>
        <v>48.462408257569926</v>
      </c>
      <c r="AY25">
        <f t="shared" si="30"/>
        <v>294.03117278462628</v>
      </c>
      <c r="AZ25">
        <f t="shared" si="31"/>
        <v>0.57784761350998393</v>
      </c>
      <c r="BA25">
        <f t="shared" si="32"/>
        <v>2.9421032104883244E-2</v>
      </c>
      <c r="BB25">
        <f t="shared" si="33"/>
        <v>-1</v>
      </c>
      <c r="BC25" t="s">
        <v>326</v>
      </c>
      <c r="BD25">
        <v>182.96</v>
      </c>
      <c r="BE25">
        <f t="shared" si="34"/>
        <v>250.43800000000002</v>
      </c>
      <c r="BF25">
        <f t="shared" si="35"/>
        <v>0.60533069139790296</v>
      </c>
      <c r="BG25">
        <f t="shared" si="36"/>
        <v>2.3688128552689114</v>
      </c>
      <c r="BH25">
        <f t="shared" si="37"/>
        <v>0.34978889540862679</v>
      </c>
      <c r="BI25" t="e">
        <f t="shared" si="38"/>
        <v>#DIV/0!</v>
      </c>
      <c r="BJ25">
        <v>6100</v>
      </c>
      <c r="BK25">
        <v>300</v>
      </c>
      <c r="BL25">
        <v>300</v>
      </c>
      <c r="BM25">
        <v>300</v>
      </c>
      <c r="BN25">
        <v>9865.44</v>
      </c>
      <c r="BO25">
        <v>392.13</v>
      </c>
      <c r="BP25">
        <v>-6.5611799999999998E-3</v>
      </c>
      <c r="BQ25">
        <v>1.56403</v>
      </c>
      <c r="BR25">
        <f t="shared" si="39"/>
        <v>1999.9938709677399</v>
      </c>
      <c r="BS25">
        <f t="shared" si="40"/>
        <v>1681.1921512896297</v>
      </c>
      <c r="BT25">
        <f t="shared" si="41"/>
        <v>0.84059865167294179</v>
      </c>
      <c r="BU25">
        <f t="shared" si="42"/>
        <v>0.19119730334588353</v>
      </c>
      <c r="BV25">
        <v>0.5</v>
      </c>
      <c r="BW25" t="s">
        <v>281</v>
      </c>
      <c r="BX25">
        <v>1597504704.30968</v>
      </c>
      <c r="BY25">
        <v>578.41012903225806</v>
      </c>
      <c r="BZ25">
        <v>600.01445161290303</v>
      </c>
      <c r="CA25">
        <v>20.755783870967701</v>
      </c>
      <c r="CB25">
        <v>16.994867741935501</v>
      </c>
      <c r="CC25">
        <v>500.05419354838699</v>
      </c>
      <c r="CD25">
        <v>99.054583870967704</v>
      </c>
      <c r="CE25">
        <v>0.19996058064516101</v>
      </c>
      <c r="CF25">
        <v>27.7196741935484</v>
      </c>
      <c r="CG25">
        <v>26.998958064516099</v>
      </c>
      <c r="CH25">
        <v>999.9</v>
      </c>
      <c r="CI25">
        <v>10019.038709677399</v>
      </c>
      <c r="CJ25">
        <v>0</v>
      </c>
      <c r="CK25">
        <v>135.98293548387099</v>
      </c>
      <c r="CL25">
        <v>1999.9938709677399</v>
      </c>
      <c r="CM25">
        <v>0.97999519354838704</v>
      </c>
      <c r="CN25">
        <v>2.00050580645161E-2</v>
      </c>
      <c r="CO25">
        <v>0</v>
      </c>
      <c r="CP25">
        <v>281.82212903225798</v>
      </c>
      <c r="CQ25">
        <v>5.00054</v>
      </c>
      <c r="CR25">
        <v>7455.9832258064498</v>
      </c>
      <c r="CS25">
        <v>18703.5419354839</v>
      </c>
      <c r="CT25">
        <v>49.322290322580599</v>
      </c>
      <c r="CU25">
        <v>50.991741935483901</v>
      </c>
      <c r="CV25">
        <v>49.816129032257997</v>
      </c>
      <c r="CW25">
        <v>49.745741935483899</v>
      </c>
      <c r="CX25">
        <v>50.768000000000001</v>
      </c>
      <c r="CY25">
        <v>1955.08387096774</v>
      </c>
      <c r="CZ25">
        <v>39.909999999999997</v>
      </c>
      <c r="DA25">
        <v>0</v>
      </c>
      <c r="DB25">
        <v>150.200000047684</v>
      </c>
      <c r="DC25">
        <v>281.80019230769199</v>
      </c>
      <c r="DD25">
        <v>-1.7627008660933901</v>
      </c>
      <c r="DE25">
        <v>16.456410035968901</v>
      </c>
      <c r="DF25">
        <v>7456.9526923076901</v>
      </c>
      <c r="DG25">
        <v>15</v>
      </c>
      <c r="DH25">
        <v>1597504738.8</v>
      </c>
      <c r="DI25" t="s">
        <v>327</v>
      </c>
      <c r="DJ25">
        <v>9</v>
      </c>
      <c r="DK25">
        <v>-0.26600000000000001</v>
      </c>
      <c r="DL25">
        <v>0.115</v>
      </c>
      <c r="DM25">
        <v>600</v>
      </c>
      <c r="DN25">
        <v>17</v>
      </c>
      <c r="DO25">
        <v>0.16</v>
      </c>
      <c r="DP25">
        <v>0.03</v>
      </c>
      <c r="DQ25">
        <v>578.33712962963</v>
      </c>
      <c r="DR25">
        <v>0.33480671118764099</v>
      </c>
      <c r="DS25">
        <v>5.51613949465991E-2</v>
      </c>
      <c r="DT25">
        <v>0</v>
      </c>
      <c r="DU25">
        <v>20.779512962963</v>
      </c>
      <c r="DV25">
        <v>-0.176514534943784</v>
      </c>
      <c r="DW25">
        <v>2.3930045010066601E-2</v>
      </c>
      <c r="DX25">
        <v>1</v>
      </c>
      <c r="DY25">
        <v>1</v>
      </c>
      <c r="DZ25">
        <v>2</v>
      </c>
      <c r="EA25" t="s">
        <v>328</v>
      </c>
      <c r="EB25">
        <v>1.8667400000000001</v>
      </c>
      <c r="EC25">
        <v>1.8632599999999999</v>
      </c>
      <c r="ED25">
        <v>1.8689</v>
      </c>
      <c r="EE25">
        <v>1.8669</v>
      </c>
      <c r="EF25">
        <v>1.8714999999999999</v>
      </c>
      <c r="EG25">
        <v>1.8640300000000001</v>
      </c>
      <c r="EH25">
        <v>1.86568</v>
      </c>
      <c r="EI25">
        <v>1.8655600000000001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-0.26600000000000001</v>
      </c>
      <c r="EX25">
        <v>0.115</v>
      </c>
      <c r="EY25">
        <v>2</v>
      </c>
      <c r="EZ25">
        <v>335.61399999999998</v>
      </c>
      <c r="FA25">
        <v>512.02599999999995</v>
      </c>
      <c r="FB25">
        <v>22.330300000000001</v>
      </c>
      <c r="FC25">
        <v>33.078899999999997</v>
      </c>
      <c r="FD25">
        <v>29.9998</v>
      </c>
      <c r="FE25">
        <v>33.029899999999998</v>
      </c>
      <c r="FF25">
        <v>33.024099999999997</v>
      </c>
      <c r="FG25">
        <v>30.269600000000001</v>
      </c>
      <c r="FH25">
        <v>39.938800000000001</v>
      </c>
      <c r="FI25">
        <v>29.6</v>
      </c>
      <c r="FJ25">
        <v>22.316800000000001</v>
      </c>
      <c r="FK25">
        <v>600</v>
      </c>
      <c r="FL25">
        <v>17.026399999999999</v>
      </c>
      <c r="FM25">
        <v>100.83</v>
      </c>
      <c r="FN25">
        <v>101.267</v>
      </c>
    </row>
    <row r="26" spans="1:170" x14ac:dyDescent="0.25">
      <c r="A26">
        <v>10</v>
      </c>
      <c r="B26">
        <v>1597504860.3</v>
      </c>
      <c r="C26">
        <v>1162.5999999046301</v>
      </c>
      <c r="D26" t="s">
        <v>329</v>
      </c>
      <c r="E26" t="s">
        <v>330</v>
      </c>
      <c r="G26">
        <v>1597504852.3</v>
      </c>
      <c r="H26">
        <f t="shared" si="0"/>
        <v>8.3800205859924058E-3</v>
      </c>
      <c r="I26">
        <f t="shared" si="1"/>
        <v>50.738029122157506</v>
      </c>
      <c r="J26">
        <f t="shared" si="2"/>
        <v>677.41564516128994</v>
      </c>
      <c r="K26">
        <f t="shared" si="3"/>
        <v>507.9504280942798</v>
      </c>
      <c r="L26">
        <f t="shared" si="4"/>
        <v>50.412849470252446</v>
      </c>
      <c r="M26">
        <f t="shared" si="5"/>
        <v>67.231861731931559</v>
      </c>
      <c r="N26">
        <f t="shared" si="6"/>
        <v>0.56770621555862744</v>
      </c>
      <c r="O26">
        <f t="shared" si="7"/>
        <v>3.3797216437478239</v>
      </c>
      <c r="P26">
        <f t="shared" si="8"/>
        <v>0.51955835281003981</v>
      </c>
      <c r="Q26">
        <f t="shared" si="9"/>
        <v>0.32870890047035439</v>
      </c>
      <c r="R26">
        <f t="shared" si="10"/>
        <v>321.43555653997197</v>
      </c>
      <c r="S26">
        <f t="shared" si="11"/>
        <v>27.030497492563835</v>
      </c>
      <c r="T26">
        <f t="shared" si="12"/>
        <v>26.971145161290298</v>
      </c>
      <c r="U26">
        <f t="shared" si="13"/>
        <v>3.5730985179880506</v>
      </c>
      <c r="V26">
        <f t="shared" si="14"/>
        <v>55.451154449453767</v>
      </c>
      <c r="W26">
        <f t="shared" si="15"/>
        <v>2.0174071082820277</v>
      </c>
      <c r="X26">
        <f t="shared" si="16"/>
        <v>3.638169715873067</v>
      </c>
      <c r="Y26">
        <f t="shared" si="17"/>
        <v>1.5556914097060228</v>
      </c>
      <c r="Z26">
        <f t="shared" si="18"/>
        <v>-369.55890784226511</v>
      </c>
      <c r="AA26">
        <f t="shared" si="19"/>
        <v>56.041753485383261</v>
      </c>
      <c r="AB26">
        <f t="shared" si="20"/>
        <v>3.5830124929461671</v>
      </c>
      <c r="AC26">
        <f t="shared" si="21"/>
        <v>11.501414676036298</v>
      </c>
      <c r="AD26">
        <v>-4.1133818713290603E-2</v>
      </c>
      <c r="AE26">
        <v>4.6176315026103303E-2</v>
      </c>
      <c r="AF26">
        <v>3.4519042885487798</v>
      </c>
      <c r="AG26">
        <v>149</v>
      </c>
      <c r="AH26">
        <v>30</v>
      </c>
      <c r="AI26">
        <f t="shared" si="22"/>
        <v>1</v>
      </c>
      <c r="AJ26">
        <f t="shared" si="23"/>
        <v>0</v>
      </c>
      <c r="AK26">
        <f t="shared" si="24"/>
        <v>52400.23655650609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280.92649999999998</v>
      </c>
      <c r="AT26">
        <v>437.245</v>
      </c>
      <c r="AU26">
        <f t="shared" si="27"/>
        <v>0.35750780454893716</v>
      </c>
      <c r="AV26">
        <v>0.5</v>
      </c>
      <c r="AW26">
        <f t="shared" si="28"/>
        <v>1681.1769480639737</v>
      </c>
      <c r="AX26">
        <f t="shared" si="29"/>
        <v>50.738029122157506</v>
      </c>
      <c r="AY26">
        <f t="shared" si="30"/>
        <v>300.5169398803169</v>
      </c>
      <c r="AZ26">
        <f t="shared" si="31"/>
        <v>0.57854292216034486</v>
      </c>
      <c r="BA26">
        <f t="shared" si="32"/>
        <v>3.0774886118762512E-2</v>
      </c>
      <c r="BB26">
        <f t="shared" si="33"/>
        <v>-1</v>
      </c>
      <c r="BC26" t="s">
        <v>332</v>
      </c>
      <c r="BD26">
        <v>184.28</v>
      </c>
      <c r="BE26">
        <f t="shared" si="34"/>
        <v>252.965</v>
      </c>
      <c r="BF26">
        <f t="shared" si="35"/>
        <v>0.61794517028047369</v>
      </c>
      <c r="BG26">
        <f t="shared" si="36"/>
        <v>2.3727208595615368</v>
      </c>
      <c r="BH26">
        <f t="shared" si="37"/>
        <v>0.35750780454893716</v>
      </c>
      <c r="BI26" t="e">
        <f t="shared" si="38"/>
        <v>#DIV/0!</v>
      </c>
      <c r="BJ26">
        <v>6102</v>
      </c>
      <c r="BK26">
        <v>300</v>
      </c>
      <c r="BL26">
        <v>300</v>
      </c>
      <c r="BM26">
        <v>300</v>
      </c>
      <c r="BN26">
        <v>9868</v>
      </c>
      <c r="BO26">
        <v>392.85</v>
      </c>
      <c r="BP26">
        <v>-6.5633599999999999E-3</v>
      </c>
      <c r="BQ26">
        <v>1.49298</v>
      </c>
      <c r="BR26">
        <f t="shared" si="39"/>
        <v>1999.9764516129001</v>
      </c>
      <c r="BS26">
        <f t="shared" si="40"/>
        <v>1681.1769480639737</v>
      </c>
      <c r="BT26">
        <f t="shared" si="41"/>
        <v>0.84059837139990945</v>
      </c>
      <c r="BU26">
        <f t="shared" si="42"/>
        <v>0.19119674279981885</v>
      </c>
      <c r="BV26">
        <v>0.5</v>
      </c>
      <c r="BW26" t="s">
        <v>281</v>
      </c>
      <c r="BX26">
        <v>1597504852.3</v>
      </c>
      <c r="BY26">
        <v>677.41564516128994</v>
      </c>
      <c r="BZ26">
        <v>699.97887096774195</v>
      </c>
      <c r="CA26">
        <v>20.327016129032302</v>
      </c>
      <c r="CB26">
        <v>17.043535483871</v>
      </c>
      <c r="CC26">
        <v>500.05958064516102</v>
      </c>
      <c r="CD26">
        <v>99.047632258064496</v>
      </c>
      <c r="CE26">
        <v>0.19994522580645199</v>
      </c>
      <c r="CF26">
        <v>27.278716129032301</v>
      </c>
      <c r="CG26">
        <v>26.971145161290298</v>
      </c>
      <c r="CH26">
        <v>999.9</v>
      </c>
      <c r="CI26">
        <v>10015</v>
      </c>
      <c r="CJ26">
        <v>0</v>
      </c>
      <c r="CK26">
        <v>143.252580645161</v>
      </c>
      <c r="CL26">
        <v>1999.9764516129001</v>
      </c>
      <c r="CM26">
        <v>0.98000396774193499</v>
      </c>
      <c r="CN26">
        <v>1.9995793548387101E-2</v>
      </c>
      <c r="CO26">
        <v>0</v>
      </c>
      <c r="CP26">
        <v>280.92145161290301</v>
      </c>
      <c r="CQ26">
        <v>5.00054</v>
      </c>
      <c r="CR26">
        <v>7477.3580645161301</v>
      </c>
      <c r="CS26">
        <v>18703.432258064498</v>
      </c>
      <c r="CT26">
        <v>48.713322580645098</v>
      </c>
      <c r="CU26">
        <v>50.461451612903197</v>
      </c>
      <c r="CV26">
        <v>49.1931935483871</v>
      </c>
      <c r="CW26">
        <v>49.281870967741902</v>
      </c>
      <c r="CX26">
        <v>50.177129032258101</v>
      </c>
      <c r="CY26">
        <v>1955.0854838709699</v>
      </c>
      <c r="CZ26">
        <v>39.890967741935498</v>
      </c>
      <c r="DA26">
        <v>0</v>
      </c>
      <c r="DB26">
        <v>147.09999990463299</v>
      </c>
      <c r="DC26">
        <v>280.92649999999998</v>
      </c>
      <c r="DD26">
        <v>-1.51456409791881</v>
      </c>
      <c r="DE26">
        <v>12.7904274109836</v>
      </c>
      <c r="DF26">
        <v>7477.39538461538</v>
      </c>
      <c r="DG26">
        <v>15</v>
      </c>
      <c r="DH26">
        <v>1597504886.8</v>
      </c>
      <c r="DI26" t="s">
        <v>333</v>
      </c>
      <c r="DJ26">
        <v>10</v>
      </c>
      <c r="DK26">
        <v>-0.23200000000000001</v>
      </c>
      <c r="DL26">
        <v>0.115</v>
      </c>
      <c r="DM26">
        <v>700</v>
      </c>
      <c r="DN26">
        <v>17</v>
      </c>
      <c r="DO26">
        <v>0.22</v>
      </c>
      <c r="DP26">
        <v>0.03</v>
      </c>
      <c r="DQ26">
        <v>677.34133333333295</v>
      </c>
      <c r="DR26">
        <v>0.34292510005725302</v>
      </c>
      <c r="DS26">
        <v>5.0530152347844699E-2</v>
      </c>
      <c r="DT26">
        <v>0</v>
      </c>
      <c r="DU26">
        <v>20.3538777777778</v>
      </c>
      <c r="DV26">
        <v>-0.22712132647227401</v>
      </c>
      <c r="DW26">
        <v>3.5024613920026301E-2</v>
      </c>
      <c r="DX26">
        <v>0</v>
      </c>
      <c r="DY26">
        <v>0</v>
      </c>
      <c r="DZ26">
        <v>2</v>
      </c>
      <c r="EA26" t="s">
        <v>334</v>
      </c>
      <c r="EB26">
        <v>1.86676</v>
      </c>
      <c r="EC26">
        <v>1.8632500000000001</v>
      </c>
      <c r="ED26">
        <v>1.8689</v>
      </c>
      <c r="EE26">
        <v>1.86686</v>
      </c>
      <c r="EF26">
        <v>1.87151</v>
      </c>
      <c r="EG26">
        <v>1.8640099999999999</v>
      </c>
      <c r="EH26">
        <v>1.86568</v>
      </c>
      <c r="EI26">
        <v>1.86555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-0.23200000000000001</v>
      </c>
      <c r="EX26">
        <v>0.115</v>
      </c>
      <c r="EY26">
        <v>2</v>
      </c>
      <c r="EZ26">
        <v>335.92899999999997</v>
      </c>
      <c r="FA26">
        <v>510.38099999999997</v>
      </c>
      <c r="FB26">
        <v>21.922799999999999</v>
      </c>
      <c r="FC26">
        <v>33.158000000000001</v>
      </c>
      <c r="FD26">
        <v>30</v>
      </c>
      <c r="FE26">
        <v>33.113999999999997</v>
      </c>
      <c r="FF26">
        <v>33.107399999999998</v>
      </c>
      <c r="FG26">
        <v>34.294499999999999</v>
      </c>
      <c r="FH26">
        <v>39.536200000000001</v>
      </c>
      <c r="FI26">
        <v>24.6311</v>
      </c>
      <c r="FJ26">
        <v>21.8856</v>
      </c>
      <c r="FK26">
        <v>700</v>
      </c>
      <c r="FL26">
        <v>16.897600000000001</v>
      </c>
      <c r="FM26">
        <v>100.819</v>
      </c>
      <c r="FN26">
        <v>101.26</v>
      </c>
    </row>
    <row r="27" spans="1:170" x14ac:dyDescent="0.25">
      <c r="A27">
        <v>11</v>
      </c>
      <c r="B27">
        <v>1597505008.3</v>
      </c>
      <c r="C27">
        <v>1310.5999999046301</v>
      </c>
      <c r="D27" t="s">
        <v>335</v>
      </c>
      <c r="E27" t="s">
        <v>336</v>
      </c>
      <c r="G27">
        <v>1597505000.31936</v>
      </c>
      <c r="H27">
        <f t="shared" si="0"/>
        <v>6.9634914892901852E-3</v>
      </c>
      <c r="I27">
        <f t="shared" si="1"/>
        <v>51.313824988880349</v>
      </c>
      <c r="J27">
        <f t="shared" si="2"/>
        <v>777.35103225806495</v>
      </c>
      <c r="K27">
        <f t="shared" si="3"/>
        <v>565.17683200170177</v>
      </c>
      <c r="L27">
        <f t="shared" si="4"/>
        <v>56.092492611127554</v>
      </c>
      <c r="M27">
        <f t="shared" si="5"/>
        <v>77.15029096071757</v>
      </c>
      <c r="N27">
        <f t="shared" si="6"/>
        <v>0.44874053500037636</v>
      </c>
      <c r="O27">
        <f t="shared" si="7"/>
        <v>3.3801026715301226</v>
      </c>
      <c r="P27">
        <f t="shared" si="8"/>
        <v>0.41807697047081693</v>
      </c>
      <c r="Q27">
        <f t="shared" si="9"/>
        <v>0.26387829245820471</v>
      </c>
      <c r="R27">
        <f t="shared" si="10"/>
        <v>321.44028555662135</v>
      </c>
      <c r="S27">
        <f t="shared" si="11"/>
        <v>26.79409023919662</v>
      </c>
      <c r="T27">
        <f t="shared" si="12"/>
        <v>26.9803161290323</v>
      </c>
      <c r="U27">
        <f t="shared" si="13"/>
        <v>3.5750239762998257</v>
      </c>
      <c r="V27">
        <f t="shared" si="14"/>
        <v>55.900799773607666</v>
      </c>
      <c r="W27">
        <f t="shared" si="15"/>
        <v>1.9681174654909794</v>
      </c>
      <c r="X27">
        <f t="shared" si="16"/>
        <v>3.5207322139605286</v>
      </c>
      <c r="Y27">
        <f t="shared" si="17"/>
        <v>1.6069065108088463</v>
      </c>
      <c r="Z27">
        <f t="shared" si="18"/>
        <v>-307.08997467769717</v>
      </c>
      <c r="AA27">
        <f t="shared" si="19"/>
        <v>-47.426919196947026</v>
      </c>
      <c r="AB27">
        <f t="shared" si="20"/>
        <v>-3.0235647745768257</v>
      </c>
      <c r="AC27">
        <f t="shared" si="21"/>
        <v>-36.100173092599661</v>
      </c>
      <c r="AD27">
        <v>-4.1139709606751E-2</v>
      </c>
      <c r="AE27">
        <v>4.6182928070083201E-2</v>
      </c>
      <c r="AF27">
        <v>3.45229565381696</v>
      </c>
      <c r="AG27">
        <v>149</v>
      </c>
      <c r="AH27">
        <v>30</v>
      </c>
      <c r="AI27">
        <f t="shared" si="22"/>
        <v>1</v>
      </c>
      <c r="AJ27">
        <f t="shared" si="23"/>
        <v>0</v>
      </c>
      <c r="AK27">
        <f t="shared" si="24"/>
        <v>52505.117484563067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279.61003846153801</v>
      </c>
      <c r="AT27">
        <v>435.41800000000001</v>
      </c>
      <c r="AU27">
        <f t="shared" si="27"/>
        <v>0.35783537092738926</v>
      </c>
      <c r="AV27">
        <v>0.5</v>
      </c>
      <c r="AW27">
        <f t="shared" si="28"/>
        <v>1681.1994383864908</v>
      </c>
      <c r="AX27">
        <f t="shared" si="29"/>
        <v>51.313824988880349</v>
      </c>
      <c r="AY27">
        <f t="shared" si="30"/>
        <v>300.79631231897423</v>
      </c>
      <c r="AZ27">
        <f t="shared" si="31"/>
        <v>0.58132185623929189</v>
      </c>
      <c r="BA27">
        <f t="shared" si="32"/>
        <v>3.111696553925087E-2</v>
      </c>
      <c r="BB27">
        <f t="shared" si="33"/>
        <v>-1</v>
      </c>
      <c r="BC27" t="s">
        <v>338</v>
      </c>
      <c r="BD27">
        <v>182.3</v>
      </c>
      <c r="BE27">
        <f t="shared" si="34"/>
        <v>253.11799999999999</v>
      </c>
      <c r="BF27">
        <f t="shared" si="35"/>
        <v>0.6155546485767982</v>
      </c>
      <c r="BG27">
        <f t="shared" si="36"/>
        <v>2.3884695556774544</v>
      </c>
      <c r="BH27">
        <f t="shared" si="37"/>
        <v>0.35783537092738932</v>
      </c>
      <c r="BI27" t="e">
        <f t="shared" si="38"/>
        <v>#DIV/0!</v>
      </c>
      <c r="BJ27">
        <v>6104</v>
      </c>
      <c r="BK27">
        <v>300</v>
      </c>
      <c r="BL27">
        <v>300</v>
      </c>
      <c r="BM27">
        <v>300</v>
      </c>
      <c r="BN27">
        <v>9870.35</v>
      </c>
      <c r="BO27">
        <v>390.71800000000002</v>
      </c>
      <c r="BP27">
        <v>-6.56508E-3</v>
      </c>
      <c r="BQ27">
        <v>2.0295100000000001</v>
      </c>
      <c r="BR27">
        <f t="shared" si="39"/>
        <v>2000.0029032258101</v>
      </c>
      <c r="BS27">
        <f t="shared" si="40"/>
        <v>1681.1994383864908</v>
      </c>
      <c r="BT27">
        <f t="shared" si="41"/>
        <v>0.84059849896961636</v>
      </c>
      <c r="BU27">
        <f t="shared" si="42"/>
        <v>0.19119699793923287</v>
      </c>
      <c r="BV27">
        <v>0.5</v>
      </c>
      <c r="BW27" t="s">
        <v>281</v>
      </c>
      <c r="BX27">
        <v>1597505000.31936</v>
      </c>
      <c r="BY27">
        <v>777.35103225806495</v>
      </c>
      <c r="BZ27">
        <v>800.03919354838695</v>
      </c>
      <c r="CA27">
        <v>19.8303612903226</v>
      </c>
      <c r="CB27">
        <v>17.100512903225798</v>
      </c>
      <c r="CC27">
        <v>500.05729032258103</v>
      </c>
      <c r="CD27">
        <v>99.047706451612896</v>
      </c>
      <c r="CE27">
        <v>0.19997929032258099</v>
      </c>
      <c r="CF27">
        <v>26.7200548387097</v>
      </c>
      <c r="CG27">
        <v>26.9803161290323</v>
      </c>
      <c r="CH27">
        <v>999.9</v>
      </c>
      <c r="CI27">
        <v>10016.4267741935</v>
      </c>
      <c r="CJ27">
        <v>0</v>
      </c>
      <c r="CK27">
        <v>147.94370967741901</v>
      </c>
      <c r="CL27">
        <v>2000.0029032258101</v>
      </c>
      <c r="CM27">
        <v>0.980001129032258</v>
      </c>
      <c r="CN27">
        <v>1.99990322580645E-2</v>
      </c>
      <c r="CO27">
        <v>0</v>
      </c>
      <c r="CP27">
        <v>279.61229032258098</v>
      </c>
      <c r="CQ27">
        <v>5.00054</v>
      </c>
      <c r="CR27">
        <v>7463.3393548387103</v>
      </c>
      <c r="CS27">
        <v>18703.674193548399</v>
      </c>
      <c r="CT27">
        <v>48.401000000000003</v>
      </c>
      <c r="CU27">
        <v>50.203258064516099</v>
      </c>
      <c r="CV27">
        <v>48.858741935483899</v>
      </c>
      <c r="CW27">
        <v>49.118838709677398</v>
      </c>
      <c r="CX27">
        <v>49.846548387096803</v>
      </c>
      <c r="CY27">
        <v>1955.10290322581</v>
      </c>
      <c r="CZ27">
        <v>39.9</v>
      </c>
      <c r="DA27">
        <v>0</v>
      </c>
      <c r="DB27">
        <v>147.200000047684</v>
      </c>
      <c r="DC27">
        <v>279.61003846153801</v>
      </c>
      <c r="DD27">
        <v>-2.1304957324518599</v>
      </c>
      <c r="DE27">
        <v>35.816752113815603</v>
      </c>
      <c r="DF27">
        <v>7463.5153846153798</v>
      </c>
      <c r="DG27">
        <v>15</v>
      </c>
      <c r="DH27">
        <v>1597505032.8</v>
      </c>
      <c r="DI27" t="s">
        <v>339</v>
      </c>
      <c r="DJ27">
        <v>11</v>
      </c>
      <c r="DK27">
        <v>-0.28699999999999998</v>
      </c>
      <c r="DL27">
        <v>0.111</v>
      </c>
      <c r="DM27">
        <v>800</v>
      </c>
      <c r="DN27">
        <v>17</v>
      </c>
      <c r="DO27">
        <v>0.16</v>
      </c>
      <c r="DP27">
        <v>0.03</v>
      </c>
      <c r="DQ27">
        <v>777.35235185185195</v>
      </c>
      <c r="DR27">
        <v>0.32741424002823</v>
      </c>
      <c r="DS27">
        <v>7.4966451115595301E-2</v>
      </c>
      <c r="DT27">
        <v>0</v>
      </c>
      <c r="DU27">
        <v>19.8376925925926</v>
      </c>
      <c r="DV27">
        <v>4.7305646041561601E-2</v>
      </c>
      <c r="DW27">
        <v>3.4492966818543497E-2</v>
      </c>
      <c r="DX27">
        <v>1</v>
      </c>
      <c r="DY27">
        <v>1</v>
      </c>
      <c r="DZ27">
        <v>2</v>
      </c>
      <c r="EA27" t="s">
        <v>328</v>
      </c>
      <c r="EB27">
        <v>1.86676</v>
      </c>
      <c r="EC27">
        <v>1.8632500000000001</v>
      </c>
      <c r="ED27">
        <v>1.8689</v>
      </c>
      <c r="EE27">
        <v>1.8668499999999999</v>
      </c>
      <c r="EF27">
        <v>1.87151</v>
      </c>
      <c r="EG27">
        <v>1.8640099999999999</v>
      </c>
      <c r="EH27">
        <v>1.86565</v>
      </c>
      <c r="EI27">
        <v>1.8655600000000001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-0.28699999999999998</v>
      </c>
      <c r="EX27">
        <v>0.111</v>
      </c>
      <c r="EY27">
        <v>2</v>
      </c>
      <c r="EZ27">
        <v>335.68900000000002</v>
      </c>
      <c r="FA27">
        <v>508.34399999999999</v>
      </c>
      <c r="FB27">
        <v>21.004799999999999</v>
      </c>
      <c r="FC27">
        <v>33.261800000000001</v>
      </c>
      <c r="FD27">
        <v>29.997900000000001</v>
      </c>
      <c r="FE27">
        <v>33.204999999999998</v>
      </c>
      <c r="FF27">
        <v>33.197000000000003</v>
      </c>
      <c r="FG27">
        <v>38.220199999999998</v>
      </c>
      <c r="FH27">
        <v>40.079799999999999</v>
      </c>
      <c r="FI27">
        <v>19.242899999999999</v>
      </c>
      <c r="FJ27">
        <v>20.941800000000001</v>
      </c>
      <c r="FK27">
        <v>800</v>
      </c>
      <c r="FL27">
        <v>16.718599999999999</v>
      </c>
      <c r="FM27">
        <v>100.80200000000001</v>
      </c>
      <c r="FN27">
        <v>101.249</v>
      </c>
    </row>
    <row r="28" spans="1:170" x14ac:dyDescent="0.25">
      <c r="A28">
        <v>12</v>
      </c>
      <c r="B28">
        <v>1597505154.3</v>
      </c>
      <c r="C28">
        <v>1456.5999999046301</v>
      </c>
      <c r="D28" t="s">
        <v>340</v>
      </c>
      <c r="E28" t="s">
        <v>341</v>
      </c>
      <c r="G28">
        <v>1597505146.32581</v>
      </c>
      <c r="H28">
        <f t="shared" si="0"/>
        <v>5.5317843213060188E-3</v>
      </c>
      <c r="I28">
        <f t="shared" si="1"/>
        <v>53.849448967424742</v>
      </c>
      <c r="J28">
        <f t="shared" si="2"/>
        <v>976.28941935483897</v>
      </c>
      <c r="K28">
        <f t="shared" si="3"/>
        <v>690.14734993567833</v>
      </c>
      <c r="L28">
        <f t="shared" si="4"/>
        <v>68.501224000900294</v>
      </c>
      <c r="M28">
        <f t="shared" si="5"/>
        <v>96.902524093105129</v>
      </c>
      <c r="N28">
        <f t="shared" si="6"/>
        <v>0.34259968067512037</v>
      </c>
      <c r="O28">
        <f t="shared" si="7"/>
        <v>3.3760653727476733</v>
      </c>
      <c r="P28">
        <f t="shared" si="8"/>
        <v>0.3243903788031352</v>
      </c>
      <c r="Q28">
        <f t="shared" si="9"/>
        <v>0.20429933103683223</v>
      </c>
      <c r="R28">
        <f t="shared" si="10"/>
        <v>321.4430351856472</v>
      </c>
      <c r="S28">
        <f t="shared" si="11"/>
        <v>27.095306181281959</v>
      </c>
      <c r="T28">
        <f t="shared" si="12"/>
        <v>27.028812903225798</v>
      </c>
      <c r="U28">
        <f t="shared" si="13"/>
        <v>3.5852210124249306</v>
      </c>
      <c r="V28">
        <f t="shared" si="14"/>
        <v>55.175653919366361</v>
      </c>
      <c r="W28">
        <f t="shared" si="15"/>
        <v>1.9397313011619854</v>
      </c>
      <c r="X28">
        <f t="shared" si="16"/>
        <v>3.5155565242538072</v>
      </c>
      <c r="Y28">
        <f t="shared" si="17"/>
        <v>1.6454897112629452</v>
      </c>
      <c r="Z28">
        <f t="shared" si="18"/>
        <v>-243.95168856959543</v>
      </c>
      <c r="AA28">
        <f t="shared" si="19"/>
        <v>-60.746276705562543</v>
      </c>
      <c r="AB28">
        <f t="shared" si="20"/>
        <v>-3.8777890987655228</v>
      </c>
      <c r="AC28">
        <f t="shared" si="21"/>
        <v>12.867280811723724</v>
      </c>
      <c r="AD28">
        <v>-4.1077305922553702E-2</v>
      </c>
      <c r="AE28">
        <v>4.61128744677088E-2</v>
      </c>
      <c r="AF28">
        <v>3.4481488475024702</v>
      </c>
      <c r="AG28">
        <v>148</v>
      </c>
      <c r="AH28">
        <v>30</v>
      </c>
      <c r="AI28">
        <f t="shared" si="22"/>
        <v>1</v>
      </c>
      <c r="AJ28">
        <f t="shared" si="23"/>
        <v>0</v>
      </c>
      <c r="AK28">
        <f t="shared" si="24"/>
        <v>52433.294850231126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276.83053846153803</v>
      </c>
      <c r="AT28">
        <v>427.96499999999997</v>
      </c>
      <c r="AU28">
        <f t="shared" si="27"/>
        <v>0.35314677961623486</v>
      </c>
      <c r="AV28">
        <v>0.5</v>
      </c>
      <c r="AW28">
        <f t="shared" si="28"/>
        <v>1681.2135674187341</v>
      </c>
      <c r="AX28">
        <f t="shared" si="29"/>
        <v>53.849448967424742</v>
      </c>
      <c r="AY28">
        <f t="shared" si="30"/>
        <v>296.85757859052387</v>
      </c>
      <c r="AZ28">
        <f t="shared" si="31"/>
        <v>0.57482504410407387</v>
      </c>
      <c r="BA28">
        <f t="shared" si="32"/>
        <v>3.2624914544104183E-2</v>
      </c>
      <c r="BB28">
        <f t="shared" si="33"/>
        <v>-1</v>
      </c>
      <c r="BC28" t="s">
        <v>343</v>
      </c>
      <c r="BD28">
        <v>181.96</v>
      </c>
      <c r="BE28">
        <f t="shared" si="34"/>
        <v>246.00499999999997</v>
      </c>
      <c r="BF28">
        <f t="shared" si="35"/>
        <v>0.61435524293596455</v>
      </c>
      <c r="BG28">
        <f t="shared" si="36"/>
        <v>2.3519729610903495</v>
      </c>
      <c r="BH28">
        <f t="shared" si="37"/>
        <v>0.35314677961623486</v>
      </c>
      <c r="BI28" t="e">
        <f t="shared" si="38"/>
        <v>#DIV/0!</v>
      </c>
      <c r="BJ28">
        <v>6106</v>
      </c>
      <c r="BK28">
        <v>300</v>
      </c>
      <c r="BL28">
        <v>300</v>
      </c>
      <c r="BM28">
        <v>300</v>
      </c>
      <c r="BN28">
        <v>9870.9599999999991</v>
      </c>
      <c r="BO28">
        <v>385.94099999999997</v>
      </c>
      <c r="BP28">
        <v>-6.5656200000000003E-3</v>
      </c>
      <c r="BQ28">
        <v>1.7641</v>
      </c>
      <c r="BR28">
        <f t="shared" si="39"/>
        <v>2000.01967741935</v>
      </c>
      <c r="BS28">
        <f t="shared" si="40"/>
        <v>1681.2135674187341</v>
      </c>
      <c r="BT28">
        <f t="shared" si="41"/>
        <v>0.84059851330464141</v>
      </c>
      <c r="BU28">
        <f t="shared" si="42"/>
        <v>0.19119702660928295</v>
      </c>
      <c r="BV28">
        <v>0.5</v>
      </c>
      <c r="BW28" t="s">
        <v>281</v>
      </c>
      <c r="BX28">
        <v>1597505146.32581</v>
      </c>
      <c r="BY28">
        <v>976.28941935483897</v>
      </c>
      <c r="BZ28">
        <v>999.98609677419404</v>
      </c>
      <c r="CA28">
        <v>19.542722580645201</v>
      </c>
      <c r="CB28">
        <v>17.3735580645161</v>
      </c>
      <c r="CC28">
        <v>500.07070967741902</v>
      </c>
      <c r="CD28">
        <v>99.055964516128995</v>
      </c>
      <c r="CE28">
        <v>0.199975548387097</v>
      </c>
      <c r="CF28">
        <v>26.695061290322599</v>
      </c>
      <c r="CG28">
        <v>27.028812903225798</v>
      </c>
      <c r="CH28">
        <v>999.9</v>
      </c>
      <c r="CI28">
        <v>10000.399354838701</v>
      </c>
      <c r="CJ28">
        <v>0</v>
      </c>
      <c r="CK28">
        <v>154.140806451613</v>
      </c>
      <c r="CL28">
        <v>2000.01967741935</v>
      </c>
      <c r="CM28">
        <v>0.97999945161290303</v>
      </c>
      <c r="CN28">
        <v>2.0000541935483899E-2</v>
      </c>
      <c r="CO28">
        <v>0</v>
      </c>
      <c r="CP28">
        <v>276.87038709677398</v>
      </c>
      <c r="CQ28">
        <v>5.00054</v>
      </c>
      <c r="CR28">
        <v>7449.18129032258</v>
      </c>
      <c r="CS28">
        <v>18703.806451612902</v>
      </c>
      <c r="CT28">
        <v>48.100548387096801</v>
      </c>
      <c r="CU28">
        <v>49.999935483870999</v>
      </c>
      <c r="CV28">
        <v>48.578258064516099</v>
      </c>
      <c r="CW28">
        <v>48.896935483870998</v>
      </c>
      <c r="CX28">
        <v>49.558</v>
      </c>
      <c r="CY28">
        <v>1955.11838709677</v>
      </c>
      <c r="CZ28">
        <v>39.901290322580699</v>
      </c>
      <c r="DA28">
        <v>0</v>
      </c>
      <c r="DB28">
        <v>145.39999985694899</v>
      </c>
      <c r="DC28">
        <v>276.83053846153803</v>
      </c>
      <c r="DD28">
        <v>-2.1295726361067699</v>
      </c>
      <c r="DE28">
        <v>-36.101196638799301</v>
      </c>
      <c r="DF28">
        <v>7448.7992307692302</v>
      </c>
      <c r="DG28">
        <v>15</v>
      </c>
      <c r="DH28">
        <v>1597505182.4000001</v>
      </c>
      <c r="DI28" t="s">
        <v>344</v>
      </c>
      <c r="DJ28">
        <v>12</v>
      </c>
      <c r="DK28">
        <v>3.1E-2</v>
      </c>
      <c r="DL28">
        <v>0.123</v>
      </c>
      <c r="DM28">
        <v>1000</v>
      </c>
      <c r="DN28">
        <v>17</v>
      </c>
      <c r="DO28">
        <v>0.12</v>
      </c>
      <c r="DP28">
        <v>0.04</v>
      </c>
      <c r="DQ28">
        <v>975.86661111111096</v>
      </c>
      <c r="DR28">
        <v>1.0277051450347201</v>
      </c>
      <c r="DS28">
        <v>0.13667024611391801</v>
      </c>
      <c r="DT28">
        <v>0</v>
      </c>
      <c r="DU28">
        <v>19.528011111111098</v>
      </c>
      <c r="DV28">
        <v>2.8737807765913202E-2</v>
      </c>
      <c r="DW28">
        <v>9.3680439214160905E-3</v>
      </c>
      <c r="DX28">
        <v>1</v>
      </c>
      <c r="DY28">
        <v>1</v>
      </c>
      <c r="DZ28">
        <v>2</v>
      </c>
      <c r="EA28" t="s">
        <v>328</v>
      </c>
      <c r="EB28">
        <v>1.86673</v>
      </c>
      <c r="EC28">
        <v>1.86324</v>
      </c>
      <c r="ED28">
        <v>1.8689</v>
      </c>
      <c r="EE28">
        <v>1.86677</v>
      </c>
      <c r="EF28">
        <v>1.8714900000000001</v>
      </c>
      <c r="EG28">
        <v>1.86398</v>
      </c>
      <c r="EH28">
        <v>1.86558</v>
      </c>
      <c r="EI28">
        <v>1.86554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3.1E-2</v>
      </c>
      <c r="EX28">
        <v>0.123</v>
      </c>
      <c r="EY28">
        <v>2</v>
      </c>
      <c r="EZ28">
        <v>336.24400000000003</v>
      </c>
      <c r="FA28">
        <v>507.858</v>
      </c>
      <c r="FB28">
        <v>20.618500000000001</v>
      </c>
      <c r="FC28">
        <v>33.378</v>
      </c>
      <c r="FD28">
        <v>30.000399999999999</v>
      </c>
      <c r="FE28">
        <v>33.314999999999998</v>
      </c>
      <c r="FF28">
        <v>33.305999999999997</v>
      </c>
      <c r="FG28">
        <v>45.808</v>
      </c>
      <c r="FH28">
        <v>37.743099999999998</v>
      </c>
      <c r="FI28">
        <v>14.3123</v>
      </c>
      <c r="FJ28">
        <v>20.6066</v>
      </c>
      <c r="FK28">
        <v>1000</v>
      </c>
      <c r="FL28">
        <v>17.360399999999998</v>
      </c>
      <c r="FM28">
        <v>100.771</v>
      </c>
      <c r="FN28">
        <v>101.21899999999999</v>
      </c>
    </row>
    <row r="29" spans="1:170" x14ac:dyDescent="0.25">
      <c r="A29">
        <v>13</v>
      </c>
      <c r="B29">
        <v>1597505303.9000001</v>
      </c>
      <c r="C29">
        <v>1606.2000000476801</v>
      </c>
      <c r="D29" t="s">
        <v>345</v>
      </c>
      <c r="E29" t="s">
        <v>346</v>
      </c>
      <c r="G29">
        <v>1597505295.9000001</v>
      </c>
      <c r="H29">
        <f t="shared" si="0"/>
        <v>4.749965226130564E-3</v>
      </c>
      <c r="I29">
        <f t="shared" si="1"/>
        <v>54.360774045795324</v>
      </c>
      <c r="J29">
        <f t="shared" si="2"/>
        <v>1175.9529032258099</v>
      </c>
      <c r="K29">
        <f t="shared" si="3"/>
        <v>832.35163082278575</v>
      </c>
      <c r="L29">
        <f t="shared" si="4"/>
        <v>82.621475809683886</v>
      </c>
      <c r="M29">
        <f t="shared" si="5"/>
        <v>116.72826813729728</v>
      </c>
      <c r="N29">
        <f t="shared" si="6"/>
        <v>0.28642092982401851</v>
      </c>
      <c r="O29">
        <f t="shared" si="7"/>
        <v>3.3763807625697875</v>
      </c>
      <c r="P29">
        <f t="shared" si="8"/>
        <v>0.27357469184206229</v>
      </c>
      <c r="Q29">
        <f t="shared" si="9"/>
        <v>0.17209034757748037</v>
      </c>
      <c r="R29">
        <f t="shared" si="10"/>
        <v>321.43739482057032</v>
      </c>
      <c r="S29">
        <f t="shared" si="11"/>
        <v>26.982559596838708</v>
      </c>
      <c r="T29">
        <f t="shared" si="12"/>
        <v>27.017264516129</v>
      </c>
      <c r="U29">
        <f t="shared" si="13"/>
        <v>3.582790523495496</v>
      </c>
      <c r="V29">
        <f t="shared" si="14"/>
        <v>55.182115118227401</v>
      </c>
      <c r="W29">
        <f t="shared" si="15"/>
        <v>1.9069912535940001</v>
      </c>
      <c r="X29">
        <f t="shared" si="16"/>
        <v>3.455813988840915</v>
      </c>
      <c r="Y29">
        <f t="shared" si="17"/>
        <v>1.6757992699014959</v>
      </c>
      <c r="Z29">
        <f t="shared" si="18"/>
        <v>-209.47346647235787</v>
      </c>
      <c r="AA29">
        <f t="shared" si="19"/>
        <v>-111.59221548335236</v>
      </c>
      <c r="AB29">
        <f t="shared" si="20"/>
        <v>-7.1121524483296499</v>
      </c>
      <c r="AC29">
        <f t="shared" si="21"/>
        <v>-6.7404395834695663</v>
      </c>
      <c r="AD29">
        <v>-4.1082179635662998E-2</v>
      </c>
      <c r="AE29">
        <v>4.61183456376347E-2</v>
      </c>
      <c r="AF29">
        <v>3.4484727898371701</v>
      </c>
      <c r="AG29">
        <v>149</v>
      </c>
      <c r="AH29">
        <v>30</v>
      </c>
      <c r="AI29">
        <f t="shared" si="22"/>
        <v>1</v>
      </c>
      <c r="AJ29">
        <f t="shared" si="23"/>
        <v>0</v>
      </c>
      <c r="AK29">
        <f t="shared" si="24"/>
        <v>52490.349126603112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273.99176923076902</v>
      </c>
      <c r="AT29">
        <v>421.98500000000001</v>
      </c>
      <c r="AU29">
        <f t="shared" si="27"/>
        <v>0.3507073255429245</v>
      </c>
      <c r="AV29">
        <v>0.5</v>
      </c>
      <c r="AW29">
        <f t="shared" si="28"/>
        <v>1681.1840166344896</v>
      </c>
      <c r="AX29">
        <f t="shared" si="29"/>
        <v>54.360774045795324</v>
      </c>
      <c r="AY29">
        <f t="shared" si="30"/>
        <v>294.80177510969668</v>
      </c>
      <c r="AZ29">
        <f t="shared" si="31"/>
        <v>0.57074303588990138</v>
      </c>
      <c r="BA29">
        <f t="shared" si="32"/>
        <v>3.2929633816422041E-2</v>
      </c>
      <c r="BB29">
        <f t="shared" si="33"/>
        <v>-1</v>
      </c>
      <c r="BC29" t="s">
        <v>348</v>
      </c>
      <c r="BD29">
        <v>181.14</v>
      </c>
      <c r="BE29">
        <f t="shared" si="34"/>
        <v>240.84500000000003</v>
      </c>
      <c r="BF29">
        <f t="shared" si="35"/>
        <v>0.61447499748481793</v>
      </c>
      <c r="BG29">
        <f t="shared" si="36"/>
        <v>2.3296069338633103</v>
      </c>
      <c r="BH29">
        <f t="shared" si="37"/>
        <v>0.3507073255429245</v>
      </c>
      <c r="BI29" t="e">
        <f t="shared" si="38"/>
        <v>#DIV/0!</v>
      </c>
      <c r="BJ29">
        <v>6108</v>
      </c>
      <c r="BK29">
        <v>300</v>
      </c>
      <c r="BL29">
        <v>300</v>
      </c>
      <c r="BM29">
        <v>300</v>
      </c>
      <c r="BN29">
        <v>9871.93</v>
      </c>
      <c r="BO29">
        <v>379.75099999999998</v>
      </c>
      <c r="BP29">
        <v>-6.5663199999999996E-3</v>
      </c>
      <c r="BQ29">
        <v>1.67563</v>
      </c>
      <c r="BR29">
        <f t="shared" si="39"/>
        <v>1999.98451612903</v>
      </c>
      <c r="BS29">
        <f t="shared" si="40"/>
        <v>1681.1840166344896</v>
      </c>
      <c r="BT29">
        <f t="shared" si="41"/>
        <v>0.84059851617672576</v>
      </c>
      <c r="BU29">
        <f t="shared" si="42"/>
        <v>0.19119703235345165</v>
      </c>
      <c r="BV29">
        <v>0.5</v>
      </c>
      <c r="BW29" t="s">
        <v>281</v>
      </c>
      <c r="BX29">
        <v>1597505295.9000001</v>
      </c>
      <c r="BY29">
        <v>1175.9529032258099</v>
      </c>
      <c r="BZ29">
        <v>1199.9283870967699</v>
      </c>
      <c r="CA29">
        <v>19.211558064516101</v>
      </c>
      <c r="CB29">
        <v>17.348316129032298</v>
      </c>
      <c r="CC29">
        <v>500.06506451612898</v>
      </c>
      <c r="CD29">
        <v>99.062741935483899</v>
      </c>
      <c r="CE29">
        <v>0.19996477419354799</v>
      </c>
      <c r="CF29">
        <v>26.404212903225801</v>
      </c>
      <c r="CG29">
        <v>27.017264516129</v>
      </c>
      <c r="CH29">
        <v>999.9</v>
      </c>
      <c r="CI29">
        <v>10000.901612903201</v>
      </c>
      <c r="CJ29">
        <v>0</v>
      </c>
      <c r="CK29">
        <v>158.59490322580601</v>
      </c>
      <c r="CL29">
        <v>1999.98451612903</v>
      </c>
      <c r="CM29">
        <v>0.97999735483870898</v>
      </c>
      <c r="CN29">
        <v>2.00026387096774E-2</v>
      </c>
      <c r="CO29">
        <v>0</v>
      </c>
      <c r="CP29">
        <v>273.99264516129</v>
      </c>
      <c r="CQ29">
        <v>5.00054</v>
      </c>
      <c r="CR29">
        <v>7398.8722580645099</v>
      </c>
      <c r="CS29">
        <v>18703.4806451613</v>
      </c>
      <c r="CT29">
        <v>47.997774193548402</v>
      </c>
      <c r="CU29">
        <v>49.945193548387103</v>
      </c>
      <c r="CV29">
        <v>48.463419354838699</v>
      </c>
      <c r="CW29">
        <v>48.856612903225802</v>
      </c>
      <c r="CX29">
        <v>49.441258064516099</v>
      </c>
      <c r="CY29">
        <v>1955.0770967741901</v>
      </c>
      <c r="CZ29">
        <v>39.900645161290299</v>
      </c>
      <c r="DA29">
        <v>0</v>
      </c>
      <c r="DB29">
        <v>148.799999952316</v>
      </c>
      <c r="DC29">
        <v>273.99176923076902</v>
      </c>
      <c r="DD29">
        <v>-1.30707692978497</v>
      </c>
      <c r="DE29">
        <v>-0.91350432797297998</v>
      </c>
      <c r="DF29">
        <v>7398.8638461538503</v>
      </c>
      <c r="DG29">
        <v>15</v>
      </c>
      <c r="DH29">
        <v>1597505328.9000001</v>
      </c>
      <c r="DI29" t="s">
        <v>349</v>
      </c>
      <c r="DJ29">
        <v>13</v>
      </c>
      <c r="DK29">
        <v>-9.9000000000000005E-2</v>
      </c>
      <c r="DL29">
        <v>0.125</v>
      </c>
      <c r="DM29">
        <v>1200</v>
      </c>
      <c r="DN29">
        <v>17</v>
      </c>
      <c r="DO29">
        <v>0.15</v>
      </c>
      <c r="DP29">
        <v>0.05</v>
      </c>
      <c r="DQ29">
        <v>1176.0112962963001</v>
      </c>
      <c r="DR29">
        <v>0.73733131951303299</v>
      </c>
      <c r="DS29">
        <v>0.106754240028507</v>
      </c>
      <c r="DT29">
        <v>0</v>
      </c>
      <c r="DU29">
        <v>19.254255555555599</v>
      </c>
      <c r="DV29">
        <v>-0.41825100726582898</v>
      </c>
      <c r="DW29">
        <v>5.46072735172492E-2</v>
      </c>
      <c r="DX29">
        <v>0</v>
      </c>
      <c r="DY29">
        <v>0</v>
      </c>
      <c r="DZ29">
        <v>2</v>
      </c>
      <c r="EA29" t="s">
        <v>334</v>
      </c>
      <c r="EB29">
        <v>1.8667199999999999</v>
      </c>
      <c r="EC29">
        <v>1.86324</v>
      </c>
      <c r="ED29">
        <v>1.8689</v>
      </c>
      <c r="EE29">
        <v>1.86677</v>
      </c>
      <c r="EF29">
        <v>1.8714900000000001</v>
      </c>
      <c r="EG29">
        <v>1.8640099999999999</v>
      </c>
      <c r="EH29">
        <v>1.8656200000000001</v>
      </c>
      <c r="EI29">
        <v>1.86554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-9.9000000000000005E-2</v>
      </c>
      <c r="EX29">
        <v>0.125</v>
      </c>
      <c r="EY29">
        <v>2</v>
      </c>
      <c r="EZ29">
        <v>335.85199999999998</v>
      </c>
      <c r="FA29">
        <v>506.291</v>
      </c>
      <c r="FB29">
        <v>20.458300000000001</v>
      </c>
      <c r="FC29">
        <v>33.528100000000002</v>
      </c>
      <c r="FD29">
        <v>30.000900000000001</v>
      </c>
      <c r="FE29">
        <v>33.443800000000003</v>
      </c>
      <c r="FF29">
        <v>33.433700000000002</v>
      </c>
      <c r="FG29">
        <v>53.055700000000002</v>
      </c>
      <c r="FH29">
        <v>38.239600000000003</v>
      </c>
      <c r="FI29">
        <v>9.7516499999999997</v>
      </c>
      <c r="FJ29">
        <v>20.4361</v>
      </c>
      <c r="FK29">
        <v>1200</v>
      </c>
      <c r="FL29">
        <v>17.331800000000001</v>
      </c>
      <c r="FM29">
        <v>100.748</v>
      </c>
      <c r="FN29">
        <v>101.19199999999999</v>
      </c>
    </row>
    <row r="30" spans="1:170" x14ac:dyDescent="0.25">
      <c r="A30">
        <v>14</v>
      </c>
      <c r="B30">
        <v>1597505433.4000001</v>
      </c>
      <c r="C30">
        <v>1735.7000000476801</v>
      </c>
      <c r="D30" t="s">
        <v>350</v>
      </c>
      <c r="E30" t="s">
        <v>351</v>
      </c>
      <c r="G30">
        <v>1597505425.4000001</v>
      </c>
      <c r="H30">
        <f t="shared" si="0"/>
        <v>4.0004176085402842E-3</v>
      </c>
      <c r="I30">
        <f t="shared" si="1"/>
        <v>55.936732480321268</v>
      </c>
      <c r="J30">
        <f t="shared" si="2"/>
        <v>1575.1158064516101</v>
      </c>
      <c r="K30">
        <f t="shared" si="3"/>
        <v>1150.4671275428909</v>
      </c>
      <c r="L30">
        <f t="shared" si="4"/>
        <v>114.19636086083452</v>
      </c>
      <c r="M30">
        <f t="shared" si="5"/>
        <v>156.34735554358249</v>
      </c>
      <c r="N30">
        <f t="shared" si="6"/>
        <v>0.23907197832851068</v>
      </c>
      <c r="O30">
        <f t="shared" si="7"/>
        <v>3.3759934657902568</v>
      </c>
      <c r="P30">
        <f t="shared" si="8"/>
        <v>0.23004904368464765</v>
      </c>
      <c r="Q30">
        <f t="shared" si="9"/>
        <v>0.14456295406222466</v>
      </c>
      <c r="R30">
        <f t="shared" si="10"/>
        <v>321.43905609466799</v>
      </c>
      <c r="S30">
        <f t="shared" si="11"/>
        <v>26.972726603238772</v>
      </c>
      <c r="T30">
        <f t="shared" si="12"/>
        <v>26.988264516129</v>
      </c>
      <c r="U30">
        <f t="shared" si="13"/>
        <v>3.5766934845973211</v>
      </c>
      <c r="V30">
        <f t="shared" si="14"/>
        <v>55.517198928673928</v>
      </c>
      <c r="W30">
        <f t="shared" si="15"/>
        <v>1.8982080846833147</v>
      </c>
      <c r="X30">
        <f t="shared" si="16"/>
        <v>3.4191351892988142</v>
      </c>
      <c r="Y30">
        <f t="shared" si="17"/>
        <v>1.6784853999140064</v>
      </c>
      <c r="Z30">
        <f t="shared" si="18"/>
        <v>-176.41841653662652</v>
      </c>
      <c r="AA30">
        <f t="shared" si="19"/>
        <v>-139.19861687973318</v>
      </c>
      <c r="AB30">
        <f t="shared" si="20"/>
        <v>-8.8633146681736878</v>
      </c>
      <c r="AC30">
        <f t="shared" si="21"/>
        <v>-3.0412919898654138</v>
      </c>
      <c r="AD30">
        <v>-4.1076194774155902E-2</v>
      </c>
      <c r="AE30">
        <v>4.6111627106290201E-2</v>
      </c>
      <c r="AF30">
        <v>3.4480749906743</v>
      </c>
      <c r="AG30">
        <v>149</v>
      </c>
      <c r="AH30">
        <v>30</v>
      </c>
      <c r="AI30">
        <f t="shared" si="22"/>
        <v>1</v>
      </c>
      <c r="AJ30">
        <f t="shared" si="23"/>
        <v>0</v>
      </c>
      <c r="AK30">
        <f t="shared" si="24"/>
        <v>52514.676933783056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272.84469230769201</v>
      </c>
      <c r="AT30">
        <v>405.99299999999999</v>
      </c>
      <c r="AU30">
        <f t="shared" si="27"/>
        <v>0.32795715121272528</v>
      </c>
      <c r="AV30">
        <v>0.5</v>
      </c>
      <c r="AW30">
        <f t="shared" si="28"/>
        <v>1681.1929384427901</v>
      </c>
      <c r="AX30">
        <f t="shared" si="29"/>
        <v>55.936732480321268</v>
      </c>
      <c r="AY30">
        <f t="shared" si="30"/>
        <v>275.67962336532406</v>
      </c>
      <c r="AZ30">
        <f t="shared" si="31"/>
        <v>0.56215993871815528</v>
      </c>
      <c r="BA30">
        <f t="shared" si="32"/>
        <v>3.3866863926432553E-2</v>
      </c>
      <c r="BB30">
        <f t="shared" si="33"/>
        <v>-1</v>
      </c>
      <c r="BC30" t="s">
        <v>353</v>
      </c>
      <c r="BD30">
        <v>177.76</v>
      </c>
      <c r="BE30">
        <f t="shared" si="34"/>
        <v>228.233</v>
      </c>
      <c r="BF30">
        <f t="shared" si="35"/>
        <v>0.58338762445530656</v>
      </c>
      <c r="BG30">
        <f t="shared" si="36"/>
        <v>2.2839390189018904</v>
      </c>
      <c r="BH30">
        <f t="shared" si="37"/>
        <v>0.32795715121272528</v>
      </c>
      <c r="BI30" t="e">
        <f t="shared" si="38"/>
        <v>#DIV/0!</v>
      </c>
      <c r="BJ30">
        <v>6110</v>
      </c>
      <c r="BK30">
        <v>300</v>
      </c>
      <c r="BL30">
        <v>300</v>
      </c>
      <c r="BM30">
        <v>300</v>
      </c>
      <c r="BN30">
        <v>9872.07</v>
      </c>
      <c r="BO30">
        <v>372.06299999999999</v>
      </c>
      <c r="BP30">
        <v>-6.5664599999999997E-3</v>
      </c>
      <c r="BQ30">
        <v>2.7325699999999999</v>
      </c>
      <c r="BR30">
        <f t="shared" si="39"/>
        <v>1999.9951612903201</v>
      </c>
      <c r="BS30">
        <f t="shared" si="40"/>
        <v>1681.1929384427901</v>
      </c>
      <c r="BT30">
        <f t="shared" si="41"/>
        <v>0.84059850292745164</v>
      </c>
      <c r="BU30">
        <f t="shared" si="42"/>
        <v>0.19119700585490315</v>
      </c>
      <c r="BV30">
        <v>0.5</v>
      </c>
      <c r="BW30" t="s">
        <v>281</v>
      </c>
      <c r="BX30">
        <v>1597505425.4000001</v>
      </c>
      <c r="BY30">
        <v>1575.1158064516101</v>
      </c>
      <c r="BZ30">
        <v>1600.00677419355</v>
      </c>
      <c r="CA30">
        <v>19.123429032258102</v>
      </c>
      <c r="CB30">
        <v>17.554125806451601</v>
      </c>
      <c r="CC30">
        <v>500.08383870967702</v>
      </c>
      <c r="CD30">
        <v>99.060861290322606</v>
      </c>
      <c r="CE30">
        <v>0.200002516129032</v>
      </c>
      <c r="CF30">
        <v>26.223464516128999</v>
      </c>
      <c r="CG30">
        <v>26.988264516129</v>
      </c>
      <c r="CH30">
        <v>999.9</v>
      </c>
      <c r="CI30">
        <v>9999.6345161290301</v>
      </c>
      <c r="CJ30">
        <v>0</v>
      </c>
      <c r="CK30">
        <v>160.55029032258099</v>
      </c>
      <c r="CL30">
        <v>1999.9951612903201</v>
      </c>
      <c r="CM30">
        <v>0.97999767741935495</v>
      </c>
      <c r="CN30">
        <v>2.0002219354838702E-2</v>
      </c>
      <c r="CO30">
        <v>0</v>
      </c>
      <c r="CP30">
        <v>272.85267741935502</v>
      </c>
      <c r="CQ30">
        <v>5.00054</v>
      </c>
      <c r="CR30">
        <v>7372.92</v>
      </c>
      <c r="CS30">
        <v>18703.564516129001</v>
      </c>
      <c r="CT30">
        <v>48.032129032258098</v>
      </c>
      <c r="CU30">
        <v>49.989774193548399</v>
      </c>
      <c r="CV30">
        <v>48.465451612903202</v>
      </c>
      <c r="CW30">
        <v>48.945258064516104</v>
      </c>
      <c r="CX30">
        <v>49.433258064516103</v>
      </c>
      <c r="CY30">
        <v>1955.08967741935</v>
      </c>
      <c r="CZ30">
        <v>39.9</v>
      </c>
      <c r="DA30">
        <v>0</v>
      </c>
      <c r="DB30">
        <v>128.60000014305101</v>
      </c>
      <c r="DC30">
        <v>272.84469230769201</v>
      </c>
      <c r="DD30">
        <v>-3.2308376081874299</v>
      </c>
      <c r="DE30">
        <v>-31.8666666995837</v>
      </c>
      <c r="DF30">
        <v>7372.8038461538499</v>
      </c>
      <c r="DG30">
        <v>15</v>
      </c>
      <c r="DH30">
        <v>1597505466.4000001</v>
      </c>
      <c r="DI30" t="s">
        <v>354</v>
      </c>
      <c r="DJ30">
        <v>14</v>
      </c>
      <c r="DK30">
        <v>-0.17899999999999999</v>
      </c>
      <c r="DL30">
        <v>0.126</v>
      </c>
      <c r="DM30">
        <v>1600</v>
      </c>
      <c r="DN30">
        <v>18</v>
      </c>
      <c r="DO30">
        <v>0.19</v>
      </c>
      <c r="DP30">
        <v>0.06</v>
      </c>
      <c r="DQ30">
        <v>1575.16074074074</v>
      </c>
      <c r="DR30">
        <v>0.21598627787315</v>
      </c>
      <c r="DS30">
        <v>8.4543476692797701E-2</v>
      </c>
      <c r="DT30">
        <v>1</v>
      </c>
      <c r="DU30">
        <v>19.113037037037</v>
      </c>
      <c r="DV30">
        <v>0.104025614636938</v>
      </c>
      <c r="DW30">
        <v>1.4346135062129299E-2</v>
      </c>
      <c r="DX30">
        <v>1</v>
      </c>
      <c r="DY30">
        <v>2</v>
      </c>
      <c r="DZ30">
        <v>2</v>
      </c>
      <c r="EA30" t="s">
        <v>283</v>
      </c>
      <c r="EB30">
        <v>1.8667400000000001</v>
      </c>
      <c r="EC30">
        <v>1.86324</v>
      </c>
      <c r="ED30">
        <v>1.8689</v>
      </c>
      <c r="EE30">
        <v>1.8667899999999999</v>
      </c>
      <c r="EF30">
        <v>1.8714900000000001</v>
      </c>
      <c r="EG30">
        <v>1.8640000000000001</v>
      </c>
      <c r="EH30">
        <v>1.86558</v>
      </c>
      <c r="EI30">
        <v>1.86554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-0.17899999999999999</v>
      </c>
      <c r="EX30">
        <v>0.126</v>
      </c>
      <c r="EY30">
        <v>2</v>
      </c>
      <c r="EZ30">
        <v>335.89100000000002</v>
      </c>
      <c r="FA30">
        <v>506.017</v>
      </c>
      <c r="FB30">
        <v>20.297799999999999</v>
      </c>
      <c r="FC30">
        <v>33.684100000000001</v>
      </c>
      <c r="FD30">
        <v>30.000699999999998</v>
      </c>
      <c r="FE30">
        <v>33.584600000000002</v>
      </c>
      <c r="FF30">
        <v>33.571800000000003</v>
      </c>
      <c r="FG30">
        <v>66.738799999999998</v>
      </c>
      <c r="FH30">
        <v>37.699599999999997</v>
      </c>
      <c r="FI30">
        <v>5.5608899999999997</v>
      </c>
      <c r="FJ30">
        <v>20.261099999999999</v>
      </c>
      <c r="FK30">
        <v>1600</v>
      </c>
      <c r="FL30">
        <v>17.466699999999999</v>
      </c>
      <c r="FM30">
        <v>100.721</v>
      </c>
      <c r="FN30">
        <v>101.17</v>
      </c>
    </row>
    <row r="31" spans="1:170" x14ac:dyDescent="0.25">
      <c r="A31">
        <v>15</v>
      </c>
      <c r="B31">
        <v>1597505557.9000001</v>
      </c>
      <c r="C31">
        <v>1860.2000000476801</v>
      </c>
      <c r="D31" t="s">
        <v>355</v>
      </c>
      <c r="E31" t="s">
        <v>356</v>
      </c>
      <c r="G31">
        <v>1597505549.9000001</v>
      </c>
      <c r="H31">
        <f t="shared" si="0"/>
        <v>3.676622107559461E-3</v>
      </c>
      <c r="I31">
        <f t="shared" si="1"/>
        <v>56.201310502320347</v>
      </c>
      <c r="J31">
        <f t="shared" si="2"/>
        <v>1774.98112903226</v>
      </c>
      <c r="K31">
        <f t="shared" si="3"/>
        <v>1302.7225297753969</v>
      </c>
      <c r="L31">
        <f t="shared" si="4"/>
        <v>129.30254570221385</v>
      </c>
      <c r="M31">
        <f t="shared" si="5"/>
        <v>176.17687060101036</v>
      </c>
      <c r="N31">
        <f t="shared" si="6"/>
        <v>0.21594726169651693</v>
      </c>
      <c r="O31">
        <f t="shared" si="7"/>
        <v>3.3715325467390991</v>
      </c>
      <c r="P31">
        <f t="shared" si="8"/>
        <v>0.20854698410306072</v>
      </c>
      <c r="Q31">
        <f t="shared" si="9"/>
        <v>0.13098562367293062</v>
      </c>
      <c r="R31">
        <f t="shared" si="10"/>
        <v>321.44105320931772</v>
      </c>
      <c r="S31">
        <f t="shared" si="11"/>
        <v>27.006727683712729</v>
      </c>
      <c r="T31">
        <f t="shared" si="12"/>
        <v>27.0456677419355</v>
      </c>
      <c r="U31">
        <f t="shared" si="13"/>
        <v>3.5887708873842876</v>
      </c>
      <c r="V31">
        <f t="shared" si="14"/>
        <v>55.328350082285525</v>
      </c>
      <c r="W31">
        <f t="shared" si="15"/>
        <v>1.8871930831449437</v>
      </c>
      <c r="X31">
        <f t="shared" si="16"/>
        <v>3.4108970904396556</v>
      </c>
      <c r="Y31">
        <f t="shared" si="17"/>
        <v>1.7015778042393439</v>
      </c>
      <c r="Z31">
        <f t="shared" si="18"/>
        <v>-162.13903494337222</v>
      </c>
      <c r="AA31">
        <f t="shared" si="19"/>
        <v>-156.86997549677915</v>
      </c>
      <c r="AB31">
        <f t="shared" si="20"/>
        <v>-10.002568824017054</v>
      </c>
      <c r="AC31">
        <f t="shared" si="21"/>
        <v>-7.5705260548506885</v>
      </c>
      <c r="AD31">
        <v>-4.1007282714179701E-2</v>
      </c>
      <c r="AE31">
        <v>4.6034267281938997E-2</v>
      </c>
      <c r="AF31">
        <v>3.4434931430319402</v>
      </c>
      <c r="AG31">
        <v>149</v>
      </c>
      <c r="AH31">
        <v>30</v>
      </c>
      <c r="AI31">
        <f t="shared" si="22"/>
        <v>1</v>
      </c>
      <c r="AJ31">
        <f t="shared" si="23"/>
        <v>0</v>
      </c>
      <c r="AK31">
        <f t="shared" si="24"/>
        <v>52437.197151640896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270.983269230769</v>
      </c>
      <c r="AT31">
        <v>402.97699999999998</v>
      </c>
      <c r="AU31">
        <f t="shared" si="27"/>
        <v>0.32754656163808604</v>
      </c>
      <c r="AV31">
        <v>0.5</v>
      </c>
      <c r="AW31">
        <f t="shared" si="28"/>
        <v>1681.200822257377</v>
      </c>
      <c r="AX31">
        <f t="shared" si="29"/>
        <v>56.201310502320347</v>
      </c>
      <c r="AY31">
        <f t="shared" si="30"/>
        <v>275.33577437676342</v>
      </c>
      <c r="AZ31">
        <f t="shared" si="31"/>
        <v>0.56111639125806179</v>
      </c>
      <c r="BA31">
        <f t="shared" si="32"/>
        <v>3.4024079541856975E-2</v>
      </c>
      <c r="BB31">
        <f t="shared" si="33"/>
        <v>-1</v>
      </c>
      <c r="BC31" t="s">
        <v>358</v>
      </c>
      <c r="BD31">
        <v>176.86</v>
      </c>
      <c r="BE31">
        <f t="shared" si="34"/>
        <v>226.11699999999996</v>
      </c>
      <c r="BF31">
        <f t="shared" si="35"/>
        <v>0.58374085437729584</v>
      </c>
      <c r="BG31">
        <f t="shared" si="36"/>
        <v>2.2785084247427339</v>
      </c>
      <c r="BH31">
        <f t="shared" si="37"/>
        <v>0.32754656163808599</v>
      </c>
      <c r="BI31" t="e">
        <f t="shared" si="38"/>
        <v>#DIV/0!</v>
      </c>
      <c r="BJ31">
        <v>6112</v>
      </c>
      <c r="BK31">
        <v>300</v>
      </c>
      <c r="BL31">
        <v>300</v>
      </c>
      <c r="BM31">
        <v>300</v>
      </c>
      <c r="BN31">
        <v>9872.42</v>
      </c>
      <c r="BO31">
        <v>366.798</v>
      </c>
      <c r="BP31">
        <v>-6.5666099999999996E-3</v>
      </c>
      <c r="BQ31">
        <v>1.5598399999999999</v>
      </c>
      <c r="BR31">
        <f t="shared" si="39"/>
        <v>2000.00419354839</v>
      </c>
      <c r="BS31">
        <f t="shared" si="40"/>
        <v>1681.200822257377</v>
      </c>
      <c r="BT31">
        <f t="shared" si="41"/>
        <v>0.84059864858313382</v>
      </c>
      <c r="BU31">
        <f t="shared" si="42"/>
        <v>0.19119729716626793</v>
      </c>
      <c r="BV31">
        <v>0.5</v>
      </c>
      <c r="BW31" t="s">
        <v>281</v>
      </c>
      <c r="BX31">
        <v>1597505549.9000001</v>
      </c>
      <c r="BY31">
        <v>1774.98112903226</v>
      </c>
      <c r="BZ31">
        <v>1800.06838709677</v>
      </c>
      <c r="CA31">
        <v>19.013461290322599</v>
      </c>
      <c r="CB31">
        <v>17.570983870967702</v>
      </c>
      <c r="CC31">
        <v>500.07254838709702</v>
      </c>
      <c r="CD31">
        <v>99.055616129032202</v>
      </c>
      <c r="CE31">
        <v>0.20001409677419399</v>
      </c>
      <c r="CF31">
        <v>26.182635483871</v>
      </c>
      <c r="CG31">
        <v>27.0456677419355</v>
      </c>
      <c r="CH31">
        <v>999.9</v>
      </c>
      <c r="CI31">
        <v>9983.3870967741896</v>
      </c>
      <c r="CJ31">
        <v>0</v>
      </c>
      <c r="CK31">
        <v>154.41267741935499</v>
      </c>
      <c r="CL31">
        <v>2000.00419354839</v>
      </c>
      <c r="CM31">
        <v>0.97999670967741903</v>
      </c>
      <c r="CN31">
        <v>2.00034774193548E-2</v>
      </c>
      <c r="CO31">
        <v>0</v>
      </c>
      <c r="CP31">
        <v>270.99599999999998</v>
      </c>
      <c r="CQ31">
        <v>5.00054</v>
      </c>
      <c r="CR31">
        <v>7176.56870967742</v>
      </c>
      <c r="CS31">
        <v>18703.664516129</v>
      </c>
      <c r="CT31">
        <v>48.007935483871002</v>
      </c>
      <c r="CU31">
        <v>50.033999999999999</v>
      </c>
      <c r="CV31">
        <v>48.461387096774203</v>
      </c>
      <c r="CW31">
        <v>48.912999999999997</v>
      </c>
      <c r="CX31">
        <v>49.427096774193501</v>
      </c>
      <c r="CY31">
        <v>1955.09419354839</v>
      </c>
      <c r="CZ31">
        <v>39.909999999999997</v>
      </c>
      <c r="DA31">
        <v>0</v>
      </c>
      <c r="DB31">
        <v>123.799999952316</v>
      </c>
      <c r="DC31">
        <v>270.983269230769</v>
      </c>
      <c r="DD31">
        <v>-3.6037264920270999</v>
      </c>
      <c r="DE31">
        <v>-115.137093728674</v>
      </c>
      <c r="DF31">
        <v>7175.4015384615404</v>
      </c>
      <c r="DG31">
        <v>15</v>
      </c>
      <c r="DH31">
        <v>1597505583.9000001</v>
      </c>
      <c r="DI31" t="s">
        <v>359</v>
      </c>
      <c r="DJ31">
        <v>15</v>
      </c>
      <c r="DK31">
        <v>7.5999999999999998E-2</v>
      </c>
      <c r="DL31">
        <v>0.126</v>
      </c>
      <c r="DM31">
        <v>1800</v>
      </c>
      <c r="DN31">
        <v>18</v>
      </c>
      <c r="DO31">
        <v>0.15</v>
      </c>
      <c r="DP31">
        <v>0.04</v>
      </c>
      <c r="DQ31">
        <v>1774.6946296296301</v>
      </c>
      <c r="DR31">
        <v>0.28482561463771799</v>
      </c>
      <c r="DS31">
        <v>6.6547475755988794E-2</v>
      </c>
      <c r="DT31">
        <v>1</v>
      </c>
      <c r="DU31">
        <v>19.0074055555556</v>
      </c>
      <c r="DV31">
        <v>3.17324185248785E-2</v>
      </c>
      <c r="DW31">
        <v>2.6655514450433598E-2</v>
      </c>
      <c r="DX31">
        <v>1</v>
      </c>
      <c r="DY31">
        <v>2</v>
      </c>
      <c r="DZ31">
        <v>2</v>
      </c>
      <c r="EA31" t="s">
        <v>283</v>
      </c>
      <c r="EB31">
        <v>1.86669</v>
      </c>
      <c r="EC31">
        <v>1.8632500000000001</v>
      </c>
      <c r="ED31">
        <v>1.8688800000000001</v>
      </c>
      <c r="EE31">
        <v>1.8667800000000001</v>
      </c>
      <c r="EF31">
        <v>1.8714900000000001</v>
      </c>
      <c r="EG31">
        <v>1.8639699999999999</v>
      </c>
      <c r="EH31">
        <v>1.86557</v>
      </c>
      <c r="EI31">
        <v>1.86554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7.5999999999999998E-2</v>
      </c>
      <c r="EX31">
        <v>0.126</v>
      </c>
      <c r="EY31">
        <v>2</v>
      </c>
      <c r="EZ31">
        <v>335.99799999999999</v>
      </c>
      <c r="FA31">
        <v>505.09899999999999</v>
      </c>
      <c r="FB31">
        <v>20.302700000000002</v>
      </c>
      <c r="FC31">
        <v>33.832900000000002</v>
      </c>
      <c r="FD31">
        <v>30.0016</v>
      </c>
      <c r="FE31">
        <v>33.729199999999999</v>
      </c>
      <c r="FF31">
        <v>33.713700000000003</v>
      </c>
      <c r="FG31">
        <v>73.206400000000002</v>
      </c>
      <c r="FH31">
        <v>38.179200000000002</v>
      </c>
      <c r="FI31">
        <v>2.1628699999999998</v>
      </c>
      <c r="FJ31">
        <v>20.206299999999999</v>
      </c>
      <c r="FK31">
        <v>1800</v>
      </c>
      <c r="FL31">
        <v>17.504300000000001</v>
      </c>
      <c r="FM31">
        <v>100.69</v>
      </c>
      <c r="FN31">
        <v>101.139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2020-08-15T10:33:24Z</dcterms:created>
  <dcterms:modified xsi:type="dcterms:W3CDTF">2024-11-20T09:06:47Z</dcterms:modified>
</cp:coreProperties>
</file>