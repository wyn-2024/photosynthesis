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815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1" i="1" l="1"/>
  <c r="BT31" i="1"/>
  <c r="BS31" i="1"/>
  <c r="AW31" i="1" s="1"/>
  <c r="BR31" i="1"/>
  <c r="BI31" i="1"/>
  <c r="BH31" i="1"/>
  <c r="BG31" i="1"/>
  <c r="BF31" i="1"/>
  <c r="BE31" i="1"/>
  <c r="BB31" i="1"/>
  <c r="AZ31" i="1"/>
  <c r="AY31" i="1"/>
  <c r="AU31" i="1"/>
  <c r="AO31" i="1"/>
  <c r="AP31" i="1" s="1"/>
  <c r="AK31" i="1"/>
  <c r="AI31" i="1" s="1"/>
  <c r="X31" i="1"/>
  <c r="V31" i="1" s="1"/>
  <c r="W31" i="1"/>
  <c r="R31" i="1"/>
  <c r="O31" i="1"/>
  <c r="BU30" i="1"/>
  <c r="BT30" i="1"/>
  <c r="BS30" i="1"/>
  <c r="BR30" i="1"/>
  <c r="BI30" i="1"/>
  <c r="BH30" i="1"/>
  <c r="BG30" i="1"/>
  <c r="BF30" i="1"/>
  <c r="BE30" i="1"/>
  <c r="BB30" i="1"/>
  <c r="AZ30" i="1"/>
  <c r="AU30" i="1"/>
  <c r="AO30" i="1"/>
  <c r="AP30" i="1" s="1"/>
  <c r="AK30" i="1"/>
  <c r="AI30" i="1" s="1"/>
  <c r="X30" i="1"/>
  <c r="V30" i="1" s="1"/>
  <c r="W30" i="1"/>
  <c r="O30" i="1"/>
  <c r="BU29" i="1"/>
  <c r="BT29" i="1"/>
  <c r="BR29" i="1"/>
  <c r="BS29" i="1" s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/>
  <c r="X29" i="1"/>
  <c r="W29" i="1"/>
  <c r="V29" i="1"/>
  <c r="O29" i="1"/>
  <c r="BU28" i="1"/>
  <c r="BT28" i="1"/>
  <c r="BS28" i="1"/>
  <c r="BR28" i="1"/>
  <c r="BI28" i="1"/>
  <c r="BH28" i="1"/>
  <c r="BG28" i="1"/>
  <c r="BF28" i="1"/>
  <c r="BE28" i="1"/>
  <c r="BB28" i="1"/>
  <c r="AZ28" i="1"/>
  <c r="AU28" i="1"/>
  <c r="AO28" i="1"/>
  <c r="AP28" i="1" s="1"/>
  <c r="AK28" i="1"/>
  <c r="AI28" i="1"/>
  <c r="J28" i="1" s="1"/>
  <c r="X28" i="1"/>
  <c r="W28" i="1"/>
  <c r="V28" i="1" s="1"/>
  <c r="O28" i="1"/>
  <c r="M28" i="1"/>
  <c r="BU27" i="1"/>
  <c r="BT27" i="1"/>
  <c r="BR27" i="1"/>
  <c r="BS27" i="1" s="1"/>
  <c r="R27" i="1" s="1"/>
  <c r="BI27" i="1"/>
  <c r="BH27" i="1"/>
  <c r="BG27" i="1"/>
  <c r="BF27" i="1"/>
  <c r="BE27" i="1"/>
  <c r="AZ27" i="1" s="1"/>
  <c r="BB27" i="1"/>
  <c r="AW27" i="1"/>
  <c r="AU27" i="1"/>
  <c r="AY27" i="1" s="1"/>
  <c r="AO27" i="1"/>
  <c r="AP27" i="1" s="1"/>
  <c r="AK27" i="1"/>
  <c r="AI27" i="1" s="1"/>
  <c r="X27" i="1"/>
  <c r="W27" i="1"/>
  <c r="V27" i="1"/>
  <c r="O27" i="1"/>
  <c r="BU26" i="1"/>
  <c r="BT26" i="1"/>
  <c r="BR26" i="1"/>
  <c r="BS26" i="1" s="1"/>
  <c r="R26" i="1" s="1"/>
  <c r="BI26" i="1"/>
  <c r="BH26" i="1"/>
  <c r="BG26" i="1"/>
  <c r="BF26" i="1"/>
  <c r="BE26" i="1"/>
  <c r="BB26" i="1"/>
  <c r="AZ26" i="1"/>
  <c r="AW26" i="1"/>
  <c r="AY26" i="1" s="1"/>
  <c r="AU26" i="1"/>
  <c r="AO26" i="1"/>
  <c r="AP26" i="1" s="1"/>
  <c r="AK26" i="1"/>
  <c r="AI26" i="1"/>
  <c r="X26" i="1"/>
  <c r="W26" i="1"/>
  <c r="V26" i="1" s="1"/>
  <c r="O26" i="1"/>
  <c r="M26" i="1"/>
  <c r="BU25" i="1"/>
  <c r="BT25" i="1"/>
  <c r="BS25" i="1"/>
  <c r="BR25" i="1"/>
  <c r="BI25" i="1"/>
  <c r="BH25" i="1"/>
  <c r="BG25" i="1"/>
  <c r="BF25" i="1"/>
  <c r="BE25" i="1"/>
  <c r="BB25" i="1"/>
  <c r="AZ25" i="1"/>
  <c r="AU25" i="1"/>
  <c r="AP25" i="1"/>
  <c r="AO25" i="1"/>
  <c r="AK25" i="1"/>
  <c r="AI25" i="1" s="1"/>
  <c r="M25" i="1" s="1"/>
  <c r="AJ25" i="1"/>
  <c r="X25" i="1"/>
  <c r="W25" i="1"/>
  <c r="V25" i="1" s="1"/>
  <c r="O25" i="1"/>
  <c r="J25" i="1"/>
  <c r="I25" i="1"/>
  <c r="AX25" i="1" s="1"/>
  <c r="H25" i="1"/>
  <c r="BU24" i="1"/>
  <c r="BT24" i="1"/>
  <c r="BR24" i="1"/>
  <c r="BS24" i="1" s="1"/>
  <c r="AW24" i="1" s="1"/>
  <c r="BI24" i="1"/>
  <c r="BH24" i="1"/>
  <c r="BG24" i="1"/>
  <c r="BF24" i="1"/>
  <c r="BE24" i="1"/>
  <c r="AZ24" i="1" s="1"/>
  <c r="BB24" i="1"/>
  <c r="AU24" i="1"/>
  <c r="AY24" i="1" s="1"/>
  <c r="AO24" i="1"/>
  <c r="AP24" i="1" s="1"/>
  <c r="AK24" i="1"/>
  <c r="AI24" i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BB23" i="1"/>
  <c r="AZ23" i="1"/>
  <c r="AU23" i="1"/>
  <c r="AO23" i="1"/>
  <c r="AP23" i="1" s="1"/>
  <c r="AK23" i="1"/>
  <c r="AI23" i="1" s="1"/>
  <c r="X23" i="1"/>
  <c r="V23" i="1" s="1"/>
  <c r="W23" i="1"/>
  <c r="O23" i="1"/>
  <c r="M23" i="1"/>
  <c r="BU22" i="1"/>
  <c r="BT22" i="1"/>
  <c r="BR22" i="1"/>
  <c r="BS22" i="1" s="1"/>
  <c r="AW22" i="1" s="1"/>
  <c r="BI22" i="1"/>
  <c r="BH22" i="1"/>
  <c r="BG22" i="1"/>
  <c r="BF22" i="1"/>
  <c r="BE22" i="1"/>
  <c r="AZ22" i="1" s="1"/>
  <c r="BB22" i="1"/>
  <c r="BA22" i="1"/>
  <c r="AU22" i="1"/>
  <c r="AO22" i="1"/>
  <c r="AP22" i="1" s="1"/>
  <c r="AK22" i="1"/>
  <c r="AI22" i="1" s="1"/>
  <c r="X22" i="1"/>
  <c r="W22" i="1"/>
  <c r="V22" i="1"/>
  <c r="O22" i="1"/>
  <c r="J22" i="1"/>
  <c r="I22" i="1"/>
  <c r="AX22" i="1" s="1"/>
  <c r="H22" i="1"/>
  <c r="Z22" i="1" s="1"/>
  <c r="BU21" i="1"/>
  <c r="BT21" i="1"/>
  <c r="BR21" i="1"/>
  <c r="BS21" i="1" s="1"/>
  <c r="R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X21" i="1"/>
  <c r="W21" i="1"/>
  <c r="V21" i="1"/>
  <c r="O21" i="1"/>
  <c r="M21" i="1"/>
  <c r="BU20" i="1"/>
  <c r="BT20" i="1"/>
  <c r="BS20" i="1"/>
  <c r="BR20" i="1"/>
  <c r="BI20" i="1"/>
  <c r="BH20" i="1"/>
  <c r="BG20" i="1"/>
  <c r="BF20" i="1"/>
  <c r="BE20" i="1"/>
  <c r="AZ20" i="1" s="1"/>
  <c r="BB20" i="1"/>
  <c r="AU20" i="1"/>
  <c r="AO20" i="1"/>
  <c r="AP20" i="1" s="1"/>
  <c r="AK20" i="1"/>
  <c r="AI20" i="1"/>
  <c r="M20" i="1" s="1"/>
  <c r="X20" i="1"/>
  <c r="W20" i="1"/>
  <c r="V20" i="1"/>
  <c r="O20" i="1"/>
  <c r="J20" i="1"/>
  <c r="I20" i="1"/>
  <c r="AX20" i="1" s="1"/>
  <c r="H20" i="1"/>
  <c r="BU19" i="1"/>
  <c r="BT19" i="1"/>
  <c r="BR19" i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/>
  <c r="M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P18" i="1"/>
  <c r="AO18" i="1"/>
  <c r="AK18" i="1"/>
  <c r="AI18" i="1" s="1"/>
  <c r="X18" i="1"/>
  <c r="W18" i="1"/>
  <c r="V18" i="1" s="1"/>
  <c r="O18" i="1"/>
  <c r="BU17" i="1"/>
  <c r="BT17" i="1"/>
  <c r="BR17" i="1"/>
  <c r="BS17" i="1" s="1"/>
  <c r="AW17" i="1" s="1"/>
  <c r="BI17" i="1"/>
  <c r="BH17" i="1"/>
  <c r="BG17" i="1"/>
  <c r="BF17" i="1"/>
  <c r="BE17" i="1"/>
  <c r="BB17" i="1"/>
  <c r="AZ17" i="1"/>
  <c r="AU17" i="1"/>
  <c r="AY17" i="1" s="1"/>
  <c r="AO17" i="1"/>
  <c r="AP17" i="1" s="1"/>
  <c r="AK17" i="1"/>
  <c r="AI17" i="1"/>
  <c r="M17" i="1" s="1"/>
  <c r="X17" i="1"/>
  <c r="W17" i="1"/>
  <c r="V17" i="1"/>
  <c r="R17" i="1"/>
  <c r="O17" i="1"/>
  <c r="R23" i="1" l="1"/>
  <c r="AW23" i="1"/>
  <c r="AY23" i="1" s="1"/>
  <c r="R18" i="1"/>
  <c r="AW18" i="1"/>
  <c r="AY18" i="1" s="1"/>
  <c r="J31" i="1"/>
  <c r="I31" i="1"/>
  <c r="AX31" i="1" s="1"/>
  <c r="BA31" i="1" s="1"/>
  <c r="M31" i="1"/>
  <c r="H31" i="1"/>
  <c r="AJ31" i="1"/>
  <c r="AY21" i="1"/>
  <c r="Z20" i="1"/>
  <c r="AY30" i="1"/>
  <c r="AY25" i="1"/>
  <c r="M27" i="1"/>
  <c r="H27" i="1"/>
  <c r="AJ27" i="1"/>
  <c r="I29" i="1"/>
  <c r="AX29" i="1" s="1"/>
  <c r="BA29" i="1" s="1"/>
  <c r="H29" i="1"/>
  <c r="M29" i="1"/>
  <c r="J29" i="1"/>
  <c r="AJ29" i="1"/>
  <c r="AJ17" i="1"/>
  <c r="R24" i="1"/>
  <c r="M24" i="1"/>
  <c r="H24" i="1"/>
  <c r="J24" i="1"/>
  <c r="I24" i="1"/>
  <c r="AX24" i="1" s="1"/>
  <c r="BA24" i="1" s="1"/>
  <c r="AJ24" i="1"/>
  <c r="S21" i="1"/>
  <c r="T21" i="1" s="1"/>
  <c r="I17" i="1"/>
  <c r="AX17" i="1" s="1"/>
  <c r="BA17" i="1" s="1"/>
  <c r="BA25" i="1"/>
  <c r="I27" i="1"/>
  <c r="AX27" i="1" s="1"/>
  <c r="BA27" i="1" s="1"/>
  <c r="S31" i="1"/>
  <c r="T31" i="1" s="1"/>
  <c r="I18" i="1"/>
  <c r="AX18" i="1" s="1"/>
  <c r="BA18" i="1" s="1"/>
  <c r="H18" i="1"/>
  <c r="AJ18" i="1"/>
  <c r="M30" i="1"/>
  <c r="AJ30" i="1"/>
  <c r="R25" i="1"/>
  <c r="AW25" i="1"/>
  <c r="H17" i="1"/>
  <c r="S17" i="1" s="1"/>
  <c r="T17" i="1" s="1"/>
  <c r="AJ20" i="1"/>
  <c r="J17" i="1"/>
  <c r="J21" i="1"/>
  <c r="I21" i="1"/>
  <c r="AX21" i="1" s="1"/>
  <c r="BA21" i="1" s="1"/>
  <c r="AJ21" i="1"/>
  <c r="H21" i="1"/>
  <c r="R22" i="1"/>
  <c r="J27" i="1"/>
  <c r="AW29" i="1"/>
  <c r="AY29" i="1" s="1"/>
  <c r="R29" i="1"/>
  <c r="R20" i="1"/>
  <c r="AW20" i="1"/>
  <c r="AY20" i="1" s="1"/>
  <c r="J18" i="1"/>
  <c r="R28" i="1"/>
  <c r="AW28" i="1"/>
  <c r="AY28" i="1" s="1"/>
  <c r="R30" i="1"/>
  <c r="AW30" i="1"/>
  <c r="AW21" i="1"/>
  <c r="J23" i="1"/>
  <c r="I23" i="1"/>
  <c r="AX23" i="1" s="1"/>
  <c r="BA23" i="1" s="1"/>
  <c r="H23" i="1"/>
  <c r="AJ23" i="1"/>
  <c r="H30" i="1"/>
  <c r="M18" i="1"/>
  <c r="M22" i="1"/>
  <c r="AJ22" i="1"/>
  <c r="Z25" i="1"/>
  <c r="I30" i="1"/>
  <c r="AX30" i="1" s="1"/>
  <c r="BA30" i="1" s="1"/>
  <c r="J26" i="1"/>
  <c r="I26" i="1"/>
  <c r="AX26" i="1" s="1"/>
  <c r="BA26" i="1" s="1"/>
  <c r="H26" i="1"/>
  <c r="J30" i="1"/>
  <c r="AJ26" i="1"/>
  <c r="BS19" i="1"/>
  <c r="AY22" i="1"/>
  <c r="H19" i="1"/>
  <c r="I19" i="1"/>
  <c r="AX19" i="1" s="1"/>
  <c r="J19" i="1"/>
  <c r="AJ28" i="1"/>
  <c r="H28" i="1"/>
  <c r="AJ19" i="1"/>
  <c r="I28" i="1"/>
  <c r="AX28" i="1" s="1"/>
  <c r="AB17" i="1" l="1"/>
  <c r="U17" i="1"/>
  <c r="Y17" i="1" s="1"/>
  <c r="AA17" i="1"/>
  <c r="Z27" i="1"/>
  <c r="P27" i="1"/>
  <c r="N27" i="1" s="1"/>
  <c r="Q27" i="1" s="1"/>
  <c r="K27" i="1" s="1"/>
  <c r="L27" i="1" s="1"/>
  <c r="S20" i="1"/>
  <c r="T20" i="1" s="1"/>
  <c r="U21" i="1"/>
  <c r="Y21" i="1" s="1"/>
  <c r="AB21" i="1"/>
  <c r="S22" i="1"/>
  <c r="T22" i="1" s="1"/>
  <c r="P21" i="1"/>
  <c r="N21" i="1" s="1"/>
  <c r="Q21" i="1" s="1"/>
  <c r="K21" i="1" s="1"/>
  <c r="L21" i="1" s="1"/>
  <c r="Z21" i="1"/>
  <c r="S24" i="1"/>
  <c r="T24" i="1" s="1"/>
  <c r="S18" i="1"/>
  <c r="T18" i="1" s="1"/>
  <c r="S30" i="1"/>
  <c r="T30" i="1" s="1"/>
  <c r="AW19" i="1"/>
  <c r="AY19" i="1" s="1"/>
  <c r="R19" i="1"/>
  <c r="S28" i="1"/>
  <c r="T28" i="1" s="1"/>
  <c r="P28" i="1" s="1"/>
  <c r="N28" i="1" s="1"/>
  <c r="Q28" i="1" s="1"/>
  <c r="K28" i="1" s="1"/>
  <c r="L28" i="1" s="1"/>
  <c r="P30" i="1"/>
  <c r="N30" i="1" s="1"/>
  <c r="Q30" i="1" s="1"/>
  <c r="K30" i="1" s="1"/>
  <c r="L30" i="1" s="1"/>
  <c r="Z30" i="1"/>
  <c r="S27" i="1"/>
  <c r="T27" i="1" s="1"/>
  <c r="AA21" i="1"/>
  <c r="BA20" i="1"/>
  <c r="U31" i="1"/>
  <c r="Y31" i="1" s="1"/>
  <c r="AB31" i="1"/>
  <c r="Z26" i="1"/>
  <c r="S26" i="1"/>
  <c r="T26" i="1" s="1"/>
  <c r="P26" i="1" s="1"/>
  <c r="N26" i="1" s="1"/>
  <c r="Q26" i="1" s="1"/>
  <c r="K26" i="1" s="1"/>
  <c r="L26" i="1" s="1"/>
  <c r="Z31" i="1"/>
  <c r="P31" i="1"/>
  <c r="N31" i="1" s="1"/>
  <c r="Q31" i="1" s="1"/>
  <c r="K31" i="1" s="1"/>
  <c r="L31" i="1" s="1"/>
  <c r="Z24" i="1"/>
  <c r="Z23" i="1"/>
  <c r="S25" i="1"/>
  <c r="T25" i="1" s="1"/>
  <c r="S23" i="1"/>
  <c r="T23" i="1" s="1"/>
  <c r="Z18" i="1"/>
  <c r="P18" i="1"/>
  <c r="N18" i="1" s="1"/>
  <c r="Q18" i="1" s="1"/>
  <c r="K18" i="1" s="1"/>
  <c r="L18" i="1" s="1"/>
  <c r="S29" i="1"/>
  <c r="T29" i="1" s="1"/>
  <c r="BA28" i="1"/>
  <c r="Z28" i="1"/>
  <c r="Z17" i="1"/>
  <c r="P17" i="1"/>
  <c r="N17" i="1" s="1"/>
  <c r="Q17" i="1" s="1"/>
  <c r="K17" i="1" s="1"/>
  <c r="L17" i="1" s="1"/>
  <c r="Z19" i="1"/>
  <c r="AA31" i="1"/>
  <c r="Z29" i="1"/>
  <c r="AB24" i="1" l="1"/>
  <c r="AC24" i="1" s="1"/>
  <c r="AA24" i="1"/>
  <c r="U24" i="1"/>
  <c r="Y24" i="1" s="1"/>
  <c r="P24" i="1"/>
  <c r="N24" i="1" s="1"/>
  <c r="Q24" i="1" s="1"/>
  <c r="K24" i="1" s="1"/>
  <c r="L24" i="1" s="1"/>
  <c r="AC21" i="1"/>
  <c r="U29" i="1"/>
  <c r="Y29" i="1" s="1"/>
  <c r="AB29" i="1"/>
  <c r="AA29" i="1"/>
  <c r="AB23" i="1"/>
  <c r="U23" i="1"/>
  <c r="Y23" i="1" s="1"/>
  <c r="AA23" i="1"/>
  <c r="AB22" i="1"/>
  <c r="AA22" i="1"/>
  <c r="U22" i="1"/>
  <c r="Y22" i="1" s="1"/>
  <c r="P22" i="1"/>
  <c r="N22" i="1" s="1"/>
  <c r="Q22" i="1" s="1"/>
  <c r="K22" i="1" s="1"/>
  <c r="L22" i="1" s="1"/>
  <c r="P29" i="1"/>
  <c r="N29" i="1" s="1"/>
  <c r="Q29" i="1" s="1"/>
  <c r="K29" i="1" s="1"/>
  <c r="L29" i="1" s="1"/>
  <c r="AB20" i="1"/>
  <c r="AA20" i="1"/>
  <c r="U20" i="1"/>
  <c r="Y20" i="1" s="1"/>
  <c r="P20" i="1"/>
  <c r="N20" i="1" s="1"/>
  <c r="Q20" i="1" s="1"/>
  <c r="K20" i="1" s="1"/>
  <c r="L20" i="1" s="1"/>
  <c r="U30" i="1"/>
  <c r="Y30" i="1" s="1"/>
  <c r="AB30" i="1"/>
  <c r="AA30" i="1"/>
  <c r="AB28" i="1"/>
  <c r="AC28" i="1" s="1"/>
  <c r="U28" i="1"/>
  <c r="Y28" i="1" s="1"/>
  <c r="AA28" i="1"/>
  <c r="AB25" i="1"/>
  <c r="AA25" i="1"/>
  <c r="U25" i="1"/>
  <c r="Y25" i="1" s="1"/>
  <c r="P25" i="1"/>
  <c r="N25" i="1" s="1"/>
  <c r="Q25" i="1" s="1"/>
  <c r="K25" i="1" s="1"/>
  <c r="L25" i="1" s="1"/>
  <c r="P23" i="1"/>
  <c r="N23" i="1" s="1"/>
  <c r="Q23" i="1" s="1"/>
  <c r="K23" i="1" s="1"/>
  <c r="L23" i="1" s="1"/>
  <c r="AB27" i="1"/>
  <c r="U27" i="1"/>
  <c r="Y27" i="1" s="1"/>
  <c r="AA27" i="1"/>
  <c r="S19" i="1"/>
  <c r="T19" i="1" s="1"/>
  <c r="AB18" i="1"/>
  <c r="U18" i="1"/>
  <c r="Y18" i="1" s="1"/>
  <c r="AA18" i="1"/>
  <c r="BA19" i="1"/>
  <c r="U26" i="1"/>
  <c r="Y26" i="1" s="1"/>
  <c r="AB26" i="1"/>
  <c r="AA26" i="1"/>
  <c r="AC31" i="1"/>
  <c r="AC17" i="1"/>
  <c r="AC30" i="1" l="1"/>
  <c r="AC27" i="1"/>
  <c r="AC26" i="1"/>
  <c r="AC20" i="1"/>
  <c r="AC18" i="1"/>
  <c r="AC22" i="1"/>
  <c r="AC23" i="1"/>
  <c r="AC29" i="1"/>
  <c r="AC25" i="1"/>
  <c r="U19" i="1"/>
  <c r="Y19" i="1" s="1"/>
  <c r="AB19" i="1"/>
  <c r="AC19" i="1" s="1"/>
  <c r="AA19" i="1"/>
  <c r="P19" i="1"/>
  <c r="N19" i="1" s="1"/>
  <c r="Q19" i="1" s="1"/>
  <c r="K19" i="1" s="1"/>
  <c r="L19" i="1" s="1"/>
</calcChain>
</file>

<file path=xl/sharedStrings.xml><?xml version="1.0" encoding="utf-8"?>
<sst xmlns="http://schemas.openxmlformats.org/spreadsheetml/2006/main" count="788" uniqueCount="360">
  <si>
    <t>File opened</t>
  </si>
  <si>
    <t>2020-08-15 11:52:01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</si>
  <si>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</si>
  <si>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</si>
  <si>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</si>
  <si>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</si>
  <si>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</si>
  <si>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</si>
  <si>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</si>
  <si>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</si>
  <si>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</si>
  <si>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</si>
  <si>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</si>
  <si>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{"co2aspan2b": "0.163711", "h2oazero": "1.00263", "flowbzero": "0.22736", "co2azero": "0.869071", "co2bzero": "0.880288", "h2obspan1": "0.998578", "h2oaspanconc2": "0", "co2bspanconc1": "1002", "co2aspanconc2": "0", "tbzero": "0.197721", "h2oaspanconc1": "12.19", "flowazero": "0.42932", "co2aspanconc1": "1002", "h2obzero": "1.01783", "co2bspan1": "0.992131", "oxygen": "21", "chamberpressurezero": "2.59209", "co2aspan1": "0.992625", "tazero": "0.00774765", "ssa_ref": "36614.9", "co2bspan2": "0", "co2aspan2a": "0.164928", "h2oaspan2b": "0.0662632", "co2aspan2": "0", "h2oaspan1": "1.00223", "co2bspan2a": "0.163389", "h2obspanconc2": "0", "h2obspanconc1": "20", "ssb_ref": "36526.8", "h2oaspan2": "0", "h2obspan2": "0", "flowmeterzero": "0.990908", "h2oaspan2a": "0.0661155", "h2obspan2b": "0.0963575", "co2bspanconc2": "0", "co2bspan2b": "0.162103", "h2obspan2a": "0.0975941"}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</si>
  <si>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</si>
  <si>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</si>
  <si>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</si>
  <si>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</si>
  <si>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</si>
  <si>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</si>
  <si>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</si>
  <si>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</si>
  <si>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</si>
  <si>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11:52:01</t>
  </si>
  <si>
    <t>Stability Definition:	H2O_s (Meas): Slp&lt;0.2	CO2_s (Meas): Slp&lt;0.3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</si>
  <si>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</si>
  <si>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</si>
  <si>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</si>
  <si>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</si>
  <si>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</si>
  <si>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</si>
  <si>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</si>
  <si>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</si>
  <si>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</si>
  <si>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</si>
  <si>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</si>
  <si>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</si>
  <si>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</si>
  <si>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</si>
  <si>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</si>
  <si>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</si>
  <si>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</si>
  <si>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</si>
  <si>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</si>
  <si>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</si>
  <si>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</si>
  <si>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</si>
  <si>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</si>
  <si>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</si>
  <si>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</si>
  <si>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</si>
  <si>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</si>
  <si>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</si>
  <si>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</si>
  <si>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</si>
  <si>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</si>
  <si>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</si>
  <si>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</si>
  <si>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</si>
  <si>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</si>
  <si>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</si>
  <si>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</si>
  <si>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</si>
  <si>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</si>
  <si>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</si>
  <si>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</si>
  <si>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</si>
  <si>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</si>
  <si>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</si>
  <si>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</si>
  <si>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</si>
  <si>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3.00186 75.5949 388.782 621.537 849.04 1054.8 1229.05 1393.75</t>
  </si>
  <si>
    <t>Fs_true</t>
  </si>
  <si>
    <t>0.276677 99.6915 402.487 601.632 800.517 1001.11 1200.75 1401.88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</si>
  <si>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</si>
  <si>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</si>
  <si>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</si>
  <si>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</si>
  <si>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</si>
  <si>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</si>
  <si>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</si>
  <si>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</si>
  <si>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</si>
  <si>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</si>
  <si>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</si>
  <si>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</si>
  <si>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</si>
  <si>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</si>
  <si>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</si>
  <si>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</si>
  <si>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</si>
  <si>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</si>
  <si>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</si>
  <si>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</si>
  <si>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</si>
  <si>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</si>
  <si>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</si>
  <si>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</si>
  <si>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</si>
  <si>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</si>
  <si>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</si>
  <si>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</si>
  <si>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</si>
  <si>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</si>
  <si>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</si>
  <si>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</si>
  <si>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</si>
  <si>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</si>
  <si>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</si>
  <si>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</si>
  <si>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</si>
  <si>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</si>
  <si>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</si>
  <si>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</si>
  <si>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</si>
  <si>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</si>
  <si>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</si>
  <si>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</si>
  <si>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</si>
  <si>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</si>
  <si>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</si>
  <si>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</si>
  <si>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</si>
  <si>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</si>
  <si>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</si>
  <si>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</si>
  <si>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</si>
  <si>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</si>
  <si>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</si>
  <si>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</si>
  <si>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</si>
  <si>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</si>
  <si>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</si>
  <si>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</si>
  <si>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</si>
  <si>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</si>
  <si>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</si>
  <si>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</si>
  <si>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</si>
  <si>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</si>
  <si>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</si>
  <si>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</si>
  <si>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</si>
  <si>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</si>
  <si>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</si>
  <si>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</si>
  <si>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</si>
  <si>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</si>
  <si>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</si>
  <si>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</si>
  <si>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</si>
  <si>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</si>
  <si>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</si>
  <si>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</si>
  <si>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</si>
  <si>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</si>
  <si>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</si>
  <si>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</si>
  <si>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</si>
  <si>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</si>
  <si>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</si>
  <si>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</si>
  <si>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</si>
  <si>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</si>
  <si>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</si>
  <si>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</si>
  <si>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</si>
  <si>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</si>
  <si>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</si>
  <si>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</si>
  <si>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</si>
  <si>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</si>
  <si>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</si>
  <si>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</si>
  <si>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</si>
  <si>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</si>
  <si>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</si>
  <si>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</si>
  <si>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</si>
  <si>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</si>
  <si>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</si>
  <si>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</si>
  <si>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</si>
  <si>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</si>
  <si>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</si>
  <si>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</si>
  <si>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</si>
  <si>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</si>
  <si>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</si>
  <si>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</si>
  <si>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</si>
  <si>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</si>
  <si>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</si>
  <si>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</si>
  <si>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</si>
  <si>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</si>
  <si>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</si>
  <si>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</si>
  <si>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</si>
  <si>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</si>
  <si>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</si>
  <si>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</si>
  <si>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</si>
  <si>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</si>
  <si>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</si>
  <si>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</si>
  <si>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</si>
  <si>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</si>
  <si>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</si>
  <si>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</si>
  <si>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</si>
  <si>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</si>
  <si>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</si>
  <si>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</si>
  <si>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</si>
  <si>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</si>
  <si>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</si>
  <si>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</si>
  <si>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</si>
  <si>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</si>
  <si>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</si>
  <si>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</si>
  <si>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</si>
  <si>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</si>
  <si>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</si>
  <si>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</si>
  <si>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</si>
  <si>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</si>
  <si>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</si>
  <si>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</si>
  <si>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</si>
  <si>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</si>
  <si>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</si>
  <si>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</si>
  <si>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</si>
  <si>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</si>
  <si>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</si>
  <si>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</si>
  <si>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</si>
  <si>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</si>
  <si>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</si>
  <si>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</si>
  <si>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</si>
  <si>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</si>
  <si>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</si>
  <si>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</si>
  <si>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</si>
  <si>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</si>
  <si>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</si>
  <si>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</si>
  <si>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</si>
  <si>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</si>
  <si>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</si>
  <si>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</si>
  <si>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</si>
  <si>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</si>
  <si>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</si>
  <si>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</si>
  <si>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</si>
  <si>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</si>
  <si>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</si>
  <si>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</si>
  <si>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</si>
  <si>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</si>
  <si>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</si>
  <si>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</si>
  <si>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</si>
  <si>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</si>
  <si>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</si>
  <si>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</si>
  <si>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</si>
  <si>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</si>
  <si>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</si>
  <si>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</si>
  <si>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</si>
  <si>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</si>
  <si>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</si>
  <si>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20200815 11:58:59</t>
  </si>
  <si>
    <t>11:58:59</t>
  </si>
  <si>
    <t>MPF-6176-20200815-11_59_00</t>
  </si>
  <si>
    <t>DARK-6177-20200815-11_59_08</t>
  </si>
  <si>
    <t>0: Broadleaf</t>
  </si>
  <si>
    <t>11:59:33</t>
  </si>
  <si>
    <t>2/2</t>
  </si>
  <si>
    <t>5</t>
  </si>
  <si>
    <t>11111111</t>
  </si>
  <si>
    <t>oooooooo</t>
  </si>
  <si>
    <t>off</t>
  </si>
  <si>
    <t>20200815 12:01:35</t>
  </si>
  <si>
    <t>12:01:35</t>
  </si>
  <si>
    <t>MPF-6178-20200815-12_01_36</t>
  </si>
  <si>
    <t>DARK-6179-20200815-12_01_44</t>
  </si>
  <si>
    <t>12:02:03</t>
  </si>
  <si>
    <t>1/2</t>
  </si>
  <si>
    <t>20200815 12:03:34</t>
  </si>
  <si>
    <t>12:03:34</t>
  </si>
  <si>
    <t>MPF-6180-20200815-12_03_36</t>
  </si>
  <si>
    <t>DARK-6181-20200815-12_03_43</t>
  </si>
  <si>
    <t>12:04:05</t>
  </si>
  <si>
    <t>20200815 12:05:37</t>
  </si>
  <si>
    <t>12:05:37</t>
  </si>
  <si>
    <t>MPF-6182-20200815-12_05_38</t>
  </si>
  <si>
    <t>DARK-6183-20200815-12_05_46</t>
  </si>
  <si>
    <t>12:06:03</t>
  </si>
  <si>
    <t>20200815 12:07:38</t>
  </si>
  <si>
    <t>12:07:38</t>
  </si>
  <si>
    <t>MPF-6184-20200815-12_07_40</t>
  </si>
  <si>
    <t>DARK-6185-20200815-12_07_47</t>
  </si>
  <si>
    <t>12:08:06</t>
  </si>
  <si>
    <t>20200815 12:09:49</t>
  </si>
  <si>
    <t>12:09:49</t>
  </si>
  <si>
    <t>MPF-6186-20200815-12_09_50</t>
  </si>
  <si>
    <t>DARK-6187-20200815-12_09_58</t>
  </si>
  <si>
    <t>12:10:19</t>
  </si>
  <si>
    <t>20200815 12:11:51</t>
  </si>
  <si>
    <t>12:11:51</t>
  </si>
  <si>
    <t>MPF-6188-20200815-12_11_52</t>
  </si>
  <si>
    <t>DARK-6189-20200815-12_12_00</t>
  </si>
  <si>
    <t>12:12:18</t>
  </si>
  <si>
    <t>20200815 12:14:05</t>
  </si>
  <si>
    <t>12:14:05</t>
  </si>
  <si>
    <t>MPF-6190-20200815-12_14_06</t>
  </si>
  <si>
    <t>DARK-6191-20200815-12_14_14</t>
  </si>
  <si>
    <t>12:14:32</t>
  </si>
  <si>
    <t>20200815 12:16:33</t>
  </si>
  <si>
    <t>12:16:33</t>
  </si>
  <si>
    <t>MPF-6192-20200815-12_16_35</t>
  </si>
  <si>
    <t>DARK-6193-20200815-12_16_42</t>
  </si>
  <si>
    <t>12:17:00</t>
  </si>
  <si>
    <t>0/2</t>
  </si>
  <si>
    <t>20200815 12:19:01</t>
  </si>
  <si>
    <t>12:19:01</t>
  </si>
  <si>
    <t>MPF-6194-20200815-12_19_03</t>
  </si>
  <si>
    <t>DARK-6195-20200815-12_19_10</t>
  </si>
  <si>
    <t>12:19:30</t>
  </si>
  <si>
    <t>20200815 12:21:31</t>
  </si>
  <si>
    <t>12:21:31</t>
  </si>
  <si>
    <t>MPF-6196-20200815-12_21_33</t>
  </si>
  <si>
    <t>DARK-6197-20200815-12_21_40</t>
  </si>
  <si>
    <t>12:22:07</t>
  </si>
  <si>
    <t>20200815 12:23:40</t>
  </si>
  <si>
    <t>12:23:40</t>
  </si>
  <si>
    <t>MPF-6198-20200815-12_23_42</t>
  </si>
  <si>
    <t>DARK-6199-20200815-12_23_50</t>
  </si>
  <si>
    <t>12:24:10</t>
  </si>
  <si>
    <t>20200815 12:26:12</t>
  </si>
  <si>
    <t>12:26:12</t>
  </si>
  <si>
    <t>MPF-6200-20200815-12_26_13</t>
  </si>
  <si>
    <t>DARK-6201-20200815-12_26_21</t>
  </si>
  <si>
    <t>12:26:39</t>
  </si>
  <si>
    <t>20200815 12:28:29</t>
  </si>
  <si>
    <t>12:28:29</t>
  </si>
  <si>
    <t>MPF-6202-20200815-12_28_31</t>
  </si>
  <si>
    <t>DARK-6203-20200815-12_28_38</t>
  </si>
  <si>
    <t>12:29:09</t>
  </si>
  <si>
    <t>20200815 12:30:50</t>
  </si>
  <si>
    <t>12:30:50</t>
  </si>
  <si>
    <t>MPF-6204-20200815-12_30_51</t>
  </si>
  <si>
    <t>DARK-6205-20200815-12_30_59</t>
  </si>
  <si>
    <t>12:31:16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</si>
</sst>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1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1597510739</v>
      </c>
      <c r="C17">
        <v>0</v>
      </c>
      <c r="D17" t="s">
        <v>277</v>
      </c>
      <c r="E17" t="s">
        <v>278</v>
      </c>
      <c r="G17">
        <v>1597510730.9419401</v>
      </c>
      <c r="H17">
        <f t="shared" ref="H17:H31" si="0">CC17*AI17*(CA17-CB17)/(100*$B$5*(1000-AI17*CA17))</f>
        <v>1.160385059326303E-2</v>
      </c>
      <c r="I17">
        <f t="shared" ref="I17:I31" si="1">CC17*AI17*(BZ17-BY17*(1000-AI17*CB17)/(1000-AI17*CA17))/(100*$B$5)</f>
        <v>39.380096690751479</v>
      </c>
      <c r="J17">
        <f t="shared" ref="J17:J31" si="2">BY17 - IF(AI17&gt;1, I17*$B$5*100/(AK17*CI17), 0)</f>
        <v>382.44377419354799</v>
      </c>
      <c r="K17">
        <f t="shared" ref="K17:K31" si="3">((Q17-H17/2)*J17-I17)/(Q17+H17/2)</f>
        <v>291.71535758373</v>
      </c>
      <c r="L17">
        <f t="shared" ref="L17:L31" si="4">K17*(CD17+CE17)/1000</f>
        <v>28.957608681662691</v>
      </c>
      <c r="M17">
        <f t="shared" ref="M17:M31" si="5">(BY17 - IF(AI17&gt;1, I17*$B$5*100/(AK17*CI17), 0))*(CD17+CE17)/1000</f>
        <v>37.963915398784629</v>
      </c>
      <c r="N17">
        <f t="shared" ref="N17:N31" si="6">2/((1/P17-1/O17)+SIGN(P17)*SQRT((1/P17-1/O17)*(1/P17-1/O17) + 4*BV17/((BV17+1)*(BV17+1))*(2*1/P17*1/O17-1/O17*1/O17)))</f>
        <v>0.85458723703691808</v>
      </c>
      <c r="O17">
        <f t="shared" ref="O17:O31" si="7">AF17+AE17*$B$5+AD17*$B$5*$B$5</f>
        <v>3.3753981850885109</v>
      </c>
      <c r="P17">
        <f t="shared" ref="P17:P31" si="8">H17*(1000-(1000*0.61365*EXP(17.502*T17/(240.97+T17))/(CD17+CE17)+CA17)/2)/(1000*0.61365*EXP(17.502*T17/(240.97+T17))/(CD17+CE17)-CA17)</f>
        <v>0.75014226514960591</v>
      </c>
      <c r="Q17">
        <f t="shared" ref="Q17:Q31" si="9">1/((BV17+1)/(N17/1.6)+1/(O17/1.37)) + BV17/((BV17+1)/(N17/1.6) + BV17/(O17/1.37))</f>
        <v>0.47715499982263027</v>
      </c>
      <c r="R17">
        <f t="shared" ref="R17:R31" si="10">(BS17*BU17)</f>
        <v>321.44090336030064</v>
      </c>
      <c r="S17">
        <f t="shared" ref="S17:S31" si="11">(CF17+(R17+2*0.95*0.0000000567*(((CF17+$B$7)+273)^4-(CF17+273)^4)-44100*H17)/(1.84*29.3*O17+8*0.95*0.0000000567*(CF17+273)^3))</f>
        <v>27.270650521561297</v>
      </c>
      <c r="T17">
        <f t="shared" ref="T17:T31" si="12">($C$7*CG17+$D$7*CH17+$E$7*S17)</f>
        <v>27.112490322580602</v>
      </c>
      <c r="U17">
        <f t="shared" ref="U17:U31" si="13">0.61365*EXP(17.502*T17/(240.97+T17))</f>
        <v>3.6028749103305024</v>
      </c>
      <c r="V17">
        <f t="shared" ref="V17:V31" si="14">(W17/X17*100)</f>
        <v>54.829023854956915</v>
      </c>
      <c r="W17">
        <f t="shared" ref="W17:W31" si="15">CA17*(CD17+CE17)/1000</f>
        <v>2.1115299051011713</v>
      </c>
      <c r="X17">
        <f t="shared" ref="X17:X31" si="16">0.61365*EXP(17.502*CF17/(240.97+CF17))</f>
        <v>3.8511170847887977</v>
      </c>
      <c r="Y17">
        <f t="shared" ref="Y17:Y31" si="17">(U17-CA17*(CD17+CE17)/1000)</f>
        <v>1.4913450052293311</v>
      </c>
      <c r="Z17">
        <f t="shared" ref="Z17:Z31" si="18">(-H17*44100)</f>
        <v>-511.72981116289958</v>
      </c>
      <c r="AA17">
        <f t="shared" ref="AA17:AA31" si="19">2*29.3*O17*0.92*(CF17-T17)</f>
        <v>207.49961452411455</v>
      </c>
      <c r="AB17">
        <f t="shared" ref="AB17:AB31" si="20">2*0.95*0.0000000567*(((CF17+$B$7)+273)^4-(T17+273)^4)</f>
        <v>13.357649593063364</v>
      </c>
      <c r="AC17">
        <f t="shared" ref="AC17:AC31" si="21">R17+AB17+Z17+AA17</f>
        <v>30.568356314578949</v>
      </c>
      <c r="AD17">
        <v>-4.1066996554543198E-2</v>
      </c>
      <c r="AE17">
        <v>4.61013012989668E-2</v>
      </c>
      <c r="AF17">
        <v>3.4474635687087498</v>
      </c>
      <c r="AG17">
        <v>156</v>
      </c>
      <c r="AH17">
        <v>31</v>
      </c>
      <c r="AI17">
        <f t="shared" ref="AI17:AI31" si="22">IF(AG17*$H$13&gt;=AK17,1,(AK17/(AK17-AG17*$H$13)))</f>
        <v>1</v>
      </c>
      <c r="AJ17">
        <f t="shared" ref="AJ17:AJ31" si="23">(AI17-1)*100</f>
        <v>0</v>
      </c>
      <c r="AK17">
        <f t="shared" ref="AK17:AK31" si="24">MAX(0,($B$13+$C$13*CI17)/(1+$D$13*CI17)*CD17/(CF17+273)*$E$13)</f>
        <v>52149.849095768557</v>
      </c>
      <c r="AL17">
        <v>0</v>
      </c>
      <c r="AM17">
        <v>0</v>
      </c>
      <c r="AN17">
        <v>0</v>
      </c>
      <c r="AO17">
        <f t="shared" ref="AO17:AO31" si="25">AN17-AM17</f>
        <v>0</v>
      </c>
      <c r="AP17" t="e">
        <f t="shared" ref="AP17:AP31" si="26">AO17/AN17</f>
        <v>#DIV/0!</v>
      </c>
      <c r="AQ17">
        <v>-1</v>
      </c>
      <c r="AR17" t="s">
        <v>279</v>
      </c>
      <c r="AS17">
        <v>318.415961538462</v>
      </c>
      <c r="AT17">
        <v>481.69099999999997</v>
      </c>
      <c r="AU17">
        <f t="shared" ref="AU17:AU31" si="27">1-AS17/AT17</f>
        <v>0.3389621945636061</v>
      </c>
      <c r="AV17">
        <v>0.5</v>
      </c>
      <c r="AW17">
        <f t="shared" ref="AW17:AW31" si="28">BS17</f>
        <v>1681.202689999393</v>
      </c>
      <c r="AX17">
        <f t="shared" ref="AX17:AX31" si="29">I17</f>
        <v>39.380096690751479</v>
      </c>
      <c r="AY17">
        <f t="shared" ref="AY17:AY31" si="30">AU17*AV17*AW17</f>
        <v>284.93207665421608</v>
      </c>
      <c r="AZ17">
        <f t="shared" ref="AZ17:AZ31" si="31">BE17/AT17</f>
        <v>0.59197909032969265</v>
      </c>
      <c r="BA17">
        <f t="shared" ref="BA17:BA31" si="32">(AX17-AQ17)/AW17</f>
        <v>2.4018577254813968E-2</v>
      </c>
      <c r="BB17">
        <f t="shared" ref="BB17:BB31" si="33">(AN17-AT17)/AT17</f>
        <v>-1</v>
      </c>
      <c r="BC17" t="s">
        <v>280</v>
      </c>
      <c r="BD17">
        <v>196.54</v>
      </c>
      <c r="BE17">
        <f t="shared" ref="BE17:BE31" si="34">AT17-BD17</f>
        <v>285.15099999999995</v>
      </c>
      <c r="BF17">
        <f t="shared" ref="BF17:BF31" si="35">(AT17-AS17)/(AT17-BD17)</f>
        <v>0.57259149875517878</v>
      </c>
      <c r="BG17">
        <f t="shared" ref="BG17:BG31" si="36">(AN17-AT17)/(AN17-BD17)</f>
        <v>2.4508547878294493</v>
      </c>
      <c r="BH17">
        <f t="shared" ref="BH17:BH31" si="37">(AT17-AS17)/(AT17-AM17)</f>
        <v>0.3389621945636061</v>
      </c>
      <c r="BI17" t="e">
        <f t="shared" ref="BI17:BI31" si="38">(AN17-AT17)/(AN17-AM17)</f>
        <v>#DIV/0!</v>
      </c>
      <c r="BJ17">
        <v>6176</v>
      </c>
      <c r="BK17">
        <v>300</v>
      </c>
      <c r="BL17">
        <v>300</v>
      </c>
      <c r="BM17">
        <v>300</v>
      </c>
      <c r="BN17">
        <v>9869.75</v>
      </c>
      <c r="BO17">
        <v>438.77100000000002</v>
      </c>
      <c r="BP17">
        <v>-6.56435E-3</v>
      </c>
      <c r="BQ17">
        <v>2.3480500000000002</v>
      </c>
      <c r="BR17">
        <f t="shared" ref="BR17:BR31" si="39">$B$11*CJ17+$C$11*CK17+$F$11*CL17</f>
        <v>2000.00677419355</v>
      </c>
      <c r="BS17">
        <f t="shared" ref="BS17:BS31" si="40">BR17*BT17</f>
        <v>1681.202689999393</v>
      </c>
      <c r="BT17">
        <f t="shared" ref="BT17:BT31" si="41">($B$11*$D$9+$C$11*$D$9+$F$11*((CY17+CQ17)/MAX(CY17+CQ17+CZ17, 0.1)*$I$9+CZ17/MAX(CY17+CQ17+CZ17, 0.1)*$J$9))/($B$11+$C$11+$F$11)</f>
        <v>0.84059849781123552</v>
      </c>
      <c r="BU17">
        <f t="shared" ref="BU17:BU31" si="42">($B$11*$K$9+$C$11*$K$9+$F$11*((CY17+CQ17)/MAX(CY17+CQ17+CZ17, 0.1)*$P$9+CZ17/MAX(CY17+CQ17+CZ17, 0.1)*$Q$9))/($B$11+$C$11+$F$11)</f>
        <v>0.19119699562247114</v>
      </c>
      <c r="BV17">
        <v>0.5</v>
      </c>
      <c r="BW17" t="s">
        <v>281</v>
      </c>
      <c r="BX17">
        <v>1597510730.9419401</v>
      </c>
      <c r="BY17">
        <v>382.44377419354799</v>
      </c>
      <c r="BZ17">
        <v>399.96874193548399</v>
      </c>
      <c r="CA17">
        <v>21.271290322580601</v>
      </c>
      <c r="CB17">
        <v>16.729051612903199</v>
      </c>
      <c r="CC17">
        <v>500.06274193548398</v>
      </c>
      <c r="CD17">
        <v>99.066638709677406</v>
      </c>
      <c r="CE17">
        <v>0.20001945161290299</v>
      </c>
      <c r="CF17">
        <v>28.252758064516101</v>
      </c>
      <c r="CG17">
        <v>27.112490322580602</v>
      </c>
      <c r="CH17">
        <v>999.9</v>
      </c>
      <c r="CI17">
        <v>9996.8122580645195</v>
      </c>
      <c r="CJ17">
        <v>0</v>
      </c>
      <c r="CK17">
        <v>189.45158064516099</v>
      </c>
      <c r="CL17">
        <v>2000.00677419355</v>
      </c>
      <c r="CM17">
        <v>0.980001129032258</v>
      </c>
      <c r="CN17">
        <v>1.99990322580645E-2</v>
      </c>
      <c r="CO17">
        <v>0</v>
      </c>
      <c r="CP17">
        <v>318.49464516129001</v>
      </c>
      <c r="CQ17">
        <v>5.00054</v>
      </c>
      <c r="CR17">
        <v>8739.6903225806509</v>
      </c>
      <c r="CS17">
        <v>18703.6870967742</v>
      </c>
      <c r="CT17">
        <v>48.656999999999996</v>
      </c>
      <c r="CU17">
        <v>50.7398387096774</v>
      </c>
      <c r="CV17">
        <v>49.195129032258002</v>
      </c>
      <c r="CW17">
        <v>49.699322580645202</v>
      </c>
      <c r="CX17">
        <v>50.265999999999998</v>
      </c>
      <c r="CY17">
        <v>1955.1067741935501</v>
      </c>
      <c r="CZ17">
        <v>39.9</v>
      </c>
      <c r="DA17">
        <v>0</v>
      </c>
      <c r="DB17">
        <v>469.799999952316</v>
      </c>
      <c r="DC17">
        <v>318.415961538462</v>
      </c>
      <c r="DD17">
        <v>-9.4022222340223909</v>
      </c>
      <c r="DE17">
        <v>-355.11111146074899</v>
      </c>
      <c r="DF17">
        <v>8737.2453846153803</v>
      </c>
      <c r="DG17">
        <v>15</v>
      </c>
      <c r="DH17">
        <v>1597510773</v>
      </c>
      <c r="DI17" t="s">
        <v>282</v>
      </c>
      <c r="DJ17">
        <v>47</v>
      </c>
      <c r="DK17">
        <v>-0.38700000000000001</v>
      </c>
      <c r="DL17">
        <v>0.107</v>
      </c>
      <c r="DM17">
        <v>400</v>
      </c>
      <c r="DN17">
        <v>17</v>
      </c>
      <c r="DO17">
        <v>0.28999999999999998</v>
      </c>
      <c r="DP17">
        <v>0.02</v>
      </c>
      <c r="DQ17">
        <v>382.61985185185199</v>
      </c>
      <c r="DR17">
        <v>-4.1825591927185501E-3</v>
      </c>
      <c r="DS17">
        <v>1.98656668348395E-2</v>
      </c>
      <c r="DT17">
        <v>1</v>
      </c>
      <c r="DU17">
        <v>21.267590740740701</v>
      </c>
      <c r="DV17">
        <v>0.118602538143847</v>
      </c>
      <c r="DW17">
        <v>1.6614432241595301E-2</v>
      </c>
      <c r="DX17">
        <v>1</v>
      </c>
      <c r="DY17">
        <v>2</v>
      </c>
      <c r="DZ17">
        <v>2</v>
      </c>
      <c r="EA17" t="s">
        <v>283</v>
      </c>
      <c r="EB17">
        <v>1.86666</v>
      </c>
      <c r="EC17">
        <v>1.86324</v>
      </c>
      <c r="ED17">
        <v>1.8689</v>
      </c>
      <c r="EE17">
        <v>1.86676</v>
      </c>
      <c r="EF17">
        <v>1.8714900000000001</v>
      </c>
      <c r="EG17">
        <v>1.8639399999999999</v>
      </c>
      <c r="EH17">
        <v>1.8655299999999999</v>
      </c>
      <c r="EI17">
        <v>1.8653900000000001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-0.38700000000000001</v>
      </c>
      <c r="EX17">
        <v>0.107</v>
      </c>
      <c r="EY17">
        <v>2</v>
      </c>
      <c r="EZ17">
        <v>328.52199999999999</v>
      </c>
      <c r="FA17">
        <v>472.10500000000002</v>
      </c>
      <c r="FB17">
        <v>23.098400000000002</v>
      </c>
      <c r="FC17">
        <v>35.526899999999998</v>
      </c>
      <c r="FD17">
        <v>30.000599999999999</v>
      </c>
      <c r="FE17">
        <v>35.466099999999997</v>
      </c>
      <c r="FF17">
        <v>35.457999999999998</v>
      </c>
      <c r="FG17">
        <v>22.044899999999998</v>
      </c>
      <c r="FH17">
        <v>52.172199999999997</v>
      </c>
      <c r="FI17">
        <v>0</v>
      </c>
      <c r="FJ17">
        <v>23.0092</v>
      </c>
      <c r="FK17">
        <v>400</v>
      </c>
      <c r="FL17">
        <v>16.7027</v>
      </c>
      <c r="FM17">
        <v>100.393</v>
      </c>
      <c r="FN17">
        <v>100.93300000000001</v>
      </c>
    </row>
    <row r="18" spans="1:170" x14ac:dyDescent="0.25">
      <c r="A18">
        <v>2</v>
      </c>
      <c r="B18">
        <v>1597510895</v>
      </c>
      <c r="C18">
        <v>156</v>
      </c>
      <c r="D18" t="s">
        <v>288</v>
      </c>
      <c r="E18" t="s">
        <v>289</v>
      </c>
      <c r="G18">
        <v>1597510887</v>
      </c>
      <c r="H18">
        <f t="shared" si="0"/>
        <v>1.1189778988181607E-2</v>
      </c>
      <c r="I18">
        <f t="shared" si="1"/>
        <v>29.218392913424442</v>
      </c>
      <c r="J18">
        <f t="shared" si="2"/>
        <v>287.02300000000002</v>
      </c>
      <c r="K18">
        <f t="shared" si="3"/>
        <v>216.15785288998399</v>
      </c>
      <c r="L18">
        <f t="shared" si="4"/>
        <v>21.458090451252119</v>
      </c>
      <c r="M18">
        <f t="shared" si="5"/>
        <v>28.492906518295282</v>
      </c>
      <c r="N18">
        <f t="shared" si="6"/>
        <v>0.80455482599840134</v>
      </c>
      <c r="O18">
        <f t="shared" si="7"/>
        <v>3.3766044711379712</v>
      </c>
      <c r="P18">
        <f t="shared" si="8"/>
        <v>0.71129892519698157</v>
      </c>
      <c r="Q18">
        <f t="shared" si="9"/>
        <v>0.4520365156535272</v>
      </c>
      <c r="R18">
        <f t="shared" si="10"/>
        <v>321.44202075661445</v>
      </c>
      <c r="S18">
        <f t="shared" si="11"/>
        <v>26.80826861750425</v>
      </c>
      <c r="T18">
        <f t="shared" si="12"/>
        <v>26.951625806451599</v>
      </c>
      <c r="U18">
        <f t="shared" si="13"/>
        <v>3.5690034139656701</v>
      </c>
      <c r="V18">
        <f t="shared" si="14"/>
        <v>55.028701413475801</v>
      </c>
      <c r="W18">
        <f t="shared" si="15"/>
        <v>2.0515426319953125</v>
      </c>
      <c r="X18">
        <f t="shared" si="16"/>
        <v>3.7281320098404449</v>
      </c>
      <c r="Y18">
        <f t="shared" si="17"/>
        <v>1.5174607819703576</v>
      </c>
      <c r="Z18">
        <f t="shared" si="18"/>
        <v>-493.46925337880884</v>
      </c>
      <c r="AA18">
        <f t="shared" si="19"/>
        <v>135.52840793462917</v>
      </c>
      <c r="AB18">
        <f t="shared" si="20"/>
        <v>8.6902365999659548</v>
      </c>
      <c r="AC18">
        <f t="shared" si="21"/>
        <v>-27.808588087599276</v>
      </c>
      <c r="AD18">
        <v>-4.1085636723430102E-2</v>
      </c>
      <c r="AE18">
        <v>4.6122226521510802E-2</v>
      </c>
      <c r="AF18">
        <v>3.44870256498867</v>
      </c>
      <c r="AG18">
        <v>155</v>
      </c>
      <c r="AH18">
        <v>31</v>
      </c>
      <c r="AI18">
        <f t="shared" si="22"/>
        <v>1</v>
      </c>
      <c r="AJ18">
        <f t="shared" si="23"/>
        <v>0</v>
      </c>
      <c r="AK18">
        <f t="shared" si="24"/>
        <v>52269.21424343696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284.15746153846197</v>
      </c>
      <c r="AT18">
        <v>412.35899999999998</v>
      </c>
      <c r="AU18">
        <f t="shared" si="27"/>
        <v>0.31089787893931742</v>
      </c>
      <c r="AV18">
        <v>0.5</v>
      </c>
      <c r="AW18">
        <f t="shared" si="28"/>
        <v>1681.2083996768097</v>
      </c>
      <c r="AX18">
        <f t="shared" si="29"/>
        <v>29.218392913424442</v>
      </c>
      <c r="AY18">
        <f t="shared" si="30"/>
        <v>261.34206275724216</v>
      </c>
      <c r="AZ18">
        <f t="shared" si="31"/>
        <v>0.54001246486677867</v>
      </c>
      <c r="BA18">
        <f t="shared" si="32"/>
        <v>1.7974210049886457E-2</v>
      </c>
      <c r="BB18">
        <f t="shared" si="33"/>
        <v>-1</v>
      </c>
      <c r="BC18" t="s">
        <v>291</v>
      </c>
      <c r="BD18">
        <v>189.68</v>
      </c>
      <c r="BE18">
        <f t="shared" si="34"/>
        <v>222.67899999999997</v>
      </c>
      <c r="BF18">
        <f t="shared" si="35"/>
        <v>0.57572352337462451</v>
      </c>
      <c r="BG18">
        <f t="shared" si="36"/>
        <v>2.1739719527625474</v>
      </c>
      <c r="BH18">
        <f t="shared" si="37"/>
        <v>0.31089787893931747</v>
      </c>
      <c r="BI18" t="e">
        <f t="shared" si="38"/>
        <v>#DIV/0!</v>
      </c>
      <c r="BJ18">
        <v>6178</v>
      </c>
      <c r="BK18">
        <v>300</v>
      </c>
      <c r="BL18">
        <v>300</v>
      </c>
      <c r="BM18">
        <v>300</v>
      </c>
      <c r="BN18">
        <v>9870.85</v>
      </c>
      <c r="BO18">
        <v>378.87599999999998</v>
      </c>
      <c r="BP18">
        <v>-6.5652100000000001E-3</v>
      </c>
      <c r="BQ18">
        <v>1.57016</v>
      </c>
      <c r="BR18">
        <f t="shared" si="39"/>
        <v>2000.0135483870999</v>
      </c>
      <c r="BS18">
        <f t="shared" si="40"/>
        <v>1681.2083996768097</v>
      </c>
      <c r="BT18">
        <f t="shared" si="41"/>
        <v>0.840598505461431</v>
      </c>
      <c r="BU18">
        <f t="shared" si="42"/>
        <v>0.19119701092286209</v>
      </c>
      <c r="BV18">
        <v>0.5</v>
      </c>
      <c r="BW18" t="s">
        <v>281</v>
      </c>
      <c r="BX18">
        <v>1597510887</v>
      </c>
      <c r="BY18">
        <v>287.02300000000002</v>
      </c>
      <c r="BZ18">
        <v>299.99358064516099</v>
      </c>
      <c r="CA18">
        <v>20.666193548387099</v>
      </c>
      <c r="CB18">
        <v>16.2832774193548</v>
      </c>
      <c r="CC18">
        <v>500.05651612903199</v>
      </c>
      <c r="CD18">
        <v>99.070470967741898</v>
      </c>
      <c r="CE18">
        <v>0.19999348387096799</v>
      </c>
      <c r="CF18">
        <v>27.696125806451601</v>
      </c>
      <c r="CG18">
        <v>26.951625806451599</v>
      </c>
      <c r="CH18">
        <v>999.9</v>
      </c>
      <c r="CI18">
        <v>10000.9629032258</v>
      </c>
      <c r="CJ18">
        <v>0</v>
      </c>
      <c r="CK18">
        <v>180.125032258065</v>
      </c>
      <c r="CL18">
        <v>2000.0135483870999</v>
      </c>
      <c r="CM18">
        <v>0.97999896774193496</v>
      </c>
      <c r="CN18">
        <v>2.00009612903226E-2</v>
      </c>
      <c r="CO18">
        <v>0</v>
      </c>
      <c r="CP18">
        <v>284.19609677419402</v>
      </c>
      <c r="CQ18">
        <v>5.00054</v>
      </c>
      <c r="CR18">
        <v>7933.1083870967796</v>
      </c>
      <c r="CS18">
        <v>18703.751612903201</v>
      </c>
      <c r="CT18">
        <v>48.304193548387097</v>
      </c>
      <c r="CU18">
        <v>50.342483870967698</v>
      </c>
      <c r="CV18">
        <v>48.804000000000002</v>
      </c>
      <c r="CW18">
        <v>49.346483870967703</v>
      </c>
      <c r="CX18">
        <v>49.890935483870997</v>
      </c>
      <c r="CY18">
        <v>1955.11290322581</v>
      </c>
      <c r="CZ18">
        <v>39.900645161290299</v>
      </c>
      <c r="DA18">
        <v>0</v>
      </c>
      <c r="DB18">
        <v>155.59999990463299</v>
      </c>
      <c r="DC18">
        <v>284.15746153846197</v>
      </c>
      <c r="DD18">
        <v>-4.8721367463977003</v>
      </c>
      <c r="DE18">
        <v>-319.19897382581001</v>
      </c>
      <c r="DF18">
        <v>7930.9526923076901</v>
      </c>
      <c r="DG18">
        <v>15</v>
      </c>
      <c r="DH18">
        <v>1597510923</v>
      </c>
      <c r="DI18" t="s">
        <v>292</v>
      </c>
      <c r="DJ18">
        <v>48</v>
      </c>
      <c r="DK18">
        <v>-0.36</v>
      </c>
      <c r="DL18">
        <v>0.10299999999999999</v>
      </c>
      <c r="DM18">
        <v>300</v>
      </c>
      <c r="DN18">
        <v>16</v>
      </c>
      <c r="DO18">
        <v>0.12</v>
      </c>
      <c r="DP18">
        <v>0.02</v>
      </c>
      <c r="DQ18">
        <v>286.99418518518502</v>
      </c>
      <c r="DR18">
        <v>-1.37221269295993E-2</v>
      </c>
      <c r="DS18">
        <v>1.67675547302614E-2</v>
      </c>
      <c r="DT18">
        <v>1</v>
      </c>
      <c r="DU18">
        <v>20.6905944444444</v>
      </c>
      <c r="DV18">
        <v>-0.20560274442538501</v>
      </c>
      <c r="DW18">
        <v>2.79280651135673E-2</v>
      </c>
      <c r="DX18">
        <v>0</v>
      </c>
      <c r="DY18">
        <v>1</v>
      </c>
      <c r="DZ18">
        <v>2</v>
      </c>
      <c r="EA18" t="s">
        <v>293</v>
      </c>
      <c r="EB18">
        <v>1.86676</v>
      </c>
      <c r="EC18">
        <v>1.8632500000000001</v>
      </c>
      <c r="ED18">
        <v>1.8689</v>
      </c>
      <c r="EE18">
        <v>1.8667899999999999</v>
      </c>
      <c r="EF18">
        <v>1.8714999999999999</v>
      </c>
      <c r="EG18">
        <v>1.8640000000000001</v>
      </c>
      <c r="EH18">
        <v>1.86554</v>
      </c>
      <c r="EI18">
        <v>1.86548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-0.36</v>
      </c>
      <c r="EX18">
        <v>0.10299999999999999</v>
      </c>
      <c r="EY18">
        <v>2</v>
      </c>
      <c r="EZ18">
        <v>329.15600000000001</v>
      </c>
      <c r="FA18">
        <v>471.41800000000001</v>
      </c>
      <c r="FB18">
        <v>23.135300000000001</v>
      </c>
      <c r="FC18">
        <v>35.49</v>
      </c>
      <c r="FD18">
        <v>29.999700000000001</v>
      </c>
      <c r="FE18">
        <v>35.456299999999999</v>
      </c>
      <c r="FF18">
        <v>35.454700000000003</v>
      </c>
      <c r="FG18">
        <v>17.5595</v>
      </c>
      <c r="FH18">
        <v>53.8949</v>
      </c>
      <c r="FI18">
        <v>0</v>
      </c>
      <c r="FJ18">
        <v>23.1586</v>
      </c>
      <c r="FK18">
        <v>300</v>
      </c>
      <c r="FL18">
        <v>16.3614</v>
      </c>
      <c r="FM18">
        <v>100.399</v>
      </c>
      <c r="FN18">
        <v>100.943</v>
      </c>
    </row>
    <row r="19" spans="1:170" x14ac:dyDescent="0.25">
      <c r="A19">
        <v>3</v>
      </c>
      <c r="B19">
        <v>1597511014.5</v>
      </c>
      <c r="C19">
        <v>275.5</v>
      </c>
      <c r="D19" t="s">
        <v>294</v>
      </c>
      <c r="E19" t="s">
        <v>295</v>
      </c>
      <c r="G19">
        <v>1597511006.5</v>
      </c>
      <c r="H19">
        <f t="shared" si="0"/>
        <v>1.0283013160065704E-2</v>
      </c>
      <c r="I19">
        <f t="shared" si="1"/>
        <v>18.216654572192553</v>
      </c>
      <c r="J19">
        <f t="shared" si="2"/>
        <v>191.919806451613</v>
      </c>
      <c r="K19">
        <f t="shared" si="3"/>
        <v>143.24110895993118</v>
      </c>
      <c r="L19">
        <f t="shared" si="4"/>
        <v>14.219234016280486</v>
      </c>
      <c r="M19">
        <f t="shared" si="5"/>
        <v>19.051462670943945</v>
      </c>
      <c r="N19">
        <f t="shared" si="6"/>
        <v>0.72158286440674602</v>
      </c>
      <c r="O19">
        <f t="shared" si="7"/>
        <v>3.3733701056859542</v>
      </c>
      <c r="P19">
        <f t="shared" si="8"/>
        <v>0.64553567873262541</v>
      </c>
      <c r="Q19">
        <f t="shared" si="9"/>
        <v>0.4096224355131558</v>
      </c>
      <c r="R19">
        <f t="shared" si="10"/>
        <v>321.44042212537857</v>
      </c>
      <c r="S19">
        <f t="shared" si="11"/>
        <v>26.911277039642275</v>
      </c>
      <c r="T19">
        <f t="shared" si="12"/>
        <v>27.037025806451599</v>
      </c>
      <c r="U19">
        <f t="shared" si="13"/>
        <v>3.5869503865975689</v>
      </c>
      <c r="V19">
        <f t="shared" si="14"/>
        <v>55.333877462175394</v>
      </c>
      <c r="W19">
        <f t="shared" si="15"/>
        <v>2.0505720365722979</v>
      </c>
      <c r="X19">
        <f t="shared" si="16"/>
        <v>3.7058166364249612</v>
      </c>
      <c r="Y19">
        <f t="shared" si="17"/>
        <v>1.536378350025271</v>
      </c>
      <c r="Z19">
        <f t="shared" si="18"/>
        <v>-453.48088035889754</v>
      </c>
      <c r="AA19">
        <f t="shared" si="19"/>
        <v>101.18741120541314</v>
      </c>
      <c r="AB19">
        <f t="shared" si="20"/>
        <v>6.493907515481415</v>
      </c>
      <c r="AC19">
        <f t="shared" si="21"/>
        <v>-24.359139512624424</v>
      </c>
      <c r="AD19">
        <v>-4.1035664308631897E-2</v>
      </c>
      <c r="AE19">
        <v>4.6066128108075803E-2</v>
      </c>
      <c r="AF19">
        <v>3.4453805067043302</v>
      </c>
      <c r="AG19">
        <v>154</v>
      </c>
      <c r="AH19">
        <v>31</v>
      </c>
      <c r="AI19">
        <f t="shared" si="22"/>
        <v>1</v>
      </c>
      <c r="AJ19">
        <f t="shared" si="23"/>
        <v>0</v>
      </c>
      <c r="AK19">
        <f t="shared" si="24"/>
        <v>52226.010438906036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296</v>
      </c>
      <c r="AS19">
        <v>270.66469230769201</v>
      </c>
      <c r="AT19">
        <v>369.18700000000001</v>
      </c>
      <c r="AU19">
        <f t="shared" si="27"/>
        <v>0.26686288437108563</v>
      </c>
      <c r="AV19">
        <v>0.5</v>
      </c>
      <c r="AW19">
        <f t="shared" si="28"/>
        <v>1681.1990243813577</v>
      </c>
      <c r="AX19">
        <f t="shared" si="29"/>
        <v>18.216654572192553</v>
      </c>
      <c r="AY19">
        <f t="shared" si="30"/>
        <v>224.32481042413212</v>
      </c>
      <c r="AZ19">
        <f t="shared" si="31"/>
        <v>0.48329708250832237</v>
      </c>
      <c r="BA19">
        <f t="shared" si="32"/>
        <v>1.143032698300776E-2</v>
      </c>
      <c r="BB19">
        <f t="shared" si="33"/>
        <v>-1</v>
      </c>
      <c r="BC19" t="s">
        <v>297</v>
      </c>
      <c r="BD19">
        <v>190.76</v>
      </c>
      <c r="BE19">
        <f t="shared" si="34"/>
        <v>178.42700000000002</v>
      </c>
      <c r="BF19">
        <f t="shared" si="35"/>
        <v>0.55217151940181697</v>
      </c>
      <c r="BG19">
        <f t="shared" si="36"/>
        <v>1.9353480813587756</v>
      </c>
      <c r="BH19">
        <f t="shared" si="37"/>
        <v>0.26686288437108568</v>
      </c>
      <c r="BI19" t="e">
        <f t="shared" si="38"/>
        <v>#DIV/0!</v>
      </c>
      <c r="BJ19">
        <v>6180</v>
      </c>
      <c r="BK19">
        <v>300</v>
      </c>
      <c r="BL19">
        <v>300</v>
      </c>
      <c r="BM19">
        <v>300</v>
      </c>
      <c r="BN19">
        <v>9871.7000000000007</v>
      </c>
      <c r="BO19">
        <v>344.59</v>
      </c>
      <c r="BP19">
        <v>-6.5658899999999996E-3</v>
      </c>
      <c r="BQ19">
        <v>2.7530199999999998</v>
      </c>
      <c r="BR19">
        <f t="shared" si="39"/>
        <v>2000.00225806452</v>
      </c>
      <c r="BS19">
        <f t="shared" si="40"/>
        <v>1681.1990243813577</v>
      </c>
      <c r="BT19">
        <f t="shared" si="41"/>
        <v>0.84059856312778336</v>
      </c>
      <c r="BU19">
        <f t="shared" si="42"/>
        <v>0.19119712625556703</v>
      </c>
      <c r="BV19">
        <v>0.5</v>
      </c>
      <c r="BW19" t="s">
        <v>281</v>
      </c>
      <c r="BX19">
        <v>1597511006.5</v>
      </c>
      <c r="BY19">
        <v>191.919806451613</v>
      </c>
      <c r="BZ19">
        <v>199.994870967742</v>
      </c>
      <c r="CA19">
        <v>20.656964516129001</v>
      </c>
      <c r="CB19">
        <v>16.629225806451601</v>
      </c>
      <c r="CC19">
        <v>500.062096774194</v>
      </c>
      <c r="CD19">
        <v>99.067783870967801</v>
      </c>
      <c r="CE19">
        <v>0.20004587096774201</v>
      </c>
      <c r="CF19">
        <v>27.593412903225801</v>
      </c>
      <c r="CG19">
        <v>27.037025806451599</v>
      </c>
      <c r="CH19">
        <v>999.9</v>
      </c>
      <c r="CI19">
        <v>9989.0696774193602</v>
      </c>
      <c r="CJ19">
        <v>0</v>
      </c>
      <c r="CK19">
        <v>183.07458064516101</v>
      </c>
      <c r="CL19">
        <v>2000.00225806452</v>
      </c>
      <c r="CM19">
        <v>0.97999735483870998</v>
      </c>
      <c r="CN19">
        <v>2.00026387096774E-2</v>
      </c>
      <c r="CO19">
        <v>0</v>
      </c>
      <c r="CP19">
        <v>270.70296774193503</v>
      </c>
      <c r="CQ19">
        <v>5.00054</v>
      </c>
      <c r="CR19">
        <v>7697.3274193548395</v>
      </c>
      <c r="CS19">
        <v>18703.654838709699</v>
      </c>
      <c r="CT19">
        <v>48.036000000000001</v>
      </c>
      <c r="CU19">
        <v>50.110709677419401</v>
      </c>
      <c r="CV19">
        <v>48.5783870967742</v>
      </c>
      <c r="CW19">
        <v>49.096612903225797</v>
      </c>
      <c r="CX19">
        <v>49.669193548387099</v>
      </c>
      <c r="CY19">
        <v>1955.0945161290299</v>
      </c>
      <c r="CZ19">
        <v>39.904193548387099</v>
      </c>
      <c r="DA19">
        <v>0</v>
      </c>
      <c r="DB19">
        <v>119.09999990463299</v>
      </c>
      <c r="DC19">
        <v>270.66469230769201</v>
      </c>
      <c r="DD19">
        <v>-4.2594188066649803</v>
      </c>
      <c r="DE19">
        <v>-108.964786262019</v>
      </c>
      <c r="DF19">
        <v>7695.6907692307695</v>
      </c>
      <c r="DG19">
        <v>15</v>
      </c>
      <c r="DH19">
        <v>1597511045.5</v>
      </c>
      <c r="DI19" t="s">
        <v>298</v>
      </c>
      <c r="DJ19">
        <v>49</v>
      </c>
      <c r="DK19">
        <v>-0.36399999999999999</v>
      </c>
      <c r="DL19">
        <v>0.11</v>
      </c>
      <c r="DM19">
        <v>200</v>
      </c>
      <c r="DN19">
        <v>17</v>
      </c>
      <c r="DO19">
        <v>0.76</v>
      </c>
      <c r="DP19">
        <v>0.02</v>
      </c>
      <c r="DQ19">
        <v>191.899592592593</v>
      </c>
      <c r="DR19">
        <v>0.22983647798742901</v>
      </c>
      <c r="DS19">
        <v>3.1579129605036199E-2</v>
      </c>
      <c r="DT19">
        <v>1</v>
      </c>
      <c r="DU19">
        <v>20.660007407407399</v>
      </c>
      <c r="DV19">
        <v>-9.7417038307607701E-2</v>
      </c>
      <c r="DW19">
        <v>1.28094850830655E-2</v>
      </c>
      <c r="DX19">
        <v>1</v>
      </c>
      <c r="DY19">
        <v>2</v>
      </c>
      <c r="DZ19">
        <v>2</v>
      </c>
      <c r="EA19" t="s">
        <v>283</v>
      </c>
      <c r="EB19">
        <v>1.86669</v>
      </c>
      <c r="EC19">
        <v>1.8631500000000001</v>
      </c>
      <c r="ED19">
        <v>1.8688899999999999</v>
      </c>
      <c r="EE19">
        <v>1.86676</v>
      </c>
      <c r="EF19">
        <v>1.8714900000000001</v>
      </c>
      <c r="EG19">
        <v>1.86391</v>
      </c>
      <c r="EH19">
        <v>1.86551</v>
      </c>
      <c r="EI19">
        <v>1.8653900000000001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-0.36399999999999999</v>
      </c>
      <c r="EX19">
        <v>0.11</v>
      </c>
      <c r="EY19">
        <v>2</v>
      </c>
      <c r="EZ19">
        <v>330.53399999999999</v>
      </c>
      <c r="FA19">
        <v>471.16199999999998</v>
      </c>
      <c r="FB19">
        <v>21.888100000000001</v>
      </c>
      <c r="FC19">
        <v>35.415999999999997</v>
      </c>
      <c r="FD19">
        <v>29.9999</v>
      </c>
      <c r="FE19">
        <v>35.414200000000001</v>
      </c>
      <c r="FF19">
        <v>35.417200000000001</v>
      </c>
      <c r="FG19">
        <v>12.9123</v>
      </c>
      <c r="FH19">
        <v>52.926200000000001</v>
      </c>
      <c r="FI19">
        <v>0</v>
      </c>
      <c r="FJ19">
        <v>21.8752</v>
      </c>
      <c r="FK19">
        <v>200</v>
      </c>
      <c r="FL19">
        <v>16.5181</v>
      </c>
      <c r="FM19">
        <v>100.41</v>
      </c>
      <c r="FN19">
        <v>100.958</v>
      </c>
    </row>
    <row r="20" spans="1:170" x14ac:dyDescent="0.25">
      <c r="A20">
        <v>4</v>
      </c>
      <c r="B20">
        <v>1597511137</v>
      </c>
      <c r="C20">
        <v>398</v>
      </c>
      <c r="D20" t="s">
        <v>299</v>
      </c>
      <c r="E20" t="s">
        <v>300</v>
      </c>
      <c r="G20">
        <v>1597511129</v>
      </c>
      <c r="H20">
        <f t="shared" si="0"/>
        <v>1.0119833191599988E-2</v>
      </c>
      <c r="I20">
        <f t="shared" si="1"/>
        <v>6.7582292808902587</v>
      </c>
      <c r="J20">
        <f t="shared" si="2"/>
        <v>96.908929032258101</v>
      </c>
      <c r="K20">
        <f t="shared" si="3"/>
        <v>77.68999046836845</v>
      </c>
      <c r="L20">
        <f t="shared" si="4"/>
        <v>7.7118539337594765</v>
      </c>
      <c r="M20">
        <f t="shared" si="5"/>
        <v>9.619611240371059</v>
      </c>
      <c r="N20">
        <f t="shared" si="6"/>
        <v>0.69832734519928408</v>
      </c>
      <c r="O20">
        <f t="shared" si="7"/>
        <v>3.3756722582680494</v>
      </c>
      <c r="P20">
        <f t="shared" si="8"/>
        <v>0.62688704291563768</v>
      </c>
      <c r="Q20">
        <f t="shared" si="9"/>
        <v>0.39761224200165501</v>
      </c>
      <c r="R20">
        <f t="shared" si="10"/>
        <v>321.44048688927893</v>
      </c>
      <c r="S20">
        <f t="shared" si="11"/>
        <v>26.695659221636287</v>
      </c>
      <c r="T20">
        <f t="shared" si="12"/>
        <v>26.949761290322598</v>
      </c>
      <c r="U20">
        <f t="shared" si="13"/>
        <v>3.5686124583463195</v>
      </c>
      <c r="V20">
        <f t="shared" si="14"/>
        <v>55.082085310047056</v>
      </c>
      <c r="W20">
        <f t="shared" si="15"/>
        <v>2.01122481679297</v>
      </c>
      <c r="X20">
        <f t="shared" si="16"/>
        <v>3.6513229400669029</v>
      </c>
      <c r="Y20">
        <f t="shared" si="17"/>
        <v>1.5573876415533494</v>
      </c>
      <c r="Z20">
        <f t="shared" si="18"/>
        <v>-446.28464374955945</v>
      </c>
      <c r="AA20">
        <f t="shared" si="19"/>
        <v>71.074431115576601</v>
      </c>
      <c r="AB20">
        <f t="shared" si="20"/>
        <v>4.5504881556764536</v>
      </c>
      <c r="AC20">
        <f t="shared" si="21"/>
        <v>-49.219237589027443</v>
      </c>
      <c r="AD20">
        <v>-4.1071231416662801E-2</v>
      </c>
      <c r="AE20">
        <v>4.6106055302690303E-2</v>
      </c>
      <c r="AF20">
        <v>3.4477450733293198</v>
      </c>
      <c r="AG20">
        <v>155</v>
      </c>
      <c r="AH20">
        <v>31</v>
      </c>
      <c r="AI20">
        <f t="shared" si="22"/>
        <v>1</v>
      </c>
      <c r="AJ20">
        <f t="shared" si="23"/>
        <v>0</v>
      </c>
      <c r="AK20">
        <f t="shared" si="24"/>
        <v>52313.410634275191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301</v>
      </c>
      <c r="AS20">
        <v>267.66888461538502</v>
      </c>
      <c r="AT20">
        <v>344.51799999999997</v>
      </c>
      <c r="AU20">
        <f t="shared" si="27"/>
        <v>0.22306270030771969</v>
      </c>
      <c r="AV20">
        <v>0.5</v>
      </c>
      <c r="AW20">
        <f t="shared" si="28"/>
        <v>1681.1978416122129</v>
      </c>
      <c r="AX20">
        <f t="shared" si="29"/>
        <v>6.7582292808902587</v>
      </c>
      <c r="AY20">
        <f t="shared" si="30"/>
        <v>187.5062651507651</v>
      </c>
      <c r="AZ20">
        <f t="shared" si="31"/>
        <v>0.42725779204569858</v>
      </c>
      <c r="BA20">
        <f t="shared" si="32"/>
        <v>4.6147033316735492E-3</v>
      </c>
      <c r="BB20">
        <f t="shared" si="33"/>
        <v>-1</v>
      </c>
      <c r="BC20" t="s">
        <v>302</v>
      </c>
      <c r="BD20">
        <v>197.32</v>
      </c>
      <c r="BE20">
        <f t="shared" si="34"/>
        <v>147.19799999999998</v>
      </c>
      <c r="BF20">
        <f t="shared" si="35"/>
        <v>0.5220798882091805</v>
      </c>
      <c r="BG20">
        <f t="shared" si="36"/>
        <v>1.7459862152848165</v>
      </c>
      <c r="BH20">
        <f t="shared" si="37"/>
        <v>0.22306270030771963</v>
      </c>
      <c r="BI20" t="e">
        <f t="shared" si="38"/>
        <v>#DIV/0!</v>
      </c>
      <c r="BJ20">
        <v>6182</v>
      </c>
      <c r="BK20">
        <v>300</v>
      </c>
      <c r="BL20">
        <v>300</v>
      </c>
      <c r="BM20">
        <v>300</v>
      </c>
      <c r="BN20">
        <v>9872.5499999999993</v>
      </c>
      <c r="BO20">
        <v>325.48500000000001</v>
      </c>
      <c r="BP20">
        <v>-6.5664299999999998E-3</v>
      </c>
      <c r="BQ20">
        <v>1.97614</v>
      </c>
      <c r="BR20">
        <f t="shared" si="39"/>
        <v>2000.0006451612901</v>
      </c>
      <c r="BS20">
        <f t="shared" si="40"/>
        <v>1681.1978416122129</v>
      </c>
      <c r="BT20">
        <f t="shared" si="41"/>
        <v>0.84059864964525177</v>
      </c>
      <c r="BU20">
        <f t="shared" si="42"/>
        <v>0.19119729929050361</v>
      </c>
      <c r="BV20">
        <v>0.5</v>
      </c>
      <c r="BW20" t="s">
        <v>281</v>
      </c>
      <c r="BX20">
        <v>1597511129</v>
      </c>
      <c r="BY20">
        <v>96.908929032258101</v>
      </c>
      <c r="BZ20">
        <v>100.004125806452</v>
      </c>
      <c r="CA20">
        <v>20.2612806451613</v>
      </c>
      <c r="CB20">
        <v>16.295845161290298</v>
      </c>
      <c r="CC20">
        <v>500.06070967741903</v>
      </c>
      <c r="CD20">
        <v>99.064445161290294</v>
      </c>
      <c r="CE20">
        <v>0.20000174193548401</v>
      </c>
      <c r="CF20">
        <v>27.340303225806501</v>
      </c>
      <c r="CG20">
        <v>26.949761290322598</v>
      </c>
      <c r="CH20">
        <v>999.9</v>
      </c>
      <c r="CI20">
        <v>9998.0645161290304</v>
      </c>
      <c r="CJ20">
        <v>0</v>
      </c>
      <c r="CK20">
        <v>185.272387096774</v>
      </c>
      <c r="CL20">
        <v>2000.0006451612901</v>
      </c>
      <c r="CM20">
        <v>0.97999606451612897</v>
      </c>
      <c r="CN20">
        <v>2.00043161290323E-2</v>
      </c>
      <c r="CO20">
        <v>0</v>
      </c>
      <c r="CP20">
        <v>267.682903225806</v>
      </c>
      <c r="CQ20">
        <v>5.00054</v>
      </c>
      <c r="CR20">
        <v>7666.9277419354803</v>
      </c>
      <c r="CS20">
        <v>18703.606451612901</v>
      </c>
      <c r="CT20">
        <v>47.894870967741902</v>
      </c>
      <c r="CU20">
        <v>49.933</v>
      </c>
      <c r="CV20">
        <v>48.400967741935503</v>
      </c>
      <c r="CW20">
        <v>48.913032258064497</v>
      </c>
      <c r="CX20">
        <v>49.481645161290302</v>
      </c>
      <c r="CY20">
        <v>1955.09064516129</v>
      </c>
      <c r="CZ20">
        <v>39.909999999999997</v>
      </c>
      <c r="DA20">
        <v>0</v>
      </c>
      <c r="DB20">
        <v>122</v>
      </c>
      <c r="DC20">
        <v>267.66888461538502</v>
      </c>
      <c r="DD20">
        <v>-1.7979145283483799</v>
      </c>
      <c r="DE20">
        <v>136.82529897017599</v>
      </c>
      <c r="DF20">
        <v>7668.30307692308</v>
      </c>
      <c r="DG20">
        <v>15</v>
      </c>
      <c r="DH20">
        <v>1597511163.5</v>
      </c>
      <c r="DI20" t="s">
        <v>303</v>
      </c>
      <c r="DJ20">
        <v>50</v>
      </c>
      <c r="DK20">
        <v>-0.35399999999999998</v>
      </c>
      <c r="DL20">
        <v>0.104</v>
      </c>
      <c r="DM20">
        <v>100</v>
      </c>
      <c r="DN20">
        <v>16</v>
      </c>
      <c r="DO20">
        <v>0.63</v>
      </c>
      <c r="DP20">
        <v>0.02</v>
      </c>
      <c r="DQ20">
        <v>96.889853703703693</v>
      </c>
      <c r="DR20">
        <v>7.9088393367679505E-2</v>
      </c>
      <c r="DS20">
        <v>1.33512617376144E-2</v>
      </c>
      <c r="DT20">
        <v>1</v>
      </c>
      <c r="DU20">
        <v>20.269475925925899</v>
      </c>
      <c r="DV20">
        <v>-2.0011892510006901E-2</v>
      </c>
      <c r="DW20">
        <v>4.3363636919186302E-3</v>
      </c>
      <c r="DX20">
        <v>1</v>
      </c>
      <c r="DY20">
        <v>2</v>
      </c>
      <c r="DZ20">
        <v>2</v>
      </c>
      <c r="EA20" t="s">
        <v>283</v>
      </c>
      <c r="EB20">
        <v>1.86676</v>
      </c>
      <c r="EC20">
        <v>1.8632500000000001</v>
      </c>
      <c r="ED20">
        <v>1.8689</v>
      </c>
      <c r="EE20">
        <v>1.8668100000000001</v>
      </c>
      <c r="EF20">
        <v>1.8714900000000001</v>
      </c>
      <c r="EG20">
        <v>1.86399</v>
      </c>
      <c r="EH20">
        <v>1.86554</v>
      </c>
      <c r="EI20">
        <v>1.8654599999999999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-0.35399999999999998</v>
      </c>
      <c r="EX20">
        <v>0.104</v>
      </c>
      <c r="EY20">
        <v>2</v>
      </c>
      <c r="EZ20">
        <v>329.83199999999999</v>
      </c>
      <c r="FA20">
        <v>470.82400000000001</v>
      </c>
      <c r="FB20">
        <v>22.667899999999999</v>
      </c>
      <c r="FC20">
        <v>35.367899999999999</v>
      </c>
      <c r="FD20">
        <v>29.999600000000001</v>
      </c>
      <c r="FE20">
        <v>35.3782</v>
      </c>
      <c r="FF20">
        <v>35.383699999999997</v>
      </c>
      <c r="FG20">
        <v>8.0732800000000005</v>
      </c>
      <c r="FH20">
        <v>54.315600000000003</v>
      </c>
      <c r="FI20">
        <v>0</v>
      </c>
      <c r="FJ20">
        <v>22.685500000000001</v>
      </c>
      <c r="FK20">
        <v>100</v>
      </c>
      <c r="FL20">
        <v>16.2989</v>
      </c>
      <c r="FM20">
        <v>100.419</v>
      </c>
      <c r="FN20">
        <v>100.973</v>
      </c>
    </row>
    <row r="21" spans="1:170" x14ac:dyDescent="0.25">
      <c r="A21">
        <v>5</v>
      </c>
      <c r="B21">
        <v>1597511258.5</v>
      </c>
      <c r="C21">
        <v>519.5</v>
      </c>
      <c r="D21" t="s">
        <v>304</v>
      </c>
      <c r="E21" t="s">
        <v>305</v>
      </c>
      <c r="G21">
        <v>1597511250.5</v>
      </c>
      <c r="H21">
        <f t="shared" si="0"/>
        <v>9.6405655806392297E-3</v>
      </c>
      <c r="I21">
        <f t="shared" si="1"/>
        <v>0.96752374836774013</v>
      </c>
      <c r="J21">
        <f t="shared" si="2"/>
        <v>49.421893548387096</v>
      </c>
      <c r="K21">
        <f t="shared" si="3"/>
        <v>45.659755783782096</v>
      </c>
      <c r="L21">
        <f t="shared" si="4"/>
        <v>4.532234443143798</v>
      </c>
      <c r="M21">
        <f t="shared" si="5"/>
        <v>4.9056681171506815</v>
      </c>
      <c r="N21">
        <f t="shared" si="6"/>
        <v>0.66259928978892224</v>
      </c>
      <c r="O21">
        <f t="shared" si="7"/>
        <v>3.3772087781708002</v>
      </c>
      <c r="P21">
        <f t="shared" si="8"/>
        <v>0.59794672754044631</v>
      </c>
      <c r="Q21">
        <f t="shared" si="9"/>
        <v>0.37899839812710834</v>
      </c>
      <c r="R21">
        <f t="shared" si="10"/>
        <v>321.44206763836115</v>
      </c>
      <c r="S21">
        <f t="shared" si="11"/>
        <v>26.847110499523737</v>
      </c>
      <c r="T21">
        <f t="shared" si="12"/>
        <v>27.002258064516099</v>
      </c>
      <c r="U21">
        <f t="shared" si="13"/>
        <v>3.5796343945627735</v>
      </c>
      <c r="V21">
        <f t="shared" si="14"/>
        <v>55.307764134770373</v>
      </c>
      <c r="W21">
        <f t="shared" si="15"/>
        <v>2.0244469824142808</v>
      </c>
      <c r="X21">
        <f t="shared" si="16"/>
        <v>3.6603305414430412</v>
      </c>
      <c r="Y21">
        <f t="shared" si="17"/>
        <v>1.5551874121484928</v>
      </c>
      <c r="Z21">
        <f t="shared" si="18"/>
        <v>-425.14894210619002</v>
      </c>
      <c r="AA21">
        <f t="shared" si="19"/>
        <v>69.207359462363726</v>
      </c>
      <c r="AB21">
        <f t="shared" si="20"/>
        <v>4.4310275761165006</v>
      </c>
      <c r="AC21">
        <f t="shared" si="21"/>
        <v>-30.06848742934865</v>
      </c>
      <c r="AD21">
        <v>-4.1094975914180702E-2</v>
      </c>
      <c r="AE21">
        <v>4.6132710581286401E-2</v>
      </c>
      <c r="AF21">
        <v>3.4493232606649502</v>
      </c>
      <c r="AG21">
        <v>154</v>
      </c>
      <c r="AH21">
        <v>31</v>
      </c>
      <c r="AI21">
        <f t="shared" si="22"/>
        <v>1</v>
      </c>
      <c r="AJ21">
        <f t="shared" si="23"/>
        <v>0</v>
      </c>
      <c r="AK21">
        <f t="shared" si="24"/>
        <v>52335.013587684785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306</v>
      </c>
      <c r="AS21">
        <v>266.67557692307702</v>
      </c>
      <c r="AT21">
        <v>331.82299999999998</v>
      </c>
      <c r="AU21">
        <f t="shared" si="27"/>
        <v>0.19633184883785326</v>
      </c>
      <c r="AV21">
        <v>0.5</v>
      </c>
      <c r="AW21">
        <f t="shared" si="28"/>
        <v>1681.2059899993101</v>
      </c>
      <c r="AX21">
        <f t="shared" si="29"/>
        <v>0.96752374836774013</v>
      </c>
      <c r="AY21">
        <f t="shared" si="30"/>
        <v>165.037140146919</v>
      </c>
      <c r="AZ21">
        <f t="shared" si="31"/>
        <v>0.40450179764513006</v>
      </c>
      <c r="BA21">
        <f t="shared" si="32"/>
        <v>1.1703049834889939E-3</v>
      </c>
      <c r="BB21">
        <f t="shared" si="33"/>
        <v>-1</v>
      </c>
      <c r="BC21" t="s">
        <v>307</v>
      </c>
      <c r="BD21">
        <v>197.6</v>
      </c>
      <c r="BE21">
        <f t="shared" si="34"/>
        <v>134.22299999999998</v>
      </c>
      <c r="BF21">
        <f t="shared" si="35"/>
        <v>0.48536706135999769</v>
      </c>
      <c r="BG21">
        <f t="shared" si="36"/>
        <v>1.6792661943319838</v>
      </c>
      <c r="BH21">
        <f t="shared" si="37"/>
        <v>0.19633184883785321</v>
      </c>
      <c r="BI21" t="e">
        <f t="shared" si="38"/>
        <v>#DIV/0!</v>
      </c>
      <c r="BJ21">
        <v>6184</v>
      </c>
      <c r="BK21">
        <v>300</v>
      </c>
      <c r="BL21">
        <v>300</v>
      </c>
      <c r="BM21">
        <v>300</v>
      </c>
      <c r="BN21">
        <v>9873.48</v>
      </c>
      <c r="BO21">
        <v>315.62900000000002</v>
      </c>
      <c r="BP21">
        <v>-6.5670399999999997E-3</v>
      </c>
      <c r="BQ21">
        <v>1.6224099999999999</v>
      </c>
      <c r="BR21">
        <f t="shared" si="39"/>
        <v>2000.0103225806499</v>
      </c>
      <c r="BS21">
        <f t="shared" si="40"/>
        <v>1681.2059899993101</v>
      </c>
      <c r="BT21">
        <f t="shared" si="41"/>
        <v>0.84059865642594245</v>
      </c>
      <c r="BU21">
        <f t="shared" si="42"/>
        <v>0.19119731285188502</v>
      </c>
      <c r="BV21">
        <v>0.5</v>
      </c>
      <c r="BW21" t="s">
        <v>281</v>
      </c>
      <c r="BX21">
        <v>1597511250.5</v>
      </c>
      <c r="BY21">
        <v>49.421893548387096</v>
      </c>
      <c r="BZ21">
        <v>49.999425806451598</v>
      </c>
      <c r="CA21">
        <v>20.395183870967699</v>
      </c>
      <c r="CB21">
        <v>16.617993548387101</v>
      </c>
      <c r="CC21">
        <v>500.051290322581</v>
      </c>
      <c r="CD21">
        <v>99.061029032258105</v>
      </c>
      <c r="CE21">
        <v>0.200002161290323</v>
      </c>
      <c r="CF21">
        <v>27.3823677419355</v>
      </c>
      <c r="CG21">
        <v>27.002258064516099</v>
      </c>
      <c r="CH21">
        <v>999.9</v>
      </c>
      <c r="CI21">
        <v>10004.189677419399</v>
      </c>
      <c r="CJ21">
        <v>0</v>
      </c>
      <c r="CK21">
        <v>194.319806451613</v>
      </c>
      <c r="CL21">
        <v>2000.0103225806499</v>
      </c>
      <c r="CM21">
        <v>0.97999367741935495</v>
      </c>
      <c r="CN21">
        <v>2.0006412903225801E-2</v>
      </c>
      <c r="CO21">
        <v>0</v>
      </c>
      <c r="CP21">
        <v>266.68806451612897</v>
      </c>
      <c r="CQ21">
        <v>5.00054</v>
      </c>
      <c r="CR21">
        <v>7731.0103225806397</v>
      </c>
      <c r="CS21">
        <v>18703.683870967699</v>
      </c>
      <c r="CT21">
        <v>47.662999999999997</v>
      </c>
      <c r="CU21">
        <v>49.741870967741903</v>
      </c>
      <c r="CV21">
        <v>48.199258064516101</v>
      </c>
      <c r="CW21">
        <v>48.721483870967703</v>
      </c>
      <c r="CX21">
        <v>49.300193548387099</v>
      </c>
      <c r="CY21">
        <v>1955.09967741935</v>
      </c>
      <c r="CZ21">
        <v>39.910645161290297</v>
      </c>
      <c r="DA21">
        <v>0</v>
      </c>
      <c r="DB21">
        <v>120.69999980926499</v>
      </c>
      <c r="DC21">
        <v>266.67557692307702</v>
      </c>
      <c r="DD21">
        <v>-1.53405128747393</v>
      </c>
      <c r="DE21">
        <v>-7.4270082928946097</v>
      </c>
      <c r="DF21">
        <v>7730.3215384615396</v>
      </c>
      <c r="DG21">
        <v>15</v>
      </c>
      <c r="DH21">
        <v>1597511286.5</v>
      </c>
      <c r="DI21" t="s">
        <v>308</v>
      </c>
      <c r="DJ21">
        <v>51</v>
      </c>
      <c r="DK21">
        <v>-0.36399999999999999</v>
      </c>
      <c r="DL21">
        <v>0.107</v>
      </c>
      <c r="DM21">
        <v>50</v>
      </c>
      <c r="DN21">
        <v>16</v>
      </c>
      <c r="DO21">
        <v>0.7</v>
      </c>
      <c r="DP21">
        <v>0.02</v>
      </c>
      <c r="DQ21">
        <v>49.441029629629597</v>
      </c>
      <c r="DR21">
        <v>-8.8363178959391303E-2</v>
      </c>
      <c r="DS21">
        <v>1.59793110409772E-2</v>
      </c>
      <c r="DT21">
        <v>1</v>
      </c>
      <c r="DU21">
        <v>20.372162962962999</v>
      </c>
      <c r="DV21">
        <v>0.19094614065179999</v>
      </c>
      <c r="DW21">
        <v>2.6048176848808099E-2</v>
      </c>
      <c r="DX21">
        <v>1</v>
      </c>
      <c r="DY21">
        <v>2</v>
      </c>
      <c r="DZ21">
        <v>2</v>
      </c>
      <c r="EA21" t="s">
        <v>283</v>
      </c>
      <c r="EB21">
        <v>1.8667499999999999</v>
      </c>
      <c r="EC21">
        <v>1.8632500000000001</v>
      </c>
      <c r="ED21">
        <v>1.8689</v>
      </c>
      <c r="EE21">
        <v>1.8667899999999999</v>
      </c>
      <c r="EF21">
        <v>1.8714900000000001</v>
      </c>
      <c r="EG21">
        <v>1.86399</v>
      </c>
      <c r="EH21">
        <v>1.86554</v>
      </c>
      <c r="EI21">
        <v>1.86541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-0.36399999999999999</v>
      </c>
      <c r="EX21">
        <v>0.107</v>
      </c>
      <c r="EY21">
        <v>2</v>
      </c>
      <c r="EZ21">
        <v>330.17200000000003</v>
      </c>
      <c r="FA21">
        <v>470.779</v>
      </c>
      <c r="FB21">
        <v>22.3673</v>
      </c>
      <c r="FC21">
        <v>35.273499999999999</v>
      </c>
      <c r="FD21">
        <v>29.999600000000001</v>
      </c>
      <c r="FE21">
        <v>35.312800000000003</v>
      </c>
      <c r="FF21">
        <v>35.319800000000001</v>
      </c>
      <c r="FG21">
        <v>5.6330499999999999</v>
      </c>
      <c r="FH21">
        <v>53.896700000000003</v>
      </c>
      <c r="FI21">
        <v>0</v>
      </c>
      <c r="FJ21">
        <v>22.376799999999999</v>
      </c>
      <c r="FK21">
        <v>50</v>
      </c>
      <c r="FL21">
        <v>16.4511</v>
      </c>
      <c r="FM21">
        <v>100.432</v>
      </c>
      <c r="FN21">
        <v>100.995</v>
      </c>
    </row>
    <row r="22" spans="1:170" x14ac:dyDescent="0.25">
      <c r="A22">
        <v>6</v>
      </c>
      <c r="B22">
        <v>1597511389</v>
      </c>
      <c r="C22">
        <v>650</v>
      </c>
      <c r="D22" t="s">
        <v>309</v>
      </c>
      <c r="E22" t="s">
        <v>310</v>
      </c>
      <c r="G22">
        <v>1597511381</v>
      </c>
      <c r="H22">
        <f t="shared" si="0"/>
        <v>9.5935836495814903E-3</v>
      </c>
      <c r="I22">
        <f t="shared" si="1"/>
        <v>36.834385039289543</v>
      </c>
      <c r="J22">
        <f t="shared" si="2"/>
        <v>383.82119354838699</v>
      </c>
      <c r="K22">
        <f t="shared" si="3"/>
        <v>276.75455922966142</v>
      </c>
      <c r="L22">
        <f t="shared" si="4"/>
        <v>27.469805805733689</v>
      </c>
      <c r="M22">
        <f t="shared" si="5"/>
        <v>38.096910418555112</v>
      </c>
      <c r="N22">
        <f t="shared" si="6"/>
        <v>0.65239458143364948</v>
      </c>
      <c r="O22">
        <f t="shared" si="7"/>
        <v>3.3751440280862925</v>
      </c>
      <c r="P22">
        <f t="shared" si="8"/>
        <v>0.58958282987916888</v>
      </c>
      <c r="Q22">
        <f t="shared" si="9"/>
        <v>0.37362741123238885</v>
      </c>
      <c r="R22">
        <f t="shared" si="10"/>
        <v>321.43843674766202</v>
      </c>
      <c r="S22">
        <f t="shared" si="11"/>
        <v>27.01780547863439</v>
      </c>
      <c r="T22">
        <f t="shared" si="12"/>
        <v>27.043716129032301</v>
      </c>
      <c r="U22">
        <f t="shared" si="13"/>
        <v>3.5883596922317311</v>
      </c>
      <c r="V22">
        <f t="shared" si="14"/>
        <v>54.640947112232261</v>
      </c>
      <c r="W22">
        <f t="shared" si="15"/>
        <v>2.0188893233733789</v>
      </c>
      <c r="X22">
        <f t="shared" si="16"/>
        <v>3.6948285673500298</v>
      </c>
      <c r="Y22">
        <f t="shared" si="17"/>
        <v>1.5694703688583522</v>
      </c>
      <c r="Z22">
        <f t="shared" si="18"/>
        <v>-423.07703894654372</v>
      </c>
      <c r="AA22">
        <f t="shared" si="19"/>
        <v>90.78433437122078</v>
      </c>
      <c r="AB22">
        <f t="shared" si="20"/>
        <v>5.8219236631979383</v>
      </c>
      <c r="AC22">
        <f t="shared" si="21"/>
        <v>-5.0323441644629838</v>
      </c>
      <c r="AD22">
        <v>-4.1063069566020197E-2</v>
      </c>
      <c r="AE22">
        <v>4.6096892910326599E-2</v>
      </c>
      <c r="AF22">
        <v>3.4472025205297201</v>
      </c>
      <c r="AG22">
        <v>154</v>
      </c>
      <c r="AH22">
        <v>31</v>
      </c>
      <c r="AI22">
        <f t="shared" si="22"/>
        <v>1</v>
      </c>
      <c r="AJ22">
        <f t="shared" si="23"/>
        <v>0</v>
      </c>
      <c r="AK22">
        <f t="shared" si="24"/>
        <v>52268.064625651969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269.25611538461499</v>
      </c>
      <c r="AT22">
        <v>395.46899999999999</v>
      </c>
      <c r="AU22">
        <f t="shared" si="27"/>
        <v>0.31914735318162746</v>
      </c>
      <c r="AV22">
        <v>0.5</v>
      </c>
      <c r="AW22">
        <f t="shared" si="28"/>
        <v>1681.1923641930211</v>
      </c>
      <c r="AX22">
        <f t="shared" si="29"/>
        <v>36.834385039289543</v>
      </c>
      <c r="AY22">
        <f t="shared" si="30"/>
        <v>268.27404661068266</v>
      </c>
      <c r="AZ22">
        <f t="shared" si="31"/>
        <v>0.5455522430329558</v>
      </c>
      <c r="BA22">
        <f t="shared" si="32"/>
        <v>2.2504494931756484E-2</v>
      </c>
      <c r="BB22">
        <f t="shared" si="33"/>
        <v>-1</v>
      </c>
      <c r="BC22" t="s">
        <v>312</v>
      </c>
      <c r="BD22">
        <v>179.72</v>
      </c>
      <c r="BE22">
        <f t="shared" si="34"/>
        <v>215.749</v>
      </c>
      <c r="BF22">
        <f t="shared" si="35"/>
        <v>0.58499870041291047</v>
      </c>
      <c r="BG22">
        <f t="shared" si="36"/>
        <v>2.200472957934565</v>
      </c>
      <c r="BH22">
        <f t="shared" si="37"/>
        <v>0.3191473531816274</v>
      </c>
      <c r="BI22" t="e">
        <f t="shared" si="38"/>
        <v>#DIV/0!</v>
      </c>
      <c r="BJ22">
        <v>6186</v>
      </c>
      <c r="BK22">
        <v>300</v>
      </c>
      <c r="BL22">
        <v>300</v>
      </c>
      <c r="BM22">
        <v>300</v>
      </c>
      <c r="BN22">
        <v>9874.2999999999993</v>
      </c>
      <c r="BO22">
        <v>360</v>
      </c>
      <c r="BP22">
        <v>-6.5680000000000001E-3</v>
      </c>
      <c r="BQ22">
        <v>1.36206</v>
      </c>
      <c r="BR22">
        <f t="shared" si="39"/>
        <v>1999.9948387096799</v>
      </c>
      <c r="BS22">
        <f t="shared" si="40"/>
        <v>1681.1923641930211</v>
      </c>
      <c r="BT22">
        <f t="shared" si="41"/>
        <v>0.84059835138257766</v>
      </c>
      <c r="BU22">
        <f t="shared" si="42"/>
        <v>0.19119670276515544</v>
      </c>
      <c r="BV22">
        <v>0.5</v>
      </c>
      <c r="BW22" t="s">
        <v>281</v>
      </c>
      <c r="BX22">
        <v>1597511381</v>
      </c>
      <c r="BY22">
        <v>383.82119354838699</v>
      </c>
      <c r="BZ22">
        <v>400.02622580645198</v>
      </c>
      <c r="CA22">
        <v>20.340035483870999</v>
      </c>
      <c r="CB22">
        <v>16.581029032258101</v>
      </c>
      <c r="CC22">
        <v>500.04967741935502</v>
      </c>
      <c r="CD22">
        <v>99.056929032258097</v>
      </c>
      <c r="CE22">
        <v>0.19999335483871</v>
      </c>
      <c r="CF22">
        <v>27.542638709677401</v>
      </c>
      <c r="CG22">
        <v>27.043716129032301</v>
      </c>
      <c r="CH22">
        <v>999.9</v>
      </c>
      <c r="CI22">
        <v>9996.8361290322591</v>
      </c>
      <c r="CJ22">
        <v>0</v>
      </c>
      <c r="CK22">
        <v>197.28858064516101</v>
      </c>
      <c r="CL22">
        <v>1999.9948387096799</v>
      </c>
      <c r="CM22">
        <v>0.98000699999999996</v>
      </c>
      <c r="CN22">
        <v>1.99931E-2</v>
      </c>
      <c r="CO22">
        <v>0</v>
      </c>
      <c r="CP22">
        <v>269.25161290322598</v>
      </c>
      <c r="CQ22">
        <v>5.00054</v>
      </c>
      <c r="CR22">
        <v>7767.9938709677399</v>
      </c>
      <c r="CS22">
        <v>18703.619354838698</v>
      </c>
      <c r="CT22">
        <v>47.433129032258002</v>
      </c>
      <c r="CU22">
        <v>49.552</v>
      </c>
      <c r="CV22">
        <v>47.941064516129003</v>
      </c>
      <c r="CW22">
        <v>48.499935483870999</v>
      </c>
      <c r="CX22">
        <v>49.070129032258002</v>
      </c>
      <c r="CY22">
        <v>1955.1048387096801</v>
      </c>
      <c r="CZ22">
        <v>39.89</v>
      </c>
      <c r="DA22">
        <v>0</v>
      </c>
      <c r="DB22">
        <v>129.89999985694899</v>
      </c>
      <c r="DC22">
        <v>269.25611538461499</v>
      </c>
      <c r="DD22">
        <v>0.812273501508608</v>
      </c>
      <c r="DE22">
        <v>-82.705982883122203</v>
      </c>
      <c r="DF22">
        <v>7767.07269230769</v>
      </c>
      <c r="DG22">
        <v>15</v>
      </c>
      <c r="DH22">
        <v>1597511419.5</v>
      </c>
      <c r="DI22" t="s">
        <v>313</v>
      </c>
      <c r="DJ22">
        <v>52</v>
      </c>
      <c r="DK22">
        <v>-0.312</v>
      </c>
      <c r="DL22">
        <v>0.11</v>
      </c>
      <c r="DM22">
        <v>400</v>
      </c>
      <c r="DN22">
        <v>17</v>
      </c>
      <c r="DO22">
        <v>0.14000000000000001</v>
      </c>
      <c r="DP22">
        <v>0.02</v>
      </c>
      <c r="DQ22">
        <v>383.73840740740701</v>
      </c>
      <c r="DR22">
        <v>0.27679359634079898</v>
      </c>
      <c r="DS22">
        <v>4.40969128500859E-2</v>
      </c>
      <c r="DT22">
        <v>1</v>
      </c>
      <c r="DU22">
        <v>20.323149999999998</v>
      </c>
      <c r="DV22">
        <v>0.13308038879359599</v>
      </c>
      <c r="DW22">
        <v>1.85663749229023E-2</v>
      </c>
      <c r="DX22">
        <v>1</v>
      </c>
      <c r="DY22">
        <v>2</v>
      </c>
      <c r="DZ22">
        <v>2</v>
      </c>
      <c r="EA22" t="s">
        <v>283</v>
      </c>
      <c r="EB22">
        <v>1.86676</v>
      </c>
      <c r="EC22">
        <v>1.8632500000000001</v>
      </c>
      <c r="ED22">
        <v>1.8689</v>
      </c>
      <c r="EE22">
        <v>1.8667800000000001</v>
      </c>
      <c r="EF22">
        <v>1.8714900000000001</v>
      </c>
      <c r="EG22">
        <v>1.86398</v>
      </c>
      <c r="EH22">
        <v>1.86554</v>
      </c>
      <c r="EI22">
        <v>1.86544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-0.312</v>
      </c>
      <c r="EX22">
        <v>0.11</v>
      </c>
      <c r="EY22">
        <v>2</v>
      </c>
      <c r="EZ22">
        <v>330.88400000000001</v>
      </c>
      <c r="FA22">
        <v>471.83100000000002</v>
      </c>
      <c r="FB22">
        <v>22.989699999999999</v>
      </c>
      <c r="FC22">
        <v>35.120699999999999</v>
      </c>
      <c r="FD22">
        <v>30</v>
      </c>
      <c r="FE22">
        <v>35.199199999999998</v>
      </c>
      <c r="FF22">
        <v>35.212699999999998</v>
      </c>
      <c r="FG22">
        <v>22.034099999999999</v>
      </c>
      <c r="FH22">
        <v>53.456000000000003</v>
      </c>
      <c r="FI22">
        <v>0</v>
      </c>
      <c r="FJ22">
        <v>22.9495</v>
      </c>
      <c r="FK22">
        <v>400</v>
      </c>
      <c r="FL22">
        <v>16.662700000000001</v>
      </c>
      <c r="FM22">
        <v>100.45699999999999</v>
      </c>
      <c r="FN22">
        <v>101.02500000000001</v>
      </c>
    </row>
    <row r="23" spans="1:170" x14ac:dyDescent="0.25">
      <c r="A23">
        <v>7</v>
      </c>
      <c r="B23">
        <v>1597511511</v>
      </c>
      <c r="C23">
        <v>772</v>
      </c>
      <c r="D23" t="s">
        <v>314</v>
      </c>
      <c r="E23" t="s">
        <v>315</v>
      </c>
      <c r="G23">
        <v>1597511503</v>
      </c>
      <c r="H23">
        <f t="shared" si="0"/>
        <v>9.0139946912242159E-3</v>
      </c>
      <c r="I23">
        <f t="shared" si="1"/>
        <v>36.925642314458642</v>
      </c>
      <c r="J23">
        <f t="shared" si="2"/>
        <v>383.87838709677402</v>
      </c>
      <c r="K23">
        <f t="shared" si="3"/>
        <v>270.90996768730344</v>
      </c>
      <c r="L23">
        <f t="shared" si="4"/>
        <v>26.888564687358251</v>
      </c>
      <c r="M23">
        <f t="shared" si="5"/>
        <v>38.10099322533754</v>
      </c>
      <c r="N23">
        <f t="shared" si="6"/>
        <v>0.61326630807041671</v>
      </c>
      <c r="O23">
        <f t="shared" si="7"/>
        <v>3.3764957638980748</v>
      </c>
      <c r="P23">
        <f t="shared" si="8"/>
        <v>0.55743842055282833</v>
      </c>
      <c r="Q23">
        <f t="shared" si="9"/>
        <v>0.35299043661812235</v>
      </c>
      <c r="R23">
        <f t="shared" si="10"/>
        <v>321.44017798743999</v>
      </c>
      <c r="S23">
        <f t="shared" si="11"/>
        <v>26.900054905815111</v>
      </c>
      <c r="T23">
        <f t="shared" si="12"/>
        <v>27.001319354838699</v>
      </c>
      <c r="U23">
        <f t="shared" si="13"/>
        <v>3.5794370475746979</v>
      </c>
      <c r="V23">
        <f t="shared" si="14"/>
        <v>55.469779190193883</v>
      </c>
      <c r="W23">
        <f t="shared" si="15"/>
        <v>2.0197519252311005</v>
      </c>
      <c r="X23">
        <f t="shared" si="16"/>
        <v>3.641175347581262</v>
      </c>
      <c r="Y23">
        <f t="shared" si="17"/>
        <v>1.5596851223435975</v>
      </c>
      <c r="Z23">
        <f t="shared" si="18"/>
        <v>-397.51716588298791</v>
      </c>
      <c r="AA23">
        <f t="shared" si="19"/>
        <v>53.060457129029039</v>
      </c>
      <c r="AB23">
        <f t="shared" si="20"/>
        <v>3.3963964788918992</v>
      </c>
      <c r="AC23">
        <f t="shared" si="21"/>
        <v>-19.620134287626961</v>
      </c>
      <c r="AD23">
        <v>-4.1083956799707499E-2</v>
      </c>
      <c r="AE23">
        <v>4.6120340659962698E-2</v>
      </c>
      <c r="AF23">
        <v>3.4485909097769798</v>
      </c>
      <c r="AG23">
        <v>153</v>
      </c>
      <c r="AH23">
        <v>31</v>
      </c>
      <c r="AI23">
        <f t="shared" si="22"/>
        <v>1</v>
      </c>
      <c r="AJ23">
        <f t="shared" si="23"/>
        <v>0</v>
      </c>
      <c r="AK23">
        <f t="shared" si="24"/>
        <v>52336.982072495972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269.22211538461499</v>
      </c>
      <c r="AT23">
        <v>401.70100000000002</v>
      </c>
      <c r="AU23">
        <f t="shared" si="27"/>
        <v>0.32979475932443536</v>
      </c>
      <c r="AV23">
        <v>0.5</v>
      </c>
      <c r="AW23">
        <f t="shared" si="28"/>
        <v>1681.1962158057615</v>
      </c>
      <c r="AX23">
        <f t="shared" si="29"/>
        <v>36.925642314458642</v>
      </c>
      <c r="AY23">
        <f t="shared" si="30"/>
        <v>277.22485068440631</v>
      </c>
      <c r="AZ23">
        <f t="shared" si="31"/>
        <v>0.55110890936293422</v>
      </c>
      <c r="BA23">
        <f t="shared" si="32"/>
        <v>2.2558724530724505E-2</v>
      </c>
      <c r="BB23">
        <f t="shared" si="33"/>
        <v>-1</v>
      </c>
      <c r="BC23" t="s">
        <v>317</v>
      </c>
      <c r="BD23">
        <v>180.32</v>
      </c>
      <c r="BE23">
        <f t="shared" si="34"/>
        <v>221.38100000000003</v>
      </c>
      <c r="BF23">
        <f t="shared" si="35"/>
        <v>0.59842030081797903</v>
      </c>
      <c r="BG23">
        <f t="shared" si="36"/>
        <v>2.2277118456078084</v>
      </c>
      <c r="BH23">
        <f t="shared" si="37"/>
        <v>0.32979475932443542</v>
      </c>
      <c r="BI23" t="e">
        <f t="shared" si="38"/>
        <v>#DIV/0!</v>
      </c>
      <c r="BJ23">
        <v>6188</v>
      </c>
      <c r="BK23">
        <v>300</v>
      </c>
      <c r="BL23">
        <v>300</v>
      </c>
      <c r="BM23">
        <v>300</v>
      </c>
      <c r="BN23">
        <v>9874.31</v>
      </c>
      <c r="BO23">
        <v>364.31599999999997</v>
      </c>
      <c r="BP23">
        <v>-6.5680399999999998E-3</v>
      </c>
      <c r="BQ23">
        <v>1.0791299999999999</v>
      </c>
      <c r="BR23">
        <f t="shared" si="39"/>
        <v>1999.99870967742</v>
      </c>
      <c r="BS23">
        <f t="shared" si="40"/>
        <v>1681.1962158057615</v>
      </c>
      <c r="BT23">
        <f t="shared" si="41"/>
        <v>0.84059865022459035</v>
      </c>
      <c r="BU23">
        <f t="shared" si="42"/>
        <v>0.19119730044918079</v>
      </c>
      <c r="BV23">
        <v>0.5</v>
      </c>
      <c r="BW23" t="s">
        <v>281</v>
      </c>
      <c r="BX23">
        <v>1597511503</v>
      </c>
      <c r="BY23">
        <v>383.87838709677402</v>
      </c>
      <c r="BZ23">
        <v>400.03083870967703</v>
      </c>
      <c r="CA23">
        <v>20.349577419354802</v>
      </c>
      <c r="CB23">
        <v>16.8177709677419</v>
      </c>
      <c r="CC23">
        <v>500.05932258064502</v>
      </c>
      <c r="CD23">
        <v>99.052809677419305</v>
      </c>
      <c r="CE23">
        <v>0.19996022580645201</v>
      </c>
      <c r="CF23">
        <v>27.292806451612901</v>
      </c>
      <c r="CG23">
        <v>27.001319354838699</v>
      </c>
      <c r="CH23">
        <v>999.9</v>
      </c>
      <c r="CI23">
        <v>10002.337096774199</v>
      </c>
      <c r="CJ23">
        <v>0</v>
      </c>
      <c r="CK23">
        <v>187.10225806451601</v>
      </c>
      <c r="CL23">
        <v>1999.99870967742</v>
      </c>
      <c r="CM23">
        <v>0.979993</v>
      </c>
      <c r="CN23">
        <v>2.0007E-2</v>
      </c>
      <c r="CO23">
        <v>0</v>
      </c>
      <c r="CP23">
        <v>269.23448387096801</v>
      </c>
      <c r="CQ23">
        <v>5.00054</v>
      </c>
      <c r="CR23">
        <v>7652.0203225806499</v>
      </c>
      <c r="CS23">
        <v>18703.577419354799</v>
      </c>
      <c r="CT23">
        <v>47.435064516129003</v>
      </c>
      <c r="CU23">
        <v>49.533999999999999</v>
      </c>
      <c r="CV23">
        <v>47.937064516128999</v>
      </c>
      <c r="CW23">
        <v>48.527935483870998</v>
      </c>
      <c r="CX23">
        <v>49.054000000000002</v>
      </c>
      <c r="CY23">
        <v>1955.08870967742</v>
      </c>
      <c r="CZ23">
        <v>39.909999999999997</v>
      </c>
      <c r="DA23">
        <v>0</v>
      </c>
      <c r="DB23">
        <v>121.19999980926499</v>
      </c>
      <c r="DC23">
        <v>269.22211538461499</v>
      </c>
      <c r="DD23">
        <v>-5.7743598366357403E-2</v>
      </c>
      <c r="DE23">
        <v>-76.269743474113</v>
      </c>
      <c r="DF23">
        <v>7651.9642307692302</v>
      </c>
      <c r="DG23">
        <v>15</v>
      </c>
      <c r="DH23">
        <v>1597511538.5</v>
      </c>
      <c r="DI23" t="s">
        <v>318</v>
      </c>
      <c r="DJ23">
        <v>53</v>
      </c>
      <c r="DK23">
        <v>-0.309</v>
      </c>
      <c r="DL23">
        <v>0.11</v>
      </c>
      <c r="DM23">
        <v>400</v>
      </c>
      <c r="DN23">
        <v>17</v>
      </c>
      <c r="DO23">
        <v>0.25</v>
      </c>
      <c r="DP23">
        <v>0.02</v>
      </c>
      <c r="DQ23">
        <v>383.86900000000003</v>
      </c>
      <c r="DR23">
        <v>7.8856489422663795E-2</v>
      </c>
      <c r="DS23">
        <v>2.2854612955230499E-2</v>
      </c>
      <c r="DT23">
        <v>1</v>
      </c>
      <c r="DU23">
        <v>20.362394444444401</v>
      </c>
      <c r="DV23">
        <v>-0.15085969125214899</v>
      </c>
      <c r="DW23">
        <v>2.1636589522677701E-2</v>
      </c>
      <c r="DX23">
        <v>1</v>
      </c>
      <c r="DY23">
        <v>2</v>
      </c>
      <c r="DZ23">
        <v>2</v>
      </c>
      <c r="EA23" t="s">
        <v>283</v>
      </c>
      <c r="EB23">
        <v>1.86676</v>
      </c>
      <c r="EC23">
        <v>1.8632599999999999</v>
      </c>
      <c r="ED23">
        <v>1.8689</v>
      </c>
      <c r="EE23">
        <v>1.8668899999999999</v>
      </c>
      <c r="EF23">
        <v>1.87151</v>
      </c>
      <c r="EG23">
        <v>1.8640099999999999</v>
      </c>
      <c r="EH23">
        <v>1.86554</v>
      </c>
      <c r="EI23">
        <v>1.8655200000000001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-0.309</v>
      </c>
      <c r="EX23">
        <v>0.11</v>
      </c>
      <c r="EY23">
        <v>2</v>
      </c>
      <c r="EZ23">
        <v>331.61799999999999</v>
      </c>
      <c r="FA23">
        <v>471.596</v>
      </c>
      <c r="FB23">
        <v>22.074000000000002</v>
      </c>
      <c r="FC23">
        <v>35.054200000000002</v>
      </c>
      <c r="FD23">
        <v>29.995999999999999</v>
      </c>
      <c r="FE23">
        <v>35.126100000000001</v>
      </c>
      <c r="FF23">
        <v>35.140799999999999</v>
      </c>
      <c r="FG23">
        <v>22.030200000000001</v>
      </c>
      <c r="FH23">
        <v>53.445799999999998</v>
      </c>
      <c r="FI23">
        <v>0</v>
      </c>
      <c r="FJ23">
        <v>22.466899999999999</v>
      </c>
      <c r="FK23">
        <v>400</v>
      </c>
      <c r="FL23">
        <v>16.646599999999999</v>
      </c>
      <c r="FM23">
        <v>100.468</v>
      </c>
      <c r="FN23">
        <v>101.038</v>
      </c>
    </row>
    <row r="24" spans="1:170" x14ac:dyDescent="0.25">
      <c r="A24">
        <v>8</v>
      </c>
      <c r="B24">
        <v>1597511645</v>
      </c>
      <c r="C24">
        <v>906</v>
      </c>
      <c r="D24" t="s">
        <v>319</v>
      </c>
      <c r="E24" t="s">
        <v>320</v>
      </c>
      <c r="G24">
        <v>1597511637</v>
      </c>
      <c r="H24">
        <f t="shared" si="0"/>
        <v>8.2648822041232872E-3</v>
      </c>
      <c r="I24">
        <f t="shared" si="1"/>
        <v>43.232622369182742</v>
      </c>
      <c r="J24">
        <f t="shared" si="2"/>
        <v>481.142290322581</v>
      </c>
      <c r="K24">
        <f t="shared" si="3"/>
        <v>333.71180920341845</v>
      </c>
      <c r="L24">
        <f t="shared" si="4"/>
        <v>33.122544318754002</v>
      </c>
      <c r="M24">
        <f t="shared" si="5"/>
        <v>47.755747310464798</v>
      </c>
      <c r="N24">
        <f t="shared" si="6"/>
        <v>0.54430334905806788</v>
      </c>
      <c r="O24">
        <f t="shared" si="7"/>
        <v>3.3750098481859507</v>
      </c>
      <c r="P24">
        <f t="shared" si="8"/>
        <v>0.49982045736283964</v>
      </c>
      <c r="Q24">
        <f t="shared" si="9"/>
        <v>0.31608089852587801</v>
      </c>
      <c r="R24">
        <f t="shared" si="10"/>
        <v>321.44121686422687</v>
      </c>
      <c r="S24">
        <f t="shared" si="11"/>
        <v>26.847142713027143</v>
      </c>
      <c r="T24">
        <f t="shared" si="12"/>
        <v>26.982516129032302</v>
      </c>
      <c r="U24">
        <f t="shared" si="13"/>
        <v>3.5754860042465975</v>
      </c>
      <c r="V24">
        <f t="shared" si="14"/>
        <v>55.099789339774276</v>
      </c>
      <c r="W24">
        <f t="shared" si="15"/>
        <v>1.9801692748479418</v>
      </c>
      <c r="X24">
        <f t="shared" si="16"/>
        <v>3.5937873784547105</v>
      </c>
      <c r="Y24">
        <f t="shared" si="17"/>
        <v>1.5953167293986557</v>
      </c>
      <c r="Z24">
        <f t="shared" si="18"/>
        <v>-364.48130520183696</v>
      </c>
      <c r="AA24">
        <f t="shared" si="19"/>
        <v>15.819979094517755</v>
      </c>
      <c r="AB24">
        <f t="shared" si="20"/>
        <v>1.0118559843839638</v>
      </c>
      <c r="AC24">
        <f t="shared" si="21"/>
        <v>-26.208253258708389</v>
      </c>
      <c r="AD24">
        <v>-4.1060996401082003E-2</v>
      </c>
      <c r="AE24">
        <v>4.60945656010643E-2</v>
      </c>
      <c r="AF24">
        <v>3.44706470258815</v>
      </c>
      <c r="AG24">
        <v>153</v>
      </c>
      <c r="AH24">
        <v>31</v>
      </c>
      <c r="AI24">
        <f t="shared" si="22"/>
        <v>1</v>
      </c>
      <c r="AJ24">
        <f t="shared" si="23"/>
        <v>0</v>
      </c>
      <c r="AK24">
        <f t="shared" si="24"/>
        <v>52347.907987247148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278.952</v>
      </c>
      <c r="AT24">
        <v>426.55799999999999</v>
      </c>
      <c r="AU24">
        <f t="shared" si="27"/>
        <v>0.34603969448468908</v>
      </c>
      <c r="AV24">
        <v>0.5</v>
      </c>
      <c r="AW24">
        <f t="shared" si="28"/>
        <v>1681.2069964510899</v>
      </c>
      <c r="AX24">
        <f t="shared" si="29"/>
        <v>43.232622369182742</v>
      </c>
      <c r="AY24">
        <f t="shared" si="30"/>
        <v>290.88217770872848</v>
      </c>
      <c r="AZ24">
        <f t="shared" si="31"/>
        <v>0.57229731947355345</v>
      </c>
      <c r="BA24">
        <f t="shared" si="32"/>
        <v>2.631003943152432E-2</v>
      </c>
      <c r="BB24">
        <f t="shared" si="33"/>
        <v>-1</v>
      </c>
      <c r="BC24" t="s">
        <v>322</v>
      </c>
      <c r="BD24">
        <v>182.44</v>
      </c>
      <c r="BE24">
        <f t="shared" si="34"/>
        <v>244.11799999999999</v>
      </c>
      <c r="BF24">
        <f t="shared" si="35"/>
        <v>0.60465021014427445</v>
      </c>
      <c r="BG24">
        <f t="shared" si="36"/>
        <v>2.3380727910545933</v>
      </c>
      <c r="BH24">
        <f t="shared" si="37"/>
        <v>0.34603969448468908</v>
      </c>
      <c r="BI24" t="e">
        <f t="shared" si="38"/>
        <v>#DIV/0!</v>
      </c>
      <c r="BJ24">
        <v>6190</v>
      </c>
      <c r="BK24">
        <v>300</v>
      </c>
      <c r="BL24">
        <v>300</v>
      </c>
      <c r="BM24">
        <v>300</v>
      </c>
      <c r="BN24">
        <v>9874.9599999999991</v>
      </c>
      <c r="BO24">
        <v>387.28199999999998</v>
      </c>
      <c r="BP24">
        <v>-6.5685500000000003E-3</v>
      </c>
      <c r="BQ24">
        <v>1.59033</v>
      </c>
      <c r="BR24">
        <f t="shared" si="39"/>
        <v>2000.01225806452</v>
      </c>
      <c r="BS24">
        <f t="shared" si="40"/>
        <v>1681.2069964510899</v>
      </c>
      <c r="BT24">
        <f t="shared" si="41"/>
        <v>0.84059834617116358</v>
      </c>
      <c r="BU24">
        <f t="shared" si="42"/>
        <v>0.19119669234232711</v>
      </c>
      <c r="BV24">
        <v>0.5</v>
      </c>
      <c r="BW24" t="s">
        <v>281</v>
      </c>
      <c r="BX24">
        <v>1597511637</v>
      </c>
      <c r="BY24">
        <v>481.142290322581</v>
      </c>
      <c r="BZ24">
        <v>500.02370967741899</v>
      </c>
      <c r="CA24">
        <v>19.950335483871001</v>
      </c>
      <c r="CB24">
        <v>16.710725806451599</v>
      </c>
      <c r="CC24">
        <v>500.05993548387102</v>
      </c>
      <c r="CD24">
        <v>99.054954838709705</v>
      </c>
      <c r="CE24">
        <v>0.19998132258064499</v>
      </c>
      <c r="CF24">
        <v>27.0694612903226</v>
      </c>
      <c r="CG24">
        <v>26.982516129032302</v>
      </c>
      <c r="CH24">
        <v>999.9</v>
      </c>
      <c r="CI24">
        <v>9996.5306451612905</v>
      </c>
      <c r="CJ24">
        <v>0</v>
      </c>
      <c r="CK24">
        <v>171.67280645161301</v>
      </c>
      <c r="CL24">
        <v>2000.01225806452</v>
      </c>
      <c r="CM24">
        <v>0.98000612903225803</v>
      </c>
      <c r="CN24">
        <v>1.9993854838709701E-2</v>
      </c>
      <c r="CO24">
        <v>0</v>
      </c>
      <c r="CP24">
        <v>278.964258064516</v>
      </c>
      <c r="CQ24">
        <v>5.00054</v>
      </c>
      <c r="CR24">
        <v>7701.1135483871003</v>
      </c>
      <c r="CS24">
        <v>18703.787096774198</v>
      </c>
      <c r="CT24">
        <v>47.378741935483902</v>
      </c>
      <c r="CU24">
        <v>49.421064516129</v>
      </c>
      <c r="CV24">
        <v>47.887</v>
      </c>
      <c r="CW24">
        <v>48.449354838709702</v>
      </c>
      <c r="CX24">
        <v>48.995612903225798</v>
      </c>
      <c r="CY24">
        <v>1955.1222580645201</v>
      </c>
      <c r="CZ24">
        <v>39.89</v>
      </c>
      <c r="DA24">
        <v>0</v>
      </c>
      <c r="DB24">
        <v>133.39999985694899</v>
      </c>
      <c r="DC24">
        <v>278.952</v>
      </c>
      <c r="DD24">
        <v>-1.38058119757636</v>
      </c>
      <c r="DE24">
        <v>-122.76512842651699</v>
      </c>
      <c r="DF24">
        <v>7700.7792307692298</v>
      </c>
      <c r="DG24">
        <v>15</v>
      </c>
      <c r="DH24">
        <v>1597511672</v>
      </c>
      <c r="DI24" t="s">
        <v>323</v>
      </c>
      <c r="DJ24">
        <v>54</v>
      </c>
      <c r="DK24">
        <v>-0.33800000000000002</v>
      </c>
      <c r="DL24">
        <v>0.11</v>
      </c>
      <c r="DM24">
        <v>500</v>
      </c>
      <c r="DN24">
        <v>17</v>
      </c>
      <c r="DO24">
        <v>0.09</v>
      </c>
      <c r="DP24">
        <v>0.03</v>
      </c>
      <c r="DQ24">
        <v>481.14124074074101</v>
      </c>
      <c r="DR24">
        <v>0.28530588907952598</v>
      </c>
      <c r="DS24">
        <v>4.4431776744084599E-2</v>
      </c>
      <c r="DT24">
        <v>1</v>
      </c>
      <c r="DU24">
        <v>19.964348148148201</v>
      </c>
      <c r="DV24">
        <v>-0.129782046883932</v>
      </c>
      <c r="DW24">
        <v>1.7214805651173799E-2</v>
      </c>
      <c r="DX24">
        <v>1</v>
      </c>
      <c r="DY24">
        <v>2</v>
      </c>
      <c r="DZ24">
        <v>2</v>
      </c>
      <c r="EA24" t="s">
        <v>283</v>
      </c>
      <c r="EB24">
        <v>1.86673</v>
      </c>
      <c r="EC24">
        <v>1.8632500000000001</v>
      </c>
      <c r="ED24">
        <v>1.8689</v>
      </c>
      <c r="EE24">
        <v>1.8668100000000001</v>
      </c>
      <c r="EF24">
        <v>1.8714900000000001</v>
      </c>
      <c r="EG24">
        <v>1.8639699999999999</v>
      </c>
      <c r="EH24">
        <v>1.86554</v>
      </c>
      <c r="EI24">
        <v>1.8654500000000001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-0.33800000000000002</v>
      </c>
      <c r="EX24">
        <v>0.11</v>
      </c>
      <c r="EY24">
        <v>2</v>
      </c>
      <c r="EZ24">
        <v>331.45800000000003</v>
      </c>
      <c r="FA24">
        <v>470.99799999999999</v>
      </c>
      <c r="FB24">
        <v>22.329699999999999</v>
      </c>
      <c r="FC24">
        <v>35.038200000000003</v>
      </c>
      <c r="FD24">
        <v>30.0001</v>
      </c>
      <c r="FE24">
        <v>35.084299999999999</v>
      </c>
      <c r="FF24">
        <v>35.0946</v>
      </c>
      <c r="FG24">
        <v>26.317799999999998</v>
      </c>
      <c r="FH24">
        <v>53.7378</v>
      </c>
      <c r="FI24">
        <v>0</v>
      </c>
      <c r="FJ24">
        <v>22.346299999999999</v>
      </c>
      <c r="FK24">
        <v>500</v>
      </c>
      <c r="FL24">
        <v>16.7666</v>
      </c>
      <c r="FM24">
        <v>100.468</v>
      </c>
      <c r="FN24">
        <v>101.039</v>
      </c>
    </row>
    <row r="25" spans="1:170" x14ac:dyDescent="0.25">
      <c r="A25">
        <v>9</v>
      </c>
      <c r="B25">
        <v>1597511793.5</v>
      </c>
      <c r="C25">
        <v>1054.5</v>
      </c>
      <c r="D25" t="s">
        <v>324</v>
      </c>
      <c r="E25" t="s">
        <v>325</v>
      </c>
      <c r="G25">
        <v>1597511785.5129001</v>
      </c>
      <c r="H25">
        <f t="shared" si="0"/>
        <v>7.418323221616837E-3</v>
      </c>
      <c r="I25">
        <f t="shared" si="1"/>
        <v>46.769443540818969</v>
      </c>
      <c r="J25">
        <f t="shared" si="2"/>
        <v>579.61035483871001</v>
      </c>
      <c r="K25">
        <f t="shared" si="3"/>
        <v>399.4967553659281</v>
      </c>
      <c r="L25">
        <f t="shared" si="4"/>
        <v>39.65205880461609</v>
      </c>
      <c r="M25">
        <f t="shared" si="5"/>
        <v>57.529237885242303</v>
      </c>
      <c r="N25">
        <f t="shared" si="6"/>
        <v>0.47771676952406872</v>
      </c>
      <c r="O25">
        <f t="shared" si="7"/>
        <v>3.3753446561902387</v>
      </c>
      <c r="P25">
        <f t="shared" si="8"/>
        <v>0.44308393317227879</v>
      </c>
      <c r="Q25">
        <f t="shared" si="9"/>
        <v>0.27982956419943195</v>
      </c>
      <c r="R25">
        <f t="shared" si="10"/>
        <v>321.43771597670121</v>
      </c>
      <c r="S25">
        <f t="shared" si="11"/>
        <v>26.658857975633882</v>
      </c>
      <c r="T25">
        <f t="shared" si="12"/>
        <v>26.908216129032301</v>
      </c>
      <c r="U25">
        <f t="shared" si="13"/>
        <v>3.5599108741890535</v>
      </c>
      <c r="V25">
        <f t="shared" si="14"/>
        <v>55.324938879812379</v>
      </c>
      <c r="W25">
        <f t="shared" si="15"/>
        <v>1.9442121521146924</v>
      </c>
      <c r="X25">
        <f t="shared" si="16"/>
        <v>3.514169543572907</v>
      </c>
      <c r="Y25">
        <f t="shared" si="17"/>
        <v>1.615698722074361</v>
      </c>
      <c r="Z25">
        <f t="shared" si="18"/>
        <v>-327.14805407330249</v>
      </c>
      <c r="AA25">
        <f t="shared" si="19"/>
        <v>-40.007919618594734</v>
      </c>
      <c r="AB25">
        <f t="shared" si="20"/>
        <v>-2.5528573720703274</v>
      </c>
      <c r="AC25">
        <f t="shared" si="21"/>
        <v>-48.271115087266331</v>
      </c>
      <c r="AD25">
        <v>-4.10661694667247E-2</v>
      </c>
      <c r="AE25">
        <v>4.6100372820433597E-2</v>
      </c>
      <c r="AF25">
        <v>3.4474085884162702</v>
      </c>
      <c r="AG25">
        <v>153</v>
      </c>
      <c r="AH25">
        <v>31</v>
      </c>
      <c r="AI25">
        <f t="shared" si="22"/>
        <v>1</v>
      </c>
      <c r="AJ25">
        <f t="shared" si="23"/>
        <v>0</v>
      </c>
      <c r="AK25">
        <f t="shared" si="24"/>
        <v>52420.81228672195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282.40015384615401</v>
      </c>
      <c r="AT25">
        <v>439.06799999999998</v>
      </c>
      <c r="AU25">
        <f t="shared" si="27"/>
        <v>0.35681909443149118</v>
      </c>
      <c r="AV25">
        <v>0.5</v>
      </c>
      <c r="AW25">
        <f t="shared" si="28"/>
        <v>1681.1885706446351</v>
      </c>
      <c r="AX25">
        <f t="shared" si="29"/>
        <v>46.769443540818969</v>
      </c>
      <c r="AY25">
        <f t="shared" si="30"/>
        <v>299.94009167299589</v>
      </c>
      <c r="AZ25">
        <f t="shared" si="31"/>
        <v>0.58011059790283048</v>
      </c>
      <c r="BA25">
        <f t="shared" si="32"/>
        <v>2.8414090111558543E-2</v>
      </c>
      <c r="BB25">
        <f t="shared" si="33"/>
        <v>-1</v>
      </c>
      <c r="BC25" t="s">
        <v>327</v>
      </c>
      <c r="BD25">
        <v>184.36</v>
      </c>
      <c r="BE25">
        <f t="shared" si="34"/>
        <v>254.70799999999997</v>
      </c>
      <c r="BF25">
        <f t="shared" si="35"/>
        <v>0.61508804652325799</v>
      </c>
      <c r="BG25">
        <f t="shared" si="36"/>
        <v>2.3815795183336945</v>
      </c>
      <c r="BH25">
        <f t="shared" si="37"/>
        <v>0.35681909443149118</v>
      </c>
      <c r="BI25" t="e">
        <f t="shared" si="38"/>
        <v>#DIV/0!</v>
      </c>
      <c r="BJ25">
        <v>6192</v>
      </c>
      <c r="BK25">
        <v>300</v>
      </c>
      <c r="BL25">
        <v>300</v>
      </c>
      <c r="BM25">
        <v>300</v>
      </c>
      <c r="BN25">
        <v>9875.8799999999992</v>
      </c>
      <c r="BO25">
        <v>396.904</v>
      </c>
      <c r="BP25">
        <v>-6.5693899999999996E-3</v>
      </c>
      <c r="BQ25">
        <v>1.91913</v>
      </c>
      <c r="BR25">
        <f t="shared" si="39"/>
        <v>1999.9903225806499</v>
      </c>
      <c r="BS25">
        <f t="shared" si="40"/>
        <v>1681.1885706446351</v>
      </c>
      <c r="BT25">
        <f t="shared" si="41"/>
        <v>0.84059835273369976</v>
      </c>
      <c r="BU25">
        <f t="shared" si="42"/>
        <v>0.19119670546739984</v>
      </c>
      <c r="BV25">
        <v>0.5</v>
      </c>
      <c r="BW25" t="s">
        <v>281</v>
      </c>
      <c r="BX25">
        <v>1597511785.5129001</v>
      </c>
      <c r="BY25">
        <v>579.61035483871001</v>
      </c>
      <c r="BZ25">
        <v>600.03561290322602</v>
      </c>
      <c r="CA25">
        <v>19.588048387096801</v>
      </c>
      <c r="CB25">
        <v>16.6791870967742</v>
      </c>
      <c r="CC25">
        <v>500.05909677419402</v>
      </c>
      <c r="CD25">
        <v>99.055016129032296</v>
      </c>
      <c r="CE25">
        <v>0.20000477419354801</v>
      </c>
      <c r="CF25">
        <v>26.688358064516098</v>
      </c>
      <c r="CG25">
        <v>26.908216129032301</v>
      </c>
      <c r="CH25">
        <v>999.9</v>
      </c>
      <c r="CI25">
        <v>9997.7838709677399</v>
      </c>
      <c r="CJ25">
        <v>0</v>
      </c>
      <c r="CK25">
        <v>155.95635483871001</v>
      </c>
      <c r="CL25">
        <v>1999.9903225806499</v>
      </c>
      <c r="CM25">
        <v>0.98000409677419398</v>
      </c>
      <c r="CN25">
        <v>1.99956161290323E-2</v>
      </c>
      <c r="CO25">
        <v>0</v>
      </c>
      <c r="CP25">
        <v>282.39990322580599</v>
      </c>
      <c r="CQ25">
        <v>5.00054</v>
      </c>
      <c r="CR25">
        <v>7597.8641935483902</v>
      </c>
      <c r="CS25">
        <v>18703.5741935484</v>
      </c>
      <c r="CT25">
        <v>47.175161290322599</v>
      </c>
      <c r="CU25">
        <v>49.207322580645098</v>
      </c>
      <c r="CV25">
        <v>47.693290322580602</v>
      </c>
      <c r="CW25">
        <v>48.227516129032203</v>
      </c>
      <c r="CX25">
        <v>48.802193548387102</v>
      </c>
      <c r="CY25">
        <v>1955.1003225806401</v>
      </c>
      <c r="CZ25">
        <v>39.89</v>
      </c>
      <c r="DA25">
        <v>0</v>
      </c>
      <c r="DB25">
        <v>147.799999952316</v>
      </c>
      <c r="DC25">
        <v>282.40015384615401</v>
      </c>
      <c r="DD25">
        <v>-2.83179488513015</v>
      </c>
      <c r="DE25">
        <v>-146.602393317364</v>
      </c>
      <c r="DF25">
        <v>7596.9984615384601</v>
      </c>
      <c r="DG25">
        <v>15</v>
      </c>
      <c r="DH25">
        <v>1597511820</v>
      </c>
      <c r="DI25" t="s">
        <v>328</v>
      </c>
      <c r="DJ25">
        <v>55</v>
      </c>
      <c r="DK25">
        <v>-0.23300000000000001</v>
      </c>
      <c r="DL25">
        <v>0.108</v>
      </c>
      <c r="DM25">
        <v>600</v>
      </c>
      <c r="DN25">
        <v>17</v>
      </c>
      <c r="DO25">
        <v>0.13</v>
      </c>
      <c r="DP25">
        <v>0.03</v>
      </c>
      <c r="DQ25">
        <v>579.43014814814796</v>
      </c>
      <c r="DR25">
        <v>0.84601120556051701</v>
      </c>
      <c r="DS25">
        <v>0.112649638326488</v>
      </c>
      <c r="DT25">
        <v>0</v>
      </c>
      <c r="DU25">
        <v>19.666633333333301</v>
      </c>
      <c r="DV25">
        <v>-0.80191995960087203</v>
      </c>
      <c r="DW25">
        <v>0.104348694289866</v>
      </c>
      <c r="DX25">
        <v>0</v>
      </c>
      <c r="DY25">
        <v>0</v>
      </c>
      <c r="DZ25">
        <v>2</v>
      </c>
      <c r="EA25" t="s">
        <v>329</v>
      </c>
      <c r="EB25">
        <v>1.8667499999999999</v>
      </c>
      <c r="EC25">
        <v>1.8632500000000001</v>
      </c>
      <c r="ED25">
        <v>1.8689</v>
      </c>
      <c r="EE25">
        <v>1.8668</v>
      </c>
      <c r="EF25">
        <v>1.8714900000000001</v>
      </c>
      <c r="EG25">
        <v>1.86398</v>
      </c>
      <c r="EH25">
        <v>1.86554</v>
      </c>
      <c r="EI25">
        <v>1.8654500000000001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-0.23300000000000001</v>
      </c>
      <c r="EX25">
        <v>0.108</v>
      </c>
      <c r="EY25">
        <v>2</v>
      </c>
      <c r="EZ25">
        <v>331.95800000000003</v>
      </c>
      <c r="FA25">
        <v>470.69799999999998</v>
      </c>
      <c r="FB25">
        <v>22.078399999999998</v>
      </c>
      <c r="FC25">
        <v>34.959299999999999</v>
      </c>
      <c r="FD25">
        <v>29.9998</v>
      </c>
      <c r="FE25">
        <v>35.002200000000002</v>
      </c>
      <c r="FF25">
        <v>35.011600000000001</v>
      </c>
      <c r="FG25">
        <v>30.472000000000001</v>
      </c>
      <c r="FH25">
        <v>54.029800000000002</v>
      </c>
      <c r="FI25">
        <v>0</v>
      </c>
      <c r="FJ25">
        <v>22.148099999999999</v>
      </c>
      <c r="FK25">
        <v>600</v>
      </c>
      <c r="FL25">
        <v>16.692699999999999</v>
      </c>
      <c r="FM25">
        <v>100.48399999999999</v>
      </c>
      <c r="FN25">
        <v>101.059</v>
      </c>
    </row>
    <row r="26" spans="1:170" x14ac:dyDescent="0.25">
      <c r="A26">
        <v>10</v>
      </c>
      <c r="B26">
        <v>1597511941.5999999</v>
      </c>
      <c r="C26">
        <v>1202.5999999046301</v>
      </c>
      <c r="D26" t="s">
        <v>330</v>
      </c>
      <c r="E26" t="s">
        <v>331</v>
      </c>
      <c r="G26">
        <v>1597511933.5548401</v>
      </c>
      <c r="H26">
        <f t="shared" si="0"/>
        <v>5.8880004534736172E-3</v>
      </c>
      <c r="I26">
        <f t="shared" si="1"/>
        <v>49.495373439716595</v>
      </c>
      <c r="J26">
        <f t="shared" si="2"/>
        <v>678.62277419354803</v>
      </c>
      <c r="K26">
        <f t="shared" si="3"/>
        <v>436.09470147395075</v>
      </c>
      <c r="L26">
        <f t="shared" si="4"/>
        <v>43.281850851776852</v>
      </c>
      <c r="M26">
        <f t="shared" si="5"/>
        <v>67.352457156645059</v>
      </c>
      <c r="N26">
        <f t="shared" si="6"/>
        <v>0.36605916294972723</v>
      </c>
      <c r="O26">
        <f t="shared" si="7"/>
        <v>3.3775817537340798</v>
      </c>
      <c r="P26">
        <f t="shared" si="8"/>
        <v>0.34536037035028594</v>
      </c>
      <c r="Q26">
        <f t="shared" si="9"/>
        <v>0.21761234214666877</v>
      </c>
      <c r="R26">
        <f t="shared" si="10"/>
        <v>321.44105781121971</v>
      </c>
      <c r="S26">
        <f t="shared" si="11"/>
        <v>26.974759741161936</v>
      </c>
      <c r="T26">
        <f t="shared" si="12"/>
        <v>27.010887096774201</v>
      </c>
      <c r="U26">
        <f t="shared" si="13"/>
        <v>3.5814489398683858</v>
      </c>
      <c r="V26">
        <f t="shared" si="14"/>
        <v>55.208611680158157</v>
      </c>
      <c r="W26">
        <f t="shared" si="15"/>
        <v>1.9364076432859336</v>
      </c>
      <c r="X26">
        <f t="shared" si="16"/>
        <v>3.5074376702391774</v>
      </c>
      <c r="Y26">
        <f t="shared" si="17"/>
        <v>1.6450412965824521</v>
      </c>
      <c r="Z26">
        <f t="shared" si="18"/>
        <v>-259.66081999818653</v>
      </c>
      <c r="AA26">
        <f t="shared" si="19"/>
        <v>-64.660348389702776</v>
      </c>
      <c r="AB26">
        <f t="shared" si="20"/>
        <v>-4.1246138215914314</v>
      </c>
      <c r="AC26">
        <f t="shared" si="21"/>
        <v>-7.0047243982610183</v>
      </c>
      <c r="AD26">
        <v>-4.11007403934412E-2</v>
      </c>
      <c r="AE26">
        <v>4.6139181714252402E-2</v>
      </c>
      <c r="AF26">
        <v>3.4497063518793398</v>
      </c>
      <c r="AG26">
        <v>152</v>
      </c>
      <c r="AH26">
        <v>30</v>
      </c>
      <c r="AI26">
        <f t="shared" si="22"/>
        <v>1</v>
      </c>
      <c r="AJ26">
        <f t="shared" si="23"/>
        <v>0</v>
      </c>
      <c r="AK26">
        <f t="shared" si="24"/>
        <v>52468.700865430663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332</v>
      </c>
      <c r="AS26">
        <v>282.49646153846197</v>
      </c>
      <c r="AT26">
        <v>446.95299999999997</v>
      </c>
      <c r="AU26">
        <f t="shared" si="27"/>
        <v>0.36795040745120411</v>
      </c>
      <c r="AV26">
        <v>0.5</v>
      </c>
      <c r="AW26">
        <f t="shared" si="28"/>
        <v>1681.2035029026144</v>
      </c>
      <c r="AX26">
        <f t="shared" si="29"/>
        <v>49.495373439716595</v>
      </c>
      <c r="AY26">
        <f t="shared" si="30"/>
        <v>309.29975695070431</v>
      </c>
      <c r="AZ26">
        <f t="shared" si="31"/>
        <v>0.58532552639763014</v>
      </c>
      <c r="BA26">
        <f t="shared" si="32"/>
        <v>3.0035253526735958E-2</v>
      </c>
      <c r="BB26">
        <f t="shared" si="33"/>
        <v>-1</v>
      </c>
      <c r="BC26" t="s">
        <v>333</v>
      </c>
      <c r="BD26">
        <v>185.34</v>
      </c>
      <c r="BE26">
        <f t="shared" si="34"/>
        <v>261.61299999999994</v>
      </c>
      <c r="BF26">
        <f t="shared" si="35"/>
        <v>0.62862525356743759</v>
      </c>
      <c r="BG26">
        <f t="shared" si="36"/>
        <v>2.411530160785583</v>
      </c>
      <c r="BH26">
        <f t="shared" si="37"/>
        <v>0.36795040745120405</v>
      </c>
      <c r="BI26" t="e">
        <f t="shared" si="38"/>
        <v>#DIV/0!</v>
      </c>
      <c r="BJ26">
        <v>6194</v>
      </c>
      <c r="BK26">
        <v>300</v>
      </c>
      <c r="BL26">
        <v>300</v>
      </c>
      <c r="BM26">
        <v>300</v>
      </c>
      <c r="BN26">
        <v>9876.98</v>
      </c>
      <c r="BO26">
        <v>400.66</v>
      </c>
      <c r="BP26">
        <v>-6.5702399999999998E-3</v>
      </c>
      <c r="BQ26">
        <v>1.46048</v>
      </c>
      <c r="BR26">
        <f t="shared" si="39"/>
        <v>2000.00774193548</v>
      </c>
      <c r="BS26">
        <f t="shared" si="40"/>
        <v>1681.2035029026144</v>
      </c>
      <c r="BT26">
        <f t="shared" si="41"/>
        <v>0.84059849752164106</v>
      </c>
      <c r="BU26">
        <f t="shared" si="42"/>
        <v>0.19119699504328211</v>
      </c>
      <c r="BV26">
        <v>0.5</v>
      </c>
      <c r="BW26" t="s">
        <v>281</v>
      </c>
      <c r="BX26">
        <v>1597511933.5548401</v>
      </c>
      <c r="BY26">
        <v>678.62277419354803</v>
      </c>
      <c r="BZ26">
        <v>700.01661290322602</v>
      </c>
      <c r="CA26">
        <v>19.510651612903199</v>
      </c>
      <c r="CB26">
        <v>17.201683870967699</v>
      </c>
      <c r="CC26">
        <v>500.060838709677</v>
      </c>
      <c r="CD26">
        <v>99.048738709677394</v>
      </c>
      <c r="CE26">
        <v>0.20000406451612901</v>
      </c>
      <c r="CF26">
        <v>26.6557903225806</v>
      </c>
      <c r="CG26">
        <v>27.010887096774201</v>
      </c>
      <c r="CH26">
        <v>999.9</v>
      </c>
      <c r="CI26">
        <v>10006.834516129</v>
      </c>
      <c r="CJ26">
        <v>0</v>
      </c>
      <c r="CK26">
        <v>158.80932258064499</v>
      </c>
      <c r="CL26">
        <v>2000.00774193548</v>
      </c>
      <c r="CM26">
        <v>0.980002516129032</v>
      </c>
      <c r="CN26">
        <v>1.9997629032258098E-2</v>
      </c>
      <c r="CO26">
        <v>0</v>
      </c>
      <c r="CP26">
        <v>282.45190322580601</v>
      </c>
      <c r="CQ26">
        <v>5.00054</v>
      </c>
      <c r="CR26">
        <v>7620.7303225806399</v>
      </c>
      <c r="CS26">
        <v>18703.716129032298</v>
      </c>
      <c r="CT26">
        <v>46.927</v>
      </c>
      <c r="CU26">
        <v>48.887</v>
      </c>
      <c r="CV26">
        <v>47.406999999999996</v>
      </c>
      <c r="CW26">
        <v>47.927064516129001</v>
      </c>
      <c r="CX26">
        <v>48.542000000000002</v>
      </c>
      <c r="CY26">
        <v>1955.1077419354799</v>
      </c>
      <c r="CZ26">
        <v>39.9</v>
      </c>
      <c r="DA26">
        <v>0</v>
      </c>
      <c r="DB26">
        <v>147.59999990463299</v>
      </c>
      <c r="DC26">
        <v>282.49646153846197</v>
      </c>
      <c r="DD26">
        <v>-1.15001708144768</v>
      </c>
      <c r="DE26">
        <v>-176.08820487841501</v>
      </c>
      <c r="DF26">
        <v>7618.5476923076903</v>
      </c>
      <c r="DG26">
        <v>15</v>
      </c>
      <c r="DH26">
        <v>1597511970</v>
      </c>
      <c r="DI26" t="s">
        <v>334</v>
      </c>
      <c r="DJ26">
        <v>56</v>
      </c>
      <c r="DK26">
        <v>-0.14399999999999999</v>
      </c>
      <c r="DL26">
        <v>0.11899999999999999</v>
      </c>
      <c r="DM26">
        <v>700</v>
      </c>
      <c r="DN26">
        <v>17</v>
      </c>
      <c r="DO26">
        <v>0.28999999999999998</v>
      </c>
      <c r="DP26">
        <v>0.04</v>
      </c>
      <c r="DQ26">
        <v>678.45320370370405</v>
      </c>
      <c r="DR26">
        <v>0.71563813913952001</v>
      </c>
      <c r="DS26">
        <v>9.7841402209297199E-2</v>
      </c>
      <c r="DT26">
        <v>0</v>
      </c>
      <c r="DU26">
        <v>19.500137037037</v>
      </c>
      <c r="DV26">
        <v>-3.8382941996867701E-3</v>
      </c>
      <c r="DW26">
        <v>2.9196839184770498E-3</v>
      </c>
      <c r="DX26">
        <v>1</v>
      </c>
      <c r="DY26">
        <v>1</v>
      </c>
      <c r="DZ26">
        <v>2</v>
      </c>
      <c r="EA26" t="s">
        <v>293</v>
      </c>
      <c r="EB26">
        <v>1.8666799999999999</v>
      </c>
      <c r="EC26">
        <v>1.86321</v>
      </c>
      <c r="ED26">
        <v>1.86886</v>
      </c>
      <c r="EE26">
        <v>1.86676</v>
      </c>
      <c r="EF26">
        <v>1.87148</v>
      </c>
      <c r="EG26">
        <v>1.8638999999999999</v>
      </c>
      <c r="EH26">
        <v>1.8654900000000001</v>
      </c>
      <c r="EI26">
        <v>1.8653900000000001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-0.14399999999999999</v>
      </c>
      <c r="EX26">
        <v>0.11899999999999999</v>
      </c>
      <c r="EY26">
        <v>2</v>
      </c>
      <c r="EZ26">
        <v>332.99900000000002</v>
      </c>
      <c r="FA26">
        <v>471.548</v>
      </c>
      <c r="FB26">
        <v>21.267299999999999</v>
      </c>
      <c r="FC26">
        <v>34.801099999999998</v>
      </c>
      <c r="FD26">
        <v>29.999400000000001</v>
      </c>
      <c r="FE26">
        <v>34.878700000000002</v>
      </c>
      <c r="FF26">
        <v>34.890500000000003</v>
      </c>
      <c r="FG26">
        <v>34.512500000000003</v>
      </c>
      <c r="FH26">
        <v>51.6571</v>
      </c>
      <c r="FI26">
        <v>0</v>
      </c>
      <c r="FJ26">
        <v>21.276700000000002</v>
      </c>
      <c r="FK26">
        <v>700</v>
      </c>
      <c r="FL26">
        <v>17.262</v>
      </c>
      <c r="FM26">
        <v>100.509</v>
      </c>
      <c r="FN26">
        <v>101.093</v>
      </c>
    </row>
    <row r="27" spans="1:170" x14ac:dyDescent="0.25">
      <c r="A27">
        <v>11</v>
      </c>
      <c r="B27">
        <v>1597512091.5999999</v>
      </c>
      <c r="C27">
        <v>1352.5999999046301</v>
      </c>
      <c r="D27" t="s">
        <v>335</v>
      </c>
      <c r="E27" t="s">
        <v>336</v>
      </c>
      <c r="G27">
        <v>1597512083.5580599</v>
      </c>
      <c r="H27">
        <f t="shared" si="0"/>
        <v>5.1336152265890802E-3</v>
      </c>
      <c r="I27">
        <f t="shared" si="1"/>
        <v>51.153779367472005</v>
      </c>
      <c r="J27">
        <f t="shared" si="2"/>
        <v>777.91932258064503</v>
      </c>
      <c r="K27">
        <f t="shared" si="3"/>
        <v>484.33843063321143</v>
      </c>
      <c r="L27">
        <f t="shared" si="4"/>
        <v>48.067809997064529</v>
      </c>
      <c r="M27">
        <f t="shared" si="5"/>
        <v>77.204028889396852</v>
      </c>
      <c r="N27">
        <f t="shared" si="6"/>
        <v>0.30932111537877993</v>
      </c>
      <c r="O27">
        <f t="shared" si="7"/>
        <v>3.3756781611462086</v>
      </c>
      <c r="P27">
        <f t="shared" si="8"/>
        <v>0.29439314007748912</v>
      </c>
      <c r="Q27">
        <f t="shared" si="9"/>
        <v>0.18527688167151124</v>
      </c>
      <c r="R27">
        <f t="shared" si="10"/>
        <v>321.43997665478173</v>
      </c>
      <c r="S27">
        <f t="shared" si="11"/>
        <v>26.964270384790453</v>
      </c>
      <c r="T27">
        <f t="shared" si="12"/>
        <v>27.0315612903226</v>
      </c>
      <c r="U27">
        <f t="shared" si="13"/>
        <v>3.5857996536094938</v>
      </c>
      <c r="V27">
        <f t="shared" si="14"/>
        <v>54.844063931258049</v>
      </c>
      <c r="W27">
        <f t="shared" si="15"/>
        <v>1.903039453227038</v>
      </c>
      <c r="X27">
        <f t="shared" si="16"/>
        <v>3.4699096252464474</v>
      </c>
      <c r="Y27">
        <f t="shared" si="17"/>
        <v>1.6827602003824558</v>
      </c>
      <c r="Z27">
        <f t="shared" si="18"/>
        <v>-226.39243149257842</v>
      </c>
      <c r="AA27">
        <f t="shared" si="19"/>
        <v>-101.61064255053751</v>
      </c>
      <c r="AB27">
        <f t="shared" si="20"/>
        <v>-6.4800407077812077</v>
      </c>
      <c r="AC27">
        <f t="shared" si="21"/>
        <v>-13.043138096115399</v>
      </c>
      <c r="AD27">
        <v>-4.1071322627114E-2</v>
      </c>
      <c r="AE27">
        <v>4.6106157694412203E-2</v>
      </c>
      <c r="AF27">
        <v>3.4477511362658402</v>
      </c>
      <c r="AG27">
        <v>151</v>
      </c>
      <c r="AH27">
        <v>30</v>
      </c>
      <c r="AI27">
        <f t="shared" si="22"/>
        <v>1</v>
      </c>
      <c r="AJ27">
        <f t="shared" si="23"/>
        <v>0</v>
      </c>
      <c r="AK27">
        <f t="shared" si="24"/>
        <v>52464.550322332907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337</v>
      </c>
      <c r="AS27">
        <v>281.33761538461499</v>
      </c>
      <c r="AT27">
        <v>444.48200000000003</v>
      </c>
      <c r="AU27">
        <f t="shared" si="27"/>
        <v>0.36704385017927621</v>
      </c>
      <c r="AV27">
        <v>0.5</v>
      </c>
      <c r="AW27">
        <f t="shared" si="28"/>
        <v>1681.1978125800397</v>
      </c>
      <c r="AX27">
        <f t="shared" si="29"/>
        <v>51.153779367472005</v>
      </c>
      <c r="AY27">
        <f t="shared" si="30"/>
        <v>308.53665902117746</v>
      </c>
      <c r="AZ27">
        <f t="shared" si="31"/>
        <v>0.5957991549714049</v>
      </c>
      <c r="BA27">
        <f t="shared" si="32"/>
        <v>3.1021798254325904E-2</v>
      </c>
      <c r="BB27">
        <f t="shared" si="33"/>
        <v>-1</v>
      </c>
      <c r="BC27" t="s">
        <v>338</v>
      </c>
      <c r="BD27">
        <v>179.66</v>
      </c>
      <c r="BE27">
        <f t="shared" si="34"/>
        <v>264.822</v>
      </c>
      <c r="BF27">
        <f t="shared" si="35"/>
        <v>0.61605298885811988</v>
      </c>
      <c r="BG27">
        <f t="shared" si="36"/>
        <v>2.4740175887788047</v>
      </c>
      <c r="BH27">
        <f t="shared" si="37"/>
        <v>0.36704385017927615</v>
      </c>
      <c r="BI27" t="e">
        <f t="shared" si="38"/>
        <v>#DIV/0!</v>
      </c>
      <c r="BJ27">
        <v>6196</v>
      </c>
      <c r="BK27">
        <v>300</v>
      </c>
      <c r="BL27">
        <v>300</v>
      </c>
      <c r="BM27">
        <v>300</v>
      </c>
      <c r="BN27">
        <v>9877.41</v>
      </c>
      <c r="BO27">
        <v>399.86399999999998</v>
      </c>
      <c r="BP27">
        <v>-6.57064E-3</v>
      </c>
      <c r="BQ27">
        <v>1.9649399999999999</v>
      </c>
      <c r="BR27">
        <f t="shared" si="39"/>
        <v>2000.00096774194</v>
      </c>
      <c r="BS27">
        <f t="shared" si="40"/>
        <v>1681.1978125800397</v>
      </c>
      <c r="BT27">
        <f t="shared" si="41"/>
        <v>0.8405984995488085</v>
      </c>
      <c r="BU27">
        <f t="shared" si="42"/>
        <v>0.19119699909761712</v>
      </c>
      <c r="BV27">
        <v>0.5</v>
      </c>
      <c r="BW27" t="s">
        <v>281</v>
      </c>
      <c r="BX27">
        <v>1597512083.5580599</v>
      </c>
      <c r="BY27">
        <v>777.91932258064503</v>
      </c>
      <c r="BZ27">
        <v>799.97570967741899</v>
      </c>
      <c r="CA27">
        <v>19.175309677419399</v>
      </c>
      <c r="CB27">
        <v>17.161470967741899</v>
      </c>
      <c r="CC27">
        <v>500.05758064516101</v>
      </c>
      <c r="CD27">
        <v>99.044261290322595</v>
      </c>
      <c r="CE27">
        <v>0.200000483870968</v>
      </c>
      <c r="CF27">
        <v>26.4732290322581</v>
      </c>
      <c r="CG27">
        <v>27.0315612903226</v>
      </c>
      <c r="CH27">
        <v>999.9</v>
      </c>
      <c r="CI27">
        <v>10000.124193548399</v>
      </c>
      <c r="CJ27">
        <v>0</v>
      </c>
      <c r="CK27">
        <v>175.25348387096801</v>
      </c>
      <c r="CL27">
        <v>2000.00096774194</v>
      </c>
      <c r="CM27">
        <v>0.98000206451612903</v>
      </c>
      <c r="CN27">
        <v>1.9998216129032301E-2</v>
      </c>
      <c r="CO27">
        <v>0</v>
      </c>
      <c r="CP27">
        <v>281.32629032258097</v>
      </c>
      <c r="CQ27">
        <v>5.00054</v>
      </c>
      <c r="CR27">
        <v>7751.0248387096799</v>
      </c>
      <c r="CS27">
        <v>18703.635483870999</v>
      </c>
      <c r="CT27">
        <v>46.846548387096803</v>
      </c>
      <c r="CU27">
        <v>48.806096774193499</v>
      </c>
      <c r="CV27">
        <v>47.316064516129003</v>
      </c>
      <c r="CW27">
        <v>47.796064516129</v>
      </c>
      <c r="CX27">
        <v>48.407096774193498</v>
      </c>
      <c r="CY27">
        <v>1955.1009677419299</v>
      </c>
      <c r="CZ27">
        <v>39.9</v>
      </c>
      <c r="DA27">
        <v>0</v>
      </c>
      <c r="DB27">
        <v>149.59999990463299</v>
      </c>
      <c r="DC27">
        <v>281.33761538461499</v>
      </c>
      <c r="DD27">
        <v>-1.06420511540705</v>
      </c>
      <c r="DE27">
        <v>12.491623891828301</v>
      </c>
      <c r="DF27">
        <v>7751.1030769230802</v>
      </c>
      <c r="DG27">
        <v>15</v>
      </c>
      <c r="DH27">
        <v>1597512127.0999999</v>
      </c>
      <c r="DI27" t="s">
        <v>339</v>
      </c>
      <c r="DJ27">
        <v>57</v>
      </c>
      <c r="DK27">
        <v>-0.29199999999999998</v>
      </c>
      <c r="DL27">
        <v>0.12</v>
      </c>
      <c r="DM27">
        <v>800</v>
      </c>
      <c r="DN27">
        <v>17</v>
      </c>
      <c r="DO27">
        <v>0.19</v>
      </c>
      <c r="DP27">
        <v>0.05</v>
      </c>
      <c r="DQ27">
        <v>778.03305555555505</v>
      </c>
      <c r="DR27">
        <v>0.38575362789196799</v>
      </c>
      <c r="DS27">
        <v>5.5456161086654902E-2</v>
      </c>
      <c r="DT27">
        <v>0</v>
      </c>
      <c r="DU27">
        <v>19.178209259259301</v>
      </c>
      <c r="DV27">
        <v>-2.4605241624997099E-2</v>
      </c>
      <c r="DW27">
        <v>8.0233517637814597E-3</v>
      </c>
      <c r="DX27">
        <v>1</v>
      </c>
      <c r="DY27">
        <v>1</v>
      </c>
      <c r="DZ27">
        <v>2</v>
      </c>
      <c r="EA27" t="s">
        <v>293</v>
      </c>
      <c r="EB27">
        <v>1.86666</v>
      </c>
      <c r="EC27">
        <v>1.8632</v>
      </c>
      <c r="ED27">
        <v>1.86883</v>
      </c>
      <c r="EE27">
        <v>1.86676</v>
      </c>
      <c r="EF27">
        <v>1.8714900000000001</v>
      </c>
      <c r="EG27">
        <v>1.8639300000000001</v>
      </c>
      <c r="EH27">
        <v>1.86551</v>
      </c>
      <c r="EI27">
        <v>1.8653999999999999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-0.29199999999999998</v>
      </c>
      <c r="EX27">
        <v>0.12</v>
      </c>
      <c r="EY27">
        <v>2</v>
      </c>
      <c r="EZ27">
        <v>333.64400000000001</v>
      </c>
      <c r="FA27">
        <v>471.66399999999999</v>
      </c>
      <c r="FB27">
        <v>21.246400000000001</v>
      </c>
      <c r="FC27">
        <v>34.694600000000001</v>
      </c>
      <c r="FD27">
        <v>30.0001</v>
      </c>
      <c r="FE27">
        <v>34.775100000000002</v>
      </c>
      <c r="FF27">
        <v>34.789700000000003</v>
      </c>
      <c r="FG27">
        <v>38.454900000000002</v>
      </c>
      <c r="FH27">
        <v>51.944299999999998</v>
      </c>
      <c r="FI27">
        <v>0</v>
      </c>
      <c r="FJ27">
        <v>21.2195</v>
      </c>
      <c r="FK27">
        <v>800</v>
      </c>
      <c r="FL27">
        <v>17.317799999999998</v>
      </c>
      <c r="FM27">
        <v>100.523</v>
      </c>
      <c r="FN27">
        <v>101.10899999999999</v>
      </c>
    </row>
    <row r="28" spans="1:170" x14ac:dyDescent="0.25">
      <c r="A28">
        <v>12</v>
      </c>
      <c r="B28">
        <v>1597512220.5999999</v>
      </c>
      <c r="C28">
        <v>1481.5999999046301</v>
      </c>
      <c r="D28" t="s">
        <v>340</v>
      </c>
      <c r="E28" t="s">
        <v>341</v>
      </c>
      <c r="G28">
        <v>1597512212.5999999</v>
      </c>
      <c r="H28">
        <f t="shared" si="0"/>
        <v>4.9548283064501618E-3</v>
      </c>
      <c r="I28">
        <f t="shared" si="1"/>
        <v>54.231062927187871</v>
      </c>
      <c r="J28">
        <f t="shared" si="2"/>
        <v>976.33441935483904</v>
      </c>
      <c r="K28">
        <f t="shared" si="3"/>
        <v>651.93628617958677</v>
      </c>
      <c r="L28">
        <f t="shared" si="4"/>
        <v>64.700664408449057</v>
      </c>
      <c r="M28">
        <f t="shared" si="5"/>
        <v>96.895182790445745</v>
      </c>
      <c r="N28">
        <f t="shared" si="6"/>
        <v>0.29946686302651609</v>
      </c>
      <c r="O28">
        <f t="shared" si="7"/>
        <v>3.3745418990134954</v>
      </c>
      <c r="P28">
        <f t="shared" si="8"/>
        <v>0.28544724300188534</v>
      </c>
      <c r="Q28">
        <f t="shared" si="9"/>
        <v>0.17960943007919128</v>
      </c>
      <c r="R28">
        <f t="shared" si="10"/>
        <v>321.43941033474164</v>
      </c>
      <c r="S28">
        <f t="shared" si="11"/>
        <v>26.837906457417951</v>
      </c>
      <c r="T28">
        <f t="shared" si="12"/>
        <v>26.986593548387098</v>
      </c>
      <c r="U28">
        <f t="shared" si="13"/>
        <v>3.5763424519336562</v>
      </c>
      <c r="V28">
        <f t="shared" si="14"/>
        <v>55.334486272366753</v>
      </c>
      <c r="W28">
        <f t="shared" si="15"/>
        <v>1.9011954700950728</v>
      </c>
      <c r="X28">
        <f t="shared" si="16"/>
        <v>3.4358238382064865</v>
      </c>
      <c r="Y28">
        <f t="shared" si="17"/>
        <v>1.6751469818385833</v>
      </c>
      <c r="Z28">
        <f t="shared" si="18"/>
        <v>-218.50792831445213</v>
      </c>
      <c r="AA28">
        <f t="shared" si="19"/>
        <v>-123.83507456358339</v>
      </c>
      <c r="AB28">
        <f t="shared" si="20"/>
        <v>-7.8916382333936168</v>
      </c>
      <c r="AC28">
        <f t="shared" si="21"/>
        <v>-28.795230776687504</v>
      </c>
      <c r="AD28">
        <v>-4.1053766576370103E-2</v>
      </c>
      <c r="AE28">
        <v>4.6086449489457698E-2</v>
      </c>
      <c r="AF28">
        <v>3.4465840663400602</v>
      </c>
      <c r="AG28">
        <v>151</v>
      </c>
      <c r="AH28">
        <v>30</v>
      </c>
      <c r="AI28">
        <f t="shared" si="22"/>
        <v>1</v>
      </c>
      <c r="AJ28">
        <f t="shared" si="23"/>
        <v>0</v>
      </c>
      <c r="AK28">
        <f t="shared" si="24"/>
        <v>52472.346869293993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342</v>
      </c>
      <c r="AS28">
        <v>280.48342307692297</v>
      </c>
      <c r="AT28">
        <v>436.61099999999999</v>
      </c>
      <c r="AU28">
        <f t="shared" si="27"/>
        <v>0.35758965514629049</v>
      </c>
      <c r="AV28">
        <v>0.5</v>
      </c>
      <c r="AW28">
        <f t="shared" si="28"/>
        <v>1681.1948319348753</v>
      </c>
      <c r="AX28">
        <f t="shared" si="29"/>
        <v>54.231062927187871</v>
      </c>
      <c r="AY28">
        <f t="shared" si="30"/>
        <v>300.5889400926589</v>
      </c>
      <c r="AZ28">
        <f t="shared" si="31"/>
        <v>0.58370265522398657</v>
      </c>
      <c r="BA28">
        <f t="shared" si="32"/>
        <v>3.2852267850254351E-2</v>
      </c>
      <c r="BB28">
        <f t="shared" si="33"/>
        <v>-1</v>
      </c>
      <c r="BC28" t="s">
        <v>343</v>
      </c>
      <c r="BD28">
        <v>181.76</v>
      </c>
      <c r="BE28">
        <f t="shared" si="34"/>
        <v>254.851</v>
      </c>
      <c r="BF28">
        <f t="shared" si="35"/>
        <v>0.61262297155230705</v>
      </c>
      <c r="BG28">
        <f t="shared" si="36"/>
        <v>2.4021291813380281</v>
      </c>
      <c r="BH28">
        <f t="shared" si="37"/>
        <v>0.35758965514629043</v>
      </c>
      <c r="BI28" t="e">
        <f t="shared" si="38"/>
        <v>#DIV/0!</v>
      </c>
      <c r="BJ28">
        <v>6198</v>
      </c>
      <c r="BK28">
        <v>300</v>
      </c>
      <c r="BL28">
        <v>300</v>
      </c>
      <c r="BM28">
        <v>300</v>
      </c>
      <c r="BN28">
        <v>9877.52</v>
      </c>
      <c r="BO28">
        <v>395.61200000000002</v>
      </c>
      <c r="BP28">
        <v>-6.5706000000000002E-3</v>
      </c>
      <c r="BQ28">
        <v>1.83145</v>
      </c>
      <c r="BR28">
        <f t="shared" si="39"/>
        <v>1999.9974193548401</v>
      </c>
      <c r="BS28">
        <f t="shared" si="40"/>
        <v>1681.1948319348753</v>
      </c>
      <c r="BT28">
        <f t="shared" si="41"/>
        <v>0.84059850061066366</v>
      </c>
      <c r="BU28">
        <f t="shared" si="42"/>
        <v>0.19119700122132738</v>
      </c>
      <c r="BV28">
        <v>0.5</v>
      </c>
      <c r="BW28" t="s">
        <v>281</v>
      </c>
      <c r="BX28">
        <v>1597512212.5999999</v>
      </c>
      <c r="BY28">
        <v>976.33441935483904</v>
      </c>
      <c r="BZ28">
        <v>999.95909677419297</v>
      </c>
      <c r="CA28">
        <v>19.1568096774193</v>
      </c>
      <c r="CB28">
        <v>17.213074193548401</v>
      </c>
      <c r="CC28">
        <v>500.05874193548402</v>
      </c>
      <c r="CD28">
        <v>99.043841935483897</v>
      </c>
      <c r="CE28">
        <v>0.20000409677419401</v>
      </c>
      <c r="CF28">
        <v>26.305912903225799</v>
      </c>
      <c r="CG28">
        <v>26.986593548387098</v>
      </c>
      <c r="CH28">
        <v>999.9</v>
      </c>
      <c r="CI28">
        <v>9995.8919354838708</v>
      </c>
      <c r="CJ28">
        <v>0</v>
      </c>
      <c r="CK28">
        <v>179.91996774193501</v>
      </c>
      <c r="CL28">
        <v>1999.9974193548401</v>
      </c>
      <c r="CM28">
        <v>0.98000170967741895</v>
      </c>
      <c r="CN28">
        <v>1.99985419354839E-2</v>
      </c>
      <c r="CO28">
        <v>0</v>
      </c>
      <c r="CP28">
        <v>280.49135483870998</v>
      </c>
      <c r="CQ28">
        <v>5.00054</v>
      </c>
      <c r="CR28">
        <v>7780.3577419354897</v>
      </c>
      <c r="CS28">
        <v>18703.606451612901</v>
      </c>
      <c r="CT28">
        <v>46.872870967741903</v>
      </c>
      <c r="CU28">
        <v>48.8546774193548</v>
      </c>
      <c r="CV28">
        <v>47.3343548387097</v>
      </c>
      <c r="CW28">
        <v>47.882935483871002</v>
      </c>
      <c r="CX28">
        <v>48.425064516128998</v>
      </c>
      <c r="CY28">
        <v>1955.09741935484</v>
      </c>
      <c r="CZ28">
        <v>39.9</v>
      </c>
      <c r="DA28">
        <v>0</v>
      </c>
      <c r="DB28">
        <v>128.59999990463299</v>
      </c>
      <c r="DC28">
        <v>280.48342307692297</v>
      </c>
      <c r="DD28">
        <v>-4.6052307589031303</v>
      </c>
      <c r="DE28">
        <v>-53.925469437286097</v>
      </c>
      <c r="DF28">
        <v>7781.2223076923101</v>
      </c>
      <c r="DG28">
        <v>15</v>
      </c>
      <c r="DH28">
        <v>1597512250.5999999</v>
      </c>
      <c r="DI28" t="s">
        <v>344</v>
      </c>
      <c r="DJ28">
        <v>58</v>
      </c>
      <c r="DK28">
        <v>0.08</v>
      </c>
      <c r="DL28">
        <v>0.11799999999999999</v>
      </c>
      <c r="DM28">
        <v>1000</v>
      </c>
      <c r="DN28">
        <v>17</v>
      </c>
      <c r="DO28">
        <v>0.13</v>
      </c>
      <c r="DP28">
        <v>0.05</v>
      </c>
      <c r="DQ28">
        <v>975.94012962962995</v>
      </c>
      <c r="DR28">
        <v>0.29608233276187301</v>
      </c>
      <c r="DS28">
        <v>5.0946611960295402E-2</v>
      </c>
      <c r="DT28">
        <v>1</v>
      </c>
      <c r="DU28">
        <v>19.1782740740741</v>
      </c>
      <c r="DV28">
        <v>-0.18493493424816801</v>
      </c>
      <c r="DW28">
        <v>2.40713844651399E-2</v>
      </c>
      <c r="DX28">
        <v>1</v>
      </c>
      <c r="DY28">
        <v>2</v>
      </c>
      <c r="DZ28">
        <v>2</v>
      </c>
      <c r="EA28" t="s">
        <v>283</v>
      </c>
      <c r="EB28">
        <v>1.8667199999999999</v>
      </c>
      <c r="EC28">
        <v>1.86324</v>
      </c>
      <c r="ED28">
        <v>1.8688800000000001</v>
      </c>
      <c r="EE28">
        <v>1.86677</v>
      </c>
      <c r="EF28">
        <v>1.8714900000000001</v>
      </c>
      <c r="EG28">
        <v>1.8639699999999999</v>
      </c>
      <c r="EH28">
        <v>1.86554</v>
      </c>
      <c r="EI28">
        <v>1.8653900000000001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0.08</v>
      </c>
      <c r="EX28">
        <v>0.11799999999999999</v>
      </c>
      <c r="EY28">
        <v>2</v>
      </c>
      <c r="EZ28">
        <v>333.53100000000001</v>
      </c>
      <c r="FA28">
        <v>471.26</v>
      </c>
      <c r="FB28">
        <v>21.286200000000001</v>
      </c>
      <c r="FC28">
        <v>34.701000000000001</v>
      </c>
      <c r="FD28">
        <v>30.000599999999999</v>
      </c>
      <c r="FE28">
        <v>34.746600000000001</v>
      </c>
      <c r="FF28">
        <v>34.760100000000001</v>
      </c>
      <c r="FG28">
        <v>46.046399999999998</v>
      </c>
      <c r="FH28">
        <v>52.504399999999997</v>
      </c>
      <c r="FI28">
        <v>0</v>
      </c>
      <c r="FJ28">
        <v>21.2699</v>
      </c>
      <c r="FK28">
        <v>1000</v>
      </c>
      <c r="FL28">
        <v>17.202300000000001</v>
      </c>
      <c r="FM28">
        <v>100.52500000000001</v>
      </c>
      <c r="FN28">
        <v>101.114</v>
      </c>
    </row>
    <row r="29" spans="1:170" x14ac:dyDescent="0.25">
      <c r="A29">
        <v>13</v>
      </c>
      <c r="B29">
        <v>1597512372.0999999</v>
      </c>
      <c r="C29">
        <v>1633.0999999046301</v>
      </c>
      <c r="D29" t="s">
        <v>345</v>
      </c>
      <c r="E29" t="s">
        <v>346</v>
      </c>
      <c r="G29">
        <v>1597512364.0999999</v>
      </c>
      <c r="H29">
        <f t="shared" si="0"/>
        <v>4.8753571312918093E-3</v>
      </c>
      <c r="I29">
        <f t="shared" si="1"/>
        <v>53.64000028307386</v>
      </c>
      <c r="J29">
        <f t="shared" si="2"/>
        <v>1176.2812903225799</v>
      </c>
      <c r="K29">
        <f t="shared" si="3"/>
        <v>841.98513011537773</v>
      </c>
      <c r="L29">
        <f t="shared" si="4"/>
        <v>83.558694866792806</v>
      </c>
      <c r="M29">
        <f t="shared" si="5"/>
        <v>116.73428175876839</v>
      </c>
      <c r="N29">
        <f t="shared" si="6"/>
        <v>0.29176098075270368</v>
      </c>
      <c r="O29">
        <f t="shared" si="7"/>
        <v>3.3767572379616473</v>
      </c>
      <c r="P29">
        <f t="shared" si="8"/>
        <v>0.27844464635508842</v>
      </c>
      <c r="Q29">
        <f t="shared" si="9"/>
        <v>0.17517366947811192</v>
      </c>
      <c r="R29">
        <f t="shared" si="10"/>
        <v>321.44358050957948</v>
      </c>
      <c r="S29">
        <f t="shared" si="11"/>
        <v>26.687399581192341</v>
      </c>
      <c r="T29">
        <f t="shared" si="12"/>
        <v>26.9108612903226</v>
      </c>
      <c r="U29">
        <f t="shared" si="13"/>
        <v>3.5604643474120383</v>
      </c>
      <c r="V29">
        <f t="shared" si="14"/>
        <v>54.982003948375954</v>
      </c>
      <c r="W29">
        <f t="shared" si="15"/>
        <v>1.8703895114927229</v>
      </c>
      <c r="X29">
        <f t="shared" si="16"/>
        <v>3.4018212818304705</v>
      </c>
      <c r="Y29">
        <f t="shared" si="17"/>
        <v>1.6900748359193154</v>
      </c>
      <c r="Z29">
        <f t="shared" si="18"/>
        <v>-215.00324948996879</v>
      </c>
      <c r="AA29">
        <f t="shared" si="19"/>
        <v>-140.7786889150272</v>
      </c>
      <c r="AB29">
        <f t="shared" si="20"/>
        <v>-8.9545712017067221</v>
      </c>
      <c r="AC29">
        <f t="shared" si="21"/>
        <v>-43.292929097123221</v>
      </c>
      <c r="AD29">
        <v>-4.10879975694452E-2</v>
      </c>
      <c r="AE29">
        <v>4.6124876777984103E-2</v>
      </c>
      <c r="AF29">
        <v>3.4488594746834602</v>
      </c>
      <c r="AG29">
        <v>151</v>
      </c>
      <c r="AH29">
        <v>30</v>
      </c>
      <c r="AI29">
        <f t="shared" si="22"/>
        <v>1</v>
      </c>
      <c r="AJ29">
        <f t="shared" si="23"/>
        <v>0</v>
      </c>
      <c r="AK29">
        <f t="shared" si="24"/>
        <v>52543.785380854206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347</v>
      </c>
      <c r="AS29">
        <v>276.26646153846201</v>
      </c>
      <c r="AT29">
        <v>414.06299999999999</v>
      </c>
      <c r="AU29">
        <f t="shared" si="27"/>
        <v>0.33279123819693612</v>
      </c>
      <c r="AV29">
        <v>0.5</v>
      </c>
      <c r="AW29">
        <f t="shared" si="28"/>
        <v>1681.2167803219777</v>
      </c>
      <c r="AX29">
        <f t="shared" si="29"/>
        <v>53.64000028307386</v>
      </c>
      <c r="AY29">
        <f t="shared" si="30"/>
        <v>279.74710700040868</v>
      </c>
      <c r="AZ29">
        <f t="shared" si="31"/>
        <v>0.57194919613681972</v>
      </c>
      <c r="BA29">
        <f t="shared" si="32"/>
        <v>3.250027059128538E-2</v>
      </c>
      <c r="BB29">
        <f t="shared" si="33"/>
        <v>-1</v>
      </c>
      <c r="BC29" t="s">
        <v>348</v>
      </c>
      <c r="BD29">
        <v>177.24</v>
      </c>
      <c r="BE29">
        <f t="shared" si="34"/>
        <v>236.82299999999998</v>
      </c>
      <c r="BF29">
        <f t="shared" si="35"/>
        <v>0.58185454310408191</v>
      </c>
      <c r="BG29">
        <f t="shared" si="36"/>
        <v>2.3361712931618142</v>
      </c>
      <c r="BH29">
        <f t="shared" si="37"/>
        <v>0.33279123819693618</v>
      </c>
      <c r="BI29" t="e">
        <f t="shared" si="38"/>
        <v>#DIV/0!</v>
      </c>
      <c r="BJ29">
        <v>6200</v>
      </c>
      <c r="BK29">
        <v>300</v>
      </c>
      <c r="BL29">
        <v>300</v>
      </c>
      <c r="BM29">
        <v>300</v>
      </c>
      <c r="BN29">
        <v>9877.68</v>
      </c>
      <c r="BO29">
        <v>378.32400000000001</v>
      </c>
      <c r="BP29">
        <v>-6.5705599999999996E-3</v>
      </c>
      <c r="BQ29">
        <v>2.2093500000000001</v>
      </c>
      <c r="BR29">
        <f t="shared" si="39"/>
        <v>2000.0235483870999</v>
      </c>
      <c r="BS29">
        <f t="shared" si="40"/>
        <v>1681.2167803219777</v>
      </c>
      <c r="BT29">
        <f t="shared" si="41"/>
        <v>0.8405984927916369</v>
      </c>
      <c r="BU29">
        <f t="shared" si="42"/>
        <v>0.19119698558327397</v>
      </c>
      <c r="BV29">
        <v>0.5</v>
      </c>
      <c r="BW29" t="s">
        <v>281</v>
      </c>
      <c r="BX29">
        <v>1597512364.0999999</v>
      </c>
      <c r="BY29">
        <v>1176.2812903225799</v>
      </c>
      <c r="BZ29">
        <v>1200.02870967742</v>
      </c>
      <c r="CA29">
        <v>18.847112903225799</v>
      </c>
      <c r="CB29">
        <v>16.933925806451601</v>
      </c>
      <c r="CC29">
        <v>500.05258064516102</v>
      </c>
      <c r="CD29">
        <v>99.040161290322601</v>
      </c>
      <c r="CE29">
        <v>0.19994625806451599</v>
      </c>
      <c r="CF29">
        <v>26.137554838709701</v>
      </c>
      <c r="CG29">
        <v>26.9108612903226</v>
      </c>
      <c r="CH29">
        <v>999.9</v>
      </c>
      <c r="CI29">
        <v>10004.598387096799</v>
      </c>
      <c r="CJ29">
        <v>0</v>
      </c>
      <c r="CK29">
        <v>189.45938709677401</v>
      </c>
      <c r="CL29">
        <v>2000.0235483870999</v>
      </c>
      <c r="CM29">
        <v>0.98000132258064498</v>
      </c>
      <c r="CN29">
        <v>1.9998864516128999E-2</v>
      </c>
      <c r="CO29">
        <v>0</v>
      </c>
      <c r="CP29">
        <v>276.28848387096798</v>
      </c>
      <c r="CQ29">
        <v>5.00054</v>
      </c>
      <c r="CR29">
        <v>7785.55064516129</v>
      </c>
      <c r="CS29">
        <v>18703.870967741899</v>
      </c>
      <c r="CT29">
        <v>46.832354838709698</v>
      </c>
      <c r="CU29">
        <v>48.888935483871002</v>
      </c>
      <c r="CV29">
        <v>47.338419354838699</v>
      </c>
      <c r="CW29">
        <v>47.880741935483897</v>
      </c>
      <c r="CX29">
        <v>48.408999999999999</v>
      </c>
      <c r="CY29">
        <v>1955.1235483871001</v>
      </c>
      <c r="CZ29">
        <v>39.9</v>
      </c>
      <c r="DA29">
        <v>0</v>
      </c>
      <c r="DB29">
        <v>150.69999980926499</v>
      </c>
      <c r="DC29">
        <v>276.26646153846201</v>
      </c>
      <c r="DD29">
        <v>-1.6910085488341799</v>
      </c>
      <c r="DE29">
        <v>-42.226666740087197</v>
      </c>
      <c r="DF29">
        <v>7785.2257692307703</v>
      </c>
      <c r="DG29">
        <v>15</v>
      </c>
      <c r="DH29">
        <v>1597512399.5999999</v>
      </c>
      <c r="DI29" t="s">
        <v>349</v>
      </c>
      <c r="DJ29">
        <v>59</v>
      </c>
      <c r="DK29">
        <v>0.04</v>
      </c>
      <c r="DL29">
        <v>0.11600000000000001</v>
      </c>
      <c r="DM29">
        <v>1200</v>
      </c>
      <c r="DN29">
        <v>17</v>
      </c>
      <c r="DO29">
        <v>0.23</v>
      </c>
      <c r="DP29">
        <v>0.04</v>
      </c>
      <c r="DQ29">
        <v>1176.2859259259301</v>
      </c>
      <c r="DR29">
        <v>0.25998856489418698</v>
      </c>
      <c r="DS29">
        <v>6.1147015266438502E-2</v>
      </c>
      <c r="DT29">
        <v>1</v>
      </c>
      <c r="DU29">
        <v>18.903357407407398</v>
      </c>
      <c r="DV29">
        <v>-0.50567638650658497</v>
      </c>
      <c r="DW29">
        <v>6.60971524064497E-2</v>
      </c>
      <c r="DX29">
        <v>0</v>
      </c>
      <c r="DY29">
        <v>1</v>
      </c>
      <c r="DZ29">
        <v>2</v>
      </c>
      <c r="EA29" t="s">
        <v>293</v>
      </c>
      <c r="EB29">
        <v>1.86673</v>
      </c>
      <c r="EC29">
        <v>1.8632200000000001</v>
      </c>
      <c r="ED29">
        <v>1.8688899999999999</v>
      </c>
      <c r="EE29">
        <v>1.86677</v>
      </c>
      <c r="EF29">
        <v>1.8714900000000001</v>
      </c>
      <c r="EG29">
        <v>1.86399</v>
      </c>
      <c r="EH29">
        <v>1.86554</v>
      </c>
      <c r="EI29">
        <v>1.86541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0.04</v>
      </c>
      <c r="EX29">
        <v>0.11600000000000001</v>
      </c>
      <c r="EY29">
        <v>2</v>
      </c>
      <c r="EZ29">
        <v>333.47899999999998</v>
      </c>
      <c r="FA29">
        <v>470.66399999999999</v>
      </c>
      <c r="FB29">
        <v>21.5444</v>
      </c>
      <c r="FC29">
        <v>34.735700000000001</v>
      </c>
      <c r="FD29">
        <v>30.0002</v>
      </c>
      <c r="FE29">
        <v>34.746600000000001</v>
      </c>
      <c r="FF29">
        <v>34.7515</v>
      </c>
      <c r="FG29">
        <v>53.296500000000002</v>
      </c>
      <c r="FH29">
        <v>53.498399999999997</v>
      </c>
      <c r="FI29">
        <v>0</v>
      </c>
      <c r="FJ29">
        <v>21.583200000000001</v>
      </c>
      <c r="FK29">
        <v>1200</v>
      </c>
      <c r="FL29">
        <v>17.002800000000001</v>
      </c>
      <c r="FM29">
        <v>100.52200000000001</v>
      </c>
      <c r="FN29">
        <v>101.10899999999999</v>
      </c>
    </row>
    <row r="30" spans="1:170" x14ac:dyDescent="0.25">
      <c r="A30">
        <v>14</v>
      </c>
      <c r="B30">
        <v>1597512509.5999999</v>
      </c>
      <c r="C30">
        <v>1770.5999999046301</v>
      </c>
      <c r="D30" t="s">
        <v>350</v>
      </c>
      <c r="E30" t="s">
        <v>351</v>
      </c>
      <c r="G30">
        <v>1597512501.5999999</v>
      </c>
      <c r="H30">
        <f t="shared" si="0"/>
        <v>4.0614308172347941E-3</v>
      </c>
      <c r="I30">
        <f t="shared" si="1"/>
        <v>54.612861590371971</v>
      </c>
      <c r="J30">
        <f t="shared" si="2"/>
        <v>1575.60358064516</v>
      </c>
      <c r="K30">
        <f t="shared" si="3"/>
        <v>1166.400538560008</v>
      </c>
      <c r="L30">
        <f t="shared" si="4"/>
        <v>115.75076164027992</v>
      </c>
      <c r="M30">
        <f t="shared" si="5"/>
        <v>156.3590794702352</v>
      </c>
      <c r="N30">
        <f t="shared" si="6"/>
        <v>0.24334895482375327</v>
      </c>
      <c r="O30">
        <f t="shared" si="7"/>
        <v>3.379581289454836</v>
      </c>
      <c r="P30">
        <f t="shared" si="8"/>
        <v>0.23401658633524627</v>
      </c>
      <c r="Q30">
        <f t="shared" si="9"/>
        <v>0.14706902299424032</v>
      </c>
      <c r="R30">
        <f t="shared" si="10"/>
        <v>321.44234490221913</v>
      </c>
      <c r="S30">
        <f t="shared" si="11"/>
        <v>26.828519491556644</v>
      </c>
      <c r="T30">
        <f t="shared" si="12"/>
        <v>26.943693548387099</v>
      </c>
      <c r="U30">
        <f t="shared" si="13"/>
        <v>3.5673404203828336</v>
      </c>
      <c r="V30">
        <f t="shared" si="14"/>
        <v>55.773620463025495</v>
      </c>
      <c r="W30">
        <f t="shared" si="15"/>
        <v>1.8924192713017582</v>
      </c>
      <c r="X30">
        <f t="shared" si="16"/>
        <v>3.3930364491154319</v>
      </c>
      <c r="Y30">
        <f t="shared" si="17"/>
        <v>1.6749211490810754</v>
      </c>
      <c r="Z30">
        <f t="shared" si="18"/>
        <v>-179.10909904005442</v>
      </c>
      <c r="AA30">
        <f t="shared" si="19"/>
        <v>-154.84706657174524</v>
      </c>
      <c r="AB30">
        <f t="shared" si="20"/>
        <v>-9.8406602783137913</v>
      </c>
      <c r="AC30">
        <f t="shared" si="21"/>
        <v>-22.354480987894334</v>
      </c>
      <c r="AD30">
        <v>-4.11316488357664E-2</v>
      </c>
      <c r="AE30">
        <v>4.61738791484907E-2</v>
      </c>
      <c r="AF30">
        <v>3.4517601265009201</v>
      </c>
      <c r="AG30">
        <v>151</v>
      </c>
      <c r="AH30">
        <v>30</v>
      </c>
      <c r="AI30">
        <f t="shared" si="22"/>
        <v>1</v>
      </c>
      <c r="AJ30">
        <f t="shared" si="23"/>
        <v>0</v>
      </c>
      <c r="AK30">
        <f t="shared" si="24"/>
        <v>52604.946126430616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274.69049999999999</v>
      </c>
      <c r="AT30">
        <v>399.09699999999998</v>
      </c>
      <c r="AU30">
        <f t="shared" si="27"/>
        <v>0.31171995780474426</v>
      </c>
      <c r="AV30">
        <v>0.5</v>
      </c>
      <c r="AW30">
        <f t="shared" si="28"/>
        <v>1681.2102770961649</v>
      </c>
      <c r="AX30">
        <f t="shared" si="29"/>
        <v>54.612861590371971</v>
      </c>
      <c r="AY30">
        <f t="shared" si="30"/>
        <v>262.03339831865947</v>
      </c>
      <c r="AZ30">
        <f t="shared" si="31"/>
        <v>0.56421621811238876</v>
      </c>
      <c r="BA30">
        <f t="shared" si="32"/>
        <v>3.307906354607118E-2</v>
      </c>
      <c r="BB30">
        <f t="shared" si="33"/>
        <v>-1</v>
      </c>
      <c r="BC30" t="s">
        <v>353</v>
      </c>
      <c r="BD30">
        <v>173.92</v>
      </c>
      <c r="BE30">
        <f t="shared" si="34"/>
        <v>225.17699999999999</v>
      </c>
      <c r="BF30">
        <f t="shared" si="35"/>
        <v>0.55248315769372536</v>
      </c>
      <c r="BG30">
        <f t="shared" si="36"/>
        <v>2.2947159613615455</v>
      </c>
      <c r="BH30">
        <f t="shared" si="37"/>
        <v>0.31171995780474421</v>
      </c>
      <c r="BI30" t="e">
        <f t="shared" si="38"/>
        <v>#DIV/0!</v>
      </c>
      <c r="BJ30">
        <v>6202</v>
      </c>
      <c r="BK30">
        <v>300</v>
      </c>
      <c r="BL30">
        <v>300</v>
      </c>
      <c r="BM30">
        <v>300</v>
      </c>
      <c r="BN30">
        <v>9877.5</v>
      </c>
      <c r="BO30">
        <v>366.13799999999998</v>
      </c>
      <c r="BP30">
        <v>-6.5705800000000003E-3</v>
      </c>
      <c r="BQ30">
        <v>1.75278</v>
      </c>
      <c r="BR30">
        <f t="shared" si="39"/>
        <v>2000.0158064516099</v>
      </c>
      <c r="BS30">
        <f t="shared" si="40"/>
        <v>1681.2102770961649</v>
      </c>
      <c r="BT30">
        <f t="shared" si="41"/>
        <v>0.84059849510836426</v>
      </c>
      <c r="BU30">
        <f t="shared" si="42"/>
        <v>0.19119699021672867</v>
      </c>
      <c r="BV30">
        <v>0.5</v>
      </c>
      <c r="BW30" t="s">
        <v>281</v>
      </c>
      <c r="BX30">
        <v>1597512501.5999999</v>
      </c>
      <c r="BY30">
        <v>1575.60358064516</v>
      </c>
      <c r="BZ30">
        <v>1600.0058064516099</v>
      </c>
      <c r="CA30">
        <v>19.069583870967701</v>
      </c>
      <c r="CB30">
        <v>17.476161290322601</v>
      </c>
      <c r="CC30">
        <v>500.05329032258101</v>
      </c>
      <c r="CD30">
        <v>99.037603225806507</v>
      </c>
      <c r="CE30">
        <v>0.19997238709677401</v>
      </c>
      <c r="CF30">
        <v>26.093819354838701</v>
      </c>
      <c r="CG30">
        <v>26.943693548387099</v>
      </c>
      <c r="CH30">
        <v>999.9</v>
      </c>
      <c r="CI30">
        <v>10015.485806451599</v>
      </c>
      <c r="CJ30">
        <v>0</v>
      </c>
      <c r="CK30">
        <v>202.39938709677401</v>
      </c>
      <c r="CL30">
        <v>2000.0158064516099</v>
      </c>
      <c r="CM30">
        <v>0.98000141935483898</v>
      </c>
      <c r="CN30">
        <v>1.99987838709677E-2</v>
      </c>
      <c r="CO30">
        <v>0</v>
      </c>
      <c r="CP30">
        <v>274.695870967742</v>
      </c>
      <c r="CQ30">
        <v>5.00054</v>
      </c>
      <c r="CR30">
        <v>7876.09967741936</v>
      </c>
      <c r="CS30">
        <v>18703.796774193499</v>
      </c>
      <c r="CT30">
        <v>46.846548387096803</v>
      </c>
      <c r="CU30">
        <v>48.902999999999999</v>
      </c>
      <c r="CV30">
        <v>47.356645161290302</v>
      </c>
      <c r="CW30">
        <v>47.878806451612903</v>
      </c>
      <c r="CX30">
        <v>48.423064516129003</v>
      </c>
      <c r="CY30">
        <v>1955.1158064516101</v>
      </c>
      <c r="CZ30">
        <v>39.9</v>
      </c>
      <c r="DA30">
        <v>0</v>
      </c>
      <c r="DB30">
        <v>137.09999990463299</v>
      </c>
      <c r="DC30">
        <v>274.69049999999999</v>
      </c>
      <c r="DD30">
        <v>0.73726494990931002</v>
      </c>
      <c r="DE30">
        <v>-90.408204955134906</v>
      </c>
      <c r="DF30">
        <v>7875.32846153846</v>
      </c>
      <c r="DG30">
        <v>15</v>
      </c>
      <c r="DH30">
        <v>1597512549.5999999</v>
      </c>
      <c r="DI30" t="s">
        <v>354</v>
      </c>
      <c r="DJ30">
        <v>60</v>
      </c>
      <c r="DK30">
        <v>-0.309</v>
      </c>
      <c r="DL30">
        <v>0.12</v>
      </c>
      <c r="DM30">
        <v>1600</v>
      </c>
      <c r="DN30">
        <v>17</v>
      </c>
      <c r="DO30">
        <v>0.32</v>
      </c>
      <c r="DP30">
        <v>0.05</v>
      </c>
      <c r="DQ30">
        <v>1575.91962962963</v>
      </c>
      <c r="DR30">
        <v>0.25898227558600001</v>
      </c>
      <c r="DS30">
        <v>6.9494549825308297E-2</v>
      </c>
      <c r="DT30">
        <v>1</v>
      </c>
      <c r="DU30">
        <v>19.0567833333333</v>
      </c>
      <c r="DV30">
        <v>9.6896054888518102E-2</v>
      </c>
      <c r="DW30">
        <v>2.19545300311552E-2</v>
      </c>
      <c r="DX30">
        <v>1</v>
      </c>
      <c r="DY30">
        <v>2</v>
      </c>
      <c r="DZ30">
        <v>2</v>
      </c>
      <c r="EA30" t="s">
        <v>283</v>
      </c>
      <c r="EB30">
        <v>1.86676</v>
      </c>
      <c r="EC30">
        <v>1.8632500000000001</v>
      </c>
      <c r="ED30">
        <v>1.8689</v>
      </c>
      <c r="EE30">
        <v>1.8668499999999999</v>
      </c>
      <c r="EF30">
        <v>1.8714999999999999</v>
      </c>
      <c r="EG30">
        <v>1.86398</v>
      </c>
      <c r="EH30">
        <v>1.86554</v>
      </c>
      <c r="EI30">
        <v>1.8654200000000001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-0.309</v>
      </c>
      <c r="EX30">
        <v>0.12</v>
      </c>
      <c r="EY30">
        <v>2</v>
      </c>
      <c r="EZ30">
        <v>333.834</v>
      </c>
      <c r="FA30">
        <v>471.077</v>
      </c>
      <c r="FB30">
        <v>20.893599999999999</v>
      </c>
      <c r="FC30">
        <v>34.760199999999998</v>
      </c>
      <c r="FD30">
        <v>29.994499999999999</v>
      </c>
      <c r="FE30">
        <v>34.756100000000004</v>
      </c>
      <c r="FF30">
        <v>34.760100000000001</v>
      </c>
      <c r="FG30">
        <v>67.034000000000006</v>
      </c>
      <c r="FH30">
        <v>52.908999999999999</v>
      </c>
      <c r="FI30">
        <v>0</v>
      </c>
      <c r="FJ30">
        <v>20.985700000000001</v>
      </c>
      <c r="FK30">
        <v>1600</v>
      </c>
      <c r="FL30">
        <v>17.030200000000001</v>
      </c>
      <c r="FM30">
        <v>100.52500000000001</v>
      </c>
      <c r="FN30">
        <v>101.10899999999999</v>
      </c>
    </row>
    <row r="31" spans="1:170" x14ac:dyDescent="0.25">
      <c r="A31">
        <v>15</v>
      </c>
      <c r="B31">
        <v>1597512650.0999999</v>
      </c>
      <c r="C31">
        <v>1911.0999999046301</v>
      </c>
      <c r="D31" t="s">
        <v>355</v>
      </c>
      <c r="E31" t="s">
        <v>356</v>
      </c>
      <c r="G31">
        <v>1597512642.0999999</v>
      </c>
      <c r="H31">
        <f t="shared" si="0"/>
        <v>4.0322898043119258E-3</v>
      </c>
      <c r="I31">
        <f t="shared" si="1"/>
        <v>54.191076006422051</v>
      </c>
      <c r="J31">
        <f t="shared" si="2"/>
        <v>1775.4847419354801</v>
      </c>
      <c r="K31">
        <f t="shared" si="3"/>
        <v>1356.1629980050648</v>
      </c>
      <c r="L31">
        <f t="shared" si="4"/>
        <v>134.59460776391859</v>
      </c>
      <c r="M31">
        <f t="shared" si="5"/>
        <v>176.21087788352685</v>
      </c>
      <c r="N31">
        <f t="shared" si="6"/>
        <v>0.23860953535635318</v>
      </c>
      <c r="O31">
        <f t="shared" si="7"/>
        <v>3.3759980729481871</v>
      </c>
      <c r="P31">
        <f t="shared" si="8"/>
        <v>0.22962077943626805</v>
      </c>
      <c r="Q31">
        <f t="shared" si="9"/>
        <v>0.1442923781283614</v>
      </c>
      <c r="R31">
        <f t="shared" si="10"/>
        <v>321.441841158145</v>
      </c>
      <c r="S31">
        <f t="shared" si="11"/>
        <v>26.766514734388913</v>
      </c>
      <c r="T31">
        <f t="shared" si="12"/>
        <v>26.957280645161301</v>
      </c>
      <c r="U31">
        <f t="shared" si="13"/>
        <v>3.5701893609708373</v>
      </c>
      <c r="V31">
        <f t="shared" si="14"/>
        <v>55.492474605896803</v>
      </c>
      <c r="W31">
        <f t="shared" si="15"/>
        <v>1.8751661540747386</v>
      </c>
      <c r="X31">
        <f t="shared" si="16"/>
        <v>3.3791359412100856</v>
      </c>
      <c r="Y31">
        <f t="shared" si="17"/>
        <v>1.6950232068960986</v>
      </c>
      <c r="Z31">
        <f t="shared" si="18"/>
        <v>-177.82398037015594</v>
      </c>
      <c r="AA31">
        <f t="shared" si="19"/>
        <v>-169.78828009732788</v>
      </c>
      <c r="AB31">
        <f t="shared" si="20"/>
        <v>-10.798624543779063</v>
      </c>
      <c r="AC31">
        <f t="shared" si="21"/>
        <v>-36.969043853117881</v>
      </c>
      <c r="AD31">
        <v>-4.1076265966339898E-2</v>
      </c>
      <c r="AE31">
        <v>4.6111707025753602E-2</v>
      </c>
      <c r="AF31">
        <v>3.4480797227620399</v>
      </c>
      <c r="AG31">
        <v>151</v>
      </c>
      <c r="AH31">
        <v>30</v>
      </c>
      <c r="AI31">
        <f t="shared" si="22"/>
        <v>1</v>
      </c>
      <c r="AJ31">
        <f t="shared" si="23"/>
        <v>0</v>
      </c>
      <c r="AK31">
        <f t="shared" si="24"/>
        <v>52549.413346041678</v>
      </c>
      <c r="AL31">
        <v>0</v>
      </c>
      <c r="AM31">
        <v>0</v>
      </c>
      <c r="AN31">
        <v>0</v>
      </c>
      <c r="AO31">
        <f t="shared" si="25"/>
        <v>0</v>
      </c>
      <c r="AP31" t="e">
        <f t="shared" si="26"/>
        <v>#DIV/0!</v>
      </c>
      <c r="AQ31">
        <v>-1</v>
      </c>
      <c r="AR31" t="s">
        <v>357</v>
      </c>
      <c r="AS31">
        <v>272.31453846153801</v>
      </c>
      <c r="AT31">
        <v>393.18900000000002</v>
      </c>
      <c r="AU31">
        <f t="shared" si="27"/>
        <v>0.3074207608515549</v>
      </c>
      <c r="AV31">
        <v>0.5</v>
      </c>
      <c r="AW31">
        <f t="shared" si="28"/>
        <v>1681.2100080586911</v>
      </c>
      <c r="AX31">
        <f t="shared" si="29"/>
        <v>54.191076006422051</v>
      </c>
      <c r="AY31">
        <f t="shared" si="30"/>
        <v>258.41942991432575</v>
      </c>
      <c r="AZ31">
        <f t="shared" si="31"/>
        <v>0.55130992983018345</v>
      </c>
      <c r="BA31">
        <f t="shared" si="32"/>
        <v>3.2828186688081698E-2</v>
      </c>
      <c r="BB31">
        <f t="shared" si="33"/>
        <v>-1</v>
      </c>
      <c r="BC31" t="s">
        <v>358</v>
      </c>
      <c r="BD31">
        <v>176.42</v>
      </c>
      <c r="BE31">
        <f t="shared" si="34"/>
        <v>216.76900000000003</v>
      </c>
      <c r="BF31">
        <f t="shared" si="35"/>
        <v>0.55761876254659104</v>
      </c>
      <c r="BG31">
        <f t="shared" si="36"/>
        <v>2.2287098968370938</v>
      </c>
      <c r="BH31">
        <f t="shared" si="37"/>
        <v>0.3074207608515549</v>
      </c>
      <c r="BI31" t="e">
        <f t="shared" si="38"/>
        <v>#DIV/0!</v>
      </c>
      <c r="BJ31">
        <v>6204</v>
      </c>
      <c r="BK31">
        <v>300</v>
      </c>
      <c r="BL31">
        <v>300</v>
      </c>
      <c r="BM31">
        <v>300</v>
      </c>
      <c r="BN31">
        <v>9876.76</v>
      </c>
      <c r="BO31">
        <v>359.40300000000002</v>
      </c>
      <c r="BP31">
        <v>-6.5699299999999999E-3</v>
      </c>
      <c r="BQ31">
        <v>1.2684</v>
      </c>
      <c r="BR31">
        <f t="shared" si="39"/>
        <v>2000.0158064516099</v>
      </c>
      <c r="BS31">
        <f t="shared" si="40"/>
        <v>1681.2100080586911</v>
      </c>
      <c r="BT31">
        <f t="shared" si="41"/>
        <v>0.84059836059069049</v>
      </c>
      <c r="BU31">
        <f t="shared" si="42"/>
        <v>0.19119672118138109</v>
      </c>
      <c r="BV31">
        <v>0.5</v>
      </c>
      <c r="BW31" t="s">
        <v>281</v>
      </c>
      <c r="BX31">
        <v>1597512642.0999999</v>
      </c>
      <c r="BY31">
        <v>1775.4847419354801</v>
      </c>
      <c r="BZ31">
        <v>1800.02193548387</v>
      </c>
      <c r="CA31">
        <v>18.894003225806401</v>
      </c>
      <c r="CB31">
        <v>17.311751612903201</v>
      </c>
      <c r="CC31">
        <v>500.06</v>
      </c>
      <c r="CD31">
        <v>99.046641935483905</v>
      </c>
      <c r="CE31">
        <v>0.19998841935483899</v>
      </c>
      <c r="CF31">
        <v>26.024412903225802</v>
      </c>
      <c r="CG31">
        <v>26.957280645161301</v>
      </c>
      <c r="CH31">
        <v>999.9</v>
      </c>
      <c r="CI31">
        <v>10001.087419354801</v>
      </c>
      <c r="CJ31">
        <v>0</v>
      </c>
      <c r="CK31">
        <v>199.92706451612901</v>
      </c>
      <c r="CL31">
        <v>2000.0158064516099</v>
      </c>
      <c r="CM31">
        <v>0.98000290322580697</v>
      </c>
      <c r="CN31">
        <v>1.9997125806451601E-2</v>
      </c>
      <c r="CO31">
        <v>0</v>
      </c>
      <c r="CP31">
        <v>272.346096774194</v>
      </c>
      <c r="CQ31">
        <v>5.00054</v>
      </c>
      <c r="CR31">
        <v>7792.9709677419396</v>
      </c>
      <c r="CS31">
        <v>18703.787096774198</v>
      </c>
      <c r="CT31">
        <v>47.056096774193499</v>
      </c>
      <c r="CU31">
        <v>49.149000000000001</v>
      </c>
      <c r="CV31">
        <v>47.527999999999999</v>
      </c>
      <c r="CW31">
        <v>48.124870967741899</v>
      </c>
      <c r="CX31">
        <v>48.570129032258002</v>
      </c>
      <c r="CY31">
        <v>1955.12161290323</v>
      </c>
      <c r="CZ31">
        <v>39.890967741935498</v>
      </c>
      <c r="DA31">
        <v>0</v>
      </c>
      <c r="DB31">
        <v>140</v>
      </c>
      <c r="DC31">
        <v>272.31453846153801</v>
      </c>
      <c r="DD31">
        <v>-0.99958975440309805</v>
      </c>
      <c r="DE31">
        <v>-35.176752125463999</v>
      </c>
      <c r="DF31">
        <v>7792.4661538461496</v>
      </c>
      <c r="DG31">
        <v>15</v>
      </c>
      <c r="DH31">
        <v>1597512676.5999999</v>
      </c>
      <c r="DI31" t="s">
        <v>359</v>
      </c>
      <c r="DJ31">
        <v>61</v>
      </c>
      <c r="DK31">
        <v>-2.1999999999999999E-2</v>
      </c>
      <c r="DL31">
        <v>0.11799999999999999</v>
      </c>
      <c r="DM31">
        <v>1800</v>
      </c>
      <c r="DN31">
        <v>17</v>
      </c>
      <c r="DO31">
        <v>0.33</v>
      </c>
      <c r="DP31">
        <v>0.06</v>
      </c>
      <c r="DQ31">
        <v>1775.15796296296</v>
      </c>
      <c r="DR31">
        <v>0.29571183533474599</v>
      </c>
      <c r="DS31">
        <v>6.11428088388562E-2</v>
      </c>
      <c r="DT31">
        <v>1</v>
      </c>
      <c r="DU31">
        <v>18.901690740740701</v>
      </c>
      <c r="DV31">
        <v>-3.6203087478579497E-2</v>
      </c>
      <c r="DW31">
        <v>1.3669772933150399E-2</v>
      </c>
      <c r="DX31">
        <v>1</v>
      </c>
      <c r="DY31">
        <v>2</v>
      </c>
      <c r="DZ31">
        <v>2</v>
      </c>
      <c r="EA31" t="s">
        <v>283</v>
      </c>
      <c r="EB31">
        <v>1.86676</v>
      </c>
      <c r="EC31">
        <v>1.8632500000000001</v>
      </c>
      <c r="ED31">
        <v>1.8689</v>
      </c>
      <c r="EE31">
        <v>1.86686</v>
      </c>
      <c r="EF31">
        <v>1.87151</v>
      </c>
      <c r="EG31">
        <v>1.8640000000000001</v>
      </c>
      <c r="EH31">
        <v>1.86554</v>
      </c>
      <c r="EI31">
        <v>1.86544</v>
      </c>
      <c r="EJ31" t="s">
        <v>284</v>
      </c>
      <c r="EK31" t="s">
        <v>19</v>
      </c>
      <c r="EL31" t="s">
        <v>19</v>
      </c>
      <c r="EM31" t="s">
        <v>19</v>
      </c>
      <c r="EN31" t="s">
        <v>285</v>
      </c>
      <c r="EO31" t="s">
        <v>286</v>
      </c>
      <c r="EP31" t="s">
        <v>287</v>
      </c>
      <c r="EQ31" t="s">
        <v>287</v>
      </c>
      <c r="ER31" t="s">
        <v>287</v>
      </c>
      <c r="ES31" t="s">
        <v>287</v>
      </c>
      <c r="ET31">
        <v>0</v>
      </c>
      <c r="EU31">
        <v>100</v>
      </c>
      <c r="EV31">
        <v>100</v>
      </c>
      <c r="EW31">
        <v>-2.1999999999999999E-2</v>
      </c>
      <c r="EX31">
        <v>0.11799999999999999</v>
      </c>
      <c r="EY31">
        <v>2</v>
      </c>
      <c r="EZ31">
        <v>333.45499999999998</v>
      </c>
      <c r="FA31">
        <v>470.43599999999998</v>
      </c>
      <c r="FB31">
        <v>20.529399999999999</v>
      </c>
      <c r="FC31">
        <v>34.901400000000002</v>
      </c>
      <c r="FD31">
        <v>29.997199999999999</v>
      </c>
      <c r="FE31">
        <v>34.8429</v>
      </c>
      <c r="FF31">
        <v>34.841999999999999</v>
      </c>
      <c r="FG31">
        <v>73.501199999999997</v>
      </c>
      <c r="FH31">
        <v>53.373199999999997</v>
      </c>
      <c r="FI31">
        <v>0</v>
      </c>
      <c r="FJ31">
        <v>20.7331</v>
      </c>
      <c r="FK31">
        <v>1800</v>
      </c>
      <c r="FL31">
        <v>17.073899999999998</v>
      </c>
      <c r="FM31">
        <v>100.5</v>
      </c>
      <c r="FN31">
        <v>101.077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2020-08-15T12:31:25Z</dcterms:created>
  <dcterms:modified xsi:type="dcterms:W3CDTF">2024-11-20T09:05:39Z</dcterms:modified>
</cp:coreProperties>
</file>