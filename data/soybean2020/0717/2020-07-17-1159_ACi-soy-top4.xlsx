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ELL\Desktop\博士学习资料\past test data\2020_soybean_CO2_curves\0717\"/>
    </mc:Choice>
  </mc:AlternateContent>
  <bookViews>
    <workbookView xWindow="240" yWindow="12" windowWidth="16092" windowHeight="9660"/>
  </bookViews>
  <sheets>
    <sheet name="Measurements" sheetId="1" r:id="rId1"/>
    <sheet name="Remarks" sheetId="2" r:id="rId2"/>
  </sheets>
  <calcPr calcId="162913"/>
</workbook>
</file>

<file path=xl/calcChain.xml><?xml version="1.0" encoding="utf-8"?>
<calcChain xmlns="http://schemas.openxmlformats.org/spreadsheetml/2006/main">
  <c r="BU30" i="1" l="1"/>
  <c r="BT30" i="1"/>
  <c r="BR30" i="1"/>
  <c r="BS30" i="1" s="1"/>
  <c r="BI30" i="1"/>
  <c r="BH30" i="1"/>
  <c r="BG30" i="1"/>
  <c r="BF30" i="1"/>
  <c r="BE30" i="1"/>
  <c r="BB30" i="1"/>
  <c r="AZ30" i="1"/>
  <c r="AU30" i="1"/>
  <c r="AO30" i="1"/>
  <c r="AP30" i="1" s="1"/>
  <c r="AK30" i="1"/>
  <c r="AI30" i="1"/>
  <c r="J30" i="1" s="1"/>
  <c r="X30" i="1"/>
  <c r="V30" i="1" s="1"/>
  <c r="W30" i="1"/>
  <c r="O30" i="1"/>
  <c r="BU29" i="1"/>
  <c r="BT29" i="1"/>
  <c r="BR29" i="1"/>
  <c r="BS29" i="1" s="1"/>
  <c r="BI29" i="1"/>
  <c r="BH29" i="1"/>
  <c r="BG29" i="1"/>
  <c r="BF29" i="1"/>
  <c r="BE29" i="1"/>
  <c r="BB29" i="1"/>
  <c r="AZ29" i="1"/>
  <c r="AU29" i="1"/>
  <c r="AO29" i="1"/>
  <c r="AP29" i="1" s="1"/>
  <c r="AK29" i="1"/>
  <c r="AI29" i="1" s="1"/>
  <c r="X29" i="1"/>
  <c r="W29" i="1"/>
  <c r="V29" i="1"/>
  <c r="O29" i="1"/>
  <c r="BU28" i="1"/>
  <c r="BT28" i="1"/>
  <c r="BR28" i="1"/>
  <c r="BS28" i="1" s="1"/>
  <c r="BI28" i="1"/>
  <c r="BH28" i="1"/>
  <c r="BG28" i="1"/>
  <c r="BF28" i="1"/>
  <c r="BE28" i="1"/>
  <c r="AZ28" i="1" s="1"/>
  <c r="BB28" i="1"/>
  <c r="AU28" i="1"/>
  <c r="AO28" i="1"/>
  <c r="AP28" i="1" s="1"/>
  <c r="AK28" i="1"/>
  <c r="AI28" i="1"/>
  <c r="I28" i="1" s="1"/>
  <c r="AX28" i="1" s="1"/>
  <c r="X28" i="1"/>
  <c r="W28" i="1"/>
  <c r="V28" i="1"/>
  <c r="O28" i="1"/>
  <c r="BU27" i="1"/>
  <c r="BT27" i="1"/>
  <c r="BR27" i="1"/>
  <c r="BS27" i="1" s="1"/>
  <c r="BI27" i="1"/>
  <c r="BH27" i="1"/>
  <c r="BG27" i="1"/>
  <c r="BF27" i="1"/>
  <c r="BE27" i="1"/>
  <c r="BB27" i="1"/>
  <c r="AZ27" i="1"/>
  <c r="AU27" i="1"/>
  <c r="AP27" i="1"/>
  <c r="AO27" i="1"/>
  <c r="AK27" i="1"/>
  <c r="AI27" i="1"/>
  <c r="J27" i="1" s="1"/>
  <c r="X27" i="1"/>
  <c r="W27" i="1"/>
  <c r="V27" i="1"/>
  <c r="O27" i="1"/>
  <c r="M27" i="1"/>
  <c r="BU26" i="1"/>
  <c r="BT26" i="1"/>
  <c r="BR26" i="1"/>
  <c r="BS26" i="1" s="1"/>
  <c r="BI26" i="1"/>
  <c r="BH26" i="1"/>
  <c r="BG26" i="1"/>
  <c r="BF26" i="1"/>
  <c r="BE26" i="1"/>
  <c r="BB26" i="1"/>
  <c r="AZ26" i="1"/>
  <c r="AU26" i="1"/>
  <c r="AP26" i="1"/>
  <c r="AO26" i="1"/>
  <c r="AK26" i="1"/>
  <c r="AI26" i="1" s="1"/>
  <c r="X26" i="1"/>
  <c r="W26" i="1"/>
  <c r="V26" i="1" s="1"/>
  <c r="O26" i="1"/>
  <c r="BU25" i="1"/>
  <c r="R25" i="1" s="1"/>
  <c r="BT25" i="1"/>
  <c r="BS25" i="1"/>
  <c r="BR25" i="1"/>
  <c r="BI25" i="1"/>
  <c r="BH25" i="1"/>
  <c r="BG25" i="1"/>
  <c r="BF25" i="1"/>
  <c r="BE25" i="1"/>
  <c r="BB25" i="1"/>
  <c r="AZ25" i="1"/>
  <c r="AW25" i="1"/>
  <c r="AU25" i="1"/>
  <c r="AY25" i="1" s="1"/>
  <c r="AO25" i="1"/>
  <c r="AP25" i="1" s="1"/>
  <c r="AK25" i="1"/>
  <c r="AI25" i="1"/>
  <c r="M25" i="1" s="1"/>
  <c r="X25" i="1"/>
  <c r="W25" i="1"/>
  <c r="V25" i="1" s="1"/>
  <c r="O25" i="1"/>
  <c r="BU24" i="1"/>
  <c r="BT24" i="1"/>
  <c r="BS24" i="1"/>
  <c r="R24" i="1" s="1"/>
  <c r="BR24" i="1"/>
  <c r="BI24" i="1"/>
  <c r="BH24" i="1"/>
  <c r="BG24" i="1"/>
  <c r="BF24" i="1"/>
  <c r="BE24" i="1"/>
  <c r="BB24" i="1"/>
  <c r="AZ24" i="1"/>
  <c r="AU24" i="1"/>
  <c r="AO24" i="1"/>
  <c r="AP24" i="1" s="1"/>
  <c r="AK24" i="1"/>
  <c r="AJ24" i="1"/>
  <c r="AI24" i="1"/>
  <c r="J24" i="1" s="1"/>
  <c r="X24" i="1"/>
  <c r="W24" i="1"/>
  <c r="V24" i="1"/>
  <c r="O24" i="1"/>
  <c r="BU23" i="1"/>
  <c r="BT23" i="1"/>
  <c r="BR23" i="1"/>
  <c r="BS23" i="1" s="1"/>
  <c r="BI23" i="1"/>
  <c r="BH23" i="1"/>
  <c r="BG23" i="1"/>
  <c r="BF23" i="1"/>
  <c r="BE23" i="1"/>
  <c r="AZ23" i="1" s="1"/>
  <c r="BB23" i="1"/>
  <c r="AU23" i="1"/>
  <c r="AO23" i="1"/>
  <c r="AP23" i="1" s="1"/>
  <c r="AK23" i="1"/>
  <c r="AI23" i="1" s="1"/>
  <c r="X23" i="1"/>
  <c r="W23" i="1"/>
  <c r="V23" i="1"/>
  <c r="O23" i="1"/>
  <c r="BU22" i="1"/>
  <c r="BT22" i="1"/>
  <c r="BR22" i="1"/>
  <c r="BS22" i="1" s="1"/>
  <c r="BI22" i="1"/>
  <c r="BH22" i="1"/>
  <c r="BG22" i="1"/>
  <c r="BF22" i="1"/>
  <c r="BE22" i="1"/>
  <c r="BB22" i="1"/>
  <c r="AZ22" i="1"/>
  <c r="AU22" i="1"/>
  <c r="AO22" i="1"/>
  <c r="AP22" i="1" s="1"/>
  <c r="AK22" i="1"/>
  <c r="AI22" i="1"/>
  <c r="J22" i="1" s="1"/>
  <c r="X22" i="1"/>
  <c r="W22" i="1"/>
  <c r="V22" i="1"/>
  <c r="O22" i="1"/>
  <c r="M22" i="1"/>
  <c r="BU21" i="1"/>
  <c r="BT21" i="1"/>
  <c r="BR21" i="1"/>
  <c r="BS21" i="1" s="1"/>
  <c r="BI21" i="1"/>
  <c r="BH21" i="1"/>
  <c r="BG21" i="1"/>
  <c r="BF21" i="1"/>
  <c r="BE21" i="1"/>
  <c r="BB21" i="1"/>
  <c r="AZ21" i="1"/>
  <c r="AU21" i="1"/>
  <c r="AO21" i="1"/>
  <c r="AP21" i="1" s="1"/>
  <c r="AK21" i="1"/>
  <c r="AI21" i="1"/>
  <c r="AJ21" i="1" s="1"/>
  <c r="X21" i="1"/>
  <c r="W21" i="1"/>
  <c r="V21" i="1"/>
  <c r="O21" i="1"/>
  <c r="BU20" i="1"/>
  <c r="BT20" i="1"/>
  <c r="BR20" i="1"/>
  <c r="BS20" i="1" s="1"/>
  <c r="BI20" i="1"/>
  <c r="BH20" i="1"/>
  <c r="BG20" i="1"/>
  <c r="BF20" i="1"/>
  <c r="BE20" i="1"/>
  <c r="BB20" i="1"/>
  <c r="AZ20" i="1"/>
  <c r="AU20" i="1"/>
  <c r="AO20" i="1"/>
  <c r="AP20" i="1" s="1"/>
  <c r="AK20" i="1"/>
  <c r="AI20" i="1"/>
  <c r="M20" i="1" s="1"/>
  <c r="X20" i="1"/>
  <c r="W20" i="1"/>
  <c r="V20" i="1" s="1"/>
  <c r="O20" i="1"/>
  <c r="BU19" i="1"/>
  <c r="BT19" i="1"/>
  <c r="BR19" i="1"/>
  <c r="BS19" i="1" s="1"/>
  <c r="BI19" i="1"/>
  <c r="BH19" i="1"/>
  <c r="BG19" i="1"/>
  <c r="BF19" i="1"/>
  <c r="BE19" i="1"/>
  <c r="BB19" i="1"/>
  <c r="AZ19" i="1"/>
  <c r="AU19" i="1"/>
  <c r="AO19" i="1"/>
  <c r="AP19" i="1" s="1"/>
  <c r="AK19" i="1"/>
  <c r="AI19" i="1"/>
  <c r="M19" i="1" s="1"/>
  <c r="X19" i="1"/>
  <c r="W19" i="1"/>
  <c r="V19" i="1" s="1"/>
  <c r="O19" i="1"/>
  <c r="BU18" i="1"/>
  <c r="BT18" i="1"/>
  <c r="BR18" i="1"/>
  <c r="BS18" i="1" s="1"/>
  <c r="BI18" i="1"/>
  <c r="BH18" i="1"/>
  <c r="BG18" i="1"/>
  <c r="BF18" i="1"/>
  <c r="BE18" i="1"/>
  <c r="BB18" i="1"/>
  <c r="AZ18" i="1"/>
  <c r="AU18" i="1"/>
  <c r="AO18" i="1"/>
  <c r="AP18" i="1" s="1"/>
  <c r="AK18" i="1"/>
  <c r="AI18" i="1" s="1"/>
  <c r="X18" i="1"/>
  <c r="W18" i="1"/>
  <c r="V18" i="1"/>
  <c r="O18" i="1"/>
  <c r="BU17" i="1"/>
  <c r="BT17" i="1"/>
  <c r="BR17" i="1"/>
  <c r="BS17" i="1" s="1"/>
  <c r="BI17" i="1"/>
  <c r="BH17" i="1"/>
  <c r="BG17" i="1"/>
  <c r="BF17" i="1"/>
  <c r="BE17" i="1"/>
  <c r="BB17" i="1"/>
  <c r="AZ17" i="1"/>
  <c r="AU17" i="1"/>
  <c r="AP17" i="1"/>
  <c r="AO17" i="1"/>
  <c r="AK17" i="1"/>
  <c r="AI17" i="1" s="1"/>
  <c r="X17" i="1"/>
  <c r="W17" i="1"/>
  <c r="V17" i="1"/>
  <c r="O17" i="1"/>
  <c r="R17" i="1" l="1"/>
  <c r="AW17" i="1"/>
  <c r="H18" i="1"/>
  <c r="M18" i="1"/>
  <c r="I18" i="1"/>
  <c r="AX18" i="1" s="1"/>
  <c r="AJ18" i="1"/>
  <c r="J18" i="1"/>
  <c r="J23" i="1"/>
  <c r="M23" i="1"/>
  <c r="H23" i="1"/>
  <c r="I23" i="1"/>
  <c r="AX23" i="1" s="1"/>
  <c r="BA23" i="1" s="1"/>
  <c r="AJ23" i="1"/>
  <c r="H26" i="1"/>
  <c r="J26" i="1"/>
  <c r="M26" i="1"/>
  <c r="AJ26" i="1"/>
  <c r="I26" i="1"/>
  <c r="AX26" i="1" s="1"/>
  <c r="BA26" i="1" s="1"/>
  <c r="AW23" i="1"/>
  <c r="AY23" i="1" s="1"/>
  <c r="R23" i="1"/>
  <c r="H29" i="1"/>
  <c r="I29" i="1"/>
  <c r="AX29" i="1" s="1"/>
  <c r="J29" i="1"/>
  <c r="AJ29" i="1"/>
  <c r="M29" i="1"/>
  <c r="AY21" i="1"/>
  <c r="AW30" i="1"/>
  <c r="R30" i="1"/>
  <c r="AY24" i="1"/>
  <c r="R29" i="1"/>
  <c r="AW29" i="1"/>
  <c r="AW20" i="1"/>
  <c r="AY20" i="1" s="1"/>
  <c r="R20" i="1"/>
  <c r="AY30" i="1"/>
  <c r="AY17" i="1"/>
  <c r="R22" i="1"/>
  <c r="AW22" i="1"/>
  <c r="AY22" i="1" s="1"/>
  <c r="AW26" i="1"/>
  <c r="AY26" i="1" s="1"/>
  <c r="R26" i="1"/>
  <c r="R21" i="1"/>
  <c r="AW21" i="1"/>
  <c r="R28" i="1"/>
  <c r="AW28" i="1"/>
  <c r="AY28" i="1" s="1"/>
  <c r="R19" i="1"/>
  <c r="AW19" i="1"/>
  <c r="AY19" i="1" s="1"/>
  <c r="AW27" i="1"/>
  <c r="AY27" i="1" s="1"/>
  <c r="R27" i="1"/>
  <c r="I17" i="1"/>
  <c r="AX17" i="1" s="1"/>
  <c r="BA17" i="1" s="1"/>
  <c r="H17" i="1"/>
  <c r="J17" i="1"/>
  <c r="AJ17" i="1"/>
  <c r="M17" i="1"/>
  <c r="AY29" i="1"/>
  <c r="AW18" i="1"/>
  <c r="AY18" i="1" s="1"/>
  <c r="R18" i="1"/>
  <c r="H21" i="1"/>
  <c r="H30" i="1"/>
  <c r="J25" i="1"/>
  <c r="I20" i="1"/>
  <c r="AX20" i="1" s="1"/>
  <c r="J20" i="1"/>
  <c r="M30" i="1"/>
  <c r="M21" i="1"/>
  <c r="AJ28" i="1"/>
  <c r="AW24" i="1"/>
  <c r="H28" i="1"/>
  <c r="I30" i="1"/>
  <c r="AX30" i="1" s="1"/>
  <c r="BA30" i="1" s="1"/>
  <c r="AJ25" i="1"/>
  <c r="AJ27" i="1"/>
  <c r="I21" i="1"/>
  <c r="AX21" i="1" s="1"/>
  <c r="BA21" i="1" s="1"/>
  <c r="J21" i="1"/>
  <c r="AJ20" i="1"/>
  <c r="H25" i="1"/>
  <c r="H20" i="1"/>
  <c r="AJ19" i="1"/>
  <c r="H24" i="1"/>
  <c r="S24" i="1" s="1"/>
  <c r="T24" i="1" s="1"/>
  <c r="H19" i="1"/>
  <c r="J19" i="1"/>
  <c r="M24" i="1"/>
  <c r="J28" i="1"/>
  <c r="AJ22" i="1"/>
  <c r="H27" i="1"/>
  <c r="M28" i="1"/>
  <c r="I25" i="1"/>
  <c r="AX25" i="1" s="1"/>
  <c r="BA25" i="1" s="1"/>
  <c r="I24" i="1"/>
  <c r="AX24" i="1" s="1"/>
  <c r="I19" i="1"/>
  <c r="AX19" i="1" s="1"/>
  <c r="H22" i="1"/>
  <c r="I27" i="1"/>
  <c r="AX27" i="1" s="1"/>
  <c r="I22" i="1"/>
  <c r="AX22" i="1" s="1"/>
  <c r="AJ30" i="1"/>
  <c r="U24" i="1" l="1"/>
  <c r="Y24" i="1" s="1"/>
  <c r="AB24" i="1"/>
  <c r="AA24" i="1"/>
  <c r="S27" i="1"/>
  <c r="T27" i="1" s="1"/>
  <c r="Z30" i="1"/>
  <c r="S26" i="1"/>
  <c r="T26" i="1" s="1"/>
  <c r="Z23" i="1"/>
  <c r="Z21" i="1"/>
  <c r="P26" i="1"/>
  <c r="N26" i="1" s="1"/>
  <c r="Q26" i="1" s="1"/>
  <c r="K26" i="1" s="1"/>
  <c r="L26" i="1" s="1"/>
  <c r="Z26" i="1"/>
  <c r="Z25" i="1"/>
  <c r="P25" i="1"/>
  <c r="N25" i="1" s="1"/>
  <c r="Q25" i="1" s="1"/>
  <c r="K25" i="1" s="1"/>
  <c r="L25" i="1" s="1"/>
  <c r="S30" i="1"/>
  <c r="T30" i="1" s="1"/>
  <c r="P30" i="1" s="1"/>
  <c r="N30" i="1" s="1"/>
  <c r="Q30" i="1" s="1"/>
  <c r="K30" i="1" s="1"/>
  <c r="L30" i="1" s="1"/>
  <c r="S28" i="1"/>
  <c r="T28" i="1" s="1"/>
  <c r="BA28" i="1"/>
  <c r="BA19" i="1"/>
  <c r="P29" i="1"/>
  <c r="N29" i="1" s="1"/>
  <c r="Q29" i="1" s="1"/>
  <c r="K29" i="1" s="1"/>
  <c r="L29" i="1" s="1"/>
  <c r="Z29" i="1"/>
  <c r="S22" i="1"/>
  <c r="T22" i="1" s="1"/>
  <c r="Z19" i="1"/>
  <c r="P24" i="1"/>
  <c r="N24" i="1" s="1"/>
  <c r="Q24" i="1" s="1"/>
  <c r="K24" i="1" s="1"/>
  <c r="L24" i="1" s="1"/>
  <c r="Z24" i="1"/>
  <c r="Z20" i="1"/>
  <c r="S20" i="1"/>
  <c r="T20" i="1" s="1"/>
  <c r="P20" i="1" s="1"/>
  <c r="N20" i="1" s="1"/>
  <c r="Q20" i="1" s="1"/>
  <c r="K20" i="1" s="1"/>
  <c r="L20" i="1" s="1"/>
  <c r="S29" i="1"/>
  <c r="T29" i="1" s="1"/>
  <c r="BA18" i="1"/>
  <c r="Z18" i="1"/>
  <c r="P18" i="1"/>
  <c r="N18" i="1" s="1"/>
  <c r="Q18" i="1" s="1"/>
  <c r="K18" i="1" s="1"/>
  <c r="L18" i="1" s="1"/>
  <c r="BA27" i="1"/>
  <c r="S17" i="1"/>
  <c r="T17" i="1" s="1"/>
  <c r="BA29" i="1"/>
  <c r="BA24" i="1"/>
  <c r="S23" i="1"/>
  <c r="T23" i="1" s="1"/>
  <c r="P23" i="1" s="1"/>
  <c r="N23" i="1" s="1"/>
  <c r="Q23" i="1" s="1"/>
  <c r="K23" i="1" s="1"/>
  <c r="L23" i="1" s="1"/>
  <c r="P27" i="1"/>
  <c r="N27" i="1" s="1"/>
  <c r="Q27" i="1" s="1"/>
  <c r="K27" i="1" s="1"/>
  <c r="L27" i="1" s="1"/>
  <c r="Z27" i="1"/>
  <c r="S18" i="1"/>
  <c r="T18" i="1" s="1"/>
  <c r="Z17" i="1"/>
  <c r="S19" i="1"/>
  <c r="T19" i="1" s="1"/>
  <c r="Z28" i="1"/>
  <c r="BA22" i="1"/>
  <c r="Z22" i="1"/>
  <c r="P22" i="1"/>
  <c r="N22" i="1" s="1"/>
  <c r="Q22" i="1" s="1"/>
  <c r="K22" i="1" s="1"/>
  <c r="L22" i="1" s="1"/>
  <c r="S25" i="1"/>
  <c r="T25" i="1" s="1"/>
  <c r="BA20" i="1"/>
  <c r="S21" i="1"/>
  <c r="T21" i="1" s="1"/>
  <c r="U28" i="1" l="1"/>
  <c r="Y28" i="1" s="1"/>
  <c r="AB28" i="1"/>
  <c r="AC28" i="1" s="1"/>
  <c r="AA28" i="1"/>
  <c r="AB21" i="1"/>
  <c r="U21" i="1"/>
  <c r="Y21" i="1" s="1"/>
  <c r="AA21" i="1"/>
  <c r="U29" i="1"/>
  <c r="Y29" i="1" s="1"/>
  <c r="AB29" i="1"/>
  <c r="AA29" i="1"/>
  <c r="U17" i="1"/>
  <c r="Y17" i="1" s="1"/>
  <c r="AB17" i="1"/>
  <c r="AA17" i="1"/>
  <c r="P21" i="1"/>
  <c r="N21" i="1" s="1"/>
  <c r="Q21" i="1" s="1"/>
  <c r="K21" i="1" s="1"/>
  <c r="L21" i="1" s="1"/>
  <c r="AB26" i="1"/>
  <c r="U26" i="1"/>
  <c r="Y26" i="1" s="1"/>
  <c r="AA26" i="1"/>
  <c r="AA19" i="1"/>
  <c r="U19" i="1"/>
  <c r="Y19" i="1" s="1"/>
  <c r="AB19" i="1"/>
  <c r="AC19" i="1" s="1"/>
  <c r="P19" i="1"/>
  <c r="N19" i="1" s="1"/>
  <c r="Q19" i="1" s="1"/>
  <c r="K19" i="1" s="1"/>
  <c r="L19" i="1" s="1"/>
  <c r="U18" i="1"/>
  <c r="Y18" i="1" s="1"/>
  <c r="AB18" i="1"/>
  <c r="AA18" i="1"/>
  <c r="U25" i="1"/>
  <c r="Y25" i="1" s="1"/>
  <c r="AA25" i="1"/>
  <c r="AB25" i="1"/>
  <c r="AC25" i="1" s="1"/>
  <c r="U20" i="1"/>
  <c r="Y20" i="1" s="1"/>
  <c r="AB20" i="1"/>
  <c r="AA20" i="1"/>
  <c r="P28" i="1"/>
  <c r="N28" i="1" s="1"/>
  <c r="Q28" i="1" s="1"/>
  <c r="K28" i="1" s="1"/>
  <c r="L28" i="1" s="1"/>
  <c r="AC24" i="1"/>
  <c r="U23" i="1"/>
  <c r="Y23" i="1" s="1"/>
  <c r="AB23" i="1"/>
  <c r="AA23" i="1"/>
  <c r="AA30" i="1"/>
  <c r="U30" i="1"/>
  <c r="Y30" i="1" s="1"/>
  <c r="AB30" i="1"/>
  <c r="AC30" i="1" s="1"/>
  <c r="P17" i="1"/>
  <c r="N17" i="1" s="1"/>
  <c r="Q17" i="1" s="1"/>
  <c r="K17" i="1" s="1"/>
  <c r="L17" i="1" s="1"/>
  <c r="AB27" i="1"/>
  <c r="U27" i="1"/>
  <c r="Y27" i="1" s="1"/>
  <c r="AA27" i="1"/>
  <c r="AB22" i="1"/>
  <c r="U22" i="1"/>
  <c r="Y22" i="1" s="1"/>
  <c r="AA22" i="1"/>
  <c r="AC21" i="1" l="1"/>
  <c r="AC27" i="1"/>
  <c r="AC26" i="1"/>
  <c r="AC20" i="1"/>
  <c r="AC18" i="1"/>
  <c r="AC22" i="1"/>
  <c r="AC17" i="1"/>
  <c r="AC23" i="1"/>
  <c r="AC29" i="1"/>
</calcChain>
</file>

<file path=xl/sharedStrings.xml><?xml version="1.0" encoding="utf-8"?>
<sst xmlns="http://schemas.openxmlformats.org/spreadsheetml/2006/main" count="771" uniqueCount="354">
  <si>
    <t>File opened</t>
  </si>
  <si>
    <t>2020-07-17 12:01:40</t>
  </si>
  <si>
    <t>Console s/n</t>
  </si>
  <si>
    <t>68C-571038</t>
  </si>
  <si>
    <t>Console ver</t>
  </si>
  <si>
    <t>Bluestem v.1.3.4</t>
  </si>
  <si>
    <t>Scripts ver</t>
  </si>
  <si>
    <t>2018.05  1.3.4, Mar 2018</t>
  </si>
  <si>
    <t>Head s/n</t>
  </si>
  <si>
    <t>68H-581038</t>
  </si>
  <si>
    <t>Head ver</t>
  </si>
  <si>
    <t>1.4.0</t>
  </si>
  <si>
    <t>Head cal</t>
  </si>
  <si>
    <t>{"h2oaspanconc2": "0", "co2bspan2a": "0.163389", "ssb_ref": "36526.8", "co2aspanconc2": "0", "co2bzero": "0.880288", "chamberpressurezero": "2.59209", "co2aspan1": "0.992625", "co2aspan2b": "0.163711", "tbzero": "0.197721", "h2oaspan1": "1.00223", "h2oaspan2a": "0.0661155", "h2obspan2a": "0.0975941", "tazero": "0.00774765", "h2obspan1": "0.998578", "h2obspan2": "0", "co2bspanconc1": "1002", "h2oaspan2b": "0.0662632", "co2bspan2": "0", "co2bspan2b": "0.162103", "co2aspan2": "0", "co2azero": "0.869071", "h2oaspan2": "0", "h2obzero": "1.01783", "ssa_ref": "36614.9", "flowmeterzero": "0.990908", "flowbzero": "0.22736", "co2bspanconc2": "0", "co2bspan1": "0.992131", "h2oaspanconc1": "12.19", "co2aspan2a": "0.164928", "co2aspanconc1": "1002", "h2oazero": "1.00263", "h2obspanconc1": "20", "flowazero": "0.42932", "h2obspanconc2": "0", "h2obspan2b": "0.0963575", "oxygen": "21"}</t>
  </si>
  <si>
    <t>Chamber type</t>
  </si>
  <si>
    <t>6800-01A</t>
  </si>
  <si>
    <t>Chamber s/n</t>
  </si>
  <si>
    <t>MPF-551037</t>
  </si>
  <si>
    <t>Chamber rev</t>
  </si>
  <si>
    <t>0</t>
  </si>
  <si>
    <t>Chamber cal</t>
  </si>
  <si>
    <t>Fluorometer</t>
  </si>
  <si>
    <t>Flr. Version</t>
  </si>
  <si>
    <t>12:01:40</t>
  </si>
  <si>
    <t>Stability Definition:	H2O_s (Meas): Slp&lt;0.2	CO2_s (Meas): Slp&lt;0.3</t>
  </si>
  <si>
    <t>SysConst</t>
  </si>
  <si>
    <t>AvgTime</t>
  </si>
  <si>
    <t>4</t>
  </si>
  <si>
    <t>Oxygen</t>
  </si>
  <si>
    <t>21</t>
  </si>
  <si>
    <t>Chamber</t>
  </si>
  <si>
    <t>6800-01A 2 cm²</t>
  </si>
  <si>
    <t>Const</t>
  </si>
  <si>
    <t>S</t>
  </si>
  <si>
    <t>CustomBLC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</si>
  <si>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</si>
  <si>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</si>
  <si>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</si>
  <si>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</si>
  <si>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</si>
  <si>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</si>
  <si>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</si>
  <si>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</si>
  <si>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</si>
  <si>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</si>
  <si>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</si>
  <si>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</si>
  <si>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</si>
  <si>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</si>
  <si>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</si>
  <si>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</si>
  <si>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</si>
  <si>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</si>
  <si>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</si>
  <si>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</si>
  <si>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</si>
  <si>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</si>
  <si>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</si>
  <si>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</si>
  <si>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</si>
  <si>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</si>
  <si>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</si>
  <si>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</si>
  <si>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</si>
  <si>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</si>
  <si>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</si>
  <si>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</si>
  <si>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</si>
  <si>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</si>
  <si>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</si>
  <si>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</si>
  <si>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2.8867 76.9944 384.338 617.676 844.529 1050.88 1230.97 1394.83</t>
  </si>
  <si>
    <t>Fs_true</t>
  </si>
  <si>
    <t>0.249995 100.784 401.701 601.178 800.155 1000.64 1200.01 1400.75</t>
  </si>
  <si>
    <t>leak_wt</t>
  </si>
  <si>
    <t>Sys</t>
  </si>
  <si>
    <t>UserDefVar</t>
  </si>
  <si>
    <t>GasEx</t>
  </si>
  <si>
    <t>Leak</t>
  </si>
  <si>
    <t>FLR</t>
  </si>
  <si>
    <t>MPF</t>
  </si>
  <si>
    <t>LeafQ</t>
  </si>
  <si>
    <t>Meas</t>
  </si>
  <si>
    <t>FlrLS</t>
  </si>
  <si>
    <t>FlrStats</t>
  </si>
  <si>
    <t>Match</t>
  </si>
  <si>
    <t>Stability</t>
  </si>
  <si>
    <t>Auxiliary</t>
  </si>
  <si>
    <t>Status</t>
  </si>
  <si>
    <t>obs</t>
  </si>
  <si>
    <t>time</t>
  </si>
  <si>
    <t>elapsed</t>
  </si>
  <si>
    <t>date</t>
  </si>
  <si>
    <t>hhmmss</t>
  </si>
  <si>
    <t>plant</t>
  </si>
  <si>
    <t>TIME</t>
  </si>
  <si>
    <t>E</t>
  </si>
  <si>
    <t>A</t>
  </si>
  <si>
    <t>Ca</t>
  </si>
  <si>
    <t>Ci</t>
  </si>
  <si>
    <t>Pci</t>
  </si>
  <si>
    <t>Pca</t>
  </si>
  <si>
    <t>gsw</t>
  </si>
  <si>
    <t>gbw</t>
  </si>
  <si>
    <t>gtw</t>
  </si>
  <si>
    <t>gtc</t>
  </si>
  <si>
    <t>Rabs</t>
  </si>
  <si>
    <t>TleafEB</t>
  </si>
  <si>
    <t>TleafCnd</t>
  </si>
  <si>
    <t>SVPleaf</t>
  </si>
  <si>
    <t>RHcham</t>
  </si>
  <si>
    <t>VPcham</t>
  </si>
  <si>
    <t>SVPcham</t>
  </si>
  <si>
    <t>VPDleaf</t>
  </si>
  <si>
    <t>LatHFlux</t>
  </si>
  <si>
    <t>SenHFlux</t>
  </si>
  <si>
    <t>NetTherm</t>
  </si>
  <si>
    <t>EBSum</t>
  </si>
  <si>
    <t>blfa_1</t>
  </si>
  <si>
    <t>blfa_2</t>
  </si>
  <si>
    <t>blfa_3</t>
  </si>
  <si>
    <t>LeakPct</t>
  </si>
  <si>
    <t>CorrFact</t>
  </si>
  <si>
    <t>CorrFactPct</t>
  </si>
  <si>
    <t>Fan</t>
  </si>
  <si>
    <t>DarkAdaptedID</t>
  </si>
  <si>
    <t>Fo</t>
  </si>
  <si>
    <t>Fm</t>
  </si>
  <si>
    <t>Fv</t>
  </si>
  <si>
    <t>Fv/Fm</t>
  </si>
  <si>
    <t>Adark</t>
  </si>
  <si>
    <t>LightAdaptedID</t>
  </si>
  <si>
    <t>Fs</t>
  </si>
  <si>
    <t>Fm'</t>
  </si>
  <si>
    <t>PhiPS2</t>
  </si>
  <si>
    <t>PS2/1</t>
  </si>
  <si>
    <t>Qabs_fs</t>
  </si>
  <si>
    <t>Afs</t>
  </si>
  <si>
    <t>ETR</t>
  </si>
  <si>
    <t>Fv'/Fm'</t>
  </si>
  <si>
    <t>PhiCO2</t>
  </si>
  <si>
    <t>NPQ</t>
  </si>
  <si>
    <t>DarkPulseID</t>
  </si>
  <si>
    <t>Fo'</t>
  </si>
  <si>
    <t>Fv'</t>
  </si>
  <si>
    <t>qP</t>
  </si>
  <si>
    <t>qN</t>
  </si>
  <si>
    <t>qP_Fo</t>
  </si>
  <si>
    <t>qN_Fo</t>
  </si>
  <si>
    <t>ID</t>
  </si>
  <si>
    <t>P1_dur</t>
  </si>
  <si>
    <t>P2_dur</t>
  </si>
  <si>
    <t>P3_dur</t>
  </si>
  <si>
    <t>P1_Qmax</t>
  </si>
  <si>
    <t>P1_Fmax</t>
  </si>
  <si>
    <t>P2_dQdt</t>
  </si>
  <si>
    <t>P3_ΔF</t>
  </si>
  <si>
    <t>Qin</t>
  </si>
  <si>
    <t>Qabs</t>
  </si>
  <si>
    <t>alpha</t>
  </si>
  <si>
    <t>convert</t>
  </si>
  <si>
    <t>K</t>
  </si>
  <si>
    <t>Geometry</t>
  </si>
  <si>
    <t>CO2_s</t>
  </si>
  <si>
    <t>CO2_r</t>
  </si>
  <si>
    <t>H2O_s</t>
  </si>
  <si>
    <t>H2O_r</t>
  </si>
  <si>
    <t>Flow</t>
  </si>
  <si>
    <t>Pa</t>
  </si>
  <si>
    <t>ΔPcham</t>
  </si>
  <si>
    <t>Tair</t>
  </si>
  <si>
    <t>Tleaf</t>
  </si>
  <si>
    <t>Tleaf2</t>
  </si>
  <si>
    <t>Fan_speed</t>
  </si>
  <si>
    <t>Qamb_in</t>
  </si>
  <si>
    <t>Qamb_out</t>
  </si>
  <si>
    <t>Q</t>
  </si>
  <si>
    <t>f_red</t>
  </si>
  <si>
    <t>f_blue</t>
  </si>
  <si>
    <t>f_farred</t>
  </si>
  <si>
    <t>F</t>
  </si>
  <si>
    <t>Q_modavg</t>
  </si>
  <si>
    <t>F_dc</t>
  </si>
  <si>
    <t>Pc</t>
  </si>
  <si>
    <t>Tled</t>
  </si>
  <si>
    <t>TDigital</t>
  </si>
  <si>
    <t>TPreamp</t>
  </si>
  <si>
    <t>TPwrSpy</t>
  </si>
  <si>
    <t>TDrive</t>
  </si>
  <si>
    <t>Q_red</t>
  </si>
  <si>
    <t>Q_blue</t>
  </si>
  <si>
    <t>Q_farred</t>
  </si>
  <si>
    <t>TSPF</t>
  </si>
  <si>
    <t>F_avg</t>
  </si>
  <si>
    <t>dF/dt</t>
  </si>
  <si>
    <t>dF_dc/dt</t>
  </si>
  <si>
    <t>F_dc_avg</t>
  </si>
  <si>
    <t>period</t>
  </si>
  <si>
    <t>count</t>
  </si>
  <si>
    <t>co2_adj</t>
  </si>
  <si>
    <t>h2o_adj</t>
  </si>
  <si>
    <t>co2_at</t>
  </si>
  <si>
    <t>h2o_at</t>
  </si>
  <si>
    <t>co2_cv</t>
  </si>
  <si>
    <t>h2o_cv</t>
  </si>
  <si>
    <t>CO2_s:MN</t>
  </si>
  <si>
    <t>CO2_s:SLP</t>
  </si>
  <si>
    <t>CO2_s:SD</t>
  </si>
  <si>
    <t>CO2_s:OK</t>
  </si>
  <si>
    <t>H2O_s:MN</t>
  </si>
  <si>
    <t>H2O_s:SLP</t>
  </si>
  <si>
    <t>H2O_s:SD</t>
  </si>
  <si>
    <t>H2O_s:OK</t>
  </si>
  <si>
    <t>Stable</t>
  </si>
  <si>
    <t>Total</t>
  </si>
  <si>
    <t>State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</si>
  <si>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</si>
  <si>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</si>
  <si>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</si>
  <si>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</si>
  <si>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</si>
  <si>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</si>
  <si>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</si>
  <si>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</si>
  <si>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</si>
  <si>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</si>
  <si>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</si>
  <si>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</si>
  <si>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</si>
  <si>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</si>
  <si>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</si>
  <si>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</si>
  <si>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</si>
  <si>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</si>
  <si>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</si>
  <si>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</si>
  <si>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</si>
  <si>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</si>
  <si>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</si>
  <si>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</si>
  <si>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</si>
  <si>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</si>
  <si>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</si>
  <si>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</si>
  <si>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</si>
  <si>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</si>
  <si>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</si>
  <si>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</si>
  <si>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</si>
  <si>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</si>
  <si>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</si>
  <si>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</si>
  <si>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</si>
  <si>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</si>
  <si>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</si>
  <si>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s</t>
  </si>
  <si>
    <t>mol m⁻² s⁻¹</t>
  </si>
  <si>
    <t>µmol m⁻² s⁻¹</t>
  </si>
  <si>
    <t>µmol mol⁻¹</t>
  </si>
  <si>
    <t>W m⁻²</t>
  </si>
  <si>
    <t>°C</t>
  </si>
  <si>
    <t>kPa</t>
  </si>
  <si>
    <t>%</t>
  </si>
  <si>
    <t>µmol s⁻¹</t>
  </si>
  <si>
    <t>µmol µmol⁻¹</t>
  </si>
  <si>
    <t>ms</t>
  </si>
  <si>
    <t>mol m⁻² s⁻²</t>
  </si>
  <si>
    <t>J/µmol</t>
  </si>
  <si>
    <t>mmol mol⁻¹</t>
  </si>
  <si>
    <t>rpm</t>
  </si>
  <si>
    <t>min⁻¹</t>
  </si>
  <si>
    <t>secs</t>
  </si>
  <si>
    <t>µmol/mol</t>
  </si>
  <si>
    <t>mmol/mol</t>
  </si>
  <si>
    <t>µmol mol⁻¹ min⁻¹</t>
  </si>
  <si>
    <t>mmol mol⁻¹ min⁻¹</t>
  </si>
  <si>
    <t>V</t>
  </si>
  <si>
    <t>20200717 12:07:38</t>
  </si>
  <si>
    <t>12:07:38</t>
  </si>
  <si>
    <t>MPF-4959-20200717-12_07_39</t>
  </si>
  <si>
    <t>DARK-4960-20200717-12_07_47</t>
  </si>
  <si>
    <t>0: Broadleaf</t>
  </si>
  <si>
    <t>12:08:07</t>
  </si>
  <si>
    <t>2/2</t>
  </si>
  <si>
    <t>5</t>
  </si>
  <si>
    <t>11111111</t>
  </si>
  <si>
    <t>oooooooo</t>
  </si>
  <si>
    <t>off</t>
  </si>
  <si>
    <t>20200717 12:09:47</t>
  </si>
  <si>
    <t>12:09:47</t>
  </si>
  <si>
    <t>MPF-4961-20200717-12_09_49</t>
  </si>
  <si>
    <t>DARK-4962-20200717-12_09_56</t>
  </si>
  <si>
    <t>12:10:16</t>
  </si>
  <si>
    <t>20200717 12:11:49</t>
  </si>
  <si>
    <t>12:11:49</t>
  </si>
  <si>
    <t>MPF-4963-20200717-12_11_50</t>
  </si>
  <si>
    <t>DARK-4964-20200717-12_11_58</t>
  </si>
  <si>
    <t>12:12:19</t>
  </si>
  <si>
    <t>20200717 12:14:06</t>
  </si>
  <si>
    <t>12:14:06</t>
  </si>
  <si>
    <t>MPF-4965-20200717-12_14_08</t>
  </si>
  <si>
    <t>DARK-4966-20200717-12_14_16</t>
  </si>
  <si>
    <t>12:14:35</t>
  </si>
  <si>
    <t>20200717 12:16:22</t>
  </si>
  <si>
    <t>12:16:22</t>
  </si>
  <si>
    <t>MPF-4967-20200717-12_16_23</t>
  </si>
  <si>
    <t>DARK-4968-20200717-12_16_31</t>
  </si>
  <si>
    <t>12:16:52</t>
  </si>
  <si>
    <t>20200717 12:18:31</t>
  </si>
  <si>
    <t>12:18:31</t>
  </si>
  <si>
    <t>MPF-4969-20200717-12_18_33</t>
  </si>
  <si>
    <t>DARK-4970-20200717-12_18_41</t>
  </si>
  <si>
    <t>12:19:01</t>
  </si>
  <si>
    <t>20200717 12:21:03</t>
  </si>
  <si>
    <t>12:21:03</t>
  </si>
  <si>
    <t>MPF-4971-20200717-12_21_04</t>
  </si>
  <si>
    <t>DARK-4972-20200717-12_21_12</t>
  </si>
  <si>
    <t>12:21:32</t>
  </si>
  <si>
    <t>1/2</t>
  </si>
  <si>
    <t>20200717 12:23:03</t>
  </si>
  <si>
    <t>12:23:03</t>
  </si>
  <si>
    <t>MPF-4973-20200717-12_23_05</t>
  </si>
  <si>
    <t>DARK-4974-20200717-12_23_13</t>
  </si>
  <si>
    <t>12:23:31</t>
  </si>
  <si>
    <t>20200717 12:25:05</t>
  </si>
  <si>
    <t>12:25:05</t>
  </si>
  <si>
    <t>MPF-4975-20200717-12_25_06</t>
  </si>
  <si>
    <t>DARK-4976-20200717-12_25_14</t>
  </si>
  <si>
    <t>12:25:31</t>
  </si>
  <si>
    <t>20200717 12:27:32</t>
  </si>
  <si>
    <t>12:27:32</t>
  </si>
  <si>
    <t>MPF-4977-20200717-12_27_34</t>
  </si>
  <si>
    <t>DARK-4978-20200717-12_27_42</t>
  </si>
  <si>
    <t>12:28:03</t>
  </si>
  <si>
    <t>20200717 12:30:02</t>
  </si>
  <si>
    <t>12:30:02</t>
  </si>
  <si>
    <t>MPF-4979-20200717-12_30_04</t>
  </si>
  <si>
    <t>DARK-4980-20200717-12_30_12</t>
  </si>
  <si>
    <t>12:30:31</t>
  </si>
  <si>
    <t>20200717 12:32:33</t>
  </si>
  <si>
    <t>12:32:33</t>
  </si>
  <si>
    <t>MPF-4981-20200717-12_32_34</t>
  </si>
  <si>
    <t>DARK-4982-20200717-12_32_42</t>
  </si>
  <si>
    <t>12:32:55</t>
  </si>
  <si>
    <t>20200717 12:34:27</t>
  </si>
  <si>
    <t>12:34:27</t>
  </si>
  <si>
    <t>MPF-4983-20200717-12_34_28</t>
  </si>
  <si>
    <t>DARK-4984-20200717-12_34_36</t>
  </si>
  <si>
    <t>12:34:54</t>
  </si>
  <si>
    <t>20200717 12:36:28</t>
  </si>
  <si>
    <t>12:36:28</t>
  </si>
  <si>
    <t>MPF-4985-20200717-12_36_30</t>
  </si>
  <si>
    <t>DARK-4986-20200717-12_36_38</t>
  </si>
  <si>
    <t>12:36:53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</si>
</sst>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N30"/>
  <sheetViews>
    <sheetView tabSelected="1" workbookViewId="0"/>
  </sheetViews>
  <sheetFormatPr defaultRowHeight="14.4" x14ac:dyDescent="0.25"/>
  <sheetData>
    <row r="2" spans="1:170" x14ac:dyDescent="0.25">
      <c r="A2" t="s">
        <v>25</v>
      </c>
      <c r="B2" t="s">
        <v>26</v>
      </c>
      <c r="C2" t="s">
        <v>28</v>
      </c>
      <c r="D2" t="s">
        <v>30</v>
      </c>
    </row>
    <row r="3" spans="1:170" x14ac:dyDescent="0.25">
      <c r="B3" t="s">
        <v>27</v>
      </c>
      <c r="C3" t="s">
        <v>29</v>
      </c>
      <c r="D3" t="s">
        <v>31</v>
      </c>
    </row>
    <row r="4" spans="1:170" x14ac:dyDescent="0.25">
      <c r="A4" t="s">
        <v>32</v>
      </c>
      <c r="B4" t="s">
        <v>33</v>
      </c>
      <c r="C4" t="s">
        <v>34</v>
      </c>
    </row>
    <row r="5" spans="1:170" x14ac:dyDescent="0.25">
      <c r="B5">
        <v>2</v>
      </c>
      <c r="C5">
        <v>2</v>
      </c>
    </row>
    <row r="6" spans="1:170" x14ac:dyDescent="0.25">
      <c r="A6" t="s">
        <v>35</v>
      </c>
      <c r="B6" t="s">
        <v>36</v>
      </c>
      <c r="C6" t="s">
        <v>37</v>
      </c>
      <c r="D6" t="s">
        <v>38</v>
      </c>
      <c r="E6" t="s">
        <v>39</v>
      </c>
    </row>
    <row r="7" spans="1:170" x14ac:dyDescent="0.25">
      <c r="B7">
        <v>0</v>
      </c>
      <c r="C7">
        <v>1</v>
      </c>
      <c r="D7">
        <v>0</v>
      </c>
      <c r="E7">
        <v>0</v>
      </c>
    </row>
    <row r="8" spans="1:170" x14ac:dyDescent="0.25">
      <c r="A8" t="s">
        <v>40</v>
      </c>
      <c r="B8" t="s">
        <v>41</v>
      </c>
      <c r="C8" t="s">
        <v>43</v>
      </c>
      <c r="D8" t="s">
        <v>45</v>
      </c>
      <c r="E8" t="s">
        <v>46</v>
      </c>
      <c r="F8" t="s">
        <v>47</v>
      </c>
      <c r="G8" t="s">
        <v>48</v>
      </c>
      <c r="H8" t="s">
        <v>49</v>
      </c>
      <c r="I8" t="s">
        <v>50</v>
      </c>
      <c r="J8" t="s">
        <v>51</v>
      </c>
      <c r="K8" t="s">
        <v>52</v>
      </c>
      <c r="L8" t="s">
        <v>53</v>
      </c>
      <c r="M8" t="s">
        <v>54</v>
      </c>
      <c r="N8" t="s">
        <v>55</v>
      </c>
      <c r="O8" t="s">
        <v>56</v>
      </c>
      <c r="P8" t="s">
        <v>57</v>
      </c>
      <c r="Q8" t="s">
        <v>58</v>
      </c>
    </row>
    <row r="9" spans="1:170" x14ac:dyDescent="0.25">
      <c r="B9" t="s">
        <v>42</v>
      </c>
      <c r="C9" t="s">
        <v>44</v>
      </c>
      <c r="D9">
        <v>0.49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0.39</v>
      </c>
      <c r="L9">
        <v>0.18</v>
      </c>
      <c r="M9">
        <v>0.23</v>
      </c>
      <c r="N9">
        <v>0.26</v>
      </c>
      <c r="O9">
        <v>0.21</v>
      </c>
      <c r="P9">
        <v>0.19</v>
      </c>
      <c r="Q9">
        <v>0.25</v>
      </c>
    </row>
    <row r="10" spans="1:170" x14ac:dyDescent="0.25">
      <c r="A10" t="s">
        <v>59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</row>
    <row r="11" spans="1:170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170" x14ac:dyDescent="0.25">
      <c r="A12" t="s">
        <v>65</v>
      </c>
      <c r="B12" t="s">
        <v>66</v>
      </c>
      <c r="C12" t="s">
        <v>67</v>
      </c>
      <c r="D12" t="s">
        <v>68</v>
      </c>
      <c r="E12" t="s">
        <v>69</v>
      </c>
      <c r="F12" t="s">
        <v>70</v>
      </c>
      <c r="G12" t="s">
        <v>72</v>
      </c>
      <c r="H12" t="s">
        <v>74</v>
      </c>
    </row>
    <row r="13" spans="1:170" x14ac:dyDescent="0.25">
      <c r="B13">
        <v>-6276</v>
      </c>
      <c r="C13">
        <v>6.6</v>
      </c>
      <c r="D13">
        <v>1.7090000000000001E-5</v>
      </c>
      <c r="E13">
        <v>3.11</v>
      </c>
      <c r="F13" t="s">
        <v>71</v>
      </c>
      <c r="G13" t="s">
        <v>73</v>
      </c>
      <c r="H13">
        <v>0</v>
      </c>
    </row>
    <row r="14" spans="1:170" x14ac:dyDescent="0.25">
      <c r="A14" t="s">
        <v>75</v>
      </c>
      <c r="B14" t="s">
        <v>75</v>
      </c>
      <c r="C14" t="s">
        <v>75</v>
      </c>
      <c r="D14" t="s">
        <v>75</v>
      </c>
      <c r="E14" t="s">
        <v>75</v>
      </c>
      <c r="F14" t="s">
        <v>76</v>
      </c>
      <c r="G14" t="s">
        <v>77</v>
      </c>
      <c r="H14" t="s">
        <v>77</v>
      </c>
      <c r="I14" t="s">
        <v>77</v>
      </c>
      <c r="J14" t="s">
        <v>77</v>
      </c>
      <c r="K14" t="s">
        <v>77</v>
      </c>
      <c r="L14" t="s">
        <v>77</v>
      </c>
      <c r="M14" t="s">
        <v>77</v>
      </c>
      <c r="N14" t="s">
        <v>77</v>
      </c>
      <c r="O14" t="s">
        <v>77</v>
      </c>
      <c r="P14" t="s">
        <v>77</v>
      </c>
      <c r="Q14" t="s">
        <v>77</v>
      </c>
      <c r="R14" t="s">
        <v>77</v>
      </c>
      <c r="S14" t="s">
        <v>77</v>
      </c>
      <c r="T14" t="s">
        <v>77</v>
      </c>
      <c r="U14" t="s">
        <v>77</v>
      </c>
      <c r="V14" t="s">
        <v>77</v>
      </c>
      <c r="W14" t="s">
        <v>77</v>
      </c>
      <c r="X14" t="s">
        <v>77</v>
      </c>
      <c r="Y14" t="s">
        <v>77</v>
      </c>
      <c r="Z14" t="s">
        <v>77</v>
      </c>
      <c r="AA14" t="s">
        <v>77</v>
      </c>
      <c r="AB14" t="s">
        <v>77</v>
      </c>
      <c r="AC14" t="s">
        <v>77</v>
      </c>
      <c r="AD14" t="s">
        <v>77</v>
      </c>
      <c r="AE14" t="s">
        <v>77</v>
      </c>
      <c r="AF14" t="s">
        <v>77</v>
      </c>
      <c r="AG14" t="s">
        <v>78</v>
      </c>
      <c r="AH14" t="s">
        <v>78</v>
      </c>
      <c r="AI14" t="s">
        <v>78</v>
      </c>
      <c r="AJ14" t="s">
        <v>78</v>
      </c>
      <c r="AK14" t="s">
        <v>78</v>
      </c>
      <c r="AL14" t="s">
        <v>79</v>
      </c>
      <c r="AM14" t="s">
        <v>79</v>
      </c>
      <c r="AN14" t="s">
        <v>79</v>
      </c>
      <c r="AO14" t="s">
        <v>79</v>
      </c>
      <c r="AP14" t="s">
        <v>79</v>
      </c>
      <c r="AQ14" t="s">
        <v>79</v>
      </c>
      <c r="AR14" t="s">
        <v>79</v>
      </c>
      <c r="AS14" t="s">
        <v>79</v>
      </c>
      <c r="AT14" t="s">
        <v>79</v>
      </c>
      <c r="AU14" t="s">
        <v>79</v>
      </c>
      <c r="AV14" t="s">
        <v>79</v>
      </c>
      <c r="AW14" t="s">
        <v>79</v>
      </c>
      <c r="AX14" t="s">
        <v>79</v>
      </c>
      <c r="AY14" t="s">
        <v>79</v>
      </c>
      <c r="AZ14" t="s">
        <v>79</v>
      </c>
      <c r="BA14" t="s">
        <v>79</v>
      </c>
      <c r="BB14" t="s">
        <v>79</v>
      </c>
      <c r="BC14" t="s">
        <v>79</v>
      </c>
      <c r="BD14" t="s">
        <v>79</v>
      </c>
      <c r="BE14" t="s">
        <v>79</v>
      </c>
      <c r="BF14" t="s">
        <v>79</v>
      </c>
      <c r="BG14" t="s">
        <v>79</v>
      </c>
      <c r="BH14" t="s">
        <v>79</v>
      </c>
      <c r="BI14" t="s">
        <v>79</v>
      </c>
      <c r="BJ14" t="s">
        <v>80</v>
      </c>
      <c r="BK14" t="s">
        <v>80</v>
      </c>
      <c r="BL14" t="s">
        <v>80</v>
      </c>
      <c r="BM14" t="s">
        <v>80</v>
      </c>
      <c r="BN14" t="s">
        <v>80</v>
      </c>
      <c r="BO14" t="s">
        <v>80</v>
      </c>
      <c r="BP14" t="s">
        <v>80</v>
      </c>
      <c r="BQ14" t="s">
        <v>80</v>
      </c>
      <c r="BR14" t="s">
        <v>81</v>
      </c>
      <c r="BS14" t="s">
        <v>81</v>
      </c>
      <c r="BT14" t="s">
        <v>81</v>
      </c>
      <c r="BU14" t="s">
        <v>81</v>
      </c>
      <c r="BV14" t="s">
        <v>32</v>
      </c>
      <c r="BW14" t="s">
        <v>32</v>
      </c>
      <c r="BX14" t="s">
        <v>82</v>
      </c>
      <c r="BY14" t="s">
        <v>82</v>
      </c>
      <c r="BZ14" t="s">
        <v>82</v>
      </c>
      <c r="CA14" t="s">
        <v>82</v>
      </c>
      <c r="CB14" t="s">
        <v>82</v>
      </c>
      <c r="CC14" t="s">
        <v>82</v>
      </c>
      <c r="CD14" t="s">
        <v>82</v>
      </c>
      <c r="CE14" t="s">
        <v>82</v>
      </c>
      <c r="CF14" t="s">
        <v>82</v>
      </c>
      <c r="CG14" t="s">
        <v>82</v>
      </c>
      <c r="CH14" t="s">
        <v>82</v>
      </c>
      <c r="CI14" t="s">
        <v>82</v>
      </c>
      <c r="CJ14" t="s">
        <v>82</v>
      </c>
      <c r="CK14" t="s">
        <v>82</v>
      </c>
      <c r="CL14" t="s">
        <v>83</v>
      </c>
      <c r="CM14" t="s">
        <v>83</v>
      </c>
      <c r="CN14" t="s">
        <v>83</v>
      </c>
      <c r="CO14" t="s">
        <v>83</v>
      </c>
      <c r="CP14" t="s">
        <v>83</v>
      </c>
      <c r="CQ14" t="s">
        <v>83</v>
      </c>
      <c r="CR14" t="s">
        <v>83</v>
      </c>
      <c r="CS14" t="s">
        <v>83</v>
      </c>
      <c r="CT14" t="s">
        <v>83</v>
      </c>
      <c r="CU14" t="s">
        <v>83</v>
      </c>
      <c r="CV14" t="s">
        <v>83</v>
      </c>
      <c r="CW14" t="s">
        <v>83</v>
      </c>
      <c r="CX14" t="s">
        <v>83</v>
      </c>
      <c r="CY14" t="s">
        <v>83</v>
      </c>
      <c r="CZ14" t="s">
        <v>83</v>
      </c>
      <c r="DA14" t="s">
        <v>83</v>
      </c>
      <c r="DB14" t="s">
        <v>83</v>
      </c>
      <c r="DC14" t="s">
        <v>84</v>
      </c>
      <c r="DD14" t="s">
        <v>84</v>
      </c>
      <c r="DE14" t="s">
        <v>84</v>
      </c>
      <c r="DF14" t="s">
        <v>84</v>
      </c>
      <c r="DG14" t="s">
        <v>84</v>
      </c>
      <c r="DH14" t="s">
        <v>85</v>
      </c>
      <c r="DI14" t="s">
        <v>85</v>
      </c>
      <c r="DJ14" t="s">
        <v>85</v>
      </c>
      <c r="DK14" t="s">
        <v>85</v>
      </c>
      <c r="DL14" t="s">
        <v>85</v>
      </c>
      <c r="DM14" t="s">
        <v>85</v>
      </c>
      <c r="DN14" t="s">
        <v>85</v>
      </c>
      <c r="DO14" t="s">
        <v>85</v>
      </c>
      <c r="DP14" t="s">
        <v>85</v>
      </c>
      <c r="DQ14" t="s">
        <v>86</v>
      </c>
      <c r="DR14" t="s">
        <v>86</v>
      </c>
      <c r="DS14" t="s">
        <v>86</v>
      </c>
      <c r="DT14" t="s">
        <v>86</v>
      </c>
      <c r="DU14" t="s">
        <v>86</v>
      </c>
      <c r="DV14" t="s">
        <v>86</v>
      </c>
      <c r="DW14" t="s">
        <v>86</v>
      </c>
      <c r="DX14" t="s">
        <v>86</v>
      </c>
      <c r="DY14" t="s">
        <v>86</v>
      </c>
      <c r="DZ14" t="s">
        <v>86</v>
      </c>
      <c r="EA14" t="s">
        <v>86</v>
      </c>
      <c r="EB14" t="s">
        <v>87</v>
      </c>
      <c r="EC14" t="s">
        <v>87</v>
      </c>
      <c r="ED14" t="s">
        <v>87</v>
      </c>
      <c r="EE14" t="s">
        <v>87</v>
      </c>
      <c r="EF14" t="s">
        <v>87</v>
      </c>
      <c r="EG14" t="s">
        <v>87</v>
      </c>
      <c r="EH14" t="s">
        <v>87</v>
      </c>
      <c r="EI14" t="s">
        <v>87</v>
      </c>
      <c r="EJ14" t="s">
        <v>87</v>
      </c>
      <c r="EK14" t="s">
        <v>87</v>
      </c>
      <c r="EL14" t="s">
        <v>87</v>
      </c>
      <c r="EM14" t="s">
        <v>87</v>
      </c>
      <c r="EN14" t="s">
        <v>87</v>
      </c>
      <c r="EO14" t="s">
        <v>87</v>
      </c>
      <c r="EP14" t="s">
        <v>87</v>
      </c>
      <c r="EQ14" t="s">
        <v>87</v>
      </c>
      <c r="ER14" t="s">
        <v>87</v>
      </c>
      <c r="ES14" t="s">
        <v>87</v>
      </c>
      <c r="ET14" t="s">
        <v>87</v>
      </c>
      <c r="EU14" t="s">
        <v>88</v>
      </c>
      <c r="EV14" t="s">
        <v>88</v>
      </c>
      <c r="EW14" t="s">
        <v>88</v>
      </c>
      <c r="EX14" t="s">
        <v>88</v>
      </c>
      <c r="EY14" t="s">
        <v>88</v>
      </c>
      <c r="EZ14" t="s">
        <v>88</v>
      </c>
      <c r="FA14" t="s">
        <v>88</v>
      </c>
      <c r="FB14" t="s">
        <v>88</v>
      </c>
      <c r="FC14" t="s">
        <v>88</v>
      </c>
      <c r="FD14" t="s">
        <v>88</v>
      </c>
      <c r="FE14" t="s">
        <v>88</v>
      </c>
      <c r="FF14" t="s">
        <v>88</v>
      </c>
      <c r="FG14" t="s">
        <v>88</v>
      </c>
      <c r="FH14" t="s">
        <v>88</v>
      </c>
      <c r="FI14" t="s">
        <v>88</v>
      </c>
      <c r="FJ14" t="s">
        <v>88</v>
      </c>
      <c r="FK14" t="s">
        <v>88</v>
      </c>
      <c r="FL14" t="s">
        <v>88</v>
      </c>
      <c r="FM14" t="s">
        <v>88</v>
      </c>
      <c r="FN14" t="s">
        <v>88</v>
      </c>
    </row>
    <row r="15" spans="1:170" x14ac:dyDescent="0.25">
      <c r="A15" t="s">
        <v>89</v>
      </c>
      <c r="B15" t="s">
        <v>90</v>
      </c>
      <c r="C15" t="s">
        <v>91</v>
      </c>
      <c r="D15" t="s">
        <v>92</v>
      </c>
      <c r="E15" t="s">
        <v>93</v>
      </c>
      <c r="F15" t="s">
        <v>94</v>
      </c>
      <c r="G15" t="s">
        <v>95</v>
      </c>
      <c r="H15" t="s">
        <v>96</v>
      </c>
      <c r="I15" t="s">
        <v>97</v>
      </c>
      <c r="J15" t="s">
        <v>98</v>
      </c>
      <c r="K15" t="s">
        <v>99</v>
      </c>
      <c r="L15" t="s">
        <v>100</v>
      </c>
      <c r="M15" t="s">
        <v>101</v>
      </c>
      <c r="N15" t="s">
        <v>102</v>
      </c>
      <c r="O15" t="s">
        <v>103</v>
      </c>
      <c r="P15" t="s">
        <v>104</v>
      </c>
      <c r="Q15" t="s">
        <v>105</v>
      </c>
      <c r="R15" t="s">
        <v>106</v>
      </c>
      <c r="S15" t="s">
        <v>107</v>
      </c>
      <c r="T15" t="s">
        <v>108</v>
      </c>
      <c r="U15" t="s">
        <v>109</v>
      </c>
      <c r="V15" t="s">
        <v>110</v>
      </c>
      <c r="W15" t="s">
        <v>111</v>
      </c>
      <c r="X15" t="s">
        <v>112</v>
      </c>
      <c r="Y15" t="s">
        <v>113</v>
      </c>
      <c r="Z15" t="s">
        <v>114</v>
      </c>
      <c r="AA15" t="s">
        <v>115</v>
      </c>
      <c r="AB15" t="s">
        <v>116</v>
      </c>
      <c r="AC15" t="s">
        <v>117</v>
      </c>
      <c r="AD15" t="s">
        <v>118</v>
      </c>
      <c r="AE15" t="s">
        <v>119</v>
      </c>
      <c r="AF15" t="s">
        <v>120</v>
      </c>
      <c r="AG15" t="s">
        <v>78</v>
      </c>
      <c r="AH15" t="s">
        <v>121</v>
      </c>
      <c r="AI15" t="s">
        <v>122</v>
      </c>
      <c r="AJ15" t="s">
        <v>123</v>
      </c>
      <c r="AK15" t="s">
        <v>124</v>
      </c>
      <c r="AL15" t="s">
        <v>125</v>
      </c>
      <c r="AM15" t="s">
        <v>126</v>
      </c>
      <c r="AN15" t="s">
        <v>127</v>
      </c>
      <c r="AO15" t="s">
        <v>128</v>
      </c>
      <c r="AP15" t="s">
        <v>129</v>
      </c>
      <c r="AQ15" t="s">
        <v>130</v>
      </c>
      <c r="AR15" t="s">
        <v>131</v>
      </c>
      <c r="AS15" t="s">
        <v>132</v>
      </c>
      <c r="AT15" t="s">
        <v>133</v>
      </c>
      <c r="AU15" t="s">
        <v>134</v>
      </c>
      <c r="AV15" t="s">
        <v>135</v>
      </c>
      <c r="AW15" t="s">
        <v>136</v>
      </c>
      <c r="AX15" t="s">
        <v>137</v>
      </c>
      <c r="AY15" t="s">
        <v>138</v>
      </c>
      <c r="AZ15" t="s">
        <v>139</v>
      </c>
      <c r="BA15" t="s">
        <v>140</v>
      </c>
      <c r="BB15" t="s">
        <v>141</v>
      </c>
      <c r="BC15" t="s">
        <v>142</v>
      </c>
      <c r="BD15" t="s">
        <v>143</v>
      </c>
      <c r="BE15" t="s">
        <v>144</v>
      </c>
      <c r="BF15" t="s">
        <v>145</v>
      </c>
      <c r="BG15" t="s">
        <v>146</v>
      </c>
      <c r="BH15" t="s">
        <v>147</v>
      </c>
      <c r="BI15" t="s">
        <v>148</v>
      </c>
      <c r="BJ15" t="s">
        <v>149</v>
      </c>
      <c r="BK15" t="s">
        <v>150</v>
      </c>
      <c r="BL15" t="s">
        <v>151</v>
      </c>
      <c r="BM15" t="s">
        <v>152</v>
      </c>
      <c r="BN15" t="s">
        <v>153</v>
      </c>
      <c r="BO15" t="s">
        <v>154</v>
      </c>
      <c r="BP15" t="s">
        <v>155</v>
      </c>
      <c r="BQ15" t="s">
        <v>156</v>
      </c>
      <c r="BR15" t="s">
        <v>157</v>
      </c>
      <c r="BS15" t="s">
        <v>158</v>
      </c>
      <c r="BT15" t="s">
        <v>159</v>
      </c>
      <c r="BU15" t="s">
        <v>160</v>
      </c>
      <c r="BV15" t="s">
        <v>161</v>
      </c>
      <c r="BW15" t="s">
        <v>162</v>
      </c>
      <c r="BX15" t="s">
        <v>95</v>
      </c>
      <c r="BY15" t="s">
        <v>163</v>
      </c>
      <c r="BZ15" t="s">
        <v>164</v>
      </c>
      <c r="CA15" t="s">
        <v>165</v>
      </c>
      <c r="CB15" t="s">
        <v>166</v>
      </c>
      <c r="CC15" t="s">
        <v>167</v>
      </c>
      <c r="CD15" t="s">
        <v>168</v>
      </c>
      <c r="CE15" t="s">
        <v>169</v>
      </c>
      <c r="CF15" t="s">
        <v>170</v>
      </c>
      <c r="CG15" t="s">
        <v>171</v>
      </c>
      <c r="CH15" t="s">
        <v>172</v>
      </c>
      <c r="CI15" t="s">
        <v>173</v>
      </c>
      <c r="CJ15" t="s">
        <v>174</v>
      </c>
      <c r="CK15" t="s">
        <v>175</v>
      </c>
      <c r="CL15" t="s">
        <v>176</v>
      </c>
      <c r="CM15" t="s">
        <v>177</v>
      </c>
      <c r="CN15" t="s">
        <v>178</v>
      </c>
      <c r="CO15" t="s">
        <v>179</v>
      </c>
      <c r="CP15" t="s">
        <v>180</v>
      </c>
      <c r="CQ15" t="s">
        <v>181</v>
      </c>
      <c r="CR15" t="s">
        <v>182</v>
      </c>
      <c r="CS15" t="s">
        <v>183</v>
      </c>
      <c r="CT15" t="s">
        <v>184</v>
      </c>
      <c r="CU15" t="s">
        <v>185</v>
      </c>
      <c r="CV15" t="s">
        <v>186</v>
      </c>
      <c r="CW15" t="s">
        <v>187</v>
      </c>
      <c r="CX15" t="s">
        <v>188</v>
      </c>
      <c r="CY15" t="s">
        <v>189</v>
      </c>
      <c r="CZ15" t="s">
        <v>190</v>
      </c>
      <c r="DA15" t="s">
        <v>191</v>
      </c>
      <c r="DB15" t="s">
        <v>192</v>
      </c>
      <c r="DC15" t="s">
        <v>193</v>
      </c>
      <c r="DD15" t="s">
        <v>194</v>
      </c>
      <c r="DE15" t="s">
        <v>195</v>
      </c>
      <c r="DF15" t="s">
        <v>196</v>
      </c>
      <c r="DG15" t="s">
        <v>197</v>
      </c>
      <c r="DH15" t="s">
        <v>90</v>
      </c>
      <c r="DI15" t="s">
        <v>93</v>
      </c>
      <c r="DJ15" t="s">
        <v>198</v>
      </c>
      <c r="DK15" t="s">
        <v>199</v>
      </c>
      <c r="DL15" t="s">
        <v>200</v>
      </c>
      <c r="DM15" t="s">
        <v>201</v>
      </c>
      <c r="DN15" t="s">
        <v>202</v>
      </c>
      <c r="DO15" t="s">
        <v>203</v>
      </c>
      <c r="DP15" t="s">
        <v>204</v>
      </c>
      <c r="DQ15" t="s">
        <v>205</v>
      </c>
      <c r="DR15" t="s">
        <v>206</v>
      </c>
      <c r="DS15" t="s">
        <v>207</v>
      </c>
      <c r="DT15" t="s">
        <v>208</v>
      </c>
      <c r="DU15" t="s">
        <v>209</v>
      </c>
      <c r="DV15" t="s">
        <v>210</v>
      </c>
      <c r="DW15" t="s">
        <v>211</v>
      </c>
      <c r="DX15" t="s">
        <v>212</v>
      </c>
      <c r="DY15" t="s">
        <v>213</v>
      </c>
      <c r="DZ15" t="s">
        <v>214</v>
      </c>
      <c r="EA15" t="s">
        <v>215</v>
      </c>
      <c r="EB15" t="s">
        <v>216</v>
      </c>
      <c r="EC15" t="s">
        <v>217</v>
      </c>
      <c r="ED15" t="s">
        <v>218</v>
      </c>
      <c r="EE15" t="s">
        <v>219</v>
      </c>
      <c r="EF15" t="s">
        <v>220</v>
      </c>
      <c r="EG15" t="s">
        <v>221</v>
      </c>
      <c r="EH15" t="s">
        <v>222</v>
      </c>
      <c r="EI15" t="s">
        <v>223</v>
      </c>
      <c r="EJ15" t="s">
        <v>224</v>
      </c>
      <c r="EK15" t="s">
        <v>225</v>
      </c>
      <c r="EL15" t="s">
        <v>226</v>
      </c>
      <c r="EM15" t="s">
        <v>227</v>
      </c>
      <c r="EN15" t="s">
        <v>228</v>
      </c>
      <c r="EO15" t="s">
        <v>229</v>
      </c>
      <c r="EP15" t="s">
        <v>230</v>
      </c>
      <c r="EQ15" t="s">
        <v>231</v>
      </c>
      <c r="ER15" t="s">
        <v>232</v>
      </c>
      <c r="ES15" t="s">
        <v>233</v>
      </c>
      <c r="ET15" t="s">
        <v>234</v>
      </c>
      <c r="EU15" t="s">
        <v>235</v>
      </c>
      <c r="EV15" t="s">
        <v>236</v>
      </c>
      <c r="EW15" t="s">
        <v>237</v>
      </c>
      <c r="EX15" t="s">
        <v>238</v>
      </c>
      <c r="EY15" t="s">
        <v>239</v>
      </c>
      <c r="EZ15" t="s">
        <v>240</v>
      </c>
      <c r="FA15" t="s">
        <v>241</v>
      </c>
      <c r="FB15" t="s">
        <v>242</v>
      </c>
      <c r="FC15" t="s">
        <v>243</v>
      </c>
      <c r="FD15" t="s">
        <v>244</v>
      </c>
      <c r="FE15" t="s">
        <v>245</v>
      </c>
      <c r="FF15" t="s">
        <v>246</v>
      </c>
      <c r="FG15" t="s">
        <v>247</v>
      </c>
      <c r="FH15" t="s">
        <v>248</v>
      </c>
      <c r="FI15" t="s">
        <v>249</v>
      </c>
      <c r="FJ15" t="s">
        <v>250</v>
      </c>
      <c r="FK15" t="s">
        <v>251</v>
      </c>
      <c r="FL15" t="s">
        <v>252</v>
      </c>
      <c r="FM15" t="s">
        <v>253</v>
      </c>
      <c r="FN15" t="s">
        <v>254</v>
      </c>
    </row>
    <row r="16" spans="1:170" x14ac:dyDescent="0.25">
      <c r="B16" t="s">
        <v>255</v>
      </c>
      <c r="C16" t="s">
        <v>255</v>
      </c>
      <c r="G16" t="s">
        <v>255</v>
      </c>
      <c r="H16" t="s">
        <v>256</v>
      </c>
      <c r="I16" t="s">
        <v>257</v>
      </c>
      <c r="J16" t="s">
        <v>258</v>
      </c>
      <c r="K16" t="s">
        <v>258</v>
      </c>
      <c r="L16" t="s">
        <v>168</v>
      </c>
      <c r="M16" t="s">
        <v>168</v>
      </c>
      <c r="N16" t="s">
        <v>256</v>
      </c>
      <c r="O16" t="s">
        <v>256</v>
      </c>
      <c r="P16" t="s">
        <v>256</v>
      </c>
      <c r="Q16" t="s">
        <v>256</v>
      </c>
      <c r="R16" t="s">
        <v>259</v>
      </c>
      <c r="S16" t="s">
        <v>260</v>
      </c>
      <c r="T16" t="s">
        <v>260</v>
      </c>
      <c r="U16" t="s">
        <v>261</v>
      </c>
      <c r="V16" t="s">
        <v>262</v>
      </c>
      <c r="W16" t="s">
        <v>261</v>
      </c>
      <c r="X16" t="s">
        <v>261</v>
      </c>
      <c r="Y16" t="s">
        <v>261</v>
      </c>
      <c r="Z16" t="s">
        <v>259</v>
      </c>
      <c r="AA16" t="s">
        <v>259</v>
      </c>
      <c r="AB16" t="s">
        <v>259</v>
      </c>
      <c r="AC16" t="s">
        <v>259</v>
      </c>
      <c r="AG16" t="s">
        <v>263</v>
      </c>
      <c r="AH16" t="s">
        <v>262</v>
      </c>
      <c r="AJ16" t="s">
        <v>262</v>
      </c>
      <c r="AK16" t="s">
        <v>263</v>
      </c>
      <c r="AQ16" t="s">
        <v>257</v>
      </c>
      <c r="AW16" t="s">
        <v>257</v>
      </c>
      <c r="AX16" t="s">
        <v>257</v>
      </c>
      <c r="AY16" t="s">
        <v>257</v>
      </c>
      <c r="BA16" t="s">
        <v>264</v>
      </c>
      <c r="BK16" t="s">
        <v>265</v>
      </c>
      <c r="BL16" t="s">
        <v>265</v>
      </c>
      <c r="BM16" t="s">
        <v>265</v>
      </c>
      <c r="BN16" t="s">
        <v>257</v>
      </c>
      <c r="BP16" t="s">
        <v>266</v>
      </c>
      <c r="BR16" t="s">
        <v>257</v>
      </c>
      <c r="BS16" t="s">
        <v>257</v>
      </c>
      <c r="BU16" t="s">
        <v>267</v>
      </c>
      <c r="BX16" t="s">
        <v>255</v>
      </c>
      <c r="BY16" t="s">
        <v>258</v>
      </c>
      <c r="BZ16" t="s">
        <v>258</v>
      </c>
      <c r="CA16" t="s">
        <v>268</v>
      </c>
      <c r="CB16" t="s">
        <v>268</v>
      </c>
      <c r="CC16" t="s">
        <v>263</v>
      </c>
      <c r="CD16" t="s">
        <v>261</v>
      </c>
      <c r="CE16" t="s">
        <v>261</v>
      </c>
      <c r="CF16" t="s">
        <v>260</v>
      </c>
      <c r="CG16" t="s">
        <v>260</v>
      </c>
      <c r="CH16" t="s">
        <v>260</v>
      </c>
      <c r="CI16" t="s">
        <v>269</v>
      </c>
      <c r="CJ16" t="s">
        <v>257</v>
      </c>
      <c r="CK16" t="s">
        <v>257</v>
      </c>
      <c r="CL16" t="s">
        <v>257</v>
      </c>
      <c r="CQ16" t="s">
        <v>257</v>
      </c>
      <c r="CT16" t="s">
        <v>260</v>
      </c>
      <c r="CU16" t="s">
        <v>260</v>
      </c>
      <c r="CV16" t="s">
        <v>260</v>
      </c>
      <c r="CW16" t="s">
        <v>260</v>
      </c>
      <c r="CX16" t="s">
        <v>260</v>
      </c>
      <c r="CY16" t="s">
        <v>257</v>
      </c>
      <c r="CZ16" t="s">
        <v>257</v>
      </c>
      <c r="DA16" t="s">
        <v>257</v>
      </c>
      <c r="DB16" t="s">
        <v>255</v>
      </c>
      <c r="DD16" t="s">
        <v>270</v>
      </c>
      <c r="DE16" t="s">
        <v>270</v>
      </c>
      <c r="DG16" t="s">
        <v>255</v>
      </c>
      <c r="DH16" t="s">
        <v>271</v>
      </c>
      <c r="DK16" t="s">
        <v>272</v>
      </c>
      <c r="DL16" t="s">
        <v>273</v>
      </c>
      <c r="DM16" t="s">
        <v>272</v>
      </c>
      <c r="DN16" t="s">
        <v>273</v>
      </c>
      <c r="DO16" t="s">
        <v>262</v>
      </c>
      <c r="DP16" t="s">
        <v>262</v>
      </c>
      <c r="DQ16" t="s">
        <v>258</v>
      </c>
      <c r="DR16" t="s">
        <v>274</v>
      </c>
      <c r="DS16" t="s">
        <v>258</v>
      </c>
      <c r="DU16" t="s">
        <v>268</v>
      </c>
      <c r="DV16" t="s">
        <v>275</v>
      </c>
      <c r="DW16" t="s">
        <v>268</v>
      </c>
      <c r="EB16" t="s">
        <v>276</v>
      </c>
      <c r="EC16" t="s">
        <v>276</v>
      </c>
      <c r="ED16" t="s">
        <v>276</v>
      </c>
      <c r="EE16" t="s">
        <v>276</v>
      </c>
      <c r="EF16" t="s">
        <v>276</v>
      </c>
      <c r="EG16" t="s">
        <v>276</v>
      </c>
      <c r="EH16" t="s">
        <v>276</v>
      </c>
      <c r="EI16" t="s">
        <v>276</v>
      </c>
      <c r="EJ16" t="s">
        <v>276</v>
      </c>
      <c r="EK16" t="s">
        <v>276</v>
      </c>
      <c r="EL16" t="s">
        <v>276</v>
      </c>
      <c r="EM16" t="s">
        <v>276</v>
      </c>
      <c r="ET16" t="s">
        <v>276</v>
      </c>
      <c r="EU16" t="s">
        <v>262</v>
      </c>
      <c r="EV16" t="s">
        <v>262</v>
      </c>
      <c r="EW16" t="s">
        <v>272</v>
      </c>
      <c r="EX16" t="s">
        <v>273</v>
      </c>
      <c r="EZ16" t="s">
        <v>263</v>
      </c>
      <c r="FA16" t="s">
        <v>263</v>
      </c>
      <c r="FB16" t="s">
        <v>260</v>
      </c>
      <c r="FC16" t="s">
        <v>260</v>
      </c>
      <c r="FD16" t="s">
        <v>260</v>
      </c>
      <c r="FE16" t="s">
        <v>260</v>
      </c>
      <c r="FF16" t="s">
        <v>260</v>
      </c>
      <c r="FG16" t="s">
        <v>262</v>
      </c>
      <c r="FH16" t="s">
        <v>262</v>
      </c>
      <c r="FI16" t="s">
        <v>262</v>
      </c>
      <c r="FJ16" t="s">
        <v>260</v>
      </c>
      <c r="FK16" t="s">
        <v>258</v>
      </c>
      <c r="FL16" t="s">
        <v>268</v>
      </c>
      <c r="FM16" t="s">
        <v>262</v>
      </c>
      <c r="FN16" t="s">
        <v>262</v>
      </c>
    </row>
    <row r="17" spans="1:170" x14ac:dyDescent="0.25">
      <c r="A17">
        <v>1</v>
      </c>
      <c r="B17">
        <v>1595005658.2</v>
      </c>
      <c r="C17">
        <v>0</v>
      </c>
      <c r="D17" t="s">
        <v>277</v>
      </c>
      <c r="E17" t="s">
        <v>278</v>
      </c>
      <c r="G17">
        <v>1595005650.15484</v>
      </c>
      <c r="H17">
        <f t="shared" ref="H17:H30" si="0">CC17*AI17*(CA17-CB17)/(100*$B$5*(1000-AI17*CA17))</f>
        <v>1.2344372160374567E-2</v>
      </c>
      <c r="I17">
        <f t="shared" ref="I17:I30" si="1">CC17*AI17*(BZ17-BY17*(1000-AI17*CB17)/(1000-AI17*CA17))/(100*$B$5)</f>
        <v>39.287813682032834</v>
      </c>
      <c r="J17">
        <f t="shared" ref="J17:J30" si="2">BY17 - IF(AI17&gt;1, I17*$B$5*100/(AK17*CI17), 0)</f>
        <v>382.39558064516098</v>
      </c>
      <c r="K17">
        <f t="shared" ref="K17:K30" si="3">((Q17-H17/2)*J17-I17)/(Q17+H17/2)</f>
        <v>296.71344919888492</v>
      </c>
      <c r="L17">
        <f t="shared" ref="L17:L30" si="4">K17*(CD17+CE17)/1000</f>
        <v>29.639009250908622</v>
      </c>
      <c r="M17">
        <f t="shared" ref="M17:M30" si="5">(BY17 - IF(AI17&gt;1, I17*$B$5*100/(AK17*CI17), 0))*(CD17+CE17)/1000</f>
        <v>38.197884803838193</v>
      </c>
      <c r="N17">
        <f t="shared" ref="N17:N30" si="6">2/((1/P17-1/O17)+SIGN(P17)*SQRT((1/P17-1/O17)*(1/P17-1/O17) + 4*BV17/((BV17+1)*(BV17+1))*(2*1/P17*1/O17-1/O17*1/O17)))</f>
        <v>0.91516853315387459</v>
      </c>
      <c r="O17">
        <f t="shared" ref="O17:O30" si="7">AF17+AE17*$B$5+AD17*$B$5*$B$5</f>
        <v>3.3915283283904811</v>
      </c>
      <c r="P17">
        <f t="shared" ref="P17:P30" si="8">H17*(1000-(1000*0.61365*EXP(17.502*T17/(240.97+T17))/(CD17+CE17)+CA17)/2)/(1000*0.61365*EXP(17.502*T17/(240.97+T17))/(CD17+CE17)-CA17)</f>
        <v>0.79697302302895612</v>
      </c>
      <c r="Q17">
        <f t="shared" ref="Q17:Q30" si="9">1/((BV17+1)/(N17/1.6)+1/(O17/1.37)) + BV17/((BV17+1)/(N17/1.6) + BV17/(O17/1.37))</f>
        <v>0.50745003945458556</v>
      </c>
      <c r="R17">
        <f t="shared" ref="R17:R30" si="10">(BS17*BU17)</f>
        <v>353.33336007314387</v>
      </c>
      <c r="S17">
        <f t="shared" ref="S17:S30" si="11">(CF17+(R17+2*0.95*0.0000000567*(((CF17+$B$7)+273)^4-(CF17+273)^4)-44100*H17)/(1.84*29.3*O17+8*0.95*0.0000000567*(CF17+273)^3))</f>
        <v>27.224624850030668</v>
      </c>
      <c r="T17">
        <f t="shared" ref="T17:T30" si="12">($C$7*CG17+$D$7*CH17+$E$7*S17)</f>
        <v>27.178983870967699</v>
      </c>
      <c r="U17">
        <f t="shared" ref="U17:U30" si="13">0.61365*EXP(17.502*T17/(240.97+T17))</f>
        <v>3.6169574872256534</v>
      </c>
      <c r="V17">
        <f t="shared" ref="V17:V30" si="14">(W17/X17*100)</f>
        <v>55.044980065506365</v>
      </c>
      <c r="W17">
        <f t="shared" ref="W17:W30" si="15">CA17*(CD17+CE17)/1000</f>
        <v>2.1141228817340321</v>
      </c>
      <c r="X17">
        <f t="shared" ref="X17:X30" si="16">0.61365*EXP(17.502*CF17/(240.97+CF17))</f>
        <v>3.8407187707546022</v>
      </c>
      <c r="Y17">
        <f t="shared" ref="Y17:Y30" si="17">(U17-CA17*(CD17+CE17)/1000)</f>
        <v>1.5028346054916213</v>
      </c>
      <c r="Z17">
        <f t="shared" ref="Z17:Z30" si="18">(-H17*44100)</f>
        <v>-544.38681227251845</v>
      </c>
      <c r="AA17">
        <f t="shared" ref="AA17:AA30" si="19">2*29.3*O17*0.92*(CF17-T17)</f>
        <v>187.83866759224023</v>
      </c>
      <c r="AB17">
        <f t="shared" ref="AB17:AB30" si="20">2*0.95*0.0000000567*(((CF17+$B$7)+273)^4-(T17+273)^4)</f>
        <v>12.035674330472233</v>
      </c>
      <c r="AC17">
        <f t="shared" ref="AC17:AC30" si="21">R17+AB17+Z17+AA17</f>
        <v>8.8208897233378423</v>
      </c>
      <c r="AD17">
        <v>-4.1316494799753002E-2</v>
      </c>
      <c r="AE17">
        <v>4.6381384936461503E-2</v>
      </c>
      <c r="AF17">
        <v>3.4640315377165698</v>
      </c>
      <c r="AG17">
        <v>159</v>
      </c>
      <c r="AH17">
        <v>32</v>
      </c>
      <c r="AI17">
        <f t="shared" ref="AI17:AI30" si="22">IF(AG17*$H$13&gt;=AK17,1,(AK17/(AK17-AG17*$H$13)))</f>
        <v>1</v>
      </c>
      <c r="AJ17">
        <f t="shared" ref="AJ17:AJ30" si="23">(AI17-1)*100</f>
        <v>0</v>
      </c>
      <c r="AK17">
        <f t="shared" ref="AK17:AK30" si="24">MAX(0,($B$13+$C$13*CI17)/(1+$D$13*CI17)*CD17/(CF17+273)*$E$13)</f>
        <v>52475.255524335378</v>
      </c>
      <c r="AL17">
        <v>0</v>
      </c>
      <c r="AM17">
        <v>0</v>
      </c>
      <c r="AN17">
        <v>0</v>
      </c>
      <c r="AO17">
        <f t="shared" ref="AO17:AO30" si="25">AN17-AM17</f>
        <v>0</v>
      </c>
      <c r="AP17" t="e">
        <f t="shared" ref="AP17:AP30" si="26">AO17/AN17</f>
        <v>#DIV/0!</v>
      </c>
      <c r="AQ17">
        <v>-1</v>
      </c>
      <c r="AR17" t="s">
        <v>279</v>
      </c>
      <c r="AS17">
        <v>288.38952</v>
      </c>
      <c r="AT17">
        <v>410.988</v>
      </c>
      <c r="AU17">
        <f t="shared" ref="AU17:AU30" si="27">1-AS17/AT17</f>
        <v>0.29830184822914541</v>
      </c>
      <c r="AV17">
        <v>0.5</v>
      </c>
      <c r="AW17">
        <f t="shared" ref="AW17:AW30" si="28">BS17</f>
        <v>1849.1619964832553</v>
      </c>
      <c r="AX17">
        <f t="shared" ref="AX17:AX30" si="29">I17</f>
        <v>39.287813682032834</v>
      </c>
      <c r="AY17">
        <f t="shared" ref="AY17:AY30" si="30">AU17*AV17*AW17</f>
        <v>275.80422061302579</v>
      </c>
      <c r="AZ17">
        <f t="shared" ref="AZ17:AZ30" si="31">BE17/AT17</f>
        <v>0.54835664301634113</v>
      </c>
      <c r="BA17">
        <f t="shared" ref="BA17:BA30" si="32">(AX17-AQ17)/AW17</f>
        <v>2.1787065578165885E-2</v>
      </c>
      <c r="BB17">
        <f t="shared" ref="BB17:BB30" si="33">(AN17-AT17)/AT17</f>
        <v>-1</v>
      </c>
      <c r="BC17" t="s">
        <v>280</v>
      </c>
      <c r="BD17">
        <v>185.62</v>
      </c>
      <c r="BE17">
        <f t="shared" ref="BE17:BE30" si="34">AT17-BD17</f>
        <v>225.36799999999999</v>
      </c>
      <c r="BF17">
        <f t="shared" ref="BF17:BF30" si="35">(AT17-AS17)/(AT17-BD17)</f>
        <v>0.54399240353555078</v>
      </c>
      <c r="BG17">
        <f t="shared" ref="BG17:BG30" si="36">(AN17-AT17)/(AN17-BD17)</f>
        <v>2.2141364077146859</v>
      </c>
      <c r="BH17">
        <f t="shared" ref="BH17:BH30" si="37">(AT17-AS17)/(AT17-AM17)</f>
        <v>0.29830184822914535</v>
      </c>
      <c r="BI17" t="e">
        <f t="shared" ref="BI17:BI30" si="38">(AN17-AT17)/(AN17-AM17)</f>
        <v>#DIV/0!</v>
      </c>
      <c r="BJ17">
        <v>4959</v>
      </c>
      <c r="BK17">
        <v>300</v>
      </c>
      <c r="BL17">
        <v>300</v>
      </c>
      <c r="BM17">
        <v>300</v>
      </c>
      <c r="BN17">
        <v>9873.83</v>
      </c>
      <c r="BO17">
        <v>376.255</v>
      </c>
      <c r="BP17">
        <v>-6.4040399999999997E-3</v>
      </c>
      <c r="BQ17">
        <v>1.6039399999999999</v>
      </c>
      <c r="BR17">
        <f t="shared" ref="BR17:BR30" si="39">$B$11*CJ17+$C$11*CK17+$F$11*CL17</f>
        <v>2199.9722580645198</v>
      </c>
      <c r="BS17">
        <f t="shared" ref="BS17:BS30" si="40">BR17*BT17</f>
        <v>1849.1619964832553</v>
      </c>
      <c r="BT17">
        <f t="shared" ref="BT17:BT30" si="41">($B$11*$D$9+$C$11*$D$9+$F$11*((CY17+CQ17)/MAX(CY17+CQ17+CZ17, 0.1)*$I$9+CZ17/MAX(CY17+CQ17+CZ17, 0.1)*$J$9))/($B$11+$C$11+$F$11)</f>
        <v>0.840538779389019</v>
      </c>
      <c r="BU17">
        <f t="shared" ref="BU17:BU30" si="42">($B$11*$K$9+$C$11*$K$9+$F$11*((CY17+CQ17)/MAX(CY17+CQ17+CZ17, 0.1)*$P$9+CZ17/MAX(CY17+CQ17+CZ17, 0.1)*$Q$9))/($B$11+$C$11+$F$11)</f>
        <v>0.19107755877803831</v>
      </c>
      <c r="BV17">
        <v>0.5</v>
      </c>
      <c r="BW17" t="s">
        <v>281</v>
      </c>
      <c r="BX17">
        <v>1595005650.15484</v>
      </c>
      <c r="BY17">
        <v>382.39558064516098</v>
      </c>
      <c r="BZ17">
        <v>399.99661290322598</v>
      </c>
      <c r="CA17">
        <v>21.1642935483871</v>
      </c>
      <c r="CB17">
        <v>16.3316709677419</v>
      </c>
      <c r="CC17">
        <v>500.064387096774</v>
      </c>
      <c r="CD17">
        <v>99.691012903225797</v>
      </c>
      <c r="CE17">
        <v>0.20000764516128999</v>
      </c>
      <c r="CF17">
        <v>28.206299999999999</v>
      </c>
      <c r="CG17">
        <v>27.178983870967699</v>
      </c>
      <c r="CH17">
        <v>999.9</v>
      </c>
      <c r="CI17">
        <v>9994.5554838709704</v>
      </c>
      <c r="CJ17">
        <v>0</v>
      </c>
      <c r="CK17">
        <v>287.08903225806398</v>
      </c>
      <c r="CL17">
        <v>2199.9722580645198</v>
      </c>
      <c r="CM17">
        <v>0.98200103225806501</v>
      </c>
      <c r="CN17">
        <v>1.79993161290323E-2</v>
      </c>
      <c r="CO17">
        <v>0</v>
      </c>
      <c r="CP17">
        <v>288.487129032258</v>
      </c>
      <c r="CQ17">
        <v>5.00054</v>
      </c>
      <c r="CR17">
        <v>9262.8796774193597</v>
      </c>
      <c r="CS17">
        <v>20590.277419354799</v>
      </c>
      <c r="CT17">
        <v>49.316193548387098</v>
      </c>
      <c r="CU17">
        <v>51.03</v>
      </c>
      <c r="CV17">
        <v>49.590483870967702</v>
      </c>
      <c r="CW17">
        <v>50.108741935483899</v>
      </c>
      <c r="CX17">
        <v>50.741806451612902</v>
      </c>
      <c r="CY17">
        <v>2155.46225806452</v>
      </c>
      <c r="CZ17">
        <v>39.51</v>
      </c>
      <c r="DA17">
        <v>0</v>
      </c>
      <c r="DB17">
        <v>578</v>
      </c>
      <c r="DC17">
        <v>288.38952</v>
      </c>
      <c r="DD17">
        <v>-5.72476921732361</v>
      </c>
      <c r="DE17">
        <v>-1889.7484578492299</v>
      </c>
      <c r="DF17">
        <v>9243.9671999999991</v>
      </c>
      <c r="DG17">
        <v>15</v>
      </c>
      <c r="DH17">
        <v>1595005687.7</v>
      </c>
      <c r="DI17" t="s">
        <v>282</v>
      </c>
      <c r="DJ17">
        <v>43</v>
      </c>
      <c r="DK17">
        <v>-0.48699999999999999</v>
      </c>
      <c r="DL17">
        <v>0.1</v>
      </c>
      <c r="DM17">
        <v>400</v>
      </c>
      <c r="DN17">
        <v>16</v>
      </c>
      <c r="DO17">
        <v>0.2</v>
      </c>
      <c r="DP17">
        <v>0.02</v>
      </c>
      <c r="DQ17">
        <v>382.59339215686299</v>
      </c>
      <c r="DR17">
        <v>0.121083830028031</v>
      </c>
      <c r="DS17">
        <v>2.34437820941392E-2</v>
      </c>
      <c r="DT17">
        <v>1</v>
      </c>
      <c r="DU17">
        <v>21.156035294117601</v>
      </c>
      <c r="DV17">
        <v>0.19429816936149899</v>
      </c>
      <c r="DW17">
        <v>2.7361335418686801E-2</v>
      </c>
      <c r="DX17">
        <v>1</v>
      </c>
      <c r="DY17">
        <v>2</v>
      </c>
      <c r="DZ17">
        <v>2</v>
      </c>
      <c r="EA17" t="s">
        <v>283</v>
      </c>
      <c r="EB17">
        <v>1.86666</v>
      </c>
      <c r="EC17">
        <v>1.86314</v>
      </c>
      <c r="ED17">
        <v>1.8688400000000001</v>
      </c>
      <c r="EE17">
        <v>1.86676</v>
      </c>
      <c r="EF17">
        <v>1.87148</v>
      </c>
      <c r="EG17">
        <v>1.86389</v>
      </c>
      <c r="EH17">
        <v>1.8653999999999999</v>
      </c>
      <c r="EI17">
        <v>1.86537</v>
      </c>
      <c r="EJ17" t="s">
        <v>284</v>
      </c>
      <c r="EK17" t="s">
        <v>19</v>
      </c>
      <c r="EL17" t="s">
        <v>19</v>
      </c>
      <c r="EM17" t="s">
        <v>19</v>
      </c>
      <c r="EN17" t="s">
        <v>285</v>
      </c>
      <c r="EO17" t="s">
        <v>286</v>
      </c>
      <c r="EP17" t="s">
        <v>287</v>
      </c>
      <c r="EQ17" t="s">
        <v>287</v>
      </c>
      <c r="ER17" t="s">
        <v>287</v>
      </c>
      <c r="ES17" t="s">
        <v>287</v>
      </c>
      <c r="ET17">
        <v>0</v>
      </c>
      <c r="EU17">
        <v>100</v>
      </c>
      <c r="EV17">
        <v>100</v>
      </c>
      <c r="EW17">
        <v>-0.48699999999999999</v>
      </c>
      <c r="EX17">
        <v>0.1</v>
      </c>
      <c r="EY17">
        <v>2</v>
      </c>
      <c r="EZ17">
        <v>322.90699999999998</v>
      </c>
      <c r="FA17">
        <v>465.08699999999999</v>
      </c>
      <c r="FB17">
        <v>21.843699999999998</v>
      </c>
      <c r="FC17">
        <v>37.094900000000003</v>
      </c>
      <c r="FD17">
        <v>30.000800000000002</v>
      </c>
      <c r="FE17">
        <v>37.193600000000004</v>
      </c>
      <c r="FF17">
        <v>37.207299999999996</v>
      </c>
      <c r="FG17">
        <v>22.003699999999998</v>
      </c>
      <c r="FH17">
        <v>54.088000000000001</v>
      </c>
      <c r="FI17">
        <v>0</v>
      </c>
      <c r="FJ17">
        <v>21.582699999999999</v>
      </c>
      <c r="FK17">
        <v>400</v>
      </c>
      <c r="FL17">
        <v>16.2624</v>
      </c>
      <c r="FM17">
        <v>100.22799999999999</v>
      </c>
      <c r="FN17">
        <v>100.48</v>
      </c>
    </row>
    <row r="18" spans="1:170" x14ac:dyDescent="0.25">
      <c r="A18">
        <v>2</v>
      </c>
      <c r="B18">
        <v>1595005787.7</v>
      </c>
      <c r="C18">
        <v>129.5</v>
      </c>
      <c r="D18" t="s">
        <v>288</v>
      </c>
      <c r="E18" t="s">
        <v>289</v>
      </c>
      <c r="G18">
        <v>1595005779.6838701</v>
      </c>
      <c r="H18">
        <f t="shared" si="0"/>
        <v>1.2437720909679654E-2</v>
      </c>
      <c r="I18">
        <f t="shared" si="1"/>
        <v>30.169329527566013</v>
      </c>
      <c r="J18">
        <f t="shared" si="2"/>
        <v>286.50887096774198</v>
      </c>
      <c r="K18">
        <f t="shared" si="3"/>
        <v>220.40316951996746</v>
      </c>
      <c r="L18">
        <f t="shared" si="4"/>
        <v>22.017531587014407</v>
      </c>
      <c r="M18">
        <f t="shared" si="5"/>
        <v>28.62126769878688</v>
      </c>
      <c r="N18">
        <f t="shared" si="6"/>
        <v>0.90824634532229986</v>
      </c>
      <c r="O18">
        <f t="shared" si="7"/>
        <v>3.3933089481913399</v>
      </c>
      <c r="P18">
        <f t="shared" si="8"/>
        <v>0.79176362732428418</v>
      </c>
      <c r="Q18">
        <f t="shared" si="9"/>
        <v>0.50406763774471697</v>
      </c>
      <c r="R18">
        <f t="shared" si="10"/>
        <v>353.33712305627256</v>
      </c>
      <c r="S18">
        <f t="shared" si="11"/>
        <v>26.603721342420247</v>
      </c>
      <c r="T18">
        <f t="shared" si="12"/>
        <v>26.985499999999998</v>
      </c>
      <c r="U18">
        <f t="shared" si="13"/>
        <v>3.5761127383444635</v>
      </c>
      <c r="V18">
        <f t="shared" si="14"/>
        <v>55.304686529020806</v>
      </c>
      <c r="W18">
        <f t="shared" si="15"/>
        <v>2.0510467804119243</v>
      </c>
      <c r="X18">
        <f t="shared" si="16"/>
        <v>3.7086310566748253</v>
      </c>
      <c r="Y18">
        <f t="shared" si="17"/>
        <v>1.5250659579325392</v>
      </c>
      <c r="Z18">
        <f t="shared" si="18"/>
        <v>-548.50349211687274</v>
      </c>
      <c r="AA18">
        <f t="shared" si="19"/>
        <v>113.58690058477283</v>
      </c>
      <c r="AB18">
        <f t="shared" si="20"/>
        <v>7.2454428794490395</v>
      </c>
      <c r="AC18">
        <f t="shared" si="21"/>
        <v>-74.334025596378282</v>
      </c>
      <c r="AD18">
        <v>-4.13440698803232E-2</v>
      </c>
      <c r="AE18">
        <v>4.64123403801113E-2</v>
      </c>
      <c r="AF18">
        <v>3.4658605469524102</v>
      </c>
      <c r="AG18">
        <v>159</v>
      </c>
      <c r="AH18">
        <v>32</v>
      </c>
      <c r="AI18">
        <f t="shared" si="22"/>
        <v>1</v>
      </c>
      <c r="AJ18">
        <f t="shared" si="23"/>
        <v>0</v>
      </c>
      <c r="AK18">
        <f t="shared" si="24"/>
        <v>52613.757259721213</v>
      </c>
      <c r="AL18">
        <v>0</v>
      </c>
      <c r="AM18">
        <v>0</v>
      </c>
      <c r="AN18">
        <v>0</v>
      </c>
      <c r="AO18">
        <f t="shared" si="25"/>
        <v>0</v>
      </c>
      <c r="AP18" t="e">
        <f t="shared" si="26"/>
        <v>#DIV/0!</v>
      </c>
      <c r="AQ18">
        <v>-1</v>
      </c>
      <c r="AR18" t="s">
        <v>290</v>
      </c>
      <c r="AS18">
        <v>267.61579999999998</v>
      </c>
      <c r="AT18">
        <v>370.09</v>
      </c>
      <c r="AU18">
        <f t="shared" si="27"/>
        <v>0.27688994568888647</v>
      </c>
      <c r="AV18">
        <v>0.5</v>
      </c>
      <c r="AW18">
        <f t="shared" si="28"/>
        <v>1849.1844577736526</v>
      </c>
      <c r="AX18">
        <f t="shared" si="29"/>
        <v>30.169329527566013</v>
      </c>
      <c r="AY18">
        <f t="shared" si="30"/>
        <v>256.01029204083983</v>
      </c>
      <c r="AZ18">
        <f t="shared" si="31"/>
        <v>0.50730903293793395</v>
      </c>
      <c r="BA18">
        <f t="shared" si="32"/>
        <v>1.6855716798037927E-2</v>
      </c>
      <c r="BB18">
        <f t="shared" si="33"/>
        <v>-1</v>
      </c>
      <c r="BC18" t="s">
        <v>291</v>
      </c>
      <c r="BD18">
        <v>182.34</v>
      </c>
      <c r="BE18">
        <f t="shared" si="34"/>
        <v>187.74999999999997</v>
      </c>
      <c r="BF18">
        <f t="shared" si="35"/>
        <v>0.54580133155792288</v>
      </c>
      <c r="BG18">
        <f t="shared" si="36"/>
        <v>2.029669847537567</v>
      </c>
      <c r="BH18">
        <f t="shared" si="37"/>
        <v>0.27688994568888647</v>
      </c>
      <c r="BI18" t="e">
        <f t="shared" si="38"/>
        <v>#DIV/0!</v>
      </c>
      <c r="BJ18">
        <v>4961</v>
      </c>
      <c r="BK18">
        <v>300</v>
      </c>
      <c r="BL18">
        <v>300</v>
      </c>
      <c r="BM18">
        <v>300</v>
      </c>
      <c r="BN18">
        <v>9871.64</v>
      </c>
      <c r="BO18">
        <v>339.52499999999998</v>
      </c>
      <c r="BP18">
        <v>-6.4022200000000001E-3</v>
      </c>
      <c r="BQ18">
        <v>0.85449200000000003</v>
      </c>
      <c r="BR18">
        <f t="shared" si="39"/>
        <v>2199.9993548387101</v>
      </c>
      <c r="BS18">
        <f t="shared" si="40"/>
        <v>1849.1844577736526</v>
      </c>
      <c r="BT18">
        <f t="shared" si="41"/>
        <v>0.84053863638938342</v>
      </c>
      <c r="BU18">
        <f t="shared" si="42"/>
        <v>0.19107727277876699</v>
      </c>
      <c r="BV18">
        <v>0.5</v>
      </c>
      <c r="BW18" t="s">
        <v>281</v>
      </c>
      <c r="BX18">
        <v>1595005779.6838701</v>
      </c>
      <c r="BY18">
        <v>286.50887096774198</v>
      </c>
      <c r="BZ18">
        <v>300.00048387096803</v>
      </c>
      <c r="CA18">
        <v>20.5316935483871</v>
      </c>
      <c r="CB18">
        <v>15.6593032258065</v>
      </c>
      <c r="CC18">
        <v>500.056548387097</v>
      </c>
      <c r="CD18">
        <v>99.696590322580604</v>
      </c>
      <c r="CE18">
        <v>0.20002929032258099</v>
      </c>
      <c r="CF18">
        <v>27.606396774193499</v>
      </c>
      <c r="CG18">
        <v>26.985499999999998</v>
      </c>
      <c r="CH18">
        <v>999.9</v>
      </c>
      <c r="CI18">
        <v>10000.6664516129</v>
      </c>
      <c r="CJ18">
        <v>0</v>
      </c>
      <c r="CK18">
        <v>298.697</v>
      </c>
      <c r="CL18">
        <v>2199.9993548387101</v>
      </c>
      <c r="CM18">
        <v>0.98200490322580603</v>
      </c>
      <c r="CN18">
        <v>1.79952064516129E-2</v>
      </c>
      <c r="CO18">
        <v>0</v>
      </c>
      <c r="CP18">
        <v>267.63754838709701</v>
      </c>
      <c r="CQ18">
        <v>5.00054</v>
      </c>
      <c r="CR18">
        <v>8867.4583870967708</v>
      </c>
      <c r="CS18">
        <v>20590.5709677419</v>
      </c>
      <c r="CT18">
        <v>49.846548387096803</v>
      </c>
      <c r="CU18">
        <v>51.7841290322581</v>
      </c>
      <c r="CV18">
        <v>50.183129032258002</v>
      </c>
      <c r="CW18">
        <v>50.848483870967698</v>
      </c>
      <c r="CX18">
        <v>51.227451612903202</v>
      </c>
      <c r="CY18">
        <v>2155.4993548387101</v>
      </c>
      <c r="CZ18">
        <v>39.5</v>
      </c>
      <c r="DA18">
        <v>0</v>
      </c>
      <c r="DB18">
        <v>128.59999990463299</v>
      </c>
      <c r="DC18">
        <v>267.61579999999998</v>
      </c>
      <c r="DD18">
        <v>-3.1595384711469299</v>
      </c>
      <c r="DE18">
        <v>-41.139230903405902</v>
      </c>
      <c r="DF18">
        <v>8867.4480000000003</v>
      </c>
      <c r="DG18">
        <v>15</v>
      </c>
      <c r="DH18">
        <v>1595005816.7</v>
      </c>
      <c r="DI18" t="s">
        <v>292</v>
      </c>
      <c r="DJ18">
        <v>44</v>
      </c>
      <c r="DK18">
        <v>-0.48899999999999999</v>
      </c>
      <c r="DL18">
        <v>0.09</v>
      </c>
      <c r="DM18">
        <v>300</v>
      </c>
      <c r="DN18">
        <v>16</v>
      </c>
      <c r="DO18">
        <v>0.28000000000000003</v>
      </c>
      <c r="DP18">
        <v>0.02</v>
      </c>
      <c r="DQ18">
        <v>286.49921568627502</v>
      </c>
      <c r="DR18">
        <v>0.112968801964263</v>
      </c>
      <c r="DS18">
        <v>2.1766419293092299E-2</v>
      </c>
      <c r="DT18">
        <v>1</v>
      </c>
      <c r="DU18">
        <v>20.559617647058801</v>
      </c>
      <c r="DV18">
        <v>-0.197586677012005</v>
      </c>
      <c r="DW18">
        <v>2.4504579050937898E-2</v>
      </c>
      <c r="DX18">
        <v>1</v>
      </c>
      <c r="DY18">
        <v>2</v>
      </c>
      <c r="DZ18">
        <v>2</v>
      </c>
      <c r="EA18" t="s">
        <v>283</v>
      </c>
      <c r="EB18">
        <v>1.86669</v>
      </c>
      <c r="EC18">
        <v>1.8632</v>
      </c>
      <c r="ED18">
        <v>1.8688100000000001</v>
      </c>
      <c r="EE18">
        <v>1.86676</v>
      </c>
      <c r="EF18">
        <v>1.8714900000000001</v>
      </c>
      <c r="EG18">
        <v>1.86388</v>
      </c>
      <c r="EH18">
        <v>1.8653900000000001</v>
      </c>
      <c r="EI18">
        <v>1.86538</v>
      </c>
      <c r="EJ18" t="s">
        <v>284</v>
      </c>
      <c r="EK18" t="s">
        <v>19</v>
      </c>
      <c r="EL18" t="s">
        <v>19</v>
      </c>
      <c r="EM18" t="s">
        <v>19</v>
      </c>
      <c r="EN18" t="s">
        <v>285</v>
      </c>
      <c r="EO18" t="s">
        <v>286</v>
      </c>
      <c r="EP18" t="s">
        <v>287</v>
      </c>
      <c r="EQ18" t="s">
        <v>287</v>
      </c>
      <c r="ER18" t="s">
        <v>287</v>
      </c>
      <c r="ES18" t="s">
        <v>287</v>
      </c>
      <c r="ET18">
        <v>0</v>
      </c>
      <c r="EU18">
        <v>100</v>
      </c>
      <c r="EV18">
        <v>100</v>
      </c>
      <c r="EW18">
        <v>-0.48899999999999999</v>
      </c>
      <c r="EX18">
        <v>0.09</v>
      </c>
      <c r="EY18">
        <v>2</v>
      </c>
      <c r="EZ18">
        <v>322.74799999999999</v>
      </c>
      <c r="FA18">
        <v>462.86099999999999</v>
      </c>
      <c r="FB18">
        <v>21.2834</v>
      </c>
      <c r="FC18">
        <v>37.213799999999999</v>
      </c>
      <c r="FD18">
        <v>30.001000000000001</v>
      </c>
      <c r="FE18">
        <v>37.217599999999997</v>
      </c>
      <c r="FF18">
        <v>37.228200000000001</v>
      </c>
      <c r="FG18">
        <v>17.5137</v>
      </c>
      <c r="FH18">
        <v>57.066299999999998</v>
      </c>
      <c r="FI18">
        <v>0</v>
      </c>
      <c r="FJ18">
        <v>21.549900000000001</v>
      </c>
      <c r="FK18">
        <v>300</v>
      </c>
      <c r="FL18">
        <v>15.5357</v>
      </c>
      <c r="FM18">
        <v>100.203</v>
      </c>
      <c r="FN18">
        <v>100.44799999999999</v>
      </c>
    </row>
    <row r="19" spans="1:170" x14ac:dyDescent="0.25">
      <c r="A19">
        <v>3</v>
      </c>
      <c r="B19">
        <v>1595005909.2</v>
      </c>
      <c r="C19">
        <v>251</v>
      </c>
      <c r="D19" t="s">
        <v>293</v>
      </c>
      <c r="E19" t="s">
        <v>294</v>
      </c>
      <c r="G19">
        <v>1595005901.2</v>
      </c>
      <c r="H19">
        <f t="shared" si="0"/>
        <v>1.2064599263231916E-2</v>
      </c>
      <c r="I19">
        <f t="shared" si="1"/>
        <v>19.384193776726491</v>
      </c>
      <c r="J19">
        <f t="shared" si="2"/>
        <v>191.31935483871001</v>
      </c>
      <c r="K19">
        <f t="shared" si="3"/>
        <v>146.46715145288303</v>
      </c>
      <c r="L19">
        <f t="shared" si="4"/>
        <v>14.631808795855703</v>
      </c>
      <c r="M19">
        <f t="shared" si="5"/>
        <v>19.112464407058514</v>
      </c>
      <c r="N19">
        <f t="shared" si="6"/>
        <v>0.85495724232711412</v>
      </c>
      <c r="O19">
        <f t="shared" si="7"/>
        <v>3.3934873218860981</v>
      </c>
      <c r="P19">
        <f t="shared" si="8"/>
        <v>0.75091262107934331</v>
      </c>
      <c r="Q19">
        <f t="shared" si="9"/>
        <v>0.47760916024391498</v>
      </c>
      <c r="R19">
        <f t="shared" si="10"/>
        <v>353.33527841302907</v>
      </c>
      <c r="S19">
        <f t="shared" si="11"/>
        <v>26.702407980477933</v>
      </c>
      <c r="T19">
        <f t="shared" si="12"/>
        <v>27.050403225806399</v>
      </c>
      <c r="U19">
        <f t="shared" si="13"/>
        <v>3.5897688013191811</v>
      </c>
      <c r="V19">
        <f t="shared" si="14"/>
        <v>54.689092607783941</v>
      </c>
      <c r="W19">
        <f t="shared" si="15"/>
        <v>2.0298900870453034</v>
      </c>
      <c r="X19">
        <f t="shared" si="16"/>
        <v>3.7116909245562937</v>
      </c>
      <c r="Y19">
        <f t="shared" si="17"/>
        <v>1.5598787142738777</v>
      </c>
      <c r="Z19">
        <f t="shared" si="18"/>
        <v>-532.04882750852744</v>
      </c>
      <c r="AA19">
        <f t="shared" si="19"/>
        <v>104.29961741245691</v>
      </c>
      <c r="AB19">
        <f t="shared" si="20"/>
        <v>6.6553038558098949</v>
      </c>
      <c r="AC19">
        <f t="shared" si="21"/>
        <v>-67.75862782723155</v>
      </c>
      <c r="AD19">
        <v>-4.1346832575509897E-2</v>
      </c>
      <c r="AE19">
        <v>4.6415441747483702E-2</v>
      </c>
      <c r="AF19">
        <v>3.46604376869317</v>
      </c>
      <c r="AG19">
        <v>159</v>
      </c>
      <c r="AH19">
        <v>32</v>
      </c>
      <c r="AI19">
        <f t="shared" si="22"/>
        <v>1</v>
      </c>
      <c r="AJ19">
        <f t="shared" si="23"/>
        <v>0</v>
      </c>
      <c r="AK19">
        <f t="shared" si="24"/>
        <v>52614.6959224081</v>
      </c>
      <c r="AL19">
        <v>0</v>
      </c>
      <c r="AM19">
        <v>0</v>
      </c>
      <c r="AN19">
        <v>0</v>
      </c>
      <c r="AO19">
        <f t="shared" si="25"/>
        <v>0</v>
      </c>
      <c r="AP19" t="e">
        <f t="shared" si="26"/>
        <v>#DIV/0!</v>
      </c>
      <c r="AQ19">
        <v>-1</v>
      </c>
      <c r="AR19" t="s">
        <v>295</v>
      </c>
      <c r="AS19">
        <v>260.27748000000003</v>
      </c>
      <c r="AT19">
        <v>340.97500000000002</v>
      </c>
      <c r="AU19">
        <f t="shared" si="27"/>
        <v>0.23666696971918755</v>
      </c>
      <c r="AV19">
        <v>0.5</v>
      </c>
      <c r="AW19">
        <f t="shared" si="28"/>
        <v>1849.1693513218868</v>
      </c>
      <c r="AX19">
        <f t="shared" si="29"/>
        <v>19.384193776726491</v>
      </c>
      <c r="AY19">
        <f t="shared" si="30"/>
        <v>218.81865343747333</v>
      </c>
      <c r="AZ19">
        <f t="shared" si="31"/>
        <v>0.45667570936285656</v>
      </c>
      <c r="BA19">
        <f t="shared" si="32"/>
        <v>1.1023432635931783E-2</v>
      </c>
      <c r="BB19">
        <f t="shared" si="33"/>
        <v>-1</v>
      </c>
      <c r="BC19" t="s">
        <v>296</v>
      </c>
      <c r="BD19">
        <v>185.26</v>
      </c>
      <c r="BE19">
        <f t="shared" si="34"/>
        <v>155.71500000000003</v>
      </c>
      <c r="BF19">
        <f t="shared" si="35"/>
        <v>0.51823857688726183</v>
      </c>
      <c r="BG19">
        <f t="shared" si="36"/>
        <v>1.8405214293425458</v>
      </c>
      <c r="BH19">
        <f t="shared" si="37"/>
        <v>0.2366669697191876</v>
      </c>
      <c r="BI19" t="e">
        <f t="shared" si="38"/>
        <v>#DIV/0!</v>
      </c>
      <c r="BJ19">
        <v>4963</v>
      </c>
      <c r="BK19">
        <v>300</v>
      </c>
      <c r="BL19">
        <v>300</v>
      </c>
      <c r="BM19">
        <v>300</v>
      </c>
      <c r="BN19">
        <v>9870.11</v>
      </c>
      <c r="BO19">
        <v>318.24900000000002</v>
      </c>
      <c r="BP19">
        <v>-6.4008700000000003E-3</v>
      </c>
      <c r="BQ19">
        <v>2.3247100000000001</v>
      </c>
      <c r="BR19">
        <f t="shared" si="39"/>
        <v>2199.9806451612899</v>
      </c>
      <c r="BS19">
        <f t="shared" si="40"/>
        <v>1849.1693513218868</v>
      </c>
      <c r="BT19">
        <f t="shared" si="41"/>
        <v>0.84053891809867098</v>
      </c>
      <c r="BU19">
        <f t="shared" si="42"/>
        <v>0.19107783619734223</v>
      </c>
      <c r="BV19">
        <v>0.5</v>
      </c>
      <c r="BW19" t="s">
        <v>281</v>
      </c>
      <c r="BX19">
        <v>1595005901.2</v>
      </c>
      <c r="BY19">
        <v>191.31935483871001</v>
      </c>
      <c r="BZ19">
        <v>199.995580645161</v>
      </c>
      <c r="CA19">
        <v>20.319580645161299</v>
      </c>
      <c r="CB19">
        <v>15.5921967741935</v>
      </c>
      <c r="CC19">
        <v>500.04196774193503</v>
      </c>
      <c r="CD19">
        <v>99.698245161290302</v>
      </c>
      <c r="CE19">
        <v>0.19998219354838701</v>
      </c>
      <c r="CF19">
        <v>27.620503225806502</v>
      </c>
      <c r="CG19">
        <v>27.050403225806399</v>
      </c>
      <c r="CH19">
        <v>999.9</v>
      </c>
      <c r="CI19">
        <v>10001.1687096774</v>
      </c>
      <c r="CJ19">
        <v>0</v>
      </c>
      <c r="CK19">
        <v>298.69225806451601</v>
      </c>
      <c r="CL19">
        <v>2199.9806451612899</v>
      </c>
      <c r="CM19">
        <v>0.98199403225806503</v>
      </c>
      <c r="CN19">
        <v>1.8005616129032301E-2</v>
      </c>
      <c r="CO19">
        <v>0</v>
      </c>
      <c r="CP19">
        <v>260.28590322580601</v>
      </c>
      <c r="CQ19">
        <v>5.00054</v>
      </c>
      <c r="CR19">
        <v>8680.9916129032299</v>
      </c>
      <c r="CS19">
        <v>20590.316129032301</v>
      </c>
      <c r="CT19">
        <v>50.300064516128998</v>
      </c>
      <c r="CU19">
        <v>52.445258064516104</v>
      </c>
      <c r="CV19">
        <v>50.689193548387102</v>
      </c>
      <c r="CW19">
        <v>51.437258064516101</v>
      </c>
      <c r="CX19">
        <v>51.648935483871</v>
      </c>
      <c r="CY19">
        <v>2155.46032258064</v>
      </c>
      <c r="CZ19">
        <v>39.5203225806452</v>
      </c>
      <c r="DA19">
        <v>0</v>
      </c>
      <c r="DB19">
        <v>120.700000047684</v>
      </c>
      <c r="DC19">
        <v>260.27748000000003</v>
      </c>
      <c r="DD19">
        <v>-2.8362307657645802</v>
      </c>
      <c r="DE19">
        <v>-52.188461575445601</v>
      </c>
      <c r="DF19">
        <v>8680.2451999999994</v>
      </c>
      <c r="DG19">
        <v>15</v>
      </c>
      <c r="DH19">
        <v>1595005939.7</v>
      </c>
      <c r="DI19" t="s">
        <v>297</v>
      </c>
      <c r="DJ19">
        <v>45</v>
      </c>
      <c r="DK19">
        <v>-0.44400000000000001</v>
      </c>
      <c r="DL19">
        <v>9.0999999999999998E-2</v>
      </c>
      <c r="DM19">
        <v>200</v>
      </c>
      <c r="DN19">
        <v>16</v>
      </c>
      <c r="DO19">
        <v>0.11</v>
      </c>
      <c r="DP19">
        <v>0.02</v>
      </c>
      <c r="DQ19">
        <v>191.27725490196099</v>
      </c>
      <c r="DR19">
        <v>-5.6361990949948598E-3</v>
      </c>
      <c r="DS19">
        <v>1.52686313539146E-2</v>
      </c>
      <c r="DT19">
        <v>1</v>
      </c>
      <c r="DU19">
        <v>20.300184313725499</v>
      </c>
      <c r="DV19">
        <v>0.19040144796379399</v>
      </c>
      <c r="DW19">
        <v>2.6023559254908499E-2</v>
      </c>
      <c r="DX19">
        <v>1</v>
      </c>
      <c r="DY19">
        <v>2</v>
      </c>
      <c r="DZ19">
        <v>2</v>
      </c>
      <c r="EA19" t="s">
        <v>283</v>
      </c>
      <c r="EB19">
        <v>1.8666400000000001</v>
      </c>
      <c r="EC19">
        <v>1.8631800000000001</v>
      </c>
      <c r="ED19">
        <v>1.86879</v>
      </c>
      <c r="EE19">
        <v>1.86676</v>
      </c>
      <c r="EF19">
        <v>1.87147</v>
      </c>
      <c r="EG19">
        <v>1.86388</v>
      </c>
      <c r="EH19">
        <v>1.8653900000000001</v>
      </c>
      <c r="EI19">
        <v>1.8653900000000001</v>
      </c>
      <c r="EJ19" t="s">
        <v>284</v>
      </c>
      <c r="EK19" t="s">
        <v>19</v>
      </c>
      <c r="EL19" t="s">
        <v>19</v>
      </c>
      <c r="EM19" t="s">
        <v>19</v>
      </c>
      <c r="EN19" t="s">
        <v>285</v>
      </c>
      <c r="EO19" t="s">
        <v>286</v>
      </c>
      <c r="EP19" t="s">
        <v>287</v>
      </c>
      <c r="EQ19" t="s">
        <v>287</v>
      </c>
      <c r="ER19" t="s">
        <v>287</v>
      </c>
      <c r="ES19" t="s">
        <v>287</v>
      </c>
      <c r="ET19">
        <v>0</v>
      </c>
      <c r="EU19">
        <v>100</v>
      </c>
      <c r="EV19">
        <v>100</v>
      </c>
      <c r="EW19">
        <v>-0.44400000000000001</v>
      </c>
      <c r="EX19">
        <v>9.0999999999999998E-2</v>
      </c>
      <c r="EY19">
        <v>2</v>
      </c>
      <c r="EZ19">
        <v>321.971</v>
      </c>
      <c r="FA19">
        <v>460.91300000000001</v>
      </c>
      <c r="FB19">
        <v>21.4452</v>
      </c>
      <c r="FC19">
        <v>37.4407</v>
      </c>
      <c r="FD19">
        <v>30.001200000000001</v>
      </c>
      <c r="FE19">
        <v>37.357700000000001</v>
      </c>
      <c r="FF19">
        <v>37.3568</v>
      </c>
      <c r="FG19">
        <v>12.8543</v>
      </c>
      <c r="FH19">
        <v>56.8384</v>
      </c>
      <c r="FI19">
        <v>0</v>
      </c>
      <c r="FJ19">
        <v>21.3811</v>
      </c>
      <c r="FK19">
        <v>200</v>
      </c>
      <c r="FL19">
        <v>15.6591</v>
      </c>
      <c r="FM19">
        <v>100.166</v>
      </c>
      <c r="FN19">
        <v>100.405</v>
      </c>
    </row>
    <row r="20" spans="1:170" x14ac:dyDescent="0.25">
      <c r="A20">
        <v>4</v>
      </c>
      <c r="B20">
        <v>1595006046.7</v>
      </c>
      <c r="C20">
        <v>388.5</v>
      </c>
      <c r="D20" t="s">
        <v>298</v>
      </c>
      <c r="E20" t="s">
        <v>299</v>
      </c>
      <c r="G20">
        <v>1595006038.7</v>
      </c>
      <c r="H20">
        <f t="shared" si="0"/>
        <v>1.1796917517837529E-2</v>
      </c>
      <c r="I20">
        <f t="shared" si="1"/>
        <v>7.2291420466747569</v>
      </c>
      <c r="J20">
        <f t="shared" si="2"/>
        <v>96.641832258064497</v>
      </c>
      <c r="K20">
        <f t="shared" si="3"/>
        <v>79.159696617728855</v>
      </c>
      <c r="L20">
        <f t="shared" si="4"/>
        <v>7.9083749757843025</v>
      </c>
      <c r="M20">
        <f t="shared" si="5"/>
        <v>9.6549112806030006</v>
      </c>
      <c r="N20">
        <f t="shared" si="6"/>
        <v>0.84542770808257395</v>
      </c>
      <c r="O20">
        <f t="shared" si="7"/>
        <v>3.3928308499405624</v>
      </c>
      <c r="P20">
        <f t="shared" si="8"/>
        <v>0.74352505106452838</v>
      </c>
      <c r="Q20">
        <f t="shared" si="9"/>
        <v>0.47283125383328661</v>
      </c>
      <c r="R20">
        <f t="shared" si="10"/>
        <v>353.33464249119442</v>
      </c>
      <c r="S20">
        <f t="shared" si="11"/>
        <v>26.557467755534898</v>
      </c>
      <c r="T20">
        <f t="shared" si="12"/>
        <v>26.9215709677419</v>
      </c>
      <c r="U20">
        <f t="shared" si="13"/>
        <v>3.5627060068435283</v>
      </c>
      <c r="V20">
        <f t="shared" si="14"/>
        <v>55.132448236333801</v>
      </c>
      <c r="W20">
        <f t="shared" si="15"/>
        <v>2.0219115142545214</v>
      </c>
      <c r="X20">
        <f t="shared" si="16"/>
        <v>3.6673711742081245</v>
      </c>
      <c r="Y20">
        <f t="shared" si="17"/>
        <v>1.5407944925890069</v>
      </c>
      <c r="Z20">
        <f t="shared" si="18"/>
        <v>-520.24406253663506</v>
      </c>
      <c r="AA20">
        <f t="shared" si="19"/>
        <v>90.288857076066236</v>
      </c>
      <c r="AB20">
        <f t="shared" si="20"/>
        <v>5.7527865642214238</v>
      </c>
      <c r="AC20">
        <f t="shared" si="21"/>
        <v>-70.867776405152981</v>
      </c>
      <c r="AD20">
        <v>-4.13366653015503E-2</v>
      </c>
      <c r="AE20">
        <v>4.6404028091762001E-2</v>
      </c>
      <c r="AF20">
        <v>3.4653694549632399</v>
      </c>
      <c r="AG20">
        <v>159</v>
      </c>
      <c r="AH20">
        <v>32</v>
      </c>
      <c r="AI20">
        <f t="shared" si="22"/>
        <v>1</v>
      </c>
      <c r="AJ20">
        <f t="shared" si="23"/>
        <v>0</v>
      </c>
      <c r="AK20">
        <f t="shared" si="24"/>
        <v>52638.363742988404</v>
      </c>
      <c r="AL20">
        <v>0</v>
      </c>
      <c r="AM20">
        <v>0</v>
      </c>
      <c r="AN20">
        <v>0</v>
      </c>
      <c r="AO20">
        <f t="shared" si="25"/>
        <v>0</v>
      </c>
      <c r="AP20" t="e">
        <f t="shared" si="26"/>
        <v>#DIV/0!</v>
      </c>
      <c r="AQ20">
        <v>-1</v>
      </c>
      <c r="AR20" t="s">
        <v>300</v>
      </c>
      <c r="AS20">
        <v>260.83508</v>
      </c>
      <c r="AT20">
        <v>321.18599999999998</v>
      </c>
      <c r="AU20">
        <f t="shared" si="27"/>
        <v>0.1879002198103279</v>
      </c>
      <c r="AV20">
        <v>0.5</v>
      </c>
      <c r="AW20">
        <f t="shared" si="28"/>
        <v>1849.1660900315683</v>
      </c>
      <c r="AX20">
        <f t="shared" si="29"/>
        <v>7.2291420466747569</v>
      </c>
      <c r="AY20">
        <f t="shared" si="30"/>
        <v>173.72935739136813</v>
      </c>
      <c r="AZ20">
        <f t="shared" si="31"/>
        <v>0.39219019508944969</v>
      </c>
      <c r="BA20">
        <f t="shared" si="32"/>
        <v>4.4501908676760731E-3</v>
      </c>
      <c r="BB20">
        <f t="shared" si="33"/>
        <v>-1</v>
      </c>
      <c r="BC20" t="s">
        <v>301</v>
      </c>
      <c r="BD20">
        <v>195.22</v>
      </c>
      <c r="BE20">
        <f t="shared" si="34"/>
        <v>125.96599999999998</v>
      </c>
      <c r="BF20">
        <f t="shared" si="35"/>
        <v>0.47910483781337809</v>
      </c>
      <c r="BG20">
        <f t="shared" si="36"/>
        <v>1.6452515111156643</v>
      </c>
      <c r="BH20">
        <f t="shared" si="37"/>
        <v>0.1879002198103279</v>
      </c>
      <c r="BI20" t="e">
        <f t="shared" si="38"/>
        <v>#DIV/0!</v>
      </c>
      <c r="BJ20">
        <v>4965</v>
      </c>
      <c r="BK20">
        <v>300</v>
      </c>
      <c r="BL20">
        <v>300</v>
      </c>
      <c r="BM20">
        <v>300</v>
      </c>
      <c r="BN20">
        <v>9868.6</v>
      </c>
      <c r="BO20">
        <v>306.11700000000002</v>
      </c>
      <c r="BP20">
        <v>-6.3997000000000004E-3</v>
      </c>
      <c r="BQ20">
        <v>1.7779199999999999</v>
      </c>
      <c r="BR20">
        <f t="shared" si="39"/>
        <v>2199.9767741935502</v>
      </c>
      <c r="BS20">
        <f t="shared" si="40"/>
        <v>1849.1660900315683</v>
      </c>
      <c r="BT20">
        <f t="shared" si="41"/>
        <v>0.84053891464805153</v>
      </c>
      <c r="BU20">
        <f t="shared" si="42"/>
        <v>0.19107782929610309</v>
      </c>
      <c r="BV20">
        <v>0.5</v>
      </c>
      <c r="BW20" t="s">
        <v>281</v>
      </c>
      <c r="BX20">
        <v>1595006038.7</v>
      </c>
      <c r="BY20">
        <v>96.641832258064497</v>
      </c>
      <c r="BZ20">
        <v>99.989261290322602</v>
      </c>
      <c r="CA20">
        <v>20.238532258064499</v>
      </c>
      <c r="CB20">
        <v>15.6156225806452</v>
      </c>
      <c r="CC20">
        <v>500.03854838709702</v>
      </c>
      <c r="CD20">
        <v>99.704090322580697</v>
      </c>
      <c r="CE20">
        <v>0.19996835483871001</v>
      </c>
      <c r="CF20">
        <v>27.415183870967699</v>
      </c>
      <c r="CG20">
        <v>26.9215709677419</v>
      </c>
      <c r="CH20">
        <v>999.9</v>
      </c>
      <c r="CI20">
        <v>9998.1232258064501</v>
      </c>
      <c r="CJ20">
        <v>0</v>
      </c>
      <c r="CK20">
        <v>176.13499999999999</v>
      </c>
      <c r="CL20">
        <v>2199.9767741935502</v>
      </c>
      <c r="CM20">
        <v>0.981997129032258</v>
      </c>
      <c r="CN20">
        <v>1.8003038709677399E-2</v>
      </c>
      <c r="CO20">
        <v>0</v>
      </c>
      <c r="CP20">
        <v>260.87570967741902</v>
      </c>
      <c r="CQ20">
        <v>5.00054</v>
      </c>
      <c r="CR20">
        <v>7569.7645161290302</v>
      </c>
      <c r="CS20">
        <v>20590.293548387101</v>
      </c>
      <c r="CT20">
        <v>50.679064516129003</v>
      </c>
      <c r="CU20">
        <v>52.924999999999997</v>
      </c>
      <c r="CV20">
        <v>51.112741935483903</v>
      </c>
      <c r="CW20">
        <v>51.882870967741901</v>
      </c>
      <c r="CX20">
        <v>52.003870967741904</v>
      </c>
      <c r="CY20">
        <v>2155.4567741935498</v>
      </c>
      <c r="CZ20">
        <v>39.520000000000003</v>
      </c>
      <c r="DA20">
        <v>0</v>
      </c>
      <c r="DB20">
        <v>137</v>
      </c>
      <c r="DC20">
        <v>260.83508</v>
      </c>
      <c r="DD20">
        <v>-1.2560000113892</v>
      </c>
      <c r="DE20">
        <v>-4780.4684515782001</v>
      </c>
      <c r="DF20">
        <v>7522.6063999999997</v>
      </c>
      <c r="DG20">
        <v>15</v>
      </c>
      <c r="DH20">
        <v>1595006075.2</v>
      </c>
      <c r="DI20" t="s">
        <v>302</v>
      </c>
      <c r="DJ20">
        <v>46</v>
      </c>
      <c r="DK20">
        <v>-0.45300000000000001</v>
      </c>
      <c r="DL20">
        <v>9.0999999999999998E-2</v>
      </c>
      <c r="DM20">
        <v>100</v>
      </c>
      <c r="DN20">
        <v>16</v>
      </c>
      <c r="DO20">
        <v>0.43</v>
      </c>
      <c r="DP20">
        <v>0.02</v>
      </c>
      <c r="DQ20">
        <v>96.6578529411765</v>
      </c>
      <c r="DR20">
        <v>-7.2906787330472594E-2</v>
      </c>
      <c r="DS20">
        <v>1.3117961835667101E-2</v>
      </c>
      <c r="DT20">
        <v>1</v>
      </c>
      <c r="DU20">
        <v>20.257425490196098</v>
      </c>
      <c r="DV20">
        <v>-0.199665882353003</v>
      </c>
      <c r="DW20">
        <v>2.5991626427900798E-2</v>
      </c>
      <c r="DX20">
        <v>1</v>
      </c>
      <c r="DY20">
        <v>2</v>
      </c>
      <c r="DZ20">
        <v>2</v>
      </c>
      <c r="EA20" t="s">
        <v>283</v>
      </c>
      <c r="EB20">
        <v>1.8667</v>
      </c>
      <c r="EC20">
        <v>1.8632</v>
      </c>
      <c r="ED20">
        <v>1.8688400000000001</v>
      </c>
      <c r="EE20">
        <v>1.86676</v>
      </c>
      <c r="EF20">
        <v>1.8714900000000001</v>
      </c>
      <c r="EG20">
        <v>1.8638999999999999</v>
      </c>
      <c r="EH20">
        <v>1.8653999999999999</v>
      </c>
      <c r="EI20">
        <v>1.86538</v>
      </c>
      <c r="EJ20" t="s">
        <v>284</v>
      </c>
      <c r="EK20" t="s">
        <v>19</v>
      </c>
      <c r="EL20" t="s">
        <v>19</v>
      </c>
      <c r="EM20" t="s">
        <v>19</v>
      </c>
      <c r="EN20" t="s">
        <v>285</v>
      </c>
      <c r="EO20" t="s">
        <v>286</v>
      </c>
      <c r="EP20" t="s">
        <v>287</v>
      </c>
      <c r="EQ20" t="s">
        <v>287</v>
      </c>
      <c r="ER20" t="s">
        <v>287</v>
      </c>
      <c r="ES20" t="s">
        <v>287</v>
      </c>
      <c r="ET20">
        <v>0</v>
      </c>
      <c r="EU20">
        <v>100</v>
      </c>
      <c r="EV20">
        <v>100</v>
      </c>
      <c r="EW20">
        <v>-0.45300000000000001</v>
      </c>
      <c r="EX20">
        <v>9.0999999999999998E-2</v>
      </c>
      <c r="EY20">
        <v>2</v>
      </c>
      <c r="EZ20">
        <v>321.87700000000001</v>
      </c>
      <c r="FA20">
        <v>459.35599999999999</v>
      </c>
      <c r="FB20">
        <v>21.247299999999999</v>
      </c>
      <c r="FC20">
        <v>37.658700000000003</v>
      </c>
      <c r="FD20">
        <v>29.9998</v>
      </c>
      <c r="FE20">
        <v>37.534500000000001</v>
      </c>
      <c r="FF20">
        <v>37.523299999999999</v>
      </c>
      <c r="FG20">
        <v>8.0161300000000004</v>
      </c>
      <c r="FH20">
        <v>57.219299999999997</v>
      </c>
      <c r="FI20">
        <v>0</v>
      </c>
      <c r="FJ20">
        <v>21.553599999999999</v>
      </c>
      <c r="FK20">
        <v>100</v>
      </c>
      <c r="FL20">
        <v>15.632</v>
      </c>
      <c r="FM20">
        <v>100.129</v>
      </c>
      <c r="FN20">
        <v>100.363</v>
      </c>
    </row>
    <row r="21" spans="1:170" x14ac:dyDescent="0.25">
      <c r="A21">
        <v>5</v>
      </c>
      <c r="B21">
        <v>1595006182.2</v>
      </c>
      <c r="C21">
        <v>524</v>
      </c>
      <c r="D21" t="s">
        <v>303</v>
      </c>
      <c r="E21" t="s">
        <v>304</v>
      </c>
      <c r="G21">
        <v>1595006174.2</v>
      </c>
      <c r="H21">
        <f t="shared" si="0"/>
        <v>1.0786676083251312E-2</v>
      </c>
      <c r="I21">
        <f t="shared" si="1"/>
        <v>0.78326707653044825</v>
      </c>
      <c r="J21">
        <f t="shared" si="2"/>
        <v>49.494399999999999</v>
      </c>
      <c r="K21">
        <f t="shared" si="3"/>
        <v>46.465116752165613</v>
      </c>
      <c r="L21">
        <f t="shared" si="4"/>
        <v>4.6415330773519168</v>
      </c>
      <c r="M21">
        <f t="shared" si="5"/>
        <v>4.9441368235232002</v>
      </c>
      <c r="N21">
        <f t="shared" si="6"/>
        <v>0.75973307776789123</v>
      </c>
      <c r="O21">
        <f t="shared" si="7"/>
        <v>3.3897959190128031</v>
      </c>
      <c r="P21">
        <f t="shared" si="8"/>
        <v>0.6762890497183579</v>
      </c>
      <c r="Q21">
        <f t="shared" si="9"/>
        <v>0.42941154136572068</v>
      </c>
      <c r="R21">
        <f t="shared" si="10"/>
        <v>353.33485258249635</v>
      </c>
      <c r="S21">
        <f t="shared" si="11"/>
        <v>27.307734352155805</v>
      </c>
      <c r="T21">
        <f t="shared" si="12"/>
        <v>27.078806451612898</v>
      </c>
      <c r="U21">
        <f t="shared" si="13"/>
        <v>3.5957593304908184</v>
      </c>
      <c r="V21">
        <f t="shared" si="14"/>
        <v>54.153730369556165</v>
      </c>
      <c r="W21">
        <f t="shared" si="15"/>
        <v>2.0474925297156621</v>
      </c>
      <c r="X21">
        <f t="shared" si="16"/>
        <v>3.7808891755806169</v>
      </c>
      <c r="Y21">
        <f t="shared" si="17"/>
        <v>1.5482668007751563</v>
      </c>
      <c r="Z21">
        <f t="shared" si="18"/>
        <v>-475.69241527138286</v>
      </c>
      <c r="AA21">
        <f t="shared" si="19"/>
        <v>156.80597655177721</v>
      </c>
      <c r="AB21">
        <f t="shared" si="20"/>
        <v>10.033870625753879</v>
      </c>
      <c r="AC21">
        <f t="shared" si="21"/>
        <v>44.482284488644581</v>
      </c>
      <c r="AD21">
        <v>-4.12896725809766E-2</v>
      </c>
      <c r="AE21">
        <v>4.6351274646129599E-2</v>
      </c>
      <c r="AF21">
        <v>3.4622520600444502</v>
      </c>
      <c r="AG21">
        <v>159</v>
      </c>
      <c r="AH21">
        <v>32</v>
      </c>
      <c r="AI21">
        <f t="shared" si="22"/>
        <v>1</v>
      </c>
      <c r="AJ21">
        <f t="shared" si="23"/>
        <v>0</v>
      </c>
      <c r="AK21">
        <f t="shared" si="24"/>
        <v>52489.571535782976</v>
      </c>
      <c r="AL21">
        <v>0</v>
      </c>
      <c r="AM21">
        <v>0</v>
      </c>
      <c r="AN21">
        <v>0</v>
      </c>
      <c r="AO21">
        <f t="shared" si="25"/>
        <v>0</v>
      </c>
      <c r="AP21" t="e">
        <f t="shared" si="26"/>
        <v>#DIV/0!</v>
      </c>
      <c r="AQ21">
        <v>-1</v>
      </c>
      <c r="AR21" t="s">
        <v>305</v>
      </c>
      <c r="AS21">
        <v>261.67520000000002</v>
      </c>
      <c r="AT21">
        <v>315.85700000000003</v>
      </c>
      <c r="AU21">
        <f t="shared" si="27"/>
        <v>0.17153901923971926</v>
      </c>
      <c r="AV21">
        <v>0.5</v>
      </c>
      <c r="AW21">
        <f t="shared" si="28"/>
        <v>1849.1686369310903</v>
      </c>
      <c r="AX21">
        <f t="shared" si="29"/>
        <v>0.78326707653044825</v>
      </c>
      <c r="AY21">
        <f t="shared" si="30"/>
        <v>158.60228719400388</v>
      </c>
      <c r="AZ21">
        <f t="shared" si="31"/>
        <v>0.3708545322725158</v>
      </c>
      <c r="BA21">
        <f t="shared" si="32"/>
        <v>9.6436151950423873E-4</v>
      </c>
      <c r="BB21">
        <f t="shared" si="33"/>
        <v>-1</v>
      </c>
      <c r="BC21" t="s">
        <v>306</v>
      </c>
      <c r="BD21">
        <v>198.72</v>
      </c>
      <c r="BE21">
        <f t="shared" si="34"/>
        <v>117.13700000000003</v>
      </c>
      <c r="BF21">
        <f t="shared" si="35"/>
        <v>0.46255068851003522</v>
      </c>
      <c r="BG21">
        <f t="shared" si="36"/>
        <v>1.5894575281803545</v>
      </c>
      <c r="BH21">
        <f t="shared" si="37"/>
        <v>0.17153901923971926</v>
      </c>
      <c r="BI21" t="e">
        <f t="shared" si="38"/>
        <v>#DIV/0!</v>
      </c>
      <c r="BJ21">
        <v>4967</v>
      </c>
      <c r="BK21">
        <v>300</v>
      </c>
      <c r="BL21">
        <v>300</v>
      </c>
      <c r="BM21">
        <v>300</v>
      </c>
      <c r="BN21">
        <v>9870.2099999999991</v>
      </c>
      <c r="BO21">
        <v>300.14</v>
      </c>
      <c r="BP21">
        <v>-6.4008099999999998E-3</v>
      </c>
      <c r="BQ21">
        <v>1.18753</v>
      </c>
      <c r="BR21">
        <f t="shared" si="39"/>
        <v>2199.98</v>
      </c>
      <c r="BS21">
        <f t="shared" si="40"/>
        <v>1849.1686369310903</v>
      </c>
      <c r="BT21">
        <f t="shared" si="41"/>
        <v>0.84053883986722167</v>
      </c>
      <c r="BU21">
        <f t="shared" si="42"/>
        <v>0.19107767973444353</v>
      </c>
      <c r="BV21">
        <v>0.5</v>
      </c>
      <c r="BW21" t="s">
        <v>281</v>
      </c>
      <c r="BX21">
        <v>1595006174.2</v>
      </c>
      <c r="BY21">
        <v>49.494399999999999</v>
      </c>
      <c r="BZ21">
        <v>50.021212903225802</v>
      </c>
      <c r="CA21">
        <v>20.496887096774199</v>
      </c>
      <c r="CB21">
        <v>16.271022580645202</v>
      </c>
      <c r="CC21">
        <v>500.04361290322601</v>
      </c>
      <c r="CD21">
        <v>99.6928870967742</v>
      </c>
      <c r="CE21">
        <v>0.19996590322580601</v>
      </c>
      <c r="CF21">
        <v>27.936838709677399</v>
      </c>
      <c r="CG21">
        <v>27.078806451612898</v>
      </c>
      <c r="CH21">
        <v>999.9</v>
      </c>
      <c r="CI21">
        <v>9987.8793548387093</v>
      </c>
      <c r="CJ21">
        <v>0</v>
      </c>
      <c r="CK21">
        <v>135.42164516129</v>
      </c>
      <c r="CL21">
        <v>2199.98</v>
      </c>
      <c r="CM21">
        <v>0.98199661290322604</v>
      </c>
      <c r="CN21">
        <v>1.8003164516128999E-2</v>
      </c>
      <c r="CO21">
        <v>0</v>
      </c>
      <c r="CP21">
        <v>261.66216129032301</v>
      </c>
      <c r="CQ21">
        <v>5.00054</v>
      </c>
      <c r="CR21">
        <v>7335.5083870967701</v>
      </c>
      <c r="CS21">
        <v>20590.3322580645</v>
      </c>
      <c r="CT21">
        <v>50.298096774193503</v>
      </c>
      <c r="CU21">
        <v>52.342483870967698</v>
      </c>
      <c r="CV21">
        <v>50.747903225806397</v>
      </c>
      <c r="CW21">
        <v>51.277967741935498</v>
      </c>
      <c r="CX21">
        <v>51.717483870967698</v>
      </c>
      <c r="CY21">
        <v>2155.46225806452</v>
      </c>
      <c r="CZ21">
        <v>39.514516129032302</v>
      </c>
      <c r="DA21">
        <v>0</v>
      </c>
      <c r="DB21">
        <v>134.5</v>
      </c>
      <c r="DC21">
        <v>261.67520000000002</v>
      </c>
      <c r="DD21">
        <v>-1.0960769201971901</v>
      </c>
      <c r="DE21">
        <v>81.781539101747896</v>
      </c>
      <c r="DF21">
        <v>7336.6031999999996</v>
      </c>
      <c r="DG21">
        <v>15</v>
      </c>
      <c r="DH21">
        <v>1595006212.7</v>
      </c>
      <c r="DI21" t="s">
        <v>307</v>
      </c>
      <c r="DJ21">
        <v>47</v>
      </c>
      <c r="DK21">
        <v>-0.47499999999999998</v>
      </c>
      <c r="DL21">
        <v>0.105</v>
      </c>
      <c r="DM21">
        <v>50</v>
      </c>
      <c r="DN21">
        <v>16</v>
      </c>
      <c r="DO21">
        <v>0.2</v>
      </c>
      <c r="DP21">
        <v>0.02</v>
      </c>
      <c r="DQ21">
        <v>49.495898039215703</v>
      </c>
      <c r="DR21">
        <v>0.182750769230726</v>
      </c>
      <c r="DS21">
        <v>3.0658904538940799E-2</v>
      </c>
      <c r="DT21">
        <v>1</v>
      </c>
      <c r="DU21">
        <v>20.469584313725498</v>
      </c>
      <c r="DV21">
        <v>0.17156742081446699</v>
      </c>
      <c r="DW21">
        <v>3.5397736565221001E-2</v>
      </c>
      <c r="DX21">
        <v>1</v>
      </c>
      <c r="DY21">
        <v>2</v>
      </c>
      <c r="DZ21">
        <v>2</v>
      </c>
      <c r="EA21" t="s">
        <v>283</v>
      </c>
      <c r="EB21">
        <v>1.8667</v>
      </c>
      <c r="EC21">
        <v>1.86321</v>
      </c>
      <c r="ED21">
        <v>1.86887</v>
      </c>
      <c r="EE21">
        <v>1.86676</v>
      </c>
      <c r="EF21">
        <v>1.8714900000000001</v>
      </c>
      <c r="EG21">
        <v>1.8638999999999999</v>
      </c>
      <c r="EH21">
        <v>1.8653999999999999</v>
      </c>
      <c r="EI21">
        <v>1.8653900000000001</v>
      </c>
      <c r="EJ21" t="s">
        <v>284</v>
      </c>
      <c r="EK21" t="s">
        <v>19</v>
      </c>
      <c r="EL21" t="s">
        <v>19</v>
      </c>
      <c r="EM21" t="s">
        <v>19</v>
      </c>
      <c r="EN21" t="s">
        <v>285</v>
      </c>
      <c r="EO21" t="s">
        <v>286</v>
      </c>
      <c r="EP21" t="s">
        <v>287</v>
      </c>
      <c r="EQ21" t="s">
        <v>287</v>
      </c>
      <c r="ER21" t="s">
        <v>287</v>
      </c>
      <c r="ES21" t="s">
        <v>287</v>
      </c>
      <c r="ET21">
        <v>0</v>
      </c>
      <c r="EU21">
        <v>100</v>
      </c>
      <c r="EV21">
        <v>100</v>
      </c>
      <c r="EW21">
        <v>-0.47499999999999998</v>
      </c>
      <c r="EX21">
        <v>0.105</v>
      </c>
      <c r="EY21">
        <v>2</v>
      </c>
      <c r="EZ21">
        <v>322.661</v>
      </c>
      <c r="FA21">
        <v>461.02</v>
      </c>
      <c r="FB21">
        <v>22.229199999999999</v>
      </c>
      <c r="FC21">
        <v>37.467700000000001</v>
      </c>
      <c r="FD21">
        <v>29.9985</v>
      </c>
      <c r="FE21">
        <v>37.467599999999997</v>
      </c>
      <c r="FF21">
        <v>37.456600000000002</v>
      </c>
      <c r="FG21">
        <v>5.5667799999999996</v>
      </c>
      <c r="FH21">
        <v>53.962600000000002</v>
      </c>
      <c r="FI21">
        <v>0</v>
      </c>
      <c r="FJ21">
        <v>22.512699999999999</v>
      </c>
      <c r="FK21">
        <v>50</v>
      </c>
      <c r="FL21">
        <v>16.5246</v>
      </c>
      <c r="FM21">
        <v>100.14400000000001</v>
      </c>
      <c r="FN21">
        <v>100.39700000000001</v>
      </c>
    </row>
    <row r="22" spans="1:170" x14ac:dyDescent="0.25">
      <c r="A22">
        <v>6</v>
      </c>
      <c r="B22">
        <v>1595006311.7</v>
      </c>
      <c r="C22">
        <v>653.5</v>
      </c>
      <c r="D22" t="s">
        <v>308</v>
      </c>
      <c r="E22" t="s">
        <v>309</v>
      </c>
      <c r="G22">
        <v>1595006303.7</v>
      </c>
      <c r="H22">
        <f t="shared" si="0"/>
        <v>1.0924965862700798E-2</v>
      </c>
      <c r="I22">
        <f t="shared" si="1"/>
        <v>36.657816444711386</v>
      </c>
      <c r="J22">
        <f t="shared" si="2"/>
        <v>383.70277419354801</v>
      </c>
      <c r="K22">
        <f t="shared" si="3"/>
        <v>291.74823917147808</v>
      </c>
      <c r="L22">
        <f t="shared" si="4"/>
        <v>29.140258329258224</v>
      </c>
      <c r="M22">
        <f t="shared" si="5"/>
        <v>38.324817292491559</v>
      </c>
      <c r="N22">
        <f t="shared" si="6"/>
        <v>0.7780092614957681</v>
      </c>
      <c r="O22">
        <f t="shared" si="7"/>
        <v>3.3927238321358901</v>
      </c>
      <c r="P22">
        <f t="shared" si="8"/>
        <v>0.6908146364935589</v>
      </c>
      <c r="Q22">
        <f t="shared" si="9"/>
        <v>0.43877614156275602</v>
      </c>
      <c r="R22">
        <f t="shared" si="10"/>
        <v>353.33924552588132</v>
      </c>
      <c r="S22">
        <f t="shared" si="11"/>
        <v>27.14001769657434</v>
      </c>
      <c r="T22">
        <f t="shared" si="12"/>
        <v>27.067900000000002</v>
      </c>
      <c r="U22">
        <f t="shared" si="13"/>
        <v>3.5934580176923498</v>
      </c>
      <c r="V22">
        <f t="shared" si="14"/>
        <v>54.88310354566044</v>
      </c>
      <c r="W22">
        <f t="shared" si="15"/>
        <v>2.0585626905006937</v>
      </c>
      <c r="X22">
        <f t="shared" si="16"/>
        <v>3.7508131966116967</v>
      </c>
      <c r="Y22">
        <f t="shared" si="17"/>
        <v>1.5348953271916561</v>
      </c>
      <c r="Z22">
        <f t="shared" si="18"/>
        <v>-481.79099454510521</v>
      </c>
      <c r="AA22">
        <f t="shared" si="19"/>
        <v>133.90261257096492</v>
      </c>
      <c r="AB22">
        <f t="shared" si="20"/>
        <v>8.5545931757138582</v>
      </c>
      <c r="AC22">
        <f t="shared" si="21"/>
        <v>14.005456727454913</v>
      </c>
      <c r="AD22">
        <v>-4.1335007920600499E-2</v>
      </c>
      <c r="AE22">
        <v>4.6402167536451301E-2</v>
      </c>
      <c r="AF22">
        <v>3.4652595287453898</v>
      </c>
      <c r="AG22">
        <v>157</v>
      </c>
      <c r="AH22">
        <v>31</v>
      </c>
      <c r="AI22">
        <f t="shared" si="22"/>
        <v>1</v>
      </c>
      <c r="AJ22">
        <f t="shared" si="23"/>
        <v>0</v>
      </c>
      <c r="AK22">
        <f t="shared" si="24"/>
        <v>52568.52079968022</v>
      </c>
      <c r="AL22">
        <v>0</v>
      </c>
      <c r="AM22">
        <v>0</v>
      </c>
      <c r="AN22">
        <v>0</v>
      </c>
      <c r="AO22">
        <f t="shared" si="25"/>
        <v>0</v>
      </c>
      <c r="AP22" t="e">
        <f t="shared" si="26"/>
        <v>#DIV/0!</v>
      </c>
      <c r="AQ22">
        <v>-1</v>
      </c>
      <c r="AR22" t="s">
        <v>310</v>
      </c>
      <c r="AS22">
        <v>255.73743999999999</v>
      </c>
      <c r="AT22">
        <v>349.93900000000002</v>
      </c>
      <c r="AU22">
        <f t="shared" si="27"/>
        <v>0.26919423099454487</v>
      </c>
      <c r="AV22">
        <v>0.5</v>
      </c>
      <c r="AW22">
        <f t="shared" si="28"/>
        <v>1849.1899739025264</v>
      </c>
      <c r="AX22">
        <f t="shared" si="29"/>
        <v>36.657816444711386</v>
      </c>
      <c r="AY22">
        <f t="shared" si="30"/>
        <v>248.89563649375654</v>
      </c>
      <c r="AZ22">
        <f t="shared" si="31"/>
        <v>0.49808395177445219</v>
      </c>
      <c r="BA22">
        <f t="shared" si="32"/>
        <v>2.036449308950038E-2</v>
      </c>
      <c r="BB22">
        <f t="shared" si="33"/>
        <v>-1</v>
      </c>
      <c r="BC22" t="s">
        <v>311</v>
      </c>
      <c r="BD22">
        <v>175.64</v>
      </c>
      <c r="BE22">
        <f t="shared" si="34"/>
        <v>174.29900000000004</v>
      </c>
      <c r="BF22">
        <f t="shared" si="35"/>
        <v>0.54045955513227273</v>
      </c>
      <c r="BG22">
        <f t="shared" si="36"/>
        <v>1.9923650649054887</v>
      </c>
      <c r="BH22">
        <f t="shared" si="37"/>
        <v>0.26919423099454481</v>
      </c>
      <c r="BI22" t="e">
        <f t="shared" si="38"/>
        <v>#DIV/0!</v>
      </c>
      <c r="BJ22">
        <v>4969</v>
      </c>
      <c r="BK22">
        <v>300</v>
      </c>
      <c r="BL22">
        <v>300</v>
      </c>
      <c r="BM22">
        <v>300</v>
      </c>
      <c r="BN22">
        <v>9869.8799999999992</v>
      </c>
      <c r="BO22">
        <v>322.77800000000002</v>
      </c>
      <c r="BP22">
        <v>-6.4007100000000004E-3</v>
      </c>
      <c r="BQ22">
        <v>1.1587799999999999</v>
      </c>
      <c r="BR22">
        <f t="shared" si="39"/>
        <v>2200.0051612903198</v>
      </c>
      <c r="BS22">
        <f t="shared" si="40"/>
        <v>1849.1899739025264</v>
      </c>
      <c r="BT22">
        <f t="shared" si="41"/>
        <v>0.84053892528959451</v>
      </c>
      <c r="BU22">
        <f t="shared" si="42"/>
        <v>0.191077850579189</v>
      </c>
      <c r="BV22">
        <v>0.5</v>
      </c>
      <c r="BW22" t="s">
        <v>281</v>
      </c>
      <c r="BX22">
        <v>1595006303.7</v>
      </c>
      <c r="BY22">
        <v>383.70277419354801</v>
      </c>
      <c r="BZ22">
        <v>400.04119354838701</v>
      </c>
      <c r="CA22">
        <v>20.610045161290302</v>
      </c>
      <c r="CB22">
        <v>16.330512903225799</v>
      </c>
      <c r="CC22">
        <v>500.04538709677399</v>
      </c>
      <c r="CD22">
        <v>99.6815741935484</v>
      </c>
      <c r="CE22">
        <v>0.19994835483871001</v>
      </c>
      <c r="CF22">
        <v>27.799974193548401</v>
      </c>
      <c r="CG22">
        <v>27.067900000000002</v>
      </c>
      <c r="CH22">
        <v>999.9</v>
      </c>
      <c r="CI22">
        <v>9999.9806451612894</v>
      </c>
      <c r="CJ22">
        <v>0</v>
      </c>
      <c r="CK22">
        <v>295.31283870967701</v>
      </c>
      <c r="CL22">
        <v>2200.0051612903198</v>
      </c>
      <c r="CM22">
        <v>0.98199416129032302</v>
      </c>
      <c r="CN22">
        <v>1.80054806451613E-2</v>
      </c>
      <c r="CO22">
        <v>0</v>
      </c>
      <c r="CP22">
        <v>255.68635483871</v>
      </c>
      <c r="CQ22">
        <v>5.00054</v>
      </c>
      <c r="CR22">
        <v>8556.1916129032306</v>
      </c>
      <c r="CS22">
        <v>20590.548387096798</v>
      </c>
      <c r="CT22">
        <v>50.265999999999998</v>
      </c>
      <c r="CU22">
        <v>52.164999999999999</v>
      </c>
      <c r="CV22">
        <v>50.656999999999996</v>
      </c>
      <c r="CW22">
        <v>51.170999999999999</v>
      </c>
      <c r="CX22">
        <v>51.606709677419403</v>
      </c>
      <c r="CY22">
        <v>2155.4838709677401</v>
      </c>
      <c r="CZ22">
        <v>39.521290322580597</v>
      </c>
      <c r="DA22">
        <v>0</v>
      </c>
      <c r="DB22">
        <v>128.69999980926499</v>
      </c>
      <c r="DC22">
        <v>255.73743999999999</v>
      </c>
      <c r="DD22">
        <v>1.0842307746359101</v>
      </c>
      <c r="DE22">
        <v>18.4046153542441</v>
      </c>
      <c r="DF22">
        <v>8556.1540000000005</v>
      </c>
      <c r="DG22">
        <v>15</v>
      </c>
      <c r="DH22">
        <v>1595006341.7</v>
      </c>
      <c r="DI22" t="s">
        <v>312</v>
      </c>
      <c r="DJ22">
        <v>48</v>
      </c>
      <c r="DK22">
        <v>-0.44800000000000001</v>
      </c>
      <c r="DL22">
        <v>0.10100000000000001</v>
      </c>
      <c r="DM22">
        <v>400</v>
      </c>
      <c r="DN22">
        <v>16</v>
      </c>
      <c r="DO22">
        <v>0.15</v>
      </c>
      <c r="DP22">
        <v>0.02</v>
      </c>
      <c r="DQ22">
        <v>383.64715686274502</v>
      </c>
      <c r="DR22">
        <v>0.29989140271482601</v>
      </c>
      <c r="DS22">
        <v>4.0362267639229697E-2</v>
      </c>
      <c r="DT22">
        <v>1</v>
      </c>
      <c r="DU22">
        <v>20.615892156862699</v>
      </c>
      <c r="DV22">
        <v>-2.1785701357472299E-2</v>
      </c>
      <c r="DW22">
        <v>2.7690759510085299E-3</v>
      </c>
      <c r="DX22">
        <v>1</v>
      </c>
      <c r="DY22">
        <v>2</v>
      </c>
      <c r="DZ22">
        <v>2</v>
      </c>
      <c r="EA22" t="s">
        <v>283</v>
      </c>
      <c r="EB22">
        <v>1.8667400000000001</v>
      </c>
      <c r="EC22">
        <v>1.86324</v>
      </c>
      <c r="ED22">
        <v>1.86887</v>
      </c>
      <c r="EE22">
        <v>1.86676</v>
      </c>
      <c r="EF22">
        <v>1.8714900000000001</v>
      </c>
      <c r="EG22">
        <v>1.8638999999999999</v>
      </c>
      <c r="EH22">
        <v>1.8654299999999999</v>
      </c>
      <c r="EI22">
        <v>1.8653900000000001</v>
      </c>
      <c r="EJ22" t="s">
        <v>284</v>
      </c>
      <c r="EK22" t="s">
        <v>19</v>
      </c>
      <c r="EL22" t="s">
        <v>19</v>
      </c>
      <c r="EM22" t="s">
        <v>19</v>
      </c>
      <c r="EN22" t="s">
        <v>285</v>
      </c>
      <c r="EO22" t="s">
        <v>286</v>
      </c>
      <c r="EP22" t="s">
        <v>287</v>
      </c>
      <c r="EQ22" t="s">
        <v>287</v>
      </c>
      <c r="ER22" t="s">
        <v>287</v>
      </c>
      <c r="ES22" t="s">
        <v>287</v>
      </c>
      <c r="ET22">
        <v>0</v>
      </c>
      <c r="EU22">
        <v>100</v>
      </c>
      <c r="EV22">
        <v>100</v>
      </c>
      <c r="EW22">
        <v>-0.44800000000000001</v>
      </c>
      <c r="EX22">
        <v>0.10100000000000001</v>
      </c>
      <c r="EY22">
        <v>2</v>
      </c>
      <c r="EZ22">
        <v>324.39800000000002</v>
      </c>
      <c r="FA22">
        <v>462.63299999999998</v>
      </c>
      <c r="FB22">
        <v>21.871700000000001</v>
      </c>
      <c r="FC22">
        <v>37.174399999999999</v>
      </c>
      <c r="FD22">
        <v>30.000399999999999</v>
      </c>
      <c r="FE22">
        <v>37.262900000000002</v>
      </c>
      <c r="FF22">
        <v>37.2744</v>
      </c>
      <c r="FG22">
        <v>22.008900000000001</v>
      </c>
      <c r="FH22">
        <v>54.6783</v>
      </c>
      <c r="FI22">
        <v>0</v>
      </c>
      <c r="FJ22">
        <v>21.795000000000002</v>
      </c>
      <c r="FK22">
        <v>400</v>
      </c>
      <c r="FL22">
        <v>16.344200000000001</v>
      </c>
      <c r="FM22">
        <v>100.206</v>
      </c>
      <c r="FN22">
        <v>100.47</v>
      </c>
    </row>
    <row r="23" spans="1:170" x14ac:dyDescent="0.25">
      <c r="A23">
        <v>7</v>
      </c>
      <c r="B23">
        <v>1595006463.2</v>
      </c>
      <c r="C23">
        <v>805</v>
      </c>
      <c r="D23" t="s">
        <v>313</v>
      </c>
      <c r="E23" t="s">
        <v>314</v>
      </c>
      <c r="G23">
        <v>1595006455.2</v>
      </c>
      <c r="H23">
        <f t="shared" si="0"/>
        <v>1.0438076115584831E-2</v>
      </c>
      <c r="I23">
        <f t="shared" si="1"/>
        <v>37.473461509835381</v>
      </c>
      <c r="J23">
        <f t="shared" si="2"/>
        <v>383.41061290322602</v>
      </c>
      <c r="K23">
        <f t="shared" si="3"/>
        <v>285.57494012474677</v>
      </c>
      <c r="L23">
        <f t="shared" si="4"/>
        <v>28.520587550845761</v>
      </c>
      <c r="M23">
        <f t="shared" si="5"/>
        <v>38.291510972402371</v>
      </c>
      <c r="N23">
        <f t="shared" si="6"/>
        <v>0.73878191482263611</v>
      </c>
      <c r="O23">
        <f t="shared" si="7"/>
        <v>3.393758890660703</v>
      </c>
      <c r="P23">
        <f t="shared" si="8"/>
        <v>0.65970261392550755</v>
      </c>
      <c r="Q23">
        <f t="shared" si="9"/>
        <v>0.4187115129667982</v>
      </c>
      <c r="R23">
        <f t="shared" si="10"/>
        <v>353.3402015467974</v>
      </c>
      <c r="S23">
        <f t="shared" si="11"/>
        <v>26.819949295101399</v>
      </c>
      <c r="T23">
        <f t="shared" si="12"/>
        <v>26.8181612903226</v>
      </c>
      <c r="U23">
        <f t="shared" si="13"/>
        <v>3.5411125612896095</v>
      </c>
      <c r="V23">
        <f t="shared" si="14"/>
        <v>54.811880777723452</v>
      </c>
      <c r="W23">
        <f t="shared" si="15"/>
        <v>2.0047925149450387</v>
      </c>
      <c r="X23">
        <f t="shared" si="16"/>
        <v>3.6575875275562941</v>
      </c>
      <c r="Y23">
        <f t="shared" si="17"/>
        <v>1.5363200463445708</v>
      </c>
      <c r="Z23">
        <f t="shared" si="18"/>
        <v>-460.31915669729102</v>
      </c>
      <c r="AA23">
        <f t="shared" si="19"/>
        <v>100.8877115983811</v>
      </c>
      <c r="AB23">
        <f t="shared" si="20"/>
        <v>6.4215550462347206</v>
      </c>
      <c r="AC23">
        <f t="shared" si="21"/>
        <v>0.3303114941222276</v>
      </c>
      <c r="AD23">
        <v>-4.1351038824638302E-2</v>
      </c>
      <c r="AE23">
        <v>4.6420163630618003E-2</v>
      </c>
      <c r="AF23">
        <v>3.4663227186980201</v>
      </c>
      <c r="AG23">
        <v>156</v>
      </c>
      <c r="AH23">
        <v>31</v>
      </c>
      <c r="AI23">
        <f t="shared" si="22"/>
        <v>1</v>
      </c>
      <c r="AJ23">
        <f t="shared" si="23"/>
        <v>0</v>
      </c>
      <c r="AK23">
        <f t="shared" si="24"/>
        <v>52663.195238759836</v>
      </c>
      <c r="AL23">
        <v>0</v>
      </c>
      <c r="AM23">
        <v>0</v>
      </c>
      <c r="AN23">
        <v>0</v>
      </c>
      <c r="AO23">
        <f t="shared" si="25"/>
        <v>0</v>
      </c>
      <c r="AP23" t="e">
        <f t="shared" si="26"/>
        <v>#DIV/0!</v>
      </c>
      <c r="AQ23">
        <v>-1</v>
      </c>
      <c r="AR23" t="s">
        <v>315</v>
      </c>
      <c r="AS23">
        <v>256.41023999999999</v>
      </c>
      <c r="AT23">
        <v>360.92500000000001</v>
      </c>
      <c r="AU23">
        <f t="shared" si="27"/>
        <v>0.28957473159243619</v>
      </c>
      <c r="AV23">
        <v>0.5</v>
      </c>
      <c r="AW23">
        <f t="shared" si="28"/>
        <v>1849.1958408523399</v>
      </c>
      <c r="AX23">
        <f t="shared" si="29"/>
        <v>37.473461509835381</v>
      </c>
      <c r="AY23">
        <f t="shared" si="30"/>
        <v>267.74019463833281</v>
      </c>
      <c r="AZ23">
        <f t="shared" si="31"/>
        <v>0.51253030407979494</v>
      </c>
      <c r="BA23">
        <f t="shared" si="32"/>
        <v>2.080550943273916E-2</v>
      </c>
      <c r="BB23">
        <f t="shared" si="33"/>
        <v>-1</v>
      </c>
      <c r="BC23" t="s">
        <v>316</v>
      </c>
      <c r="BD23">
        <v>175.94</v>
      </c>
      <c r="BE23">
        <f t="shared" si="34"/>
        <v>184.98500000000001</v>
      </c>
      <c r="BF23">
        <f t="shared" si="35"/>
        <v>0.56499045868583953</v>
      </c>
      <c r="BG23">
        <f t="shared" si="36"/>
        <v>2.0514095714448106</v>
      </c>
      <c r="BH23">
        <f t="shared" si="37"/>
        <v>0.28957473159243619</v>
      </c>
      <c r="BI23" t="e">
        <f t="shared" si="38"/>
        <v>#DIV/0!</v>
      </c>
      <c r="BJ23">
        <v>4971</v>
      </c>
      <c r="BK23">
        <v>300</v>
      </c>
      <c r="BL23">
        <v>300</v>
      </c>
      <c r="BM23">
        <v>300</v>
      </c>
      <c r="BN23">
        <v>9870.6200000000008</v>
      </c>
      <c r="BO23">
        <v>328.81400000000002</v>
      </c>
      <c r="BP23">
        <v>-6.4012499999999998E-3</v>
      </c>
      <c r="BQ23">
        <v>0.99017299999999997</v>
      </c>
      <c r="BR23">
        <f t="shared" si="39"/>
        <v>2200.0122580645202</v>
      </c>
      <c r="BS23">
        <f t="shared" si="40"/>
        <v>1849.1958408523399</v>
      </c>
      <c r="BT23">
        <f t="shared" si="41"/>
        <v>0.84053888066932225</v>
      </c>
      <c r="BU23">
        <f t="shared" si="42"/>
        <v>0.19107776133864449</v>
      </c>
      <c r="BV23">
        <v>0.5</v>
      </c>
      <c r="BW23" t="s">
        <v>281</v>
      </c>
      <c r="BX23">
        <v>1595006455.2</v>
      </c>
      <c r="BY23">
        <v>383.41061290322602</v>
      </c>
      <c r="BZ23">
        <v>399.99887096774199</v>
      </c>
      <c r="CA23">
        <v>20.073867741935501</v>
      </c>
      <c r="CB23">
        <v>15.982932258064499</v>
      </c>
      <c r="CC23">
        <v>500.05890322580598</v>
      </c>
      <c r="CD23">
        <v>99.670793548387095</v>
      </c>
      <c r="CE23">
        <v>0.199970806451613</v>
      </c>
      <c r="CF23">
        <v>27.369567741935501</v>
      </c>
      <c r="CG23">
        <v>26.8181612903226</v>
      </c>
      <c r="CH23">
        <v>999.9</v>
      </c>
      <c r="CI23">
        <v>10004.940967741901</v>
      </c>
      <c r="CJ23">
        <v>0</v>
      </c>
      <c r="CK23">
        <v>52.190893548387102</v>
      </c>
      <c r="CL23">
        <v>2200.0122580645202</v>
      </c>
      <c r="CM23">
        <v>0.98199506451612895</v>
      </c>
      <c r="CN23">
        <v>1.8004703225806499E-2</v>
      </c>
      <c r="CO23">
        <v>0</v>
      </c>
      <c r="CP23">
        <v>256.40287096774199</v>
      </c>
      <c r="CQ23">
        <v>5.00054</v>
      </c>
      <c r="CR23">
        <v>6617.8254838709699</v>
      </c>
      <c r="CS23">
        <v>20590.609677419299</v>
      </c>
      <c r="CT23">
        <v>50.199290322580602</v>
      </c>
      <c r="CU23">
        <v>52.134935483870997</v>
      </c>
      <c r="CV23">
        <v>50.598548387096798</v>
      </c>
      <c r="CW23">
        <v>51.0945483870968</v>
      </c>
      <c r="CX23">
        <v>51.606548387096801</v>
      </c>
      <c r="CY23">
        <v>2155.4896774193599</v>
      </c>
      <c r="CZ23">
        <v>39.518064516129002</v>
      </c>
      <c r="DA23">
        <v>0</v>
      </c>
      <c r="DB23">
        <v>150.799999952316</v>
      </c>
      <c r="DC23">
        <v>256.41023999999999</v>
      </c>
      <c r="DD23">
        <v>0.26576923618488801</v>
      </c>
      <c r="DE23">
        <v>172.85384640923499</v>
      </c>
      <c r="DF23">
        <v>6619.826</v>
      </c>
      <c r="DG23">
        <v>15</v>
      </c>
      <c r="DH23">
        <v>1595006492.2</v>
      </c>
      <c r="DI23" t="s">
        <v>317</v>
      </c>
      <c r="DJ23">
        <v>49</v>
      </c>
      <c r="DK23">
        <v>-0.442</v>
      </c>
      <c r="DL23">
        <v>9.9000000000000005E-2</v>
      </c>
      <c r="DM23">
        <v>400</v>
      </c>
      <c r="DN23">
        <v>16</v>
      </c>
      <c r="DO23">
        <v>0.13</v>
      </c>
      <c r="DP23">
        <v>0.03</v>
      </c>
      <c r="DQ23">
        <v>383.39117647058799</v>
      </c>
      <c r="DR23">
        <v>0.172702262443437</v>
      </c>
      <c r="DS23">
        <v>3.08924166609039E-2</v>
      </c>
      <c r="DT23">
        <v>1</v>
      </c>
      <c r="DU23">
        <v>20.098198039215699</v>
      </c>
      <c r="DV23">
        <v>-0.23650425339366099</v>
      </c>
      <c r="DW23">
        <v>2.9838943432617199E-2</v>
      </c>
      <c r="DX23">
        <v>0</v>
      </c>
      <c r="DY23">
        <v>1</v>
      </c>
      <c r="DZ23">
        <v>2</v>
      </c>
      <c r="EA23" t="s">
        <v>318</v>
      </c>
      <c r="EB23">
        <v>1.86677</v>
      </c>
      <c r="EC23">
        <v>1.86327</v>
      </c>
      <c r="ED23">
        <v>1.8689199999999999</v>
      </c>
      <c r="EE23">
        <v>1.8669</v>
      </c>
      <c r="EF23">
        <v>1.87157</v>
      </c>
      <c r="EG23">
        <v>1.8640099999999999</v>
      </c>
      <c r="EH23">
        <v>1.86554</v>
      </c>
      <c r="EI23">
        <v>1.86548</v>
      </c>
      <c r="EJ23" t="s">
        <v>284</v>
      </c>
      <c r="EK23" t="s">
        <v>19</v>
      </c>
      <c r="EL23" t="s">
        <v>19</v>
      </c>
      <c r="EM23" t="s">
        <v>19</v>
      </c>
      <c r="EN23" t="s">
        <v>285</v>
      </c>
      <c r="EO23" t="s">
        <v>286</v>
      </c>
      <c r="EP23" t="s">
        <v>287</v>
      </c>
      <c r="EQ23" t="s">
        <v>287</v>
      </c>
      <c r="ER23" t="s">
        <v>287</v>
      </c>
      <c r="ES23" t="s">
        <v>287</v>
      </c>
      <c r="ET23">
        <v>0</v>
      </c>
      <c r="EU23">
        <v>100</v>
      </c>
      <c r="EV23">
        <v>100</v>
      </c>
      <c r="EW23">
        <v>-0.442</v>
      </c>
      <c r="EX23">
        <v>9.9000000000000005E-2</v>
      </c>
      <c r="EY23">
        <v>2</v>
      </c>
      <c r="EZ23">
        <v>324.98399999999998</v>
      </c>
      <c r="FA23">
        <v>461.81799999999998</v>
      </c>
      <c r="FB23">
        <v>23.0823</v>
      </c>
      <c r="FC23">
        <v>37.0764</v>
      </c>
      <c r="FD23">
        <v>29.9985</v>
      </c>
      <c r="FE23">
        <v>37.145800000000001</v>
      </c>
      <c r="FF23">
        <v>37.152099999999997</v>
      </c>
      <c r="FG23">
        <v>21.997699999999998</v>
      </c>
      <c r="FH23">
        <v>55.465800000000002</v>
      </c>
      <c r="FI23">
        <v>0</v>
      </c>
      <c r="FJ23">
        <v>23.1401</v>
      </c>
      <c r="FK23">
        <v>400</v>
      </c>
      <c r="FL23">
        <v>16.200399999999998</v>
      </c>
      <c r="FM23">
        <v>100.227</v>
      </c>
      <c r="FN23">
        <v>100.502</v>
      </c>
    </row>
    <row r="24" spans="1:170" x14ac:dyDescent="0.25">
      <c r="A24">
        <v>8</v>
      </c>
      <c r="B24">
        <v>1595006583.7</v>
      </c>
      <c r="C24">
        <v>925.5</v>
      </c>
      <c r="D24" t="s">
        <v>319</v>
      </c>
      <c r="E24" t="s">
        <v>320</v>
      </c>
      <c r="G24">
        <v>1595006575.7</v>
      </c>
      <c r="H24">
        <f t="shared" si="0"/>
        <v>8.85729045896895E-3</v>
      </c>
      <c r="I24">
        <f t="shared" si="1"/>
        <v>44.12965643626805</v>
      </c>
      <c r="J24">
        <f t="shared" si="2"/>
        <v>480.62948387096799</v>
      </c>
      <c r="K24">
        <f t="shared" si="3"/>
        <v>342.23321561601568</v>
      </c>
      <c r="L24">
        <f t="shared" si="4"/>
        <v>34.177201175725735</v>
      </c>
      <c r="M24">
        <f t="shared" si="5"/>
        <v>47.998177300457733</v>
      </c>
      <c r="N24">
        <f t="shared" si="6"/>
        <v>0.59834569810820815</v>
      </c>
      <c r="O24">
        <f t="shared" si="7"/>
        <v>3.3936267134290028</v>
      </c>
      <c r="P24">
        <f t="shared" si="8"/>
        <v>0.54531853207976155</v>
      </c>
      <c r="Q24">
        <f t="shared" si="9"/>
        <v>0.34519589297641562</v>
      </c>
      <c r="R24">
        <f t="shared" si="10"/>
        <v>353.33408551892518</v>
      </c>
      <c r="S24">
        <f t="shared" si="11"/>
        <v>27.616786895858695</v>
      </c>
      <c r="T24">
        <f t="shared" si="12"/>
        <v>27.298906451612901</v>
      </c>
      <c r="U24">
        <f t="shared" si="13"/>
        <v>3.6424772214532153</v>
      </c>
      <c r="V24">
        <f t="shared" si="14"/>
        <v>55.075898298920563</v>
      </c>
      <c r="W24">
        <f t="shared" si="15"/>
        <v>2.0667906490910637</v>
      </c>
      <c r="X24">
        <f t="shared" si="16"/>
        <v>3.7526226769352045</v>
      </c>
      <c r="Y24">
        <f t="shared" si="17"/>
        <v>1.5756865723621516</v>
      </c>
      <c r="Z24">
        <f t="shared" si="18"/>
        <v>-390.60650924053067</v>
      </c>
      <c r="AA24">
        <f t="shared" si="19"/>
        <v>93.185415339323811</v>
      </c>
      <c r="AB24">
        <f t="shared" si="20"/>
        <v>5.9588310489957843</v>
      </c>
      <c r="AC24">
        <f t="shared" si="21"/>
        <v>61.871822666714081</v>
      </c>
      <c r="AD24">
        <v>-4.1348991551269802E-2</v>
      </c>
      <c r="AE24">
        <v>4.6417865386910902E-2</v>
      </c>
      <c r="AF24">
        <v>3.4661869488602601</v>
      </c>
      <c r="AG24">
        <v>156</v>
      </c>
      <c r="AH24">
        <v>31</v>
      </c>
      <c r="AI24">
        <f t="shared" si="22"/>
        <v>1</v>
      </c>
      <c r="AJ24">
        <f t="shared" si="23"/>
        <v>0</v>
      </c>
      <c r="AK24">
        <f t="shared" si="24"/>
        <v>52583.779645873787</v>
      </c>
      <c r="AL24">
        <v>0</v>
      </c>
      <c r="AM24">
        <v>0</v>
      </c>
      <c r="AN24">
        <v>0</v>
      </c>
      <c r="AO24">
        <f t="shared" si="25"/>
        <v>0</v>
      </c>
      <c r="AP24" t="e">
        <f t="shared" si="26"/>
        <v>#DIV/0!</v>
      </c>
      <c r="AQ24">
        <v>-1</v>
      </c>
      <c r="AR24" t="s">
        <v>321</v>
      </c>
      <c r="AS24">
        <v>261.09719999999999</v>
      </c>
      <c r="AT24">
        <v>377.84399999999999</v>
      </c>
      <c r="AU24">
        <f t="shared" si="27"/>
        <v>0.30898148442214246</v>
      </c>
      <c r="AV24">
        <v>0.5</v>
      </c>
      <c r="AW24">
        <f t="shared" si="28"/>
        <v>1849.1684706768797</v>
      </c>
      <c r="AX24">
        <f t="shared" si="29"/>
        <v>44.12965643626805</v>
      </c>
      <c r="AY24">
        <f t="shared" si="30"/>
        <v>285.67940950818263</v>
      </c>
      <c r="AZ24">
        <f t="shared" si="31"/>
        <v>0.53044113443643415</v>
      </c>
      <c r="BA24">
        <f t="shared" si="32"/>
        <v>2.440537849953095E-2</v>
      </c>
      <c r="BB24">
        <f t="shared" si="33"/>
        <v>-1</v>
      </c>
      <c r="BC24" t="s">
        <v>322</v>
      </c>
      <c r="BD24">
        <v>177.42</v>
      </c>
      <c r="BE24">
        <f t="shared" si="34"/>
        <v>200.42400000000001</v>
      </c>
      <c r="BF24">
        <f t="shared" si="35"/>
        <v>0.58249910190396359</v>
      </c>
      <c r="BG24">
        <f t="shared" si="36"/>
        <v>2.1296584376056815</v>
      </c>
      <c r="BH24">
        <f t="shared" si="37"/>
        <v>0.30898148442214252</v>
      </c>
      <c r="BI24" t="e">
        <f t="shared" si="38"/>
        <v>#DIV/0!</v>
      </c>
      <c r="BJ24">
        <v>4973</v>
      </c>
      <c r="BK24">
        <v>300</v>
      </c>
      <c r="BL24">
        <v>300</v>
      </c>
      <c r="BM24">
        <v>300</v>
      </c>
      <c r="BN24">
        <v>9871.06</v>
      </c>
      <c r="BO24">
        <v>344.27800000000002</v>
      </c>
      <c r="BP24">
        <v>-6.4018199999999999E-3</v>
      </c>
      <c r="BQ24">
        <v>1.7889699999999999</v>
      </c>
      <c r="BR24">
        <f t="shared" si="39"/>
        <v>2199.98032258065</v>
      </c>
      <c r="BS24">
        <f t="shared" si="40"/>
        <v>1849.1684706768797</v>
      </c>
      <c r="BT24">
        <f t="shared" si="41"/>
        <v>0.84053864104918163</v>
      </c>
      <c r="BU24">
        <f t="shared" si="42"/>
        <v>0.1910772820983633</v>
      </c>
      <c r="BV24">
        <v>0.5</v>
      </c>
      <c r="BW24" t="s">
        <v>281</v>
      </c>
      <c r="BX24">
        <v>1595006575.7</v>
      </c>
      <c r="BY24">
        <v>480.62948387096799</v>
      </c>
      <c r="BZ24">
        <v>499.98196774193502</v>
      </c>
      <c r="CA24">
        <v>20.6957967741935</v>
      </c>
      <c r="CB24">
        <v>17.226600000000001</v>
      </c>
      <c r="CC24">
        <v>500.057064516129</v>
      </c>
      <c r="CD24">
        <v>99.665235483871001</v>
      </c>
      <c r="CE24">
        <v>0.200001483870968</v>
      </c>
      <c r="CF24">
        <v>27.808235483871002</v>
      </c>
      <c r="CG24">
        <v>27.298906451612901</v>
      </c>
      <c r="CH24">
        <v>999.9</v>
      </c>
      <c r="CI24">
        <v>10005.0035483871</v>
      </c>
      <c r="CJ24">
        <v>0</v>
      </c>
      <c r="CK24">
        <v>294.12174193548401</v>
      </c>
      <c r="CL24">
        <v>2199.98032258065</v>
      </c>
      <c r="CM24">
        <v>0.98200529032258099</v>
      </c>
      <c r="CN24">
        <v>1.7994780645161301E-2</v>
      </c>
      <c r="CO24">
        <v>0</v>
      </c>
      <c r="CP24">
        <v>261.10345161290297</v>
      </c>
      <c r="CQ24">
        <v>5.00054</v>
      </c>
      <c r="CR24">
        <v>8638.5874193548407</v>
      </c>
      <c r="CS24">
        <v>20590.3870967742</v>
      </c>
      <c r="CT24">
        <v>50.005806451612898</v>
      </c>
      <c r="CU24">
        <v>51.795999999999999</v>
      </c>
      <c r="CV24">
        <v>50.354612903225799</v>
      </c>
      <c r="CW24">
        <v>50.810258064516098</v>
      </c>
      <c r="CX24">
        <v>51.352645161290297</v>
      </c>
      <c r="CY24">
        <v>2155.48032258065</v>
      </c>
      <c r="CZ24">
        <v>39.5</v>
      </c>
      <c r="DA24">
        <v>0</v>
      </c>
      <c r="DB24">
        <v>119.799999952316</v>
      </c>
      <c r="DC24">
        <v>261.09719999999999</v>
      </c>
      <c r="DD24">
        <v>-0.243769244444802</v>
      </c>
      <c r="DE24">
        <v>-21.804615371943299</v>
      </c>
      <c r="DF24">
        <v>8638.3760000000002</v>
      </c>
      <c r="DG24">
        <v>15</v>
      </c>
      <c r="DH24">
        <v>1595006611.7</v>
      </c>
      <c r="DI24" t="s">
        <v>323</v>
      </c>
      <c r="DJ24">
        <v>50</v>
      </c>
      <c r="DK24">
        <v>-0.41099999999999998</v>
      </c>
      <c r="DL24">
        <v>0.11600000000000001</v>
      </c>
      <c r="DM24">
        <v>500</v>
      </c>
      <c r="DN24">
        <v>17</v>
      </c>
      <c r="DO24">
        <v>0.17</v>
      </c>
      <c r="DP24">
        <v>0.03</v>
      </c>
      <c r="DQ24">
        <v>480.57276470588198</v>
      </c>
      <c r="DR24">
        <v>0.206399999999898</v>
      </c>
      <c r="DS24">
        <v>5.32870834642791E-2</v>
      </c>
      <c r="DT24">
        <v>1</v>
      </c>
      <c r="DU24">
        <v>20.662905882352899</v>
      </c>
      <c r="DV24">
        <v>0.20313339366515701</v>
      </c>
      <c r="DW24">
        <v>2.5302812459074599E-2</v>
      </c>
      <c r="DX24">
        <v>0</v>
      </c>
      <c r="DY24">
        <v>1</v>
      </c>
      <c r="DZ24">
        <v>2</v>
      </c>
      <c r="EA24" t="s">
        <v>318</v>
      </c>
      <c r="EB24">
        <v>1.8666700000000001</v>
      </c>
      <c r="EC24">
        <v>1.86311</v>
      </c>
      <c r="ED24">
        <v>1.8688</v>
      </c>
      <c r="EE24">
        <v>1.8667499999999999</v>
      </c>
      <c r="EF24">
        <v>1.87147</v>
      </c>
      <c r="EG24">
        <v>1.8638699999999999</v>
      </c>
      <c r="EH24">
        <v>1.8653900000000001</v>
      </c>
      <c r="EI24">
        <v>1.8653599999999999</v>
      </c>
      <c r="EJ24" t="s">
        <v>284</v>
      </c>
      <c r="EK24" t="s">
        <v>19</v>
      </c>
      <c r="EL24" t="s">
        <v>19</v>
      </c>
      <c r="EM24" t="s">
        <v>19</v>
      </c>
      <c r="EN24" t="s">
        <v>285</v>
      </c>
      <c r="EO24" t="s">
        <v>286</v>
      </c>
      <c r="EP24" t="s">
        <v>287</v>
      </c>
      <c r="EQ24" t="s">
        <v>287</v>
      </c>
      <c r="ER24" t="s">
        <v>287</v>
      </c>
      <c r="ES24" t="s">
        <v>287</v>
      </c>
      <c r="ET24">
        <v>0</v>
      </c>
      <c r="EU24">
        <v>100</v>
      </c>
      <c r="EV24">
        <v>100</v>
      </c>
      <c r="EW24">
        <v>-0.41099999999999998</v>
      </c>
      <c r="EX24">
        <v>0.11600000000000001</v>
      </c>
      <c r="EY24">
        <v>2</v>
      </c>
      <c r="EZ24">
        <v>325.59399999999999</v>
      </c>
      <c r="FA24">
        <v>463.67599999999999</v>
      </c>
      <c r="FB24">
        <v>21.208400000000001</v>
      </c>
      <c r="FC24">
        <v>36.8033</v>
      </c>
      <c r="FD24">
        <v>29.999500000000001</v>
      </c>
      <c r="FE24">
        <v>36.936399999999999</v>
      </c>
      <c r="FF24">
        <v>36.953800000000001</v>
      </c>
      <c r="FG24">
        <v>26.319099999999999</v>
      </c>
      <c r="FH24">
        <v>52.453099999999999</v>
      </c>
      <c r="FI24">
        <v>0</v>
      </c>
      <c r="FJ24">
        <v>20.011299999999999</v>
      </c>
      <c r="FK24">
        <v>500</v>
      </c>
      <c r="FL24">
        <v>17.218399999999999</v>
      </c>
      <c r="FM24">
        <v>100.26900000000001</v>
      </c>
      <c r="FN24">
        <v>100.553</v>
      </c>
    </row>
    <row r="25" spans="1:170" x14ac:dyDescent="0.25">
      <c r="A25">
        <v>9</v>
      </c>
      <c r="B25">
        <v>1595006705.2</v>
      </c>
      <c r="C25">
        <v>1047</v>
      </c>
      <c r="D25" t="s">
        <v>324</v>
      </c>
      <c r="E25" t="s">
        <v>325</v>
      </c>
      <c r="G25">
        <v>1595006697.2</v>
      </c>
      <c r="H25">
        <f t="shared" si="0"/>
        <v>9.1991421389672236E-3</v>
      </c>
      <c r="I25">
        <f t="shared" si="1"/>
        <v>47.812986166535794</v>
      </c>
      <c r="J25">
        <f t="shared" si="2"/>
        <v>578.67870967741896</v>
      </c>
      <c r="K25">
        <f t="shared" si="3"/>
        <v>430.77985207089529</v>
      </c>
      <c r="L25">
        <f t="shared" si="4"/>
        <v>43.01825435669906</v>
      </c>
      <c r="M25">
        <f t="shared" si="5"/>
        <v>57.78763283388831</v>
      </c>
      <c r="N25">
        <f t="shared" si="6"/>
        <v>0.61620020604171977</v>
      </c>
      <c r="O25">
        <f t="shared" si="7"/>
        <v>3.3921715809037853</v>
      </c>
      <c r="P25">
        <f t="shared" si="8"/>
        <v>0.56009810745740662</v>
      </c>
      <c r="Q25">
        <f t="shared" si="9"/>
        <v>0.35467523828042136</v>
      </c>
      <c r="R25">
        <f t="shared" si="10"/>
        <v>353.34248677965797</v>
      </c>
      <c r="S25">
        <f t="shared" si="11"/>
        <v>27.001383098205388</v>
      </c>
      <c r="T25">
        <f t="shared" si="12"/>
        <v>27.128270967741901</v>
      </c>
      <c r="U25">
        <f t="shared" si="13"/>
        <v>3.6062127327553837</v>
      </c>
      <c r="V25">
        <f t="shared" si="14"/>
        <v>55.335284958632784</v>
      </c>
      <c r="W25">
        <f t="shared" si="15"/>
        <v>2.012212816500623</v>
      </c>
      <c r="X25">
        <f t="shared" si="16"/>
        <v>3.6364009293616197</v>
      </c>
      <c r="Y25">
        <f t="shared" si="17"/>
        <v>1.5939999162547607</v>
      </c>
      <c r="Z25">
        <f t="shared" si="18"/>
        <v>-405.68216832845457</v>
      </c>
      <c r="AA25">
        <f t="shared" si="19"/>
        <v>25.995919953707673</v>
      </c>
      <c r="AB25">
        <f t="shared" si="20"/>
        <v>1.6571729415281384</v>
      </c>
      <c r="AC25">
        <f t="shared" si="21"/>
        <v>-24.686588653560786</v>
      </c>
      <c r="AD25">
        <v>-4.1326455600233999E-2</v>
      </c>
      <c r="AE25">
        <v>4.6392566807615498E-2</v>
      </c>
      <c r="AF25">
        <v>3.4646922696894902</v>
      </c>
      <c r="AG25">
        <v>156</v>
      </c>
      <c r="AH25">
        <v>31</v>
      </c>
      <c r="AI25">
        <f t="shared" si="22"/>
        <v>1</v>
      </c>
      <c r="AJ25">
        <f t="shared" si="23"/>
        <v>0</v>
      </c>
      <c r="AK25">
        <f t="shared" si="24"/>
        <v>52650.343628507668</v>
      </c>
      <c r="AL25">
        <v>0</v>
      </c>
      <c r="AM25">
        <v>0</v>
      </c>
      <c r="AN25">
        <v>0</v>
      </c>
      <c r="AO25">
        <f t="shared" si="25"/>
        <v>0</v>
      </c>
      <c r="AP25" t="e">
        <f t="shared" si="26"/>
        <v>#DIV/0!</v>
      </c>
      <c r="AQ25">
        <v>-1</v>
      </c>
      <c r="AR25" t="s">
        <v>326</v>
      </c>
      <c r="AS25">
        <v>263.25175999999999</v>
      </c>
      <c r="AT25">
        <v>380.11799999999999</v>
      </c>
      <c r="AU25">
        <f t="shared" si="27"/>
        <v>0.30744726637517827</v>
      </c>
      <c r="AV25">
        <v>0.5</v>
      </c>
      <c r="AW25">
        <f t="shared" si="28"/>
        <v>1849.2072871534435</v>
      </c>
      <c r="AX25">
        <f t="shared" si="29"/>
        <v>47.812986166535794</v>
      </c>
      <c r="AY25">
        <f t="shared" si="30"/>
        <v>284.26686269819277</v>
      </c>
      <c r="AZ25">
        <f t="shared" si="31"/>
        <v>0.53440773654496765</v>
      </c>
      <c r="BA25">
        <f t="shared" si="32"/>
        <v>2.6396708744142749E-2</v>
      </c>
      <c r="BB25">
        <f t="shared" si="33"/>
        <v>-1</v>
      </c>
      <c r="BC25" t="s">
        <v>327</v>
      </c>
      <c r="BD25">
        <v>176.98</v>
      </c>
      <c r="BE25">
        <f t="shared" si="34"/>
        <v>203.13800000000001</v>
      </c>
      <c r="BF25">
        <f t="shared" si="35"/>
        <v>0.57530466973190642</v>
      </c>
      <c r="BG25">
        <f t="shared" si="36"/>
        <v>2.1478020115267262</v>
      </c>
      <c r="BH25">
        <f t="shared" si="37"/>
        <v>0.30744726637517827</v>
      </c>
      <c r="BI25" t="e">
        <f t="shared" si="38"/>
        <v>#DIV/0!</v>
      </c>
      <c r="BJ25">
        <v>4975</v>
      </c>
      <c r="BK25">
        <v>300</v>
      </c>
      <c r="BL25">
        <v>300</v>
      </c>
      <c r="BM25">
        <v>300</v>
      </c>
      <c r="BN25">
        <v>9870.49</v>
      </c>
      <c r="BO25">
        <v>346.851</v>
      </c>
      <c r="BP25">
        <v>-6.4012699999999997E-3</v>
      </c>
      <c r="BQ25">
        <v>2.0984799999999999</v>
      </c>
      <c r="BR25">
        <f t="shared" si="39"/>
        <v>2200.0258064516102</v>
      </c>
      <c r="BS25">
        <f t="shared" si="40"/>
        <v>1849.2072871534435</v>
      </c>
      <c r="BT25">
        <f t="shared" si="41"/>
        <v>0.84053890719400393</v>
      </c>
      <c r="BU25">
        <f t="shared" si="42"/>
        <v>0.19107781438800825</v>
      </c>
      <c r="BV25">
        <v>0.5</v>
      </c>
      <c r="BW25" t="s">
        <v>281</v>
      </c>
      <c r="BX25">
        <v>1595006697.2</v>
      </c>
      <c r="BY25">
        <v>578.67870967741896</v>
      </c>
      <c r="BZ25">
        <v>599.93106451612903</v>
      </c>
      <c r="CA25">
        <v>20.150067741935501</v>
      </c>
      <c r="CB25">
        <v>16.544925806451602</v>
      </c>
      <c r="CC25">
        <v>500.05125806451599</v>
      </c>
      <c r="CD25">
        <v>99.661370967741902</v>
      </c>
      <c r="CE25">
        <v>0.19997154838709699</v>
      </c>
      <c r="CF25">
        <v>27.270419354838701</v>
      </c>
      <c r="CG25">
        <v>27.128270967741901</v>
      </c>
      <c r="CH25">
        <v>999.9</v>
      </c>
      <c r="CI25">
        <v>9999.9383870967795</v>
      </c>
      <c r="CJ25">
        <v>0</v>
      </c>
      <c r="CK25">
        <v>299.42270967741899</v>
      </c>
      <c r="CL25">
        <v>2200.0258064516102</v>
      </c>
      <c r="CM25">
        <v>0.98199432258064501</v>
      </c>
      <c r="CN25">
        <v>1.8005396774193501E-2</v>
      </c>
      <c r="CO25">
        <v>0</v>
      </c>
      <c r="CP25">
        <v>263.25229032258102</v>
      </c>
      <c r="CQ25">
        <v>5.00054</v>
      </c>
      <c r="CR25">
        <v>8789.4090322580705</v>
      </c>
      <c r="CS25">
        <v>20590.7612903226</v>
      </c>
      <c r="CT25">
        <v>50.239774193548399</v>
      </c>
      <c r="CU25">
        <v>52.193096774193499</v>
      </c>
      <c r="CV25">
        <v>50.610741935483901</v>
      </c>
      <c r="CW25">
        <v>51.197225806451598</v>
      </c>
      <c r="CX25">
        <v>51.572290322580599</v>
      </c>
      <c r="CY25">
        <v>2155.5048387096799</v>
      </c>
      <c r="CZ25">
        <v>39.5203225806452</v>
      </c>
      <c r="DA25">
        <v>0</v>
      </c>
      <c r="DB25">
        <v>120.69999980926499</v>
      </c>
      <c r="DC25">
        <v>263.25175999999999</v>
      </c>
      <c r="DD25">
        <v>-2.02961538211999</v>
      </c>
      <c r="DE25">
        <v>7.7246153527631201</v>
      </c>
      <c r="DF25">
        <v>8789.7623999999996</v>
      </c>
      <c r="DG25">
        <v>15</v>
      </c>
      <c r="DH25">
        <v>1595006731.2</v>
      </c>
      <c r="DI25" t="s">
        <v>328</v>
      </c>
      <c r="DJ25">
        <v>51</v>
      </c>
      <c r="DK25">
        <v>-0.38100000000000001</v>
      </c>
      <c r="DL25">
        <v>0.10100000000000001</v>
      </c>
      <c r="DM25">
        <v>600</v>
      </c>
      <c r="DN25">
        <v>17</v>
      </c>
      <c r="DO25">
        <v>0.14000000000000001</v>
      </c>
      <c r="DP25">
        <v>0.03</v>
      </c>
      <c r="DQ25">
        <v>578.62607843137198</v>
      </c>
      <c r="DR25">
        <v>0.21292669683256399</v>
      </c>
      <c r="DS25">
        <v>3.05478365700034E-2</v>
      </c>
      <c r="DT25">
        <v>1</v>
      </c>
      <c r="DU25">
        <v>20.183184313725501</v>
      </c>
      <c r="DV25">
        <v>-0.19549791855201301</v>
      </c>
      <c r="DW25">
        <v>2.4338232430938099E-2</v>
      </c>
      <c r="DX25">
        <v>1</v>
      </c>
      <c r="DY25">
        <v>2</v>
      </c>
      <c r="DZ25">
        <v>2</v>
      </c>
      <c r="EA25" t="s">
        <v>283</v>
      </c>
      <c r="EB25">
        <v>1.86663</v>
      </c>
      <c r="EC25">
        <v>1.8631500000000001</v>
      </c>
      <c r="ED25">
        <v>1.8688100000000001</v>
      </c>
      <c r="EE25">
        <v>1.86676</v>
      </c>
      <c r="EF25">
        <v>1.87148</v>
      </c>
      <c r="EG25">
        <v>1.8638600000000001</v>
      </c>
      <c r="EH25">
        <v>1.8653900000000001</v>
      </c>
      <c r="EI25">
        <v>1.8653500000000001</v>
      </c>
      <c r="EJ25" t="s">
        <v>284</v>
      </c>
      <c r="EK25" t="s">
        <v>19</v>
      </c>
      <c r="EL25" t="s">
        <v>19</v>
      </c>
      <c r="EM25" t="s">
        <v>19</v>
      </c>
      <c r="EN25" t="s">
        <v>285</v>
      </c>
      <c r="EO25" t="s">
        <v>286</v>
      </c>
      <c r="EP25" t="s">
        <v>287</v>
      </c>
      <c r="EQ25" t="s">
        <v>287</v>
      </c>
      <c r="ER25" t="s">
        <v>287</v>
      </c>
      <c r="ES25" t="s">
        <v>287</v>
      </c>
      <c r="ET25">
        <v>0</v>
      </c>
      <c r="EU25">
        <v>100</v>
      </c>
      <c r="EV25">
        <v>100</v>
      </c>
      <c r="EW25">
        <v>-0.38100000000000001</v>
      </c>
      <c r="EX25">
        <v>0.10100000000000001</v>
      </c>
      <c r="EY25">
        <v>2</v>
      </c>
      <c r="EZ25">
        <v>325.39499999999998</v>
      </c>
      <c r="FA25">
        <v>461.93</v>
      </c>
      <c r="FB25">
        <v>21.014099999999999</v>
      </c>
      <c r="FC25">
        <v>36.880499999999998</v>
      </c>
      <c r="FD25">
        <v>30.000599999999999</v>
      </c>
      <c r="FE25">
        <v>36.907800000000002</v>
      </c>
      <c r="FF25">
        <v>36.921700000000001</v>
      </c>
      <c r="FG25">
        <v>30.478300000000001</v>
      </c>
      <c r="FH25">
        <v>54.902900000000002</v>
      </c>
      <c r="FI25">
        <v>0</v>
      </c>
      <c r="FJ25">
        <v>18.0444</v>
      </c>
      <c r="FK25">
        <v>600</v>
      </c>
      <c r="FL25">
        <v>16.408100000000001</v>
      </c>
      <c r="FM25">
        <v>100.259</v>
      </c>
      <c r="FN25">
        <v>100.542</v>
      </c>
    </row>
    <row r="26" spans="1:170" x14ac:dyDescent="0.25">
      <c r="A26">
        <v>10</v>
      </c>
      <c r="B26">
        <v>1595006852.7</v>
      </c>
      <c r="C26">
        <v>1194.5</v>
      </c>
      <c r="D26" t="s">
        <v>329</v>
      </c>
      <c r="E26" t="s">
        <v>330</v>
      </c>
      <c r="G26">
        <v>1595006844.7032299</v>
      </c>
      <c r="H26">
        <f t="shared" si="0"/>
        <v>8.666315670733199E-3</v>
      </c>
      <c r="I26">
        <f t="shared" si="1"/>
        <v>49.020462458947158</v>
      </c>
      <c r="J26">
        <f t="shared" si="2"/>
        <v>678.02587096774198</v>
      </c>
      <c r="K26">
        <f t="shared" si="3"/>
        <v>515.33430545237991</v>
      </c>
      <c r="L26">
        <f t="shared" si="4"/>
        <v>51.462189600441533</v>
      </c>
      <c r="M26">
        <f t="shared" si="5"/>
        <v>67.708855313089074</v>
      </c>
      <c r="N26">
        <f t="shared" si="6"/>
        <v>0.57573366352077937</v>
      </c>
      <c r="O26">
        <f t="shared" si="7"/>
        <v>3.3908414474786444</v>
      </c>
      <c r="P26">
        <f t="shared" si="8"/>
        <v>0.52642532904818828</v>
      </c>
      <c r="Q26">
        <f t="shared" si="9"/>
        <v>0.33309336157749014</v>
      </c>
      <c r="R26">
        <f t="shared" si="10"/>
        <v>353.33456206391105</v>
      </c>
      <c r="S26">
        <f t="shared" si="11"/>
        <v>26.806109885058177</v>
      </c>
      <c r="T26">
        <f t="shared" si="12"/>
        <v>26.9509032258064</v>
      </c>
      <c r="U26">
        <f t="shared" si="13"/>
        <v>3.568851897316347</v>
      </c>
      <c r="V26">
        <f t="shared" si="14"/>
        <v>55.201260117279595</v>
      </c>
      <c r="W26">
        <f t="shared" si="15"/>
        <v>1.9704660844775523</v>
      </c>
      <c r="X26">
        <f t="shared" si="16"/>
        <v>3.5696034479849481</v>
      </c>
      <c r="Y26">
        <f t="shared" si="17"/>
        <v>1.5983858128387947</v>
      </c>
      <c r="Z26">
        <f t="shared" si="18"/>
        <v>-382.18452107933405</v>
      </c>
      <c r="AA26">
        <f t="shared" si="19"/>
        <v>0.65515685811866986</v>
      </c>
      <c r="AB26">
        <f t="shared" si="20"/>
        <v>4.167804334161114E-2</v>
      </c>
      <c r="AC26">
        <f t="shared" si="21"/>
        <v>-28.153124113962708</v>
      </c>
      <c r="AD26">
        <v>-4.13058593515215E-2</v>
      </c>
      <c r="AE26">
        <v>4.6369445714105201E-2</v>
      </c>
      <c r="AF26">
        <v>3.4633259934565199</v>
      </c>
      <c r="AG26">
        <v>156</v>
      </c>
      <c r="AH26">
        <v>31</v>
      </c>
      <c r="AI26">
        <f t="shared" si="22"/>
        <v>1</v>
      </c>
      <c r="AJ26">
        <f t="shared" si="23"/>
        <v>0</v>
      </c>
      <c r="AK26">
        <f t="shared" si="24"/>
        <v>52680.610918737635</v>
      </c>
      <c r="AL26">
        <v>0</v>
      </c>
      <c r="AM26">
        <v>0</v>
      </c>
      <c r="AN26">
        <v>0</v>
      </c>
      <c r="AO26">
        <f t="shared" si="25"/>
        <v>0</v>
      </c>
      <c r="AP26" t="e">
        <f t="shared" si="26"/>
        <v>#DIV/0!</v>
      </c>
      <c r="AQ26">
        <v>-1</v>
      </c>
      <c r="AR26" t="s">
        <v>331</v>
      </c>
      <c r="AS26">
        <v>261.65456</v>
      </c>
      <c r="AT26">
        <v>374.839</v>
      </c>
      <c r="AU26">
        <f t="shared" si="27"/>
        <v>0.30195481259954271</v>
      </c>
      <c r="AV26">
        <v>0.5</v>
      </c>
      <c r="AW26">
        <f t="shared" si="28"/>
        <v>1849.1667774760183</v>
      </c>
      <c r="AX26">
        <f t="shared" si="29"/>
        <v>49.020462458947158</v>
      </c>
      <c r="AY26">
        <f t="shared" si="30"/>
        <v>279.18240387903569</v>
      </c>
      <c r="AZ26">
        <f t="shared" si="31"/>
        <v>0.53131877952934459</v>
      </c>
      <c r="BA26">
        <f t="shared" si="32"/>
        <v>2.7050271002176204E-2</v>
      </c>
      <c r="BB26">
        <f t="shared" si="33"/>
        <v>-1</v>
      </c>
      <c r="BC26" t="s">
        <v>332</v>
      </c>
      <c r="BD26">
        <v>175.68</v>
      </c>
      <c r="BE26">
        <f t="shared" si="34"/>
        <v>199.15899999999999</v>
      </c>
      <c r="BF26">
        <f t="shared" si="35"/>
        <v>0.56831195175713878</v>
      </c>
      <c r="BG26">
        <f t="shared" si="36"/>
        <v>2.1336464025500912</v>
      </c>
      <c r="BH26">
        <f t="shared" si="37"/>
        <v>0.30195481259954271</v>
      </c>
      <c r="BI26" t="e">
        <f t="shared" si="38"/>
        <v>#DIV/0!</v>
      </c>
      <c r="BJ26">
        <v>4977</v>
      </c>
      <c r="BK26">
        <v>300</v>
      </c>
      <c r="BL26">
        <v>300</v>
      </c>
      <c r="BM26">
        <v>300</v>
      </c>
      <c r="BN26">
        <v>9870.23</v>
      </c>
      <c r="BO26">
        <v>342.38799999999998</v>
      </c>
      <c r="BP26">
        <v>-6.4008299999999997E-3</v>
      </c>
      <c r="BQ26">
        <v>2.0376599999999998</v>
      </c>
      <c r="BR26">
        <f t="shared" si="39"/>
        <v>2199.97774193548</v>
      </c>
      <c r="BS26">
        <f t="shared" si="40"/>
        <v>1849.1667774760183</v>
      </c>
      <c r="BT26">
        <f t="shared" si="41"/>
        <v>0.84053885738369882</v>
      </c>
      <c r="BU26">
        <f t="shared" si="42"/>
        <v>0.19107771476739793</v>
      </c>
      <c r="BV26">
        <v>0.5</v>
      </c>
      <c r="BW26" t="s">
        <v>281</v>
      </c>
      <c r="BX26">
        <v>1595006844.7032299</v>
      </c>
      <c r="BY26">
        <v>678.02587096774198</v>
      </c>
      <c r="BZ26">
        <v>699.981870967742</v>
      </c>
      <c r="CA26">
        <v>19.731938709677401</v>
      </c>
      <c r="CB26">
        <v>16.334212903225801</v>
      </c>
      <c r="CC26">
        <v>500.05874193548402</v>
      </c>
      <c r="CD26">
        <v>99.661748387096793</v>
      </c>
      <c r="CE26">
        <v>0.20000941935483901</v>
      </c>
      <c r="CF26">
        <v>26.954487096774201</v>
      </c>
      <c r="CG26">
        <v>26.9509032258064</v>
      </c>
      <c r="CH26">
        <v>999.9</v>
      </c>
      <c r="CI26">
        <v>9994.9167741935507</v>
      </c>
      <c r="CJ26">
        <v>0</v>
      </c>
      <c r="CK26">
        <v>285.72693548387099</v>
      </c>
      <c r="CL26">
        <v>2199.97774193548</v>
      </c>
      <c r="CM26">
        <v>0.98199625806451596</v>
      </c>
      <c r="CN26">
        <v>1.8003506451612899E-2</v>
      </c>
      <c r="CO26">
        <v>0</v>
      </c>
      <c r="CP26">
        <v>261.67135483870999</v>
      </c>
      <c r="CQ26">
        <v>5.00054</v>
      </c>
      <c r="CR26">
        <v>8706.1632258064492</v>
      </c>
      <c r="CS26">
        <v>20590.3032258065</v>
      </c>
      <c r="CT26">
        <v>50.350612903225802</v>
      </c>
      <c r="CU26">
        <v>52.463419354838699</v>
      </c>
      <c r="CV26">
        <v>50.774000000000001</v>
      </c>
      <c r="CW26">
        <v>51.395032258064496</v>
      </c>
      <c r="CX26">
        <v>51.683129032258002</v>
      </c>
      <c r="CY26">
        <v>2155.4612903225802</v>
      </c>
      <c r="CZ26">
        <v>39.515806451612903</v>
      </c>
      <c r="DA26">
        <v>0</v>
      </c>
      <c r="DB26">
        <v>146.59999990463299</v>
      </c>
      <c r="DC26">
        <v>261.65456</v>
      </c>
      <c r="DD26">
        <v>-2.8884615201895798</v>
      </c>
      <c r="DE26">
        <v>377.90846201756</v>
      </c>
      <c r="DF26">
        <v>8715.3511999999992</v>
      </c>
      <c r="DG26">
        <v>15</v>
      </c>
      <c r="DH26">
        <v>1595006883.7</v>
      </c>
      <c r="DI26" t="s">
        <v>333</v>
      </c>
      <c r="DJ26">
        <v>52</v>
      </c>
      <c r="DK26">
        <v>-0.36399999999999999</v>
      </c>
      <c r="DL26">
        <v>0.10100000000000001</v>
      </c>
      <c r="DM26">
        <v>700</v>
      </c>
      <c r="DN26">
        <v>16</v>
      </c>
      <c r="DO26">
        <v>0.13</v>
      </c>
      <c r="DP26">
        <v>0.03</v>
      </c>
      <c r="DQ26">
        <v>677.95933333333301</v>
      </c>
      <c r="DR26">
        <v>0.47137500591864501</v>
      </c>
      <c r="DS26">
        <v>6.9863358700316402E-2</v>
      </c>
      <c r="DT26">
        <v>0</v>
      </c>
      <c r="DU26">
        <v>19.748094117647099</v>
      </c>
      <c r="DV26">
        <v>-0.17572453491120099</v>
      </c>
      <c r="DW26">
        <v>2.1749306157647901E-2</v>
      </c>
      <c r="DX26">
        <v>1</v>
      </c>
      <c r="DY26">
        <v>1</v>
      </c>
      <c r="DZ26">
        <v>2</v>
      </c>
      <c r="EA26" t="s">
        <v>318</v>
      </c>
      <c r="EB26">
        <v>1.8666100000000001</v>
      </c>
      <c r="EC26">
        <v>1.86313</v>
      </c>
      <c r="ED26">
        <v>1.8688499999999999</v>
      </c>
      <c r="EE26">
        <v>1.86676</v>
      </c>
      <c r="EF26">
        <v>1.87147</v>
      </c>
      <c r="EG26">
        <v>1.8638600000000001</v>
      </c>
      <c r="EH26">
        <v>1.8653900000000001</v>
      </c>
      <c r="EI26">
        <v>1.86534</v>
      </c>
      <c r="EJ26" t="s">
        <v>284</v>
      </c>
      <c r="EK26" t="s">
        <v>19</v>
      </c>
      <c r="EL26" t="s">
        <v>19</v>
      </c>
      <c r="EM26" t="s">
        <v>19</v>
      </c>
      <c r="EN26" t="s">
        <v>285</v>
      </c>
      <c r="EO26" t="s">
        <v>286</v>
      </c>
      <c r="EP26" t="s">
        <v>287</v>
      </c>
      <c r="EQ26" t="s">
        <v>287</v>
      </c>
      <c r="ER26" t="s">
        <v>287</v>
      </c>
      <c r="ES26" t="s">
        <v>287</v>
      </c>
      <c r="ET26">
        <v>0</v>
      </c>
      <c r="EU26">
        <v>100</v>
      </c>
      <c r="EV26">
        <v>100</v>
      </c>
      <c r="EW26">
        <v>-0.36399999999999999</v>
      </c>
      <c r="EX26">
        <v>0.10100000000000001</v>
      </c>
      <c r="EY26">
        <v>2</v>
      </c>
      <c r="EZ26">
        <v>325.24799999999999</v>
      </c>
      <c r="FA26">
        <v>460.2</v>
      </c>
      <c r="FB26">
        <v>20.8188</v>
      </c>
      <c r="FC26">
        <v>37.0381</v>
      </c>
      <c r="FD26">
        <v>30.0002</v>
      </c>
      <c r="FE26">
        <v>36.970300000000002</v>
      </c>
      <c r="FF26">
        <v>36.967100000000002</v>
      </c>
      <c r="FG26">
        <v>34.522500000000001</v>
      </c>
      <c r="FH26">
        <v>55.672899999999998</v>
      </c>
      <c r="FI26">
        <v>0</v>
      </c>
      <c r="FJ26">
        <v>21.150300000000001</v>
      </c>
      <c r="FK26">
        <v>700</v>
      </c>
      <c r="FL26">
        <v>16.298500000000001</v>
      </c>
      <c r="FM26">
        <v>100.239</v>
      </c>
      <c r="FN26">
        <v>100.521</v>
      </c>
    </row>
    <row r="27" spans="1:170" x14ac:dyDescent="0.25">
      <c r="A27">
        <v>11</v>
      </c>
      <c r="B27">
        <v>1595007002.8</v>
      </c>
      <c r="C27">
        <v>1344.5999999046301</v>
      </c>
      <c r="D27" t="s">
        <v>334</v>
      </c>
      <c r="E27" t="s">
        <v>335</v>
      </c>
      <c r="G27">
        <v>1595006994.7451601</v>
      </c>
      <c r="H27">
        <f t="shared" si="0"/>
        <v>8.3220900938071642E-3</v>
      </c>
      <c r="I27">
        <f t="shared" si="1"/>
        <v>50.071895747035853</v>
      </c>
      <c r="J27">
        <f t="shared" si="2"/>
        <v>777.41803225806495</v>
      </c>
      <c r="K27">
        <f t="shared" si="3"/>
        <v>598.20687208566119</v>
      </c>
      <c r="L27">
        <f t="shared" si="4"/>
        <v>59.740269255307844</v>
      </c>
      <c r="M27">
        <f t="shared" si="5"/>
        <v>77.637293615673968</v>
      </c>
      <c r="N27">
        <f t="shared" si="6"/>
        <v>0.53533345879938543</v>
      </c>
      <c r="O27">
        <f t="shared" si="7"/>
        <v>3.3920085516642664</v>
      </c>
      <c r="P27">
        <f t="shared" si="8"/>
        <v>0.49243988889393381</v>
      </c>
      <c r="Q27">
        <f t="shared" si="9"/>
        <v>0.31134184326453779</v>
      </c>
      <c r="R27">
        <f t="shared" si="10"/>
        <v>353.34066608218399</v>
      </c>
      <c r="S27">
        <f t="shared" si="11"/>
        <v>27.091365587249808</v>
      </c>
      <c r="T27">
        <f t="shared" si="12"/>
        <v>27.2044903225807</v>
      </c>
      <c r="U27">
        <f t="shared" si="13"/>
        <v>3.6223721992150857</v>
      </c>
      <c r="V27">
        <f t="shared" si="14"/>
        <v>54.854143149687637</v>
      </c>
      <c r="W27">
        <f t="shared" si="15"/>
        <v>1.9820296794692918</v>
      </c>
      <c r="X27">
        <f t="shared" si="16"/>
        <v>3.613272518104365</v>
      </c>
      <c r="Y27">
        <f t="shared" si="17"/>
        <v>1.6403425197457939</v>
      </c>
      <c r="Z27">
        <f t="shared" si="18"/>
        <v>-367.00417313689593</v>
      </c>
      <c r="AA27">
        <f t="shared" si="19"/>
        <v>-7.842171984546515</v>
      </c>
      <c r="AB27">
        <f t="shared" si="20"/>
        <v>-0.49986085161798433</v>
      </c>
      <c r="AC27">
        <f t="shared" si="21"/>
        <v>-22.005539890876452</v>
      </c>
      <c r="AD27">
        <v>-4.1323931002914899E-2</v>
      </c>
      <c r="AE27">
        <v>4.6389732725957901E-2</v>
      </c>
      <c r="AF27">
        <v>3.46452481022401</v>
      </c>
      <c r="AG27">
        <v>157</v>
      </c>
      <c r="AH27">
        <v>31</v>
      </c>
      <c r="AI27">
        <f t="shared" si="22"/>
        <v>1</v>
      </c>
      <c r="AJ27">
        <f t="shared" si="23"/>
        <v>0</v>
      </c>
      <c r="AK27">
        <f t="shared" si="24"/>
        <v>52666.434054878009</v>
      </c>
      <c r="AL27">
        <v>0</v>
      </c>
      <c r="AM27">
        <v>0</v>
      </c>
      <c r="AN27">
        <v>0</v>
      </c>
      <c r="AO27">
        <f t="shared" si="25"/>
        <v>0</v>
      </c>
      <c r="AP27" t="e">
        <f t="shared" si="26"/>
        <v>#DIV/0!</v>
      </c>
      <c r="AQ27">
        <v>-1</v>
      </c>
      <c r="AR27" t="s">
        <v>336</v>
      </c>
      <c r="AS27">
        <v>258.46328</v>
      </c>
      <c r="AT27">
        <v>365.42899999999997</v>
      </c>
      <c r="AU27">
        <f t="shared" si="27"/>
        <v>0.29271272942213122</v>
      </c>
      <c r="AV27">
        <v>0.5</v>
      </c>
      <c r="AW27">
        <f t="shared" si="28"/>
        <v>1849.1977932573761</v>
      </c>
      <c r="AX27">
        <f t="shared" si="29"/>
        <v>50.071895747035853</v>
      </c>
      <c r="AY27">
        <f t="shared" si="30"/>
        <v>270.64186665287423</v>
      </c>
      <c r="AZ27">
        <f t="shared" si="31"/>
        <v>0.52576287048920578</v>
      </c>
      <c r="BA27">
        <f t="shared" si="32"/>
        <v>2.761840617226366E-2</v>
      </c>
      <c r="BB27">
        <f t="shared" si="33"/>
        <v>-1</v>
      </c>
      <c r="BC27" t="s">
        <v>337</v>
      </c>
      <c r="BD27">
        <v>173.3</v>
      </c>
      <c r="BE27">
        <f t="shared" si="34"/>
        <v>192.12899999999996</v>
      </c>
      <c r="BF27">
        <f t="shared" si="35"/>
        <v>0.5567390659400715</v>
      </c>
      <c r="BG27">
        <f t="shared" si="36"/>
        <v>2.1086497403346796</v>
      </c>
      <c r="BH27">
        <f t="shared" si="37"/>
        <v>0.29271272942213122</v>
      </c>
      <c r="BI27" t="e">
        <f t="shared" si="38"/>
        <v>#DIV/0!</v>
      </c>
      <c r="BJ27">
        <v>4979</v>
      </c>
      <c r="BK27">
        <v>300</v>
      </c>
      <c r="BL27">
        <v>300</v>
      </c>
      <c r="BM27">
        <v>300</v>
      </c>
      <c r="BN27">
        <v>9868.8700000000008</v>
      </c>
      <c r="BO27">
        <v>335.81599999999997</v>
      </c>
      <c r="BP27">
        <v>-6.3999900000000004E-3</v>
      </c>
      <c r="BQ27">
        <v>1.8297099999999999</v>
      </c>
      <c r="BR27">
        <f t="shared" si="39"/>
        <v>2200.0145161290302</v>
      </c>
      <c r="BS27">
        <f t="shared" si="40"/>
        <v>1849.1977932573761</v>
      </c>
      <c r="BT27">
        <f t="shared" si="41"/>
        <v>0.84053890540280474</v>
      </c>
      <c r="BU27">
        <f t="shared" si="42"/>
        <v>0.19107781080560976</v>
      </c>
      <c r="BV27">
        <v>0.5</v>
      </c>
      <c r="BW27" t="s">
        <v>281</v>
      </c>
      <c r="BX27">
        <v>1595006994.7451601</v>
      </c>
      <c r="BY27">
        <v>777.41803225806495</v>
      </c>
      <c r="BZ27">
        <v>800.03177419354802</v>
      </c>
      <c r="CA27">
        <v>19.846977419354801</v>
      </c>
      <c r="CB27">
        <v>16.5846290322581</v>
      </c>
      <c r="CC27">
        <v>500.064419354839</v>
      </c>
      <c r="CD27">
        <v>99.665538709677406</v>
      </c>
      <c r="CE27">
        <v>0.20002961290322599</v>
      </c>
      <c r="CF27">
        <v>27.161606451612901</v>
      </c>
      <c r="CG27">
        <v>27.2044903225807</v>
      </c>
      <c r="CH27">
        <v>999.9</v>
      </c>
      <c r="CI27">
        <v>9998.90935483871</v>
      </c>
      <c r="CJ27">
        <v>0</v>
      </c>
      <c r="CK27">
        <v>310.81858064516098</v>
      </c>
      <c r="CL27">
        <v>2200.0145161290302</v>
      </c>
      <c r="CM27">
        <v>0.98199567741935501</v>
      </c>
      <c r="CN27">
        <v>1.8004103225806499E-2</v>
      </c>
      <c r="CO27">
        <v>0</v>
      </c>
      <c r="CP27">
        <v>258.46112903225799</v>
      </c>
      <c r="CQ27">
        <v>5.00054</v>
      </c>
      <c r="CR27">
        <v>8802.5903225806505</v>
      </c>
      <c r="CS27">
        <v>20590.661290322601</v>
      </c>
      <c r="CT27">
        <v>50.661000000000001</v>
      </c>
      <c r="CU27">
        <v>52.8708064516129</v>
      </c>
      <c r="CV27">
        <v>51.112741935483903</v>
      </c>
      <c r="CW27">
        <v>51.814225806451603</v>
      </c>
      <c r="CX27">
        <v>51.9533870967742</v>
      </c>
      <c r="CY27">
        <v>2155.4945161290302</v>
      </c>
      <c r="CZ27">
        <v>39.520000000000003</v>
      </c>
      <c r="DA27">
        <v>0</v>
      </c>
      <c r="DB27">
        <v>149.5</v>
      </c>
      <c r="DC27">
        <v>258.46328</v>
      </c>
      <c r="DD27">
        <v>-1.10292307841771</v>
      </c>
      <c r="DE27">
        <v>27.983076687373998</v>
      </c>
      <c r="DF27">
        <v>8800.6139999999996</v>
      </c>
      <c r="DG27">
        <v>15</v>
      </c>
      <c r="DH27">
        <v>1595007031.7</v>
      </c>
      <c r="DI27" t="s">
        <v>338</v>
      </c>
      <c r="DJ27">
        <v>53</v>
      </c>
      <c r="DK27">
        <v>-0.51</v>
      </c>
      <c r="DL27">
        <v>0.10299999999999999</v>
      </c>
      <c r="DM27">
        <v>800</v>
      </c>
      <c r="DN27">
        <v>17</v>
      </c>
      <c r="DO27">
        <v>0.08</v>
      </c>
      <c r="DP27">
        <v>0.03</v>
      </c>
      <c r="DQ27">
        <v>777.53980392156905</v>
      </c>
      <c r="DR27">
        <v>0.29580850021361799</v>
      </c>
      <c r="DS27">
        <v>4.2887001370835599E-2</v>
      </c>
      <c r="DT27">
        <v>1</v>
      </c>
      <c r="DU27">
        <v>19.838868627450999</v>
      </c>
      <c r="DV27">
        <v>6.6601319090771702E-2</v>
      </c>
      <c r="DW27">
        <v>8.3955985246257098E-3</v>
      </c>
      <c r="DX27">
        <v>1</v>
      </c>
      <c r="DY27">
        <v>2</v>
      </c>
      <c r="DZ27">
        <v>2</v>
      </c>
      <c r="EA27" t="s">
        <v>283</v>
      </c>
      <c r="EB27">
        <v>1.86663</v>
      </c>
      <c r="EC27">
        <v>1.8631599999999999</v>
      </c>
      <c r="ED27">
        <v>1.86883</v>
      </c>
      <c r="EE27">
        <v>1.86676</v>
      </c>
      <c r="EF27">
        <v>1.8714900000000001</v>
      </c>
      <c r="EG27">
        <v>1.8638600000000001</v>
      </c>
      <c r="EH27">
        <v>1.8653900000000001</v>
      </c>
      <c r="EI27">
        <v>1.86531</v>
      </c>
      <c r="EJ27" t="s">
        <v>284</v>
      </c>
      <c r="EK27" t="s">
        <v>19</v>
      </c>
      <c r="EL27" t="s">
        <v>19</v>
      </c>
      <c r="EM27" t="s">
        <v>19</v>
      </c>
      <c r="EN27" t="s">
        <v>285</v>
      </c>
      <c r="EO27" t="s">
        <v>286</v>
      </c>
      <c r="EP27" t="s">
        <v>287</v>
      </c>
      <c r="EQ27" t="s">
        <v>287</v>
      </c>
      <c r="ER27" t="s">
        <v>287</v>
      </c>
      <c r="ES27" t="s">
        <v>287</v>
      </c>
      <c r="ET27">
        <v>0</v>
      </c>
      <c r="EU27">
        <v>100</v>
      </c>
      <c r="EV27">
        <v>100</v>
      </c>
      <c r="EW27">
        <v>-0.51</v>
      </c>
      <c r="EX27">
        <v>0.10299999999999999</v>
      </c>
      <c r="EY27">
        <v>2</v>
      </c>
      <c r="EZ27">
        <v>324.541</v>
      </c>
      <c r="FA27">
        <v>459.173</v>
      </c>
      <c r="FB27">
        <v>20.948</v>
      </c>
      <c r="FC27">
        <v>37.198</v>
      </c>
      <c r="FD27">
        <v>30.000800000000002</v>
      </c>
      <c r="FE27">
        <v>37.096299999999999</v>
      </c>
      <c r="FF27">
        <v>37.089700000000001</v>
      </c>
      <c r="FG27">
        <v>38.4833</v>
      </c>
      <c r="FH27">
        <v>55.056100000000001</v>
      </c>
      <c r="FI27">
        <v>0</v>
      </c>
      <c r="FJ27">
        <v>18.700199999999999</v>
      </c>
      <c r="FK27">
        <v>800</v>
      </c>
      <c r="FL27">
        <v>16.54</v>
      </c>
      <c r="FM27">
        <v>100.205</v>
      </c>
      <c r="FN27">
        <v>100.48099999999999</v>
      </c>
    </row>
    <row r="28" spans="1:170" x14ac:dyDescent="0.25">
      <c r="A28">
        <v>12</v>
      </c>
      <c r="B28">
        <v>1595007153.3</v>
      </c>
      <c r="C28">
        <v>1495.0999999046301</v>
      </c>
      <c r="D28" t="s">
        <v>339</v>
      </c>
      <c r="E28" t="s">
        <v>340</v>
      </c>
      <c r="G28">
        <v>1595007145.2548399</v>
      </c>
      <c r="H28">
        <f t="shared" si="0"/>
        <v>8.0610074054350035E-3</v>
      </c>
      <c r="I28">
        <f t="shared" si="1"/>
        <v>50.753981162044148</v>
      </c>
      <c r="J28">
        <f t="shared" si="2"/>
        <v>976.53090322580601</v>
      </c>
      <c r="K28">
        <f t="shared" si="3"/>
        <v>782.92692415980866</v>
      </c>
      <c r="L28">
        <f t="shared" si="4"/>
        <v>78.191509693174524</v>
      </c>
      <c r="M28">
        <f t="shared" si="5"/>
        <v>97.526886902256336</v>
      </c>
      <c r="N28">
        <f t="shared" si="6"/>
        <v>0.51220202168438078</v>
      </c>
      <c r="O28">
        <f t="shared" si="7"/>
        <v>3.3922462767827977</v>
      </c>
      <c r="P28">
        <f t="shared" si="8"/>
        <v>0.47279157548982909</v>
      </c>
      <c r="Q28">
        <f t="shared" si="9"/>
        <v>0.29878250813418628</v>
      </c>
      <c r="R28">
        <f t="shared" si="10"/>
        <v>353.34038284095482</v>
      </c>
      <c r="S28">
        <f t="shared" si="11"/>
        <v>27.264993779640847</v>
      </c>
      <c r="T28">
        <f t="shared" si="12"/>
        <v>27.3528870967742</v>
      </c>
      <c r="U28">
        <f t="shared" si="13"/>
        <v>3.6540155917417683</v>
      </c>
      <c r="V28">
        <f t="shared" si="14"/>
        <v>54.965715466625397</v>
      </c>
      <c r="W28">
        <f t="shared" si="15"/>
        <v>1.9994329819093541</v>
      </c>
      <c r="X28">
        <f t="shared" si="16"/>
        <v>3.6376002112141865</v>
      </c>
      <c r="Y28">
        <f t="shared" si="17"/>
        <v>1.6545826098324141</v>
      </c>
      <c r="Z28">
        <f t="shared" si="18"/>
        <v>-355.49042657968363</v>
      </c>
      <c r="AA28">
        <f t="shared" si="19"/>
        <v>-14.053066879766645</v>
      </c>
      <c r="AB28">
        <f t="shared" si="20"/>
        <v>-0.89685805176745681</v>
      </c>
      <c r="AC28">
        <f t="shared" si="21"/>
        <v>-17.099968670262939</v>
      </c>
      <c r="AD28">
        <v>-4.1327612325229399E-2</v>
      </c>
      <c r="AE28">
        <v>4.6393865332757502E-2</v>
      </c>
      <c r="AF28">
        <v>3.4647689954182002</v>
      </c>
      <c r="AG28">
        <v>158</v>
      </c>
      <c r="AH28">
        <v>32</v>
      </c>
      <c r="AI28">
        <f t="shared" si="22"/>
        <v>1</v>
      </c>
      <c r="AJ28">
        <f t="shared" si="23"/>
        <v>0</v>
      </c>
      <c r="AK28">
        <f t="shared" si="24"/>
        <v>52650.973412012383</v>
      </c>
      <c r="AL28">
        <v>0</v>
      </c>
      <c r="AM28">
        <v>0</v>
      </c>
      <c r="AN28">
        <v>0</v>
      </c>
      <c r="AO28">
        <f t="shared" si="25"/>
        <v>0</v>
      </c>
      <c r="AP28" t="e">
        <f t="shared" si="26"/>
        <v>#DIV/0!</v>
      </c>
      <c r="AQ28">
        <v>-1</v>
      </c>
      <c r="AR28" t="s">
        <v>341</v>
      </c>
      <c r="AS28">
        <v>256.24723999999998</v>
      </c>
      <c r="AT28">
        <v>358.02600000000001</v>
      </c>
      <c r="AU28">
        <f t="shared" si="27"/>
        <v>0.28427756643372282</v>
      </c>
      <c r="AV28">
        <v>0.5</v>
      </c>
      <c r="AW28">
        <f t="shared" si="28"/>
        <v>1849.1986158380851</v>
      </c>
      <c r="AX28">
        <f t="shared" si="29"/>
        <v>50.753981162044148</v>
      </c>
      <c r="AY28">
        <f t="shared" si="30"/>
        <v>262.84284118152976</v>
      </c>
      <c r="AZ28">
        <f t="shared" si="31"/>
        <v>0.51847072558976159</v>
      </c>
      <c r="BA28">
        <f t="shared" si="32"/>
        <v>2.7987248486333337E-2</v>
      </c>
      <c r="BB28">
        <f t="shared" si="33"/>
        <v>-1</v>
      </c>
      <c r="BC28" t="s">
        <v>342</v>
      </c>
      <c r="BD28">
        <v>172.4</v>
      </c>
      <c r="BE28">
        <f t="shared" si="34"/>
        <v>185.626</v>
      </c>
      <c r="BF28">
        <f t="shared" si="35"/>
        <v>0.54830013036966818</v>
      </c>
      <c r="BG28">
        <f t="shared" si="36"/>
        <v>2.0767169373549885</v>
      </c>
      <c r="BH28">
        <f t="shared" si="37"/>
        <v>0.28427756643372276</v>
      </c>
      <c r="BI28" t="e">
        <f t="shared" si="38"/>
        <v>#DIV/0!</v>
      </c>
      <c r="BJ28">
        <v>4981</v>
      </c>
      <c r="BK28">
        <v>300</v>
      </c>
      <c r="BL28">
        <v>300</v>
      </c>
      <c r="BM28">
        <v>300</v>
      </c>
      <c r="BN28">
        <v>9867.39</v>
      </c>
      <c r="BO28">
        <v>327.97500000000002</v>
      </c>
      <c r="BP28">
        <v>-6.3987799999999997E-3</v>
      </c>
      <c r="BQ28">
        <v>1.42062</v>
      </c>
      <c r="BR28">
        <f t="shared" si="39"/>
        <v>2200.0158064516099</v>
      </c>
      <c r="BS28">
        <f t="shared" si="40"/>
        <v>1849.1986158380851</v>
      </c>
      <c r="BT28">
        <f t="shared" si="41"/>
        <v>0.84053878631928769</v>
      </c>
      <c r="BU28">
        <f t="shared" si="42"/>
        <v>0.19107757263857542</v>
      </c>
      <c r="BV28">
        <v>0.5</v>
      </c>
      <c r="BW28" t="s">
        <v>281</v>
      </c>
      <c r="BX28">
        <v>1595007145.2548399</v>
      </c>
      <c r="BY28">
        <v>976.53090322580601</v>
      </c>
      <c r="BZ28">
        <v>999.98016129032203</v>
      </c>
      <c r="CA28">
        <v>20.020203225806402</v>
      </c>
      <c r="CB28">
        <v>16.8604967741935</v>
      </c>
      <c r="CC28">
        <v>500.02267741935498</v>
      </c>
      <c r="CD28">
        <v>99.670764516128997</v>
      </c>
      <c r="CE28">
        <v>0.19999900000000001</v>
      </c>
      <c r="CF28">
        <v>27.276045161290298</v>
      </c>
      <c r="CG28">
        <v>27.3528870967742</v>
      </c>
      <c r="CH28">
        <v>999.9</v>
      </c>
      <c r="CI28">
        <v>9999.2758064516092</v>
      </c>
      <c r="CJ28">
        <v>0</v>
      </c>
      <c r="CK28">
        <v>301.23551612903202</v>
      </c>
      <c r="CL28">
        <v>2200.0158064516099</v>
      </c>
      <c r="CM28">
        <v>0.98199903225806395</v>
      </c>
      <c r="CN28">
        <v>1.8001316129032299E-2</v>
      </c>
      <c r="CO28">
        <v>0</v>
      </c>
      <c r="CP28">
        <v>256.29003225806503</v>
      </c>
      <c r="CQ28">
        <v>5.00054</v>
      </c>
      <c r="CR28">
        <v>8600.0945161290292</v>
      </c>
      <c r="CS28">
        <v>20590.6677419355</v>
      </c>
      <c r="CT28">
        <v>51.017838709677399</v>
      </c>
      <c r="CU28">
        <v>53.320129032258002</v>
      </c>
      <c r="CV28">
        <v>51.481709677419403</v>
      </c>
      <c r="CW28">
        <v>52.1973225806451</v>
      </c>
      <c r="CX28">
        <v>52.296064516129</v>
      </c>
      <c r="CY28">
        <v>2155.50451612903</v>
      </c>
      <c r="CZ28">
        <v>39.511290322580599</v>
      </c>
      <c r="DA28">
        <v>0</v>
      </c>
      <c r="DB28">
        <v>150.09999990463299</v>
      </c>
      <c r="DC28">
        <v>256.24723999999998</v>
      </c>
      <c r="DD28">
        <v>-2.3191538312655799</v>
      </c>
      <c r="DE28">
        <v>-106.03384630360399</v>
      </c>
      <c r="DF28">
        <v>8597.9788000000008</v>
      </c>
      <c r="DG28">
        <v>15</v>
      </c>
      <c r="DH28">
        <v>1595007175.7</v>
      </c>
      <c r="DI28" t="s">
        <v>343</v>
      </c>
      <c r="DJ28">
        <v>54</v>
      </c>
      <c r="DK28">
        <v>-0.1</v>
      </c>
      <c r="DL28">
        <v>0.104</v>
      </c>
      <c r="DM28">
        <v>1000</v>
      </c>
      <c r="DN28">
        <v>17</v>
      </c>
      <c r="DO28">
        <v>0.17</v>
      </c>
      <c r="DP28">
        <v>0.02</v>
      </c>
      <c r="DQ28">
        <v>976.08282352941205</v>
      </c>
      <c r="DR28">
        <v>0.40840558398212401</v>
      </c>
      <c r="DS28">
        <v>5.2601612546057101E-2</v>
      </c>
      <c r="DT28">
        <v>0</v>
      </c>
      <c r="DU28">
        <v>20.006082352941199</v>
      </c>
      <c r="DV28">
        <v>0.13924935738642399</v>
      </c>
      <c r="DW28">
        <v>1.90162335798051E-2</v>
      </c>
      <c r="DX28">
        <v>1</v>
      </c>
      <c r="DY28">
        <v>1</v>
      </c>
      <c r="DZ28">
        <v>2</v>
      </c>
      <c r="EA28" t="s">
        <v>318</v>
      </c>
      <c r="EB28">
        <v>1.8667</v>
      </c>
      <c r="EC28">
        <v>1.8632299999999999</v>
      </c>
      <c r="ED28">
        <v>1.8688400000000001</v>
      </c>
      <c r="EE28">
        <v>1.86676</v>
      </c>
      <c r="EF28">
        <v>1.8714900000000001</v>
      </c>
      <c r="EG28">
        <v>1.86388</v>
      </c>
      <c r="EH28">
        <v>1.8653999999999999</v>
      </c>
      <c r="EI28">
        <v>1.8653900000000001</v>
      </c>
      <c r="EJ28" t="s">
        <v>284</v>
      </c>
      <c r="EK28" t="s">
        <v>19</v>
      </c>
      <c r="EL28" t="s">
        <v>19</v>
      </c>
      <c r="EM28" t="s">
        <v>19</v>
      </c>
      <c r="EN28" t="s">
        <v>285</v>
      </c>
      <c r="EO28" t="s">
        <v>286</v>
      </c>
      <c r="EP28" t="s">
        <v>287</v>
      </c>
      <c r="EQ28" t="s">
        <v>287</v>
      </c>
      <c r="ER28" t="s">
        <v>287</v>
      </c>
      <c r="ES28" t="s">
        <v>287</v>
      </c>
      <c r="ET28">
        <v>0</v>
      </c>
      <c r="EU28">
        <v>100</v>
      </c>
      <c r="EV28">
        <v>100</v>
      </c>
      <c r="EW28">
        <v>-0.1</v>
      </c>
      <c r="EX28">
        <v>0.104</v>
      </c>
      <c r="EY28">
        <v>2</v>
      </c>
      <c r="EZ28">
        <v>323.57299999999998</v>
      </c>
      <c r="FA28">
        <v>458.21699999999998</v>
      </c>
      <c r="FB28">
        <v>21.1373</v>
      </c>
      <c r="FC28">
        <v>37.488300000000002</v>
      </c>
      <c r="FD28">
        <v>30.000800000000002</v>
      </c>
      <c r="FE28">
        <v>37.332000000000001</v>
      </c>
      <c r="FF28">
        <v>37.318100000000001</v>
      </c>
      <c r="FG28">
        <v>46.106699999999996</v>
      </c>
      <c r="FH28">
        <v>54.397100000000002</v>
      </c>
      <c r="FI28">
        <v>0</v>
      </c>
      <c r="FJ28">
        <v>17.911000000000001</v>
      </c>
      <c r="FK28">
        <v>1000</v>
      </c>
      <c r="FL28">
        <v>16.791699999999999</v>
      </c>
      <c r="FM28">
        <v>100.151</v>
      </c>
      <c r="FN28">
        <v>100.413</v>
      </c>
    </row>
    <row r="29" spans="1:170" x14ac:dyDescent="0.25">
      <c r="A29">
        <v>13</v>
      </c>
      <c r="B29">
        <v>1595007267.3</v>
      </c>
      <c r="C29">
        <v>1609.0999999046301</v>
      </c>
      <c r="D29" t="s">
        <v>344</v>
      </c>
      <c r="E29" t="s">
        <v>345</v>
      </c>
      <c r="G29">
        <v>1595007259.2548399</v>
      </c>
      <c r="H29">
        <f t="shared" si="0"/>
        <v>7.8622604917367687E-3</v>
      </c>
      <c r="I29">
        <f t="shared" si="1"/>
        <v>51.05536384749692</v>
      </c>
      <c r="J29">
        <f t="shared" si="2"/>
        <v>1175.8257741935499</v>
      </c>
      <c r="K29">
        <f t="shared" si="3"/>
        <v>970.55902207807787</v>
      </c>
      <c r="L29">
        <f t="shared" si="4"/>
        <v>96.930096813256625</v>
      </c>
      <c r="M29">
        <f t="shared" si="5"/>
        <v>117.43016502394072</v>
      </c>
      <c r="N29">
        <f t="shared" si="6"/>
        <v>0.49580360410517071</v>
      </c>
      <c r="O29">
        <f t="shared" si="7"/>
        <v>3.3923591125666848</v>
      </c>
      <c r="P29">
        <f t="shared" si="8"/>
        <v>0.45877968030576272</v>
      </c>
      <c r="Q29">
        <f t="shared" si="9"/>
        <v>0.28983301692192598</v>
      </c>
      <c r="R29">
        <f t="shared" si="10"/>
        <v>353.33660354522067</v>
      </c>
      <c r="S29">
        <f t="shared" si="11"/>
        <v>27.311421434316884</v>
      </c>
      <c r="T29">
        <f t="shared" si="12"/>
        <v>27.3916838709677</v>
      </c>
      <c r="U29">
        <f t="shared" si="13"/>
        <v>3.6623280975892629</v>
      </c>
      <c r="V29">
        <f t="shared" si="14"/>
        <v>54.958355990535182</v>
      </c>
      <c r="W29">
        <f t="shared" si="15"/>
        <v>1.9993289456028791</v>
      </c>
      <c r="X29">
        <f t="shared" si="16"/>
        <v>3.6378980221810124</v>
      </c>
      <c r="Y29">
        <f t="shared" si="17"/>
        <v>1.6629991519863838</v>
      </c>
      <c r="Z29">
        <f t="shared" si="18"/>
        <v>-346.72568768559148</v>
      </c>
      <c r="AA29">
        <f t="shared" si="19"/>
        <v>-20.893577856252129</v>
      </c>
      <c r="AB29">
        <f t="shared" si="20"/>
        <v>-1.3336386154421569</v>
      </c>
      <c r="AC29">
        <f t="shared" si="21"/>
        <v>-15.61630061206511</v>
      </c>
      <c r="AD29">
        <v>-4.1329359698721597E-2</v>
      </c>
      <c r="AE29">
        <v>4.63958269125807E-2</v>
      </c>
      <c r="AF29">
        <v>3.4648848975364102</v>
      </c>
      <c r="AG29">
        <v>158</v>
      </c>
      <c r="AH29">
        <v>32</v>
      </c>
      <c r="AI29">
        <f t="shared" si="22"/>
        <v>1</v>
      </c>
      <c r="AJ29">
        <f t="shared" si="23"/>
        <v>0</v>
      </c>
      <c r="AK29">
        <f t="shared" si="24"/>
        <v>52652.855516474388</v>
      </c>
      <c r="AL29">
        <v>0</v>
      </c>
      <c r="AM29">
        <v>0</v>
      </c>
      <c r="AN29">
        <v>0</v>
      </c>
      <c r="AO29">
        <f t="shared" si="25"/>
        <v>0</v>
      </c>
      <c r="AP29" t="e">
        <f t="shared" si="26"/>
        <v>#DIV/0!</v>
      </c>
      <c r="AQ29">
        <v>-1</v>
      </c>
      <c r="AR29" t="s">
        <v>346</v>
      </c>
      <c r="AS29">
        <v>255.10140000000001</v>
      </c>
      <c r="AT29">
        <v>348.19200000000001</v>
      </c>
      <c r="AU29">
        <f t="shared" si="27"/>
        <v>0.2673542183622829</v>
      </c>
      <c r="AV29">
        <v>0.5</v>
      </c>
      <c r="AW29">
        <f t="shared" si="28"/>
        <v>1849.1790674509962</v>
      </c>
      <c r="AX29">
        <f t="shared" si="29"/>
        <v>51.05536384749692</v>
      </c>
      <c r="AY29">
        <f t="shared" si="30"/>
        <v>247.19291209512815</v>
      </c>
      <c r="AZ29">
        <f t="shared" si="31"/>
        <v>0.51900101093649487</v>
      </c>
      <c r="BA29">
        <f t="shared" si="32"/>
        <v>2.8150526232839482E-2</v>
      </c>
      <c r="BB29">
        <f t="shared" si="33"/>
        <v>-1</v>
      </c>
      <c r="BC29" t="s">
        <v>347</v>
      </c>
      <c r="BD29">
        <v>167.48</v>
      </c>
      <c r="BE29">
        <f t="shared" si="34"/>
        <v>180.71200000000002</v>
      </c>
      <c r="BF29">
        <f t="shared" si="35"/>
        <v>0.51513236531054929</v>
      </c>
      <c r="BG29">
        <f t="shared" si="36"/>
        <v>2.0790064485311679</v>
      </c>
      <c r="BH29">
        <f t="shared" si="37"/>
        <v>0.26735421836228285</v>
      </c>
      <c r="BI29" t="e">
        <f t="shared" si="38"/>
        <v>#DIV/0!</v>
      </c>
      <c r="BJ29">
        <v>4983</v>
      </c>
      <c r="BK29">
        <v>300</v>
      </c>
      <c r="BL29">
        <v>300</v>
      </c>
      <c r="BM29">
        <v>300</v>
      </c>
      <c r="BN29">
        <v>9866.41</v>
      </c>
      <c r="BO29">
        <v>323.42599999999999</v>
      </c>
      <c r="BP29">
        <v>-6.3979800000000002E-3</v>
      </c>
      <c r="BQ29">
        <v>2.1430099999999999</v>
      </c>
      <c r="BR29">
        <f t="shared" si="39"/>
        <v>2199.9925806451602</v>
      </c>
      <c r="BS29">
        <f t="shared" si="40"/>
        <v>1849.1790674509962</v>
      </c>
      <c r="BT29">
        <f t="shared" si="41"/>
        <v>0.84053877441200919</v>
      </c>
      <c r="BU29">
        <f t="shared" si="42"/>
        <v>0.19107754882401848</v>
      </c>
      <c r="BV29">
        <v>0.5</v>
      </c>
      <c r="BW29" t="s">
        <v>281</v>
      </c>
      <c r="BX29">
        <v>1595007259.2548399</v>
      </c>
      <c r="BY29">
        <v>1175.8257741935499</v>
      </c>
      <c r="BZ29">
        <v>1199.9432258064501</v>
      </c>
      <c r="CA29">
        <v>20.019238709677399</v>
      </c>
      <c r="CB29">
        <v>16.937619354838699</v>
      </c>
      <c r="CC29">
        <v>500.05293548387101</v>
      </c>
      <c r="CD29">
        <v>99.670387096774206</v>
      </c>
      <c r="CE29">
        <v>0.199991322580645</v>
      </c>
      <c r="CF29">
        <v>27.2774419354839</v>
      </c>
      <c r="CG29">
        <v>27.3916838709677</v>
      </c>
      <c r="CH29">
        <v>999.9</v>
      </c>
      <c r="CI29">
        <v>9999.7364516129001</v>
      </c>
      <c r="CJ29">
        <v>0</v>
      </c>
      <c r="CK29">
        <v>297.42858064516099</v>
      </c>
      <c r="CL29">
        <v>2199.9925806451602</v>
      </c>
      <c r="CM29">
        <v>0.98200064516129004</v>
      </c>
      <c r="CN29">
        <v>1.7999622580645198E-2</v>
      </c>
      <c r="CO29">
        <v>0</v>
      </c>
      <c r="CP29">
        <v>255.13732258064499</v>
      </c>
      <c r="CQ29">
        <v>5.00054</v>
      </c>
      <c r="CR29">
        <v>8570.0616129032205</v>
      </c>
      <c r="CS29">
        <v>20590.461290322601</v>
      </c>
      <c r="CT29">
        <v>51.2236451612903</v>
      </c>
      <c r="CU29">
        <v>53.568387096774202</v>
      </c>
      <c r="CV29">
        <v>51.701322580645098</v>
      </c>
      <c r="CW29">
        <v>52.427</v>
      </c>
      <c r="CX29">
        <v>52.493516129032201</v>
      </c>
      <c r="CY29">
        <v>2155.4825806451599</v>
      </c>
      <c r="CZ29">
        <v>39.51</v>
      </c>
      <c r="DA29">
        <v>0</v>
      </c>
      <c r="DB29">
        <v>113.59999990463299</v>
      </c>
      <c r="DC29">
        <v>255.10140000000001</v>
      </c>
      <c r="DD29">
        <v>-1.54438462451292</v>
      </c>
      <c r="DE29">
        <v>54.003846072170198</v>
      </c>
      <c r="DF29">
        <v>8571.2888000000003</v>
      </c>
      <c r="DG29">
        <v>15</v>
      </c>
      <c r="DH29">
        <v>1595007294.8</v>
      </c>
      <c r="DI29" t="s">
        <v>348</v>
      </c>
      <c r="DJ29">
        <v>55</v>
      </c>
      <c r="DK29">
        <v>-0.24099999999999999</v>
      </c>
      <c r="DL29">
        <v>0.106</v>
      </c>
      <c r="DM29">
        <v>1200</v>
      </c>
      <c r="DN29">
        <v>17</v>
      </c>
      <c r="DO29">
        <v>0.14000000000000001</v>
      </c>
      <c r="DP29">
        <v>0.04</v>
      </c>
      <c r="DQ29">
        <v>1175.94294117647</v>
      </c>
      <c r="DR29">
        <v>0.26693305631539099</v>
      </c>
      <c r="DS29">
        <v>6.0140166919009898E-2</v>
      </c>
      <c r="DT29">
        <v>1</v>
      </c>
      <c r="DU29">
        <v>20.016500000000001</v>
      </c>
      <c r="DV29">
        <v>6.4821621017654603E-3</v>
      </c>
      <c r="DW29">
        <v>1.3789737587969501E-3</v>
      </c>
      <c r="DX29">
        <v>1</v>
      </c>
      <c r="DY29">
        <v>2</v>
      </c>
      <c r="DZ29">
        <v>2</v>
      </c>
      <c r="EA29" t="s">
        <v>283</v>
      </c>
      <c r="EB29">
        <v>1.8666799999999999</v>
      </c>
      <c r="EC29">
        <v>1.8631899999999999</v>
      </c>
      <c r="ED29">
        <v>1.86887</v>
      </c>
      <c r="EE29">
        <v>1.86676</v>
      </c>
      <c r="EF29">
        <v>1.8714900000000001</v>
      </c>
      <c r="EG29">
        <v>1.8638999999999999</v>
      </c>
      <c r="EH29">
        <v>1.8653900000000001</v>
      </c>
      <c r="EI29">
        <v>1.8653599999999999</v>
      </c>
      <c r="EJ29" t="s">
        <v>284</v>
      </c>
      <c r="EK29" t="s">
        <v>19</v>
      </c>
      <c r="EL29" t="s">
        <v>19</v>
      </c>
      <c r="EM29" t="s">
        <v>19</v>
      </c>
      <c r="EN29" t="s">
        <v>285</v>
      </c>
      <c r="EO29" t="s">
        <v>286</v>
      </c>
      <c r="EP29" t="s">
        <v>287</v>
      </c>
      <c r="EQ29" t="s">
        <v>287</v>
      </c>
      <c r="ER29" t="s">
        <v>287</v>
      </c>
      <c r="ES29" t="s">
        <v>287</v>
      </c>
      <c r="ET29">
        <v>0</v>
      </c>
      <c r="EU29">
        <v>100</v>
      </c>
      <c r="EV29">
        <v>100</v>
      </c>
      <c r="EW29">
        <v>-0.24099999999999999</v>
      </c>
      <c r="EX29">
        <v>0.106</v>
      </c>
      <c r="EY29">
        <v>2</v>
      </c>
      <c r="EZ29">
        <v>323.541</v>
      </c>
      <c r="FA29">
        <v>457.81400000000002</v>
      </c>
      <c r="FB29">
        <v>21.145199999999999</v>
      </c>
      <c r="FC29">
        <v>37.6616</v>
      </c>
      <c r="FD29">
        <v>30.000699999999998</v>
      </c>
      <c r="FE29">
        <v>37.501800000000003</v>
      </c>
      <c r="FF29">
        <v>37.484999999999999</v>
      </c>
      <c r="FG29">
        <v>53.406500000000001</v>
      </c>
      <c r="FH29">
        <v>53.984699999999997</v>
      </c>
      <c r="FI29">
        <v>0</v>
      </c>
      <c r="FJ29">
        <v>17.907699999999998</v>
      </c>
      <c r="FK29">
        <v>1200</v>
      </c>
      <c r="FL29">
        <v>16.882899999999999</v>
      </c>
      <c r="FM29">
        <v>100.11799999999999</v>
      </c>
      <c r="FN29">
        <v>100.377</v>
      </c>
    </row>
    <row r="30" spans="1:170" x14ac:dyDescent="0.25">
      <c r="A30">
        <v>14</v>
      </c>
      <c r="B30">
        <v>1595007388.8</v>
      </c>
      <c r="C30">
        <v>1730.5999999046301</v>
      </c>
      <c r="D30" t="s">
        <v>349</v>
      </c>
      <c r="E30" t="s">
        <v>350</v>
      </c>
      <c r="G30">
        <v>1595007380.8</v>
      </c>
      <c r="H30">
        <f t="shared" si="0"/>
        <v>7.6313512847870158E-3</v>
      </c>
      <c r="I30">
        <f t="shared" si="1"/>
        <v>51.099057247379399</v>
      </c>
      <c r="J30">
        <f t="shared" si="2"/>
        <v>1574.7274516129</v>
      </c>
      <c r="K30">
        <f t="shared" si="3"/>
        <v>1349.8680870163435</v>
      </c>
      <c r="L30">
        <f t="shared" si="4"/>
        <v>134.80762285735065</v>
      </c>
      <c r="M30">
        <f t="shared" si="5"/>
        <v>157.26371075959699</v>
      </c>
      <c r="N30">
        <f t="shared" si="6"/>
        <v>0.47218346446603143</v>
      </c>
      <c r="O30">
        <f t="shared" si="7"/>
        <v>3.3928462595868822</v>
      </c>
      <c r="P30">
        <f t="shared" si="8"/>
        <v>0.43847912445162462</v>
      </c>
      <c r="Q30">
        <f t="shared" si="9"/>
        <v>0.27687690623730005</v>
      </c>
      <c r="R30">
        <f t="shared" si="10"/>
        <v>353.33531456004607</v>
      </c>
      <c r="S30">
        <f t="shared" si="11"/>
        <v>27.484143559970121</v>
      </c>
      <c r="T30">
        <f t="shared" si="12"/>
        <v>27.532225806451599</v>
      </c>
      <c r="U30">
        <f t="shared" si="13"/>
        <v>3.6925786223839876</v>
      </c>
      <c r="V30">
        <f t="shared" si="14"/>
        <v>54.700839118836065</v>
      </c>
      <c r="W30">
        <f t="shared" si="15"/>
        <v>2.0040475170231842</v>
      </c>
      <c r="X30">
        <f t="shared" si="16"/>
        <v>3.663650410680988</v>
      </c>
      <c r="Y30">
        <f t="shared" si="17"/>
        <v>1.6885311053608034</v>
      </c>
      <c r="Z30">
        <f t="shared" si="18"/>
        <v>-336.54259165910742</v>
      </c>
      <c r="AA30">
        <f t="shared" si="19"/>
        <v>-24.579662800699278</v>
      </c>
      <c r="AB30">
        <f t="shared" si="20"/>
        <v>-1.5707417965484938</v>
      </c>
      <c r="AC30">
        <f t="shared" si="21"/>
        <v>-9.357681696309097</v>
      </c>
      <c r="AD30">
        <v>-4.1336903952139799E-2</v>
      </c>
      <c r="AE30">
        <v>4.6404295997955702E-2</v>
      </c>
      <c r="AF30">
        <v>3.46538528339953</v>
      </c>
      <c r="AG30">
        <v>158</v>
      </c>
      <c r="AH30">
        <v>32</v>
      </c>
      <c r="AI30">
        <f t="shared" si="22"/>
        <v>1</v>
      </c>
      <c r="AJ30">
        <f t="shared" si="23"/>
        <v>0</v>
      </c>
      <c r="AK30">
        <f t="shared" si="24"/>
        <v>52640.897447544085</v>
      </c>
      <c r="AL30">
        <v>0</v>
      </c>
      <c r="AM30">
        <v>0</v>
      </c>
      <c r="AN30">
        <v>0</v>
      </c>
      <c r="AO30">
        <f t="shared" si="25"/>
        <v>0</v>
      </c>
      <c r="AP30" t="e">
        <f t="shared" si="26"/>
        <v>#DIV/0!</v>
      </c>
      <c r="AQ30">
        <v>-1</v>
      </c>
      <c r="AR30" t="s">
        <v>351</v>
      </c>
      <c r="AS30">
        <v>254.42892000000001</v>
      </c>
      <c r="AT30">
        <v>346.36599999999999</v>
      </c>
      <c r="AU30">
        <f t="shared" si="27"/>
        <v>0.26543332775156914</v>
      </c>
      <c r="AV30">
        <v>0.5</v>
      </c>
      <c r="AW30">
        <f t="shared" si="28"/>
        <v>1849.1725357143248</v>
      </c>
      <c r="AX30">
        <f t="shared" si="29"/>
        <v>51.099057247379399</v>
      </c>
      <c r="AY30">
        <f t="shared" si="30"/>
        <v>245.41600987073028</v>
      </c>
      <c r="AZ30">
        <f t="shared" si="31"/>
        <v>0.50907421629143734</v>
      </c>
      <c r="BA30">
        <f t="shared" si="32"/>
        <v>2.8174254290043211E-2</v>
      </c>
      <c r="BB30">
        <f t="shared" si="33"/>
        <v>-1</v>
      </c>
      <c r="BC30" t="s">
        <v>352</v>
      </c>
      <c r="BD30">
        <v>170.04</v>
      </c>
      <c r="BE30">
        <f t="shared" si="34"/>
        <v>176.32599999999999</v>
      </c>
      <c r="BF30">
        <f t="shared" si="35"/>
        <v>0.52140399033608198</v>
      </c>
      <c r="BG30">
        <f t="shared" si="36"/>
        <v>2.036967772288873</v>
      </c>
      <c r="BH30">
        <f t="shared" si="37"/>
        <v>0.26543332775156908</v>
      </c>
      <c r="BI30" t="e">
        <f t="shared" si="38"/>
        <v>#DIV/0!</v>
      </c>
      <c r="BJ30">
        <v>4985</v>
      </c>
      <c r="BK30">
        <v>300</v>
      </c>
      <c r="BL30">
        <v>300</v>
      </c>
      <c r="BM30">
        <v>300</v>
      </c>
      <c r="BN30">
        <v>9865.57</v>
      </c>
      <c r="BO30">
        <v>318.45100000000002</v>
      </c>
      <c r="BP30">
        <v>-6.3972899999999999E-3</v>
      </c>
      <c r="BQ30">
        <v>0.78427100000000005</v>
      </c>
      <c r="BR30">
        <f t="shared" si="39"/>
        <v>2199.9848387096799</v>
      </c>
      <c r="BS30">
        <f t="shared" si="40"/>
        <v>1849.1725357143248</v>
      </c>
      <c r="BT30">
        <f t="shared" si="41"/>
        <v>0.84053876334842781</v>
      </c>
      <c r="BU30">
        <f t="shared" si="42"/>
        <v>0.1910775266968556</v>
      </c>
      <c r="BV30">
        <v>0.5</v>
      </c>
      <c r="BW30" t="s">
        <v>281</v>
      </c>
      <c r="BX30">
        <v>1595007380.8</v>
      </c>
      <c r="BY30">
        <v>1574.7274516129</v>
      </c>
      <c r="BZ30">
        <v>1599.97129032258</v>
      </c>
      <c r="CA30">
        <v>20.067112903225802</v>
      </c>
      <c r="CB30">
        <v>17.076148387096801</v>
      </c>
      <c r="CC30">
        <v>500.05354838709701</v>
      </c>
      <c r="CD30">
        <v>99.667235483870996</v>
      </c>
      <c r="CE30">
        <v>0.20002129032258101</v>
      </c>
      <c r="CF30">
        <v>27.397848387096801</v>
      </c>
      <c r="CG30">
        <v>27.532225806451599</v>
      </c>
      <c r="CH30">
        <v>999.9</v>
      </c>
      <c r="CI30">
        <v>10001.8780645161</v>
      </c>
      <c r="CJ30">
        <v>0</v>
      </c>
      <c r="CK30">
        <v>296.49138709677402</v>
      </c>
      <c r="CL30">
        <v>2199.9848387096799</v>
      </c>
      <c r="CM30">
        <v>0.98200206451612904</v>
      </c>
      <c r="CN30">
        <v>1.79981322580645E-2</v>
      </c>
      <c r="CO30">
        <v>0</v>
      </c>
      <c r="CP30">
        <v>254.43464516129001</v>
      </c>
      <c r="CQ30">
        <v>5.00054</v>
      </c>
      <c r="CR30">
        <v>8551.7348387096808</v>
      </c>
      <c r="CS30">
        <v>20590.4064516129</v>
      </c>
      <c r="CT30">
        <v>51.439161290322602</v>
      </c>
      <c r="CU30">
        <v>53.747967741935497</v>
      </c>
      <c r="CV30">
        <v>51.914999999999999</v>
      </c>
      <c r="CW30">
        <v>52.677129032258101</v>
      </c>
      <c r="CX30">
        <v>52.661000000000001</v>
      </c>
      <c r="CY30">
        <v>2155.4748387096802</v>
      </c>
      <c r="CZ30">
        <v>39.509032258064501</v>
      </c>
      <c r="DA30">
        <v>0</v>
      </c>
      <c r="DB30">
        <v>120.799999952316</v>
      </c>
      <c r="DC30">
        <v>254.42892000000001</v>
      </c>
      <c r="DD30">
        <v>-1.44661538744424</v>
      </c>
      <c r="DE30">
        <v>-64.853077229465995</v>
      </c>
      <c r="DF30">
        <v>8550.7847999999994</v>
      </c>
      <c r="DG30">
        <v>15</v>
      </c>
      <c r="DH30">
        <v>1595007413.8</v>
      </c>
      <c r="DI30" t="s">
        <v>353</v>
      </c>
      <c r="DJ30">
        <v>56</v>
      </c>
      <c r="DK30">
        <v>-0.43</v>
      </c>
      <c r="DL30">
        <v>0.109</v>
      </c>
      <c r="DM30">
        <v>1600</v>
      </c>
      <c r="DN30">
        <v>17</v>
      </c>
      <c r="DO30">
        <v>0.15</v>
      </c>
      <c r="DP30">
        <v>0.03</v>
      </c>
      <c r="DQ30">
        <v>1574.9058823529399</v>
      </c>
      <c r="DR30">
        <v>0.27464253393635901</v>
      </c>
      <c r="DS30">
        <v>6.1998623343015299E-2</v>
      </c>
      <c r="DT30">
        <v>1</v>
      </c>
      <c r="DU30">
        <v>20.055711764705901</v>
      </c>
      <c r="DV30">
        <v>0.100590407239821</v>
      </c>
      <c r="DW30">
        <v>1.36628829825778E-2</v>
      </c>
      <c r="DX30">
        <v>1</v>
      </c>
      <c r="DY30">
        <v>2</v>
      </c>
      <c r="DZ30">
        <v>2</v>
      </c>
      <c r="EA30" t="s">
        <v>283</v>
      </c>
      <c r="EB30">
        <v>1.8666400000000001</v>
      </c>
      <c r="EC30">
        <v>1.8632</v>
      </c>
      <c r="ED30">
        <v>1.86887</v>
      </c>
      <c r="EE30">
        <v>1.86676</v>
      </c>
      <c r="EF30">
        <v>1.8714900000000001</v>
      </c>
      <c r="EG30">
        <v>1.86389</v>
      </c>
      <c r="EH30">
        <v>1.8653999999999999</v>
      </c>
      <c r="EI30">
        <v>1.86538</v>
      </c>
      <c r="EJ30" t="s">
        <v>284</v>
      </c>
      <c r="EK30" t="s">
        <v>19</v>
      </c>
      <c r="EL30" t="s">
        <v>19</v>
      </c>
      <c r="EM30" t="s">
        <v>19</v>
      </c>
      <c r="EN30" t="s">
        <v>285</v>
      </c>
      <c r="EO30" t="s">
        <v>286</v>
      </c>
      <c r="EP30" t="s">
        <v>287</v>
      </c>
      <c r="EQ30" t="s">
        <v>287</v>
      </c>
      <c r="ER30" t="s">
        <v>287</v>
      </c>
      <c r="ES30" t="s">
        <v>287</v>
      </c>
      <c r="ET30">
        <v>0</v>
      </c>
      <c r="EU30">
        <v>100</v>
      </c>
      <c r="EV30">
        <v>100</v>
      </c>
      <c r="EW30">
        <v>-0.43</v>
      </c>
      <c r="EX30">
        <v>0.109</v>
      </c>
      <c r="EY30">
        <v>2</v>
      </c>
      <c r="EZ30">
        <v>323.25799999999998</v>
      </c>
      <c r="FA30">
        <v>458.34100000000001</v>
      </c>
      <c r="FB30">
        <v>21.278500000000001</v>
      </c>
      <c r="FC30">
        <v>37.8245</v>
      </c>
      <c r="FD30">
        <v>30.000599999999999</v>
      </c>
      <c r="FE30">
        <v>37.667099999999998</v>
      </c>
      <c r="FF30">
        <v>37.6496</v>
      </c>
      <c r="FG30">
        <v>67.200900000000004</v>
      </c>
      <c r="FH30">
        <v>53.838200000000001</v>
      </c>
      <c r="FI30">
        <v>0</v>
      </c>
      <c r="FJ30">
        <v>17.955400000000001</v>
      </c>
      <c r="FK30">
        <v>1600</v>
      </c>
      <c r="FL30">
        <v>17.153300000000002</v>
      </c>
      <c r="FM30">
        <v>100.09</v>
      </c>
      <c r="FN30">
        <v>100.34699999999999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/>
  </sheetViews>
  <sheetFormatPr defaultRowHeight="14.4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  <row r="9" spans="1:2" x14ac:dyDescent="0.25">
      <c r="A9" t="s">
        <v>16</v>
      </c>
      <c r="B9" t="s">
        <v>17</v>
      </c>
    </row>
    <row r="10" spans="1:2" x14ac:dyDescent="0.25">
      <c r="A10" t="s">
        <v>18</v>
      </c>
      <c r="B10" t="s">
        <v>19</v>
      </c>
    </row>
    <row r="11" spans="1:2" x14ac:dyDescent="0.25">
      <c r="A11" t="s">
        <v>20</v>
      </c>
      <c r="B11" t="s">
        <v>19</v>
      </c>
    </row>
    <row r="12" spans="1:2" x14ac:dyDescent="0.25">
      <c r="A12" t="s">
        <v>21</v>
      </c>
      <c r="B12" t="s">
        <v>17</v>
      </c>
    </row>
    <row r="13" spans="1:2" x14ac:dyDescent="0.25">
      <c r="A13" t="s">
        <v>22</v>
      </c>
      <c r="B13" t="s">
        <v>11</v>
      </c>
    </row>
    <row r="14" spans="1:2" x14ac:dyDescent="0.25">
      <c r="A14" t="s">
        <v>23</v>
      </c>
      <c r="B14" t="s">
        <v>24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DELL</cp:lastModifiedBy>
  <dcterms:created xsi:type="dcterms:W3CDTF">2020-07-17T12:37:05Z</dcterms:created>
  <dcterms:modified xsi:type="dcterms:W3CDTF">2024-11-20T09:01:26Z</dcterms:modified>
</cp:coreProperties>
</file>