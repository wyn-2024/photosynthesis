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717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0" i="1" l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X30" i="1"/>
  <c r="W30" i="1"/>
  <c r="V30" i="1"/>
  <c r="O30" i="1"/>
  <c r="BU29" i="1"/>
  <c r="BT29" i="1"/>
  <c r="BS29" i="1"/>
  <c r="BR29" i="1"/>
  <c r="BI29" i="1"/>
  <c r="BH29" i="1"/>
  <c r="BG29" i="1"/>
  <c r="BF29" i="1"/>
  <c r="BE29" i="1"/>
  <c r="BB29" i="1"/>
  <c r="AZ29" i="1"/>
  <c r="AU29" i="1"/>
  <c r="AO29" i="1"/>
  <c r="AP29" i="1" s="1"/>
  <c r="AK29" i="1"/>
  <c r="AI29" i="1"/>
  <c r="M29" i="1" s="1"/>
  <c r="X29" i="1"/>
  <c r="W29" i="1"/>
  <c r="V29" i="1"/>
  <c r="O29" i="1"/>
  <c r="BU28" i="1"/>
  <c r="BT28" i="1"/>
  <c r="BR28" i="1"/>
  <c r="BS28" i="1" s="1"/>
  <c r="AW28" i="1" s="1"/>
  <c r="BI28" i="1"/>
  <c r="BH28" i="1"/>
  <c r="BG28" i="1"/>
  <c r="BF28" i="1"/>
  <c r="BE28" i="1"/>
  <c r="AZ28" i="1" s="1"/>
  <c r="BB28" i="1"/>
  <c r="AU28" i="1"/>
  <c r="AP28" i="1"/>
  <c r="AO28" i="1"/>
  <c r="AK28" i="1"/>
  <c r="AI28" i="1"/>
  <c r="J28" i="1" s="1"/>
  <c r="X28" i="1"/>
  <c r="W28" i="1"/>
  <c r="V28" i="1"/>
  <c r="O28" i="1"/>
  <c r="BU27" i="1"/>
  <c r="BT27" i="1"/>
  <c r="BR27" i="1"/>
  <c r="BS27" i="1" s="1"/>
  <c r="R27" i="1" s="1"/>
  <c r="BI27" i="1"/>
  <c r="BH27" i="1"/>
  <c r="BG27" i="1"/>
  <c r="BF27" i="1"/>
  <c r="BE27" i="1"/>
  <c r="BB27" i="1"/>
  <c r="AZ27" i="1"/>
  <c r="AU27" i="1"/>
  <c r="AP27" i="1"/>
  <c r="AO27" i="1"/>
  <c r="AK27" i="1"/>
  <c r="AI27" i="1"/>
  <c r="J27" i="1" s="1"/>
  <c r="X27" i="1"/>
  <c r="W27" i="1"/>
  <c r="V27" i="1" s="1"/>
  <c r="O27" i="1"/>
  <c r="M27" i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O26" i="1"/>
  <c r="AP26" i="1" s="1"/>
  <c r="AK26" i="1"/>
  <c r="AI26" i="1" s="1"/>
  <c r="M26" i="1" s="1"/>
  <c r="AJ26" i="1"/>
  <c r="X26" i="1"/>
  <c r="W26" i="1"/>
  <c r="V26" i="1"/>
  <c r="O26" i="1"/>
  <c r="J26" i="1"/>
  <c r="I26" i="1"/>
  <c r="AX26" i="1" s="1"/>
  <c r="H26" i="1"/>
  <c r="BU25" i="1"/>
  <c r="R25" i="1" s="1"/>
  <c r="S25" i="1" s="1"/>
  <c r="T25" i="1" s="1"/>
  <c r="U25" i="1" s="1"/>
  <c r="Y25" i="1" s="1"/>
  <c r="BT25" i="1"/>
  <c r="BS25" i="1"/>
  <c r="BR25" i="1"/>
  <c r="BI25" i="1"/>
  <c r="BH25" i="1"/>
  <c r="BG25" i="1"/>
  <c r="BF25" i="1"/>
  <c r="BE25" i="1"/>
  <c r="BB25" i="1"/>
  <c r="AZ25" i="1"/>
  <c r="AW25" i="1"/>
  <c r="AU25" i="1"/>
  <c r="AY25" i="1" s="1"/>
  <c r="AO25" i="1"/>
  <c r="AP25" i="1" s="1"/>
  <c r="AK25" i="1"/>
  <c r="AI25" i="1"/>
  <c r="H25" i="1" s="1"/>
  <c r="Z25" i="1"/>
  <c r="X25" i="1"/>
  <c r="W25" i="1"/>
  <c r="V25" i="1"/>
  <c r="O25" i="1"/>
  <c r="BU24" i="1"/>
  <c r="BT24" i="1"/>
  <c r="BR24" i="1"/>
  <c r="BS24" i="1" s="1"/>
  <c r="BI24" i="1"/>
  <c r="BH24" i="1"/>
  <c r="BG24" i="1"/>
  <c r="BF24" i="1"/>
  <c r="BE24" i="1"/>
  <c r="BB24" i="1"/>
  <c r="AZ24" i="1"/>
  <c r="AU24" i="1"/>
  <c r="AO24" i="1"/>
  <c r="AP24" i="1" s="1"/>
  <c r="AK24" i="1"/>
  <c r="AI24" i="1" s="1"/>
  <c r="X24" i="1"/>
  <c r="W24" i="1"/>
  <c r="V24" i="1"/>
  <c r="O24" i="1"/>
  <c r="BU23" i="1"/>
  <c r="BT23" i="1"/>
  <c r="BR23" i="1"/>
  <c r="BS23" i="1" s="1"/>
  <c r="AW23" i="1" s="1"/>
  <c r="BI23" i="1"/>
  <c r="BH23" i="1"/>
  <c r="BG23" i="1"/>
  <c r="BF23" i="1"/>
  <c r="BE23" i="1"/>
  <c r="AZ23" i="1" s="1"/>
  <c r="BB23" i="1"/>
  <c r="AU23" i="1"/>
  <c r="AY23" i="1" s="1"/>
  <c r="AO23" i="1"/>
  <c r="AP23" i="1" s="1"/>
  <c r="AK23" i="1"/>
  <c r="AI23" i="1"/>
  <c r="I23" i="1" s="1"/>
  <c r="AX23" i="1" s="1"/>
  <c r="BA23" i="1" s="1"/>
  <c r="X23" i="1"/>
  <c r="W23" i="1"/>
  <c r="V23" i="1"/>
  <c r="O23" i="1"/>
  <c r="BU22" i="1"/>
  <c r="BT22" i="1"/>
  <c r="BR22" i="1"/>
  <c r="BS22" i="1" s="1"/>
  <c r="R22" i="1" s="1"/>
  <c r="BI22" i="1"/>
  <c r="BH22" i="1"/>
  <c r="BG22" i="1"/>
  <c r="BF22" i="1"/>
  <c r="BE22" i="1"/>
  <c r="BB22" i="1"/>
  <c r="AZ22" i="1"/>
  <c r="AW22" i="1"/>
  <c r="AU22" i="1"/>
  <c r="AY22" i="1" s="1"/>
  <c r="AO22" i="1"/>
  <c r="AP22" i="1" s="1"/>
  <c r="AK22" i="1"/>
  <c r="AI22" i="1"/>
  <c r="J22" i="1" s="1"/>
  <c r="X22" i="1"/>
  <c r="W22" i="1"/>
  <c r="V22" i="1"/>
  <c r="O22" i="1"/>
  <c r="M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AJ21" i="1" s="1"/>
  <c r="X21" i="1"/>
  <c r="W21" i="1"/>
  <c r="V21" i="1"/>
  <c r="O21" i="1"/>
  <c r="BU20" i="1"/>
  <c r="BT20" i="1"/>
  <c r="BR20" i="1"/>
  <c r="BS20" i="1" s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AJ20" i="1" s="1"/>
  <c r="X20" i="1"/>
  <c r="W20" i="1"/>
  <c r="V20" i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M19" i="1" s="1"/>
  <c r="X19" i="1"/>
  <c r="W19" i="1"/>
  <c r="V19" i="1"/>
  <c r="O19" i="1"/>
  <c r="BU18" i="1"/>
  <c r="BT18" i="1"/>
  <c r="BR18" i="1"/>
  <c r="BS18" i="1" s="1"/>
  <c r="AW18" i="1" s="1"/>
  <c r="BI18" i="1"/>
  <c r="BH18" i="1"/>
  <c r="BG18" i="1"/>
  <c r="BF18" i="1"/>
  <c r="BE18" i="1"/>
  <c r="BB18" i="1"/>
  <c r="AZ18" i="1"/>
  <c r="AU18" i="1"/>
  <c r="AY18" i="1" s="1"/>
  <c r="AO18" i="1"/>
  <c r="AP18" i="1" s="1"/>
  <c r="AK18" i="1"/>
  <c r="AI18" i="1"/>
  <c r="M18" i="1" s="1"/>
  <c r="X18" i="1"/>
  <c r="W18" i="1"/>
  <c r="V18" i="1"/>
  <c r="R18" i="1"/>
  <c r="O18" i="1"/>
  <c r="BU17" i="1"/>
  <c r="BT17" i="1"/>
  <c r="BR17" i="1"/>
  <c r="BS17" i="1" s="1"/>
  <c r="R17" i="1" s="1"/>
  <c r="BI17" i="1"/>
  <c r="BH17" i="1"/>
  <c r="BG17" i="1"/>
  <c r="BF17" i="1"/>
  <c r="BE17" i="1"/>
  <c r="BB17" i="1"/>
  <c r="AZ17" i="1"/>
  <c r="AU17" i="1"/>
  <c r="AP17" i="1"/>
  <c r="AO17" i="1"/>
  <c r="AK17" i="1"/>
  <c r="AI17" i="1"/>
  <c r="I17" i="1" s="1"/>
  <c r="AX17" i="1" s="1"/>
  <c r="X17" i="1"/>
  <c r="W17" i="1"/>
  <c r="V17" i="1"/>
  <c r="O17" i="1"/>
  <c r="M17" i="1"/>
  <c r="J17" i="1"/>
  <c r="AW24" i="1" l="1"/>
  <c r="R24" i="1"/>
  <c r="R26" i="1"/>
  <c r="AW26" i="1"/>
  <c r="S27" i="1"/>
  <c r="T27" i="1" s="1"/>
  <c r="J30" i="1"/>
  <c r="I30" i="1"/>
  <c r="AX30" i="1" s="1"/>
  <c r="H30" i="1"/>
  <c r="AJ30" i="1"/>
  <c r="M30" i="1"/>
  <c r="AW29" i="1"/>
  <c r="AY29" i="1" s="1"/>
  <c r="R29" i="1"/>
  <c r="BA26" i="1"/>
  <c r="M21" i="1"/>
  <c r="J21" i="1"/>
  <c r="AY21" i="1"/>
  <c r="Z26" i="1"/>
  <c r="R28" i="1"/>
  <c r="AA25" i="1"/>
  <c r="P25" i="1"/>
  <c r="N25" i="1" s="1"/>
  <c r="Q25" i="1" s="1"/>
  <c r="H21" i="1"/>
  <c r="AW27" i="1"/>
  <c r="AY27" i="1" s="1"/>
  <c r="I21" i="1"/>
  <c r="AX21" i="1" s="1"/>
  <c r="R23" i="1"/>
  <c r="AY19" i="1"/>
  <c r="AA27" i="1"/>
  <c r="R21" i="1"/>
  <c r="AW21" i="1"/>
  <c r="S22" i="1"/>
  <c r="T22" i="1" s="1"/>
  <c r="AW17" i="1"/>
  <c r="BA17" i="1" s="1"/>
  <c r="R20" i="1"/>
  <c r="AW20" i="1"/>
  <c r="AY20" i="1" s="1"/>
  <c r="AB25" i="1"/>
  <c r="AC25" i="1" s="1"/>
  <c r="R19" i="1"/>
  <c r="AW19" i="1"/>
  <c r="I24" i="1"/>
  <c r="AX24" i="1" s="1"/>
  <c r="BA24" i="1" s="1"/>
  <c r="M24" i="1"/>
  <c r="H24" i="1"/>
  <c r="J24" i="1"/>
  <c r="AJ24" i="1"/>
  <c r="AY28" i="1"/>
  <c r="R30" i="1"/>
  <c r="AW30" i="1"/>
  <c r="AY30" i="1" s="1"/>
  <c r="AY26" i="1"/>
  <c r="AY24" i="1"/>
  <c r="J25" i="1"/>
  <c r="J20" i="1"/>
  <c r="AJ29" i="1"/>
  <c r="AJ25" i="1"/>
  <c r="H29" i="1"/>
  <c r="AJ18" i="1"/>
  <c r="I28" i="1"/>
  <c r="AX28" i="1" s="1"/>
  <c r="BA28" i="1" s="1"/>
  <c r="H20" i="1"/>
  <c r="I29" i="1"/>
  <c r="AX29" i="1" s="1"/>
  <c r="BA29" i="1" s="1"/>
  <c r="M25" i="1"/>
  <c r="H19" i="1"/>
  <c r="J29" i="1"/>
  <c r="I19" i="1"/>
  <c r="AX19" i="1" s="1"/>
  <c r="BA19" i="1" s="1"/>
  <c r="AJ28" i="1"/>
  <c r="J18" i="1"/>
  <c r="AJ22" i="1"/>
  <c r="H27" i="1"/>
  <c r="AJ17" i="1"/>
  <c r="H22" i="1"/>
  <c r="M23" i="1"/>
  <c r="I27" i="1"/>
  <c r="AX27" i="1" s="1"/>
  <c r="BA27" i="1" s="1"/>
  <c r="I25" i="1"/>
  <c r="AX25" i="1" s="1"/>
  <c r="BA25" i="1" s="1"/>
  <c r="I20" i="1"/>
  <c r="AX20" i="1" s="1"/>
  <c r="M20" i="1"/>
  <c r="H28" i="1"/>
  <c r="H18" i="1"/>
  <c r="I18" i="1"/>
  <c r="AX18" i="1" s="1"/>
  <c r="BA18" i="1" s="1"/>
  <c r="J23" i="1"/>
  <c r="AJ27" i="1"/>
  <c r="M28" i="1"/>
  <c r="H17" i="1"/>
  <c r="I22" i="1"/>
  <c r="AX22" i="1" s="1"/>
  <c r="BA22" i="1" s="1"/>
  <c r="AJ19" i="1"/>
  <c r="J19" i="1"/>
  <c r="AJ23" i="1"/>
  <c r="H23" i="1"/>
  <c r="Z20" i="1" l="1"/>
  <c r="Z17" i="1"/>
  <c r="S20" i="1"/>
  <c r="T20" i="1" s="1"/>
  <c r="Z29" i="1"/>
  <c r="U22" i="1"/>
  <c r="Y22" i="1" s="1"/>
  <c r="AB22" i="1"/>
  <c r="S17" i="1"/>
  <c r="T17" i="1" s="1"/>
  <c r="P17" i="1" s="1"/>
  <c r="N17" i="1" s="1"/>
  <c r="Q17" i="1" s="1"/>
  <c r="K17" i="1" s="1"/>
  <c r="L17" i="1" s="1"/>
  <c r="Z18" i="1"/>
  <c r="S29" i="1"/>
  <c r="T29" i="1" s="1"/>
  <c r="P29" i="1" s="1"/>
  <c r="N29" i="1" s="1"/>
  <c r="Q29" i="1" s="1"/>
  <c r="K29" i="1" s="1"/>
  <c r="L29" i="1" s="1"/>
  <c r="Z28" i="1"/>
  <c r="S21" i="1"/>
  <c r="T21" i="1" s="1"/>
  <c r="P21" i="1" s="1"/>
  <c r="N21" i="1" s="1"/>
  <c r="Q21" i="1" s="1"/>
  <c r="K21" i="1" s="1"/>
  <c r="L21" i="1" s="1"/>
  <c r="BA20" i="1"/>
  <c r="S23" i="1"/>
  <c r="T23" i="1" s="1"/>
  <c r="Z30" i="1"/>
  <c r="P30" i="1"/>
  <c r="N30" i="1" s="1"/>
  <c r="Q30" i="1" s="1"/>
  <c r="K30" i="1" s="1"/>
  <c r="L30" i="1" s="1"/>
  <c r="BA21" i="1"/>
  <c r="BA30" i="1"/>
  <c r="S30" i="1"/>
  <c r="T30" i="1" s="1"/>
  <c r="Z22" i="1"/>
  <c r="P22" i="1"/>
  <c r="N22" i="1" s="1"/>
  <c r="Q22" i="1" s="1"/>
  <c r="K22" i="1" s="1"/>
  <c r="L22" i="1" s="1"/>
  <c r="Z21" i="1"/>
  <c r="K25" i="1"/>
  <c r="L25" i="1" s="1"/>
  <c r="AB27" i="1"/>
  <c r="U27" i="1"/>
  <c r="Y27" i="1" s="1"/>
  <c r="Z27" i="1"/>
  <c r="P27" i="1"/>
  <c r="N27" i="1" s="1"/>
  <c r="Q27" i="1" s="1"/>
  <c r="K27" i="1" s="1"/>
  <c r="L27" i="1" s="1"/>
  <c r="P24" i="1"/>
  <c r="N24" i="1" s="1"/>
  <c r="Q24" i="1" s="1"/>
  <c r="K24" i="1" s="1"/>
  <c r="L24" i="1" s="1"/>
  <c r="Z24" i="1"/>
  <c r="S18" i="1"/>
  <c r="T18" i="1" s="1"/>
  <c r="P18" i="1" s="1"/>
  <c r="N18" i="1" s="1"/>
  <c r="Q18" i="1" s="1"/>
  <c r="K18" i="1" s="1"/>
  <c r="L18" i="1" s="1"/>
  <c r="AY17" i="1"/>
  <c r="AA22" i="1"/>
  <c r="S28" i="1"/>
  <c r="T28" i="1" s="1"/>
  <c r="S26" i="1"/>
  <c r="T26" i="1" s="1"/>
  <c r="Z23" i="1"/>
  <c r="P23" i="1"/>
  <c r="N23" i="1" s="1"/>
  <c r="Q23" i="1" s="1"/>
  <c r="K23" i="1" s="1"/>
  <c r="L23" i="1" s="1"/>
  <c r="Z19" i="1"/>
  <c r="S19" i="1"/>
  <c r="T19" i="1" s="1"/>
  <c r="S24" i="1"/>
  <c r="T24" i="1" s="1"/>
  <c r="AB26" i="1" l="1"/>
  <c r="U26" i="1"/>
  <c r="Y26" i="1" s="1"/>
  <c r="P26" i="1"/>
  <c r="N26" i="1" s="1"/>
  <c r="Q26" i="1" s="1"/>
  <c r="K26" i="1" s="1"/>
  <c r="L26" i="1" s="1"/>
  <c r="AA26" i="1"/>
  <c r="AB28" i="1"/>
  <c r="AA28" i="1"/>
  <c r="U28" i="1"/>
  <c r="Y28" i="1" s="1"/>
  <c r="AC27" i="1"/>
  <c r="AB24" i="1"/>
  <c r="AA24" i="1"/>
  <c r="U24" i="1"/>
  <c r="Y24" i="1" s="1"/>
  <c r="U30" i="1"/>
  <c r="Y30" i="1" s="1"/>
  <c r="AB30" i="1"/>
  <c r="AA30" i="1"/>
  <c r="U23" i="1"/>
  <c r="Y23" i="1" s="1"/>
  <c r="AB23" i="1"/>
  <c r="AA23" i="1"/>
  <c r="AB21" i="1"/>
  <c r="U21" i="1"/>
  <c r="Y21" i="1" s="1"/>
  <c r="AA21" i="1"/>
  <c r="U18" i="1"/>
  <c r="Y18" i="1" s="1"/>
  <c r="AB18" i="1"/>
  <c r="AA18" i="1"/>
  <c r="P28" i="1"/>
  <c r="N28" i="1" s="1"/>
  <c r="Q28" i="1" s="1"/>
  <c r="K28" i="1" s="1"/>
  <c r="L28" i="1" s="1"/>
  <c r="U29" i="1"/>
  <c r="Y29" i="1" s="1"/>
  <c r="AB29" i="1"/>
  <c r="AA29" i="1"/>
  <c r="AB17" i="1"/>
  <c r="U17" i="1"/>
  <c r="Y17" i="1" s="1"/>
  <c r="AA17" i="1"/>
  <c r="AC22" i="1"/>
  <c r="U20" i="1"/>
  <c r="Y20" i="1" s="1"/>
  <c r="AA20" i="1"/>
  <c r="AB20" i="1"/>
  <c r="AC20" i="1" s="1"/>
  <c r="AA19" i="1"/>
  <c r="AB19" i="1"/>
  <c r="AC19" i="1" s="1"/>
  <c r="U19" i="1"/>
  <c r="Y19" i="1" s="1"/>
  <c r="P19" i="1"/>
  <c r="N19" i="1" s="1"/>
  <c r="Q19" i="1" s="1"/>
  <c r="K19" i="1" s="1"/>
  <c r="L19" i="1" s="1"/>
  <c r="P20" i="1"/>
  <c r="N20" i="1" s="1"/>
  <c r="Q20" i="1" s="1"/>
  <c r="K20" i="1" s="1"/>
  <c r="L20" i="1" s="1"/>
  <c r="AC21" i="1" l="1"/>
  <c r="AC23" i="1"/>
  <c r="AC24" i="1"/>
  <c r="AC17" i="1"/>
  <c r="AC29" i="1"/>
  <c r="AC18" i="1"/>
  <c r="AC30" i="1"/>
  <c r="AC28" i="1"/>
  <c r="AC26" i="1"/>
</calcChain>
</file>

<file path=xl/sharedStrings.xml><?xml version="1.0" encoding="utf-8"?>
<sst xmlns="http://schemas.openxmlformats.org/spreadsheetml/2006/main" count="771" uniqueCount="354">
  <si>
    <t>File opened</t>
  </si>
  <si>
    <t>2020-07-17 09:58:04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</si>
  <si>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</si>
  <si>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</si>
  <si>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</si>
  <si>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</si>
  <si>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</si>
  <si>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</si>
  <si>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</si>
  <si>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</si>
  <si>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</si>
  <si>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</si>
  <si>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</si>
  <si>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{"h2oaspanconc2": "0", "co2bspan2a": "0.163389", "ssb_ref": "36526.8", "co2aspanconc2": "0", "co2bzero": "0.880288", "chamberpressurezero": "2.59209", "co2aspan1": "0.992625", "co2aspan2b": "0.163711", "tbzero": "0.197721", "h2oaspan1": "1.00223", "h2oaspan2a": "0.0661155", "h2obspan2a": "0.0975941", "tazero": "0.00774765", "h2obspan1": "0.998578", "h2obspan2": "0", "co2bspanconc1": "1002", "h2oaspan2b": "0.0662632", "co2bspan2": "0", "co2bspan2b": "0.162103", "co2aspan2": "0", "co2azero": "0.869071", "h2oaspan2": "0", "h2obzero": "1.01783", "ssa_ref": "36614.9", "flowmeterzero": "0.990908", "flowbzero": "0.22736", "co2bspanconc2": "0", "co2bspan1": "0.992131", "h2oaspanconc1": "12.19", "co2aspan2a": "0.164928", "co2aspanconc1": "1002", "h2oazero": "1.00263", "h2obspanconc1": "20", "flowazero": "0.42932", "h2obspanconc2": "0", "h2obspan2b": "0.0963575", "oxygen": "21"}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</si>
  <si>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</si>
  <si>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</si>
  <si>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</si>
  <si>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</si>
  <si>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</si>
  <si>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</si>
  <si>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</si>
  <si>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</si>
  <si>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</si>
  <si>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09:58:04</t>
  </si>
  <si>
    <t>Stability Definition:	H2O_s (Meas): Slp&lt;0.2	CO2_s (Meas): Slp&lt;0.3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</si>
  <si>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</si>
  <si>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</si>
  <si>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</si>
  <si>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</si>
  <si>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</si>
  <si>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</si>
  <si>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</si>
  <si>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</si>
  <si>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</si>
  <si>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</si>
  <si>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</si>
  <si>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</si>
  <si>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</si>
  <si>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</si>
  <si>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</si>
  <si>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</si>
  <si>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</si>
  <si>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</si>
  <si>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</si>
  <si>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</si>
  <si>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</si>
  <si>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</si>
  <si>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</si>
  <si>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</si>
  <si>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</si>
  <si>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</si>
  <si>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</si>
  <si>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</si>
  <si>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</si>
  <si>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</si>
  <si>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</si>
  <si>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</si>
  <si>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</si>
  <si>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</si>
  <si>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</si>
  <si>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</si>
  <si>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</si>
  <si>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</si>
  <si>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</si>
  <si>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</si>
  <si>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</si>
  <si>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</si>
  <si>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</si>
  <si>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</si>
  <si>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</si>
  <si>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</si>
  <si>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2.8867 76.9944 384.338 617.676 844.529 1050.88 1230.97 1394.83</t>
  </si>
  <si>
    <t>Fs_true</t>
  </si>
  <si>
    <t>0.249995 100.784 401.701 601.178 800.155 1000.64 1200.01 1400.75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</si>
  <si>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</si>
  <si>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</si>
  <si>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</si>
  <si>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</si>
  <si>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</si>
  <si>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</si>
  <si>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</si>
  <si>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</si>
  <si>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</si>
  <si>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</si>
  <si>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</si>
  <si>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</si>
  <si>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</si>
  <si>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</si>
  <si>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</si>
  <si>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</si>
  <si>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</si>
  <si>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</si>
  <si>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</si>
  <si>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</si>
  <si>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</si>
  <si>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</si>
  <si>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</si>
  <si>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</si>
  <si>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</si>
  <si>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</si>
  <si>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</si>
  <si>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</si>
  <si>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</si>
  <si>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</si>
  <si>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</si>
  <si>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</si>
  <si>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</si>
  <si>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</si>
  <si>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</si>
  <si>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</si>
  <si>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</si>
  <si>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</si>
  <si>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</si>
  <si>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</si>
  <si>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</si>
  <si>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</si>
  <si>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</si>
  <si>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</si>
  <si>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</si>
  <si>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</si>
  <si>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</si>
  <si>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</si>
  <si>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</si>
  <si>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</si>
  <si>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</si>
  <si>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</si>
  <si>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</si>
  <si>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</si>
  <si>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</si>
  <si>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</si>
  <si>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</si>
  <si>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</si>
  <si>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</si>
  <si>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</si>
  <si>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</si>
  <si>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</si>
  <si>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</si>
  <si>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</si>
  <si>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</si>
  <si>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</si>
  <si>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</si>
  <si>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</si>
  <si>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</si>
  <si>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</si>
  <si>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</si>
  <si>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</si>
  <si>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</si>
  <si>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</si>
  <si>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</si>
  <si>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</si>
  <si>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</si>
  <si>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</si>
  <si>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</si>
  <si>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</si>
  <si>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</si>
  <si>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</si>
  <si>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</si>
  <si>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</si>
  <si>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</si>
  <si>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</si>
  <si>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</si>
  <si>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</si>
  <si>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</si>
  <si>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</si>
  <si>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</si>
  <si>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</si>
  <si>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</si>
  <si>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</si>
  <si>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</si>
  <si>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</si>
  <si>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</si>
  <si>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</si>
  <si>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</si>
  <si>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</si>
  <si>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</si>
  <si>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</si>
  <si>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</si>
  <si>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</si>
  <si>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</si>
  <si>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</si>
  <si>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</si>
  <si>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</si>
  <si>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</si>
  <si>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</si>
  <si>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</si>
  <si>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</si>
  <si>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</si>
  <si>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</si>
  <si>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</si>
  <si>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</si>
  <si>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</si>
  <si>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</si>
  <si>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</si>
  <si>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</si>
  <si>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</si>
  <si>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</si>
  <si>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</si>
  <si>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</si>
  <si>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</si>
  <si>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</si>
  <si>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</si>
  <si>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</si>
  <si>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</si>
  <si>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</si>
  <si>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</si>
  <si>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</si>
  <si>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</si>
  <si>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</si>
  <si>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</si>
  <si>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</si>
  <si>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</si>
  <si>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</si>
  <si>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</si>
  <si>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</si>
  <si>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</si>
  <si>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</si>
  <si>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</si>
  <si>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</si>
  <si>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</si>
  <si>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</si>
  <si>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</si>
  <si>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</si>
  <si>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</si>
  <si>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</si>
  <si>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</si>
  <si>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</si>
  <si>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</si>
  <si>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</si>
  <si>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</si>
  <si>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</si>
  <si>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</si>
  <si>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</si>
  <si>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</si>
  <si>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</si>
  <si>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</si>
  <si>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</si>
  <si>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</si>
  <si>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</si>
  <si>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</si>
  <si>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</si>
  <si>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</si>
  <si>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</si>
  <si>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</si>
  <si>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</si>
  <si>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</si>
  <si>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</si>
  <si>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</si>
  <si>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</si>
  <si>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</si>
  <si>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</si>
  <si>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</si>
  <si>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</si>
  <si>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</si>
  <si>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</si>
  <si>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</si>
  <si>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</si>
  <si>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</si>
  <si>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</si>
  <si>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</si>
  <si>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</si>
  <si>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</si>
  <si>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</si>
  <si>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</si>
  <si>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</si>
  <si>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</si>
  <si>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</si>
  <si>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</si>
  <si>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</si>
  <si>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</si>
  <si>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</si>
  <si>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</si>
  <si>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</si>
  <si>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</si>
  <si>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</si>
  <si>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</si>
  <si>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</si>
  <si>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</si>
  <si>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20200717 10:07:38</t>
  </si>
  <si>
    <t>10:07:38</t>
  </si>
  <si>
    <t>MPF-4875-20200717-10_07_40</t>
  </si>
  <si>
    <t>DARK-4876-20200717-10_07_48</t>
  </si>
  <si>
    <t>0: Broadleaf</t>
  </si>
  <si>
    <t>10:08:16</t>
  </si>
  <si>
    <t>2/2</t>
  </si>
  <si>
    <t>5</t>
  </si>
  <si>
    <t>11111111</t>
  </si>
  <si>
    <t>oooooooo</t>
  </si>
  <si>
    <t>off</t>
  </si>
  <si>
    <t>20200717 10:09:48</t>
  </si>
  <si>
    <t>10:09:48</t>
  </si>
  <si>
    <t>MPF-4877-20200717-10_09_50</t>
  </si>
  <si>
    <t>DARK-4878-20200717-10_09_58</t>
  </si>
  <si>
    <t>10:10:20</t>
  </si>
  <si>
    <t>20200717 10:11:52</t>
  </si>
  <si>
    <t>10:11:52</t>
  </si>
  <si>
    <t>MPF-4879-20200717-10_11_53</t>
  </si>
  <si>
    <t>DARK-4880-20200717-10_12_01</t>
  </si>
  <si>
    <t>10:12:22</t>
  </si>
  <si>
    <t>20200717 10:13:54</t>
  </si>
  <si>
    <t>10:13:54</t>
  </si>
  <si>
    <t>MPF-4881-20200717-10_13_55</t>
  </si>
  <si>
    <t>DARK-4882-20200717-10_14_03</t>
  </si>
  <si>
    <t>10:14:20</t>
  </si>
  <si>
    <t>20200717 10:15:51</t>
  </si>
  <si>
    <t>10:15:51</t>
  </si>
  <si>
    <t>MPF-4883-20200717-10_15_53</t>
  </si>
  <si>
    <t>DARK-4884-20200717-10_16_00</t>
  </si>
  <si>
    <t>10:16:24</t>
  </si>
  <si>
    <t>20200717 10:17:56</t>
  </si>
  <si>
    <t>10:17:56</t>
  </si>
  <si>
    <t>MPF-4885-20200717-10_17_57</t>
  </si>
  <si>
    <t>DARK-4886-20200717-10_18_05</t>
  </si>
  <si>
    <t>10:18:31</t>
  </si>
  <si>
    <t>20200717 10:20:02</t>
  </si>
  <si>
    <t>10:20:02</t>
  </si>
  <si>
    <t>MPF-4887-20200717-10_20_04</t>
  </si>
  <si>
    <t>DARK-4888-20200717-10_20_11</t>
  </si>
  <si>
    <t>10:20:30</t>
  </si>
  <si>
    <t>20200717 10:22:04</t>
  </si>
  <si>
    <t>10:22:04</t>
  </si>
  <si>
    <t>MPF-4889-20200717-10_22_06</t>
  </si>
  <si>
    <t>DARK-4890-20200717-10_22_13</t>
  </si>
  <si>
    <t>10:22:29</t>
  </si>
  <si>
    <t>20200717 10:24:09</t>
  </si>
  <si>
    <t>10:24:09</t>
  </si>
  <si>
    <t>MPF-4891-20200717-10_24_11</t>
  </si>
  <si>
    <t>DARK-4892-20200717-10_24_18</t>
  </si>
  <si>
    <t>10:24:35</t>
  </si>
  <si>
    <t>20200717 10:26:28</t>
  </si>
  <si>
    <t>10:26:28</t>
  </si>
  <si>
    <t>MPF-4893-20200717-10_26_29</t>
  </si>
  <si>
    <t>DARK-4894-20200717-10_26_37</t>
  </si>
  <si>
    <t>10:26:53</t>
  </si>
  <si>
    <t>20200717 10:28:30</t>
  </si>
  <si>
    <t>10:28:30</t>
  </si>
  <si>
    <t>MPF-4895-20200717-10_28_31</t>
  </si>
  <si>
    <t>DARK-4896-20200717-10_28_39</t>
  </si>
  <si>
    <t>10:29:01</t>
  </si>
  <si>
    <t>20200717 10:30:36</t>
  </si>
  <si>
    <t>10:30:36</t>
  </si>
  <si>
    <t>MPF-4897-20200717-10_30_37</t>
  </si>
  <si>
    <t>DARK-4898-20200717-10_30_45</t>
  </si>
  <si>
    <t>10:31:00</t>
  </si>
  <si>
    <t>20200717 10:32:31</t>
  </si>
  <si>
    <t>10:32:31</t>
  </si>
  <si>
    <t>MPF-4899-20200717-10_32_33</t>
  </si>
  <si>
    <t>DARK-4900-20200717-10_32_40</t>
  </si>
  <si>
    <t>10:33:04</t>
  </si>
  <si>
    <t>20200717 10:35:05</t>
  </si>
  <si>
    <t>10:35:05</t>
  </si>
  <si>
    <t>MPF-4901-20200717-10_35_07</t>
  </si>
  <si>
    <t>DARK-4902-20200717-10_35_14</t>
  </si>
  <si>
    <t>10:35:33</t>
  </si>
  <si>
    <t>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</si>
</sst>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1594998458.8</v>
      </c>
      <c r="C17">
        <v>0</v>
      </c>
      <c r="D17" t="s">
        <v>277</v>
      </c>
      <c r="E17" t="s">
        <v>278</v>
      </c>
      <c r="G17">
        <v>1594998450.80323</v>
      </c>
      <c r="H17">
        <f t="shared" ref="H17:H30" si="0">CC17*AI17*(CA17-CB17)/(100*$B$5*(1000-AI17*CA17))</f>
        <v>1.2104520339847444E-2</v>
      </c>
      <c r="I17">
        <f t="shared" ref="I17:I30" si="1">CC17*AI17*(BZ17-BY17*(1000-AI17*CB17)/(1000-AI17*CA17))/(100*$B$5)</f>
        <v>37.655324490648447</v>
      </c>
      <c r="J17">
        <f t="shared" ref="J17:J30" si="2">BY17 - IF(AI17&gt;1, I17*$B$5*100/(AK17*CI17), 0)</f>
        <v>383.10683870967699</v>
      </c>
      <c r="K17">
        <f t="shared" ref="K17:K30" si="3">((Q17-H17/2)*J17-I17)/(Q17+H17/2)</f>
        <v>300.37648472022141</v>
      </c>
      <c r="L17">
        <f t="shared" ref="L17:L30" si="4">K17*(CD17+CE17)/1000</f>
        <v>30.017332285618114</v>
      </c>
      <c r="M17">
        <f t="shared" ref="M17:M30" si="5">(BY17 - IF(AI17&gt;1, I17*$B$5*100/(AK17*CI17), 0))*(CD17+CE17)/1000</f>
        <v>38.284772155691009</v>
      </c>
      <c r="N17">
        <f t="shared" ref="N17:N30" si="6">2/((1/P17-1/O17)+SIGN(P17)*SQRT((1/P17-1/O17)*(1/P17-1/O17) + 4*BV17/((BV17+1)*(BV17+1))*(2*1/P17*1/O17-1/O17*1/O17)))</f>
        <v>0.91055326235170542</v>
      </c>
      <c r="O17">
        <f t="shared" ref="O17:O30" si="7">AF17+AE17*$B$5+AD17*$B$5*$B$5</f>
        <v>3.3904803768602338</v>
      </c>
      <c r="P17">
        <f t="shared" ref="P17:P30" si="8">H17*(1000-(1000*0.61365*EXP(17.502*T17/(240.97+T17))/(CD17+CE17)+CA17)/2)/(1000*0.61365*EXP(17.502*T17/(240.97+T17))/(CD17+CE17)-CA17)</f>
        <v>0.79343441974647821</v>
      </c>
      <c r="Q17">
        <f t="shared" ref="Q17:Q30" si="9">1/((BV17+1)/(N17/1.6)+1/(O17/1.37)) + BV17/((BV17+1)/(N17/1.6) + BV17/(O17/1.37))</f>
        <v>0.50515852248349979</v>
      </c>
      <c r="R17">
        <f t="shared" ref="R17:R30" si="10">(BS17*BU17)</f>
        <v>353.33763321889569</v>
      </c>
      <c r="S17">
        <f t="shared" ref="S17:S30" si="11">(CF17+(R17+2*0.95*0.0000000567*(((CF17+$B$7)+273)^4-(CF17+273)^4)-44100*H17)/(1.84*29.3*O17+8*0.95*0.0000000567*(CF17+273)^3))</f>
        <v>27.265187082443468</v>
      </c>
      <c r="T17">
        <f t="shared" ref="T17:T30" si="12">($C$7*CG17+$D$7*CH17+$E$7*S17)</f>
        <v>27.057293548387101</v>
      </c>
      <c r="U17">
        <f t="shared" ref="U17:U30" si="13">0.61365*EXP(17.502*T17/(240.97+T17))</f>
        <v>3.591221239501325</v>
      </c>
      <c r="V17">
        <f t="shared" ref="V17:V30" si="14">(W17/X17*100)</f>
        <v>54.985024440561844</v>
      </c>
      <c r="W17">
        <f t="shared" ref="W17:W30" si="15">CA17*(CD17+CE17)/1000</f>
        <v>2.1101572973623521</v>
      </c>
      <c r="X17">
        <f t="shared" ref="X17:X30" si="16">0.61365*EXP(17.502*CF17/(240.97+CF17))</f>
        <v>3.8376945701704774</v>
      </c>
      <c r="Y17">
        <f t="shared" ref="Y17:Y30" si="17">(U17-CA17*(CD17+CE17)/1000)</f>
        <v>1.4810639421389729</v>
      </c>
      <c r="Z17">
        <f t="shared" ref="Z17:Z30" si="18">(-H17*44100)</f>
        <v>-533.80934698727231</v>
      </c>
      <c r="AA17">
        <f t="shared" ref="AA17:AA30" si="19">2*29.3*O17*0.92*(CF17-T17)</f>
        <v>207.550577807975</v>
      </c>
      <c r="AB17">
        <f t="shared" ref="AB17:AB30" si="20">2*0.95*0.0000000567*(((CF17+$B$7)+273)^4-(T17+273)^4)</f>
        <v>13.293853311096802</v>
      </c>
      <c r="AC17">
        <f t="shared" ref="AC17:AC30" si="21">R17+AB17+Z17+AA17</f>
        <v>40.372717350695211</v>
      </c>
      <c r="AD17">
        <v>-4.1300269036885301E-2</v>
      </c>
      <c r="AE17">
        <v>4.6363170096187602E-2</v>
      </c>
      <c r="AF17">
        <v>3.4629551128154001</v>
      </c>
      <c r="AG17">
        <v>146</v>
      </c>
      <c r="AH17">
        <v>29</v>
      </c>
      <c r="AI17">
        <f t="shared" ref="AI17:AI30" si="22">IF(AG17*$H$13&gt;=AK17,1,(AK17/(AK17-AG17*$H$13)))</f>
        <v>1</v>
      </c>
      <c r="AJ17">
        <f t="shared" ref="AJ17:AJ30" si="23">(AI17-1)*100</f>
        <v>0</v>
      </c>
      <c r="AK17">
        <f t="shared" ref="AK17:AK30" si="24">MAX(0,($B$13+$C$13*CI17)/(1+$D$13*CI17)*CD17/(CF17+273)*$E$13)</f>
        <v>52458.725385599042</v>
      </c>
      <c r="AL17">
        <v>0</v>
      </c>
      <c r="AM17">
        <v>0</v>
      </c>
      <c r="AN17">
        <v>0</v>
      </c>
      <c r="AO17">
        <f t="shared" ref="AO17:AO30" si="25">AN17-AM17</f>
        <v>0</v>
      </c>
      <c r="AP17" t="e">
        <f t="shared" ref="AP17:AP30" si="26">AO17/AN17</f>
        <v>#DIV/0!</v>
      </c>
      <c r="AQ17">
        <v>-1</v>
      </c>
      <c r="AR17" t="s">
        <v>279</v>
      </c>
      <c r="AS17">
        <v>273.88607999999999</v>
      </c>
      <c r="AT17">
        <v>383.67</v>
      </c>
      <c r="AU17">
        <f t="shared" ref="AU17:AU30" si="27">1-AS17/AT17</f>
        <v>0.28614152787551805</v>
      </c>
      <c r="AV17">
        <v>0.5</v>
      </c>
      <c r="AW17">
        <f t="shared" ref="AW17:AW30" si="28">BS17</f>
        <v>1849.1844868058331</v>
      </c>
      <c r="AX17">
        <f t="shared" ref="AX17:AX30" si="29">I17</f>
        <v>37.655324490648447</v>
      </c>
      <c r="AY17">
        <f t="shared" ref="AY17:AY30" si="30">AU17*AV17*AW17</f>
        <v>264.56423718916341</v>
      </c>
      <c r="AZ17">
        <f t="shared" ref="AZ17:AZ30" si="31">BE17/AT17</f>
        <v>0.5261031615711419</v>
      </c>
      <c r="BA17">
        <f t="shared" ref="BA17:BA30" si="32">(AX17-AQ17)/AW17</f>
        <v>2.0903984846541334E-2</v>
      </c>
      <c r="BB17">
        <f t="shared" ref="BB17:BB30" si="33">(AN17-AT17)/AT17</f>
        <v>-1</v>
      </c>
      <c r="BC17" t="s">
        <v>280</v>
      </c>
      <c r="BD17">
        <v>181.82</v>
      </c>
      <c r="BE17">
        <f t="shared" ref="BE17:BE30" si="34">AT17-BD17</f>
        <v>201.85000000000002</v>
      </c>
      <c r="BF17">
        <f t="shared" ref="BF17:BF30" si="35">(AT17-AS17)/(AT17-BD17)</f>
        <v>0.54388863017091904</v>
      </c>
      <c r="BG17">
        <f t="shared" ref="BG17:BG30" si="36">(AN17-AT17)/(AN17-BD17)</f>
        <v>2.1101638983610167</v>
      </c>
      <c r="BH17">
        <f t="shared" ref="BH17:BH30" si="37">(AT17-AS17)/(AT17-AM17)</f>
        <v>0.28614152787551805</v>
      </c>
      <c r="BI17" t="e">
        <f t="shared" ref="BI17:BI30" si="38">(AN17-AT17)/(AN17-AM17)</f>
        <v>#DIV/0!</v>
      </c>
      <c r="BJ17">
        <v>4875</v>
      </c>
      <c r="BK17">
        <v>300</v>
      </c>
      <c r="BL17">
        <v>300</v>
      </c>
      <c r="BM17">
        <v>300</v>
      </c>
      <c r="BN17">
        <v>9867.7199999999993</v>
      </c>
      <c r="BO17">
        <v>352.92700000000002</v>
      </c>
      <c r="BP17">
        <v>-6.4010400000000002E-3</v>
      </c>
      <c r="BQ17">
        <v>1.2652000000000001</v>
      </c>
      <c r="BR17">
        <f t="shared" ref="BR17:BR30" si="39">$B$11*CJ17+$C$11*CK17+$F$11*CL17</f>
        <v>2199.9990322580602</v>
      </c>
      <c r="BS17">
        <f t="shared" ref="BS17:BS30" si="40">BR17*BT17</f>
        <v>1849.1844868058331</v>
      </c>
      <c r="BT17">
        <f t="shared" ref="BT17:BT30" si="41">($B$11*$D$9+$C$11*$D$9+$F$11*((CY17+CQ17)/MAX(CY17+CQ17+CZ17, 0.1)*$I$9+CZ17/MAX(CY17+CQ17+CZ17, 0.1)*$J$9))/($B$11+$C$11+$F$11)</f>
        <v>0.84053877283202527</v>
      </c>
      <c r="BU17">
        <f t="shared" ref="BU17:BU30" si="42">($B$11*$K$9+$C$11*$K$9+$F$11*((CY17+CQ17)/MAX(CY17+CQ17+CZ17, 0.1)*$P$9+CZ17/MAX(CY17+CQ17+CZ17, 0.1)*$Q$9))/($B$11+$C$11+$F$11)</f>
        <v>0.19107754566405066</v>
      </c>
      <c r="BV17">
        <v>0.5</v>
      </c>
      <c r="BW17" t="s">
        <v>281</v>
      </c>
      <c r="BX17">
        <v>1594998450.80323</v>
      </c>
      <c r="BY17">
        <v>383.10683870967699</v>
      </c>
      <c r="BZ17">
        <v>400.022258064516</v>
      </c>
      <c r="CA17">
        <v>21.115854838709701</v>
      </c>
      <c r="CB17">
        <v>16.376745161290302</v>
      </c>
      <c r="CC17">
        <v>500.04848387096803</v>
      </c>
      <c r="CD17">
        <v>99.732338709677407</v>
      </c>
      <c r="CE17">
        <v>0.20002554838709699</v>
      </c>
      <c r="CF17">
        <v>28.192767741935501</v>
      </c>
      <c r="CG17">
        <v>27.057293548387101</v>
      </c>
      <c r="CH17">
        <v>999.9</v>
      </c>
      <c r="CI17">
        <v>9986.4906451612896</v>
      </c>
      <c r="CJ17">
        <v>0</v>
      </c>
      <c r="CK17">
        <v>268.15170967741898</v>
      </c>
      <c r="CL17">
        <v>2199.9990322580602</v>
      </c>
      <c r="CM17">
        <v>0.98200200000000004</v>
      </c>
      <c r="CN17">
        <v>1.7998199999999999E-2</v>
      </c>
      <c r="CO17">
        <v>0</v>
      </c>
      <c r="CP17">
        <v>273.947</v>
      </c>
      <c r="CQ17">
        <v>5.00054</v>
      </c>
      <c r="CR17">
        <v>8753.0254838709698</v>
      </c>
      <c r="CS17">
        <v>20590.5419354839</v>
      </c>
      <c r="CT17">
        <v>47.638967741935502</v>
      </c>
      <c r="CU17">
        <v>47.949387096774203</v>
      </c>
      <c r="CV17">
        <v>47.491870967741903</v>
      </c>
      <c r="CW17">
        <v>47.625</v>
      </c>
      <c r="CX17">
        <v>49.157064516128997</v>
      </c>
      <c r="CY17">
        <v>2155.48903225806</v>
      </c>
      <c r="CZ17">
        <v>39.51</v>
      </c>
      <c r="DA17">
        <v>0</v>
      </c>
      <c r="DB17">
        <v>1587484250.3</v>
      </c>
      <c r="DC17">
        <v>273.88607999999999</v>
      </c>
      <c r="DD17">
        <v>-2.76061538601106</v>
      </c>
      <c r="DE17">
        <v>32.803847315745301</v>
      </c>
      <c r="DF17">
        <v>8750.3888000000006</v>
      </c>
      <c r="DG17">
        <v>15</v>
      </c>
      <c r="DH17">
        <v>1594998496.9000001</v>
      </c>
      <c r="DI17" t="s">
        <v>282</v>
      </c>
      <c r="DJ17">
        <v>1</v>
      </c>
      <c r="DK17">
        <v>-0.49199999999999999</v>
      </c>
      <c r="DL17">
        <v>0.104</v>
      </c>
      <c r="DM17">
        <v>400</v>
      </c>
      <c r="DN17">
        <v>17</v>
      </c>
      <c r="DO17">
        <v>0.1</v>
      </c>
      <c r="DP17">
        <v>0.02</v>
      </c>
      <c r="DQ17">
        <v>383.28035294117598</v>
      </c>
      <c r="DR17">
        <v>2.03030143758673E-2</v>
      </c>
      <c r="DS17">
        <v>8.2315117364365094E-3</v>
      </c>
      <c r="DT17">
        <v>1</v>
      </c>
      <c r="DU17">
        <v>21.137343137254899</v>
      </c>
      <c r="DV17">
        <v>3.9024618754928402E-2</v>
      </c>
      <c r="DW17">
        <v>8.6310714328635407E-3</v>
      </c>
      <c r="DX17">
        <v>1</v>
      </c>
      <c r="DY17">
        <v>2</v>
      </c>
      <c r="DZ17">
        <v>2</v>
      </c>
      <c r="EA17" t="s">
        <v>283</v>
      </c>
      <c r="EB17">
        <v>1.8668100000000001</v>
      </c>
      <c r="EC17">
        <v>1.86331</v>
      </c>
      <c r="ED17">
        <v>1.86904</v>
      </c>
      <c r="EE17">
        <v>1.8669100000000001</v>
      </c>
      <c r="EF17">
        <v>1.87164</v>
      </c>
      <c r="EG17">
        <v>1.8641000000000001</v>
      </c>
      <c r="EH17">
        <v>1.8656900000000001</v>
      </c>
      <c r="EI17">
        <v>1.8656600000000001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-0.49199999999999999</v>
      </c>
      <c r="EX17">
        <v>0.104</v>
      </c>
      <c r="EY17">
        <v>2</v>
      </c>
      <c r="EZ17">
        <v>335.74799999999999</v>
      </c>
      <c r="FA17">
        <v>520.62</v>
      </c>
      <c r="FB17">
        <v>22.1782</v>
      </c>
      <c r="FC17">
        <v>32.563899999999997</v>
      </c>
      <c r="FD17">
        <v>30.001000000000001</v>
      </c>
      <c r="FE17">
        <v>32.284799999999997</v>
      </c>
      <c r="FF17">
        <v>32.239400000000003</v>
      </c>
      <c r="FG17">
        <v>21.581700000000001</v>
      </c>
      <c r="FH17">
        <v>49.902299999999997</v>
      </c>
      <c r="FI17">
        <v>53.887500000000003</v>
      </c>
      <c r="FJ17">
        <v>22.1373</v>
      </c>
      <c r="FK17">
        <v>400</v>
      </c>
      <c r="FL17">
        <v>16.4556</v>
      </c>
      <c r="FM17">
        <v>101.128</v>
      </c>
      <c r="FN17">
        <v>101.133</v>
      </c>
    </row>
    <row r="18" spans="1:170" x14ac:dyDescent="0.25">
      <c r="A18">
        <v>2</v>
      </c>
      <c r="B18">
        <v>1594998588.9000001</v>
      </c>
      <c r="C18">
        <v>130.10000014305101</v>
      </c>
      <c r="D18" t="s">
        <v>288</v>
      </c>
      <c r="E18" t="s">
        <v>289</v>
      </c>
      <c r="G18">
        <v>1594998580.90645</v>
      </c>
      <c r="H18">
        <f t="shared" si="0"/>
        <v>1.14258005989643E-2</v>
      </c>
      <c r="I18">
        <f t="shared" si="1"/>
        <v>29.323759180698747</v>
      </c>
      <c r="J18">
        <f t="shared" si="2"/>
        <v>286.95916129032298</v>
      </c>
      <c r="K18">
        <f t="shared" si="3"/>
        <v>218.92960983742361</v>
      </c>
      <c r="L18">
        <f t="shared" si="4"/>
        <v>21.879024828747532</v>
      </c>
      <c r="M18">
        <f t="shared" si="5"/>
        <v>28.67764949368819</v>
      </c>
      <c r="N18">
        <f t="shared" si="6"/>
        <v>0.84669580622535412</v>
      </c>
      <c r="O18">
        <f t="shared" si="7"/>
        <v>3.3970152264528428</v>
      </c>
      <c r="P18">
        <f t="shared" si="8"/>
        <v>0.74461661454232042</v>
      </c>
      <c r="Q18">
        <f t="shared" si="9"/>
        <v>0.47352732165348072</v>
      </c>
      <c r="R18">
        <f t="shared" si="10"/>
        <v>353.34000614256945</v>
      </c>
      <c r="S18">
        <f t="shared" si="11"/>
        <v>27.042479375276194</v>
      </c>
      <c r="T18">
        <f t="shared" si="12"/>
        <v>26.976696774193499</v>
      </c>
      <c r="U18">
        <f t="shared" si="13"/>
        <v>3.5742639792062167</v>
      </c>
      <c r="V18">
        <f t="shared" si="14"/>
        <v>55.51794330311315</v>
      </c>
      <c r="W18">
        <f t="shared" si="15"/>
        <v>2.0841998587117785</v>
      </c>
      <c r="X18">
        <f t="shared" si="16"/>
        <v>3.7541013494188786</v>
      </c>
      <c r="Y18">
        <f t="shared" si="17"/>
        <v>1.4900641204944383</v>
      </c>
      <c r="Z18">
        <f t="shared" si="18"/>
        <v>-503.87780641432562</v>
      </c>
      <c r="AA18">
        <f t="shared" si="19"/>
        <v>153.52380240676376</v>
      </c>
      <c r="AB18">
        <f t="shared" si="20"/>
        <v>9.7920139104002892</v>
      </c>
      <c r="AC18">
        <f t="shared" si="21"/>
        <v>12.778016045407867</v>
      </c>
      <c r="AD18">
        <v>-4.1401487094719601E-2</v>
      </c>
      <c r="AE18">
        <v>4.6476796233295502E-2</v>
      </c>
      <c r="AF18">
        <v>3.4696675823651302</v>
      </c>
      <c r="AG18">
        <v>149</v>
      </c>
      <c r="AH18">
        <v>30</v>
      </c>
      <c r="AI18">
        <f t="shared" si="22"/>
        <v>1</v>
      </c>
      <c r="AJ18">
        <f t="shared" si="23"/>
        <v>0</v>
      </c>
      <c r="AK18">
        <f t="shared" si="24"/>
        <v>52648.157116400376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259.62284</v>
      </c>
      <c r="AT18">
        <v>352.56</v>
      </c>
      <c r="AU18">
        <f t="shared" si="27"/>
        <v>0.26360664851372817</v>
      </c>
      <c r="AV18">
        <v>0.5</v>
      </c>
      <c r="AW18">
        <f t="shared" si="28"/>
        <v>1849.1996319672044</v>
      </c>
      <c r="AX18">
        <f t="shared" si="29"/>
        <v>29.323759180698747</v>
      </c>
      <c r="AY18">
        <f t="shared" si="30"/>
        <v>243.73065870784717</v>
      </c>
      <c r="AZ18">
        <f t="shared" si="31"/>
        <v>0.4877467665078285</v>
      </c>
      <c r="BA18">
        <f t="shared" si="32"/>
        <v>1.6398315604486634E-2</v>
      </c>
      <c r="BB18">
        <f t="shared" si="33"/>
        <v>-1</v>
      </c>
      <c r="BC18" t="s">
        <v>291</v>
      </c>
      <c r="BD18">
        <v>180.6</v>
      </c>
      <c r="BE18">
        <f t="shared" si="34"/>
        <v>171.96</v>
      </c>
      <c r="BF18">
        <f t="shared" si="35"/>
        <v>0.54045801349150968</v>
      </c>
      <c r="BG18">
        <f t="shared" si="36"/>
        <v>1.9521594684385384</v>
      </c>
      <c r="BH18">
        <f t="shared" si="37"/>
        <v>0.26360664851372817</v>
      </c>
      <c r="BI18" t="e">
        <f t="shared" si="38"/>
        <v>#DIV/0!</v>
      </c>
      <c r="BJ18">
        <v>4877</v>
      </c>
      <c r="BK18">
        <v>300</v>
      </c>
      <c r="BL18">
        <v>300</v>
      </c>
      <c r="BM18">
        <v>300</v>
      </c>
      <c r="BN18">
        <v>9866.42</v>
      </c>
      <c r="BO18">
        <v>326.85199999999998</v>
      </c>
      <c r="BP18">
        <v>-6.3997999999999998E-3</v>
      </c>
      <c r="BQ18">
        <v>1.27905</v>
      </c>
      <c r="BR18">
        <f t="shared" si="39"/>
        <v>2200.0174193548401</v>
      </c>
      <c r="BS18">
        <f t="shared" si="40"/>
        <v>1849.1996319672044</v>
      </c>
      <c r="BT18">
        <f t="shared" si="41"/>
        <v>0.84053863196659884</v>
      </c>
      <c r="BU18">
        <f t="shared" si="42"/>
        <v>0.19107726393319763</v>
      </c>
      <c r="BV18">
        <v>0.5</v>
      </c>
      <c r="BW18" t="s">
        <v>281</v>
      </c>
      <c r="BX18">
        <v>1594998580.90645</v>
      </c>
      <c r="BY18">
        <v>286.95916129032298</v>
      </c>
      <c r="BZ18">
        <v>299.99929032258098</v>
      </c>
      <c r="CA18">
        <v>20.8552741935484</v>
      </c>
      <c r="CB18">
        <v>16.380567741935501</v>
      </c>
      <c r="CC18">
        <v>500.03335483871001</v>
      </c>
      <c r="CD18">
        <v>99.7363741935484</v>
      </c>
      <c r="CE18">
        <v>0.19996993548387099</v>
      </c>
      <c r="CF18">
        <v>27.814983870967701</v>
      </c>
      <c r="CG18">
        <v>26.976696774193499</v>
      </c>
      <c r="CH18">
        <v>999.9</v>
      </c>
      <c r="CI18">
        <v>10010.560322580601</v>
      </c>
      <c r="CJ18">
        <v>0</v>
      </c>
      <c r="CK18">
        <v>284.42964516129001</v>
      </c>
      <c r="CL18">
        <v>2200.0174193548401</v>
      </c>
      <c r="CM18">
        <v>0.982003870967742</v>
      </c>
      <c r="CN18">
        <v>1.7996235483871002E-2</v>
      </c>
      <c r="CO18">
        <v>0</v>
      </c>
      <c r="CP18">
        <v>259.65541935483901</v>
      </c>
      <c r="CQ18">
        <v>5.00054</v>
      </c>
      <c r="CR18">
        <v>8436.8312903225797</v>
      </c>
      <c r="CS18">
        <v>20590.725806451599</v>
      </c>
      <c r="CT18">
        <v>48.04</v>
      </c>
      <c r="CU18">
        <v>48.185258064516098</v>
      </c>
      <c r="CV18">
        <v>47.929000000000002</v>
      </c>
      <c r="CW18">
        <v>47.783999999999999</v>
      </c>
      <c r="CX18">
        <v>49.499935483870999</v>
      </c>
      <c r="CY18">
        <v>2155.5174193548401</v>
      </c>
      <c r="CZ18">
        <v>39.5</v>
      </c>
      <c r="DA18">
        <v>0</v>
      </c>
      <c r="DB18">
        <v>129.200000047684</v>
      </c>
      <c r="DC18">
        <v>259.62284</v>
      </c>
      <c r="DD18">
        <v>-0.97823077199964104</v>
      </c>
      <c r="DE18">
        <v>248.269999208359</v>
      </c>
      <c r="DF18">
        <v>8448.2096000000001</v>
      </c>
      <c r="DG18">
        <v>15</v>
      </c>
      <c r="DH18">
        <v>1594998620.4000001</v>
      </c>
      <c r="DI18" t="s">
        <v>292</v>
      </c>
      <c r="DJ18">
        <v>2</v>
      </c>
      <c r="DK18">
        <v>-0.55000000000000004</v>
      </c>
      <c r="DL18">
        <v>0.1</v>
      </c>
      <c r="DM18">
        <v>300</v>
      </c>
      <c r="DN18">
        <v>16</v>
      </c>
      <c r="DO18">
        <v>0.13</v>
      </c>
      <c r="DP18">
        <v>0.02</v>
      </c>
      <c r="DQ18">
        <v>287.04466666666701</v>
      </c>
      <c r="DR18">
        <v>-0.28975252945976898</v>
      </c>
      <c r="DS18">
        <v>3.9849553675098598E-2</v>
      </c>
      <c r="DT18">
        <v>1</v>
      </c>
      <c r="DU18">
        <v>20.864321568627499</v>
      </c>
      <c r="DV18">
        <v>-2.92049537400269E-2</v>
      </c>
      <c r="DW18">
        <v>1.46518996121762E-2</v>
      </c>
      <c r="DX18">
        <v>1</v>
      </c>
      <c r="DY18">
        <v>2</v>
      </c>
      <c r="DZ18">
        <v>2</v>
      </c>
      <c r="EA18" t="s">
        <v>283</v>
      </c>
      <c r="EB18">
        <v>1.8668899999999999</v>
      </c>
      <c r="EC18">
        <v>1.8633999999999999</v>
      </c>
      <c r="ED18">
        <v>1.8690500000000001</v>
      </c>
      <c r="EE18">
        <v>1.86693</v>
      </c>
      <c r="EF18">
        <v>1.87164</v>
      </c>
      <c r="EG18">
        <v>1.86415</v>
      </c>
      <c r="EH18">
        <v>1.86571</v>
      </c>
      <c r="EI18">
        <v>1.8656699999999999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-0.55000000000000004</v>
      </c>
      <c r="EX18">
        <v>0.1</v>
      </c>
      <c r="EY18">
        <v>2</v>
      </c>
      <c r="EZ18">
        <v>332.87400000000002</v>
      </c>
      <c r="FA18">
        <v>517.26700000000005</v>
      </c>
      <c r="FB18">
        <v>21.4969</v>
      </c>
      <c r="FC18">
        <v>32.7209</v>
      </c>
      <c r="FD18">
        <v>29.994800000000001</v>
      </c>
      <c r="FE18">
        <v>32.517000000000003</v>
      </c>
      <c r="FF18">
        <v>32.482300000000002</v>
      </c>
      <c r="FG18">
        <v>17.1128</v>
      </c>
      <c r="FH18">
        <v>49.512799999999999</v>
      </c>
      <c r="FI18">
        <v>46.345399999999998</v>
      </c>
      <c r="FJ18">
        <v>21.656700000000001</v>
      </c>
      <c r="FK18">
        <v>300</v>
      </c>
      <c r="FL18">
        <v>16.126899999999999</v>
      </c>
      <c r="FM18">
        <v>101.092</v>
      </c>
      <c r="FN18">
        <v>101.104</v>
      </c>
    </row>
    <row r="19" spans="1:170" x14ac:dyDescent="0.25">
      <c r="A19">
        <v>3</v>
      </c>
      <c r="B19">
        <v>1594998712</v>
      </c>
      <c r="C19">
        <v>253.200000047684</v>
      </c>
      <c r="D19" t="s">
        <v>293</v>
      </c>
      <c r="E19" t="s">
        <v>294</v>
      </c>
      <c r="G19">
        <v>1594998703.94839</v>
      </c>
      <c r="H19">
        <f t="shared" si="0"/>
        <v>1.0897041514899E-2</v>
      </c>
      <c r="I19">
        <f t="shared" si="1"/>
        <v>18.478202062360403</v>
      </c>
      <c r="J19">
        <f t="shared" si="2"/>
        <v>191.74577419354799</v>
      </c>
      <c r="K19">
        <f t="shared" si="3"/>
        <v>145.82113411066479</v>
      </c>
      <c r="L19">
        <f t="shared" si="4"/>
        <v>14.572161118663434</v>
      </c>
      <c r="M19">
        <f t="shared" si="5"/>
        <v>19.161490770266099</v>
      </c>
      <c r="N19">
        <f t="shared" si="6"/>
        <v>0.78503777091424853</v>
      </c>
      <c r="O19">
        <f t="shared" si="7"/>
        <v>3.3970901831409703</v>
      </c>
      <c r="P19">
        <f t="shared" si="8"/>
        <v>0.69645667305905123</v>
      </c>
      <c r="Q19">
        <f t="shared" si="9"/>
        <v>0.44240830919122565</v>
      </c>
      <c r="R19">
        <f t="shared" si="10"/>
        <v>353.33653426928686</v>
      </c>
      <c r="S19">
        <f t="shared" si="11"/>
        <v>27.103170860259095</v>
      </c>
      <c r="T19">
        <f t="shared" si="12"/>
        <v>26.958896774193601</v>
      </c>
      <c r="U19">
        <f t="shared" si="13"/>
        <v>3.5705283628196494</v>
      </c>
      <c r="V19">
        <f t="shared" si="14"/>
        <v>54.820162232776035</v>
      </c>
      <c r="W19">
        <f t="shared" si="15"/>
        <v>2.0509337978217732</v>
      </c>
      <c r="X19">
        <f t="shared" si="16"/>
        <v>3.7412034446617435</v>
      </c>
      <c r="Y19">
        <f t="shared" si="17"/>
        <v>1.5195945649978762</v>
      </c>
      <c r="Z19">
        <f t="shared" si="18"/>
        <v>-480.55953080704592</v>
      </c>
      <c r="AA19">
        <f t="shared" si="19"/>
        <v>145.99229439353812</v>
      </c>
      <c r="AB19">
        <f t="shared" si="20"/>
        <v>9.3078663740156387</v>
      </c>
      <c r="AC19">
        <f t="shared" si="21"/>
        <v>28.077164229794704</v>
      </c>
      <c r="AD19">
        <v>-4.1402648606890899E-2</v>
      </c>
      <c r="AE19">
        <v>4.64781001324618E-2</v>
      </c>
      <c r="AF19">
        <v>3.4697445773036102</v>
      </c>
      <c r="AG19">
        <v>149</v>
      </c>
      <c r="AH19">
        <v>30</v>
      </c>
      <c r="AI19">
        <f t="shared" si="22"/>
        <v>1</v>
      </c>
      <c r="AJ19">
        <f t="shared" si="23"/>
        <v>0</v>
      </c>
      <c r="AK19">
        <f t="shared" si="24"/>
        <v>52659.791773910241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253.46807999999999</v>
      </c>
      <c r="AT19">
        <v>329.94099999999997</v>
      </c>
      <c r="AU19">
        <f t="shared" si="27"/>
        <v>0.23177756023046547</v>
      </c>
      <c r="AV19">
        <v>0.5</v>
      </c>
      <c r="AW19">
        <f t="shared" si="28"/>
        <v>1849.1787869796381</v>
      </c>
      <c r="AX19">
        <f t="shared" si="29"/>
        <v>18.478202062360403</v>
      </c>
      <c r="AY19">
        <f t="shared" si="30"/>
        <v>214.29907383803607</v>
      </c>
      <c r="AZ19">
        <f t="shared" si="31"/>
        <v>0.45438729954749479</v>
      </c>
      <c r="BA19">
        <f t="shared" si="32"/>
        <v>1.0533433651472492E-2</v>
      </c>
      <c r="BB19">
        <f t="shared" si="33"/>
        <v>-1</v>
      </c>
      <c r="BC19" t="s">
        <v>296</v>
      </c>
      <c r="BD19">
        <v>180.02</v>
      </c>
      <c r="BE19">
        <f t="shared" si="34"/>
        <v>149.92099999999996</v>
      </c>
      <c r="BF19">
        <f t="shared" si="35"/>
        <v>0.51008811307288504</v>
      </c>
      <c r="BG19">
        <f t="shared" si="36"/>
        <v>1.8328019108987887</v>
      </c>
      <c r="BH19">
        <f t="shared" si="37"/>
        <v>0.23177756023046542</v>
      </c>
      <c r="BI19" t="e">
        <f t="shared" si="38"/>
        <v>#DIV/0!</v>
      </c>
      <c r="BJ19">
        <v>4879</v>
      </c>
      <c r="BK19">
        <v>300</v>
      </c>
      <c r="BL19">
        <v>300</v>
      </c>
      <c r="BM19">
        <v>300</v>
      </c>
      <c r="BN19">
        <v>9867.3799999999992</v>
      </c>
      <c r="BO19">
        <v>307.41199999999998</v>
      </c>
      <c r="BP19">
        <v>-6.4003599999999999E-3</v>
      </c>
      <c r="BQ19">
        <v>1.0651900000000001</v>
      </c>
      <c r="BR19">
        <f t="shared" si="39"/>
        <v>2199.9922580645198</v>
      </c>
      <c r="BS19">
        <f t="shared" si="40"/>
        <v>1849.1787869796381</v>
      </c>
      <c r="BT19">
        <f t="shared" si="41"/>
        <v>0.84053877017116607</v>
      </c>
      <c r="BU19">
        <f t="shared" si="42"/>
        <v>0.19107754034233226</v>
      </c>
      <c r="BV19">
        <v>0.5</v>
      </c>
      <c r="BW19" t="s">
        <v>281</v>
      </c>
      <c r="BX19">
        <v>1594998703.94839</v>
      </c>
      <c r="BY19">
        <v>191.74577419354799</v>
      </c>
      <c r="BZ19">
        <v>199.97212903225801</v>
      </c>
      <c r="CA19">
        <v>20.523345161290301</v>
      </c>
      <c r="CB19">
        <v>16.254354838709698</v>
      </c>
      <c r="CC19">
        <v>500.04319354838702</v>
      </c>
      <c r="CD19">
        <v>99.731777419354898</v>
      </c>
      <c r="CE19">
        <v>0.19997258064516099</v>
      </c>
      <c r="CF19">
        <v>27.7560419354839</v>
      </c>
      <c r="CG19">
        <v>26.958896774193601</v>
      </c>
      <c r="CH19">
        <v>999.9</v>
      </c>
      <c r="CI19">
        <v>10011.302580645201</v>
      </c>
      <c r="CJ19">
        <v>0</v>
      </c>
      <c r="CK19">
        <v>100.802725806452</v>
      </c>
      <c r="CL19">
        <v>2199.9922580645198</v>
      </c>
      <c r="CM19">
        <v>0.98200212903225803</v>
      </c>
      <c r="CN19">
        <v>1.7998064516128998E-2</v>
      </c>
      <c r="CO19">
        <v>0</v>
      </c>
      <c r="CP19">
        <v>253.51845161290299</v>
      </c>
      <c r="CQ19">
        <v>5.00054</v>
      </c>
      <c r="CR19">
        <v>6671.8306451612898</v>
      </c>
      <c r="CS19">
        <v>20590.4774193548</v>
      </c>
      <c r="CT19">
        <v>48.186999999999998</v>
      </c>
      <c r="CU19">
        <v>48.021935483870898</v>
      </c>
      <c r="CV19">
        <v>47.941064516129003</v>
      </c>
      <c r="CW19">
        <v>47.794064516128998</v>
      </c>
      <c r="CX19">
        <v>49.606709677419403</v>
      </c>
      <c r="CY19">
        <v>2155.48225806452</v>
      </c>
      <c r="CZ19">
        <v>39.509677419354801</v>
      </c>
      <c r="DA19">
        <v>0</v>
      </c>
      <c r="DB19">
        <v>122.60000014305101</v>
      </c>
      <c r="DC19">
        <v>253.46807999999999</v>
      </c>
      <c r="DD19">
        <v>-2.5956922952036998</v>
      </c>
      <c r="DE19">
        <v>6.2169230494204104</v>
      </c>
      <c r="DF19">
        <v>6672.3980000000001</v>
      </c>
      <c r="DG19">
        <v>15</v>
      </c>
      <c r="DH19">
        <v>1594998742.4000001</v>
      </c>
      <c r="DI19" t="s">
        <v>297</v>
      </c>
      <c r="DJ19">
        <v>3</v>
      </c>
      <c r="DK19">
        <v>-0.50600000000000001</v>
      </c>
      <c r="DL19">
        <v>0.104</v>
      </c>
      <c r="DM19">
        <v>200</v>
      </c>
      <c r="DN19">
        <v>16</v>
      </c>
      <c r="DO19">
        <v>0.12</v>
      </c>
      <c r="DP19">
        <v>0.02</v>
      </c>
      <c r="DQ19">
        <v>191.68215686274499</v>
      </c>
      <c r="DR19">
        <v>0.214158484234866</v>
      </c>
      <c r="DS19">
        <v>2.90228932957378E-2</v>
      </c>
      <c r="DT19">
        <v>1</v>
      </c>
      <c r="DU19">
        <v>20.517862745098</v>
      </c>
      <c r="DV19">
        <v>1.31610201340824E-2</v>
      </c>
      <c r="DW19">
        <v>3.3025219587408802E-3</v>
      </c>
      <c r="DX19">
        <v>1</v>
      </c>
      <c r="DY19">
        <v>2</v>
      </c>
      <c r="DZ19">
        <v>2</v>
      </c>
      <c r="EA19" t="s">
        <v>283</v>
      </c>
      <c r="EB19">
        <v>1.8668100000000001</v>
      </c>
      <c r="EC19">
        <v>1.86337</v>
      </c>
      <c r="ED19">
        <v>1.8690500000000001</v>
      </c>
      <c r="EE19">
        <v>1.8669100000000001</v>
      </c>
      <c r="EF19">
        <v>1.87164</v>
      </c>
      <c r="EG19">
        <v>1.8641399999999999</v>
      </c>
      <c r="EH19">
        <v>1.8656999999999999</v>
      </c>
      <c r="EI19">
        <v>1.86568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-0.50600000000000001</v>
      </c>
      <c r="EX19">
        <v>0.104</v>
      </c>
      <c r="EY19">
        <v>2</v>
      </c>
      <c r="EZ19">
        <v>332.98500000000001</v>
      </c>
      <c r="FA19">
        <v>514.77800000000002</v>
      </c>
      <c r="FB19">
        <v>22.945499999999999</v>
      </c>
      <c r="FC19">
        <v>32.750999999999998</v>
      </c>
      <c r="FD19">
        <v>29.999500000000001</v>
      </c>
      <c r="FE19">
        <v>32.631999999999998</v>
      </c>
      <c r="FF19">
        <v>32.603000000000002</v>
      </c>
      <c r="FG19">
        <v>12.512700000000001</v>
      </c>
      <c r="FH19">
        <v>47.692599999999999</v>
      </c>
      <c r="FI19">
        <v>39.6753</v>
      </c>
      <c r="FJ19">
        <v>22.9726</v>
      </c>
      <c r="FK19">
        <v>200</v>
      </c>
      <c r="FL19">
        <v>16.389500000000002</v>
      </c>
      <c r="FM19">
        <v>101.08</v>
      </c>
      <c r="FN19">
        <v>101.10899999999999</v>
      </c>
    </row>
    <row r="20" spans="1:170" x14ac:dyDescent="0.25">
      <c r="A20">
        <v>4</v>
      </c>
      <c r="B20">
        <v>1594998834</v>
      </c>
      <c r="C20">
        <v>375.200000047684</v>
      </c>
      <c r="D20" t="s">
        <v>298</v>
      </c>
      <c r="E20" t="s">
        <v>299</v>
      </c>
      <c r="G20">
        <v>1594998825.9419401</v>
      </c>
      <c r="H20">
        <f t="shared" si="0"/>
        <v>9.4925089097360194E-3</v>
      </c>
      <c r="I20">
        <f t="shared" si="1"/>
        <v>6.2800566592354139</v>
      </c>
      <c r="J20">
        <f t="shared" si="2"/>
        <v>97.082987096774204</v>
      </c>
      <c r="K20">
        <f t="shared" si="3"/>
        <v>78.420224177522059</v>
      </c>
      <c r="L20">
        <f t="shared" si="4"/>
        <v>7.8360431058599715</v>
      </c>
      <c r="M20">
        <f t="shared" si="5"/>
        <v>9.7008964168968319</v>
      </c>
      <c r="N20">
        <f t="shared" si="6"/>
        <v>0.66640036106179745</v>
      </c>
      <c r="O20">
        <f t="shared" si="7"/>
        <v>3.3926565770309125</v>
      </c>
      <c r="P20">
        <f t="shared" si="8"/>
        <v>0.60130952353373257</v>
      </c>
      <c r="Q20">
        <f t="shared" si="9"/>
        <v>0.38113539717380229</v>
      </c>
      <c r="R20">
        <f t="shared" si="10"/>
        <v>353.33953811519666</v>
      </c>
      <c r="S20">
        <f t="shared" si="11"/>
        <v>27.373277482948659</v>
      </c>
      <c r="T20">
        <f t="shared" si="12"/>
        <v>27.054329032258099</v>
      </c>
      <c r="U20">
        <f t="shared" si="13"/>
        <v>3.5905962746322304</v>
      </c>
      <c r="V20">
        <f t="shared" si="14"/>
        <v>55.154517813307166</v>
      </c>
      <c r="W20">
        <f t="shared" si="15"/>
        <v>2.0577440269266449</v>
      </c>
      <c r="X20">
        <f t="shared" si="16"/>
        <v>3.7308712114788385</v>
      </c>
      <c r="Y20">
        <f t="shared" si="17"/>
        <v>1.5328522477055855</v>
      </c>
      <c r="Z20">
        <f t="shared" si="18"/>
        <v>-418.61964291935845</v>
      </c>
      <c r="AA20">
        <f t="shared" si="19"/>
        <v>119.68706730553022</v>
      </c>
      <c r="AB20">
        <f t="shared" si="20"/>
        <v>7.642556347468032</v>
      </c>
      <c r="AC20">
        <f t="shared" si="21"/>
        <v>62.049518848836456</v>
      </c>
      <c r="AD20">
        <v>-4.1333966355242099E-2</v>
      </c>
      <c r="AE20">
        <v>4.64009982880903E-2</v>
      </c>
      <c r="AF20">
        <v>3.4651904458757001</v>
      </c>
      <c r="AG20">
        <v>147</v>
      </c>
      <c r="AH20">
        <v>29</v>
      </c>
      <c r="AI20">
        <f t="shared" si="22"/>
        <v>1</v>
      </c>
      <c r="AJ20">
        <f t="shared" si="23"/>
        <v>0</v>
      </c>
      <c r="AK20">
        <f t="shared" si="24"/>
        <v>52584.114401676423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300</v>
      </c>
      <c r="AS20">
        <v>255.50399999999999</v>
      </c>
      <c r="AT20">
        <v>314.77100000000002</v>
      </c>
      <c r="AU20">
        <f t="shared" si="27"/>
        <v>0.18828608734603891</v>
      </c>
      <c r="AV20">
        <v>0.5</v>
      </c>
      <c r="AW20">
        <f t="shared" si="28"/>
        <v>1849.1945126122937</v>
      </c>
      <c r="AX20">
        <f t="shared" si="29"/>
        <v>6.2800566592354139</v>
      </c>
      <c r="AY20">
        <f t="shared" si="30"/>
        <v>174.0887997607671</v>
      </c>
      <c r="AZ20">
        <f t="shared" si="31"/>
        <v>0.40820469484164679</v>
      </c>
      <c r="BA20">
        <f t="shared" si="32"/>
        <v>3.9368798736868016E-3</v>
      </c>
      <c r="BB20">
        <f t="shared" si="33"/>
        <v>-1</v>
      </c>
      <c r="BC20" t="s">
        <v>301</v>
      </c>
      <c r="BD20">
        <v>186.28</v>
      </c>
      <c r="BE20">
        <f t="shared" si="34"/>
        <v>128.49100000000001</v>
      </c>
      <c r="BF20">
        <f t="shared" si="35"/>
        <v>0.46125409561759201</v>
      </c>
      <c r="BG20">
        <f t="shared" si="36"/>
        <v>1.6897734593085678</v>
      </c>
      <c r="BH20">
        <f t="shared" si="37"/>
        <v>0.18828608734603894</v>
      </c>
      <c r="BI20" t="e">
        <f t="shared" si="38"/>
        <v>#DIV/0!</v>
      </c>
      <c r="BJ20">
        <v>4881</v>
      </c>
      <c r="BK20">
        <v>300</v>
      </c>
      <c r="BL20">
        <v>300</v>
      </c>
      <c r="BM20">
        <v>300</v>
      </c>
      <c r="BN20">
        <v>9867.3799999999992</v>
      </c>
      <c r="BO20">
        <v>297.76</v>
      </c>
      <c r="BP20">
        <v>-6.4003599999999999E-3</v>
      </c>
      <c r="BQ20">
        <v>1.0862400000000001</v>
      </c>
      <c r="BR20">
        <f t="shared" si="39"/>
        <v>2200.01096774194</v>
      </c>
      <c r="BS20">
        <f t="shared" si="40"/>
        <v>1849.1945126122937</v>
      </c>
      <c r="BT20">
        <f t="shared" si="41"/>
        <v>0.84053876990907939</v>
      </c>
      <c r="BU20">
        <f t="shared" si="42"/>
        <v>0.191077539818159</v>
      </c>
      <c r="BV20">
        <v>0.5</v>
      </c>
      <c r="BW20" t="s">
        <v>281</v>
      </c>
      <c r="BX20">
        <v>1594998825.9419401</v>
      </c>
      <c r="BY20">
        <v>97.082987096774204</v>
      </c>
      <c r="BZ20">
        <v>99.9633580645162</v>
      </c>
      <c r="CA20">
        <v>20.593141935483899</v>
      </c>
      <c r="CB20">
        <v>16.874687096774199</v>
      </c>
      <c r="CC20">
        <v>500.04793548387102</v>
      </c>
      <c r="CD20">
        <v>99.723745161290296</v>
      </c>
      <c r="CE20">
        <v>0.20000777419354801</v>
      </c>
      <c r="CF20">
        <v>27.708696774193498</v>
      </c>
      <c r="CG20">
        <v>27.054329032258099</v>
      </c>
      <c r="CH20">
        <v>999.9</v>
      </c>
      <c r="CI20">
        <v>9995.5</v>
      </c>
      <c r="CJ20">
        <v>0</v>
      </c>
      <c r="CK20">
        <v>387.22509677419401</v>
      </c>
      <c r="CL20">
        <v>2200.01096774194</v>
      </c>
      <c r="CM20">
        <v>0.98200232258064502</v>
      </c>
      <c r="CN20">
        <v>1.79978612903226E-2</v>
      </c>
      <c r="CO20">
        <v>0</v>
      </c>
      <c r="CP20">
        <v>255.52880645161301</v>
      </c>
      <c r="CQ20">
        <v>5.00054</v>
      </c>
      <c r="CR20">
        <v>6722.8932258064497</v>
      </c>
      <c r="CS20">
        <v>20590.6451612903</v>
      </c>
      <c r="CT20">
        <v>48.125</v>
      </c>
      <c r="CU20">
        <v>47.792000000000002</v>
      </c>
      <c r="CV20">
        <v>47.895000000000003</v>
      </c>
      <c r="CW20">
        <v>47.4491935483871</v>
      </c>
      <c r="CX20">
        <v>49.542000000000002</v>
      </c>
      <c r="CY20">
        <v>2155.5009677419398</v>
      </c>
      <c r="CZ20">
        <v>39.51</v>
      </c>
      <c r="DA20">
        <v>0</v>
      </c>
      <c r="DB20">
        <v>121.40000009536701</v>
      </c>
      <c r="DC20">
        <v>255.50399999999999</v>
      </c>
      <c r="DD20">
        <v>0.140769233061739</v>
      </c>
      <c r="DE20">
        <v>86.539999994866506</v>
      </c>
      <c r="DF20">
        <v>6724.02</v>
      </c>
      <c r="DG20">
        <v>15</v>
      </c>
      <c r="DH20">
        <v>1594998860</v>
      </c>
      <c r="DI20" t="s">
        <v>302</v>
      </c>
      <c r="DJ20">
        <v>4</v>
      </c>
      <c r="DK20">
        <v>-0.42199999999999999</v>
      </c>
      <c r="DL20">
        <v>0.112</v>
      </c>
      <c r="DM20">
        <v>100</v>
      </c>
      <c r="DN20">
        <v>17</v>
      </c>
      <c r="DO20">
        <v>0.18</v>
      </c>
      <c r="DP20">
        <v>0.02</v>
      </c>
      <c r="DQ20">
        <v>96.979635294117699</v>
      </c>
      <c r="DR20">
        <v>0.19810645266054</v>
      </c>
      <c r="DS20">
        <v>2.62312179195121E-2</v>
      </c>
      <c r="DT20">
        <v>1</v>
      </c>
      <c r="DU20">
        <v>20.581835294117599</v>
      </c>
      <c r="DV20">
        <v>1.6970673674907101E-2</v>
      </c>
      <c r="DW20">
        <v>1.10752120951568E-2</v>
      </c>
      <c r="DX20">
        <v>1</v>
      </c>
      <c r="DY20">
        <v>2</v>
      </c>
      <c r="DZ20">
        <v>2</v>
      </c>
      <c r="EA20" t="s">
        <v>283</v>
      </c>
      <c r="EB20">
        <v>1.86683</v>
      </c>
      <c r="EC20">
        <v>1.8633500000000001</v>
      </c>
      <c r="ED20">
        <v>1.86904</v>
      </c>
      <c r="EE20">
        <v>1.8669100000000001</v>
      </c>
      <c r="EF20">
        <v>1.87164</v>
      </c>
      <c r="EG20">
        <v>1.8640699999999999</v>
      </c>
      <c r="EH20">
        <v>1.8656900000000001</v>
      </c>
      <c r="EI20">
        <v>1.8656699999999999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-0.42199999999999999</v>
      </c>
      <c r="EX20">
        <v>0.112</v>
      </c>
      <c r="EY20">
        <v>2</v>
      </c>
      <c r="EZ20">
        <v>334.18900000000002</v>
      </c>
      <c r="FA20">
        <v>514.30100000000004</v>
      </c>
      <c r="FB20">
        <v>21.511299999999999</v>
      </c>
      <c r="FC20">
        <v>32.536900000000003</v>
      </c>
      <c r="FD20">
        <v>29.999199999999998</v>
      </c>
      <c r="FE20">
        <v>32.544899999999998</v>
      </c>
      <c r="FF20">
        <v>32.530700000000003</v>
      </c>
      <c r="FG20">
        <v>7.7753399999999999</v>
      </c>
      <c r="FH20">
        <v>45.356900000000003</v>
      </c>
      <c r="FI20">
        <v>33.523299999999999</v>
      </c>
      <c r="FJ20">
        <v>21.509599999999999</v>
      </c>
      <c r="FK20">
        <v>100</v>
      </c>
      <c r="FL20">
        <v>16.902699999999999</v>
      </c>
      <c r="FM20">
        <v>101.113</v>
      </c>
      <c r="FN20">
        <v>101.16500000000001</v>
      </c>
    </row>
    <row r="21" spans="1:170" x14ac:dyDescent="0.25">
      <c r="A21">
        <v>5</v>
      </c>
      <c r="B21">
        <v>1594998951.5</v>
      </c>
      <c r="C21">
        <v>492.700000047684</v>
      </c>
      <c r="D21" t="s">
        <v>303</v>
      </c>
      <c r="E21" t="s">
        <v>304</v>
      </c>
      <c r="G21">
        <v>1594998943.5</v>
      </c>
      <c r="H21">
        <f t="shared" si="0"/>
        <v>9.6315743936227754E-3</v>
      </c>
      <c r="I21">
        <f t="shared" si="1"/>
        <v>0.44817253237177873</v>
      </c>
      <c r="J21">
        <f t="shared" si="2"/>
        <v>49.572129032258097</v>
      </c>
      <c r="K21">
        <f t="shared" si="3"/>
        <v>47.198012136404458</v>
      </c>
      <c r="L21">
        <f t="shared" si="4"/>
        <v>4.7159203418673625</v>
      </c>
      <c r="M21">
        <f t="shared" si="5"/>
        <v>4.9531368189251204</v>
      </c>
      <c r="N21">
        <f t="shared" si="6"/>
        <v>0.67392979951834764</v>
      </c>
      <c r="O21">
        <f t="shared" si="7"/>
        <v>3.391982802874471</v>
      </c>
      <c r="P21">
        <f t="shared" si="8"/>
        <v>0.60742638001162297</v>
      </c>
      <c r="Q21">
        <f t="shared" si="9"/>
        <v>0.3850682082428557</v>
      </c>
      <c r="R21">
        <f t="shared" si="10"/>
        <v>353.33984701729923</v>
      </c>
      <c r="S21">
        <f t="shared" si="11"/>
        <v>27.16298901820285</v>
      </c>
      <c r="T21">
        <f t="shared" si="12"/>
        <v>26.986554838709701</v>
      </c>
      <c r="U21">
        <f t="shared" si="13"/>
        <v>3.5763343202592734</v>
      </c>
      <c r="V21">
        <f t="shared" si="14"/>
        <v>55.158292442486001</v>
      </c>
      <c r="W21">
        <f t="shared" si="15"/>
        <v>2.0365011990816013</v>
      </c>
      <c r="X21">
        <f t="shared" si="16"/>
        <v>3.6921034152844334</v>
      </c>
      <c r="Y21">
        <f t="shared" si="17"/>
        <v>1.5398331211776721</v>
      </c>
      <c r="Z21">
        <f t="shared" si="18"/>
        <v>-424.75243075876438</v>
      </c>
      <c r="AA21">
        <f t="shared" si="19"/>
        <v>99.383762440344952</v>
      </c>
      <c r="AB21">
        <f t="shared" si="20"/>
        <v>6.3395492200499248</v>
      </c>
      <c r="AC21">
        <f t="shared" si="21"/>
        <v>34.310727918929757</v>
      </c>
      <c r="AD21">
        <v>-4.1323532273766297E-2</v>
      </c>
      <c r="AE21">
        <v>4.6389285117558E-2</v>
      </c>
      <c r="AF21">
        <v>3.4644983617344201</v>
      </c>
      <c r="AG21">
        <v>147</v>
      </c>
      <c r="AH21">
        <v>29</v>
      </c>
      <c r="AI21">
        <f t="shared" si="22"/>
        <v>1</v>
      </c>
      <c r="AJ21">
        <f t="shared" si="23"/>
        <v>0</v>
      </c>
      <c r="AK21">
        <f t="shared" si="24"/>
        <v>52602.508013349041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305</v>
      </c>
      <c r="AS21">
        <v>257.74104</v>
      </c>
      <c r="AT21">
        <v>303.81200000000001</v>
      </c>
      <c r="AU21">
        <f t="shared" si="27"/>
        <v>0.15164298974365731</v>
      </c>
      <c r="AV21">
        <v>0.5</v>
      </c>
      <c r="AW21">
        <f t="shared" si="28"/>
        <v>1849.1961384187448</v>
      </c>
      <c r="AX21">
        <f t="shared" si="29"/>
        <v>0.44817253237177873</v>
      </c>
      <c r="AY21">
        <f t="shared" si="30"/>
        <v>140.20881552612221</v>
      </c>
      <c r="AZ21">
        <f t="shared" si="31"/>
        <v>0.36552868221136758</v>
      </c>
      <c r="BA21">
        <f t="shared" si="32"/>
        <v>7.8313625163100166E-4</v>
      </c>
      <c r="BB21">
        <f t="shared" si="33"/>
        <v>-1</v>
      </c>
      <c r="BC21" t="s">
        <v>306</v>
      </c>
      <c r="BD21">
        <v>192.76</v>
      </c>
      <c r="BE21">
        <f t="shared" si="34"/>
        <v>111.05200000000002</v>
      </c>
      <c r="BF21">
        <f t="shared" si="35"/>
        <v>0.41485934517163137</v>
      </c>
      <c r="BG21">
        <f t="shared" si="36"/>
        <v>1.5761153766341567</v>
      </c>
      <c r="BH21">
        <f t="shared" si="37"/>
        <v>0.15164298974365731</v>
      </c>
      <c r="BI21" t="e">
        <f t="shared" si="38"/>
        <v>#DIV/0!</v>
      </c>
      <c r="BJ21">
        <v>4883</v>
      </c>
      <c r="BK21">
        <v>300</v>
      </c>
      <c r="BL21">
        <v>300</v>
      </c>
      <c r="BM21">
        <v>300</v>
      </c>
      <c r="BN21">
        <v>9867.9500000000007</v>
      </c>
      <c r="BO21">
        <v>291.983</v>
      </c>
      <c r="BP21">
        <v>-6.40063E-3</v>
      </c>
      <c r="BQ21">
        <v>1.6401699999999999</v>
      </c>
      <c r="BR21">
        <f t="shared" si="39"/>
        <v>2200.0129032258101</v>
      </c>
      <c r="BS21">
        <f t="shared" si="40"/>
        <v>1849.1961384187448</v>
      </c>
      <c r="BT21">
        <f t="shared" si="41"/>
        <v>0.8405387694350912</v>
      </c>
      <c r="BU21">
        <f t="shared" si="42"/>
        <v>0.19107753887018258</v>
      </c>
      <c r="BV21">
        <v>0.5</v>
      </c>
      <c r="BW21" t="s">
        <v>281</v>
      </c>
      <c r="BX21">
        <v>1594998943.5</v>
      </c>
      <c r="BY21">
        <v>49.572129032258097</v>
      </c>
      <c r="BZ21">
        <v>49.942338709677401</v>
      </c>
      <c r="CA21">
        <v>20.3817709677419</v>
      </c>
      <c r="CB21">
        <v>16.608096774193498</v>
      </c>
      <c r="CC21">
        <v>500.05725806451602</v>
      </c>
      <c r="CD21">
        <v>99.717796774193502</v>
      </c>
      <c r="CE21">
        <v>0.199977903225806</v>
      </c>
      <c r="CF21">
        <v>27.530025806451601</v>
      </c>
      <c r="CG21">
        <v>26.986554838709701</v>
      </c>
      <c r="CH21">
        <v>999.9</v>
      </c>
      <c r="CI21">
        <v>9993.5729032258005</v>
      </c>
      <c r="CJ21">
        <v>0</v>
      </c>
      <c r="CK21">
        <v>321.12996774193601</v>
      </c>
      <c r="CL21">
        <v>2200.0129032258101</v>
      </c>
      <c r="CM21">
        <v>0.98200051612903205</v>
      </c>
      <c r="CN21">
        <v>1.7999758064516098E-2</v>
      </c>
      <c r="CO21">
        <v>0</v>
      </c>
      <c r="CP21">
        <v>257.752580645161</v>
      </c>
      <c r="CQ21">
        <v>5.00054</v>
      </c>
      <c r="CR21">
        <v>8162.2390322580604</v>
      </c>
      <c r="CS21">
        <v>20590.6677419355</v>
      </c>
      <c r="CT21">
        <v>48.100612903225802</v>
      </c>
      <c r="CU21">
        <v>47.8</v>
      </c>
      <c r="CV21">
        <v>47.8546774193548</v>
      </c>
      <c r="CW21">
        <v>47.447161290322597</v>
      </c>
      <c r="CX21">
        <v>49.491870967741903</v>
      </c>
      <c r="CY21">
        <v>2155.5029032258099</v>
      </c>
      <c r="CZ21">
        <v>39.51</v>
      </c>
      <c r="DA21">
        <v>0</v>
      </c>
      <c r="DB21">
        <v>116.60000014305101</v>
      </c>
      <c r="DC21">
        <v>257.74104</v>
      </c>
      <c r="DD21">
        <v>-0.337923076489407</v>
      </c>
      <c r="DE21">
        <v>-727.17922940152698</v>
      </c>
      <c r="DF21">
        <v>8164.9351999999999</v>
      </c>
      <c r="DG21">
        <v>15</v>
      </c>
      <c r="DH21">
        <v>1594998984.5</v>
      </c>
      <c r="DI21" t="s">
        <v>307</v>
      </c>
      <c r="DJ21">
        <v>5</v>
      </c>
      <c r="DK21">
        <v>-0.40100000000000002</v>
      </c>
      <c r="DL21">
        <v>0.114</v>
      </c>
      <c r="DM21">
        <v>50</v>
      </c>
      <c r="DN21">
        <v>17</v>
      </c>
      <c r="DO21">
        <v>0.26</v>
      </c>
      <c r="DP21">
        <v>0.02</v>
      </c>
      <c r="DQ21">
        <v>49.5574725490196</v>
      </c>
      <c r="DR21">
        <v>-8.4394208144824498E-2</v>
      </c>
      <c r="DS21">
        <v>1.27482113844451E-2</v>
      </c>
      <c r="DT21">
        <v>1</v>
      </c>
      <c r="DU21">
        <v>20.3774450980392</v>
      </c>
      <c r="DV21">
        <v>3.9823710407242301E-2</v>
      </c>
      <c r="DW21">
        <v>7.12092508105486E-3</v>
      </c>
      <c r="DX21">
        <v>1</v>
      </c>
      <c r="DY21">
        <v>2</v>
      </c>
      <c r="DZ21">
        <v>2</v>
      </c>
      <c r="EA21" t="s">
        <v>283</v>
      </c>
      <c r="EB21">
        <v>1.8668499999999999</v>
      </c>
      <c r="EC21">
        <v>1.8633200000000001</v>
      </c>
      <c r="ED21">
        <v>1.8690500000000001</v>
      </c>
      <c r="EE21">
        <v>1.8669199999999999</v>
      </c>
      <c r="EF21">
        <v>1.87164</v>
      </c>
      <c r="EG21">
        <v>1.8640699999999999</v>
      </c>
      <c r="EH21">
        <v>1.8656900000000001</v>
      </c>
      <c r="EI21">
        <v>1.86565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-0.40100000000000002</v>
      </c>
      <c r="EX21">
        <v>0.114</v>
      </c>
      <c r="EY21">
        <v>2</v>
      </c>
      <c r="EZ21">
        <v>334.78300000000002</v>
      </c>
      <c r="FA21">
        <v>513.16</v>
      </c>
      <c r="FB21">
        <v>22.054200000000002</v>
      </c>
      <c r="FC21">
        <v>32.328299999999999</v>
      </c>
      <c r="FD21">
        <v>29.999600000000001</v>
      </c>
      <c r="FE21">
        <v>32.399900000000002</v>
      </c>
      <c r="FF21">
        <v>32.402999999999999</v>
      </c>
      <c r="FG21">
        <v>5.4053899999999997</v>
      </c>
      <c r="FH21">
        <v>44.971499999999999</v>
      </c>
      <c r="FI21">
        <v>27.799700000000001</v>
      </c>
      <c r="FJ21">
        <v>22.053899999999999</v>
      </c>
      <c r="FK21">
        <v>50</v>
      </c>
      <c r="FL21">
        <v>16.650300000000001</v>
      </c>
      <c r="FM21">
        <v>101.146</v>
      </c>
      <c r="FN21">
        <v>101.22</v>
      </c>
    </row>
    <row r="22" spans="1:170" x14ac:dyDescent="0.25">
      <c r="A22">
        <v>6</v>
      </c>
      <c r="B22">
        <v>1594999076</v>
      </c>
      <c r="C22">
        <v>617.20000004768394</v>
      </c>
      <c r="D22" t="s">
        <v>308</v>
      </c>
      <c r="E22" t="s">
        <v>309</v>
      </c>
      <c r="G22">
        <v>1594999068</v>
      </c>
      <c r="H22">
        <f t="shared" si="0"/>
        <v>9.798349132675124E-3</v>
      </c>
      <c r="I22">
        <f t="shared" si="1"/>
        <v>35.716647755409994</v>
      </c>
      <c r="J22">
        <f t="shared" si="2"/>
        <v>384.15174193548398</v>
      </c>
      <c r="K22">
        <f t="shared" si="3"/>
        <v>284.29578366331714</v>
      </c>
      <c r="L22">
        <f t="shared" si="4"/>
        <v>28.406773653411822</v>
      </c>
      <c r="M22">
        <f t="shared" si="5"/>
        <v>38.384359560704986</v>
      </c>
      <c r="N22">
        <f t="shared" si="6"/>
        <v>0.68423882064527075</v>
      </c>
      <c r="O22">
        <f t="shared" si="7"/>
        <v>3.3947800442904579</v>
      </c>
      <c r="P22">
        <f t="shared" si="8"/>
        <v>0.61584602300958291</v>
      </c>
      <c r="Q22">
        <f t="shared" si="9"/>
        <v>0.39047733902347537</v>
      </c>
      <c r="R22">
        <f t="shared" si="10"/>
        <v>353.33976756593285</v>
      </c>
      <c r="S22">
        <f t="shared" si="11"/>
        <v>27.216868439382665</v>
      </c>
      <c r="T22">
        <f t="shared" si="12"/>
        <v>27.002151612903202</v>
      </c>
      <c r="U22">
        <f t="shared" si="13"/>
        <v>3.5796120145299737</v>
      </c>
      <c r="V22">
        <f t="shared" si="14"/>
        <v>54.810805653617265</v>
      </c>
      <c r="W22">
        <f t="shared" si="15"/>
        <v>2.0345109057381014</v>
      </c>
      <c r="X22">
        <f t="shared" si="16"/>
        <v>3.7118792206693878</v>
      </c>
      <c r="Y22">
        <f t="shared" si="17"/>
        <v>1.5451011087918722</v>
      </c>
      <c r="Z22">
        <f t="shared" si="18"/>
        <v>-432.10719675097295</v>
      </c>
      <c r="AA22">
        <f t="shared" si="19"/>
        <v>113.32914348884219</v>
      </c>
      <c r="AB22">
        <f t="shared" si="20"/>
        <v>7.2270100480853898</v>
      </c>
      <c r="AC22">
        <f t="shared" si="21"/>
        <v>41.788724351887481</v>
      </c>
      <c r="AD22">
        <v>-4.1366856533891702E-2</v>
      </c>
      <c r="AE22">
        <v>4.64379203949623E-2</v>
      </c>
      <c r="AF22">
        <v>3.4673716296361001</v>
      </c>
      <c r="AG22">
        <v>146</v>
      </c>
      <c r="AH22">
        <v>29</v>
      </c>
      <c r="AI22">
        <f t="shared" si="22"/>
        <v>1</v>
      </c>
      <c r="AJ22">
        <f t="shared" si="23"/>
        <v>0</v>
      </c>
      <c r="AK22">
        <f t="shared" si="24"/>
        <v>52639.447767865204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310</v>
      </c>
      <c r="AS22">
        <v>246.35831999999999</v>
      </c>
      <c r="AT22">
        <v>330.29300000000001</v>
      </c>
      <c r="AU22">
        <f t="shared" si="27"/>
        <v>0.254121885719649</v>
      </c>
      <c r="AV22">
        <v>0.5</v>
      </c>
      <c r="AW22">
        <f t="shared" si="28"/>
        <v>1849.1968263844362</v>
      </c>
      <c r="AX22">
        <f t="shared" si="29"/>
        <v>35.716647755409994</v>
      </c>
      <c r="AY22">
        <f t="shared" si="30"/>
        <v>234.96069229380166</v>
      </c>
      <c r="AZ22">
        <f t="shared" si="31"/>
        <v>0.48294393160012472</v>
      </c>
      <c r="BA22">
        <f t="shared" si="32"/>
        <v>1.9855456829438036E-2</v>
      </c>
      <c r="BB22">
        <f t="shared" si="33"/>
        <v>-1</v>
      </c>
      <c r="BC22" t="s">
        <v>311</v>
      </c>
      <c r="BD22">
        <v>170.78</v>
      </c>
      <c r="BE22">
        <f t="shared" si="34"/>
        <v>159.51300000000001</v>
      </c>
      <c r="BF22">
        <f t="shared" si="35"/>
        <v>0.52619335101214326</v>
      </c>
      <c r="BG22">
        <f t="shared" si="36"/>
        <v>1.9340262325799273</v>
      </c>
      <c r="BH22">
        <f t="shared" si="37"/>
        <v>0.25412188571964894</v>
      </c>
      <c r="BI22" t="e">
        <f t="shared" si="38"/>
        <v>#DIV/0!</v>
      </c>
      <c r="BJ22">
        <v>4885</v>
      </c>
      <c r="BK22">
        <v>300</v>
      </c>
      <c r="BL22">
        <v>300</v>
      </c>
      <c r="BM22">
        <v>300</v>
      </c>
      <c r="BN22">
        <v>9867.3700000000008</v>
      </c>
      <c r="BO22">
        <v>306.51600000000002</v>
      </c>
      <c r="BP22">
        <v>-6.4003200000000001E-3</v>
      </c>
      <c r="BQ22">
        <v>1.1970499999999999</v>
      </c>
      <c r="BR22">
        <f t="shared" si="39"/>
        <v>2200.0138709677399</v>
      </c>
      <c r="BS22">
        <f t="shared" si="40"/>
        <v>1849.1968263844362</v>
      </c>
      <c r="BT22">
        <f t="shared" si="41"/>
        <v>0.84053871240866918</v>
      </c>
      <c r="BU22">
        <f t="shared" si="42"/>
        <v>0.19107742481733839</v>
      </c>
      <c r="BV22">
        <v>0.5</v>
      </c>
      <c r="BW22" t="s">
        <v>281</v>
      </c>
      <c r="BX22">
        <v>1594999068</v>
      </c>
      <c r="BY22">
        <v>384.15174193548398</v>
      </c>
      <c r="BZ22">
        <v>399.94238709677398</v>
      </c>
      <c r="CA22">
        <v>20.361441935483899</v>
      </c>
      <c r="CB22">
        <v>16.5223032258065</v>
      </c>
      <c r="CC22">
        <v>500.051774193548</v>
      </c>
      <c r="CD22">
        <v>99.719816129032296</v>
      </c>
      <c r="CE22">
        <v>0.199969129032258</v>
      </c>
      <c r="CF22">
        <v>27.6213709677419</v>
      </c>
      <c r="CG22">
        <v>27.002151612903202</v>
      </c>
      <c r="CH22">
        <v>999.9</v>
      </c>
      <c r="CI22">
        <v>10003.8477419355</v>
      </c>
      <c r="CJ22">
        <v>0</v>
      </c>
      <c r="CK22">
        <v>141.301290322581</v>
      </c>
      <c r="CL22">
        <v>2200.0138709677399</v>
      </c>
      <c r="CM22">
        <v>0.982002451612903</v>
      </c>
      <c r="CN22">
        <v>1.7997725806451599E-2</v>
      </c>
      <c r="CO22">
        <v>0</v>
      </c>
      <c r="CP22">
        <v>246.34903225806499</v>
      </c>
      <c r="CQ22">
        <v>5.00054</v>
      </c>
      <c r="CR22">
        <v>6830.55</v>
      </c>
      <c r="CS22">
        <v>20590.670967741898</v>
      </c>
      <c r="CT22">
        <v>48.241870967741903</v>
      </c>
      <c r="CU22">
        <v>48.209419354838701</v>
      </c>
      <c r="CV22">
        <v>48.058</v>
      </c>
      <c r="CW22">
        <v>47.792064516129003</v>
      </c>
      <c r="CX22">
        <v>49.632935483871002</v>
      </c>
      <c r="CY22">
        <v>2155.5064516129</v>
      </c>
      <c r="CZ22">
        <v>39.505806451612898</v>
      </c>
      <c r="DA22">
        <v>0</v>
      </c>
      <c r="DB22">
        <v>123.90000009536701</v>
      </c>
      <c r="DC22">
        <v>246.35831999999999</v>
      </c>
      <c r="DD22">
        <v>0.83853845532127402</v>
      </c>
      <c r="DE22">
        <v>3010.7553850158702</v>
      </c>
      <c r="DF22">
        <v>6864.2156000000004</v>
      </c>
      <c r="DG22">
        <v>15</v>
      </c>
      <c r="DH22">
        <v>1594999111</v>
      </c>
      <c r="DI22" t="s">
        <v>312</v>
      </c>
      <c r="DJ22">
        <v>6</v>
      </c>
      <c r="DK22">
        <v>-0.34499999999999997</v>
      </c>
      <c r="DL22">
        <v>0.11</v>
      </c>
      <c r="DM22">
        <v>400</v>
      </c>
      <c r="DN22">
        <v>17</v>
      </c>
      <c r="DO22">
        <v>0.11</v>
      </c>
      <c r="DP22">
        <v>0.02</v>
      </c>
      <c r="DQ22">
        <v>384.06686274509798</v>
      </c>
      <c r="DR22">
        <v>0.27495746606316801</v>
      </c>
      <c r="DS22">
        <v>4.0476582243457598E-2</v>
      </c>
      <c r="DT22">
        <v>1</v>
      </c>
      <c r="DU22">
        <v>20.366421568627501</v>
      </c>
      <c r="DV22">
        <v>-2.7366515836845E-4</v>
      </c>
      <c r="DW22">
        <v>7.3841726268110298E-3</v>
      </c>
      <c r="DX22">
        <v>1</v>
      </c>
      <c r="DY22">
        <v>2</v>
      </c>
      <c r="DZ22">
        <v>2</v>
      </c>
      <c r="EA22" t="s">
        <v>283</v>
      </c>
      <c r="EB22">
        <v>1.8668400000000001</v>
      </c>
      <c r="EC22">
        <v>1.8633500000000001</v>
      </c>
      <c r="ED22">
        <v>1.86904</v>
      </c>
      <c r="EE22">
        <v>1.8669100000000001</v>
      </c>
      <c r="EF22">
        <v>1.87164</v>
      </c>
      <c r="EG22">
        <v>1.86409</v>
      </c>
      <c r="EH22">
        <v>1.8656900000000001</v>
      </c>
      <c r="EI22">
        <v>1.8656600000000001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-0.34499999999999997</v>
      </c>
      <c r="EX22">
        <v>0.11</v>
      </c>
      <c r="EY22">
        <v>2</v>
      </c>
      <c r="EZ22">
        <v>335.221</v>
      </c>
      <c r="FA22">
        <v>511.76299999999998</v>
      </c>
      <c r="FB22">
        <v>21.625699999999998</v>
      </c>
      <c r="FC22">
        <v>32.302300000000002</v>
      </c>
      <c r="FD22">
        <v>30.0002</v>
      </c>
      <c r="FE22">
        <v>32.367199999999997</v>
      </c>
      <c r="FF22">
        <v>32.379600000000003</v>
      </c>
      <c r="FG22">
        <v>21.6568</v>
      </c>
      <c r="FH22">
        <v>45.2211</v>
      </c>
      <c r="FI22">
        <v>21.998100000000001</v>
      </c>
      <c r="FJ22">
        <v>22.064699999999998</v>
      </c>
      <c r="FK22">
        <v>400</v>
      </c>
      <c r="FL22">
        <v>16.595600000000001</v>
      </c>
      <c r="FM22">
        <v>101.143</v>
      </c>
      <c r="FN22">
        <v>101.22499999999999</v>
      </c>
    </row>
    <row r="23" spans="1:170" x14ac:dyDescent="0.25">
      <c r="A23">
        <v>7</v>
      </c>
      <c r="B23">
        <v>1594999202.5</v>
      </c>
      <c r="C23">
        <v>743.70000004768394</v>
      </c>
      <c r="D23" t="s">
        <v>313</v>
      </c>
      <c r="E23" t="s">
        <v>314</v>
      </c>
      <c r="G23">
        <v>1594999194.5</v>
      </c>
      <c r="H23">
        <f t="shared" si="0"/>
        <v>9.2723011287827537E-3</v>
      </c>
      <c r="I23">
        <f t="shared" si="1"/>
        <v>36.470787284573909</v>
      </c>
      <c r="J23">
        <f t="shared" si="2"/>
        <v>383.93819354838701</v>
      </c>
      <c r="K23">
        <f t="shared" si="3"/>
        <v>277.13877207409695</v>
      </c>
      <c r="L23">
        <f t="shared" si="4"/>
        <v>27.69241145063857</v>
      </c>
      <c r="M23">
        <f t="shared" si="5"/>
        <v>38.364081459212713</v>
      </c>
      <c r="N23">
        <f t="shared" si="6"/>
        <v>0.64553888776576207</v>
      </c>
      <c r="O23">
        <f t="shared" si="7"/>
        <v>3.3931141205780819</v>
      </c>
      <c r="P23">
        <f t="shared" si="8"/>
        <v>0.58426669763454375</v>
      </c>
      <c r="Q23">
        <f t="shared" si="9"/>
        <v>0.37018589694671888</v>
      </c>
      <c r="R23">
        <f t="shared" si="10"/>
        <v>353.34020550999162</v>
      </c>
      <c r="S23">
        <f t="shared" si="11"/>
        <v>27.247974852666374</v>
      </c>
      <c r="T23">
        <f t="shared" si="12"/>
        <v>26.967358064516102</v>
      </c>
      <c r="U23">
        <f t="shared" si="13"/>
        <v>3.5723036755226216</v>
      </c>
      <c r="V23">
        <f t="shared" si="14"/>
        <v>54.99807371374488</v>
      </c>
      <c r="W23">
        <f t="shared" si="15"/>
        <v>2.0309969641966643</v>
      </c>
      <c r="X23">
        <f t="shared" si="16"/>
        <v>3.6928510892356696</v>
      </c>
      <c r="Y23">
        <f t="shared" si="17"/>
        <v>1.5413067113259573</v>
      </c>
      <c r="Z23">
        <f t="shared" si="18"/>
        <v>-408.90847977931946</v>
      </c>
      <c r="AA23">
        <f t="shared" si="19"/>
        <v>103.56173956852292</v>
      </c>
      <c r="AB23">
        <f t="shared" si="20"/>
        <v>6.6033352379194428</v>
      </c>
      <c r="AC23">
        <f t="shared" si="21"/>
        <v>54.596800537114532</v>
      </c>
      <c r="AD23">
        <v>-4.13410524177358E-2</v>
      </c>
      <c r="AE23">
        <v>4.6408953014012697E-2</v>
      </c>
      <c r="AF23">
        <v>3.4656604242209998</v>
      </c>
      <c r="AG23">
        <v>146</v>
      </c>
      <c r="AH23">
        <v>29</v>
      </c>
      <c r="AI23">
        <f t="shared" si="22"/>
        <v>1</v>
      </c>
      <c r="AJ23">
        <f t="shared" si="23"/>
        <v>0</v>
      </c>
      <c r="AK23">
        <f t="shared" si="24"/>
        <v>52623.397073605964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315</v>
      </c>
      <c r="AS23">
        <v>247.93708000000001</v>
      </c>
      <c r="AT23">
        <v>341.25900000000001</v>
      </c>
      <c r="AU23">
        <f t="shared" si="27"/>
        <v>0.27346361561160293</v>
      </c>
      <c r="AV23">
        <v>0.5</v>
      </c>
      <c r="AW23">
        <f t="shared" si="28"/>
        <v>1849.198277649805</v>
      </c>
      <c r="AX23">
        <f t="shared" si="29"/>
        <v>36.470787284573909</v>
      </c>
      <c r="AY23">
        <f t="shared" si="30"/>
        <v>252.84422349443224</v>
      </c>
      <c r="AZ23">
        <f t="shared" si="31"/>
        <v>0.4953393170583047</v>
      </c>
      <c r="BA23">
        <f t="shared" si="32"/>
        <v>2.0263260969611393E-2</v>
      </c>
      <c r="BB23">
        <f t="shared" si="33"/>
        <v>-1</v>
      </c>
      <c r="BC23" t="s">
        <v>316</v>
      </c>
      <c r="BD23">
        <v>172.22</v>
      </c>
      <c r="BE23">
        <f t="shared" si="34"/>
        <v>169.03900000000002</v>
      </c>
      <c r="BF23">
        <f t="shared" si="35"/>
        <v>0.55207330852643466</v>
      </c>
      <c r="BG23">
        <f t="shared" si="36"/>
        <v>1.9815294390895368</v>
      </c>
      <c r="BH23">
        <f t="shared" si="37"/>
        <v>0.27346361561160293</v>
      </c>
      <c r="BI23" t="e">
        <f t="shared" si="38"/>
        <v>#DIV/0!</v>
      </c>
      <c r="BJ23">
        <v>4887</v>
      </c>
      <c r="BK23">
        <v>300</v>
      </c>
      <c r="BL23">
        <v>300</v>
      </c>
      <c r="BM23">
        <v>300</v>
      </c>
      <c r="BN23">
        <v>9867.41</v>
      </c>
      <c r="BO23">
        <v>313.24299999999999</v>
      </c>
      <c r="BP23">
        <v>-6.40034E-3</v>
      </c>
      <c r="BQ23">
        <v>1.7179899999999999</v>
      </c>
      <c r="BR23">
        <f t="shared" si="39"/>
        <v>2200.01548387097</v>
      </c>
      <c r="BS23">
        <f t="shared" si="40"/>
        <v>1849.198277649805</v>
      </c>
      <c r="BT23">
        <f t="shared" si="41"/>
        <v>0.84053875584371107</v>
      </c>
      <c r="BU23">
        <f t="shared" si="42"/>
        <v>0.19107751168742221</v>
      </c>
      <c r="BV23">
        <v>0.5</v>
      </c>
      <c r="BW23" t="s">
        <v>281</v>
      </c>
      <c r="BX23">
        <v>1594999194.5</v>
      </c>
      <c r="BY23">
        <v>383.93819354838701</v>
      </c>
      <c r="BZ23">
        <v>399.94867741935502</v>
      </c>
      <c r="CA23">
        <v>20.325712903225799</v>
      </c>
      <c r="CB23">
        <v>16.692593548387102</v>
      </c>
      <c r="CC23">
        <v>500.057064516129</v>
      </c>
      <c r="CD23">
        <v>99.722551612903203</v>
      </c>
      <c r="CE23">
        <v>0.19999348387096799</v>
      </c>
      <c r="CF23">
        <v>27.533487096774198</v>
      </c>
      <c r="CG23">
        <v>26.967358064516102</v>
      </c>
      <c r="CH23">
        <v>999.9</v>
      </c>
      <c r="CI23">
        <v>9997.3332258064493</v>
      </c>
      <c r="CJ23">
        <v>0</v>
      </c>
      <c r="CK23">
        <v>103.652774193548</v>
      </c>
      <c r="CL23">
        <v>2200.01548387097</v>
      </c>
      <c r="CM23">
        <v>0.98200232258064502</v>
      </c>
      <c r="CN23">
        <v>1.79978612903226E-2</v>
      </c>
      <c r="CO23">
        <v>0</v>
      </c>
      <c r="CP23">
        <v>247.94116129032301</v>
      </c>
      <c r="CQ23">
        <v>5.00054</v>
      </c>
      <c r="CR23">
        <v>6564.7632258064496</v>
      </c>
      <c r="CS23">
        <v>20590.690322580602</v>
      </c>
      <c r="CT23">
        <v>48.308</v>
      </c>
      <c r="CU23">
        <v>48.346548387096803</v>
      </c>
      <c r="CV23">
        <v>48.186999999999998</v>
      </c>
      <c r="CW23">
        <v>47.951225806451603</v>
      </c>
      <c r="CX23">
        <v>49.691064516129003</v>
      </c>
      <c r="CY23">
        <v>2155.5054838709698</v>
      </c>
      <c r="CZ23">
        <v>39.509032258064501</v>
      </c>
      <c r="DA23">
        <v>0</v>
      </c>
      <c r="DB23">
        <v>125.60000014305101</v>
      </c>
      <c r="DC23">
        <v>247.93708000000001</v>
      </c>
      <c r="DD23">
        <v>1.2224615412233899</v>
      </c>
      <c r="DE23">
        <v>80.341538219326694</v>
      </c>
      <c r="DF23">
        <v>6564.8432000000003</v>
      </c>
      <c r="DG23">
        <v>15</v>
      </c>
      <c r="DH23">
        <v>1594999230.5</v>
      </c>
      <c r="DI23" t="s">
        <v>317</v>
      </c>
      <c r="DJ23">
        <v>7</v>
      </c>
      <c r="DK23">
        <v>-0.36799999999999999</v>
      </c>
      <c r="DL23">
        <v>0.112</v>
      </c>
      <c r="DM23">
        <v>400</v>
      </c>
      <c r="DN23">
        <v>17</v>
      </c>
      <c r="DO23">
        <v>0.13</v>
      </c>
      <c r="DP23">
        <v>0.03</v>
      </c>
      <c r="DQ23">
        <v>383.96354901960802</v>
      </c>
      <c r="DR23">
        <v>-5.4190045248776103E-2</v>
      </c>
      <c r="DS23">
        <v>1.4035408619533901E-2</v>
      </c>
      <c r="DT23">
        <v>1</v>
      </c>
      <c r="DU23">
        <v>20.333635294117698</v>
      </c>
      <c r="DV23">
        <v>-0.10375710407239799</v>
      </c>
      <c r="DW23">
        <v>1.3030113290546499E-2</v>
      </c>
      <c r="DX23">
        <v>1</v>
      </c>
      <c r="DY23">
        <v>2</v>
      </c>
      <c r="DZ23">
        <v>2</v>
      </c>
      <c r="EA23" t="s">
        <v>283</v>
      </c>
      <c r="EB23">
        <v>1.8668199999999999</v>
      </c>
      <c r="EC23">
        <v>1.86334</v>
      </c>
      <c r="ED23">
        <v>1.8690500000000001</v>
      </c>
      <c r="EE23">
        <v>1.8669100000000001</v>
      </c>
      <c r="EF23">
        <v>1.87164</v>
      </c>
      <c r="EG23">
        <v>1.86409</v>
      </c>
      <c r="EH23">
        <v>1.8656900000000001</v>
      </c>
      <c r="EI23">
        <v>1.8656299999999999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-0.36799999999999999</v>
      </c>
      <c r="EX23">
        <v>0.112</v>
      </c>
      <c r="EY23">
        <v>2</v>
      </c>
      <c r="EZ23">
        <v>335.18599999999998</v>
      </c>
      <c r="FA23">
        <v>509.99200000000002</v>
      </c>
      <c r="FB23">
        <v>22.313800000000001</v>
      </c>
      <c r="FC23">
        <v>32.310899999999997</v>
      </c>
      <c r="FD23">
        <v>29.999700000000001</v>
      </c>
      <c r="FE23">
        <v>32.370600000000003</v>
      </c>
      <c r="FF23">
        <v>32.377499999999998</v>
      </c>
      <c r="FG23">
        <v>21.710100000000001</v>
      </c>
      <c r="FH23">
        <v>43.805300000000003</v>
      </c>
      <c r="FI23">
        <v>16.655200000000001</v>
      </c>
      <c r="FJ23">
        <v>22.327500000000001</v>
      </c>
      <c r="FK23">
        <v>400</v>
      </c>
      <c r="FL23">
        <v>16.814499999999999</v>
      </c>
      <c r="FM23">
        <v>101.13800000000001</v>
      </c>
      <c r="FN23">
        <v>101.23099999999999</v>
      </c>
    </row>
    <row r="24" spans="1:170" x14ac:dyDescent="0.25">
      <c r="A24">
        <v>8</v>
      </c>
      <c r="B24">
        <v>1594999324.5</v>
      </c>
      <c r="C24">
        <v>865.70000004768394</v>
      </c>
      <c r="D24" t="s">
        <v>318</v>
      </c>
      <c r="E24" t="s">
        <v>319</v>
      </c>
      <c r="G24">
        <v>1594999316.5</v>
      </c>
      <c r="H24">
        <f t="shared" si="0"/>
        <v>7.7950591296667739E-3</v>
      </c>
      <c r="I24">
        <f t="shared" si="1"/>
        <v>42.797306586147862</v>
      </c>
      <c r="J24">
        <f t="shared" si="2"/>
        <v>481.27851612903203</v>
      </c>
      <c r="K24">
        <f t="shared" si="3"/>
        <v>330.46868051718843</v>
      </c>
      <c r="L24">
        <f t="shared" si="4"/>
        <v>33.021668684839732</v>
      </c>
      <c r="M24">
        <f t="shared" si="5"/>
        <v>48.091152480386341</v>
      </c>
      <c r="N24">
        <f t="shared" si="6"/>
        <v>0.52316569427256243</v>
      </c>
      <c r="O24">
        <f t="shared" si="7"/>
        <v>3.3950021109968502</v>
      </c>
      <c r="P24">
        <f t="shared" si="8"/>
        <v>0.48215295119655738</v>
      </c>
      <c r="Q24">
        <f t="shared" si="9"/>
        <v>0.30476205413115426</v>
      </c>
      <c r="R24">
        <f t="shared" si="10"/>
        <v>353.33830250678511</v>
      </c>
      <c r="S24">
        <f t="shared" si="11"/>
        <v>27.508137454884189</v>
      </c>
      <c r="T24">
        <f t="shared" si="12"/>
        <v>27.059338709677402</v>
      </c>
      <c r="U24">
        <f t="shared" si="13"/>
        <v>3.5916524458023105</v>
      </c>
      <c r="V24">
        <f t="shared" si="14"/>
        <v>54.981266212806666</v>
      </c>
      <c r="W24">
        <f t="shared" si="15"/>
        <v>2.0215408780050499</v>
      </c>
      <c r="X24">
        <f t="shared" si="16"/>
        <v>3.6767812334125121</v>
      </c>
      <c r="Y24">
        <f t="shared" si="17"/>
        <v>1.5701115677972606</v>
      </c>
      <c r="Z24">
        <f t="shared" si="18"/>
        <v>-343.76210761830475</v>
      </c>
      <c r="AA24">
        <f t="shared" si="19"/>
        <v>73.142871524031349</v>
      </c>
      <c r="AB24">
        <f t="shared" si="20"/>
        <v>4.6615688531739261</v>
      </c>
      <c r="AC24">
        <f t="shared" si="21"/>
        <v>87.380635265685655</v>
      </c>
      <c r="AD24">
        <v>-4.1370296640272003E-2</v>
      </c>
      <c r="AE24">
        <v>4.6441782215744097E-2</v>
      </c>
      <c r="AF24">
        <v>3.4675997331264501</v>
      </c>
      <c r="AG24">
        <v>145</v>
      </c>
      <c r="AH24">
        <v>29</v>
      </c>
      <c r="AI24">
        <f t="shared" si="22"/>
        <v>1</v>
      </c>
      <c r="AJ24">
        <f t="shared" si="23"/>
        <v>0</v>
      </c>
      <c r="AK24">
        <f t="shared" si="24"/>
        <v>52672.18823914705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320</v>
      </c>
      <c r="AS24">
        <v>252.36395999999999</v>
      </c>
      <c r="AT24">
        <v>360.834</v>
      </c>
      <c r="AU24">
        <f t="shared" si="27"/>
        <v>0.3006092552253945</v>
      </c>
      <c r="AV24">
        <v>0.5</v>
      </c>
      <c r="AW24">
        <f t="shared" si="28"/>
        <v>1849.1880093864809</v>
      </c>
      <c r="AX24">
        <f t="shared" si="29"/>
        <v>42.797306586147862</v>
      </c>
      <c r="AY24">
        <f t="shared" si="30"/>
        <v>277.94151513669993</v>
      </c>
      <c r="AZ24">
        <f t="shared" si="31"/>
        <v>0.50797319543058583</v>
      </c>
      <c r="BA24">
        <f t="shared" si="32"/>
        <v>2.3684615281860295E-2</v>
      </c>
      <c r="BB24">
        <f t="shared" si="33"/>
        <v>-1</v>
      </c>
      <c r="BC24" t="s">
        <v>321</v>
      </c>
      <c r="BD24">
        <v>177.54</v>
      </c>
      <c r="BE24">
        <f t="shared" si="34"/>
        <v>183.29400000000001</v>
      </c>
      <c r="BF24">
        <f t="shared" si="35"/>
        <v>0.59178172771612825</v>
      </c>
      <c r="BG24">
        <f t="shared" si="36"/>
        <v>2.0324095978371073</v>
      </c>
      <c r="BH24">
        <f t="shared" si="37"/>
        <v>0.30060925522539456</v>
      </c>
      <c r="BI24" t="e">
        <f t="shared" si="38"/>
        <v>#DIV/0!</v>
      </c>
      <c r="BJ24">
        <v>4889</v>
      </c>
      <c r="BK24">
        <v>300</v>
      </c>
      <c r="BL24">
        <v>300</v>
      </c>
      <c r="BM24">
        <v>300</v>
      </c>
      <c r="BN24">
        <v>9867.67</v>
      </c>
      <c r="BO24">
        <v>326.66800000000001</v>
      </c>
      <c r="BP24">
        <v>-6.4005599999999996E-3</v>
      </c>
      <c r="BQ24">
        <v>1.11703</v>
      </c>
      <c r="BR24">
        <f t="shared" si="39"/>
        <v>2200.0032258064498</v>
      </c>
      <c r="BS24">
        <f t="shared" si="40"/>
        <v>1849.1880093864809</v>
      </c>
      <c r="BT24">
        <f t="shared" si="41"/>
        <v>0.84053877180504066</v>
      </c>
      <c r="BU24">
        <f t="shared" si="42"/>
        <v>0.1910775436100815</v>
      </c>
      <c r="BV24">
        <v>0.5</v>
      </c>
      <c r="BW24" t="s">
        <v>281</v>
      </c>
      <c r="BX24">
        <v>1594999316.5</v>
      </c>
      <c r="BY24">
        <v>481.27851612903203</v>
      </c>
      <c r="BZ24">
        <v>499.895806451613</v>
      </c>
      <c r="CA24">
        <v>20.230835483871001</v>
      </c>
      <c r="CB24">
        <v>17.176264516128999</v>
      </c>
      <c r="CC24">
        <v>500.060967741936</v>
      </c>
      <c r="CD24">
        <v>99.723780645161298</v>
      </c>
      <c r="CE24">
        <v>0.19996593548387101</v>
      </c>
      <c r="CF24">
        <v>27.4589580645161</v>
      </c>
      <c r="CG24">
        <v>27.059338709677402</v>
      </c>
      <c r="CH24">
        <v>999.9</v>
      </c>
      <c r="CI24">
        <v>10004.281935483899</v>
      </c>
      <c r="CJ24">
        <v>0</v>
      </c>
      <c r="CK24">
        <v>92.532680645161307</v>
      </c>
      <c r="CL24">
        <v>2200.0032258064498</v>
      </c>
      <c r="CM24">
        <v>0.98200167741935496</v>
      </c>
      <c r="CN24">
        <v>1.7998538709677402E-2</v>
      </c>
      <c r="CO24">
        <v>0</v>
      </c>
      <c r="CP24">
        <v>252.367774193548</v>
      </c>
      <c r="CQ24">
        <v>5.00054</v>
      </c>
      <c r="CR24">
        <v>6731.4567741935498</v>
      </c>
      <c r="CS24">
        <v>20590.590322580701</v>
      </c>
      <c r="CT24">
        <v>48.25</v>
      </c>
      <c r="CU24">
        <v>48.350548387096801</v>
      </c>
      <c r="CV24">
        <v>48.183</v>
      </c>
      <c r="CW24">
        <v>47.832322580645098</v>
      </c>
      <c r="CX24">
        <v>49.658999999999999</v>
      </c>
      <c r="CY24">
        <v>2155.49322580645</v>
      </c>
      <c r="CZ24">
        <v>39.51</v>
      </c>
      <c r="DA24">
        <v>0</v>
      </c>
      <c r="DB24">
        <v>121.40000009536701</v>
      </c>
      <c r="DC24">
        <v>252.36395999999999</v>
      </c>
      <c r="DD24">
        <v>0.34261538817332099</v>
      </c>
      <c r="DE24">
        <v>-112.63846156475</v>
      </c>
      <c r="DF24">
        <v>6730.0616</v>
      </c>
      <c r="DG24">
        <v>15</v>
      </c>
      <c r="DH24">
        <v>1594999349.5</v>
      </c>
      <c r="DI24" t="s">
        <v>322</v>
      </c>
      <c r="DJ24">
        <v>8</v>
      </c>
      <c r="DK24">
        <v>-0.40500000000000003</v>
      </c>
      <c r="DL24">
        <v>0.11799999999999999</v>
      </c>
      <c r="DM24">
        <v>500</v>
      </c>
      <c r="DN24">
        <v>17</v>
      </c>
      <c r="DO24">
        <v>0.1</v>
      </c>
      <c r="DP24">
        <v>0.03</v>
      </c>
      <c r="DQ24">
        <v>481.29029411764702</v>
      </c>
      <c r="DR24">
        <v>0.29016108597284901</v>
      </c>
      <c r="DS24">
        <v>4.3195086012114602E-2</v>
      </c>
      <c r="DT24">
        <v>1</v>
      </c>
      <c r="DU24">
        <v>20.230084313725499</v>
      </c>
      <c r="DV24">
        <v>-4.1223529411762903E-2</v>
      </c>
      <c r="DW24">
        <v>9.3690850108638004E-3</v>
      </c>
      <c r="DX24">
        <v>1</v>
      </c>
      <c r="DY24">
        <v>2</v>
      </c>
      <c r="DZ24">
        <v>2</v>
      </c>
      <c r="EA24" t="s">
        <v>283</v>
      </c>
      <c r="EB24">
        <v>1.8667899999999999</v>
      </c>
      <c r="EC24">
        <v>1.8633200000000001</v>
      </c>
      <c r="ED24">
        <v>1.86903</v>
      </c>
      <c r="EE24">
        <v>1.8669100000000001</v>
      </c>
      <c r="EF24">
        <v>1.87164</v>
      </c>
      <c r="EG24">
        <v>1.8640699999999999</v>
      </c>
      <c r="EH24">
        <v>1.8656900000000001</v>
      </c>
      <c r="EI24">
        <v>1.8655900000000001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-0.40500000000000003</v>
      </c>
      <c r="EX24">
        <v>0.11799999999999999</v>
      </c>
      <c r="EY24">
        <v>2</v>
      </c>
      <c r="EZ24">
        <v>336.66699999999997</v>
      </c>
      <c r="FA24">
        <v>510.036</v>
      </c>
      <c r="FB24">
        <v>21.404900000000001</v>
      </c>
      <c r="FC24">
        <v>32.182200000000002</v>
      </c>
      <c r="FD24">
        <v>29.999600000000001</v>
      </c>
      <c r="FE24">
        <v>32.285499999999999</v>
      </c>
      <c r="FF24">
        <v>32.293799999999997</v>
      </c>
      <c r="FG24">
        <v>26.035699999999999</v>
      </c>
      <c r="FH24">
        <v>41.845599999999997</v>
      </c>
      <c r="FI24">
        <v>12.053100000000001</v>
      </c>
      <c r="FJ24">
        <v>21.3994</v>
      </c>
      <c r="FK24">
        <v>500</v>
      </c>
      <c r="FL24">
        <v>17.2302</v>
      </c>
      <c r="FM24">
        <v>101.152</v>
      </c>
      <c r="FN24">
        <v>101.26300000000001</v>
      </c>
    </row>
    <row r="25" spans="1:170" x14ac:dyDescent="0.25">
      <c r="A25">
        <v>9</v>
      </c>
      <c r="B25">
        <v>1594999449.5</v>
      </c>
      <c r="C25">
        <v>990.70000004768394</v>
      </c>
      <c r="D25" t="s">
        <v>323</v>
      </c>
      <c r="E25" t="s">
        <v>324</v>
      </c>
      <c r="G25">
        <v>1594999441.5</v>
      </c>
      <c r="H25">
        <f t="shared" si="0"/>
        <v>7.2401042669225533E-3</v>
      </c>
      <c r="I25">
        <f t="shared" si="1"/>
        <v>46.380243582391387</v>
      </c>
      <c r="J25">
        <f t="shared" si="2"/>
        <v>579.68506451612905</v>
      </c>
      <c r="K25">
        <f t="shared" si="3"/>
        <v>400.89557249334257</v>
      </c>
      <c r="L25">
        <f t="shared" si="4"/>
        <v>40.060085191476468</v>
      </c>
      <c r="M25">
        <f t="shared" si="5"/>
        <v>57.925890586203209</v>
      </c>
      <c r="N25">
        <f t="shared" si="6"/>
        <v>0.47649288126466538</v>
      </c>
      <c r="O25">
        <f t="shared" si="7"/>
        <v>3.3967379661127306</v>
      </c>
      <c r="P25">
        <f t="shared" si="8"/>
        <v>0.44223073869214297</v>
      </c>
      <c r="Q25">
        <f t="shared" si="9"/>
        <v>0.27926695268570279</v>
      </c>
      <c r="R25">
        <f t="shared" si="10"/>
        <v>353.33644909417018</v>
      </c>
      <c r="S25">
        <f t="shared" si="11"/>
        <v>27.394828991034185</v>
      </c>
      <c r="T25">
        <f t="shared" si="12"/>
        <v>27.0420193548387</v>
      </c>
      <c r="U25">
        <f t="shared" si="13"/>
        <v>3.5880022237524201</v>
      </c>
      <c r="V25">
        <f t="shared" si="14"/>
        <v>55.100144900227377</v>
      </c>
      <c r="W25">
        <f t="shared" si="15"/>
        <v>1.9977521965145244</v>
      </c>
      <c r="X25">
        <f t="shared" si="16"/>
        <v>3.6256750324921203</v>
      </c>
      <c r="Y25">
        <f t="shared" si="17"/>
        <v>1.5902500272378957</v>
      </c>
      <c r="Z25">
        <f t="shared" si="18"/>
        <v>-319.2885981712846</v>
      </c>
      <c r="AA25">
        <f t="shared" si="19"/>
        <v>32.59860172918885</v>
      </c>
      <c r="AB25">
        <f t="shared" si="20"/>
        <v>2.0738667579133674</v>
      </c>
      <c r="AC25">
        <f t="shared" si="21"/>
        <v>68.720319409987809</v>
      </c>
      <c r="AD25">
        <v>-4.13971908308765E-2</v>
      </c>
      <c r="AE25">
        <v>4.6471973300758203E-2</v>
      </c>
      <c r="AF25">
        <v>3.4693827828347201</v>
      </c>
      <c r="AG25">
        <v>145</v>
      </c>
      <c r="AH25">
        <v>29</v>
      </c>
      <c r="AI25">
        <f t="shared" si="22"/>
        <v>1</v>
      </c>
      <c r="AJ25">
        <f t="shared" si="23"/>
        <v>0</v>
      </c>
      <c r="AK25">
        <f t="shared" si="24"/>
        <v>52747.027615872794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325</v>
      </c>
      <c r="AS25">
        <v>254.48179999999999</v>
      </c>
      <c r="AT25">
        <v>363.851</v>
      </c>
      <c r="AU25">
        <f t="shared" si="27"/>
        <v>0.30058787800500752</v>
      </c>
      <c r="AV25">
        <v>0.5</v>
      </c>
      <c r="AW25">
        <f t="shared" si="28"/>
        <v>1849.1782545477745</v>
      </c>
      <c r="AX25">
        <f t="shared" si="29"/>
        <v>46.380243582391387</v>
      </c>
      <c r="AY25">
        <f t="shared" si="30"/>
        <v>277.92028379375961</v>
      </c>
      <c r="AZ25">
        <f t="shared" si="31"/>
        <v>0.51617557736546005</v>
      </c>
      <c r="BA25">
        <f t="shared" si="32"/>
        <v>2.5622323573115158E-2</v>
      </c>
      <c r="BB25">
        <f t="shared" si="33"/>
        <v>-1</v>
      </c>
      <c r="BC25" t="s">
        <v>326</v>
      </c>
      <c r="BD25">
        <v>176.04</v>
      </c>
      <c r="BE25">
        <f t="shared" si="34"/>
        <v>187.81100000000001</v>
      </c>
      <c r="BF25">
        <f t="shared" si="35"/>
        <v>0.58233649786221253</v>
      </c>
      <c r="BG25">
        <f t="shared" si="36"/>
        <v>2.066865485117019</v>
      </c>
      <c r="BH25">
        <f t="shared" si="37"/>
        <v>0.30058787800500758</v>
      </c>
      <c r="BI25" t="e">
        <f t="shared" si="38"/>
        <v>#DIV/0!</v>
      </c>
      <c r="BJ25">
        <v>4891</v>
      </c>
      <c r="BK25">
        <v>300</v>
      </c>
      <c r="BL25">
        <v>300</v>
      </c>
      <c r="BM25">
        <v>300</v>
      </c>
      <c r="BN25">
        <v>9868.2000000000007</v>
      </c>
      <c r="BO25">
        <v>332.738</v>
      </c>
      <c r="BP25">
        <v>-6.4009799999999997E-3</v>
      </c>
      <c r="BQ25">
        <v>1.61694</v>
      </c>
      <c r="BR25">
        <f t="shared" si="39"/>
        <v>2199.9916129032299</v>
      </c>
      <c r="BS25">
        <f t="shared" si="40"/>
        <v>1849.1782545477745</v>
      </c>
      <c r="BT25">
        <f t="shared" si="41"/>
        <v>0.8405387746490075</v>
      </c>
      <c r="BU25">
        <f t="shared" si="42"/>
        <v>0.19107754929801526</v>
      </c>
      <c r="BV25">
        <v>0.5</v>
      </c>
      <c r="BW25" t="s">
        <v>281</v>
      </c>
      <c r="BX25">
        <v>1594999441.5</v>
      </c>
      <c r="BY25">
        <v>579.68506451612905</v>
      </c>
      <c r="BZ25">
        <v>599.91316129032202</v>
      </c>
      <c r="CA25">
        <v>19.992219354838699</v>
      </c>
      <c r="CB25">
        <v>17.154467741935498</v>
      </c>
      <c r="CC25">
        <v>500.06903225806502</v>
      </c>
      <c r="CD25">
        <v>99.726522580645195</v>
      </c>
      <c r="CE25">
        <v>0.19996187096774201</v>
      </c>
      <c r="CF25">
        <v>27.220032258064499</v>
      </c>
      <c r="CG25">
        <v>27.0420193548387</v>
      </c>
      <c r="CH25">
        <v>999.9</v>
      </c>
      <c r="CI25">
        <v>10010.5103225806</v>
      </c>
      <c r="CJ25">
        <v>0</v>
      </c>
      <c r="CK25">
        <v>571.43429032258098</v>
      </c>
      <c r="CL25">
        <v>2199.9916129032299</v>
      </c>
      <c r="CM25">
        <v>0.98200064516129004</v>
      </c>
      <c r="CN25">
        <v>1.7999622580645198E-2</v>
      </c>
      <c r="CO25">
        <v>0</v>
      </c>
      <c r="CP25">
        <v>254.50735483871</v>
      </c>
      <c r="CQ25">
        <v>5.00054</v>
      </c>
      <c r="CR25">
        <v>6984.5064516128996</v>
      </c>
      <c r="CS25">
        <v>20590.454838709698</v>
      </c>
      <c r="CT25">
        <v>48.203258064516099</v>
      </c>
      <c r="CU25">
        <v>48.195387096774198</v>
      </c>
      <c r="CV25">
        <v>48.078258064516099</v>
      </c>
      <c r="CW25">
        <v>47.580290322580602</v>
      </c>
      <c r="CX25">
        <v>49.572161290322597</v>
      </c>
      <c r="CY25">
        <v>2155.4816129032301</v>
      </c>
      <c r="CZ25">
        <v>39.51</v>
      </c>
      <c r="DA25">
        <v>0</v>
      </c>
      <c r="DB25">
        <v>124.40000009536701</v>
      </c>
      <c r="DC25">
        <v>254.48179999999999</v>
      </c>
      <c r="DD25">
        <v>7.1307705029284199E-2</v>
      </c>
      <c r="DE25">
        <v>257.66461536791599</v>
      </c>
      <c r="DF25">
        <v>6987.6360000000004</v>
      </c>
      <c r="DG25">
        <v>15</v>
      </c>
      <c r="DH25">
        <v>1594999475</v>
      </c>
      <c r="DI25" t="s">
        <v>327</v>
      </c>
      <c r="DJ25">
        <v>9</v>
      </c>
      <c r="DK25">
        <v>-0.23499999999999999</v>
      </c>
      <c r="DL25">
        <v>0.12</v>
      </c>
      <c r="DM25">
        <v>600</v>
      </c>
      <c r="DN25">
        <v>17</v>
      </c>
      <c r="DO25">
        <v>0.21</v>
      </c>
      <c r="DP25">
        <v>0.03</v>
      </c>
      <c r="DQ25">
        <v>579.48501960784301</v>
      </c>
      <c r="DR25">
        <v>0.282385520362056</v>
      </c>
      <c r="DS25">
        <v>4.6937375966190499E-2</v>
      </c>
      <c r="DT25">
        <v>1</v>
      </c>
      <c r="DU25">
        <v>20.001313725490199</v>
      </c>
      <c r="DV25">
        <v>-0.114171583710409</v>
      </c>
      <c r="DW25">
        <v>1.4285863293560399E-2</v>
      </c>
      <c r="DX25">
        <v>1</v>
      </c>
      <c r="DY25">
        <v>2</v>
      </c>
      <c r="DZ25">
        <v>2</v>
      </c>
      <c r="EA25" t="s">
        <v>283</v>
      </c>
      <c r="EB25">
        <v>1.8668499999999999</v>
      </c>
      <c r="EC25">
        <v>1.8633599999999999</v>
      </c>
      <c r="ED25">
        <v>1.86904</v>
      </c>
      <c r="EE25">
        <v>1.8669100000000001</v>
      </c>
      <c r="EF25">
        <v>1.87164</v>
      </c>
      <c r="EG25">
        <v>1.86409</v>
      </c>
      <c r="EH25">
        <v>1.8656900000000001</v>
      </c>
      <c r="EI25">
        <v>1.8656200000000001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-0.23499999999999999</v>
      </c>
      <c r="EX25">
        <v>0.12</v>
      </c>
      <c r="EY25">
        <v>2</v>
      </c>
      <c r="EZ25">
        <v>337.12400000000002</v>
      </c>
      <c r="FA25">
        <v>509.95100000000002</v>
      </c>
      <c r="FB25">
        <v>21.6568</v>
      </c>
      <c r="FC25">
        <v>31.991299999999999</v>
      </c>
      <c r="FD25">
        <v>29.999500000000001</v>
      </c>
      <c r="FE25">
        <v>32.126300000000001</v>
      </c>
      <c r="FF25">
        <v>32.135899999999999</v>
      </c>
      <c r="FG25">
        <v>30.225899999999999</v>
      </c>
      <c r="FH25">
        <v>41.214399999999998</v>
      </c>
      <c r="FI25">
        <v>7.0502200000000004</v>
      </c>
      <c r="FJ25">
        <v>21.5747</v>
      </c>
      <c r="FK25">
        <v>600</v>
      </c>
      <c r="FL25">
        <v>17.214099999999998</v>
      </c>
      <c r="FM25">
        <v>101.179</v>
      </c>
      <c r="FN25">
        <v>101.30500000000001</v>
      </c>
    </row>
    <row r="26" spans="1:170" x14ac:dyDescent="0.25">
      <c r="A26">
        <v>10</v>
      </c>
      <c r="B26">
        <v>1594999588</v>
      </c>
      <c r="C26">
        <v>1129.2000000476801</v>
      </c>
      <c r="D26" t="s">
        <v>328</v>
      </c>
      <c r="E26" t="s">
        <v>329</v>
      </c>
      <c r="G26">
        <v>1594999580.0064499</v>
      </c>
      <c r="H26">
        <f t="shared" si="0"/>
        <v>6.2362855905986302E-3</v>
      </c>
      <c r="I26">
        <f t="shared" si="1"/>
        <v>49.124059888118126</v>
      </c>
      <c r="J26">
        <f t="shared" si="2"/>
        <v>678.55445161290299</v>
      </c>
      <c r="K26">
        <f t="shared" si="3"/>
        <v>456.82448360406505</v>
      </c>
      <c r="L26">
        <f t="shared" si="4"/>
        <v>45.648386539578667</v>
      </c>
      <c r="M26">
        <f t="shared" si="5"/>
        <v>67.804850674824891</v>
      </c>
      <c r="N26">
        <f t="shared" si="6"/>
        <v>0.40130227382017325</v>
      </c>
      <c r="O26">
        <f t="shared" si="7"/>
        <v>3.3948651632811506</v>
      </c>
      <c r="P26">
        <f t="shared" si="8"/>
        <v>0.37668809874510994</v>
      </c>
      <c r="Q26">
        <f t="shared" si="9"/>
        <v>0.23751563222523164</v>
      </c>
      <c r="R26">
        <f t="shared" si="10"/>
        <v>353.3362431594353</v>
      </c>
      <c r="S26">
        <f t="shared" si="11"/>
        <v>27.402634308107121</v>
      </c>
      <c r="T26">
        <f t="shared" si="12"/>
        <v>27.045474193548401</v>
      </c>
      <c r="U26">
        <f t="shared" si="13"/>
        <v>3.5887301058625516</v>
      </c>
      <c r="V26">
        <f t="shared" si="14"/>
        <v>55.3334522154071</v>
      </c>
      <c r="W26">
        <f t="shared" si="15"/>
        <v>1.9805086396780969</v>
      </c>
      <c r="X26">
        <f t="shared" si="16"/>
        <v>3.5792247914845303</v>
      </c>
      <c r="Y26">
        <f t="shared" si="17"/>
        <v>1.6082214661844547</v>
      </c>
      <c r="Z26">
        <f t="shared" si="18"/>
        <v>-275.02019454539959</v>
      </c>
      <c r="AA26">
        <f t="shared" si="19"/>
        <v>-8.266189075897989</v>
      </c>
      <c r="AB26">
        <f t="shared" si="20"/>
        <v>-0.52560222397716971</v>
      </c>
      <c r="AC26">
        <f t="shared" si="21"/>
        <v>69.524257314160565</v>
      </c>
      <c r="AD26">
        <v>-4.1368175127388801E-2</v>
      </c>
      <c r="AE26">
        <v>4.6439400631678E-2</v>
      </c>
      <c r="AF26">
        <v>3.4674590625273498</v>
      </c>
      <c r="AG26">
        <v>143</v>
      </c>
      <c r="AH26">
        <v>29</v>
      </c>
      <c r="AI26">
        <f t="shared" si="22"/>
        <v>1</v>
      </c>
      <c r="AJ26">
        <f t="shared" si="23"/>
        <v>0</v>
      </c>
      <c r="AK26">
        <f t="shared" si="24"/>
        <v>52750.156338667286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330</v>
      </c>
      <c r="AS26">
        <v>254.2038</v>
      </c>
      <c r="AT26">
        <v>364.14</v>
      </c>
      <c r="AU26">
        <f t="shared" si="27"/>
        <v>0.30190640962267257</v>
      </c>
      <c r="AV26">
        <v>0.5</v>
      </c>
      <c r="AW26">
        <f t="shared" si="28"/>
        <v>1849.1771706768075</v>
      </c>
      <c r="AX26">
        <f t="shared" si="29"/>
        <v>49.124059888118126</v>
      </c>
      <c r="AY26">
        <f t="shared" si="30"/>
        <v>279.13922017762349</v>
      </c>
      <c r="AZ26">
        <f t="shared" si="31"/>
        <v>0.51573570604712471</v>
      </c>
      <c r="BA26">
        <f t="shared" si="32"/>
        <v>2.7106142495676867E-2</v>
      </c>
      <c r="BB26">
        <f t="shared" si="33"/>
        <v>-1</v>
      </c>
      <c r="BC26" t="s">
        <v>331</v>
      </c>
      <c r="BD26">
        <v>176.34</v>
      </c>
      <c r="BE26">
        <f t="shared" si="34"/>
        <v>187.79999999999998</v>
      </c>
      <c r="BF26">
        <f t="shared" si="35"/>
        <v>0.58538977635782741</v>
      </c>
      <c r="BG26">
        <f t="shared" si="36"/>
        <v>2.0649880911874785</v>
      </c>
      <c r="BH26">
        <f t="shared" si="37"/>
        <v>0.30190640962267257</v>
      </c>
      <c r="BI26" t="e">
        <f t="shared" si="38"/>
        <v>#DIV/0!</v>
      </c>
      <c r="BJ26">
        <v>4893</v>
      </c>
      <c r="BK26">
        <v>300</v>
      </c>
      <c r="BL26">
        <v>300</v>
      </c>
      <c r="BM26">
        <v>300</v>
      </c>
      <c r="BN26">
        <v>9867.98</v>
      </c>
      <c r="BO26">
        <v>332.97</v>
      </c>
      <c r="BP26">
        <v>-6.4007400000000002E-3</v>
      </c>
      <c r="BQ26">
        <v>1.92218</v>
      </c>
      <c r="BR26">
        <f t="shared" si="39"/>
        <v>2199.9903225806502</v>
      </c>
      <c r="BS26">
        <f t="shared" si="40"/>
        <v>1849.1771706768075</v>
      </c>
      <c r="BT26">
        <f t="shared" si="41"/>
        <v>0.84053877496500573</v>
      </c>
      <c r="BU26">
        <f t="shared" si="42"/>
        <v>0.19107754993001161</v>
      </c>
      <c r="BV26">
        <v>0.5</v>
      </c>
      <c r="BW26" t="s">
        <v>281</v>
      </c>
      <c r="BX26">
        <v>1594999580.0064499</v>
      </c>
      <c r="BY26">
        <v>678.55445161290299</v>
      </c>
      <c r="BZ26">
        <v>699.89390322580596</v>
      </c>
      <c r="CA26">
        <v>19.819864516129002</v>
      </c>
      <c r="CB26">
        <v>17.3751161290323</v>
      </c>
      <c r="CC26">
        <v>500.06645161290299</v>
      </c>
      <c r="CD26">
        <v>99.725435483870996</v>
      </c>
      <c r="CE26">
        <v>0.20000235483871001</v>
      </c>
      <c r="CF26">
        <v>27.000309677419398</v>
      </c>
      <c r="CG26">
        <v>27.045474193548401</v>
      </c>
      <c r="CH26">
        <v>999.9</v>
      </c>
      <c r="CI26">
        <v>10003.602903225799</v>
      </c>
      <c r="CJ26">
        <v>0</v>
      </c>
      <c r="CK26">
        <v>337.07503225806403</v>
      </c>
      <c r="CL26">
        <v>2199.9903225806502</v>
      </c>
      <c r="CM26">
        <v>0.98200077419354803</v>
      </c>
      <c r="CN26">
        <v>1.7999487096774201E-2</v>
      </c>
      <c r="CO26">
        <v>0</v>
      </c>
      <c r="CP26">
        <v>254.18835483871001</v>
      </c>
      <c r="CQ26">
        <v>5.00054</v>
      </c>
      <c r="CR26">
        <v>8188.0938709677403</v>
      </c>
      <c r="CS26">
        <v>20590.451612903202</v>
      </c>
      <c r="CT26">
        <v>48.322225806451598</v>
      </c>
      <c r="CU26">
        <v>48.344580645161301</v>
      </c>
      <c r="CV26">
        <v>48.183064516129001</v>
      </c>
      <c r="CW26">
        <v>47.757935483871002</v>
      </c>
      <c r="CX26">
        <v>49.687129032257999</v>
      </c>
      <c r="CY26">
        <v>2155.4803225806399</v>
      </c>
      <c r="CZ26">
        <v>39.51</v>
      </c>
      <c r="DA26">
        <v>0</v>
      </c>
      <c r="DB26">
        <v>137.90000009536701</v>
      </c>
      <c r="DC26">
        <v>254.2038</v>
      </c>
      <c r="DD26">
        <v>-0.56523078129844495</v>
      </c>
      <c r="DE26">
        <v>595.20615100007899</v>
      </c>
      <c r="DF26">
        <v>8196.2000000000007</v>
      </c>
      <c r="DG26">
        <v>15</v>
      </c>
      <c r="DH26">
        <v>1594999613.5</v>
      </c>
      <c r="DI26" t="s">
        <v>332</v>
      </c>
      <c r="DJ26">
        <v>10</v>
      </c>
      <c r="DK26">
        <v>-0.19600000000000001</v>
      </c>
      <c r="DL26">
        <v>0.123</v>
      </c>
      <c r="DM26">
        <v>700</v>
      </c>
      <c r="DN26">
        <v>17</v>
      </c>
      <c r="DO26">
        <v>0.2</v>
      </c>
      <c r="DP26">
        <v>0.04</v>
      </c>
      <c r="DQ26">
        <v>678.48921568627395</v>
      </c>
      <c r="DR26">
        <v>0.28676219149342702</v>
      </c>
      <c r="DS26">
        <v>3.7080365146943101E-2</v>
      </c>
      <c r="DT26">
        <v>1</v>
      </c>
      <c r="DU26">
        <v>19.8204960784314</v>
      </c>
      <c r="DV26">
        <v>-3.8474996594810199E-2</v>
      </c>
      <c r="DW26">
        <v>5.2587167891377396E-3</v>
      </c>
      <c r="DX26">
        <v>1</v>
      </c>
      <c r="DY26">
        <v>2</v>
      </c>
      <c r="DZ26">
        <v>2</v>
      </c>
      <c r="EA26" t="s">
        <v>283</v>
      </c>
      <c r="EB26">
        <v>1.86676</v>
      </c>
      <c r="EC26">
        <v>1.8632500000000001</v>
      </c>
      <c r="ED26">
        <v>1.8689199999999999</v>
      </c>
      <c r="EE26">
        <v>1.8669</v>
      </c>
      <c r="EF26">
        <v>1.8715599999999999</v>
      </c>
      <c r="EG26">
        <v>1.8640099999999999</v>
      </c>
      <c r="EH26">
        <v>1.8656299999999999</v>
      </c>
      <c r="EI26">
        <v>1.86554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-0.19600000000000001</v>
      </c>
      <c r="EX26">
        <v>0.123</v>
      </c>
      <c r="EY26">
        <v>2</v>
      </c>
      <c r="EZ26">
        <v>338.86099999999999</v>
      </c>
      <c r="FA26">
        <v>509.411</v>
      </c>
      <c r="FB26">
        <v>19.548400000000001</v>
      </c>
      <c r="FC26">
        <v>31.880700000000001</v>
      </c>
      <c r="FD26">
        <v>30.0002</v>
      </c>
      <c r="FE26">
        <v>31.9923</v>
      </c>
      <c r="FF26">
        <v>32.011000000000003</v>
      </c>
      <c r="FG26">
        <v>34.310099999999998</v>
      </c>
      <c r="FH26">
        <v>40.843200000000003</v>
      </c>
      <c r="FI26">
        <v>2.07287</v>
      </c>
      <c r="FJ26">
        <v>19.520700000000001</v>
      </c>
      <c r="FK26">
        <v>700</v>
      </c>
      <c r="FL26">
        <v>17.2867</v>
      </c>
      <c r="FM26">
        <v>101.199</v>
      </c>
      <c r="FN26">
        <v>101.339</v>
      </c>
    </row>
    <row r="27" spans="1:170" x14ac:dyDescent="0.25">
      <c r="A27">
        <v>11</v>
      </c>
      <c r="B27">
        <v>1594999710</v>
      </c>
      <c r="C27">
        <v>1251.2000000476801</v>
      </c>
      <c r="D27" t="s">
        <v>333</v>
      </c>
      <c r="E27" t="s">
        <v>334</v>
      </c>
      <c r="G27">
        <v>1594999702.0064499</v>
      </c>
      <c r="H27">
        <f t="shared" si="0"/>
        <v>6.9203038013677309E-3</v>
      </c>
      <c r="I27">
        <f t="shared" si="1"/>
        <v>50.255133762169365</v>
      </c>
      <c r="J27">
        <f t="shared" si="2"/>
        <v>777.75599999999997</v>
      </c>
      <c r="K27">
        <f t="shared" si="3"/>
        <v>568.96722326825716</v>
      </c>
      <c r="L27">
        <f t="shared" si="4"/>
        <v>56.851481411973431</v>
      </c>
      <c r="M27">
        <f t="shared" si="5"/>
        <v>77.713757434149301</v>
      </c>
      <c r="N27">
        <f t="shared" si="6"/>
        <v>0.44707233177217948</v>
      </c>
      <c r="O27">
        <f t="shared" si="7"/>
        <v>3.3937754095261767</v>
      </c>
      <c r="P27">
        <f t="shared" si="8"/>
        <v>0.41674176815442215</v>
      </c>
      <c r="Q27">
        <f t="shared" si="9"/>
        <v>0.26301701433603575</v>
      </c>
      <c r="R27">
        <f t="shared" si="10"/>
        <v>353.33711838205812</v>
      </c>
      <c r="S27">
        <f t="shared" si="11"/>
        <v>27.026981670379346</v>
      </c>
      <c r="T27">
        <f t="shared" si="12"/>
        <v>26.949945161290302</v>
      </c>
      <c r="U27">
        <f t="shared" si="13"/>
        <v>3.5686510111315455</v>
      </c>
      <c r="V27">
        <f t="shared" si="14"/>
        <v>55.341717138267768</v>
      </c>
      <c r="W27">
        <f t="shared" si="15"/>
        <v>1.9552621183066159</v>
      </c>
      <c r="X27">
        <f t="shared" si="16"/>
        <v>3.5330709262625835</v>
      </c>
      <c r="Y27">
        <f t="shared" si="17"/>
        <v>1.6133888928249296</v>
      </c>
      <c r="Z27">
        <f t="shared" si="18"/>
        <v>-305.18539764031692</v>
      </c>
      <c r="AA27">
        <f t="shared" si="19"/>
        <v>-31.18376578151652</v>
      </c>
      <c r="AB27">
        <f t="shared" si="20"/>
        <v>-1.9803085132635405</v>
      </c>
      <c r="AC27">
        <f t="shared" si="21"/>
        <v>14.987646446961143</v>
      </c>
      <c r="AD27">
        <v>-4.1351294685405E-2</v>
      </c>
      <c r="AE27">
        <v>4.6420450856743303E-2</v>
      </c>
      <c r="AF27">
        <v>3.4663396865543099</v>
      </c>
      <c r="AG27">
        <v>145</v>
      </c>
      <c r="AH27">
        <v>29</v>
      </c>
      <c r="AI27">
        <f t="shared" si="22"/>
        <v>1</v>
      </c>
      <c r="AJ27">
        <f t="shared" si="23"/>
        <v>0</v>
      </c>
      <c r="AK27">
        <f t="shared" si="24"/>
        <v>52768.242311077374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335</v>
      </c>
      <c r="AS27">
        <v>252.88896</v>
      </c>
      <c r="AT27">
        <v>361.15100000000001</v>
      </c>
      <c r="AU27">
        <f t="shared" si="27"/>
        <v>0.29976945931203292</v>
      </c>
      <c r="AV27">
        <v>0.5</v>
      </c>
      <c r="AW27">
        <f t="shared" si="28"/>
        <v>1849.1817771284143</v>
      </c>
      <c r="AX27">
        <f t="shared" si="29"/>
        <v>50.255133762169365</v>
      </c>
      <c r="AY27">
        <f t="shared" si="30"/>
        <v>277.16411074972444</v>
      </c>
      <c r="AZ27">
        <f t="shared" si="31"/>
        <v>0.51399829988010559</v>
      </c>
      <c r="BA27">
        <f t="shared" si="32"/>
        <v>2.7717736782893902E-2</v>
      </c>
      <c r="BB27">
        <f t="shared" si="33"/>
        <v>-1</v>
      </c>
      <c r="BC27" t="s">
        <v>336</v>
      </c>
      <c r="BD27">
        <v>175.52</v>
      </c>
      <c r="BE27">
        <f t="shared" si="34"/>
        <v>185.631</v>
      </c>
      <c r="BF27">
        <f t="shared" si="35"/>
        <v>0.58321099385339736</v>
      </c>
      <c r="BG27">
        <f t="shared" si="36"/>
        <v>2.0576059708295351</v>
      </c>
      <c r="BH27">
        <f t="shared" si="37"/>
        <v>0.29976945931203297</v>
      </c>
      <c r="BI27" t="e">
        <f t="shared" si="38"/>
        <v>#DIV/0!</v>
      </c>
      <c r="BJ27">
        <v>4895</v>
      </c>
      <c r="BK27">
        <v>300</v>
      </c>
      <c r="BL27">
        <v>300</v>
      </c>
      <c r="BM27">
        <v>300</v>
      </c>
      <c r="BN27">
        <v>9867.76</v>
      </c>
      <c r="BO27">
        <v>328.03300000000002</v>
      </c>
      <c r="BP27">
        <v>-6.4005299999999998E-3</v>
      </c>
      <c r="BQ27">
        <v>1.3807100000000001</v>
      </c>
      <c r="BR27">
        <f t="shared" si="39"/>
        <v>2199.99580645161</v>
      </c>
      <c r="BS27">
        <f t="shared" si="40"/>
        <v>1849.1817771284143</v>
      </c>
      <c r="BT27">
        <f t="shared" si="41"/>
        <v>0.84053877362201601</v>
      </c>
      <c r="BU27">
        <f t="shared" si="42"/>
        <v>0.19107754724403225</v>
      </c>
      <c r="BV27">
        <v>0.5</v>
      </c>
      <c r="BW27" t="s">
        <v>281</v>
      </c>
      <c r="BX27">
        <v>1594999702.0064499</v>
      </c>
      <c r="BY27">
        <v>777.75599999999997</v>
      </c>
      <c r="BZ27">
        <v>800.00809677419397</v>
      </c>
      <c r="CA27">
        <v>19.568180645161299</v>
      </c>
      <c r="CB27">
        <v>16.854577419354801</v>
      </c>
      <c r="CC27">
        <v>500.06470967741899</v>
      </c>
      <c r="CD27">
        <v>99.720487096774207</v>
      </c>
      <c r="CE27">
        <v>0.199998806451613</v>
      </c>
      <c r="CF27">
        <v>26.779509677419401</v>
      </c>
      <c r="CG27">
        <v>26.949945161290302</v>
      </c>
      <c r="CH27">
        <v>999.9</v>
      </c>
      <c r="CI27">
        <v>10000.0170967742</v>
      </c>
      <c r="CJ27">
        <v>0</v>
      </c>
      <c r="CK27">
        <v>328.98412903225801</v>
      </c>
      <c r="CL27">
        <v>2199.99580645161</v>
      </c>
      <c r="CM27">
        <v>0.982001096774194</v>
      </c>
      <c r="CN27">
        <v>1.7999148387096799E-2</v>
      </c>
      <c r="CO27">
        <v>0</v>
      </c>
      <c r="CP27">
        <v>252.93332258064501</v>
      </c>
      <c r="CQ27">
        <v>5.00054</v>
      </c>
      <c r="CR27">
        <v>8070.5116129032303</v>
      </c>
      <c r="CS27">
        <v>20590.493548387101</v>
      </c>
      <c r="CT27">
        <v>48.624935483870999</v>
      </c>
      <c r="CU27">
        <v>48.826290322580597</v>
      </c>
      <c r="CV27">
        <v>48.473580645161299</v>
      </c>
      <c r="CW27">
        <v>48.243709677419297</v>
      </c>
      <c r="CX27">
        <v>49.908999999999999</v>
      </c>
      <c r="CY27">
        <v>2155.4858064516102</v>
      </c>
      <c r="CZ27">
        <v>39.51</v>
      </c>
      <c r="DA27">
        <v>0</v>
      </c>
      <c r="DB27">
        <v>121.5</v>
      </c>
      <c r="DC27">
        <v>252.88896</v>
      </c>
      <c r="DD27">
        <v>-1.71784614613061</v>
      </c>
      <c r="DE27">
        <v>-81.046923593580999</v>
      </c>
      <c r="DF27">
        <v>8069.5811999999996</v>
      </c>
      <c r="DG27">
        <v>15</v>
      </c>
      <c r="DH27">
        <v>1594999741</v>
      </c>
      <c r="DI27" t="s">
        <v>337</v>
      </c>
      <c r="DJ27">
        <v>11</v>
      </c>
      <c r="DK27">
        <v>-0.30599999999999999</v>
      </c>
      <c r="DL27">
        <v>0.11600000000000001</v>
      </c>
      <c r="DM27">
        <v>800</v>
      </c>
      <c r="DN27">
        <v>17</v>
      </c>
      <c r="DO27">
        <v>0.11</v>
      </c>
      <c r="DP27">
        <v>0.04</v>
      </c>
      <c r="DQ27">
        <v>777.83645098039199</v>
      </c>
      <c r="DR27">
        <v>0.29969222952472202</v>
      </c>
      <c r="DS27">
        <v>4.0560926685036303E-2</v>
      </c>
      <c r="DT27">
        <v>1</v>
      </c>
      <c r="DU27">
        <v>19.5713333333333</v>
      </c>
      <c r="DV27">
        <v>4.4432219507203899E-2</v>
      </c>
      <c r="DW27">
        <v>5.6320743459147404E-3</v>
      </c>
      <c r="DX27">
        <v>1</v>
      </c>
      <c r="DY27">
        <v>2</v>
      </c>
      <c r="DZ27">
        <v>2</v>
      </c>
      <c r="EA27" t="s">
        <v>283</v>
      </c>
      <c r="EB27">
        <v>1.8668199999999999</v>
      </c>
      <c r="EC27">
        <v>1.8633299999999999</v>
      </c>
      <c r="ED27">
        <v>1.8689499999999999</v>
      </c>
      <c r="EE27">
        <v>1.8669100000000001</v>
      </c>
      <c r="EF27">
        <v>1.87164</v>
      </c>
      <c r="EG27">
        <v>1.86402</v>
      </c>
      <c r="EH27">
        <v>1.8656900000000001</v>
      </c>
      <c r="EI27">
        <v>1.8656200000000001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-0.30599999999999999</v>
      </c>
      <c r="EX27">
        <v>0.11600000000000001</v>
      </c>
      <c r="EY27">
        <v>2</v>
      </c>
      <c r="EZ27">
        <v>337.03899999999999</v>
      </c>
      <c r="FA27">
        <v>506.63400000000001</v>
      </c>
      <c r="FB27">
        <v>20.593299999999999</v>
      </c>
      <c r="FC27">
        <v>32.049500000000002</v>
      </c>
      <c r="FD27">
        <v>30.000699999999998</v>
      </c>
      <c r="FE27">
        <v>32.070599999999999</v>
      </c>
      <c r="FF27">
        <v>32.0792</v>
      </c>
      <c r="FG27">
        <v>38.229900000000001</v>
      </c>
      <c r="FH27">
        <v>43.015999999999998</v>
      </c>
      <c r="FI27">
        <v>0</v>
      </c>
      <c r="FJ27">
        <v>20.597999999999999</v>
      </c>
      <c r="FK27">
        <v>800</v>
      </c>
      <c r="FL27">
        <v>16.771599999999999</v>
      </c>
      <c r="FM27">
        <v>101.16800000000001</v>
      </c>
      <c r="FN27">
        <v>101.30500000000001</v>
      </c>
    </row>
    <row r="28" spans="1:170" x14ac:dyDescent="0.25">
      <c r="A28">
        <v>12</v>
      </c>
      <c r="B28">
        <v>1594999836</v>
      </c>
      <c r="C28">
        <v>1377.2000000476801</v>
      </c>
      <c r="D28" t="s">
        <v>338</v>
      </c>
      <c r="E28" t="s">
        <v>339</v>
      </c>
      <c r="G28">
        <v>1594999828.0064499</v>
      </c>
      <c r="H28">
        <f t="shared" si="0"/>
        <v>6.4889529602611754E-3</v>
      </c>
      <c r="I28">
        <f t="shared" si="1"/>
        <v>50.89801970210479</v>
      </c>
      <c r="J28">
        <f t="shared" si="2"/>
        <v>977.164290322581</v>
      </c>
      <c r="K28">
        <f t="shared" si="3"/>
        <v>744.76719296047816</v>
      </c>
      <c r="L28">
        <f t="shared" si="4"/>
        <v>74.420859185927725</v>
      </c>
      <c r="M28">
        <f t="shared" si="5"/>
        <v>97.643138337691028</v>
      </c>
      <c r="N28">
        <f t="shared" si="6"/>
        <v>0.41119595694473837</v>
      </c>
      <c r="O28">
        <f t="shared" si="7"/>
        <v>3.3943294134642388</v>
      </c>
      <c r="P28">
        <f t="shared" si="8"/>
        <v>0.38539120783597142</v>
      </c>
      <c r="Q28">
        <f t="shared" si="9"/>
        <v>0.24305288896101374</v>
      </c>
      <c r="R28">
        <f t="shared" si="10"/>
        <v>353.33470332313124</v>
      </c>
      <c r="S28">
        <f t="shared" si="11"/>
        <v>27.187165185233759</v>
      </c>
      <c r="T28">
        <f t="shared" si="12"/>
        <v>27.0205387096774</v>
      </c>
      <c r="U28">
        <f t="shared" si="13"/>
        <v>3.5834794685033304</v>
      </c>
      <c r="V28">
        <f t="shared" si="14"/>
        <v>54.92188675536871</v>
      </c>
      <c r="W28">
        <f t="shared" si="15"/>
        <v>1.9475749293396998</v>
      </c>
      <c r="X28">
        <f t="shared" si="16"/>
        <v>3.5460816159039199</v>
      </c>
      <c r="Y28">
        <f t="shared" si="17"/>
        <v>1.6359045391636307</v>
      </c>
      <c r="Z28">
        <f t="shared" si="18"/>
        <v>-286.16282554751785</v>
      </c>
      <c r="AA28">
        <f t="shared" si="19"/>
        <v>-32.670526157285678</v>
      </c>
      <c r="AB28">
        <f t="shared" si="20"/>
        <v>-2.0757671663059121</v>
      </c>
      <c r="AC28">
        <f t="shared" si="21"/>
        <v>32.425584452021781</v>
      </c>
      <c r="AD28">
        <v>-4.1359875980033399E-2</v>
      </c>
      <c r="AE28">
        <v>4.6430084111726298E-2</v>
      </c>
      <c r="AF28">
        <v>3.4669087491609201</v>
      </c>
      <c r="AG28">
        <v>145</v>
      </c>
      <c r="AH28">
        <v>29</v>
      </c>
      <c r="AI28">
        <f t="shared" si="22"/>
        <v>1</v>
      </c>
      <c r="AJ28">
        <f t="shared" si="23"/>
        <v>0</v>
      </c>
      <c r="AK28">
        <f t="shared" si="24"/>
        <v>52767.842719951565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340</v>
      </c>
      <c r="AS28">
        <v>251.20844</v>
      </c>
      <c r="AT28">
        <v>349.13400000000001</v>
      </c>
      <c r="AU28">
        <f t="shared" si="27"/>
        <v>0.28048130517222614</v>
      </c>
      <c r="AV28">
        <v>0.5</v>
      </c>
      <c r="AW28">
        <f t="shared" si="28"/>
        <v>1849.1717222897819</v>
      </c>
      <c r="AX28">
        <f t="shared" si="29"/>
        <v>50.89801970210479</v>
      </c>
      <c r="AY28">
        <f t="shared" si="30"/>
        <v>259.32904907770563</v>
      </c>
      <c r="AZ28">
        <f t="shared" si="31"/>
        <v>0.50941472328676096</v>
      </c>
      <c r="BA28">
        <f t="shared" si="32"/>
        <v>2.8065549065308441E-2</v>
      </c>
      <c r="BB28">
        <f t="shared" si="33"/>
        <v>-1</v>
      </c>
      <c r="BC28" t="s">
        <v>341</v>
      </c>
      <c r="BD28">
        <v>171.28</v>
      </c>
      <c r="BE28">
        <f t="shared" si="34"/>
        <v>177.85400000000001</v>
      </c>
      <c r="BF28">
        <f t="shared" si="35"/>
        <v>0.55059520730486811</v>
      </c>
      <c r="BG28">
        <f t="shared" si="36"/>
        <v>2.0383815973843999</v>
      </c>
      <c r="BH28">
        <f t="shared" si="37"/>
        <v>0.28048130517222619</v>
      </c>
      <c r="BI28" t="e">
        <f t="shared" si="38"/>
        <v>#DIV/0!</v>
      </c>
      <c r="BJ28">
        <v>4897</v>
      </c>
      <c r="BK28">
        <v>300</v>
      </c>
      <c r="BL28">
        <v>300</v>
      </c>
      <c r="BM28">
        <v>300</v>
      </c>
      <c r="BN28">
        <v>9866.83</v>
      </c>
      <c r="BO28">
        <v>320.43200000000002</v>
      </c>
      <c r="BP28">
        <v>-6.3997699999999999E-3</v>
      </c>
      <c r="BQ28">
        <v>1.8193699999999999</v>
      </c>
      <c r="BR28">
        <f t="shared" si="39"/>
        <v>2199.9841935483901</v>
      </c>
      <c r="BS28">
        <f t="shared" si="40"/>
        <v>1849.1717222897819</v>
      </c>
      <c r="BT28">
        <f t="shared" si="41"/>
        <v>0.84053864010141954</v>
      </c>
      <c r="BU28">
        <f t="shared" si="42"/>
        <v>0.19107728020283912</v>
      </c>
      <c r="BV28">
        <v>0.5</v>
      </c>
      <c r="BW28" t="s">
        <v>281</v>
      </c>
      <c r="BX28">
        <v>1594999828.0064499</v>
      </c>
      <c r="BY28">
        <v>977.164290322581</v>
      </c>
      <c r="BZ28">
        <v>1000.05703225806</v>
      </c>
      <c r="CA28">
        <v>19.490367741935501</v>
      </c>
      <c r="CB28">
        <v>16.945683870967699</v>
      </c>
      <c r="CC28">
        <v>500.060612903226</v>
      </c>
      <c r="CD28">
        <v>99.725038709677406</v>
      </c>
      <c r="CE28">
        <v>0.19995783870967701</v>
      </c>
      <c r="CF28">
        <v>26.8420064516129</v>
      </c>
      <c r="CG28">
        <v>27.0205387096774</v>
      </c>
      <c r="CH28">
        <v>999.9</v>
      </c>
      <c r="CI28">
        <v>10001.635806451601</v>
      </c>
      <c r="CJ28">
        <v>0</v>
      </c>
      <c r="CK28">
        <v>347.39448387096797</v>
      </c>
      <c r="CL28">
        <v>2199.9841935483901</v>
      </c>
      <c r="CM28">
        <v>0.982002516129032</v>
      </c>
      <c r="CN28">
        <v>1.7997658064516101E-2</v>
      </c>
      <c r="CO28">
        <v>0</v>
      </c>
      <c r="CP28">
        <v>251.23748387096799</v>
      </c>
      <c r="CQ28">
        <v>5.00054</v>
      </c>
      <c r="CR28">
        <v>8100.5</v>
      </c>
      <c r="CS28">
        <v>20590.400000000001</v>
      </c>
      <c r="CT28">
        <v>48.878999999999998</v>
      </c>
      <c r="CU28">
        <v>49.257935483871002</v>
      </c>
      <c r="CV28">
        <v>48.8</v>
      </c>
      <c r="CW28">
        <v>48.634999999999998</v>
      </c>
      <c r="CX28">
        <v>50.146999999999998</v>
      </c>
      <c r="CY28">
        <v>2155.4841935483901</v>
      </c>
      <c r="CZ28">
        <v>39.5</v>
      </c>
      <c r="DA28">
        <v>0</v>
      </c>
      <c r="DB28">
        <v>125.5</v>
      </c>
      <c r="DC28">
        <v>251.20844</v>
      </c>
      <c r="DD28">
        <v>-1.5385384622676599</v>
      </c>
      <c r="DE28">
        <v>-63.1976923892895</v>
      </c>
      <c r="DF28">
        <v>8099.5007999999998</v>
      </c>
      <c r="DG28">
        <v>15</v>
      </c>
      <c r="DH28">
        <v>1594999860.0999999</v>
      </c>
      <c r="DI28" t="s">
        <v>342</v>
      </c>
      <c r="DJ28">
        <v>12</v>
      </c>
      <c r="DK28">
        <v>0.112</v>
      </c>
      <c r="DL28">
        <v>0.11700000000000001</v>
      </c>
      <c r="DM28">
        <v>1000</v>
      </c>
      <c r="DN28">
        <v>17</v>
      </c>
      <c r="DO28">
        <v>0.13</v>
      </c>
      <c r="DP28">
        <v>0.03</v>
      </c>
      <c r="DQ28">
        <v>976.71717647058802</v>
      </c>
      <c r="DR28">
        <v>0.24141006181273</v>
      </c>
      <c r="DS28">
        <v>5.0181515963609299E-2</v>
      </c>
      <c r="DT28">
        <v>1</v>
      </c>
      <c r="DU28">
        <v>19.4885764705882</v>
      </c>
      <c r="DV28">
        <v>7.8011544708999703E-3</v>
      </c>
      <c r="DW28">
        <v>1.4332998037976099E-3</v>
      </c>
      <c r="DX28">
        <v>1</v>
      </c>
      <c r="DY28">
        <v>2</v>
      </c>
      <c r="DZ28">
        <v>2</v>
      </c>
      <c r="EA28" t="s">
        <v>283</v>
      </c>
      <c r="EB28">
        <v>1.86676</v>
      </c>
      <c r="EC28">
        <v>1.86328</v>
      </c>
      <c r="ED28">
        <v>1.86896</v>
      </c>
      <c r="EE28">
        <v>1.8669100000000001</v>
      </c>
      <c r="EF28">
        <v>1.8716299999999999</v>
      </c>
      <c r="EG28">
        <v>1.86402</v>
      </c>
      <c r="EH28">
        <v>1.86565</v>
      </c>
      <c r="EI28">
        <v>1.86554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0.112</v>
      </c>
      <c r="EX28">
        <v>0.11700000000000001</v>
      </c>
      <c r="EY28">
        <v>2</v>
      </c>
      <c r="EZ28">
        <v>336.45299999999997</v>
      </c>
      <c r="FA28">
        <v>504.428</v>
      </c>
      <c r="FB28">
        <v>19.738600000000002</v>
      </c>
      <c r="FC28">
        <v>32.286900000000003</v>
      </c>
      <c r="FD28">
        <v>30.000599999999999</v>
      </c>
      <c r="FE28">
        <v>32.242699999999999</v>
      </c>
      <c r="FF28">
        <v>32.241999999999997</v>
      </c>
      <c r="FG28">
        <v>45.787100000000002</v>
      </c>
      <c r="FH28">
        <v>43.263100000000001</v>
      </c>
      <c r="FI28">
        <v>0</v>
      </c>
      <c r="FJ28">
        <v>19.741399999999999</v>
      </c>
      <c r="FK28">
        <v>1000</v>
      </c>
      <c r="FL28">
        <v>16.952999999999999</v>
      </c>
      <c r="FM28">
        <v>101.117</v>
      </c>
      <c r="FN28">
        <v>101.255</v>
      </c>
    </row>
    <row r="29" spans="1:170" x14ac:dyDescent="0.25">
      <c r="A29">
        <v>13</v>
      </c>
      <c r="B29">
        <v>1594999951.5</v>
      </c>
      <c r="C29">
        <v>1492.7000000476801</v>
      </c>
      <c r="D29" t="s">
        <v>343</v>
      </c>
      <c r="E29" t="s">
        <v>344</v>
      </c>
      <c r="G29">
        <v>1594999943.5580599</v>
      </c>
      <c r="H29">
        <f t="shared" si="0"/>
        <v>6.6504446626297576E-3</v>
      </c>
      <c r="I29">
        <f t="shared" si="1"/>
        <v>50.255372066653329</v>
      </c>
      <c r="J29">
        <f t="shared" si="2"/>
        <v>1176.73848387097</v>
      </c>
      <c r="K29">
        <f t="shared" si="3"/>
        <v>945.54938028059394</v>
      </c>
      <c r="L29">
        <f t="shared" si="4"/>
        <v>94.490276694692056</v>
      </c>
      <c r="M29">
        <f t="shared" si="5"/>
        <v>117.59337720179605</v>
      </c>
      <c r="N29">
        <f t="shared" si="6"/>
        <v>0.41987462002864279</v>
      </c>
      <c r="O29">
        <f t="shared" si="7"/>
        <v>3.3950345441235967</v>
      </c>
      <c r="P29">
        <f t="shared" si="8"/>
        <v>0.3930124813312868</v>
      </c>
      <c r="Q29">
        <f t="shared" si="9"/>
        <v>0.24790290794827263</v>
      </c>
      <c r="R29">
        <f t="shared" si="10"/>
        <v>353.3325963371887</v>
      </c>
      <c r="S29">
        <f t="shared" si="11"/>
        <v>27.070955817761476</v>
      </c>
      <c r="T29">
        <f t="shared" si="12"/>
        <v>27.009648387096799</v>
      </c>
      <c r="U29">
        <f t="shared" si="13"/>
        <v>3.581188409999156</v>
      </c>
      <c r="V29">
        <f t="shared" si="14"/>
        <v>54.875966058739301</v>
      </c>
      <c r="W29">
        <f t="shared" si="15"/>
        <v>1.9368616687785036</v>
      </c>
      <c r="X29">
        <f t="shared" si="16"/>
        <v>3.529526326161228</v>
      </c>
      <c r="Y29">
        <f t="shared" si="17"/>
        <v>1.6443267412206524</v>
      </c>
      <c r="Z29">
        <f t="shared" si="18"/>
        <v>-293.28460962197232</v>
      </c>
      <c r="AA29">
        <f t="shared" si="19"/>
        <v>-45.245782899137915</v>
      </c>
      <c r="AB29">
        <f t="shared" si="20"/>
        <v>-2.8728567814324357</v>
      </c>
      <c r="AC29">
        <f t="shared" si="21"/>
        <v>11.929347034646007</v>
      </c>
      <c r="AD29">
        <v>-4.1370799080720097E-2</v>
      </c>
      <c r="AE29">
        <v>4.6442346249163401E-2</v>
      </c>
      <c r="AF29">
        <v>3.4676330479481501</v>
      </c>
      <c r="AG29">
        <v>145</v>
      </c>
      <c r="AH29">
        <v>29</v>
      </c>
      <c r="AI29">
        <f t="shared" si="22"/>
        <v>1</v>
      </c>
      <c r="AJ29">
        <f t="shared" si="23"/>
        <v>0</v>
      </c>
      <c r="AK29">
        <f t="shared" si="24"/>
        <v>52795.360017482941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345</v>
      </c>
      <c r="AS29">
        <v>249.96276</v>
      </c>
      <c r="AT29">
        <v>337.78399999999999</v>
      </c>
      <c r="AU29">
        <f t="shared" si="27"/>
        <v>0.25999230277336993</v>
      </c>
      <c r="AV29">
        <v>0.5</v>
      </c>
      <c r="AW29">
        <f t="shared" si="28"/>
        <v>1849.1603711981477</v>
      </c>
      <c r="AX29">
        <f t="shared" si="29"/>
        <v>50.255372066653329</v>
      </c>
      <c r="AY29">
        <f t="shared" si="30"/>
        <v>240.38373155253296</v>
      </c>
      <c r="AZ29">
        <f t="shared" si="31"/>
        <v>0.48564763280676404</v>
      </c>
      <c r="BA29">
        <f t="shared" si="32"/>
        <v>2.7718186515884962E-2</v>
      </c>
      <c r="BB29">
        <f t="shared" si="33"/>
        <v>-1</v>
      </c>
      <c r="BC29" t="s">
        <v>346</v>
      </c>
      <c r="BD29">
        <v>173.74</v>
      </c>
      <c r="BE29">
        <f t="shared" si="34"/>
        <v>164.04399999999998</v>
      </c>
      <c r="BF29">
        <f t="shared" si="35"/>
        <v>0.53535173490039256</v>
      </c>
      <c r="BG29">
        <f t="shared" si="36"/>
        <v>1.9441924715091514</v>
      </c>
      <c r="BH29">
        <f t="shared" si="37"/>
        <v>0.25999230277336993</v>
      </c>
      <c r="BI29" t="e">
        <f t="shared" si="38"/>
        <v>#DIV/0!</v>
      </c>
      <c r="BJ29">
        <v>4899</v>
      </c>
      <c r="BK29">
        <v>300</v>
      </c>
      <c r="BL29">
        <v>300</v>
      </c>
      <c r="BM29">
        <v>300</v>
      </c>
      <c r="BN29">
        <v>9866.33</v>
      </c>
      <c r="BO29">
        <v>314.08300000000003</v>
      </c>
      <c r="BP29">
        <v>-6.3992900000000002E-3</v>
      </c>
      <c r="BQ29">
        <v>2.1063499999999999</v>
      </c>
      <c r="BR29">
        <f t="shared" si="39"/>
        <v>2199.9706451612901</v>
      </c>
      <c r="BS29">
        <f t="shared" si="40"/>
        <v>1849.1603711981477</v>
      </c>
      <c r="BT29">
        <f t="shared" si="41"/>
        <v>0.84053865685220408</v>
      </c>
      <c r="BU29">
        <f t="shared" si="42"/>
        <v>0.19107731370440836</v>
      </c>
      <c r="BV29">
        <v>0.5</v>
      </c>
      <c r="BW29" t="s">
        <v>281</v>
      </c>
      <c r="BX29">
        <v>1594999943.5580599</v>
      </c>
      <c r="BY29">
        <v>1176.73848387097</v>
      </c>
      <c r="BZ29">
        <v>1199.9683870967699</v>
      </c>
      <c r="CA29">
        <v>19.3818709677419</v>
      </c>
      <c r="CB29">
        <v>16.773541935483902</v>
      </c>
      <c r="CC29">
        <v>500.05551612903201</v>
      </c>
      <c r="CD29">
        <v>99.731664516129001</v>
      </c>
      <c r="CE29">
        <v>0.199950548387097</v>
      </c>
      <c r="CF29">
        <v>26.7624483870968</v>
      </c>
      <c r="CG29">
        <v>27.009648387096799</v>
      </c>
      <c r="CH29">
        <v>999.9</v>
      </c>
      <c r="CI29">
        <v>10003.6125806452</v>
      </c>
      <c r="CJ29">
        <v>0</v>
      </c>
      <c r="CK29">
        <v>337.02622580645198</v>
      </c>
      <c r="CL29">
        <v>2199.9706451612901</v>
      </c>
      <c r="CM29">
        <v>0.982002516129032</v>
      </c>
      <c r="CN29">
        <v>1.7997658064516101E-2</v>
      </c>
      <c r="CO29">
        <v>0</v>
      </c>
      <c r="CP29">
        <v>250.011387096774</v>
      </c>
      <c r="CQ29">
        <v>5.00054</v>
      </c>
      <c r="CR29">
        <v>8345.0274193548394</v>
      </c>
      <c r="CS29">
        <v>20590.2612903226</v>
      </c>
      <c r="CT29">
        <v>49.060032258064503</v>
      </c>
      <c r="CU29">
        <v>49.5561935483871</v>
      </c>
      <c r="CV29">
        <v>49.054000000000002</v>
      </c>
      <c r="CW29">
        <v>48.908999999999999</v>
      </c>
      <c r="CX29">
        <v>50.342548387096798</v>
      </c>
      <c r="CY29">
        <v>2155.4687096774201</v>
      </c>
      <c r="CZ29">
        <v>39.500967741935497</v>
      </c>
      <c r="DA29">
        <v>0</v>
      </c>
      <c r="DB29">
        <v>114.799999952316</v>
      </c>
      <c r="DC29">
        <v>249.96276</v>
      </c>
      <c r="DD29">
        <v>-1.5333076807696799</v>
      </c>
      <c r="DE29">
        <v>-1168.6538497987999</v>
      </c>
      <c r="DF29">
        <v>8327.9015999999992</v>
      </c>
      <c r="DG29">
        <v>15</v>
      </c>
      <c r="DH29">
        <v>1594999984</v>
      </c>
      <c r="DI29" t="s">
        <v>347</v>
      </c>
      <c r="DJ29">
        <v>13</v>
      </c>
      <c r="DK29">
        <v>-1.4999999999999999E-2</v>
      </c>
      <c r="DL29">
        <v>0.111</v>
      </c>
      <c r="DM29">
        <v>1200</v>
      </c>
      <c r="DN29">
        <v>17</v>
      </c>
      <c r="DO29">
        <v>0.14000000000000001</v>
      </c>
      <c r="DP29">
        <v>0.04</v>
      </c>
      <c r="DQ29">
        <v>1176.8539215686301</v>
      </c>
      <c r="DR29">
        <v>0.156480306091759</v>
      </c>
      <c r="DS29">
        <v>3.1064665721135299E-2</v>
      </c>
      <c r="DT29">
        <v>1</v>
      </c>
      <c r="DU29">
        <v>19.388658823529401</v>
      </c>
      <c r="DV29">
        <v>-7.4793169074447398E-3</v>
      </c>
      <c r="DW29">
        <v>1.05722100952245E-3</v>
      </c>
      <c r="DX29">
        <v>1</v>
      </c>
      <c r="DY29">
        <v>2</v>
      </c>
      <c r="DZ29">
        <v>2</v>
      </c>
      <c r="EA29" t="s">
        <v>283</v>
      </c>
      <c r="EB29">
        <v>1.86676</v>
      </c>
      <c r="EC29">
        <v>1.86327</v>
      </c>
      <c r="ED29">
        <v>1.8689800000000001</v>
      </c>
      <c r="EE29">
        <v>1.8669100000000001</v>
      </c>
      <c r="EF29">
        <v>1.8716299999999999</v>
      </c>
      <c r="EG29">
        <v>1.8640300000000001</v>
      </c>
      <c r="EH29">
        <v>1.8656699999999999</v>
      </c>
      <c r="EI29">
        <v>1.86554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-1.4999999999999999E-2</v>
      </c>
      <c r="EX29">
        <v>0.111</v>
      </c>
      <c r="EY29">
        <v>2</v>
      </c>
      <c r="EZ29">
        <v>336.27499999999998</v>
      </c>
      <c r="FA29">
        <v>503.029</v>
      </c>
      <c r="FB29">
        <v>20.197500000000002</v>
      </c>
      <c r="FC29">
        <v>32.517400000000002</v>
      </c>
      <c r="FD29">
        <v>30.000900000000001</v>
      </c>
      <c r="FE29">
        <v>32.434600000000003</v>
      </c>
      <c r="FF29">
        <v>32.424199999999999</v>
      </c>
      <c r="FG29">
        <v>53.036700000000003</v>
      </c>
      <c r="FH29">
        <v>44.249000000000002</v>
      </c>
      <c r="FI29">
        <v>0</v>
      </c>
      <c r="FJ29">
        <v>20.188800000000001</v>
      </c>
      <c r="FK29">
        <v>1200</v>
      </c>
      <c r="FL29">
        <v>16.747499999999999</v>
      </c>
      <c r="FM29">
        <v>101.078</v>
      </c>
      <c r="FN29">
        <v>101.21599999999999</v>
      </c>
    </row>
    <row r="30" spans="1:170" x14ac:dyDescent="0.25">
      <c r="A30">
        <v>14</v>
      </c>
      <c r="B30">
        <v>1595000105.5999999</v>
      </c>
      <c r="C30">
        <v>1646.7999999523199</v>
      </c>
      <c r="D30" t="s">
        <v>348</v>
      </c>
      <c r="E30" t="s">
        <v>349</v>
      </c>
      <c r="G30">
        <v>1595000097.5580599</v>
      </c>
      <c r="H30">
        <f t="shared" si="0"/>
        <v>6.2120435797199417E-3</v>
      </c>
      <c r="I30">
        <f t="shared" si="1"/>
        <v>49.586030677282182</v>
      </c>
      <c r="J30">
        <f t="shared" si="2"/>
        <v>1576.2484516129</v>
      </c>
      <c r="K30">
        <f t="shared" si="3"/>
        <v>1329.9549398761621</v>
      </c>
      <c r="L30">
        <f t="shared" si="4"/>
        <v>132.91115317903308</v>
      </c>
      <c r="M30">
        <f t="shared" si="5"/>
        <v>157.52488533186198</v>
      </c>
      <c r="N30">
        <f t="shared" si="6"/>
        <v>0.40210434234265879</v>
      </c>
      <c r="O30">
        <f t="shared" si="7"/>
        <v>3.3986672601306531</v>
      </c>
      <c r="P30">
        <f t="shared" si="8"/>
        <v>0.37742074989947888</v>
      </c>
      <c r="Q30">
        <f t="shared" si="9"/>
        <v>0.23797931713143575</v>
      </c>
      <c r="R30">
        <f t="shared" si="10"/>
        <v>353.34120838491862</v>
      </c>
      <c r="S30">
        <f t="shared" si="11"/>
        <v>26.709237624674259</v>
      </c>
      <c r="T30">
        <f t="shared" si="12"/>
        <v>26.7065451612903</v>
      </c>
      <c r="U30">
        <f t="shared" si="13"/>
        <v>3.5179337905805266</v>
      </c>
      <c r="V30">
        <f t="shared" si="14"/>
        <v>55.831546962267744</v>
      </c>
      <c r="W30">
        <f t="shared" si="15"/>
        <v>1.9177914231666942</v>
      </c>
      <c r="X30">
        <f t="shared" si="16"/>
        <v>3.4349602106901713</v>
      </c>
      <c r="Y30">
        <f t="shared" si="17"/>
        <v>1.6001423674138324</v>
      </c>
      <c r="Z30">
        <f t="shared" si="18"/>
        <v>-273.95112186564944</v>
      </c>
      <c r="AA30">
        <f t="shared" si="19"/>
        <v>-74.187628399585051</v>
      </c>
      <c r="AB30">
        <f t="shared" si="20"/>
        <v>-4.6875138305337112</v>
      </c>
      <c r="AC30">
        <f t="shared" si="21"/>
        <v>0.51494428915042079</v>
      </c>
      <c r="AD30">
        <v>-4.1427089329418701E-2</v>
      </c>
      <c r="AE30">
        <v>4.6505536984624098E-2</v>
      </c>
      <c r="AF30">
        <v>3.4713645434790799</v>
      </c>
      <c r="AG30">
        <v>146</v>
      </c>
      <c r="AH30">
        <v>29</v>
      </c>
      <c r="AI30">
        <f t="shared" si="22"/>
        <v>1</v>
      </c>
      <c r="AJ30">
        <f t="shared" si="23"/>
        <v>0</v>
      </c>
      <c r="AK30">
        <f t="shared" si="24"/>
        <v>52945.734915319255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350</v>
      </c>
      <c r="AS30">
        <v>249.75380000000001</v>
      </c>
      <c r="AT30">
        <v>333.09800000000001</v>
      </c>
      <c r="AU30">
        <f t="shared" si="27"/>
        <v>0.25020924772889663</v>
      </c>
      <c r="AV30">
        <v>0.5</v>
      </c>
      <c r="AW30">
        <f t="shared" si="28"/>
        <v>1849.2058739026875</v>
      </c>
      <c r="AX30">
        <f t="shared" si="29"/>
        <v>49.586030677282182</v>
      </c>
      <c r="AY30">
        <f t="shared" si="30"/>
        <v>231.34420530252416</v>
      </c>
      <c r="AZ30">
        <f t="shared" si="31"/>
        <v>0.48861896498928242</v>
      </c>
      <c r="BA30">
        <f t="shared" si="32"/>
        <v>2.7355542933963348E-2</v>
      </c>
      <c r="BB30">
        <f t="shared" si="33"/>
        <v>-1</v>
      </c>
      <c r="BC30" t="s">
        <v>351</v>
      </c>
      <c r="BD30">
        <v>170.34</v>
      </c>
      <c r="BE30">
        <f t="shared" si="34"/>
        <v>162.75800000000001</v>
      </c>
      <c r="BF30">
        <f t="shared" si="35"/>
        <v>0.51207436808021722</v>
      </c>
      <c r="BG30">
        <f t="shared" si="36"/>
        <v>1.9554890219560879</v>
      </c>
      <c r="BH30">
        <f t="shared" si="37"/>
        <v>0.25020924772889658</v>
      </c>
      <c r="BI30" t="e">
        <f t="shared" si="38"/>
        <v>#DIV/0!</v>
      </c>
      <c r="BJ30">
        <v>4901</v>
      </c>
      <c r="BK30">
        <v>300</v>
      </c>
      <c r="BL30">
        <v>300</v>
      </c>
      <c r="BM30">
        <v>300</v>
      </c>
      <c r="BN30">
        <v>9866.0300000000007</v>
      </c>
      <c r="BO30">
        <v>308.06900000000002</v>
      </c>
      <c r="BP30">
        <v>-6.3988600000000001E-3</v>
      </c>
      <c r="BQ30">
        <v>0.85726899999999995</v>
      </c>
      <c r="BR30">
        <f t="shared" si="39"/>
        <v>2200.0248387096799</v>
      </c>
      <c r="BS30">
        <f t="shared" si="40"/>
        <v>1849.2058739026875</v>
      </c>
      <c r="BT30">
        <f t="shared" si="41"/>
        <v>0.8405386345488951</v>
      </c>
      <c r="BU30">
        <f t="shared" si="42"/>
        <v>0.19107726909779046</v>
      </c>
      <c r="BV30">
        <v>0.5</v>
      </c>
      <c r="BW30" t="s">
        <v>281</v>
      </c>
      <c r="BX30">
        <v>1595000097.5580599</v>
      </c>
      <c r="BY30">
        <v>1576.2484516129</v>
      </c>
      <c r="BZ30">
        <v>1599.99677419355</v>
      </c>
      <c r="CA30">
        <v>19.190083870967701</v>
      </c>
      <c r="CB30">
        <v>16.753235483870998</v>
      </c>
      <c r="CC30">
        <v>500.058516129032</v>
      </c>
      <c r="CD30">
        <v>99.7366064516129</v>
      </c>
      <c r="CE30">
        <v>0.19997725806451599</v>
      </c>
      <c r="CF30">
        <v>26.301654838709698</v>
      </c>
      <c r="CG30">
        <v>26.7065451612903</v>
      </c>
      <c r="CH30">
        <v>999.9</v>
      </c>
      <c r="CI30">
        <v>10016.7274193548</v>
      </c>
      <c r="CJ30">
        <v>0</v>
      </c>
      <c r="CK30">
        <v>271.51738709677397</v>
      </c>
      <c r="CL30">
        <v>2200.0248387096799</v>
      </c>
      <c r="CM30">
        <v>0.98200419354838697</v>
      </c>
      <c r="CN30">
        <v>1.7995896774193498E-2</v>
      </c>
      <c r="CO30">
        <v>0</v>
      </c>
      <c r="CP30">
        <v>249.74703225806499</v>
      </c>
      <c r="CQ30">
        <v>5.00054</v>
      </c>
      <c r="CR30">
        <v>7788.9693548387104</v>
      </c>
      <c r="CS30">
        <v>20590.770967741901</v>
      </c>
      <c r="CT30">
        <v>49.311999999999998</v>
      </c>
      <c r="CU30">
        <v>49.808</v>
      </c>
      <c r="CV30">
        <v>49.320129032258002</v>
      </c>
      <c r="CW30">
        <v>49.173032258064502</v>
      </c>
      <c r="CX30">
        <v>50.55</v>
      </c>
      <c r="CY30">
        <v>2155.52451612903</v>
      </c>
      <c r="CZ30">
        <v>39.500322580645197</v>
      </c>
      <c r="DA30">
        <v>0</v>
      </c>
      <c r="DB30">
        <v>153.5</v>
      </c>
      <c r="DC30">
        <v>249.75380000000001</v>
      </c>
      <c r="DD30">
        <v>1.93076810757314E-2</v>
      </c>
      <c r="DE30">
        <v>1179.5984624416701</v>
      </c>
      <c r="DF30">
        <v>7817.0659999999998</v>
      </c>
      <c r="DG30">
        <v>15</v>
      </c>
      <c r="DH30">
        <v>1595000133.5999999</v>
      </c>
      <c r="DI30" t="s">
        <v>352</v>
      </c>
      <c r="DJ30">
        <v>14</v>
      </c>
      <c r="DK30">
        <v>-0.113</v>
      </c>
      <c r="DL30">
        <v>0.10299999999999999</v>
      </c>
      <c r="DM30">
        <v>1600</v>
      </c>
      <c r="DN30">
        <v>16</v>
      </c>
      <c r="DO30">
        <v>0.11</v>
      </c>
      <c r="DP30">
        <v>0.03</v>
      </c>
      <c r="DQ30">
        <v>1576.3178431372501</v>
      </c>
      <c r="DR30">
        <v>0.13783014887627101</v>
      </c>
      <c r="DS30">
        <v>0.13269918399633901</v>
      </c>
      <c r="DT30">
        <v>1</v>
      </c>
      <c r="DU30">
        <v>19.103398039215701</v>
      </c>
      <c r="DV30">
        <v>1.12008238688504</v>
      </c>
      <c r="DW30">
        <v>0.15307056618255999</v>
      </c>
      <c r="DX30">
        <v>0</v>
      </c>
      <c r="DY30">
        <v>1</v>
      </c>
      <c r="DZ30">
        <v>2</v>
      </c>
      <c r="EA30" t="s">
        <v>353</v>
      </c>
      <c r="EB30">
        <v>1.8668499999999999</v>
      </c>
      <c r="EC30">
        <v>1.86338</v>
      </c>
      <c r="ED30">
        <v>1.86903</v>
      </c>
      <c r="EE30">
        <v>1.8669100000000001</v>
      </c>
      <c r="EF30">
        <v>1.87164</v>
      </c>
      <c r="EG30">
        <v>1.8641000000000001</v>
      </c>
      <c r="EH30">
        <v>1.8656900000000001</v>
      </c>
      <c r="EI30">
        <v>1.8655999999999999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-0.113</v>
      </c>
      <c r="EX30">
        <v>0.10299999999999999</v>
      </c>
      <c r="EY30">
        <v>2</v>
      </c>
      <c r="EZ30">
        <v>335.71100000000001</v>
      </c>
      <c r="FA30">
        <v>501.20800000000003</v>
      </c>
      <c r="FB30">
        <v>19.917999999999999</v>
      </c>
      <c r="FC30">
        <v>32.794199999999996</v>
      </c>
      <c r="FD30">
        <v>29.998100000000001</v>
      </c>
      <c r="FE30">
        <v>32.676900000000003</v>
      </c>
      <c r="FF30">
        <v>32.659599999999998</v>
      </c>
      <c r="FG30">
        <v>66.709500000000006</v>
      </c>
      <c r="FH30">
        <v>46.083599999999997</v>
      </c>
      <c r="FI30">
        <v>0</v>
      </c>
      <c r="FJ30">
        <v>20.143000000000001</v>
      </c>
      <c r="FK30">
        <v>1600</v>
      </c>
      <c r="FL30">
        <v>16.258900000000001</v>
      </c>
      <c r="FM30">
        <v>101.044</v>
      </c>
      <c r="FN30">
        <v>101.179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2020-07-17T10:35:55Z</dcterms:created>
  <dcterms:modified xsi:type="dcterms:W3CDTF">2024-11-20T09:00:54Z</dcterms:modified>
</cp:coreProperties>
</file>