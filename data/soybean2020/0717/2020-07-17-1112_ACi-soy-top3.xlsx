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17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J30" i="1" s="1"/>
  <c r="X30" i="1"/>
  <c r="W30" i="1"/>
  <c r="V30" i="1" s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M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J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X27" i="1"/>
  <c r="W27" i="1"/>
  <c r="V27" i="1"/>
  <c r="O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W25" i="1"/>
  <c r="AU25" i="1"/>
  <c r="AY25" i="1" s="1"/>
  <c r="AO25" i="1"/>
  <c r="AP25" i="1" s="1"/>
  <c r="AK25" i="1"/>
  <c r="AI25" i="1"/>
  <c r="M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I24" i="1" s="1"/>
  <c r="AX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I23" i="1" s="1"/>
  <c r="AX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P22" i="1"/>
  <c r="AO22" i="1"/>
  <c r="AK22" i="1"/>
  <c r="AI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/>
  <c r="AJ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R22" i="1" l="1"/>
  <c r="AW22" i="1"/>
  <c r="R29" i="1"/>
  <c r="AW29" i="1"/>
  <c r="J27" i="1"/>
  <c r="I27" i="1"/>
  <c r="AX27" i="1" s="1"/>
  <c r="H27" i="1"/>
  <c r="AJ27" i="1"/>
  <c r="M27" i="1"/>
  <c r="AW20" i="1"/>
  <c r="AY20" i="1" s="1"/>
  <c r="R20" i="1"/>
  <c r="AW27" i="1"/>
  <c r="AY27" i="1" s="1"/>
  <c r="R27" i="1"/>
  <c r="AY29" i="1"/>
  <c r="AW18" i="1"/>
  <c r="AY18" i="1" s="1"/>
  <c r="R18" i="1"/>
  <c r="R21" i="1"/>
  <c r="AW21" i="1"/>
  <c r="AY21" i="1" s="1"/>
  <c r="AY30" i="1"/>
  <c r="BA17" i="1"/>
  <c r="AW30" i="1"/>
  <c r="R30" i="1"/>
  <c r="R17" i="1"/>
  <c r="AW17" i="1"/>
  <c r="S25" i="1"/>
  <c r="T25" i="1" s="1"/>
  <c r="R24" i="1"/>
  <c r="AW24" i="1"/>
  <c r="BA24" i="1" s="1"/>
  <c r="J22" i="1"/>
  <c r="M22" i="1"/>
  <c r="I22" i="1"/>
  <c r="AX22" i="1" s="1"/>
  <c r="BA22" i="1" s="1"/>
  <c r="H22" i="1"/>
  <c r="AJ22" i="1"/>
  <c r="R19" i="1"/>
  <c r="AW19" i="1"/>
  <c r="AY19" i="1" s="1"/>
  <c r="AY17" i="1"/>
  <c r="BA23" i="1"/>
  <c r="R28" i="1"/>
  <c r="AW28" i="1"/>
  <c r="AY28" i="1" s="1"/>
  <c r="I26" i="1"/>
  <c r="AX26" i="1" s="1"/>
  <c r="AJ26" i="1"/>
  <c r="J26" i="1"/>
  <c r="M26" i="1"/>
  <c r="H26" i="1"/>
  <c r="AY22" i="1"/>
  <c r="R23" i="1"/>
  <c r="AW23" i="1"/>
  <c r="AY23" i="1" s="1"/>
  <c r="AW26" i="1"/>
  <c r="AY26" i="1" s="1"/>
  <c r="R26" i="1"/>
  <c r="I21" i="1"/>
  <c r="AX21" i="1" s="1"/>
  <c r="AJ20" i="1"/>
  <c r="I30" i="1"/>
  <c r="AX30" i="1" s="1"/>
  <c r="BA30" i="1" s="1"/>
  <c r="H29" i="1"/>
  <c r="I29" i="1"/>
  <c r="AX29" i="1" s="1"/>
  <c r="BA29" i="1" s="1"/>
  <c r="J24" i="1"/>
  <c r="AJ23" i="1"/>
  <c r="H23" i="1"/>
  <c r="I18" i="1"/>
  <c r="AX18" i="1" s="1"/>
  <c r="BA18" i="1" s="1"/>
  <c r="J23" i="1"/>
  <c r="J21" i="1"/>
  <c r="AJ30" i="1"/>
  <c r="AJ25" i="1"/>
  <c r="H25" i="1"/>
  <c r="I25" i="1"/>
  <c r="AX25" i="1" s="1"/>
  <c r="BA25" i="1" s="1"/>
  <c r="I20" i="1"/>
  <c r="AX20" i="1" s="1"/>
  <c r="J25" i="1"/>
  <c r="J20" i="1"/>
  <c r="H24" i="1"/>
  <c r="J29" i="1"/>
  <c r="AJ28" i="1"/>
  <c r="H28" i="1"/>
  <c r="J18" i="1"/>
  <c r="H20" i="1"/>
  <c r="J19" i="1"/>
  <c r="M24" i="1"/>
  <c r="I28" i="1"/>
  <c r="AX28" i="1" s="1"/>
  <c r="BA28" i="1" s="1"/>
  <c r="M28" i="1"/>
  <c r="AJ24" i="1"/>
  <c r="M30" i="1"/>
  <c r="H19" i="1"/>
  <c r="AJ17" i="1"/>
  <c r="M23" i="1"/>
  <c r="AJ21" i="1"/>
  <c r="H21" i="1"/>
  <c r="H30" i="1"/>
  <c r="AJ29" i="1"/>
  <c r="I19" i="1"/>
  <c r="AX19" i="1" s="1"/>
  <c r="H18" i="1"/>
  <c r="H17" i="1"/>
  <c r="M18" i="1"/>
  <c r="AJ19" i="1"/>
  <c r="Z19" i="1" l="1"/>
  <c r="Z20" i="1"/>
  <c r="BA27" i="1"/>
  <c r="Z26" i="1"/>
  <c r="S17" i="1"/>
  <c r="T17" i="1" s="1"/>
  <c r="S18" i="1"/>
  <c r="T18" i="1" s="1"/>
  <c r="P29" i="1"/>
  <c r="N29" i="1" s="1"/>
  <c r="Q29" i="1" s="1"/>
  <c r="K29" i="1" s="1"/>
  <c r="L29" i="1" s="1"/>
  <c r="Z29" i="1"/>
  <c r="BA21" i="1"/>
  <c r="S26" i="1"/>
  <c r="T26" i="1" s="1"/>
  <c r="Z27" i="1"/>
  <c r="S19" i="1"/>
  <c r="T19" i="1" s="1"/>
  <c r="S27" i="1"/>
  <c r="T27" i="1" s="1"/>
  <c r="S20" i="1"/>
  <c r="T20" i="1" s="1"/>
  <c r="BA20" i="1"/>
  <c r="AY24" i="1"/>
  <c r="S23" i="1"/>
  <c r="T23" i="1" s="1"/>
  <c r="S24" i="1"/>
  <c r="T24" i="1" s="1"/>
  <c r="P24" i="1" s="1"/>
  <c r="N24" i="1" s="1"/>
  <c r="Q24" i="1" s="1"/>
  <c r="K24" i="1" s="1"/>
  <c r="L24" i="1" s="1"/>
  <c r="BA19" i="1"/>
  <c r="S21" i="1"/>
  <c r="T21" i="1" s="1"/>
  <c r="U25" i="1"/>
  <c r="Y25" i="1" s="1"/>
  <c r="AA25" i="1"/>
  <c r="AB25" i="1"/>
  <c r="AC25" i="1" s="1"/>
  <c r="Z18" i="1"/>
  <c r="P18" i="1"/>
  <c r="N18" i="1" s="1"/>
  <c r="Q18" i="1" s="1"/>
  <c r="K18" i="1" s="1"/>
  <c r="L18" i="1" s="1"/>
  <c r="BA26" i="1"/>
  <c r="S30" i="1"/>
  <c r="T30" i="1" s="1"/>
  <c r="S22" i="1"/>
  <c r="T22" i="1" s="1"/>
  <c r="S28" i="1"/>
  <c r="T28" i="1" s="1"/>
  <c r="Z23" i="1"/>
  <c r="P23" i="1"/>
  <c r="N23" i="1" s="1"/>
  <c r="Q23" i="1" s="1"/>
  <c r="K23" i="1" s="1"/>
  <c r="L23" i="1" s="1"/>
  <c r="Z22" i="1"/>
  <c r="Z28" i="1"/>
  <c r="Z24" i="1"/>
  <c r="Z17" i="1"/>
  <c r="S29" i="1"/>
  <c r="T29" i="1" s="1"/>
  <c r="P25" i="1"/>
  <c r="N25" i="1" s="1"/>
  <c r="Q25" i="1" s="1"/>
  <c r="K25" i="1" s="1"/>
  <c r="L25" i="1" s="1"/>
  <c r="Z25" i="1"/>
  <c r="Z30" i="1"/>
  <c r="Z21" i="1"/>
  <c r="P21" i="1"/>
  <c r="N21" i="1" s="1"/>
  <c r="Q21" i="1" s="1"/>
  <c r="K21" i="1" s="1"/>
  <c r="L21" i="1" s="1"/>
  <c r="U26" i="1" l="1"/>
  <c r="Y26" i="1" s="1"/>
  <c r="AB26" i="1"/>
  <c r="AA26" i="1"/>
  <c r="U29" i="1"/>
  <c r="Y29" i="1" s="1"/>
  <c r="AB29" i="1"/>
  <c r="AC29" i="1" s="1"/>
  <c r="AA29" i="1"/>
  <c r="AB20" i="1"/>
  <c r="AA20" i="1"/>
  <c r="U20" i="1"/>
  <c r="Y20" i="1" s="1"/>
  <c r="U17" i="1"/>
  <c r="Y17" i="1" s="1"/>
  <c r="AB17" i="1"/>
  <c r="AC17" i="1" s="1"/>
  <c r="AA17" i="1"/>
  <c r="AB21" i="1"/>
  <c r="U21" i="1"/>
  <c r="Y21" i="1" s="1"/>
  <c r="AA21" i="1"/>
  <c r="P26" i="1"/>
  <c r="N26" i="1" s="1"/>
  <c r="Q26" i="1" s="1"/>
  <c r="K26" i="1" s="1"/>
  <c r="L26" i="1" s="1"/>
  <c r="P17" i="1"/>
  <c r="N17" i="1" s="1"/>
  <c r="Q17" i="1" s="1"/>
  <c r="K17" i="1" s="1"/>
  <c r="L17" i="1" s="1"/>
  <c r="AB18" i="1"/>
  <c r="U18" i="1"/>
  <c r="Y18" i="1" s="1"/>
  <c r="AA18" i="1"/>
  <c r="AA23" i="1"/>
  <c r="AB23" i="1"/>
  <c r="AC23" i="1" s="1"/>
  <c r="U23" i="1"/>
  <c r="Y23" i="1" s="1"/>
  <c r="AB27" i="1"/>
  <c r="AC27" i="1" s="1"/>
  <c r="U27" i="1"/>
  <c r="Y27" i="1" s="1"/>
  <c r="AA27" i="1"/>
  <c r="U28" i="1"/>
  <c r="Y28" i="1" s="1"/>
  <c r="AB28" i="1"/>
  <c r="AC28" i="1" s="1"/>
  <c r="AA28" i="1"/>
  <c r="AB19" i="1"/>
  <c r="AC19" i="1" s="1"/>
  <c r="AA19" i="1"/>
  <c r="U19" i="1"/>
  <c r="Y19" i="1" s="1"/>
  <c r="AB22" i="1"/>
  <c r="U22" i="1"/>
  <c r="Y22" i="1" s="1"/>
  <c r="AA22" i="1"/>
  <c r="P27" i="1"/>
  <c r="N27" i="1" s="1"/>
  <c r="Q27" i="1" s="1"/>
  <c r="K27" i="1" s="1"/>
  <c r="L27" i="1" s="1"/>
  <c r="AA30" i="1"/>
  <c r="U30" i="1"/>
  <c r="Y30" i="1" s="1"/>
  <c r="AB30" i="1"/>
  <c r="AC30" i="1" s="1"/>
  <c r="P30" i="1"/>
  <c r="N30" i="1" s="1"/>
  <c r="Q30" i="1" s="1"/>
  <c r="K30" i="1" s="1"/>
  <c r="L30" i="1" s="1"/>
  <c r="U24" i="1"/>
  <c r="Y24" i="1" s="1"/>
  <c r="AB24" i="1"/>
  <c r="AA24" i="1"/>
  <c r="P20" i="1"/>
  <c r="N20" i="1" s="1"/>
  <c r="Q20" i="1" s="1"/>
  <c r="K20" i="1" s="1"/>
  <c r="L20" i="1" s="1"/>
  <c r="P28" i="1"/>
  <c r="N28" i="1" s="1"/>
  <c r="Q28" i="1" s="1"/>
  <c r="K28" i="1" s="1"/>
  <c r="L28" i="1" s="1"/>
  <c r="P22" i="1"/>
  <c r="N22" i="1" s="1"/>
  <c r="Q22" i="1" s="1"/>
  <c r="K22" i="1" s="1"/>
  <c r="L22" i="1" s="1"/>
  <c r="P19" i="1"/>
  <c r="N19" i="1" s="1"/>
  <c r="Q19" i="1" s="1"/>
  <c r="K19" i="1" s="1"/>
  <c r="L19" i="1" s="1"/>
  <c r="AC18" i="1" l="1"/>
  <c r="AC24" i="1"/>
  <c r="AC22" i="1"/>
  <c r="AC20" i="1"/>
  <c r="AC26" i="1"/>
  <c r="AC21" i="1"/>
</calcChain>
</file>

<file path=xl/sharedStrings.xml><?xml version="1.0" encoding="utf-8"?>
<sst xmlns="http://schemas.openxmlformats.org/spreadsheetml/2006/main" count="771" uniqueCount="354">
  <si>
    <t>File opened</t>
  </si>
  <si>
    <t>2020-07-17 11:12:48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</si>
  <si>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</si>
  <si>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</si>
  <si>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</si>
  <si>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</si>
  <si>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</si>
  <si>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</si>
  <si>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</si>
  <si>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</si>
  <si>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</si>
  <si>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</si>
  <si>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</si>
  <si>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{"h2oaspanconc2": "0", "co2bspan2a": "0.163389", "ssb_ref": "36526.8", "co2aspanconc2": "0", "co2bzero": "0.880288", "chamberpressurezero": "2.59209", "co2aspan1": "0.992625", "co2aspan2b": "0.163711", "tbzero": "0.197721", "h2oaspan1": "1.00223", "h2oaspan2a": "0.0661155", "h2obspan2a": "0.0975941", "tazero": "0.00774765", "h2obspan1": "0.998578", "h2obspan2": "0", "co2bspanconc1": "1002", "h2oaspan2b": "0.0662632", "co2bspan2": "0", "co2bspan2b": "0.162103", "co2aspan2": "0", "co2azero": "0.869071", "h2oaspan2": "0", "h2obzero": "1.01783", "ssa_ref": "36614.9", "flowmeterzero": "0.990908", "flowbzero": "0.22736", "co2bspanconc2": "0", "co2bspan1": "0.992131", "h2oaspanconc1": "12.19", "co2aspan2a": "0.164928", "co2aspanconc1": "1002", "h2oazero": "1.00263", "h2obspanconc1": "20", "flowazero": "0.42932", "h2obspanconc2": "0", "h2obspan2b": "0.0963575", "oxygen": "21"}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</si>
  <si>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</si>
  <si>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</si>
  <si>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</si>
  <si>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</si>
  <si>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</si>
  <si>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</si>
  <si>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</si>
  <si>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</si>
  <si>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</si>
  <si>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11:12:48</t>
  </si>
  <si>
    <t>Stability Definition:	H2O_s (Meas): Slp&lt;0.2	CO2_s (Meas): Slp&lt;0.3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</si>
  <si>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</si>
  <si>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</si>
  <si>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</si>
  <si>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</si>
  <si>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</si>
  <si>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</si>
  <si>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</si>
  <si>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</si>
  <si>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</si>
  <si>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</si>
  <si>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</si>
  <si>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</si>
  <si>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</si>
  <si>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</si>
  <si>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</si>
  <si>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</si>
  <si>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</si>
  <si>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</si>
  <si>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</si>
  <si>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</si>
  <si>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</si>
  <si>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</si>
  <si>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</si>
  <si>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</si>
  <si>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</si>
  <si>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</si>
  <si>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</si>
  <si>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</si>
  <si>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</si>
  <si>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</si>
  <si>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</si>
  <si>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</si>
  <si>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</si>
  <si>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</si>
  <si>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</si>
  <si>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</si>
  <si>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</si>
  <si>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</si>
  <si>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</si>
  <si>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</si>
  <si>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</si>
  <si>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</si>
  <si>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</si>
  <si>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</si>
  <si>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</si>
  <si>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</si>
  <si>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2.8867 76.9944 384.338 617.676 844.529 1050.88 1230.97 1394.83</t>
  </si>
  <si>
    <t>Fs_true</t>
  </si>
  <si>
    <t>0.249995 100.784 401.701 601.178 800.155 1000.64 1200.01 1400.75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</si>
  <si>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</si>
  <si>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</si>
  <si>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</si>
  <si>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</si>
  <si>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</si>
  <si>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</si>
  <si>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</si>
  <si>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</si>
  <si>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</si>
  <si>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</si>
  <si>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</si>
  <si>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</si>
  <si>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</si>
  <si>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</si>
  <si>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</si>
  <si>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</si>
  <si>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</si>
  <si>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</si>
  <si>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</si>
  <si>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</si>
  <si>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</si>
  <si>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</si>
  <si>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</si>
  <si>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</si>
  <si>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</si>
  <si>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</si>
  <si>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</si>
  <si>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</si>
  <si>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</si>
  <si>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</si>
  <si>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</si>
  <si>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</si>
  <si>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</si>
  <si>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</si>
  <si>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</si>
  <si>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</si>
  <si>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</si>
  <si>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</si>
  <si>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</si>
  <si>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</si>
  <si>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</si>
  <si>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</si>
  <si>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</si>
  <si>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</si>
  <si>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</si>
  <si>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</si>
  <si>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</si>
  <si>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</si>
  <si>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</si>
  <si>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</si>
  <si>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</si>
  <si>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</si>
  <si>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</si>
  <si>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</si>
  <si>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</si>
  <si>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</si>
  <si>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</si>
  <si>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</si>
  <si>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</si>
  <si>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</si>
  <si>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</si>
  <si>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</si>
  <si>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</si>
  <si>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</si>
  <si>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</si>
  <si>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</si>
  <si>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</si>
  <si>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</si>
  <si>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</si>
  <si>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</si>
  <si>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</si>
  <si>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</si>
  <si>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</si>
  <si>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</si>
  <si>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</si>
  <si>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</si>
  <si>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</si>
  <si>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</si>
  <si>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</si>
  <si>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</si>
  <si>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</si>
  <si>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</si>
  <si>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</si>
  <si>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</si>
  <si>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</si>
  <si>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</si>
  <si>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</si>
  <si>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</si>
  <si>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</si>
  <si>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</si>
  <si>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</si>
  <si>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</si>
  <si>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</si>
  <si>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</si>
  <si>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</si>
  <si>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</si>
  <si>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</si>
  <si>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</si>
  <si>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</si>
  <si>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</si>
  <si>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</si>
  <si>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</si>
  <si>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</si>
  <si>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</si>
  <si>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</si>
  <si>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</si>
  <si>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</si>
  <si>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</si>
  <si>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</si>
  <si>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</si>
  <si>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</si>
  <si>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</si>
  <si>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</si>
  <si>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</si>
  <si>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</si>
  <si>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</si>
  <si>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</si>
  <si>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</si>
  <si>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</si>
  <si>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</si>
  <si>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</si>
  <si>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</si>
  <si>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</si>
  <si>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</si>
  <si>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</si>
  <si>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</si>
  <si>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</si>
  <si>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</si>
  <si>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</si>
  <si>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</si>
  <si>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</si>
  <si>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</si>
  <si>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</si>
  <si>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</si>
  <si>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</si>
  <si>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</si>
  <si>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</si>
  <si>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</si>
  <si>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</si>
  <si>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</si>
  <si>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</si>
  <si>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</si>
  <si>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</si>
  <si>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</si>
  <si>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</si>
  <si>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</si>
  <si>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</si>
  <si>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</si>
  <si>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</si>
  <si>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</si>
  <si>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</si>
  <si>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</si>
  <si>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</si>
  <si>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</si>
  <si>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</si>
  <si>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</si>
  <si>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</si>
  <si>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</si>
  <si>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</si>
  <si>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</si>
  <si>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</si>
  <si>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</si>
  <si>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</si>
  <si>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</si>
  <si>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</si>
  <si>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</si>
  <si>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</si>
  <si>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</si>
  <si>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</si>
  <si>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</si>
  <si>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</si>
  <si>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</si>
  <si>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</si>
  <si>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</si>
  <si>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</si>
  <si>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</si>
  <si>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</si>
  <si>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</si>
  <si>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</si>
  <si>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</si>
  <si>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</si>
  <si>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</si>
  <si>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</si>
  <si>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</si>
  <si>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</si>
  <si>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</si>
  <si>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</si>
  <si>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</si>
  <si>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</si>
  <si>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</si>
  <si>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</si>
  <si>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</si>
  <si>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</si>
  <si>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</si>
  <si>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</si>
  <si>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</si>
  <si>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</si>
  <si>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</si>
  <si>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</si>
  <si>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</si>
  <si>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</si>
  <si>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</si>
  <si>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</si>
  <si>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20200717 11:30:01</t>
  </si>
  <si>
    <t>11:30:01</t>
  </si>
  <si>
    <t>MPF-4931-20200717-11_30_03</t>
  </si>
  <si>
    <t>DARK-4932-20200717-11_30_10</t>
  </si>
  <si>
    <t>0: Broadleaf</t>
  </si>
  <si>
    <t>11:30:27</t>
  </si>
  <si>
    <t>2/2</t>
  </si>
  <si>
    <t>5</t>
  </si>
  <si>
    <t>11111111</t>
  </si>
  <si>
    <t>oooooooo</t>
  </si>
  <si>
    <t>off</t>
  </si>
  <si>
    <t>20200717 11:31:59</t>
  </si>
  <si>
    <t>11:31:59</t>
  </si>
  <si>
    <t>MPF-4933-20200717-11_32_01</t>
  </si>
  <si>
    <t>DARK-4934-20200717-11_32_08</t>
  </si>
  <si>
    <t>11:32:26</t>
  </si>
  <si>
    <t>20200717 11:33:57</t>
  </si>
  <si>
    <t>11:33:57</t>
  </si>
  <si>
    <t>MPF-4935-20200717-11_33_59</t>
  </si>
  <si>
    <t>DARK-4936-20200717-11_34_07</t>
  </si>
  <si>
    <t>11:34:24</t>
  </si>
  <si>
    <t>20200717 11:36:04</t>
  </si>
  <si>
    <t>11:36:04</t>
  </si>
  <si>
    <t>MPF-4937-20200717-11_36_06</t>
  </si>
  <si>
    <t>DARK-4938-20200717-11_36_13</t>
  </si>
  <si>
    <t>11:36:29</t>
  </si>
  <si>
    <t>20200717 11:38:02</t>
  </si>
  <si>
    <t>11:38:02</t>
  </si>
  <si>
    <t>MPF-4939-20200717-11_38_04</t>
  </si>
  <si>
    <t>DARK-4940-20200717-11_38_12</t>
  </si>
  <si>
    <t>11:38:31</t>
  </si>
  <si>
    <t>20200717 11:40:07</t>
  </si>
  <si>
    <t>11:40:07</t>
  </si>
  <si>
    <t>MPF-4941-20200717-11_40_09</t>
  </si>
  <si>
    <t>DARK-4942-20200717-11_40_16</t>
  </si>
  <si>
    <t>11:40:41</t>
  </si>
  <si>
    <t>20200717 11:42:13</t>
  </si>
  <si>
    <t>11:42:13</t>
  </si>
  <si>
    <t>MPF-4943-20200717-11_42_14</t>
  </si>
  <si>
    <t>DARK-4944-20200717-11_42_22</t>
  </si>
  <si>
    <t>11:42:40</t>
  </si>
  <si>
    <t>20200717 11:44:32</t>
  </si>
  <si>
    <t>11:44:32</t>
  </si>
  <si>
    <t>MPF-4945-20200717-11_44_34</t>
  </si>
  <si>
    <t>DARK-4946-20200717-11_44_42</t>
  </si>
  <si>
    <t>11:45:06</t>
  </si>
  <si>
    <t>20200717 11:46:48</t>
  </si>
  <si>
    <t>11:46:48</t>
  </si>
  <si>
    <t>MPF-4947-20200717-11_46_50</t>
  </si>
  <si>
    <t>DARK-4948-20200717-11_46_57</t>
  </si>
  <si>
    <t>11:47:12</t>
  </si>
  <si>
    <t>20200717 11:48:56</t>
  </si>
  <si>
    <t>11:48:56</t>
  </si>
  <si>
    <t>MPF-4949-20200717-11_48_57</t>
  </si>
  <si>
    <t>DARK-4950-20200717-11_49_05</t>
  </si>
  <si>
    <t>11:49:35</t>
  </si>
  <si>
    <t>20200717 11:51:33</t>
  </si>
  <si>
    <t>11:51:33</t>
  </si>
  <si>
    <t>MPF-4951-20200717-11_51_35</t>
  </si>
  <si>
    <t>DARK-4952-20200717-11_51_42</t>
  </si>
  <si>
    <t>11:52:01</t>
  </si>
  <si>
    <t>20200717 11:54:03</t>
  </si>
  <si>
    <t>11:54:03</t>
  </si>
  <si>
    <t>MPF-4953-20200717-11_54_04</t>
  </si>
  <si>
    <t>DARK-4954-20200717-11_54_12</t>
  </si>
  <si>
    <t>11:54:27</t>
  </si>
  <si>
    <t>1/2</t>
  </si>
  <si>
    <t>20200717 11:55:58</t>
  </si>
  <si>
    <t>11:55:58</t>
  </si>
  <si>
    <t>MPF-4955-20200717-11_56_00</t>
  </si>
  <si>
    <t>DARK-4956-20200717-11_56_07</t>
  </si>
  <si>
    <t>11:56:20</t>
  </si>
  <si>
    <t>20200717 11:57:59</t>
  </si>
  <si>
    <t>11:57:59</t>
  </si>
  <si>
    <t>MPF-4957-20200717-11_58_01</t>
  </si>
  <si>
    <t>DARK-4958-20200717-11_58_08</t>
  </si>
  <si>
    <t>11:58:27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</si>
</sst>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1595003401.4000001</v>
      </c>
      <c r="C17">
        <v>0</v>
      </c>
      <c r="D17" t="s">
        <v>277</v>
      </c>
      <c r="E17" t="s">
        <v>278</v>
      </c>
      <c r="G17">
        <v>1595003393.4000001</v>
      </c>
      <c r="H17">
        <f t="shared" ref="H17:H30" si="0">CC17*AI17*(CA17-CB17)/(100*$B$5*(1000-AI17*CA17))</f>
        <v>6.9329051439789022E-3</v>
      </c>
      <c r="I17">
        <f t="shared" ref="I17:I30" si="1">CC17*AI17*(BZ17-BY17*(1000-AI17*CB17)/(1000-AI17*CA17))/(100*$B$5)</f>
        <v>28.557446293151482</v>
      </c>
      <c r="J17">
        <f t="shared" ref="J17:J30" si="2">BY17 - IF(AI17&gt;1, I17*$B$5*100/(AK17*CI17), 0)</f>
        <v>387.46619354838703</v>
      </c>
      <c r="K17">
        <f t="shared" ref="K17:K30" si="3">((Q17-H17/2)*J17-I17)/(Q17+H17/2)</f>
        <v>268.27686090630505</v>
      </c>
      <c r="L17">
        <f t="shared" ref="L17:L30" si="4">K17*(CD17+CE17)/1000</f>
        <v>26.808599853562733</v>
      </c>
      <c r="M17">
        <f t="shared" ref="M17:M30" si="5">(BY17 - IF(AI17&gt;1, I17*$B$5*100/(AK17*CI17), 0))*(CD17+CE17)/1000</f>
        <v>38.719053534958341</v>
      </c>
      <c r="N17">
        <f t="shared" ref="N17:N30" si="6">2/((1/P17-1/O17)+SIGN(P17)*SQRT((1/P17-1/O17)*(1/P17-1/O17) + 4*BV17/((BV17+1)*(BV17+1))*(2*1/P17*1/O17-1/O17*1/O17)))</f>
        <v>0.43925031869106912</v>
      </c>
      <c r="O17">
        <f t="shared" ref="O17:O30" si="7">AF17+AE17*$B$5+AD17*$B$5*$B$5</f>
        <v>3.3912542272711614</v>
      </c>
      <c r="P17">
        <f t="shared" ref="P17:P30" si="8">H17*(1000-(1000*0.61365*EXP(17.502*T17/(240.97+T17))/(CD17+CE17)+CA17)/2)/(1000*0.61365*EXP(17.502*T17/(240.97+T17))/(CD17+CE17)-CA17)</f>
        <v>0.4099142572131137</v>
      </c>
      <c r="Q17">
        <f t="shared" ref="Q17:Q30" si="9">1/((BV17+1)/(N17/1.6)+1/(O17/1.37)) + BV17/((BV17+1)/(N17/1.6) + BV17/(O17/1.37))</f>
        <v>0.25866868961681627</v>
      </c>
      <c r="R17">
        <f t="shared" ref="R17:R30" si="10">(BS17*BU17)</f>
        <v>353.33801327546632</v>
      </c>
      <c r="S17">
        <f t="shared" ref="S17:S30" si="11">(CF17+(R17+2*0.95*0.0000000567*(((CF17+$B$7)+273)^4-(CF17+273)^4)-44100*H17)/(1.84*29.3*O17+8*0.95*0.0000000567*(CF17+273)^3))</f>
        <v>26.859583345337423</v>
      </c>
      <c r="T17">
        <f t="shared" ref="T17:T30" si="12">($C$7*CG17+$D$7*CH17+$E$7*S17)</f>
        <v>26.9848483870968</v>
      </c>
      <c r="U17">
        <f t="shared" ref="U17:U30" si="13">0.61365*EXP(17.502*T17/(240.97+T17))</f>
        <v>3.5759758649847027</v>
      </c>
      <c r="V17">
        <f t="shared" ref="V17:V30" si="14">(W17/X17*100)</f>
        <v>55.229192042304476</v>
      </c>
      <c r="W17">
        <f t="shared" ref="W17:W30" si="15">CA17*(CD17+CE17)/1000</f>
        <v>1.9324551667811476</v>
      </c>
      <c r="X17">
        <f t="shared" ref="X17:X30" si="16">0.61365*EXP(17.502*CF17/(240.97+CF17))</f>
        <v>3.4989741752892654</v>
      </c>
      <c r="Y17">
        <f t="shared" ref="Y17:Y30" si="17">(U17-CA17*(CD17+CE17)/1000)</f>
        <v>1.6435206982035551</v>
      </c>
      <c r="Z17">
        <f t="shared" ref="Z17:Z30" si="18">(-H17*44100)</f>
        <v>-305.74111684946956</v>
      </c>
      <c r="AA17">
        <f t="shared" ref="AA17:AA30" si="19">2*29.3*O17*0.92*(CF17-T17)</f>
        <v>-67.661584521457769</v>
      </c>
      <c r="AB17">
        <f t="shared" ref="AB17:AB30" si="20">2*0.95*0.0000000567*(((CF17+$B$7)+273)^4-(T17+273)^4)</f>
        <v>-4.2972165588296409</v>
      </c>
      <c r="AC17">
        <f t="shared" ref="AC17:AC30" si="21">R17+AB17+Z17+AA17</f>
        <v>-24.36190465429064</v>
      </c>
      <c r="AD17">
        <v>-4.1312250587697601E-2</v>
      </c>
      <c r="AE17">
        <v>4.6376620436615799E-2</v>
      </c>
      <c r="AF17">
        <v>3.4637499887487202</v>
      </c>
      <c r="AG17">
        <v>153</v>
      </c>
      <c r="AH17">
        <v>31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52749.615922166122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283.80228</v>
      </c>
      <c r="AT17">
        <v>369.29</v>
      </c>
      <c r="AU17">
        <f t="shared" ref="AU17:AU30" si="27">1-AS17/AT17</f>
        <v>0.2314921064745864</v>
      </c>
      <c r="AV17">
        <v>0.5</v>
      </c>
      <c r="AW17">
        <f t="shared" ref="AW17:AW30" si="28">BS17</f>
        <v>1849.1878548953589</v>
      </c>
      <c r="AX17">
        <f t="shared" ref="AX17:AX30" si="29">I17</f>
        <v>28.557446293151482</v>
      </c>
      <c r="AY17">
        <f t="shared" ref="AY17:AY30" si="30">AU17*AV17*AW17</f>
        <v>214.03619589847423</v>
      </c>
      <c r="AZ17">
        <f t="shared" ref="AZ17:AZ30" si="31">BE17/AT17</f>
        <v>0.46789785805193751</v>
      </c>
      <c r="BA17">
        <f t="shared" ref="BA17:BA30" si="32">(AX17-AQ17)/AW17</f>
        <v>1.5984014936559307E-2</v>
      </c>
      <c r="BB17">
        <f t="shared" ref="BB17:BB30" si="33">(AN17-AT17)/AT17</f>
        <v>-1</v>
      </c>
      <c r="BC17" t="s">
        <v>280</v>
      </c>
      <c r="BD17">
        <v>196.5</v>
      </c>
      <c r="BE17">
        <f t="shared" ref="BE17:BE30" si="34">AT17-BD17</f>
        <v>172.79000000000002</v>
      </c>
      <c r="BF17">
        <f t="shared" ref="BF17:BF30" si="35">(AT17-AS17)/(AT17-BD17)</f>
        <v>0.49474923317321612</v>
      </c>
      <c r="BG17">
        <f t="shared" ref="BG17:BG30" si="36">(AN17-AT17)/(AN17-BD17)</f>
        <v>1.8793384223918577</v>
      </c>
      <c r="BH17">
        <f t="shared" ref="BH17:BH30" si="37">(AT17-AS17)/(AT17-AM17)</f>
        <v>0.23149210647458643</v>
      </c>
      <c r="BI17" t="e">
        <f t="shared" ref="BI17:BI30" si="38">(AN17-AT17)/(AN17-AM17)</f>
        <v>#DIV/0!</v>
      </c>
      <c r="BJ17">
        <v>4931</v>
      </c>
      <c r="BK17">
        <v>300</v>
      </c>
      <c r="BL17">
        <v>300</v>
      </c>
      <c r="BM17">
        <v>300</v>
      </c>
      <c r="BN17">
        <v>9866.3799999999992</v>
      </c>
      <c r="BO17">
        <v>346.50700000000001</v>
      </c>
      <c r="BP17">
        <v>-6.3995700000000003E-3</v>
      </c>
      <c r="BQ17">
        <v>0.99792499999999995</v>
      </c>
      <c r="BR17">
        <f t="shared" ref="BR17:BR30" si="39">$B$11*CJ17+$C$11*CK17+$F$11*CL17</f>
        <v>2200.0032258064498</v>
      </c>
      <c r="BS17">
        <f t="shared" ref="BS17:BS30" si="40">BR17*BT17</f>
        <v>1849.1878548953589</v>
      </c>
      <c r="BT17">
        <f t="shared" ref="BT17:BT30" si="41">($B$11*$D$9+$C$11*$D$9+$F$11*((CY17+CQ17)/MAX(CY17+CQ17+CZ17, 0.1)*$I$9+CZ17/MAX(CY17+CQ17+CZ17, 0.1)*$J$9))/($B$11+$C$11+$F$11)</f>
        <v>0.84053870158190636</v>
      </c>
      <c r="BU17">
        <f t="shared" ref="BU17:BU30" si="42">($B$11*$K$9+$C$11*$K$9+$F$11*((CY17+CQ17)/MAX(CY17+CQ17+CZ17, 0.1)*$P$9+CZ17/MAX(CY17+CQ17+CZ17, 0.1)*$Q$9))/($B$11+$C$11+$F$11)</f>
        <v>0.19107740316381261</v>
      </c>
      <c r="BV17">
        <v>0.5</v>
      </c>
      <c r="BW17" t="s">
        <v>281</v>
      </c>
      <c r="BX17">
        <v>1595003393.4000001</v>
      </c>
      <c r="BY17">
        <v>387.46619354838703</v>
      </c>
      <c r="BZ17">
        <v>399.96232258064498</v>
      </c>
      <c r="CA17">
        <v>19.338309677419399</v>
      </c>
      <c r="CB17">
        <v>16.619070967741902</v>
      </c>
      <c r="CC17">
        <v>500.05425806451598</v>
      </c>
      <c r="CD17">
        <v>99.728845161290295</v>
      </c>
      <c r="CE17">
        <v>0.20001103225806499</v>
      </c>
      <c r="CF17">
        <v>26.614767741935498</v>
      </c>
      <c r="CG17">
        <v>26.9848483870968</v>
      </c>
      <c r="CH17">
        <v>999.9</v>
      </c>
      <c r="CI17">
        <v>9989.7377419354798</v>
      </c>
      <c r="CJ17">
        <v>0</v>
      </c>
      <c r="CK17">
        <v>449.41996774193501</v>
      </c>
      <c r="CL17">
        <v>2200.0032258064498</v>
      </c>
      <c r="CM17">
        <v>0.98200232258064502</v>
      </c>
      <c r="CN17">
        <v>1.79978612903226E-2</v>
      </c>
      <c r="CO17">
        <v>0</v>
      </c>
      <c r="CP17">
        <v>283.79087096774202</v>
      </c>
      <c r="CQ17">
        <v>5.00054</v>
      </c>
      <c r="CR17">
        <v>8996.1170967741891</v>
      </c>
      <c r="CS17">
        <v>20590.577419354799</v>
      </c>
      <c r="CT17">
        <v>48.179193548387097</v>
      </c>
      <c r="CU17">
        <v>50.043999999999997</v>
      </c>
      <c r="CV17">
        <v>48.5741935483871</v>
      </c>
      <c r="CW17">
        <v>49.037935483871003</v>
      </c>
      <c r="CX17">
        <v>49.572290322580599</v>
      </c>
      <c r="CY17">
        <v>2155.49774193548</v>
      </c>
      <c r="CZ17">
        <v>39.504838709677401</v>
      </c>
      <c r="DA17">
        <v>0</v>
      </c>
      <c r="DB17">
        <v>1097.5999999046301</v>
      </c>
      <c r="DC17">
        <v>283.80228</v>
      </c>
      <c r="DD17">
        <v>-1.6070769248466701</v>
      </c>
      <c r="DE17">
        <v>84.226922762181701</v>
      </c>
      <c r="DF17">
        <v>8995.9207999999999</v>
      </c>
      <c r="DG17">
        <v>15</v>
      </c>
      <c r="DH17">
        <v>1595003427.4000001</v>
      </c>
      <c r="DI17" t="s">
        <v>282</v>
      </c>
      <c r="DJ17">
        <v>29</v>
      </c>
      <c r="DK17">
        <v>-0.45700000000000002</v>
      </c>
      <c r="DL17">
        <v>0.105</v>
      </c>
      <c r="DM17">
        <v>400</v>
      </c>
      <c r="DN17">
        <v>17</v>
      </c>
      <c r="DO17">
        <v>0.13</v>
      </c>
      <c r="DP17">
        <v>0.03</v>
      </c>
      <c r="DQ17">
        <v>387.827901960784</v>
      </c>
      <c r="DR17">
        <v>-0.206986425339343</v>
      </c>
      <c r="DS17">
        <v>2.8630338291142199E-2</v>
      </c>
      <c r="DT17">
        <v>1</v>
      </c>
      <c r="DU17">
        <v>19.3236647058824</v>
      </c>
      <c r="DV17">
        <v>0.141684705882345</v>
      </c>
      <c r="DW17">
        <v>1.9305102683471201E-2</v>
      </c>
      <c r="DX17">
        <v>1</v>
      </c>
      <c r="DY17">
        <v>2</v>
      </c>
      <c r="DZ17">
        <v>2</v>
      </c>
      <c r="EA17" t="s">
        <v>283</v>
      </c>
      <c r="EB17">
        <v>1.86676</v>
      </c>
      <c r="EC17">
        <v>1.8632500000000001</v>
      </c>
      <c r="ED17">
        <v>1.8689</v>
      </c>
      <c r="EE17">
        <v>1.8668100000000001</v>
      </c>
      <c r="EF17">
        <v>1.8714900000000001</v>
      </c>
      <c r="EG17">
        <v>1.86399</v>
      </c>
      <c r="EH17">
        <v>1.86554</v>
      </c>
      <c r="EI17">
        <v>1.8654200000000001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-0.45700000000000002</v>
      </c>
      <c r="EX17">
        <v>0.105</v>
      </c>
      <c r="EY17">
        <v>2</v>
      </c>
      <c r="EZ17">
        <v>328.50299999999999</v>
      </c>
      <c r="FA17">
        <v>474.16199999999998</v>
      </c>
      <c r="FB17">
        <v>20.653600000000001</v>
      </c>
      <c r="FC17">
        <v>35.999400000000001</v>
      </c>
      <c r="FD17">
        <v>29.9999</v>
      </c>
      <c r="FE17">
        <v>35.910600000000002</v>
      </c>
      <c r="FF17">
        <v>35.907600000000002</v>
      </c>
      <c r="FG17">
        <v>22.003499999999999</v>
      </c>
      <c r="FH17">
        <v>51.221400000000003</v>
      </c>
      <c r="FI17">
        <v>0</v>
      </c>
      <c r="FJ17">
        <v>20.649899999999999</v>
      </c>
      <c r="FK17">
        <v>400</v>
      </c>
      <c r="FL17">
        <v>16.5212</v>
      </c>
      <c r="FM17">
        <v>100.44499999999999</v>
      </c>
      <c r="FN17">
        <v>100.645</v>
      </c>
    </row>
    <row r="18" spans="1:170" x14ac:dyDescent="0.25">
      <c r="A18">
        <v>2</v>
      </c>
      <c r="B18">
        <v>1595003519.4000001</v>
      </c>
      <c r="C18">
        <v>118</v>
      </c>
      <c r="D18" t="s">
        <v>288</v>
      </c>
      <c r="E18" t="s">
        <v>289</v>
      </c>
      <c r="G18">
        <v>1595003511.4000001</v>
      </c>
      <c r="H18">
        <f t="shared" si="0"/>
        <v>7.2824046223604116E-3</v>
      </c>
      <c r="I18">
        <f t="shared" si="1"/>
        <v>21.311419583669675</v>
      </c>
      <c r="J18">
        <f t="shared" si="2"/>
        <v>290.66932258064497</v>
      </c>
      <c r="K18">
        <f t="shared" si="3"/>
        <v>206.94329878594647</v>
      </c>
      <c r="L18">
        <f t="shared" si="4"/>
        <v>20.678876494567255</v>
      </c>
      <c r="M18">
        <f t="shared" si="5"/>
        <v>29.045226676423674</v>
      </c>
      <c r="N18">
        <f t="shared" si="6"/>
        <v>0.4709080347157153</v>
      </c>
      <c r="O18">
        <f t="shared" si="7"/>
        <v>3.3935665683412486</v>
      </c>
      <c r="P18">
        <f t="shared" si="8"/>
        <v>0.43738517355130696</v>
      </c>
      <c r="Q18">
        <f t="shared" si="9"/>
        <v>0.27617850176860181</v>
      </c>
      <c r="R18">
        <f t="shared" si="10"/>
        <v>353.33933685467861</v>
      </c>
      <c r="S18">
        <f t="shared" si="11"/>
        <v>26.654481064227763</v>
      </c>
      <c r="T18">
        <f t="shared" si="12"/>
        <v>26.868351612903201</v>
      </c>
      <c r="U18">
        <f t="shared" si="13"/>
        <v>3.5515787184875864</v>
      </c>
      <c r="V18">
        <f t="shared" si="14"/>
        <v>55.669978796059162</v>
      </c>
      <c r="W18">
        <f t="shared" si="15"/>
        <v>1.9334983169393833</v>
      </c>
      <c r="X18">
        <f t="shared" si="16"/>
        <v>3.4731436202311872</v>
      </c>
      <c r="Y18">
        <f t="shared" si="17"/>
        <v>1.6180804015482031</v>
      </c>
      <c r="Z18">
        <f t="shared" si="18"/>
        <v>-321.15404384609417</v>
      </c>
      <c r="AA18">
        <f t="shared" si="19"/>
        <v>-69.398568562193958</v>
      </c>
      <c r="AB18">
        <f t="shared" si="20"/>
        <v>-4.3991939337870907</v>
      </c>
      <c r="AC18">
        <f t="shared" si="21"/>
        <v>-41.612469487396623</v>
      </c>
      <c r="AD18">
        <v>-4.1348059984919201E-2</v>
      </c>
      <c r="AE18">
        <v>4.64168196220726E-2</v>
      </c>
      <c r="AF18">
        <v>3.46612516903678</v>
      </c>
      <c r="AG18">
        <v>154</v>
      </c>
      <c r="AH18">
        <v>31</v>
      </c>
      <c r="AI18">
        <f t="shared" si="22"/>
        <v>1</v>
      </c>
      <c r="AJ18">
        <f t="shared" si="23"/>
        <v>0</v>
      </c>
      <c r="AK18">
        <f t="shared" si="24"/>
        <v>52815.565259792231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274.93964</v>
      </c>
      <c r="AT18">
        <v>350.17599999999999</v>
      </c>
      <c r="AU18">
        <f t="shared" si="27"/>
        <v>0.21485298821164212</v>
      </c>
      <c r="AV18">
        <v>0.5</v>
      </c>
      <c r="AW18">
        <f t="shared" si="28"/>
        <v>1849.1961093865561</v>
      </c>
      <c r="AX18">
        <f t="shared" si="29"/>
        <v>21.311419583669675</v>
      </c>
      <c r="AY18">
        <f t="shared" si="30"/>
        <v>198.6526549455221</v>
      </c>
      <c r="AZ18">
        <f t="shared" si="31"/>
        <v>0.44325139358494009</v>
      </c>
      <c r="BA18">
        <f t="shared" si="32"/>
        <v>1.206546967648075E-2</v>
      </c>
      <c r="BB18">
        <f t="shared" si="33"/>
        <v>-1</v>
      </c>
      <c r="BC18" t="s">
        <v>291</v>
      </c>
      <c r="BD18">
        <v>194.96</v>
      </c>
      <c r="BE18">
        <f t="shared" si="34"/>
        <v>155.21599999999998</v>
      </c>
      <c r="BF18">
        <f t="shared" si="35"/>
        <v>0.48472038965055148</v>
      </c>
      <c r="BG18">
        <f t="shared" si="36"/>
        <v>1.7961427985227738</v>
      </c>
      <c r="BH18">
        <f t="shared" si="37"/>
        <v>0.21485298821164212</v>
      </c>
      <c r="BI18" t="e">
        <f t="shared" si="38"/>
        <v>#DIV/0!</v>
      </c>
      <c r="BJ18">
        <v>4933</v>
      </c>
      <c r="BK18">
        <v>300</v>
      </c>
      <c r="BL18">
        <v>300</v>
      </c>
      <c r="BM18">
        <v>300</v>
      </c>
      <c r="BN18">
        <v>9865.7900000000009</v>
      </c>
      <c r="BO18">
        <v>327.96600000000001</v>
      </c>
      <c r="BP18">
        <v>-6.3990100000000001E-3</v>
      </c>
      <c r="BQ18">
        <v>0.881714</v>
      </c>
      <c r="BR18">
        <f t="shared" si="39"/>
        <v>2200.01322580645</v>
      </c>
      <c r="BS18">
        <f t="shared" si="40"/>
        <v>1849.1961093865561</v>
      </c>
      <c r="BT18">
        <f t="shared" si="41"/>
        <v>0.84053863299331022</v>
      </c>
      <c r="BU18">
        <f t="shared" si="42"/>
        <v>0.19107726598662042</v>
      </c>
      <c r="BV18">
        <v>0.5</v>
      </c>
      <c r="BW18" t="s">
        <v>281</v>
      </c>
      <c r="BX18">
        <v>1595003511.4000001</v>
      </c>
      <c r="BY18">
        <v>290.66932258064497</v>
      </c>
      <c r="BZ18">
        <v>300.039548387097</v>
      </c>
      <c r="CA18">
        <v>19.3494322580645</v>
      </c>
      <c r="CB18">
        <v>16.4931548387097</v>
      </c>
      <c r="CC18">
        <v>500.05606451612903</v>
      </c>
      <c r="CD18">
        <v>99.725335483871007</v>
      </c>
      <c r="CE18">
        <v>0.199990032258064</v>
      </c>
      <c r="CF18">
        <v>26.489029032258099</v>
      </c>
      <c r="CG18">
        <v>26.868351612903201</v>
      </c>
      <c r="CH18">
        <v>999.9</v>
      </c>
      <c r="CI18">
        <v>9998.7487096774203</v>
      </c>
      <c r="CJ18">
        <v>0</v>
      </c>
      <c r="CK18">
        <v>123.108516129032</v>
      </c>
      <c r="CL18">
        <v>2200.01322580645</v>
      </c>
      <c r="CM18">
        <v>0.98200374193548401</v>
      </c>
      <c r="CN18">
        <v>1.7996370967741902E-2</v>
      </c>
      <c r="CO18">
        <v>0</v>
      </c>
      <c r="CP18">
        <v>274.93209677419298</v>
      </c>
      <c r="CQ18">
        <v>5.00054</v>
      </c>
      <c r="CR18">
        <v>7238.10193548387</v>
      </c>
      <c r="CS18">
        <v>20590.674193548399</v>
      </c>
      <c r="CT18">
        <v>48.362741935483903</v>
      </c>
      <c r="CU18">
        <v>50.215451612903202</v>
      </c>
      <c r="CV18">
        <v>48.765999999999998</v>
      </c>
      <c r="CW18">
        <v>49.144935483871002</v>
      </c>
      <c r="CX18">
        <v>49.762</v>
      </c>
      <c r="CY18">
        <v>2155.51322580645</v>
      </c>
      <c r="CZ18">
        <v>39.5</v>
      </c>
      <c r="DA18">
        <v>0</v>
      </c>
      <c r="DB18">
        <v>117.299999952316</v>
      </c>
      <c r="DC18">
        <v>274.93964</v>
      </c>
      <c r="DD18">
        <v>-0.59661539145026299</v>
      </c>
      <c r="DE18">
        <v>362.32307694750398</v>
      </c>
      <c r="DF18">
        <v>7243.7092000000002</v>
      </c>
      <c r="DG18">
        <v>15</v>
      </c>
      <c r="DH18">
        <v>1595003546.4000001</v>
      </c>
      <c r="DI18" t="s">
        <v>292</v>
      </c>
      <c r="DJ18">
        <v>30</v>
      </c>
      <c r="DK18">
        <v>-0.45500000000000002</v>
      </c>
      <c r="DL18">
        <v>0.10199999999999999</v>
      </c>
      <c r="DM18">
        <v>300</v>
      </c>
      <c r="DN18">
        <v>16</v>
      </c>
      <c r="DO18">
        <v>0.19</v>
      </c>
      <c r="DP18">
        <v>0.04</v>
      </c>
      <c r="DQ18">
        <v>290.64466666666698</v>
      </c>
      <c r="DR18">
        <v>0.26608506787344199</v>
      </c>
      <c r="DS18">
        <v>3.5521695478584803E-2</v>
      </c>
      <c r="DT18">
        <v>1</v>
      </c>
      <c r="DU18">
        <v>19.357452941176501</v>
      </c>
      <c r="DV18">
        <v>-0.14004054298644</v>
      </c>
      <c r="DW18">
        <v>3.52643704705305E-2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1.8632500000000001</v>
      </c>
      <c r="ED18">
        <v>1.8689</v>
      </c>
      <c r="EE18">
        <v>1.8668499999999999</v>
      </c>
      <c r="EF18">
        <v>1.87155</v>
      </c>
      <c r="EG18">
        <v>1.8640099999999999</v>
      </c>
      <c r="EH18">
        <v>1.86554</v>
      </c>
      <c r="EI18">
        <v>1.86548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-0.45500000000000002</v>
      </c>
      <c r="EX18">
        <v>0.10199999999999999</v>
      </c>
      <c r="EY18">
        <v>2</v>
      </c>
      <c r="EZ18">
        <v>327.12700000000001</v>
      </c>
      <c r="FA18">
        <v>472.89100000000002</v>
      </c>
      <c r="FB18">
        <v>21.088799999999999</v>
      </c>
      <c r="FC18">
        <v>36.139800000000001</v>
      </c>
      <c r="FD18">
        <v>29.998999999999999</v>
      </c>
      <c r="FE18">
        <v>36.043700000000001</v>
      </c>
      <c r="FF18">
        <v>36.033099999999997</v>
      </c>
      <c r="FG18">
        <v>17.527100000000001</v>
      </c>
      <c r="FH18">
        <v>51.7971</v>
      </c>
      <c r="FI18">
        <v>0</v>
      </c>
      <c r="FJ18">
        <v>21.222200000000001</v>
      </c>
      <c r="FK18">
        <v>300</v>
      </c>
      <c r="FL18">
        <v>16.3413</v>
      </c>
      <c r="FM18">
        <v>100.42100000000001</v>
      </c>
      <c r="FN18">
        <v>100.629</v>
      </c>
    </row>
    <row r="19" spans="1:170" x14ac:dyDescent="0.25">
      <c r="A19">
        <v>3</v>
      </c>
      <c r="B19">
        <v>1595003637.9000001</v>
      </c>
      <c r="C19">
        <v>236.5</v>
      </c>
      <c r="D19" t="s">
        <v>293</v>
      </c>
      <c r="E19" t="s">
        <v>294</v>
      </c>
      <c r="G19">
        <v>1595003629.9000001</v>
      </c>
      <c r="H19">
        <f t="shared" si="0"/>
        <v>6.9506448345823153E-3</v>
      </c>
      <c r="I19">
        <f t="shared" si="1"/>
        <v>13.416223189926969</v>
      </c>
      <c r="J19">
        <f t="shared" si="2"/>
        <v>194.098193548387</v>
      </c>
      <c r="K19">
        <f t="shared" si="3"/>
        <v>137.35853884319391</v>
      </c>
      <c r="L19">
        <f t="shared" si="4"/>
        <v>13.726376038797122</v>
      </c>
      <c r="M19">
        <f t="shared" si="5"/>
        <v>19.396426429214298</v>
      </c>
      <c r="N19">
        <f t="shared" si="6"/>
        <v>0.43578594481076383</v>
      </c>
      <c r="O19">
        <f t="shared" si="7"/>
        <v>3.3933627380752305</v>
      </c>
      <c r="P19">
        <f t="shared" si="8"/>
        <v>0.40691116349473999</v>
      </c>
      <c r="Q19">
        <f t="shared" si="9"/>
        <v>0.25675415682492964</v>
      </c>
      <c r="R19">
        <f t="shared" si="10"/>
        <v>353.33712592544924</v>
      </c>
      <c r="S19">
        <f t="shared" si="11"/>
        <v>27.09191892869574</v>
      </c>
      <c r="T19">
        <f t="shared" si="12"/>
        <v>27.103361290322599</v>
      </c>
      <c r="U19">
        <f t="shared" si="13"/>
        <v>3.6009452265580628</v>
      </c>
      <c r="V19">
        <f t="shared" si="14"/>
        <v>54.715310145710937</v>
      </c>
      <c r="W19">
        <f t="shared" si="15"/>
        <v>1.9413108458923771</v>
      </c>
      <c r="X19">
        <f t="shared" si="16"/>
        <v>3.5480212772668605</v>
      </c>
      <c r="Y19">
        <f t="shared" si="17"/>
        <v>1.6596343806656857</v>
      </c>
      <c r="Z19">
        <f t="shared" si="18"/>
        <v>-306.52343720508009</v>
      </c>
      <c r="AA19">
        <f t="shared" si="19"/>
        <v>-46.111661284177814</v>
      </c>
      <c r="AB19">
        <f t="shared" si="20"/>
        <v>-2.9319535764165634</v>
      </c>
      <c r="AC19">
        <f t="shared" si="21"/>
        <v>-2.2299261402252171</v>
      </c>
      <c r="AD19">
        <v>-4.1344902984230499E-2</v>
      </c>
      <c r="AE19">
        <v>4.64132756122312E-2</v>
      </c>
      <c r="AF19">
        <v>3.4659157987876901</v>
      </c>
      <c r="AG19">
        <v>153</v>
      </c>
      <c r="AH19">
        <v>31</v>
      </c>
      <c r="AI19">
        <f t="shared" si="22"/>
        <v>1</v>
      </c>
      <c r="AJ19">
        <f t="shared" si="23"/>
        <v>0</v>
      </c>
      <c r="AK19">
        <f t="shared" si="24"/>
        <v>52748.013274568759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271.68732</v>
      </c>
      <c r="AT19">
        <v>333.01600000000002</v>
      </c>
      <c r="AU19">
        <f t="shared" si="27"/>
        <v>0.18416136161625873</v>
      </c>
      <c r="AV19">
        <v>0.5</v>
      </c>
      <c r="AW19">
        <f t="shared" si="28"/>
        <v>1849.1842158381578</v>
      </c>
      <c r="AX19">
        <f t="shared" si="29"/>
        <v>13.416223189926969</v>
      </c>
      <c r="AY19">
        <f t="shared" si="30"/>
        <v>170.27414153402441</v>
      </c>
      <c r="AZ19">
        <f t="shared" si="31"/>
        <v>0.41498306387681078</v>
      </c>
      <c r="BA19">
        <f t="shared" si="32"/>
        <v>7.7959908301470648E-3</v>
      </c>
      <c r="BB19">
        <f t="shared" si="33"/>
        <v>-1</v>
      </c>
      <c r="BC19" t="s">
        <v>296</v>
      </c>
      <c r="BD19">
        <v>194.82</v>
      </c>
      <c r="BE19">
        <f t="shared" si="34"/>
        <v>138.19600000000003</v>
      </c>
      <c r="BF19">
        <f t="shared" si="35"/>
        <v>0.44378042779819971</v>
      </c>
      <c r="BG19">
        <f t="shared" si="36"/>
        <v>1.7093522225644187</v>
      </c>
      <c r="BH19">
        <f t="shared" si="37"/>
        <v>0.18416136161625873</v>
      </c>
      <c r="BI19" t="e">
        <f t="shared" si="38"/>
        <v>#DIV/0!</v>
      </c>
      <c r="BJ19">
        <v>4935</v>
      </c>
      <c r="BK19">
        <v>300</v>
      </c>
      <c r="BL19">
        <v>300</v>
      </c>
      <c r="BM19">
        <v>300</v>
      </c>
      <c r="BN19">
        <v>9865.8700000000008</v>
      </c>
      <c r="BO19">
        <v>315.51499999999999</v>
      </c>
      <c r="BP19">
        <v>-6.39903E-3</v>
      </c>
      <c r="BQ19">
        <v>0.22436500000000001</v>
      </c>
      <c r="BR19">
        <f t="shared" si="39"/>
        <v>2199.9990322580602</v>
      </c>
      <c r="BS19">
        <f t="shared" si="40"/>
        <v>1849.1842158381578</v>
      </c>
      <c r="BT19">
        <f t="shared" si="41"/>
        <v>0.84053864966484593</v>
      </c>
      <c r="BU19">
        <f t="shared" si="42"/>
        <v>0.19107729932969189</v>
      </c>
      <c r="BV19">
        <v>0.5</v>
      </c>
      <c r="BW19" t="s">
        <v>281</v>
      </c>
      <c r="BX19">
        <v>1595003629.9000001</v>
      </c>
      <c r="BY19">
        <v>194.098193548387</v>
      </c>
      <c r="BZ19">
        <v>200.00358064516101</v>
      </c>
      <c r="CA19">
        <v>19.426512903225799</v>
      </c>
      <c r="CB19">
        <v>16.700609677419401</v>
      </c>
      <c r="CC19">
        <v>500.06309677419398</v>
      </c>
      <c r="CD19">
        <v>99.731009677419394</v>
      </c>
      <c r="CE19">
        <v>0.19998954838709701</v>
      </c>
      <c r="CF19">
        <v>26.851306451612899</v>
      </c>
      <c r="CG19">
        <v>27.103361290322599</v>
      </c>
      <c r="CH19">
        <v>999.9</v>
      </c>
      <c r="CI19">
        <v>9997.4164516129003</v>
      </c>
      <c r="CJ19">
        <v>0</v>
      </c>
      <c r="CK19">
        <v>483.59387096774202</v>
      </c>
      <c r="CL19">
        <v>2199.9990322580602</v>
      </c>
      <c r="CM19">
        <v>0.98200264516128999</v>
      </c>
      <c r="CN19">
        <v>1.79975225806452E-2</v>
      </c>
      <c r="CO19">
        <v>0</v>
      </c>
      <c r="CP19">
        <v>271.72422580645201</v>
      </c>
      <c r="CQ19">
        <v>5.00054</v>
      </c>
      <c r="CR19">
        <v>8874.8719354838704</v>
      </c>
      <c r="CS19">
        <v>20590.5419354839</v>
      </c>
      <c r="CT19">
        <v>48.269935483871002</v>
      </c>
      <c r="CU19">
        <v>49.987677419354803</v>
      </c>
      <c r="CV19">
        <v>48.683</v>
      </c>
      <c r="CW19">
        <v>48.917129032258103</v>
      </c>
      <c r="CX19">
        <v>49.643064516129002</v>
      </c>
      <c r="CY19">
        <v>2155.4980645161299</v>
      </c>
      <c r="CZ19">
        <v>39.500967741935497</v>
      </c>
      <c r="DA19">
        <v>0</v>
      </c>
      <c r="DB19">
        <v>117.69999980926499</v>
      </c>
      <c r="DC19">
        <v>271.68732</v>
      </c>
      <c r="DD19">
        <v>-2.4771538496171099</v>
      </c>
      <c r="DE19">
        <v>-2232.5500057927802</v>
      </c>
      <c r="DF19">
        <v>8861.6080000000002</v>
      </c>
      <c r="DG19">
        <v>15</v>
      </c>
      <c r="DH19">
        <v>1595003664.9000001</v>
      </c>
      <c r="DI19" t="s">
        <v>297</v>
      </c>
      <c r="DJ19">
        <v>31</v>
      </c>
      <c r="DK19">
        <v>-0.43</v>
      </c>
      <c r="DL19">
        <v>0.109</v>
      </c>
      <c r="DM19">
        <v>200</v>
      </c>
      <c r="DN19">
        <v>17</v>
      </c>
      <c r="DO19">
        <v>0.59</v>
      </c>
      <c r="DP19">
        <v>0.04</v>
      </c>
      <c r="DQ19">
        <v>194.08719607843099</v>
      </c>
      <c r="DR19">
        <v>-0.13708235294114701</v>
      </c>
      <c r="DS19">
        <v>1.8797183359970399E-2</v>
      </c>
      <c r="DT19">
        <v>1</v>
      </c>
      <c r="DU19">
        <v>19.408601960784299</v>
      </c>
      <c r="DV19">
        <v>0.118320000000008</v>
      </c>
      <c r="DW19">
        <v>1.49393215872965E-2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1.8632500000000001</v>
      </c>
      <c r="ED19">
        <v>1.8689</v>
      </c>
      <c r="EE19">
        <v>1.8667800000000001</v>
      </c>
      <c r="EF19">
        <v>1.8714900000000001</v>
      </c>
      <c r="EG19">
        <v>1.86398</v>
      </c>
      <c r="EH19">
        <v>1.86554</v>
      </c>
      <c r="EI19">
        <v>1.86541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-0.43</v>
      </c>
      <c r="EX19">
        <v>0.109</v>
      </c>
      <c r="EY19">
        <v>2</v>
      </c>
      <c r="EZ19">
        <v>328.71199999999999</v>
      </c>
      <c r="FA19">
        <v>473.80900000000003</v>
      </c>
      <c r="FB19">
        <v>20.961099999999998</v>
      </c>
      <c r="FC19">
        <v>35.987200000000001</v>
      </c>
      <c r="FD19">
        <v>30.000499999999999</v>
      </c>
      <c r="FE19">
        <v>35.989100000000001</v>
      </c>
      <c r="FF19">
        <v>35.985799999999998</v>
      </c>
      <c r="FG19">
        <v>12.8787</v>
      </c>
      <c r="FH19">
        <v>50.885399999999997</v>
      </c>
      <c r="FI19">
        <v>0</v>
      </c>
      <c r="FJ19">
        <v>20.842400000000001</v>
      </c>
      <c r="FK19">
        <v>200</v>
      </c>
      <c r="FL19">
        <v>16.706199999999999</v>
      </c>
      <c r="FM19">
        <v>100.44499999999999</v>
      </c>
      <c r="FN19">
        <v>100.667</v>
      </c>
    </row>
    <row r="20" spans="1:170" x14ac:dyDescent="0.25">
      <c r="A20">
        <v>4</v>
      </c>
      <c r="B20">
        <v>1595003764.4000001</v>
      </c>
      <c r="C20">
        <v>363</v>
      </c>
      <c r="D20" t="s">
        <v>298</v>
      </c>
      <c r="E20" t="s">
        <v>299</v>
      </c>
      <c r="G20">
        <v>1595003756.4000001</v>
      </c>
      <c r="H20">
        <f t="shared" si="0"/>
        <v>7.6404877644381097E-3</v>
      </c>
      <c r="I20">
        <f t="shared" si="1"/>
        <v>4.8598374179326465</v>
      </c>
      <c r="J20">
        <f t="shared" si="2"/>
        <v>97.744600000000005</v>
      </c>
      <c r="K20">
        <f t="shared" si="3"/>
        <v>78.730035648691214</v>
      </c>
      <c r="L20">
        <f t="shared" si="4"/>
        <v>7.8673305578649213</v>
      </c>
      <c r="M20">
        <f t="shared" si="5"/>
        <v>9.7674168709596803</v>
      </c>
      <c r="N20">
        <f t="shared" si="6"/>
        <v>0.49798576681862372</v>
      </c>
      <c r="O20">
        <f t="shared" si="7"/>
        <v>3.3949879114470409</v>
      </c>
      <c r="P20">
        <f t="shared" si="8"/>
        <v>0.46067495941364045</v>
      </c>
      <c r="Q20">
        <f t="shared" si="9"/>
        <v>0.2910407760541453</v>
      </c>
      <c r="R20">
        <f t="shared" si="10"/>
        <v>353.33670651258814</v>
      </c>
      <c r="S20">
        <f t="shared" si="11"/>
        <v>26.674516029700264</v>
      </c>
      <c r="T20">
        <f t="shared" si="12"/>
        <v>26.800903225806401</v>
      </c>
      <c r="U20">
        <f t="shared" si="13"/>
        <v>3.5375199740459173</v>
      </c>
      <c r="V20">
        <f t="shared" si="14"/>
        <v>55.109125053278987</v>
      </c>
      <c r="W20">
        <f t="shared" si="15"/>
        <v>1.9254760859313198</v>
      </c>
      <c r="X20">
        <f t="shared" si="16"/>
        <v>3.4939333260504273</v>
      </c>
      <c r="Y20">
        <f t="shared" si="17"/>
        <v>1.6120438881145975</v>
      </c>
      <c r="Z20">
        <f t="shared" si="18"/>
        <v>-336.94551041172065</v>
      </c>
      <c r="AA20">
        <f t="shared" si="19"/>
        <v>-38.548013155923094</v>
      </c>
      <c r="AB20">
        <f t="shared" si="20"/>
        <v>-2.4429586795511411</v>
      </c>
      <c r="AC20">
        <f t="shared" si="21"/>
        <v>-24.599775734606773</v>
      </c>
      <c r="AD20">
        <v>-4.1370076667461703E-2</v>
      </c>
      <c r="AE20">
        <v>4.6441535276994003E-2</v>
      </c>
      <c r="AF20">
        <v>3.4675851475628998</v>
      </c>
      <c r="AG20">
        <v>153</v>
      </c>
      <c r="AH20">
        <v>31</v>
      </c>
      <c r="AI20">
        <f t="shared" si="22"/>
        <v>1</v>
      </c>
      <c r="AJ20">
        <f t="shared" si="23"/>
        <v>0</v>
      </c>
      <c r="AK20">
        <f t="shared" si="24"/>
        <v>52824.733317727158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273.50632000000002</v>
      </c>
      <c r="AT20">
        <v>321.34800000000001</v>
      </c>
      <c r="AU20">
        <f t="shared" si="27"/>
        <v>0.14887810099953946</v>
      </c>
      <c r="AV20">
        <v>0.5</v>
      </c>
      <c r="AW20">
        <f t="shared" si="28"/>
        <v>1849.1796093864798</v>
      </c>
      <c r="AX20">
        <f t="shared" si="29"/>
        <v>4.8598374179326465</v>
      </c>
      <c r="AY20">
        <f t="shared" si="30"/>
        <v>137.65117432626462</v>
      </c>
      <c r="AZ20">
        <f t="shared" si="31"/>
        <v>0.36087979386832969</v>
      </c>
      <c r="BA20">
        <f t="shared" si="32"/>
        <v>3.1688849412939511E-3</v>
      </c>
      <c r="BB20">
        <f t="shared" si="33"/>
        <v>-1</v>
      </c>
      <c r="BC20" t="s">
        <v>301</v>
      </c>
      <c r="BD20">
        <v>205.38</v>
      </c>
      <c r="BE20">
        <f t="shared" si="34"/>
        <v>115.96800000000002</v>
      </c>
      <c r="BF20">
        <f t="shared" si="35"/>
        <v>0.41254208057395136</v>
      </c>
      <c r="BG20">
        <f t="shared" si="36"/>
        <v>1.5646508910312593</v>
      </c>
      <c r="BH20">
        <f t="shared" si="37"/>
        <v>0.14887810099953944</v>
      </c>
      <c r="BI20" t="e">
        <f t="shared" si="38"/>
        <v>#DIV/0!</v>
      </c>
      <c r="BJ20">
        <v>4937</v>
      </c>
      <c r="BK20">
        <v>300</v>
      </c>
      <c r="BL20">
        <v>300</v>
      </c>
      <c r="BM20">
        <v>300</v>
      </c>
      <c r="BN20">
        <v>9866.76</v>
      </c>
      <c r="BO20">
        <v>308.29500000000002</v>
      </c>
      <c r="BP20">
        <v>-6.3995299999999996E-3</v>
      </c>
      <c r="BQ20">
        <v>0.50567600000000001</v>
      </c>
      <c r="BR20">
        <f t="shared" si="39"/>
        <v>2199.99322580645</v>
      </c>
      <c r="BS20">
        <f t="shared" si="40"/>
        <v>1849.1796093864798</v>
      </c>
      <c r="BT20">
        <f t="shared" si="41"/>
        <v>0.84053877425401036</v>
      </c>
      <c r="BU20">
        <f t="shared" si="42"/>
        <v>0.19107754850802086</v>
      </c>
      <c r="BV20">
        <v>0.5</v>
      </c>
      <c r="BW20" t="s">
        <v>281</v>
      </c>
      <c r="BX20">
        <v>1595003756.4000001</v>
      </c>
      <c r="BY20">
        <v>97.744600000000005</v>
      </c>
      <c r="BZ20">
        <v>99.987051612903201</v>
      </c>
      <c r="CA20">
        <v>19.268645161290301</v>
      </c>
      <c r="CB20">
        <v>16.271619354838698</v>
      </c>
      <c r="CC20">
        <v>500.04680645161301</v>
      </c>
      <c r="CD20">
        <v>99.727974193548405</v>
      </c>
      <c r="CE20">
        <v>0.19996935483871001</v>
      </c>
      <c r="CF20">
        <v>26.590293548387098</v>
      </c>
      <c r="CG20">
        <v>26.800903225806401</v>
      </c>
      <c r="CH20">
        <v>999.9</v>
      </c>
      <c r="CI20">
        <v>10003.808064516101</v>
      </c>
      <c r="CJ20">
        <v>0</v>
      </c>
      <c r="CK20">
        <v>106.562548387097</v>
      </c>
      <c r="CL20">
        <v>2199.99322580645</v>
      </c>
      <c r="CM20">
        <v>0.98200167741935496</v>
      </c>
      <c r="CN20">
        <v>1.7998538709677402E-2</v>
      </c>
      <c r="CO20">
        <v>0</v>
      </c>
      <c r="CP20">
        <v>273.51319354838699</v>
      </c>
      <c r="CQ20">
        <v>5.00054</v>
      </c>
      <c r="CR20">
        <v>7099.0590322580601</v>
      </c>
      <c r="CS20">
        <v>20590.487096774199</v>
      </c>
      <c r="CT20">
        <v>48.072225806451598</v>
      </c>
      <c r="CU20">
        <v>49.656935483870903</v>
      </c>
      <c r="CV20">
        <v>48.4533225806451</v>
      </c>
      <c r="CW20">
        <v>48.5621935483871</v>
      </c>
      <c r="CX20">
        <v>49.501838709677401</v>
      </c>
      <c r="CY20">
        <v>2155.4832258064498</v>
      </c>
      <c r="CZ20">
        <v>39.51</v>
      </c>
      <c r="DA20">
        <v>0</v>
      </c>
      <c r="DB20">
        <v>125.69999980926499</v>
      </c>
      <c r="DC20">
        <v>273.50632000000002</v>
      </c>
      <c r="DD20">
        <v>-0.115923093080669</v>
      </c>
      <c r="DE20">
        <v>-9.9976922493647002</v>
      </c>
      <c r="DF20">
        <v>7098.9979999999996</v>
      </c>
      <c r="DG20">
        <v>15</v>
      </c>
      <c r="DH20">
        <v>1595003789.9000001</v>
      </c>
      <c r="DI20" t="s">
        <v>302</v>
      </c>
      <c r="DJ20">
        <v>32</v>
      </c>
      <c r="DK20">
        <v>-0.39700000000000002</v>
      </c>
      <c r="DL20">
        <v>0.10299999999999999</v>
      </c>
      <c r="DM20">
        <v>100</v>
      </c>
      <c r="DN20">
        <v>16</v>
      </c>
      <c r="DO20">
        <v>0.2</v>
      </c>
      <c r="DP20">
        <v>0.03</v>
      </c>
      <c r="DQ20">
        <v>97.711578431372502</v>
      </c>
      <c r="DR20">
        <v>7.8081447963774401E-3</v>
      </c>
      <c r="DS20">
        <v>6.0885077770479303E-3</v>
      </c>
      <c r="DT20">
        <v>1</v>
      </c>
      <c r="DU20">
        <v>19.291545098039201</v>
      </c>
      <c r="DV20">
        <v>-0.18078950226243201</v>
      </c>
      <c r="DW20">
        <v>2.4055143461455E-2</v>
      </c>
      <c r="DX20">
        <v>1</v>
      </c>
      <c r="DY20">
        <v>2</v>
      </c>
      <c r="DZ20">
        <v>2</v>
      </c>
      <c r="EA20" t="s">
        <v>283</v>
      </c>
      <c r="EB20">
        <v>1.8668100000000001</v>
      </c>
      <c r="EC20">
        <v>1.8633200000000001</v>
      </c>
      <c r="ED20">
        <v>1.8690500000000001</v>
      </c>
      <c r="EE20">
        <v>1.8669100000000001</v>
      </c>
      <c r="EF20">
        <v>1.87164</v>
      </c>
      <c r="EG20">
        <v>1.86405</v>
      </c>
      <c r="EH20">
        <v>1.8655900000000001</v>
      </c>
      <c r="EI20">
        <v>1.8655299999999999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-0.39700000000000002</v>
      </c>
      <c r="EX20">
        <v>0.10299999999999999</v>
      </c>
      <c r="EY20">
        <v>2</v>
      </c>
      <c r="EZ20">
        <v>328.76299999999998</v>
      </c>
      <c r="FA20">
        <v>473.74</v>
      </c>
      <c r="FB20">
        <v>22.566299999999998</v>
      </c>
      <c r="FC20">
        <v>35.768799999999999</v>
      </c>
      <c r="FD20">
        <v>29.998200000000001</v>
      </c>
      <c r="FE20">
        <v>35.848500000000001</v>
      </c>
      <c r="FF20">
        <v>35.852200000000003</v>
      </c>
      <c r="FG20">
        <v>8.0468100000000007</v>
      </c>
      <c r="FH20">
        <v>52.319499999999998</v>
      </c>
      <c r="FI20">
        <v>0</v>
      </c>
      <c r="FJ20">
        <v>22.642399999999999</v>
      </c>
      <c r="FK20">
        <v>100</v>
      </c>
      <c r="FL20">
        <v>16.2302</v>
      </c>
      <c r="FM20">
        <v>100.485</v>
      </c>
      <c r="FN20">
        <v>100.726</v>
      </c>
    </row>
    <row r="21" spans="1:170" x14ac:dyDescent="0.25">
      <c r="A21">
        <v>5</v>
      </c>
      <c r="B21">
        <v>1595003882.9000001</v>
      </c>
      <c r="C21">
        <v>481.5</v>
      </c>
      <c r="D21" t="s">
        <v>303</v>
      </c>
      <c r="E21" t="s">
        <v>304</v>
      </c>
      <c r="G21">
        <v>1595003874.90323</v>
      </c>
      <c r="H21">
        <f t="shared" si="0"/>
        <v>7.3171284388065423E-3</v>
      </c>
      <c r="I21">
        <f t="shared" si="1"/>
        <v>0.18179650854113774</v>
      </c>
      <c r="J21">
        <f t="shared" si="2"/>
        <v>49.7834741935484</v>
      </c>
      <c r="K21">
        <f t="shared" si="3"/>
        <v>47.817323230526696</v>
      </c>
      <c r="L21">
        <f t="shared" si="4"/>
        <v>4.7782166731342084</v>
      </c>
      <c r="M21">
        <f t="shared" si="5"/>
        <v>4.9746872130704887</v>
      </c>
      <c r="N21">
        <f t="shared" si="6"/>
        <v>0.4670901281149808</v>
      </c>
      <c r="O21">
        <f t="shared" si="7"/>
        <v>3.3936855042519292</v>
      </c>
      <c r="P21">
        <f t="shared" si="8"/>
        <v>0.43408929281506914</v>
      </c>
      <c r="Q21">
        <f t="shared" si="9"/>
        <v>0.27407625554545706</v>
      </c>
      <c r="R21">
        <f t="shared" si="10"/>
        <v>353.34005582122637</v>
      </c>
      <c r="S21">
        <f t="shared" si="11"/>
        <v>27.340655231041698</v>
      </c>
      <c r="T21">
        <f t="shared" si="12"/>
        <v>27.178729032258101</v>
      </c>
      <c r="U21">
        <f t="shared" si="13"/>
        <v>3.6169034237061628</v>
      </c>
      <c r="V21">
        <f t="shared" si="14"/>
        <v>54.720059990504687</v>
      </c>
      <c r="W21">
        <f t="shared" si="15"/>
        <v>1.9796840607109136</v>
      </c>
      <c r="X21">
        <f t="shared" si="16"/>
        <v>3.6178397118980476</v>
      </c>
      <c r="Y21">
        <f t="shared" si="17"/>
        <v>1.6372193629952492</v>
      </c>
      <c r="Z21">
        <f t="shared" si="18"/>
        <v>-322.6853641513685</v>
      </c>
      <c r="AA21">
        <f t="shared" si="19"/>
        <v>0.8073864197867785</v>
      </c>
      <c r="AB21">
        <f t="shared" si="20"/>
        <v>5.1436377481070363E-2</v>
      </c>
      <c r="AC21">
        <f t="shared" si="21"/>
        <v>31.513514467125727</v>
      </c>
      <c r="AD21">
        <v>-4.1349902149086598E-2</v>
      </c>
      <c r="AE21">
        <v>4.6418887612733002E-2</v>
      </c>
      <c r="AF21">
        <v>3.4662473376228098</v>
      </c>
      <c r="AG21">
        <v>151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52695.716730161737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274.29192</v>
      </c>
      <c r="AT21">
        <v>317.10599999999999</v>
      </c>
      <c r="AU21">
        <f t="shared" si="27"/>
        <v>0.13501504228869843</v>
      </c>
      <c r="AV21">
        <v>0.5</v>
      </c>
      <c r="AW21">
        <f t="shared" si="28"/>
        <v>1849.1969803542167</v>
      </c>
      <c r="AX21">
        <f t="shared" si="29"/>
        <v>0.18179650854113774</v>
      </c>
      <c r="AY21">
        <f t="shared" si="30"/>
        <v>124.834704251329</v>
      </c>
      <c r="AZ21">
        <f t="shared" si="31"/>
        <v>0.35113179819997098</v>
      </c>
      <c r="BA21">
        <f t="shared" si="32"/>
        <v>6.3908632833413058E-4</v>
      </c>
      <c r="BB21">
        <f t="shared" si="33"/>
        <v>-1</v>
      </c>
      <c r="BC21" t="s">
        <v>306</v>
      </c>
      <c r="BD21">
        <v>205.76</v>
      </c>
      <c r="BE21">
        <f t="shared" si="34"/>
        <v>111.346</v>
      </c>
      <c r="BF21">
        <f t="shared" si="35"/>
        <v>0.38451385770481195</v>
      </c>
      <c r="BG21">
        <f t="shared" si="36"/>
        <v>1.5411450233281494</v>
      </c>
      <c r="BH21">
        <f t="shared" si="37"/>
        <v>0.1350150422886984</v>
      </c>
      <c r="BI21" t="e">
        <f t="shared" si="38"/>
        <v>#DIV/0!</v>
      </c>
      <c r="BJ21">
        <v>4939</v>
      </c>
      <c r="BK21">
        <v>300</v>
      </c>
      <c r="BL21">
        <v>300</v>
      </c>
      <c r="BM21">
        <v>300</v>
      </c>
      <c r="BN21">
        <v>9867.89</v>
      </c>
      <c r="BO21">
        <v>303.721</v>
      </c>
      <c r="BP21">
        <v>-6.4005599999999996E-3</v>
      </c>
      <c r="BQ21">
        <v>8.4411600000000003E-2</v>
      </c>
      <c r="BR21">
        <f t="shared" si="39"/>
        <v>2200.0138709677399</v>
      </c>
      <c r="BS21">
        <f t="shared" si="40"/>
        <v>1849.1969803542167</v>
      </c>
      <c r="BT21">
        <f t="shared" si="41"/>
        <v>0.84053878239449187</v>
      </c>
      <c r="BU21">
        <f t="shared" si="42"/>
        <v>0.19107756478898397</v>
      </c>
      <c r="BV21">
        <v>0.5</v>
      </c>
      <c r="BW21" t="s">
        <v>281</v>
      </c>
      <c r="BX21">
        <v>1595003874.90323</v>
      </c>
      <c r="BY21">
        <v>49.7834741935484</v>
      </c>
      <c r="BZ21">
        <v>50.001877419354798</v>
      </c>
      <c r="CA21">
        <v>19.8114064516129</v>
      </c>
      <c r="CB21">
        <v>16.942858064516098</v>
      </c>
      <c r="CC21">
        <v>500.05541935483899</v>
      </c>
      <c r="CD21">
        <v>99.726496774193606</v>
      </c>
      <c r="CE21">
        <v>0.19998070967741899</v>
      </c>
      <c r="CF21">
        <v>27.183141935483899</v>
      </c>
      <c r="CG21">
        <v>27.178729032258101</v>
      </c>
      <c r="CH21">
        <v>999.9</v>
      </c>
      <c r="CI21">
        <v>9999.0777419354799</v>
      </c>
      <c r="CJ21">
        <v>0</v>
      </c>
      <c r="CK21">
        <v>458.79322580645203</v>
      </c>
      <c r="CL21">
        <v>2200.0138709677399</v>
      </c>
      <c r="CM21">
        <v>0.98199948387096803</v>
      </c>
      <c r="CN21">
        <v>1.8000841935483899E-2</v>
      </c>
      <c r="CO21">
        <v>0</v>
      </c>
      <c r="CP21">
        <v>274.26025806451599</v>
      </c>
      <c r="CQ21">
        <v>5.00054</v>
      </c>
      <c r="CR21">
        <v>8750.84</v>
      </c>
      <c r="CS21">
        <v>20590.654838709699</v>
      </c>
      <c r="CT21">
        <v>47.685193548387097</v>
      </c>
      <c r="CU21">
        <v>49.070322580645097</v>
      </c>
      <c r="CV21">
        <v>48.007870967741901</v>
      </c>
      <c r="CW21">
        <v>48.046129032258101</v>
      </c>
      <c r="CX21">
        <v>49.106483870967701</v>
      </c>
      <c r="CY21">
        <v>2155.5029032258099</v>
      </c>
      <c r="CZ21">
        <v>39.510967741935502</v>
      </c>
      <c r="DA21">
        <v>0</v>
      </c>
      <c r="DB21">
        <v>117.799999952316</v>
      </c>
      <c r="DC21">
        <v>274.29192</v>
      </c>
      <c r="DD21">
        <v>-0.352846163786671</v>
      </c>
      <c r="DE21">
        <v>-309.67999996741798</v>
      </c>
      <c r="DF21">
        <v>8747.1715999999997</v>
      </c>
      <c r="DG21">
        <v>15</v>
      </c>
      <c r="DH21">
        <v>1595003911.4000001</v>
      </c>
      <c r="DI21" t="s">
        <v>307</v>
      </c>
      <c r="DJ21">
        <v>33</v>
      </c>
      <c r="DK21">
        <v>-0.376</v>
      </c>
      <c r="DL21">
        <v>0.11700000000000001</v>
      </c>
      <c r="DM21">
        <v>50</v>
      </c>
      <c r="DN21">
        <v>17</v>
      </c>
      <c r="DO21">
        <v>0.18</v>
      </c>
      <c r="DP21">
        <v>0.03</v>
      </c>
      <c r="DQ21">
        <v>49.764788235294098</v>
      </c>
      <c r="DR21">
        <v>6.7120002550646396E-4</v>
      </c>
      <c r="DS21">
        <v>9.8420794681998297E-3</v>
      </c>
      <c r="DT21">
        <v>1</v>
      </c>
      <c r="DU21">
        <v>19.781037254901999</v>
      </c>
      <c r="DV21">
        <v>0.17703087479524801</v>
      </c>
      <c r="DW21">
        <v>2.3374176808692901E-2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1.8632500000000001</v>
      </c>
      <c r="ED21">
        <v>1.8689100000000001</v>
      </c>
      <c r="EE21">
        <v>1.86683</v>
      </c>
      <c r="EF21">
        <v>1.8715200000000001</v>
      </c>
      <c r="EG21">
        <v>1.8640099999999999</v>
      </c>
      <c r="EH21">
        <v>1.86554</v>
      </c>
      <c r="EI21">
        <v>1.8654299999999999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-0.376</v>
      </c>
      <c r="EX21">
        <v>0.11700000000000001</v>
      </c>
      <c r="EY21">
        <v>2</v>
      </c>
      <c r="EZ21">
        <v>330.37400000000002</v>
      </c>
      <c r="FA21">
        <v>475.63</v>
      </c>
      <c r="FB21">
        <v>21.656500000000001</v>
      </c>
      <c r="FC21">
        <v>35.335099999999997</v>
      </c>
      <c r="FD21">
        <v>30.000499999999999</v>
      </c>
      <c r="FE21">
        <v>35.543500000000002</v>
      </c>
      <c r="FF21">
        <v>35.564399999999999</v>
      </c>
      <c r="FG21">
        <v>5.6114800000000002</v>
      </c>
      <c r="FH21">
        <v>50.148000000000003</v>
      </c>
      <c r="FI21">
        <v>0</v>
      </c>
      <c r="FJ21">
        <v>21.459700000000002</v>
      </c>
      <c r="FK21">
        <v>50</v>
      </c>
      <c r="FL21">
        <v>17.0258</v>
      </c>
      <c r="FM21">
        <v>100.55</v>
      </c>
      <c r="FN21">
        <v>100.809</v>
      </c>
    </row>
    <row r="22" spans="1:170" x14ac:dyDescent="0.25">
      <c r="A22">
        <v>6</v>
      </c>
      <c r="B22">
        <v>1595004007.5</v>
      </c>
      <c r="C22">
        <v>606.09999990463302</v>
      </c>
      <c r="D22" t="s">
        <v>308</v>
      </c>
      <c r="E22" t="s">
        <v>309</v>
      </c>
      <c r="G22">
        <v>1595003999.4193599</v>
      </c>
      <c r="H22">
        <f t="shared" si="0"/>
        <v>8.1662093202253382E-3</v>
      </c>
      <c r="I22">
        <f t="shared" si="1"/>
        <v>27.794762880980876</v>
      </c>
      <c r="J22">
        <f t="shared" si="2"/>
        <v>387.625612903226</v>
      </c>
      <c r="K22">
        <f t="shared" si="3"/>
        <v>289.83812842797289</v>
      </c>
      <c r="L22">
        <f t="shared" si="4"/>
        <v>28.96081511291861</v>
      </c>
      <c r="M22">
        <f t="shared" si="5"/>
        <v>38.731804435839869</v>
      </c>
      <c r="N22">
        <f t="shared" si="6"/>
        <v>0.53750413929590424</v>
      </c>
      <c r="O22">
        <f t="shared" si="7"/>
        <v>3.3931189021802028</v>
      </c>
      <c r="P22">
        <f t="shared" si="8"/>
        <v>0.49428997849600564</v>
      </c>
      <c r="Q22">
        <f t="shared" si="9"/>
        <v>0.31252382044863491</v>
      </c>
      <c r="R22">
        <f t="shared" si="10"/>
        <v>353.33475013260585</v>
      </c>
      <c r="S22">
        <f t="shared" si="11"/>
        <v>26.851360185639521</v>
      </c>
      <c r="T22">
        <f t="shared" si="12"/>
        <v>26.948309677419399</v>
      </c>
      <c r="U22">
        <f t="shared" si="13"/>
        <v>3.5683081070176144</v>
      </c>
      <c r="V22">
        <f t="shared" si="14"/>
        <v>55.218667644972918</v>
      </c>
      <c r="W22">
        <f t="shared" si="15"/>
        <v>1.9632032819583787</v>
      </c>
      <c r="X22">
        <f t="shared" si="16"/>
        <v>3.5553253377657472</v>
      </c>
      <c r="Y22">
        <f t="shared" si="17"/>
        <v>1.6051048250592357</v>
      </c>
      <c r="Z22">
        <f t="shared" si="18"/>
        <v>-360.12983102193743</v>
      </c>
      <c r="AA22">
        <f t="shared" si="19"/>
        <v>-11.345779901271877</v>
      </c>
      <c r="AB22">
        <f t="shared" si="20"/>
        <v>-0.72102618071040758</v>
      </c>
      <c r="AC22">
        <f t="shared" si="21"/>
        <v>-18.861886971313858</v>
      </c>
      <c r="AD22">
        <v>-4.1341126473578897E-2</v>
      </c>
      <c r="AE22">
        <v>4.6409036148184202E-2</v>
      </c>
      <c r="AF22">
        <v>3.4656653357781502</v>
      </c>
      <c r="AG22">
        <v>150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52737.016215799333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274.69824</v>
      </c>
      <c r="AT22">
        <v>347.85500000000002</v>
      </c>
      <c r="AU22">
        <f t="shared" si="27"/>
        <v>0.21030820313061482</v>
      </c>
      <c r="AV22">
        <v>0.5</v>
      </c>
      <c r="AW22">
        <f t="shared" si="28"/>
        <v>1849.1693126122896</v>
      </c>
      <c r="AX22">
        <f t="shared" si="29"/>
        <v>27.794762880980876</v>
      </c>
      <c r="AY22">
        <f t="shared" si="30"/>
        <v>194.44773770988238</v>
      </c>
      <c r="AZ22">
        <f t="shared" si="31"/>
        <v>0.45437035546420201</v>
      </c>
      <c r="BA22">
        <f t="shared" si="32"/>
        <v>1.5571728713312364E-2</v>
      </c>
      <c r="BB22">
        <f t="shared" si="33"/>
        <v>-1</v>
      </c>
      <c r="BC22" t="s">
        <v>311</v>
      </c>
      <c r="BD22">
        <v>189.8</v>
      </c>
      <c r="BE22">
        <f t="shared" si="34"/>
        <v>158.05500000000001</v>
      </c>
      <c r="BF22">
        <f t="shared" si="35"/>
        <v>0.46285634747398069</v>
      </c>
      <c r="BG22">
        <f t="shared" si="36"/>
        <v>1.8327449947312962</v>
      </c>
      <c r="BH22">
        <f t="shared" si="37"/>
        <v>0.21030820313061482</v>
      </c>
      <c r="BI22" t="e">
        <f t="shared" si="38"/>
        <v>#DIV/0!</v>
      </c>
      <c r="BJ22">
        <v>4941</v>
      </c>
      <c r="BK22">
        <v>300</v>
      </c>
      <c r="BL22">
        <v>300</v>
      </c>
      <c r="BM22">
        <v>300</v>
      </c>
      <c r="BN22">
        <v>9867.64</v>
      </c>
      <c r="BO22">
        <v>326.93099999999998</v>
      </c>
      <c r="BP22">
        <v>-6.4005800000000003E-3</v>
      </c>
      <c r="BQ22">
        <v>1.0065599999999999</v>
      </c>
      <c r="BR22">
        <f t="shared" si="39"/>
        <v>2199.9809677419398</v>
      </c>
      <c r="BS22">
        <f t="shared" si="40"/>
        <v>1849.1693126122896</v>
      </c>
      <c r="BT22">
        <f t="shared" si="41"/>
        <v>0.84053877725600357</v>
      </c>
      <c r="BU22">
        <f t="shared" si="42"/>
        <v>0.19107755451200731</v>
      </c>
      <c r="BV22">
        <v>0.5</v>
      </c>
      <c r="BW22" t="s">
        <v>281</v>
      </c>
      <c r="BX22">
        <v>1595003999.4193599</v>
      </c>
      <c r="BY22">
        <v>387.625612903226</v>
      </c>
      <c r="BZ22">
        <v>400.00854838709699</v>
      </c>
      <c r="CA22">
        <v>19.647622580645201</v>
      </c>
      <c r="CB22">
        <v>16.4456129032258</v>
      </c>
      <c r="CC22">
        <v>500.04612903225802</v>
      </c>
      <c r="CD22">
        <v>99.720664516129006</v>
      </c>
      <c r="CE22">
        <v>0.199988677419355</v>
      </c>
      <c r="CF22">
        <v>26.8862870967742</v>
      </c>
      <c r="CG22">
        <v>26.948309677419399</v>
      </c>
      <c r="CH22">
        <v>999.9</v>
      </c>
      <c r="CI22">
        <v>9997.5403225806494</v>
      </c>
      <c r="CJ22">
        <v>0</v>
      </c>
      <c r="CK22">
        <v>432.10841935483899</v>
      </c>
      <c r="CL22">
        <v>2199.9809677419398</v>
      </c>
      <c r="CM22">
        <v>0.98200038709677395</v>
      </c>
      <c r="CN22">
        <v>1.7999893548387099E-2</v>
      </c>
      <c r="CO22">
        <v>0</v>
      </c>
      <c r="CP22">
        <v>274.67867741935498</v>
      </c>
      <c r="CQ22">
        <v>5.00054</v>
      </c>
      <c r="CR22">
        <v>8604.5787096774202</v>
      </c>
      <c r="CS22">
        <v>20590.3516129032</v>
      </c>
      <c r="CT22">
        <v>47.782064516128997</v>
      </c>
      <c r="CU22">
        <v>49.294064516128998</v>
      </c>
      <c r="CV22">
        <v>48.114709677419299</v>
      </c>
      <c r="CW22">
        <v>48.239645161290298</v>
      </c>
      <c r="CX22">
        <v>49.205387096774203</v>
      </c>
      <c r="CY22">
        <v>2155.4709677419401</v>
      </c>
      <c r="CZ22">
        <v>39.51</v>
      </c>
      <c r="DA22">
        <v>0</v>
      </c>
      <c r="DB22">
        <v>123.59999990463299</v>
      </c>
      <c r="DC22">
        <v>274.69824</v>
      </c>
      <c r="DD22">
        <v>1.00507692032261</v>
      </c>
      <c r="DE22">
        <v>67.816922979183303</v>
      </c>
      <c r="DF22">
        <v>8605.3436000000002</v>
      </c>
      <c r="DG22">
        <v>15</v>
      </c>
      <c r="DH22">
        <v>1595004041.4000001</v>
      </c>
      <c r="DI22" t="s">
        <v>312</v>
      </c>
      <c r="DJ22">
        <v>34</v>
      </c>
      <c r="DK22">
        <v>-0.29699999999999999</v>
      </c>
      <c r="DL22">
        <v>0.108</v>
      </c>
      <c r="DM22">
        <v>400</v>
      </c>
      <c r="DN22">
        <v>16</v>
      </c>
      <c r="DO22">
        <v>0.22</v>
      </c>
      <c r="DP22">
        <v>0.02</v>
      </c>
      <c r="DQ22">
        <v>387.51594117647102</v>
      </c>
      <c r="DR22">
        <v>0.27664829388254403</v>
      </c>
      <c r="DS22">
        <v>4.1450377497612302E-2</v>
      </c>
      <c r="DT22">
        <v>1</v>
      </c>
      <c r="DU22">
        <v>19.662835294117599</v>
      </c>
      <c r="DV22">
        <v>-6.3968386434452504E-2</v>
      </c>
      <c r="DW22">
        <v>9.9797407237609808E-3</v>
      </c>
      <c r="DX22">
        <v>1</v>
      </c>
      <c r="DY22">
        <v>2</v>
      </c>
      <c r="DZ22">
        <v>2</v>
      </c>
      <c r="EA22" t="s">
        <v>283</v>
      </c>
      <c r="EB22">
        <v>1.86676</v>
      </c>
      <c r="EC22">
        <v>1.8632599999999999</v>
      </c>
      <c r="ED22">
        <v>1.86893</v>
      </c>
      <c r="EE22">
        <v>1.8668800000000001</v>
      </c>
      <c r="EF22">
        <v>1.8715999999999999</v>
      </c>
      <c r="EG22">
        <v>1.8640099999999999</v>
      </c>
      <c r="EH22">
        <v>1.86554</v>
      </c>
      <c r="EI22">
        <v>1.86548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-0.29699999999999999</v>
      </c>
      <c r="EX22">
        <v>0.108</v>
      </c>
      <c r="EY22">
        <v>2</v>
      </c>
      <c r="EZ22">
        <v>331.32</v>
      </c>
      <c r="FA22">
        <v>475.512</v>
      </c>
      <c r="FB22">
        <v>21.747399999999999</v>
      </c>
      <c r="FC22">
        <v>35.160200000000003</v>
      </c>
      <c r="FD22">
        <v>29.9999</v>
      </c>
      <c r="FE22">
        <v>35.348999999999997</v>
      </c>
      <c r="FF22">
        <v>35.380699999999997</v>
      </c>
      <c r="FG22">
        <v>22.003599999999999</v>
      </c>
      <c r="FH22">
        <v>52.132599999999996</v>
      </c>
      <c r="FI22">
        <v>0</v>
      </c>
      <c r="FJ22">
        <v>21.7821</v>
      </c>
      <c r="FK22">
        <v>400</v>
      </c>
      <c r="FL22">
        <v>16.426400000000001</v>
      </c>
      <c r="FM22">
        <v>100.583</v>
      </c>
      <c r="FN22">
        <v>100.849</v>
      </c>
    </row>
    <row r="23" spans="1:170" x14ac:dyDescent="0.25">
      <c r="A23">
        <v>7</v>
      </c>
      <c r="B23">
        <v>1595004133</v>
      </c>
      <c r="C23">
        <v>731.59999990463302</v>
      </c>
      <c r="D23" t="s">
        <v>313</v>
      </c>
      <c r="E23" t="s">
        <v>314</v>
      </c>
      <c r="G23">
        <v>1595004124.95806</v>
      </c>
      <c r="H23">
        <f t="shared" si="0"/>
        <v>7.6784749006517739E-3</v>
      </c>
      <c r="I23">
        <f t="shared" si="1"/>
        <v>28.814451295213267</v>
      </c>
      <c r="J23">
        <f t="shared" si="2"/>
        <v>387.27474193548397</v>
      </c>
      <c r="K23">
        <f t="shared" si="3"/>
        <v>278.11695882745181</v>
      </c>
      <c r="L23">
        <f t="shared" si="4"/>
        <v>27.789160774321065</v>
      </c>
      <c r="M23">
        <f t="shared" si="5"/>
        <v>38.696094308135322</v>
      </c>
      <c r="N23">
        <f t="shared" si="6"/>
        <v>0.4912930876362529</v>
      </c>
      <c r="O23">
        <f t="shared" si="7"/>
        <v>3.394004021712778</v>
      </c>
      <c r="P23">
        <f t="shared" si="8"/>
        <v>0.45492949463161231</v>
      </c>
      <c r="Q23">
        <f t="shared" si="9"/>
        <v>0.28737344364050343</v>
      </c>
      <c r="R23">
        <f t="shared" si="10"/>
        <v>353.34124846525481</v>
      </c>
      <c r="S23">
        <f t="shared" si="11"/>
        <v>27.103213072709512</v>
      </c>
      <c r="T23">
        <f t="shared" si="12"/>
        <v>27.132632258064501</v>
      </c>
      <c r="U23">
        <f t="shared" si="13"/>
        <v>3.6071356812706732</v>
      </c>
      <c r="V23">
        <f t="shared" si="14"/>
        <v>54.887974444758747</v>
      </c>
      <c r="W23">
        <f t="shared" si="15"/>
        <v>1.9677120620577746</v>
      </c>
      <c r="X23">
        <f t="shared" si="16"/>
        <v>3.5849602430458636</v>
      </c>
      <c r="Y23">
        <f t="shared" si="17"/>
        <v>1.6394236192128986</v>
      </c>
      <c r="Z23">
        <f t="shared" si="18"/>
        <v>-338.62074311874323</v>
      </c>
      <c r="AA23">
        <f t="shared" si="19"/>
        <v>-19.223266708547985</v>
      </c>
      <c r="AB23">
        <f t="shared" si="20"/>
        <v>-1.2233131990823745</v>
      </c>
      <c r="AC23">
        <f t="shared" si="21"/>
        <v>-5.7260745611187964</v>
      </c>
      <c r="AD23">
        <v>-4.1354835718118099E-2</v>
      </c>
      <c r="AE23">
        <v>4.6424425976175299E-2</v>
      </c>
      <c r="AF23">
        <v>3.4665745126329002</v>
      </c>
      <c r="AG23">
        <v>151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52728.910600090654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273.63979999999998</v>
      </c>
      <c r="AT23">
        <v>354.22800000000001</v>
      </c>
      <c r="AU23">
        <f t="shared" si="27"/>
        <v>0.22750375464390171</v>
      </c>
      <c r="AV23">
        <v>0.5</v>
      </c>
      <c r="AW23">
        <f t="shared" si="28"/>
        <v>1849.2056518433074</v>
      </c>
      <c r="AX23">
        <f t="shared" si="29"/>
        <v>28.814451295213267</v>
      </c>
      <c r="AY23">
        <f t="shared" si="30"/>
        <v>210.35061445153806</v>
      </c>
      <c r="AZ23">
        <f t="shared" si="31"/>
        <v>0.45910543491762373</v>
      </c>
      <c r="BA23">
        <f t="shared" si="32"/>
        <v>1.612284240289549E-2</v>
      </c>
      <c r="BB23">
        <f t="shared" si="33"/>
        <v>-1</v>
      </c>
      <c r="BC23" t="s">
        <v>316</v>
      </c>
      <c r="BD23">
        <v>191.6</v>
      </c>
      <c r="BE23">
        <f t="shared" si="34"/>
        <v>162.62800000000001</v>
      </c>
      <c r="BF23">
        <f t="shared" si="35"/>
        <v>0.49553705388985919</v>
      </c>
      <c r="BG23">
        <f t="shared" si="36"/>
        <v>1.8487891440501045</v>
      </c>
      <c r="BH23">
        <f t="shared" si="37"/>
        <v>0.22750375464390174</v>
      </c>
      <c r="BI23" t="e">
        <f t="shared" si="38"/>
        <v>#DIV/0!</v>
      </c>
      <c r="BJ23">
        <v>4943</v>
      </c>
      <c r="BK23">
        <v>300</v>
      </c>
      <c r="BL23">
        <v>300</v>
      </c>
      <c r="BM23">
        <v>300</v>
      </c>
      <c r="BN23">
        <v>9866.44</v>
      </c>
      <c r="BO23">
        <v>329.40699999999998</v>
      </c>
      <c r="BP23">
        <v>-6.3995800000000002E-3</v>
      </c>
      <c r="BQ23">
        <v>0.59899899999999995</v>
      </c>
      <c r="BR23">
        <f t="shared" si="39"/>
        <v>2200.02451612903</v>
      </c>
      <c r="BS23">
        <f t="shared" si="40"/>
        <v>1849.2056518433074</v>
      </c>
      <c r="BT23">
        <f t="shared" si="41"/>
        <v>0.84053865685870055</v>
      </c>
      <c r="BU23">
        <f t="shared" si="42"/>
        <v>0.19107731371740108</v>
      </c>
      <c r="BV23">
        <v>0.5</v>
      </c>
      <c r="BW23" t="s">
        <v>281</v>
      </c>
      <c r="BX23">
        <v>1595004124.95806</v>
      </c>
      <c r="BY23">
        <v>387.27474193548397</v>
      </c>
      <c r="BZ23">
        <v>399.98851612903201</v>
      </c>
      <c r="CA23">
        <v>19.6930774193548</v>
      </c>
      <c r="CB23">
        <v>16.682522580645202</v>
      </c>
      <c r="CC23">
        <v>500.05812903225802</v>
      </c>
      <c r="CD23">
        <v>99.718961290322596</v>
      </c>
      <c r="CE23">
        <v>0.200011258064516</v>
      </c>
      <c r="CF23">
        <v>27.0275741935484</v>
      </c>
      <c r="CG23">
        <v>27.132632258064501</v>
      </c>
      <c r="CH23">
        <v>999.9</v>
      </c>
      <c r="CI23">
        <v>10001.026451612899</v>
      </c>
      <c r="CJ23">
        <v>0</v>
      </c>
      <c r="CK23">
        <v>437.57825806451598</v>
      </c>
      <c r="CL23">
        <v>2200.02451612903</v>
      </c>
      <c r="CM23">
        <v>0.982002516129032</v>
      </c>
      <c r="CN23">
        <v>1.7997658064516101E-2</v>
      </c>
      <c r="CO23">
        <v>0</v>
      </c>
      <c r="CP23">
        <v>273.65919354838701</v>
      </c>
      <c r="CQ23">
        <v>5.00054</v>
      </c>
      <c r="CR23">
        <v>8600.5383870967707</v>
      </c>
      <c r="CS23">
        <v>20590.7903225806</v>
      </c>
      <c r="CT23">
        <v>48.04</v>
      </c>
      <c r="CU23">
        <v>49.652999999999999</v>
      </c>
      <c r="CV23">
        <v>48.358741935483899</v>
      </c>
      <c r="CW23">
        <v>48.608612903225797</v>
      </c>
      <c r="CX23">
        <v>49.419064516128998</v>
      </c>
      <c r="CY23">
        <v>2155.5216129032301</v>
      </c>
      <c r="CZ23">
        <v>39.501935483871002</v>
      </c>
      <c r="DA23">
        <v>0</v>
      </c>
      <c r="DB23">
        <v>125</v>
      </c>
      <c r="DC23">
        <v>273.63979999999998</v>
      </c>
      <c r="DD23">
        <v>0.148846133462121</v>
      </c>
      <c r="DE23">
        <v>-65.173845844122297</v>
      </c>
      <c r="DF23">
        <v>8600.0103999999992</v>
      </c>
      <c r="DG23">
        <v>15</v>
      </c>
      <c r="DH23">
        <v>1595004160</v>
      </c>
      <c r="DI23" t="s">
        <v>317</v>
      </c>
      <c r="DJ23">
        <v>35</v>
      </c>
      <c r="DK23">
        <v>-0.34200000000000003</v>
      </c>
      <c r="DL23">
        <v>0.11</v>
      </c>
      <c r="DM23">
        <v>400</v>
      </c>
      <c r="DN23">
        <v>17</v>
      </c>
      <c r="DO23">
        <v>0.25</v>
      </c>
      <c r="DP23">
        <v>0.04</v>
      </c>
      <c r="DQ23">
        <v>387.33654901960801</v>
      </c>
      <c r="DR23">
        <v>-0.174488439865531</v>
      </c>
      <c r="DS23">
        <v>2.8335049815704502E-2</v>
      </c>
      <c r="DT23">
        <v>1</v>
      </c>
      <c r="DU23">
        <v>19.6731529411765</v>
      </c>
      <c r="DV23">
        <v>0.176426717054813</v>
      </c>
      <c r="DW23">
        <v>2.3685275917140099E-2</v>
      </c>
      <c r="DX23">
        <v>1</v>
      </c>
      <c r="DY23">
        <v>2</v>
      </c>
      <c r="DZ23">
        <v>2</v>
      </c>
      <c r="EA23" t="s">
        <v>283</v>
      </c>
      <c r="EB23">
        <v>1.8667100000000001</v>
      </c>
      <c r="EC23">
        <v>1.8632200000000001</v>
      </c>
      <c r="ED23">
        <v>1.86887</v>
      </c>
      <c r="EE23">
        <v>1.86676</v>
      </c>
      <c r="EF23">
        <v>1.8714900000000001</v>
      </c>
      <c r="EG23">
        <v>1.86395</v>
      </c>
      <c r="EH23">
        <v>1.8654500000000001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-0.34200000000000003</v>
      </c>
      <c r="EX23">
        <v>0.11</v>
      </c>
      <c r="EY23">
        <v>2</v>
      </c>
      <c r="EZ23">
        <v>330.63299999999998</v>
      </c>
      <c r="FA23">
        <v>474.26900000000001</v>
      </c>
      <c r="FB23">
        <v>20.655799999999999</v>
      </c>
      <c r="FC23">
        <v>35.207599999999999</v>
      </c>
      <c r="FD23">
        <v>30.0016</v>
      </c>
      <c r="FE23">
        <v>35.329000000000001</v>
      </c>
      <c r="FF23">
        <v>35.355699999999999</v>
      </c>
      <c r="FG23">
        <v>22.006900000000002</v>
      </c>
      <c r="FH23">
        <v>51.5381</v>
      </c>
      <c r="FI23">
        <v>0</v>
      </c>
      <c r="FJ23">
        <v>20.550899999999999</v>
      </c>
      <c r="FK23">
        <v>400</v>
      </c>
      <c r="FL23">
        <v>16.732299999999999</v>
      </c>
      <c r="FM23">
        <v>100.568</v>
      </c>
      <c r="FN23">
        <v>100.824</v>
      </c>
    </row>
    <row r="24" spans="1:170" x14ac:dyDescent="0.25">
      <c r="A24">
        <v>8</v>
      </c>
      <c r="B24">
        <v>1595004272.9000001</v>
      </c>
      <c r="C24">
        <v>871.5</v>
      </c>
      <c r="D24" t="s">
        <v>318</v>
      </c>
      <c r="E24" t="s">
        <v>319</v>
      </c>
      <c r="G24">
        <v>1595004264.9516101</v>
      </c>
      <c r="H24">
        <f t="shared" si="0"/>
        <v>6.9574300098035951E-3</v>
      </c>
      <c r="I24">
        <f t="shared" si="1"/>
        <v>33.44280100317193</v>
      </c>
      <c r="J24">
        <f t="shared" si="2"/>
        <v>485.280709677419</v>
      </c>
      <c r="K24">
        <f t="shared" si="3"/>
        <v>344.35202505832547</v>
      </c>
      <c r="L24">
        <f t="shared" si="4"/>
        <v>34.406550440100574</v>
      </c>
      <c r="M24">
        <f t="shared" si="5"/>
        <v>48.487692826246196</v>
      </c>
      <c r="N24">
        <f t="shared" si="6"/>
        <v>0.4376190802860479</v>
      </c>
      <c r="O24">
        <f t="shared" si="7"/>
        <v>3.3955537485194136</v>
      </c>
      <c r="P24">
        <f t="shared" si="8"/>
        <v>0.40852700886791826</v>
      </c>
      <c r="Q24">
        <f t="shared" si="9"/>
        <v>0.2577818486296502</v>
      </c>
      <c r="R24">
        <f t="shared" si="10"/>
        <v>353.33537261102038</v>
      </c>
      <c r="S24">
        <f t="shared" si="11"/>
        <v>26.865707302973586</v>
      </c>
      <c r="T24">
        <f t="shared" si="12"/>
        <v>27.017835483871</v>
      </c>
      <c r="U24">
        <f t="shared" si="13"/>
        <v>3.5829106563207729</v>
      </c>
      <c r="V24">
        <f t="shared" si="14"/>
        <v>55.068790428698932</v>
      </c>
      <c r="W24">
        <f t="shared" si="15"/>
        <v>1.9282036426470757</v>
      </c>
      <c r="X24">
        <f t="shared" si="16"/>
        <v>3.5014454242347011</v>
      </c>
      <c r="Y24">
        <f t="shared" si="17"/>
        <v>1.6547070136736972</v>
      </c>
      <c r="Z24">
        <f t="shared" si="18"/>
        <v>-306.82266343233857</v>
      </c>
      <c r="AA24">
        <f t="shared" si="19"/>
        <v>-71.591650624288093</v>
      </c>
      <c r="AB24">
        <f t="shared" si="20"/>
        <v>-4.5420815984290535</v>
      </c>
      <c r="AC24">
        <f t="shared" si="21"/>
        <v>-29.621023044035326</v>
      </c>
      <c r="AD24">
        <v>-4.1378842673516499E-2</v>
      </c>
      <c r="AE24">
        <v>4.64513758867348E-2</v>
      </c>
      <c r="AF24">
        <v>3.4681663674400101</v>
      </c>
      <c r="AG24">
        <v>153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52828.796515076887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279.70603999999997</v>
      </c>
      <c r="AT24">
        <v>366.47399999999999</v>
      </c>
      <c r="AU24">
        <f t="shared" si="27"/>
        <v>0.23676429978661517</v>
      </c>
      <c r="AV24">
        <v>0.5</v>
      </c>
      <c r="AW24">
        <f t="shared" si="28"/>
        <v>1849.1752448704215</v>
      </c>
      <c r="AX24">
        <f t="shared" si="29"/>
        <v>33.44280100317193</v>
      </c>
      <c r="AY24">
        <f t="shared" si="30"/>
        <v>218.909341017244</v>
      </c>
      <c r="AZ24">
        <f t="shared" si="31"/>
        <v>0.47537888090287445</v>
      </c>
      <c r="BA24">
        <f t="shared" si="32"/>
        <v>1.8626034010954685E-2</v>
      </c>
      <c r="BB24">
        <f t="shared" si="33"/>
        <v>-1</v>
      </c>
      <c r="BC24" t="s">
        <v>321</v>
      </c>
      <c r="BD24">
        <v>192.26</v>
      </c>
      <c r="BE24">
        <f t="shared" si="34"/>
        <v>174.214</v>
      </c>
      <c r="BF24">
        <f t="shared" si="35"/>
        <v>0.49805388774725345</v>
      </c>
      <c r="BG24">
        <f t="shared" si="36"/>
        <v>1.9061375221054822</v>
      </c>
      <c r="BH24">
        <f t="shared" si="37"/>
        <v>0.2367642997866152</v>
      </c>
      <c r="BI24" t="e">
        <f t="shared" si="38"/>
        <v>#DIV/0!</v>
      </c>
      <c r="BJ24">
        <v>4945</v>
      </c>
      <c r="BK24">
        <v>300</v>
      </c>
      <c r="BL24">
        <v>300</v>
      </c>
      <c r="BM24">
        <v>300</v>
      </c>
      <c r="BN24">
        <v>9865.0300000000007</v>
      </c>
      <c r="BO24">
        <v>342.72500000000002</v>
      </c>
      <c r="BP24">
        <v>-6.3987100000000002E-3</v>
      </c>
      <c r="BQ24">
        <v>0.87432900000000002</v>
      </c>
      <c r="BR24">
        <f t="shared" si="39"/>
        <v>2199.9883870967701</v>
      </c>
      <c r="BS24">
        <f t="shared" si="40"/>
        <v>1849.1752448704215</v>
      </c>
      <c r="BT24">
        <f t="shared" si="41"/>
        <v>0.84053863907468096</v>
      </c>
      <c r="BU24">
        <f t="shared" si="42"/>
        <v>0.19107727814936215</v>
      </c>
      <c r="BV24">
        <v>0.5</v>
      </c>
      <c r="BW24" t="s">
        <v>281</v>
      </c>
      <c r="BX24">
        <v>1595004264.9516101</v>
      </c>
      <c r="BY24">
        <v>485.280709677419</v>
      </c>
      <c r="BZ24">
        <v>500.00716129032298</v>
      </c>
      <c r="CA24">
        <v>19.298093548387101</v>
      </c>
      <c r="CB24">
        <v>16.5690483870968</v>
      </c>
      <c r="CC24">
        <v>500.04045161290298</v>
      </c>
      <c r="CD24">
        <v>99.716858064516103</v>
      </c>
      <c r="CE24">
        <v>0.19993619354838699</v>
      </c>
      <c r="CF24">
        <v>26.626754838709701</v>
      </c>
      <c r="CG24">
        <v>27.017835483871</v>
      </c>
      <c r="CH24">
        <v>999.9</v>
      </c>
      <c r="CI24">
        <v>10007.043225806499</v>
      </c>
      <c r="CJ24">
        <v>0</v>
      </c>
      <c r="CK24">
        <v>437.02716129032302</v>
      </c>
      <c r="CL24">
        <v>2199.9883870967701</v>
      </c>
      <c r="CM24">
        <v>0.98200464516129005</v>
      </c>
      <c r="CN24">
        <v>1.7995422580645199E-2</v>
      </c>
      <c r="CO24">
        <v>0</v>
      </c>
      <c r="CP24">
        <v>279.71509677419402</v>
      </c>
      <c r="CQ24">
        <v>5.00054</v>
      </c>
      <c r="CR24">
        <v>8745.2345161290305</v>
      </c>
      <c r="CS24">
        <v>20590.451612903202</v>
      </c>
      <c r="CT24">
        <v>48.505838709677398</v>
      </c>
      <c r="CU24">
        <v>50.253999999999998</v>
      </c>
      <c r="CV24">
        <v>48.850612903225802</v>
      </c>
      <c r="CW24">
        <v>49.148935483871</v>
      </c>
      <c r="CX24">
        <v>49.806064516128998</v>
      </c>
      <c r="CY24">
        <v>2155.4883870967701</v>
      </c>
      <c r="CZ24">
        <v>39.5</v>
      </c>
      <c r="DA24">
        <v>0</v>
      </c>
      <c r="DB24">
        <v>139.40000009536701</v>
      </c>
      <c r="DC24">
        <v>279.70603999999997</v>
      </c>
      <c r="DD24">
        <v>0.25807693035159401</v>
      </c>
      <c r="DE24">
        <v>-9.7638461357560509</v>
      </c>
      <c r="DF24">
        <v>8745.0651999999991</v>
      </c>
      <c r="DG24">
        <v>15</v>
      </c>
      <c r="DH24">
        <v>1595004306.9000001</v>
      </c>
      <c r="DI24" t="s">
        <v>322</v>
      </c>
      <c r="DJ24">
        <v>36</v>
      </c>
      <c r="DK24">
        <v>-0.34300000000000003</v>
      </c>
      <c r="DL24">
        <v>0.106</v>
      </c>
      <c r="DM24">
        <v>500</v>
      </c>
      <c r="DN24">
        <v>17</v>
      </c>
      <c r="DO24">
        <v>0.17</v>
      </c>
      <c r="DP24">
        <v>0.04</v>
      </c>
      <c r="DQ24">
        <v>485.25280392156901</v>
      </c>
      <c r="DR24">
        <v>0.29948225438592402</v>
      </c>
      <c r="DS24">
        <v>3.8871845554057698E-2</v>
      </c>
      <c r="DT24">
        <v>1</v>
      </c>
      <c r="DU24">
        <v>19.314490196078399</v>
      </c>
      <c r="DV24">
        <v>-0.13582578544273299</v>
      </c>
      <c r="DW24">
        <v>1.6725995440958399E-2</v>
      </c>
      <c r="DX24">
        <v>1</v>
      </c>
      <c r="DY24">
        <v>2</v>
      </c>
      <c r="DZ24">
        <v>2</v>
      </c>
      <c r="EA24" t="s">
        <v>283</v>
      </c>
      <c r="EB24">
        <v>1.8667499999999999</v>
      </c>
      <c r="EC24">
        <v>1.86324</v>
      </c>
      <c r="ED24">
        <v>1.8689</v>
      </c>
      <c r="EE24">
        <v>1.86676</v>
      </c>
      <c r="EF24">
        <v>1.8714999999999999</v>
      </c>
      <c r="EG24">
        <v>1.8640099999999999</v>
      </c>
      <c r="EH24">
        <v>1.86551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-0.34300000000000003</v>
      </c>
      <c r="EX24">
        <v>0.106</v>
      </c>
      <c r="EY24">
        <v>2</v>
      </c>
      <c r="EZ24">
        <v>329.03500000000003</v>
      </c>
      <c r="FA24">
        <v>471.678</v>
      </c>
      <c r="FB24">
        <v>20.488800000000001</v>
      </c>
      <c r="FC24">
        <v>35.569200000000002</v>
      </c>
      <c r="FD24">
        <v>30.0016</v>
      </c>
      <c r="FE24">
        <v>35.538899999999998</v>
      </c>
      <c r="FF24">
        <v>35.548200000000001</v>
      </c>
      <c r="FG24">
        <v>26.3035</v>
      </c>
      <c r="FH24">
        <v>52.003399999999999</v>
      </c>
      <c r="FI24">
        <v>0</v>
      </c>
      <c r="FJ24">
        <v>20.4846</v>
      </c>
      <c r="FK24">
        <v>500</v>
      </c>
      <c r="FL24">
        <v>16.603000000000002</v>
      </c>
      <c r="FM24">
        <v>100.492</v>
      </c>
      <c r="FN24">
        <v>100.732</v>
      </c>
    </row>
    <row r="25" spans="1:170" x14ac:dyDescent="0.25">
      <c r="A25">
        <v>9</v>
      </c>
      <c r="B25">
        <v>1595004408.5</v>
      </c>
      <c r="C25">
        <v>1007.09999990463</v>
      </c>
      <c r="D25" t="s">
        <v>323</v>
      </c>
      <c r="E25" t="s">
        <v>324</v>
      </c>
      <c r="G25">
        <v>1595004400.5</v>
      </c>
      <c r="H25">
        <f t="shared" si="0"/>
        <v>6.1843764136207957E-3</v>
      </c>
      <c r="I25">
        <f t="shared" si="1"/>
        <v>36.684632113627913</v>
      </c>
      <c r="J25">
        <f t="shared" si="2"/>
        <v>583.81196774193495</v>
      </c>
      <c r="K25">
        <f t="shared" si="3"/>
        <v>408.29407935191375</v>
      </c>
      <c r="L25">
        <f t="shared" si="4"/>
        <v>40.794134803820448</v>
      </c>
      <c r="M25">
        <f t="shared" si="5"/>
        <v>58.330760391998659</v>
      </c>
      <c r="N25">
        <f t="shared" si="6"/>
        <v>0.38168398572982037</v>
      </c>
      <c r="O25">
        <f t="shared" si="7"/>
        <v>3.3940693003001465</v>
      </c>
      <c r="P25">
        <f t="shared" si="8"/>
        <v>0.35934080361233345</v>
      </c>
      <c r="Q25">
        <f t="shared" si="9"/>
        <v>0.22648637752536252</v>
      </c>
      <c r="R25">
        <f t="shared" si="10"/>
        <v>353.33842972950174</v>
      </c>
      <c r="S25">
        <f t="shared" si="11"/>
        <v>26.956403735689111</v>
      </c>
      <c r="T25">
        <f t="shared" si="12"/>
        <v>27.027312903225798</v>
      </c>
      <c r="U25">
        <f t="shared" si="13"/>
        <v>3.5849052391195335</v>
      </c>
      <c r="V25">
        <f t="shared" si="14"/>
        <v>54.898146761434511</v>
      </c>
      <c r="W25">
        <f t="shared" si="15"/>
        <v>1.9126658682439939</v>
      </c>
      <c r="X25">
        <f t="shared" si="16"/>
        <v>3.4840262942858131</v>
      </c>
      <c r="Y25">
        <f t="shared" si="17"/>
        <v>1.6722393708755396</v>
      </c>
      <c r="Z25">
        <f t="shared" si="18"/>
        <v>-272.7309998406771</v>
      </c>
      <c r="AA25">
        <f t="shared" si="19"/>
        <v>-88.784183094446973</v>
      </c>
      <c r="AB25">
        <f t="shared" si="20"/>
        <v>-5.633195417308281</v>
      </c>
      <c r="AC25">
        <f t="shared" si="21"/>
        <v>-13.809948622930619</v>
      </c>
      <c r="AD25">
        <v>-4.1355846854643503E-2</v>
      </c>
      <c r="AE25">
        <v>4.6425561065505397E-2</v>
      </c>
      <c r="AF25">
        <v>3.4666415655877101</v>
      </c>
      <c r="AG25">
        <v>154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52815.491716481469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325</v>
      </c>
      <c r="AS25">
        <v>283.37052</v>
      </c>
      <c r="AT25">
        <v>373.98599999999999</v>
      </c>
      <c r="AU25">
        <f t="shared" si="27"/>
        <v>0.24229644959971763</v>
      </c>
      <c r="AV25">
        <v>0.5</v>
      </c>
      <c r="AW25">
        <f t="shared" si="28"/>
        <v>1849.186616533364</v>
      </c>
      <c r="AX25">
        <f t="shared" si="29"/>
        <v>36.684632113627913</v>
      </c>
      <c r="AY25">
        <f t="shared" si="30"/>
        <v>224.02567591667432</v>
      </c>
      <c r="AZ25">
        <f t="shared" si="31"/>
        <v>0.48281486472755669</v>
      </c>
      <c r="BA25">
        <f t="shared" si="32"/>
        <v>2.0379031395043618E-2</v>
      </c>
      <c r="BB25">
        <f t="shared" si="33"/>
        <v>-1</v>
      </c>
      <c r="BC25" t="s">
        <v>326</v>
      </c>
      <c r="BD25">
        <v>193.42</v>
      </c>
      <c r="BE25">
        <f t="shared" si="34"/>
        <v>180.566</v>
      </c>
      <c r="BF25">
        <f t="shared" si="35"/>
        <v>0.50184132117895941</v>
      </c>
      <c r="BG25">
        <f t="shared" si="36"/>
        <v>1.9335435839106607</v>
      </c>
      <c r="BH25">
        <f t="shared" si="37"/>
        <v>0.24229644959971761</v>
      </c>
      <c r="BI25" t="e">
        <f t="shared" si="38"/>
        <v>#DIV/0!</v>
      </c>
      <c r="BJ25">
        <v>4947</v>
      </c>
      <c r="BK25">
        <v>300</v>
      </c>
      <c r="BL25">
        <v>300</v>
      </c>
      <c r="BM25">
        <v>300</v>
      </c>
      <c r="BN25">
        <v>9863.7800000000007</v>
      </c>
      <c r="BO25">
        <v>348.70100000000002</v>
      </c>
      <c r="BP25">
        <v>-6.3974899999999996E-3</v>
      </c>
      <c r="BQ25">
        <v>1.06955</v>
      </c>
      <c r="BR25">
        <f t="shared" si="39"/>
        <v>2200.0012903225802</v>
      </c>
      <c r="BS25">
        <f t="shared" si="40"/>
        <v>1849.186616533364</v>
      </c>
      <c r="BT25">
        <f t="shared" si="41"/>
        <v>0.84053887816685002</v>
      </c>
      <c r="BU25">
        <f t="shared" si="42"/>
        <v>0.19107775633370025</v>
      </c>
      <c r="BV25">
        <v>0.5</v>
      </c>
      <c r="BW25" t="s">
        <v>281</v>
      </c>
      <c r="BX25">
        <v>1595004400.5</v>
      </c>
      <c r="BY25">
        <v>583.81196774193495</v>
      </c>
      <c r="BZ25">
        <v>599.92838709677403</v>
      </c>
      <c r="CA25">
        <v>19.143196774193498</v>
      </c>
      <c r="CB25">
        <v>16.717048387096799</v>
      </c>
      <c r="CC25">
        <v>500.05083870967701</v>
      </c>
      <c r="CD25">
        <v>99.713622580645193</v>
      </c>
      <c r="CE25">
        <v>0.199985935483871</v>
      </c>
      <c r="CF25">
        <v>26.5421032258064</v>
      </c>
      <c r="CG25">
        <v>27.027312903225798</v>
      </c>
      <c r="CH25">
        <v>999.9</v>
      </c>
      <c r="CI25">
        <v>10001.8064516129</v>
      </c>
      <c r="CJ25">
        <v>0</v>
      </c>
      <c r="CK25">
        <v>438.16316129032299</v>
      </c>
      <c r="CL25">
        <v>2200.0012903225802</v>
      </c>
      <c r="CM25">
        <v>0.98199551612903202</v>
      </c>
      <c r="CN25">
        <v>1.8004164516129E-2</v>
      </c>
      <c r="CO25">
        <v>0</v>
      </c>
      <c r="CP25">
        <v>283.38961290322601</v>
      </c>
      <c r="CQ25">
        <v>5.00054</v>
      </c>
      <c r="CR25">
        <v>8839.1096774193593</v>
      </c>
      <c r="CS25">
        <v>20590.512903225801</v>
      </c>
      <c r="CT25">
        <v>48.812129032257999</v>
      </c>
      <c r="CU25">
        <v>50.687129032257999</v>
      </c>
      <c r="CV25">
        <v>49.237806451612897</v>
      </c>
      <c r="CW25">
        <v>49.590451612903202</v>
      </c>
      <c r="CX25">
        <v>50.140999999999998</v>
      </c>
      <c r="CY25">
        <v>2155.48225806452</v>
      </c>
      <c r="CZ25">
        <v>39.517741935483897</v>
      </c>
      <c r="DA25">
        <v>0</v>
      </c>
      <c r="DB25">
        <v>134.59999990463299</v>
      </c>
      <c r="DC25">
        <v>283.37052</v>
      </c>
      <c r="DD25">
        <v>-1.63076922390775</v>
      </c>
      <c r="DE25">
        <v>-64.782307567161595</v>
      </c>
      <c r="DF25">
        <v>8838.5164000000004</v>
      </c>
      <c r="DG25">
        <v>15</v>
      </c>
      <c r="DH25">
        <v>1595004432</v>
      </c>
      <c r="DI25" t="s">
        <v>327</v>
      </c>
      <c r="DJ25">
        <v>37</v>
      </c>
      <c r="DK25">
        <v>-0.33100000000000002</v>
      </c>
      <c r="DL25">
        <v>0.108</v>
      </c>
      <c r="DM25">
        <v>600</v>
      </c>
      <c r="DN25">
        <v>17</v>
      </c>
      <c r="DO25">
        <v>0.23</v>
      </c>
      <c r="DP25">
        <v>0.03</v>
      </c>
      <c r="DQ25">
        <v>583.77588235294104</v>
      </c>
      <c r="DR25">
        <v>0.283253671556636</v>
      </c>
      <c r="DS25">
        <v>4.0509329382409101E-2</v>
      </c>
      <c r="DT25">
        <v>1</v>
      </c>
      <c r="DU25">
        <v>19.133488235294099</v>
      </c>
      <c r="DV25">
        <v>7.89797847854532E-2</v>
      </c>
      <c r="DW25">
        <v>1.25993408955968E-2</v>
      </c>
      <c r="DX25">
        <v>1</v>
      </c>
      <c r="DY25">
        <v>2</v>
      </c>
      <c r="DZ25">
        <v>2</v>
      </c>
      <c r="EA25" t="s">
        <v>283</v>
      </c>
      <c r="EB25">
        <v>1.86676</v>
      </c>
      <c r="EC25">
        <v>1.86324</v>
      </c>
      <c r="ED25">
        <v>1.8688899999999999</v>
      </c>
      <c r="EE25">
        <v>1.86676</v>
      </c>
      <c r="EF25">
        <v>1.8714900000000001</v>
      </c>
      <c r="EG25">
        <v>1.8639699999999999</v>
      </c>
      <c r="EH25">
        <v>1.8654900000000001</v>
      </c>
      <c r="EI25">
        <v>1.8653900000000001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-0.33100000000000002</v>
      </c>
      <c r="EX25">
        <v>0.108</v>
      </c>
      <c r="EY25">
        <v>2</v>
      </c>
      <c r="EZ25">
        <v>327.50400000000002</v>
      </c>
      <c r="FA25">
        <v>470.10300000000001</v>
      </c>
      <c r="FB25">
        <v>20.247299999999999</v>
      </c>
      <c r="FC25">
        <v>35.958199999999998</v>
      </c>
      <c r="FD25">
        <v>30.0014</v>
      </c>
      <c r="FE25">
        <v>35.840400000000002</v>
      </c>
      <c r="FF25">
        <v>35.832799999999999</v>
      </c>
      <c r="FG25">
        <v>30.4815</v>
      </c>
      <c r="FH25">
        <v>51.374699999999997</v>
      </c>
      <c r="FI25">
        <v>0</v>
      </c>
      <c r="FJ25">
        <v>20.224399999999999</v>
      </c>
      <c r="FK25">
        <v>600</v>
      </c>
      <c r="FL25">
        <v>16.7392</v>
      </c>
      <c r="FM25">
        <v>100.42700000000001</v>
      </c>
      <c r="FN25">
        <v>100.65600000000001</v>
      </c>
    </row>
    <row r="26" spans="1:170" x14ac:dyDescent="0.25">
      <c r="A26">
        <v>10</v>
      </c>
      <c r="B26">
        <v>1595004536</v>
      </c>
      <c r="C26">
        <v>1134.5999999046301</v>
      </c>
      <c r="D26" t="s">
        <v>328</v>
      </c>
      <c r="E26" t="s">
        <v>329</v>
      </c>
      <c r="G26">
        <v>1595004528</v>
      </c>
      <c r="H26">
        <f t="shared" si="0"/>
        <v>5.9311336325351101E-3</v>
      </c>
      <c r="I26">
        <f t="shared" si="1"/>
        <v>38.407821204379545</v>
      </c>
      <c r="J26">
        <f t="shared" si="2"/>
        <v>683.04954838709705</v>
      </c>
      <c r="K26">
        <f t="shared" si="3"/>
        <v>491.769720088687</v>
      </c>
      <c r="L26">
        <f t="shared" si="4"/>
        <v>49.135586445942437</v>
      </c>
      <c r="M26">
        <f t="shared" si="5"/>
        <v>68.24747185650935</v>
      </c>
      <c r="N26">
        <f t="shared" si="6"/>
        <v>0.36844896156892137</v>
      </c>
      <c r="O26">
        <f t="shared" si="7"/>
        <v>3.3916933517691641</v>
      </c>
      <c r="P26">
        <f t="shared" si="8"/>
        <v>0.34756923953890717</v>
      </c>
      <c r="Q26">
        <f t="shared" si="9"/>
        <v>0.21900807113193788</v>
      </c>
      <c r="R26">
        <f t="shared" si="10"/>
        <v>353.33835218562717</v>
      </c>
      <c r="S26">
        <f t="shared" si="11"/>
        <v>26.761040712247688</v>
      </c>
      <c r="T26">
        <f t="shared" si="12"/>
        <v>26.929432258064502</v>
      </c>
      <c r="U26">
        <f t="shared" si="13"/>
        <v>3.5643522498977069</v>
      </c>
      <c r="V26">
        <f t="shared" si="14"/>
        <v>55.529942127573271</v>
      </c>
      <c r="W26">
        <f t="shared" si="15"/>
        <v>1.9060020458707205</v>
      </c>
      <c r="X26">
        <f t="shared" si="16"/>
        <v>3.4323861557282251</v>
      </c>
      <c r="Y26">
        <f t="shared" si="17"/>
        <v>1.6583502040269864</v>
      </c>
      <c r="Z26">
        <f t="shared" si="18"/>
        <v>-261.56299319479837</v>
      </c>
      <c r="AA26">
        <f t="shared" si="19"/>
        <v>-117.11260976719024</v>
      </c>
      <c r="AB26">
        <f t="shared" si="20"/>
        <v>-7.4227391137269176</v>
      </c>
      <c r="AC26">
        <f t="shared" si="21"/>
        <v>-32.75998989008832</v>
      </c>
      <c r="AD26">
        <v>-4.1319050114592103E-2</v>
      </c>
      <c r="AE26">
        <v>4.63842535012262E-2</v>
      </c>
      <c r="AF26">
        <v>3.4642010452250802</v>
      </c>
      <c r="AG26">
        <v>155</v>
      </c>
      <c r="AH26">
        <v>31</v>
      </c>
      <c r="AI26">
        <f t="shared" si="22"/>
        <v>1</v>
      </c>
      <c r="AJ26">
        <f t="shared" si="23"/>
        <v>0</v>
      </c>
      <c r="AK26">
        <f t="shared" si="24"/>
        <v>52815.098279835656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330</v>
      </c>
      <c r="AS26">
        <v>283.97859999999997</v>
      </c>
      <c r="AT26">
        <v>376.41199999999998</v>
      </c>
      <c r="AU26">
        <f t="shared" si="27"/>
        <v>0.24556443471515255</v>
      </c>
      <c r="AV26">
        <v>0.5</v>
      </c>
      <c r="AW26">
        <f t="shared" si="28"/>
        <v>1849.1853577734935</v>
      </c>
      <c r="AX26">
        <f t="shared" si="29"/>
        <v>38.407821204379545</v>
      </c>
      <c r="AY26">
        <f t="shared" si="30"/>
        <v>227.04707853259251</v>
      </c>
      <c r="AZ26">
        <f t="shared" si="31"/>
        <v>0.49045195158496535</v>
      </c>
      <c r="BA26">
        <f t="shared" si="32"/>
        <v>2.1310909173447287E-2</v>
      </c>
      <c r="BB26">
        <f t="shared" si="33"/>
        <v>-1</v>
      </c>
      <c r="BC26" t="s">
        <v>331</v>
      </c>
      <c r="BD26">
        <v>191.8</v>
      </c>
      <c r="BE26">
        <f t="shared" si="34"/>
        <v>184.61199999999997</v>
      </c>
      <c r="BF26">
        <f t="shared" si="35"/>
        <v>0.50069009598509318</v>
      </c>
      <c r="BG26">
        <f t="shared" si="36"/>
        <v>1.9625234619395202</v>
      </c>
      <c r="BH26">
        <f t="shared" si="37"/>
        <v>0.24556443471515257</v>
      </c>
      <c r="BI26" t="e">
        <f t="shared" si="38"/>
        <v>#DIV/0!</v>
      </c>
      <c r="BJ26">
        <v>4949</v>
      </c>
      <c r="BK26">
        <v>300</v>
      </c>
      <c r="BL26">
        <v>300</v>
      </c>
      <c r="BM26">
        <v>300</v>
      </c>
      <c r="BN26">
        <v>9863.2800000000007</v>
      </c>
      <c r="BO26">
        <v>349.26799999999997</v>
      </c>
      <c r="BP26">
        <v>-6.3970499999999996E-3</v>
      </c>
      <c r="BQ26">
        <v>1.7829900000000001</v>
      </c>
      <c r="BR26">
        <f t="shared" si="39"/>
        <v>2199.9996774193501</v>
      </c>
      <c r="BS26">
        <f t="shared" si="40"/>
        <v>1849.1853577734935</v>
      </c>
      <c r="BT26">
        <f t="shared" si="41"/>
        <v>0.84053892223412974</v>
      </c>
      <c r="BU26">
        <f t="shared" si="42"/>
        <v>0.19107784446825993</v>
      </c>
      <c r="BV26">
        <v>0.5</v>
      </c>
      <c r="BW26" t="s">
        <v>281</v>
      </c>
      <c r="BX26">
        <v>1595004528</v>
      </c>
      <c r="BY26">
        <v>683.04954838709705</v>
      </c>
      <c r="BZ26">
        <v>700.03193548387105</v>
      </c>
      <c r="CA26">
        <v>19.076074193548401</v>
      </c>
      <c r="CB26">
        <v>16.749048387096799</v>
      </c>
      <c r="CC26">
        <v>500.03664516128998</v>
      </c>
      <c r="CD26">
        <v>99.715864516129002</v>
      </c>
      <c r="CE26">
        <v>0.19997909677419401</v>
      </c>
      <c r="CF26">
        <v>26.288958064516098</v>
      </c>
      <c r="CG26">
        <v>26.929432258064502</v>
      </c>
      <c r="CH26">
        <v>999.9</v>
      </c>
      <c r="CI26">
        <v>9992.6825806451598</v>
      </c>
      <c r="CJ26">
        <v>0</v>
      </c>
      <c r="CK26">
        <v>465.29129032258101</v>
      </c>
      <c r="CL26">
        <v>2199.9996774193501</v>
      </c>
      <c r="CM26">
        <v>0.98199370967741895</v>
      </c>
      <c r="CN26">
        <v>1.8005854838709701E-2</v>
      </c>
      <c r="CO26">
        <v>0</v>
      </c>
      <c r="CP26">
        <v>283.98864516128998</v>
      </c>
      <c r="CQ26">
        <v>5.00054</v>
      </c>
      <c r="CR26">
        <v>8887.5941935483897</v>
      </c>
      <c r="CS26">
        <v>20590.493548387101</v>
      </c>
      <c r="CT26">
        <v>49.021935483870998</v>
      </c>
      <c r="CU26">
        <v>50.908999999999999</v>
      </c>
      <c r="CV26">
        <v>49.461387096774203</v>
      </c>
      <c r="CW26">
        <v>49.755806451612898</v>
      </c>
      <c r="CX26">
        <v>50.324387096774203</v>
      </c>
      <c r="CY26">
        <v>2155.4787096774198</v>
      </c>
      <c r="CZ26">
        <v>39.5209677419355</v>
      </c>
      <c r="DA26">
        <v>0</v>
      </c>
      <c r="DB26">
        <v>126.799999952316</v>
      </c>
      <c r="DC26">
        <v>283.97859999999997</v>
      </c>
      <c r="DD26">
        <v>-2.36946151932126</v>
      </c>
      <c r="DE26">
        <v>-24.261538408956199</v>
      </c>
      <c r="DF26">
        <v>8887.1623999999993</v>
      </c>
      <c r="DG26">
        <v>15</v>
      </c>
      <c r="DH26">
        <v>1595004575.5</v>
      </c>
      <c r="DI26" t="s">
        <v>332</v>
      </c>
      <c r="DJ26">
        <v>38</v>
      </c>
      <c r="DK26">
        <v>-0.19900000000000001</v>
      </c>
      <c r="DL26">
        <v>0.104</v>
      </c>
      <c r="DM26">
        <v>700</v>
      </c>
      <c r="DN26">
        <v>17</v>
      </c>
      <c r="DO26">
        <v>0.35</v>
      </c>
      <c r="DP26">
        <v>0.04</v>
      </c>
      <c r="DQ26">
        <v>682.88841176470601</v>
      </c>
      <c r="DR26">
        <v>0.28230950226225499</v>
      </c>
      <c r="DS26">
        <v>4.3253097574932703E-2</v>
      </c>
      <c r="DT26">
        <v>1</v>
      </c>
      <c r="DU26">
        <v>19.0812568627451</v>
      </c>
      <c r="DV26">
        <v>4.7587330316697903E-3</v>
      </c>
      <c r="DW26">
        <v>6.95324031958833E-3</v>
      </c>
      <c r="DX26">
        <v>1</v>
      </c>
      <c r="DY26">
        <v>2</v>
      </c>
      <c r="DZ26">
        <v>2</v>
      </c>
      <c r="EA26" t="s">
        <v>283</v>
      </c>
      <c r="EB26">
        <v>1.86676</v>
      </c>
      <c r="EC26">
        <v>1.8632500000000001</v>
      </c>
      <c r="ED26">
        <v>1.8689100000000001</v>
      </c>
      <c r="EE26">
        <v>1.8668400000000001</v>
      </c>
      <c r="EF26">
        <v>1.8715599999999999</v>
      </c>
      <c r="EG26">
        <v>1.8640099999999999</v>
      </c>
      <c r="EH26">
        <v>1.86554</v>
      </c>
      <c r="EI26">
        <v>1.8654299999999999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-0.19900000000000001</v>
      </c>
      <c r="EX26">
        <v>0.104</v>
      </c>
      <c r="EY26">
        <v>2</v>
      </c>
      <c r="EZ26">
        <v>326.92700000000002</v>
      </c>
      <c r="FA26">
        <v>468.09899999999999</v>
      </c>
      <c r="FB26">
        <v>20.511700000000001</v>
      </c>
      <c r="FC26">
        <v>36.278100000000002</v>
      </c>
      <c r="FD26">
        <v>29.9985</v>
      </c>
      <c r="FE26">
        <v>36.116599999999998</v>
      </c>
      <c r="FF26">
        <v>36.097900000000003</v>
      </c>
      <c r="FG26">
        <v>34.524799999999999</v>
      </c>
      <c r="FH26">
        <v>51.916400000000003</v>
      </c>
      <c r="FI26">
        <v>0</v>
      </c>
      <c r="FJ26">
        <v>20.585999999999999</v>
      </c>
      <c r="FK26">
        <v>700</v>
      </c>
      <c r="FL26">
        <v>16.5916</v>
      </c>
      <c r="FM26">
        <v>100.376</v>
      </c>
      <c r="FN26">
        <v>100.601</v>
      </c>
    </row>
    <row r="27" spans="1:170" x14ac:dyDescent="0.25">
      <c r="A27">
        <v>11</v>
      </c>
      <c r="B27">
        <v>1595004693.5</v>
      </c>
      <c r="C27">
        <v>1292.0999999046301</v>
      </c>
      <c r="D27" t="s">
        <v>333</v>
      </c>
      <c r="E27" t="s">
        <v>334</v>
      </c>
      <c r="G27">
        <v>1595004685.5</v>
      </c>
      <c r="H27">
        <f t="shared" si="0"/>
        <v>5.1073326234398518E-3</v>
      </c>
      <c r="I27">
        <f t="shared" si="1"/>
        <v>39.532781460312002</v>
      </c>
      <c r="J27">
        <f t="shared" si="2"/>
        <v>782.59761290322604</v>
      </c>
      <c r="K27">
        <f t="shared" si="3"/>
        <v>550.91152595456651</v>
      </c>
      <c r="L27">
        <f t="shared" si="4"/>
        <v>55.03968153581225</v>
      </c>
      <c r="M27">
        <f t="shared" si="5"/>
        <v>78.186644053681903</v>
      </c>
      <c r="N27">
        <f t="shared" si="6"/>
        <v>0.30934305156064185</v>
      </c>
      <c r="O27">
        <f t="shared" si="7"/>
        <v>3.3930535589007986</v>
      </c>
      <c r="P27">
        <f t="shared" si="8"/>
        <v>0.29448552314025472</v>
      </c>
      <c r="Q27">
        <f t="shared" si="9"/>
        <v>0.18532886195319398</v>
      </c>
      <c r="R27">
        <f t="shared" si="10"/>
        <v>353.3370622243267</v>
      </c>
      <c r="S27">
        <f t="shared" si="11"/>
        <v>26.937829690888634</v>
      </c>
      <c r="T27">
        <f t="shared" si="12"/>
        <v>27.025970967741902</v>
      </c>
      <c r="U27">
        <f t="shared" si="13"/>
        <v>3.5846227614257997</v>
      </c>
      <c r="V27">
        <f t="shared" si="14"/>
        <v>55.371938665551532</v>
      </c>
      <c r="W27">
        <f t="shared" si="15"/>
        <v>1.899475294373731</v>
      </c>
      <c r="X27">
        <f t="shared" si="16"/>
        <v>3.4303933366802069</v>
      </c>
      <c r="Y27">
        <f t="shared" si="17"/>
        <v>1.6851474670520687</v>
      </c>
      <c r="Z27">
        <f t="shared" si="18"/>
        <v>-225.23336869369746</v>
      </c>
      <c r="AA27">
        <f t="shared" si="19"/>
        <v>-136.61821470223413</v>
      </c>
      <c r="AB27">
        <f t="shared" si="20"/>
        <v>-8.6593180756830304</v>
      </c>
      <c r="AC27">
        <f t="shared" si="21"/>
        <v>-17.173839247287901</v>
      </c>
      <c r="AD27">
        <v>-4.1340114462952299E-2</v>
      </c>
      <c r="AE27">
        <v>4.6407900077598797E-2</v>
      </c>
      <c r="AF27">
        <v>3.4655982165974102</v>
      </c>
      <c r="AG27">
        <v>155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52842.460935369629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335</v>
      </c>
      <c r="AS27">
        <v>281.42039999999997</v>
      </c>
      <c r="AT27">
        <v>371.78100000000001</v>
      </c>
      <c r="AU27">
        <f t="shared" si="27"/>
        <v>0.24304792337424463</v>
      </c>
      <c r="AV27">
        <v>0.5</v>
      </c>
      <c r="AW27">
        <f t="shared" si="28"/>
        <v>1849.1788255154388</v>
      </c>
      <c r="AX27">
        <f t="shared" si="29"/>
        <v>39.532781460312002</v>
      </c>
      <c r="AY27">
        <f t="shared" si="30"/>
        <v>224.71953674457603</v>
      </c>
      <c r="AZ27">
        <f t="shared" si="31"/>
        <v>0.48394350437488731</v>
      </c>
      <c r="BA27">
        <f t="shared" si="32"/>
        <v>2.1919341115651119E-2</v>
      </c>
      <c r="BB27">
        <f t="shared" si="33"/>
        <v>-1</v>
      </c>
      <c r="BC27" t="s">
        <v>336</v>
      </c>
      <c r="BD27">
        <v>191.86</v>
      </c>
      <c r="BE27">
        <f t="shared" si="34"/>
        <v>179.92099999999999</v>
      </c>
      <c r="BF27">
        <f t="shared" si="35"/>
        <v>0.50222375375859429</v>
      </c>
      <c r="BG27">
        <f t="shared" si="36"/>
        <v>1.9377723339935369</v>
      </c>
      <c r="BH27">
        <f t="shared" si="37"/>
        <v>0.24304792337424461</v>
      </c>
      <c r="BI27" t="e">
        <f t="shared" si="38"/>
        <v>#DIV/0!</v>
      </c>
      <c r="BJ27">
        <v>4951</v>
      </c>
      <c r="BK27">
        <v>300</v>
      </c>
      <c r="BL27">
        <v>300</v>
      </c>
      <c r="BM27">
        <v>300</v>
      </c>
      <c r="BN27">
        <v>9862.5300000000007</v>
      </c>
      <c r="BO27">
        <v>346.31799999999998</v>
      </c>
      <c r="BP27">
        <v>-6.3964599999999996E-3</v>
      </c>
      <c r="BQ27">
        <v>0.83386199999999999</v>
      </c>
      <c r="BR27">
        <f t="shared" si="39"/>
        <v>2199.9919354838698</v>
      </c>
      <c r="BS27">
        <f t="shared" si="40"/>
        <v>1849.1788255154388</v>
      </c>
      <c r="BT27">
        <f t="shared" si="41"/>
        <v>0.84053891093411093</v>
      </c>
      <c r="BU27">
        <f t="shared" si="42"/>
        <v>0.19107782186822184</v>
      </c>
      <c r="BV27">
        <v>0.5</v>
      </c>
      <c r="BW27" t="s">
        <v>281</v>
      </c>
      <c r="BX27">
        <v>1595004685.5</v>
      </c>
      <c r="BY27">
        <v>782.59761290322604</v>
      </c>
      <c r="BZ27">
        <v>800.00774193548398</v>
      </c>
      <c r="CA27">
        <v>19.012516129032299</v>
      </c>
      <c r="CB27">
        <v>17.008629032258099</v>
      </c>
      <c r="CC27">
        <v>500.05106451612897</v>
      </c>
      <c r="CD27">
        <v>99.706564516129006</v>
      </c>
      <c r="CE27">
        <v>0.200006580645161</v>
      </c>
      <c r="CF27">
        <v>26.2791225806452</v>
      </c>
      <c r="CG27">
        <v>27.025970967741902</v>
      </c>
      <c r="CH27">
        <v>999.9</v>
      </c>
      <c r="CI27">
        <v>9998.7093548387093</v>
      </c>
      <c r="CJ27">
        <v>0</v>
      </c>
      <c r="CK27">
        <v>467.45619354838698</v>
      </c>
      <c r="CL27">
        <v>2199.9919354838698</v>
      </c>
      <c r="CM27">
        <v>0.98199538709677403</v>
      </c>
      <c r="CN27">
        <v>1.8004229032258099E-2</v>
      </c>
      <c r="CO27">
        <v>0</v>
      </c>
      <c r="CP27">
        <v>281.43564516128998</v>
      </c>
      <c r="CQ27">
        <v>5.00054</v>
      </c>
      <c r="CR27">
        <v>8849.9261290322593</v>
      </c>
      <c r="CS27">
        <v>20590.4483870968</v>
      </c>
      <c r="CT27">
        <v>49.1871935483871</v>
      </c>
      <c r="CU27">
        <v>51.162999999999997</v>
      </c>
      <c r="CV27">
        <v>49.656999999999996</v>
      </c>
      <c r="CW27">
        <v>49.977580645161297</v>
      </c>
      <c r="CX27">
        <v>50.483612903225797</v>
      </c>
      <c r="CY27">
        <v>2155.4719354838699</v>
      </c>
      <c r="CZ27">
        <v>39.520000000000003</v>
      </c>
      <c r="DA27">
        <v>0</v>
      </c>
      <c r="DB27">
        <v>156.59999990463299</v>
      </c>
      <c r="DC27">
        <v>281.42039999999997</v>
      </c>
      <c r="DD27">
        <v>-3.08353844702813</v>
      </c>
      <c r="DE27">
        <v>-29.820769422062501</v>
      </c>
      <c r="DF27">
        <v>8849.6396000000004</v>
      </c>
      <c r="DG27">
        <v>15</v>
      </c>
      <c r="DH27">
        <v>1595004721.5</v>
      </c>
      <c r="DI27" t="s">
        <v>337</v>
      </c>
      <c r="DJ27">
        <v>39</v>
      </c>
      <c r="DK27">
        <v>-0.38900000000000001</v>
      </c>
      <c r="DL27">
        <v>0.111</v>
      </c>
      <c r="DM27">
        <v>800</v>
      </c>
      <c r="DN27">
        <v>17</v>
      </c>
      <c r="DO27">
        <v>0.34</v>
      </c>
      <c r="DP27">
        <v>0.05</v>
      </c>
      <c r="DQ27">
        <v>782.76209803921597</v>
      </c>
      <c r="DR27">
        <v>0.26288144796419299</v>
      </c>
      <c r="DS27">
        <v>4.0795643222764598E-2</v>
      </c>
      <c r="DT27">
        <v>1</v>
      </c>
      <c r="DU27">
        <v>19.0242392156863</v>
      </c>
      <c r="DV27">
        <v>-0.198079276018089</v>
      </c>
      <c r="DW27">
        <v>2.47635015930616E-2</v>
      </c>
      <c r="DX27">
        <v>1</v>
      </c>
      <c r="DY27">
        <v>2</v>
      </c>
      <c r="DZ27">
        <v>2</v>
      </c>
      <c r="EA27" t="s">
        <v>283</v>
      </c>
      <c r="EB27">
        <v>1.86673</v>
      </c>
      <c r="EC27">
        <v>1.86321</v>
      </c>
      <c r="ED27">
        <v>1.86887</v>
      </c>
      <c r="EE27">
        <v>1.86676</v>
      </c>
      <c r="EF27">
        <v>1.8714900000000001</v>
      </c>
      <c r="EG27">
        <v>1.8639399999999999</v>
      </c>
      <c r="EH27">
        <v>1.8653999999999999</v>
      </c>
      <c r="EI27">
        <v>1.86537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-0.38900000000000001</v>
      </c>
      <c r="EX27">
        <v>0.111</v>
      </c>
      <c r="EY27">
        <v>2</v>
      </c>
      <c r="EZ27">
        <v>326.18</v>
      </c>
      <c r="FA27">
        <v>467.69799999999998</v>
      </c>
      <c r="FB27">
        <v>19.870200000000001</v>
      </c>
      <c r="FC27">
        <v>36.579500000000003</v>
      </c>
      <c r="FD27">
        <v>30.000800000000002</v>
      </c>
      <c r="FE27">
        <v>36.422899999999998</v>
      </c>
      <c r="FF27">
        <v>36.4039</v>
      </c>
      <c r="FG27">
        <v>38.474899999999998</v>
      </c>
      <c r="FH27">
        <v>51.01</v>
      </c>
      <c r="FI27">
        <v>0</v>
      </c>
      <c r="FJ27">
        <v>18.991900000000001</v>
      </c>
      <c r="FK27">
        <v>800</v>
      </c>
      <c r="FL27">
        <v>16.912299999999998</v>
      </c>
      <c r="FM27">
        <v>100.316</v>
      </c>
      <c r="FN27">
        <v>100.535</v>
      </c>
    </row>
    <row r="28" spans="1:170" x14ac:dyDescent="0.25">
      <c r="A28">
        <v>12</v>
      </c>
      <c r="B28">
        <v>1595004843</v>
      </c>
      <c r="C28">
        <v>1441.5999999046301</v>
      </c>
      <c r="D28" t="s">
        <v>338</v>
      </c>
      <c r="E28" t="s">
        <v>339</v>
      </c>
      <c r="G28">
        <v>1595004835</v>
      </c>
      <c r="H28">
        <f t="shared" si="0"/>
        <v>4.4926110082578871E-3</v>
      </c>
      <c r="I28">
        <f t="shared" si="1"/>
        <v>40.524609834712265</v>
      </c>
      <c r="J28">
        <f t="shared" si="2"/>
        <v>982.04</v>
      </c>
      <c r="K28">
        <f t="shared" si="3"/>
        <v>705.61077845633531</v>
      </c>
      <c r="L28">
        <f t="shared" si="4"/>
        <v>70.48475249676882</v>
      </c>
      <c r="M28">
        <f t="shared" si="5"/>
        <v>98.097773525167682</v>
      </c>
      <c r="N28">
        <f t="shared" si="6"/>
        <v>0.26605435849347742</v>
      </c>
      <c r="O28">
        <f t="shared" si="7"/>
        <v>3.3889653382778477</v>
      </c>
      <c r="P28">
        <f t="shared" si="8"/>
        <v>0.25497140487259423</v>
      </c>
      <c r="Q28">
        <f t="shared" si="9"/>
        <v>0.1603144154584473</v>
      </c>
      <c r="R28">
        <f t="shared" si="10"/>
        <v>353.33804041431682</v>
      </c>
      <c r="S28">
        <f t="shared" si="11"/>
        <v>27.016039215690732</v>
      </c>
      <c r="T28">
        <f t="shared" si="12"/>
        <v>27.069948387096801</v>
      </c>
      <c r="U28">
        <f t="shared" si="13"/>
        <v>3.5938901389613243</v>
      </c>
      <c r="V28">
        <f t="shared" si="14"/>
        <v>55.065168210767055</v>
      </c>
      <c r="W28">
        <f t="shared" si="15"/>
        <v>1.88203330560196</v>
      </c>
      <c r="X28">
        <f t="shared" si="16"/>
        <v>3.4178290319541063</v>
      </c>
      <c r="Y28">
        <f t="shared" si="17"/>
        <v>1.7118568333593642</v>
      </c>
      <c r="Z28">
        <f t="shared" si="18"/>
        <v>-198.12414546417281</v>
      </c>
      <c r="AA28">
        <f t="shared" si="19"/>
        <v>-155.83929150956573</v>
      </c>
      <c r="AB28">
        <f t="shared" si="20"/>
        <v>-9.8886359845657772</v>
      </c>
      <c r="AC28">
        <f t="shared" si="21"/>
        <v>-10.514032543987497</v>
      </c>
      <c r="AD28">
        <v>-4.12768152132389E-2</v>
      </c>
      <c r="AE28">
        <v>4.6336841124476703E-2</v>
      </c>
      <c r="AF28">
        <v>3.46139891688185</v>
      </c>
      <c r="AG28">
        <v>156</v>
      </c>
      <c r="AH28">
        <v>31</v>
      </c>
      <c r="AI28">
        <f t="shared" si="22"/>
        <v>1</v>
      </c>
      <c r="AJ28">
        <f t="shared" si="23"/>
        <v>0</v>
      </c>
      <c r="AK28">
        <f t="shared" si="24"/>
        <v>52775.475912003545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340</v>
      </c>
      <c r="AS28">
        <v>278.9896</v>
      </c>
      <c r="AT28">
        <v>366.50099999999998</v>
      </c>
      <c r="AU28">
        <f t="shared" si="27"/>
        <v>0.23877533758434488</v>
      </c>
      <c r="AV28">
        <v>0.5</v>
      </c>
      <c r="AW28">
        <f t="shared" si="28"/>
        <v>1849.1839739025379</v>
      </c>
      <c r="AX28">
        <f t="shared" si="29"/>
        <v>40.524609834712265</v>
      </c>
      <c r="AY28">
        <f t="shared" si="30"/>
        <v>220.76976381206944</v>
      </c>
      <c r="AZ28">
        <f t="shared" si="31"/>
        <v>0.47770947418970205</v>
      </c>
      <c r="BA28">
        <f t="shared" si="32"/>
        <v>2.2455640120586963E-2</v>
      </c>
      <c r="BB28">
        <f t="shared" si="33"/>
        <v>-1</v>
      </c>
      <c r="BC28" t="s">
        <v>341</v>
      </c>
      <c r="BD28">
        <v>191.42</v>
      </c>
      <c r="BE28">
        <f t="shared" si="34"/>
        <v>175.08099999999999</v>
      </c>
      <c r="BF28">
        <f t="shared" si="35"/>
        <v>0.49983379121663679</v>
      </c>
      <c r="BG28">
        <f t="shared" si="36"/>
        <v>1.9146431929787902</v>
      </c>
      <c r="BH28">
        <f t="shared" si="37"/>
        <v>0.23877533758434488</v>
      </c>
      <c r="BI28" t="e">
        <f t="shared" si="38"/>
        <v>#DIV/0!</v>
      </c>
      <c r="BJ28">
        <v>4953</v>
      </c>
      <c r="BK28">
        <v>300</v>
      </c>
      <c r="BL28">
        <v>300</v>
      </c>
      <c r="BM28">
        <v>300</v>
      </c>
      <c r="BN28">
        <v>9861.67</v>
      </c>
      <c r="BO28">
        <v>340.399</v>
      </c>
      <c r="BP28">
        <v>-6.3958399999999999E-3</v>
      </c>
      <c r="BQ28">
        <v>0.70019500000000001</v>
      </c>
      <c r="BR28">
        <f t="shared" si="39"/>
        <v>2199.9980645161299</v>
      </c>
      <c r="BS28">
        <f t="shared" si="40"/>
        <v>1849.1839739025379</v>
      </c>
      <c r="BT28">
        <f t="shared" si="41"/>
        <v>0.84053890943274512</v>
      </c>
      <c r="BU28">
        <f t="shared" si="42"/>
        <v>0.19107781886549038</v>
      </c>
      <c r="BV28">
        <v>0.5</v>
      </c>
      <c r="BW28" t="s">
        <v>281</v>
      </c>
      <c r="BX28">
        <v>1595004835</v>
      </c>
      <c r="BY28">
        <v>982.04</v>
      </c>
      <c r="BZ28">
        <v>1000.01274193548</v>
      </c>
      <c r="CA28">
        <v>18.8407129032258</v>
      </c>
      <c r="CB28">
        <v>17.077709677419399</v>
      </c>
      <c r="CC28">
        <v>500.05206451612901</v>
      </c>
      <c r="CD28">
        <v>99.6918096774193</v>
      </c>
      <c r="CE28">
        <v>0.20002112903225799</v>
      </c>
      <c r="CF28">
        <v>26.2169967741936</v>
      </c>
      <c r="CG28">
        <v>27.069948387096801</v>
      </c>
      <c r="CH28">
        <v>999.9</v>
      </c>
      <c r="CI28">
        <v>9984.8770967741893</v>
      </c>
      <c r="CJ28">
        <v>0</v>
      </c>
      <c r="CK28">
        <v>478.62922580645198</v>
      </c>
      <c r="CL28">
        <v>2199.9980645161299</v>
      </c>
      <c r="CM28">
        <v>0.98199732258064498</v>
      </c>
      <c r="CN28">
        <v>1.8002874193548402E-2</v>
      </c>
      <c r="CO28">
        <v>0</v>
      </c>
      <c r="CP28">
        <v>279.03545161290299</v>
      </c>
      <c r="CQ28">
        <v>5.00054</v>
      </c>
      <c r="CR28">
        <v>8813.9164516129003</v>
      </c>
      <c r="CS28">
        <v>20590.4967741935</v>
      </c>
      <c r="CT28">
        <v>49.406999999999996</v>
      </c>
      <c r="CU28">
        <v>51.386935483871</v>
      </c>
      <c r="CV28">
        <v>49.848580645161299</v>
      </c>
      <c r="CW28">
        <v>50.2033870967742</v>
      </c>
      <c r="CX28">
        <v>50.649000000000001</v>
      </c>
      <c r="CY28">
        <v>2155.47806451613</v>
      </c>
      <c r="CZ28">
        <v>39.520000000000003</v>
      </c>
      <c r="DA28">
        <v>0</v>
      </c>
      <c r="DB28">
        <v>149</v>
      </c>
      <c r="DC28">
        <v>278.9896</v>
      </c>
      <c r="DD28">
        <v>-3.04269231000649</v>
      </c>
      <c r="DE28">
        <v>-29.993076813949401</v>
      </c>
      <c r="DF28">
        <v>8813.7991999999995</v>
      </c>
      <c r="DG28">
        <v>15</v>
      </c>
      <c r="DH28">
        <v>1595004867</v>
      </c>
      <c r="DI28" t="s">
        <v>342</v>
      </c>
      <c r="DJ28">
        <v>40</v>
      </c>
      <c r="DK28">
        <v>-8.9999999999999993E-3</v>
      </c>
      <c r="DL28">
        <v>0.111</v>
      </c>
      <c r="DM28">
        <v>1000</v>
      </c>
      <c r="DN28">
        <v>17</v>
      </c>
      <c r="DO28">
        <v>0.2</v>
      </c>
      <c r="DP28">
        <v>0.06</v>
      </c>
      <c r="DQ28">
        <v>981.63013725490202</v>
      </c>
      <c r="DR28">
        <v>0.321024434389307</v>
      </c>
      <c r="DS28">
        <v>4.4319702876408303E-2</v>
      </c>
      <c r="DT28">
        <v>0</v>
      </c>
      <c r="DU28">
        <v>18.837492156862702</v>
      </c>
      <c r="DV28">
        <v>3.7128325791858E-2</v>
      </c>
      <c r="DW28">
        <v>4.61909265078879E-3</v>
      </c>
      <c r="DX28">
        <v>1</v>
      </c>
      <c r="DY28">
        <v>1</v>
      </c>
      <c r="DZ28">
        <v>2</v>
      </c>
      <c r="EA28" t="s">
        <v>343</v>
      </c>
      <c r="EB28">
        <v>1.8667100000000001</v>
      </c>
      <c r="EC28">
        <v>1.8631800000000001</v>
      </c>
      <c r="ED28">
        <v>1.86886</v>
      </c>
      <c r="EE28">
        <v>1.86676</v>
      </c>
      <c r="EF28">
        <v>1.8714900000000001</v>
      </c>
      <c r="EG28">
        <v>1.86391</v>
      </c>
      <c r="EH28">
        <v>1.8653900000000001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-8.9999999999999993E-3</v>
      </c>
      <c r="EX28">
        <v>0.111</v>
      </c>
      <c r="EY28">
        <v>2</v>
      </c>
      <c r="EZ28">
        <v>325.399</v>
      </c>
      <c r="FA28">
        <v>466.71600000000001</v>
      </c>
      <c r="FB28">
        <v>19.907800000000002</v>
      </c>
      <c r="FC28">
        <v>36.895000000000003</v>
      </c>
      <c r="FD28">
        <v>30.001100000000001</v>
      </c>
      <c r="FE28">
        <v>36.732100000000003</v>
      </c>
      <c r="FF28">
        <v>36.712899999999998</v>
      </c>
      <c r="FG28">
        <v>46.086100000000002</v>
      </c>
      <c r="FH28">
        <v>50.878500000000003</v>
      </c>
      <c r="FI28">
        <v>0</v>
      </c>
      <c r="FJ28">
        <v>19.400700000000001</v>
      </c>
      <c r="FK28">
        <v>1000</v>
      </c>
      <c r="FL28">
        <v>17.0289</v>
      </c>
      <c r="FM28">
        <v>100.258</v>
      </c>
      <c r="FN28">
        <v>100.46599999999999</v>
      </c>
    </row>
    <row r="29" spans="1:170" x14ac:dyDescent="0.25">
      <c r="A29">
        <v>13</v>
      </c>
      <c r="B29">
        <v>1595004958.5</v>
      </c>
      <c r="C29">
        <v>1557.0999999046301</v>
      </c>
      <c r="D29" t="s">
        <v>344</v>
      </c>
      <c r="E29" t="s">
        <v>345</v>
      </c>
      <c r="G29">
        <v>1595004950.5</v>
      </c>
      <c r="H29">
        <f t="shared" si="0"/>
        <v>4.14464202925343E-3</v>
      </c>
      <c r="I29">
        <f t="shared" si="1"/>
        <v>41.253965237628087</v>
      </c>
      <c r="J29">
        <f t="shared" si="2"/>
        <v>1181.4659032258101</v>
      </c>
      <c r="K29">
        <f t="shared" si="3"/>
        <v>867.60997937429909</v>
      </c>
      <c r="L29">
        <f t="shared" si="4"/>
        <v>86.675093802303095</v>
      </c>
      <c r="M29">
        <f t="shared" si="5"/>
        <v>118.02961056322918</v>
      </c>
      <c r="N29">
        <f t="shared" si="6"/>
        <v>0.23973441101658893</v>
      </c>
      <c r="O29">
        <f t="shared" si="7"/>
        <v>3.3914396661341453</v>
      </c>
      <c r="P29">
        <f t="shared" si="8"/>
        <v>0.23070206874929416</v>
      </c>
      <c r="Q29">
        <f t="shared" si="9"/>
        <v>0.14497195939889856</v>
      </c>
      <c r="R29">
        <f t="shared" si="10"/>
        <v>353.3390776312346</v>
      </c>
      <c r="S29">
        <f t="shared" si="11"/>
        <v>27.160080282835978</v>
      </c>
      <c r="T29">
        <f t="shared" si="12"/>
        <v>27.197158064516099</v>
      </c>
      <c r="U29">
        <f t="shared" si="13"/>
        <v>3.6208149251589115</v>
      </c>
      <c r="V29">
        <f t="shared" si="14"/>
        <v>54.65954438556814</v>
      </c>
      <c r="W29">
        <f t="shared" si="15"/>
        <v>1.8754302835745156</v>
      </c>
      <c r="X29">
        <f t="shared" si="16"/>
        <v>3.4311121774913458</v>
      </c>
      <c r="Y29">
        <f t="shared" si="17"/>
        <v>1.7453846415843959</v>
      </c>
      <c r="Z29">
        <f t="shared" si="18"/>
        <v>-182.77871349007626</v>
      </c>
      <c r="AA29">
        <f t="shared" si="19"/>
        <v>-167.20417631741833</v>
      </c>
      <c r="AB29">
        <f t="shared" si="20"/>
        <v>-10.612286868269212</v>
      </c>
      <c r="AC29">
        <f t="shared" si="21"/>
        <v>-7.2560990445292077</v>
      </c>
      <c r="AD29">
        <v>-4.1315121926644903E-2</v>
      </c>
      <c r="AE29">
        <v>4.6379843766127402E-2</v>
      </c>
      <c r="AF29">
        <v>3.4639404663084701</v>
      </c>
      <c r="AG29">
        <v>157</v>
      </c>
      <c r="AH29">
        <v>31</v>
      </c>
      <c r="AI29">
        <f t="shared" si="22"/>
        <v>1</v>
      </c>
      <c r="AJ29">
        <f t="shared" si="23"/>
        <v>0</v>
      </c>
      <c r="AK29">
        <f t="shared" si="24"/>
        <v>52811.070331413976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277.10764</v>
      </c>
      <c r="AT29">
        <v>362.48500000000001</v>
      </c>
      <c r="AU29">
        <f t="shared" si="27"/>
        <v>0.23553349793784573</v>
      </c>
      <c r="AV29">
        <v>0.5</v>
      </c>
      <c r="AW29">
        <f t="shared" si="28"/>
        <v>1849.1918319671181</v>
      </c>
      <c r="AX29">
        <f t="shared" si="29"/>
        <v>41.253965237628087</v>
      </c>
      <c r="AY29">
        <f t="shared" si="30"/>
        <v>217.77331027065418</v>
      </c>
      <c r="AZ29">
        <f t="shared" si="31"/>
        <v>0.4813578492903155</v>
      </c>
      <c r="BA29">
        <f t="shared" si="32"/>
        <v>2.2849963160760618E-2</v>
      </c>
      <c r="BB29">
        <f t="shared" si="33"/>
        <v>-1</v>
      </c>
      <c r="BC29" t="s">
        <v>347</v>
      </c>
      <c r="BD29">
        <v>188</v>
      </c>
      <c r="BE29">
        <f t="shared" si="34"/>
        <v>174.48500000000001</v>
      </c>
      <c r="BF29">
        <f t="shared" si="35"/>
        <v>0.48931059976502278</v>
      </c>
      <c r="BG29">
        <f t="shared" si="36"/>
        <v>1.9281117021276597</v>
      </c>
      <c r="BH29">
        <f t="shared" si="37"/>
        <v>0.23553349793784573</v>
      </c>
      <c r="BI29" t="e">
        <f t="shared" si="38"/>
        <v>#DIV/0!</v>
      </c>
      <c r="BJ29">
        <v>4955</v>
      </c>
      <c r="BK29">
        <v>300</v>
      </c>
      <c r="BL29">
        <v>300</v>
      </c>
      <c r="BM29">
        <v>300</v>
      </c>
      <c r="BN29">
        <v>9860.83</v>
      </c>
      <c r="BO29">
        <v>336.09</v>
      </c>
      <c r="BP29">
        <v>-6.39509E-3</v>
      </c>
      <c r="BQ29">
        <v>0.13934299999999999</v>
      </c>
      <c r="BR29">
        <f t="shared" si="39"/>
        <v>2200.0077419354802</v>
      </c>
      <c r="BS29">
        <f t="shared" si="40"/>
        <v>1849.1918319671181</v>
      </c>
      <c r="BT29">
        <f t="shared" si="41"/>
        <v>0.84053878389549297</v>
      </c>
      <c r="BU29">
        <f t="shared" si="42"/>
        <v>0.191077567790986</v>
      </c>
      <c r="BV29">
        <v>0.5</v>
      </c>
      <c r="BW29" t="s">
        <v>281</v>
      </c>
      <c r="BX29">
        <v>1595004950.5</v>
      </c>
      <c r="BY29">
        <v>1181.4659032258101</v>
      </c>
      <c r="BZ29">
        <v>1199.9241935483899</v>
      </c>
      <c r="CA29">
        <v>18.772890322580601</v>
      </c>
      <c r="CB29">
        <v>17.146332258064501</v>
      </c>
      <c r="CC29">
        <v>500.05409677419402</v>
      </c>
      <c r="CD29">
        <v>99.700993548387103</v>
      </c>
      <c r="CE29">
        <v>0.199994064516129</v>
      </c>
      <c r="CF29">
        <v>26.2826709677419</v>
      </c>
      <c r="CG29">
        <v>27.197158064516099</v>
      </c>
      <c r="CH29">
        <v>999.9</v>
      </c>
      <c r="CI29">
        <v>9993.2229032258092</v>
      </c>
      <c r="CJ29">
        <v>0</v>
      </c>
      <c r="CK29">
        <v>463.494709677419</v>
      </c>
      <c r="CL29">
        <v>2200.0077419354802</v>
      </c>
      <c r="CM29">
        <v>0.98199883870967797</v>
      </c>
      <c r="CN29">
        <v>1.8001519354838701E-2</v>
      </c>
      <c r="CO29">
        <v>0</v>
      </c>
      <c r="CP29">
        <v>277.10722580645199</v>
      </c>
      <c r="CQ29">
        <v>5.00054</v>
      </c>
      <c r="CR29">
        <v>8714.8235483870994</v>
      </c>
      <c r="CS29">
        <v>20590.583870967701</v>
      </c>
      <c r="CT29">
        <v>49.582387096774198</v>
      </c>
      <c r="CU29">
        <v>51.625</v>
      </c>
      <c r="CV29">
        <v>50.054000000000002</v>
      </c>
      <c r="CW29">
        <v>50.372838709677403</v>
      </c>
      <c r="CX29">
        <v>50.804000000000002</v>
      </c>
      <c r="CY29">
        <v>2155.4967741935502</v>
      </c>
      <c r="CZ29">
        <v>39.510967741935502</v>
      </c>
      <c r="DA29">
        <v>0</v>
      </c>
      <c r="DB29">
        <v>114.69999980926499</v>
      </c>
      <c r="DC29">
        <v>277.10764</v>
      </c>
      <c r="DD29">
        <v>-2.83292308376102</v>
      </c>
      <c r="DE29">
        <v>-26.773076953192</v>
      </c>
      <c r="DF29">
        <v>8714.4511999999995</v>
      </c>
      <c r="DG29">
        <v>15</v>
      </c>
      <c r="DH29">
        <v>1595004980.5</v>
      </c>
      <c r="DI29" t="s">
        <v>348</v>
      </c>
      <c r="DJ29">
        <v>41</v>
      </c>
      <c r="DK29">
        <v>-2.5999999999999999E-2</v>
      </c>
      <c r="DL29">
        <v>0.111</v>
      </c>
      <c r="DM29">
        <v>1200</v>
      </c>
      <c r="DN29">
        <v>17</v>
      </c>
      <c r="DO29">
        <v>0.26</v>
      </c>
      <c r="DP29">
        <v>0.05</v>
      </c>
      <c r="DQ29">
        <v>1181.46941176471</v>
      </c>
      <c r="DR29">
        <v>0.149429864253254</v>
      </c>
      <c r="DS29">
        <v>4.20742464523092E-2</v>
      </c>
      <c r="DT29">
        <v>1</v>
      </c>
      <c r="DU29">
        <v>18.7572215686275</v>
      </c>
      <c r="DV29">
        <v>0.187513846153855</v>
      </c>
      <c r="DW29">
        <v>2.5080218857329702E-2</v>
      </c>
      <c r="DX29">
        <v>1</v>
      </c>
      <c r="DY29">
        <v>2</v>
      </c>
      <c r="DZ29">
        <v>2</v>
      </c>
      <c r="EA29" t="s">
        <v>283</v>
      </c>
      <c r="EB29">
        <v>1.8667199999999999</v>
      </c>
      <c r="EC29">
        <v>1.8631899999999999</v>
      </c>
      <c r="ED29">
        <v>1.8688800000000001</v>
      </c>
      <c r="EE29">
        <v>1.86676</v>
      </c>
      <c r="EF29">
        <v>1.8714900000000001</v>
      </c>
      <c r="EG29">
        <v>1.86388</v>
      </c>
      <c r="EH29">
        <v>1.8653999999999999</v>
      </c>
      <c r="EI29">
        <v>1.8653900000000001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-2.5999999999999999E-2</v>
      </c>
      <c r="EX29">
        <v>0.111</v>
      </c>
      <c r="EY29">
        <v>2</v>
      </c>
      <c r="EZ29">
        <v>324.65800000000002</v>
      </c>
      <c r="FA29">
        <v>465.68900000000002</v>
      </c>
      <c r="FB29">
        <v>20.063500000000001</v>
      </c>
      <c r="FC29">
        <v>37.2224</v>
      </c>
      <c r="FD29">
        <v>30.0015</v>
      </c>
      <c r="FE29">
        <v>37.0351</v>
      </c>
      <c r="FF29">
        <v>37.013100000000001</v>
      </c>
      <c r="FG29">
        <v>53.370399999999997</v>
      </c>
      <c r="FH29">
        <v>50.924500000000002</v>
      </c>
      <c r="FI29">
        <v>0</v>
      </c>
      <c r="FJ29">
        <v>17.7271</v>
      </c>
      <c r="FK29">
        <v>1200</v>
      </c>
      <c r="FL29">
        <v>17.127800000000001</v>
      </c>
      <c r="FM29">
        <v>100.18899999999999</v>
      </c>
      <c r="FN29">
        <v>100.387</v>
      </c>
    </row>
    <row r="30" spans="1:170" x14ac:dyDescent="0.25">
      <c r="A30">
        <v>14</v>
      </c>
      <c r="B30">
        <v>1595005079.5</v>
      </c>
      <c r="C30">
        <v>1678.0999999046301</v>
      </c>
      <c r="D30" t="s">
        <v>349</v>
      </c>
      <c r="E30" t="s">
        <v>350</v>
      </c>
      <c r="G30">
        <v>1595005071.5</v>
      </c>
      <c r="H30">
        <f t="shared" si="0"/>
        <v>4.0194456768687147E-3</v>
      </c>
      <c r="I30">
        <f t="shared" si="1"/>
        <v>41.280320183338937</v>
      </c>
      <c r="J30">
        <f t="shared" si="2"/>
        <v>1580.9604838709699</v>
      </c>
      <c r="K30">
        <f t="shared" si="3"/>
        <v>1250.488407748461</v>
      </c>
      <c r="L30">
        <f t="shared" si="4"/>
        <v>124.93271328141711</v>
      </c>
      <c r="M30">
        <f t="shared" si="5"/>
        <v>157.94923136979031</v>
      </c>
      <c r="N30">
        <f t="shared" si="6"/>
        <v>0.23487936993635819</v>
      </c>
      <c r="O30">
        <f t="shared" si="7"/>
        <v>3.3937592093887483</v>
      </c>
      <c r="P30">
        <f t="shared" si="8"/>
        <v>0.22620773768733701</v>
      </c>
      <c r="Q30">
        <f t="shared" si="9"/>
        <v>0.1421322740420396</v>
      </c>
      <c r="R30">
        <f t="shared" si="10"/>
        <v>353.34007393885236</v>
      </c>
      <c r="S30">
        <f t="shared" si="11"/>
        <v>27.092008733774481</v>
      </c>
      <c r="T30">
        <f t="shared" si="12"/>
        <v>27.1163806451613</v>
      </c>
      <c r="U30">
        <f t="shared" si="13"/>
        <v>3.6036975162466778</v>
      </c>
      <c r="V30">
        <f t="shared" si="14"/>
        <v>55.020892831398683</v>
      </c>
      <c r="W30">
        <f t="shared" si="15"/>
        <v>1.8771593358348919</v>
      </c>
      <c r="X30">
        <f t="shared" si="16"/>
        <v>3.4117209649561642</v>
      </c>
      <c r="Y30">
        <f t="shared" si="17"/>
        <v>1.7265381804117859</v>
      </c>
      <c r="Z30">
        <f t="shared" si="18"/>
        <v>-177.25755434991032</v>
      </c>
      <c r="AA30">
        <f t="shared" si="19"/>
        <v>-170.09428023945097</v>
      </c>
      <c r="AB30">
        <f t="shared" si="20"/>
        <v>-10.778802881010906</v>
      </c>
      <c r="AC30">
        <f t="shared" si="21"/>
        <v>-4.7905635315198367</v>
      </c>
      <c r="AD30">
        <v>-4.1351043761412999E-2</v>
      </c>
      <c r="AE30">
        <v>4.64201691725801E-2</v>
      </c>
      <c r="AF30">
        <v>3.46632304608924</v>
      </c>
      <c r="AG30">
        <v>157</v>
      </c>
      <c r="AH30">
        <v>31</v>
      </c>
      <c r="AI30">
        <f t="shared" si="22"/>
        <v>1</v>
      </c>
      <c r="AJ30">
        <f t="shared" si="23"/>
        <v>0</v>
      </c>
      <c r="AK30">
        <f t="shared" si="24"/>
        <v>52872.196956150627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276.34607999999997</v>
      </c>
      <c r="AT30">
        <v>354.25700000000001</v>
      </c>
      <c r="AU30">
        <f t="shared" si="27"/>
        <v>0.2199276796224211</v>
      </c>
      <c r="AV30">
        <v>0.5</v>
      </c>
      <c r="AW30">
        <f t="shared" si="28"/>
        <v>1849.196990031634</v>
      </c>
      <c r="AX30">
        <f t="shared" si="29"/>
        <v>41.280320183338937</v>
      </c>
      <c r="AY30">
        <f t="shared" si="30"/>
        <v>203.34480159121131</v>
      </c>
      <c r="AZ30">
        <f t="shared" si="31"/>
        <v>0.46773105400881282</v>
      </c>
      <c r="BA30">
        <f t="shared" si="32"/>
        <v>2.2864151526990995E-2</v>
      </c>
      <c r="BB30">
        <f t="shared" si="33"/>
        <v>-1</v>
      </c>
      <c r="BC30" t="s">
        <v>352</v>
      </c>
      <c r="BD30">
        <v>188.56</v>
      </c>
      <c r="BE30">
        <f t="shared" si="34"/>
        <v>165.697</v>
      </c>
      <c r="BF30">
        <f t="shared" si="35"/>
        <v>0.47020115029240139</v>
      </c>
      <c r="BG30">
        <f t="shared" si="36"/>
        <v>1.8787494696648281</v>
      </c>
      <c r="BH30">
        <f t="shared" si="37"/>
        <v>0.2199276796224211</v>
      </c>
      <c r="BI30" t="e">
        <f t="shared" si="38"/>
        <v>#DIV/0!</v>
      </c>
      <c r="BJ30">
        <v>4957</v>
      </c>
      <c r="BK30">
        <v>300</v>
      </c>
      <c r="BL30">
        <v>300</v>
      </c>
      <c r="BM30">
        <v>300</v>
      </c>
      <c r="BN30">
        <v>9860.7099999999991</v>
      </c>
      <c r="BO30">
        <v>330.50200000000001</v>
      </c>
      <c r="BP30">
        <v>-6.3949999999999996E-3</v>
      </c>
      <c r="BQ30">
        <v>0.32437100000000002</v>
      </c>
      <c r="BR30">
        <f t="shared" si="39"/>
        <v>2200.0138709677399</v>
      </c>
      <c r="BS30">
        <f t="shared" si="40"/>
        <v>1849.196990031634</v>
      </c>
      <c r="BT30">
        <f t="shared" si="41"/>
        <v>0.84053878679329008</v>
      </c>
      <c r="BU30">
        <f t="shared" si="42"/>
        <v>0.19107757358658031</v>
      </c>
      <c r="BV30">
        <v>0.5</v>
      </c>
      <c r="BW30" t="s">
        <v>281</v>
      </c>
      <c r="BX30">
        <v>1595005071.5</v>
      </c>
      <c r="BY30">
        <v>1580.9604838709699</v>
      </c>
      <c r="BZ30">
        <v>1600.0129032258101</v>
      </c>
      <c r="CA30">
        <v>18.789041935483901</v>
      </c>
      <c r="CB30">
        <v>17.211600000000001</v>
      </c>
      <c r="CC30">
        <v>500.04048387096799</v>
      </c>
      <c r="CD30">
        <v>99.707164516128998</v>
      </c>
      <c r="CE30">
        <v>0.199969774193548</v>
      </c>
      <c r="CF30">
        <v>26.186722580645199</v>
      </c>
      <c r="CG30">
        <v>27.1163806451613</v>
      </c>
      <c r="CH30">
        <v>999.9</v>
      </c>
      <c r="CI30">
        <v>10001.2925806452</v>
      </c>
      <c r="CJ30">
        <v>0</v>
      </c>
      <c r="CK30">
        <v>334.90477419354801</v>
      </c>
      <c r="CL30">
        <v>2200.0138709677399</v>
      </c>
      <c r="CM30">
        <v>0.98199890322580696</v>
      </c>
      <c r="CN30">
        <v>1.8001451612903199E-2</v>
      </c>
      <c r="CO30">
        <v>0</v>
      </c>
      <c r="CP30">
        <v>276.39541935483902</v>
      </c>
      <c r="CQ30">
        <v>5.00054</v>
      </c>
      <c r="CR30">
        <v>8191.4341935483899</v>
      </c>
      <c r="CS30">
        <v>20590.654838709699</v>
      </c>
      <c r="CT30">
        <v>49.657129032258098</v>
      </c>
      <c r="CU30">
        <v>51.695193548387103</v>
      </c>
      <c r="CV30">
        <v>50.133000000000003</v>
      </c>
      <c r="CW30">
        <v>50.451451612903199</v>
      </c>
      <c r="CX30">
        <v>50.911000000000001</v>
      </c>
      <c r="CY30">
        <v>2155.5025806451599</v>
      </c>
      <c r="CZ30">
        <v>39.511290322580599</v>
      </c>
      <c r="DA30">
        <v>0</v>
      </c>
      <c r="DB30">
        <v>120.19999980926499</v>
      </c>
      <c r="DC30">
        <v>276.34607999999997</v>
      </c>
      <c r="DD30">
        <v>-1.7626153854043201</v>
      </c>
      <c r="DE30">
        <v>2648.4030819867498</v>
      </c>
      <c r="DF30">
        <v>8214.17</v>
      </c>
      <c r="DG30">
        <v>15</v>
      </c>
      <c r="DH30">
        <v>1595005107</v>
      </c>
      <c r="DI30" t="s">
        <v>353</v>
      </c>
      <c r="DJ30">
        <v>42</v>
      </c>
      <c r="DK30">
        <v>-0.28100000000000003</v>
      </c>
      <c r="DL30">
        <v>0.111</v>
      </c>
      <c r="DM30">
        <v>1600</v>
      </c>
      <c r="DN30">
        <v>17</v>
      </c>
      <c r="DO30">
        <v>0.16</v>
      </c>
      <c r="DP30">
        <v>0.06</v>
      </c>
      <c r="DQ30">
        <v>1581.1862745097999</v>
      </c>
      <c r="DR30">
        <v>0.18439819004420499</v>
      </c>
      <c r="DS30">
        <v>5.9703870019843001E-2</v>
      </c>
      <c r="DT30">
        <v>1</v>
      </c>
      <c r="DU30">
        <v>18.7967137254902</v>
      </c>
      <c r="DV30">
        <v>-8.3623167420827496E-2</v>
      </c>
      <c r="DW30">
        <v>1.02942591960388E-2</v>
      </c>
      <c r="DX30">
        <v>1</v>
      </c>
      <c r="DY30">
        <v>2</v>
      </c>
      <c r="DZ30">
        <v>2</v>
      </c>
      <c r="EA30" t="s">
        <v>283</v>
      </c>
      <c r="EB30">
        <v>1.86669</v>
      </c>
      <c r="EC30">
        <v>1.8632</v>
      </c>
      <c r="ED30">
        <v>1.86886</v>
      </c>
      <c r="EE30">
        <v>1.86676</v>
      </c>
      <c r="EF30">
        <v>1.8714900000000001</v>
      </c>
      <c r="EG30">
        <v>1.8638699999999999</v>
      </c>
      <c r="EH30">
        <v>1.86541</v>
      </c>
      <c r="EI30">
        <v>1.8653900000000001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-0.28100000000000003</v>
      </c>
      <c r="EX30">
        <v>0.111</v>
      </c>
      <c r="EY30">
        <v>2</v>
      </c>
      <c r="EZ30">
        <v>324.149</v>
      </c>
      <c r="FA30">
        <v>465.27499999999998</v>
      </c>
      <c r="FB30">
        <v>20.006799999999998</v>
      </c>
      <c r="FC30">
        <v>37.526000000000003</v>
      </c>
      <c r="FD30">
        <v>30.000800000000002</v>
      </c>
      <c r="FE30">
        <v>37.338900000000002</v>
      </c>
      <c r="FF30">
        <v>37.3108</v>
      </c>
      <c r="FG30">
        <v>67.123500000000007</v>
      </c>
      <c r="FH30">
        <v>51.155200000000001</v>
      </c>
      <c r="FI30">
        <v>0</v>
      </c>
      <c r="FJ30">
        <v>16.9253</v>
      </c>
      <c r="FK30">
        <v>1600</v>
      </c>
      <c r="FL30">
        <v>17.277200000000001</v>
      </c>
      <c r="FM30">
        <v>100.13200000000001</v>
      </c>
      <c r="FN30">
        <v>100.32299999999999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2020-07-17T11:59:10Z</dcterms:created>
  <dcterms:modified xsi:type="dcterms:W3CDTF">2024-11-20T09:01:15Z</dcterms:modified>
</cp:coreProperties>
</file>