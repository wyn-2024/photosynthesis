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博士学习资料\past test data\2020_soybean_CO2_curves\0717\"/>
    </mc:Choice>
  </mc:AlternateContent>
  <bookViews>
    <workbookView xWindow="240" yWindow="12" windowWidth="16092" windowHeight="9660"/>
  </bookViews>
  <sheets>
    <sheet name="Measurements" sheetId="1" r:id="rId1"/>
    <sheet name="Remarks" sheetId="2" r:id="rId2"/>
  </sheets>
  <calcPr calcId="162913"/>
</workbook>
</file>

<file path=xl/calcChain.xml><?xml version="1.0" encoding="utf-8"?>
<calcChain xmlns="http://schemas.openxmlformats.org/spreadsheetml/2006/main">
  <c r="BU30" i="1" l="1"/>
  <c r="BT30" i="1"/>
  <c r="BR30" i="1"/>
  <c r="BS30" i="1" s="1"/>
  <c r="BI30" i="1"/>
  <c r="BH30" i="1"/>
  <c r="BG30" i="1"/>
  <c r="BF30" i="1"/>
  <c r="BE30" i="1"/>
  <c r="BB30" i="1"/>
  <c r="AZ30" i="1"/>
  <c r="AU30" i="1"/>
  <c r="AO30" i="1"/>
  <c r="AP30" i="1" s="1"/>
  <c r="AK30" i="1"/>
  <c r="AI30" i="1"/>
  <c r="M30" i="1" s="1"/>
  <c r="X30" i="1"/>
  <c r="V30" i="1" s="1"/>
  <c r="W30" i="1"/>
  <c r="O30" i="1"/>
  <c r="BU29" i="1"/>
  <c r="BT29" i="1"/>
  <c r="BR29" i="1"/>
  <c r="BS29" i="1" s="1"/>
  <c r="BI29" i="1"/>
  <c r="BH29" i="1"/>
  <c r="BG29" i="1"/>
  <c r="BF29" i="1"/>
  <c r="BE29" i="1"/>
  <c r="BB29" i="1"/>
  <c r="AZ29" i="1"/>
  <c r="AU29" i="1"/>
  <c r="AO29" i="1"/>
  <c r="AP29" i="1" s="1"/>
  <c r="AK29" i="1"/>
  <c r="AJ29" i="1"/>
  <c r="AI29" i="1"/>
  <c r="I29" i="1" s="1"/>
  <c r="AX29" i="1" s="1"/>
  <c r="X29" i="1"/>
  <c r="W29" i="1"/>
  <c r="V29" i="1"/>
  <c r="O29" i="1"/>
  <c r="BU28" i="1"/>
  <c r="BT28" i="1"/>
  <c r="BR28" i="1"/>
  <c r="BS28" i="1" s="1"/>
  <c r="BI28" i="1"/>
  <c r="BH28" i="1"/>
  <c r="BG28" i="1"/>
  <c r="BF28" i="1"/>
  <c r="BE28" i="1"/>
  <c r="AZ28" i="1" s="1"/>
  <c r="BB28" i="1"/>
  <c r="AU28" i="1"/>
  <c r="AO28" i="1"/>
  <c r="AP28" i="1" s="1"/>
  <c r="AK28" i="1"/>
  <c r="AI28" i="1" s="1"/>
  <c r="X28" i="1"/>
  <c r="W28" i="1"/>
  <c r="V28" i="1"/>
  <c r="O28" i="1"/>
  <c r="BU27" i="1"/>
  <c r="BT27" i="1"/>
  <c r="BR27" i="1"/>
  <c r="BS27" i="1" s="1"/>
  <c r="BI27" i="1"/>
  <c r="BH27" i="1"/>
  <c r="BG27" i="1"/>
  <c r="BF27" i="1"/>
  <c r="BE27" i="1"/>
  <c r="BB27" i="1"/>
  <c r="AZ27" i="1"/>
  <c r="AU27" i="1"/>
  <c r="AP27" i="1"/>
  <c r="AO27" i="1"/>
  <c r="AK27" i="1"/>
  <c r="AI27" i="1" s="1"/>
  <c r="X27" i="1"/>
  <c r="W27" i="1"/>
  <c r="V27" i="1"/>
  <c r="O27" i="1"/>
  <c r="BU26" i="1"/>
  <c r="BT26" i="1"/>
  <c r="BR26" i="1"/>
  <c r="BS26" i="1" s="1"/>
  <c r="BI26" i="1"/>
  <c r="BH26" i="1"/>
  <c r="BG26" i="1"/>
  <c r="BF26" i="1"/>
  <c r="BE26" i="1"/>
  <c r="BB26" i="1"/>
  <c r="AZ26" i="1"/>
  <c r="AU26" i="1"/>
  <c r="AO26" i="1"/>
  <c r="AP26" i="1" s="1"/>
  <c r="AK26" i="1"/>
  <c r="AI26" i="1" s="1"/>
  <c r="X26" i="1"/>
  <c r="W26" i="1"/>
  <c r="V26" i="1"/>
  <c r="O26" i="1"/>
  <c r="BU25" i="1"/>
  <c r="BT25" i="1"/>
  <c r="BR25" i="1"/>
  <c r="BS25" i="1" s="1"/>
  <c r="BI25" i="1"/>
  <c r="BH25" i="1"/>
  <c r="BG25" i="1"/>
  <c r="BF25" i="1"/>
  <c r="BE25" i="1"/>
  <c r="AZ25" i="1" s="1"/>
  <c r="BB25" i="1"/>
  <c r="AU25" i="1"/>
  <c r="AO25" i="1"/>
  <c r="AP25" i="1" s="1"/>
  <c r="AK25" i="1"/>
  <c r="AI25" i="1"/>
  <c r="M25" i="1" s="1"/>
  <c r="X25" i="1"/>
  <c r="W25" i="1"/>
  <c r="V25" i="1" s="1"/>
  <c r="O25" i="1"/>
  <c r="BU24" i="1"/>
  <c r="BT24" i="1"/>
  <c r="BR24" i="1"/>
  <c r="BS24" i="1" s="1"/>
  <c r="BI24" i="1"/>
  <c r="BH24" i="1"/>
  <c r="BG24" i="1"/>
  <c r="BF24" i="1"/>
  <c r="BE24" i="1"/>
  <c r="AZ24" i="1" s="1"/>
  <c r="BB24" i="1"/>
  <c r="AU24" i="1"/>
  <c r="AO24" i="1"/>
  <c r="AP24" i="1" s="1"/>
  <c r="AK24" i="1"/>
  <c r="AI24" i="1"/>
  <c r="AJ24" i="1" s="1"/>
  <c r="X24" i="1"/>
  <c r="W24" i="1"/>
  <c r="V24" i="1"/>
  <c r="O24" i="1"/>
  <c r="BU23" i="1"/>
  <c r="BT23" i="1"/>
  <c r="BR23" i="1"/>
  <c r="BS23" i="1" s="1"/>
  <c r="BI23" i="1"/>
  <c r="BH23" i="1"/>
  <c r="BG23" i="1"/>
  <c r="BF23" i="1"/>
  <c r="BE23" i="1"/>
  <c r="AZ23" i="1" s="1"/>
  <c r="BB23" i="1"/>
  <c r="AU23" i="1"/>
  <c r="AO23" i="1"/>
  <c r="AP23" i="1" s="1"/>
  <c r="AK23" i="1"/>
  <c r="AI23" i="1"/>
  <c r="I23" i="1" s="1"/>
  <c r="AX23" i="1" s="1"/>
  <c r="X23" i="1"/>
  <c r="W23" i="1"/>
  <c r="V23" i="1"/>
  <c r="O23" i="1"/>
  <c r="BU22" i="1"/>
  <c r="BT22" i="1"/>
  <c r="BR22" i="1"/>
  <c r="BS22" i="1" s="1"/>
  <c r="BI22" i="1"/>
  <c r="BH22" i="1"/>
  <c r="BG22" i="1"/>
  <c r="BF22" i="1"/>
  <c r="BE22" i="1"/>
  <c r="BB22" i="1"/>
  <c r="AZ22" i="1"/>
  <c r="AU22" i="1"/>
  <c r="AO22" i="1"/>
  <c r="AP22" i="1" s="1"/>
  <c r="AK22" i="1"/>
  <c r="AI22" i="1" s="1"/>
  <c r="X22" i="1"/>
  <c r="W22" i="1"/>
  <c r="V22" i="1"/>
  <c r="O22" i="1"/>
  <c r="BU21" i="1"/>
  <c r="BT21" i="1"/>
  <c r="BR21" i="1"/>
  <c r="BS21" i="1" s="1"/>
  <c r="BI21" i="1"/>
  <c r="BH21" i="1"/>
  <c r="BG21" i="1"/>
  <c r="BF21" i="1"/>
  <c r="BE21" i="1"/>
  <c r="BB21" i="1"/>
  <c r="AZ21" i="1"/>
  <c r="AU21" i="1"/>
  <c r="AO21" i="1"/>
  <c r="AP21" i="1" s="1"/>
  <c r="AK21" i="1"/>
  <c r="AI21" i="1"/>
  <c r="I21" i="1" s="1"/>
  <c r="AX21" i="1" s="1"/>
  <c r="X21" i="1"/>
  <c r="W21" i="1"/>
  <c r="V21" i="1"/>
  <c r="O21" i="1"/>
  <c r="BU20" i="1"/>
  <c r="BT20" i="1"/>
  <c r="BR20" i="1"/>
  <c r="BS20" i="1" s="1"/>
  <c r="BI20" i="1"/>
  <c r="BH20" i="1"/>
  <c r="BG20" i="1"/>
  <c r="BF20" i="1"/>
  <c r="BE20" i="1"/>
  <c r="BB20" i="1"/>
  <c r="AZ20" i="1"/>
  <c r="AU20" i="1"/>
  <c r="AO20" i="1"/>
  <c r="AP20" i="1" s="1"/>
  <c r="AK20" i="1"/>
  <c r="AI20" i="1"/>
  <c r="M20" i="1" s="1"/>
  <c r="X20" i="1"/>
  <c r="W20" i="1"/>
  <c r="V20" i="1"/>
  <c r="O20" i="1"/>
  <c r="BU19" i="1"/>
  <c r="BT19" i="1"/>
  <c r="BR19" i="1"/>
  <c r="BS19" i="1" s="1"/>
  <c r="BI19" i="1"/>
  <c r="BH19" i="1"/>
  <c r="BG19" i="1"/>
  <c r="BF19" i="1"/>
  <c r="BE19" i="1"/>
  <c r="AZ19" i="1" s="1"/>
  <c r="BB19" i="1"/>
  <c r="AU19" i="1"/>
  <c r="AP19" i="1"/>
  <c r="AO19" i="1"/>
  <c r="AK19" i="1"/>
  <c r="AI19" i="1"/>
  <c r="J19" i="1" s="1"/>
  <c r="X19" i="1"/>
  <c r="W19" i="1"/>
  <c r="V19" i="1"/>
  <c r="O19" i="1"/>
  <c r="BU18" i="1"/>
  <c r="BT18" i="1"/>
  <c r="BR18" i="1"/>
  <c r="BS18" i="1" s="1"/>
  <c r="BI18" i="1"/>
  <c r="BH18" i="1"/>
  <c r="BG18" i="1"/>
  <c r="BF18" i="1"/>
  <c r="BE18" i="1"/>
  <c r="BB18" i="1"/>
  <c r="AZ18" i="1"/>
  <c r="AU18" i="1"/>
  <c r="AO18" i="1"/>
  <c r="AP18" i="1" s="1"/>
  <c r="AK18" i="1"/>
  <c r="AI18" i="1"/>
  <c r="M18" i="1" s="1"/>
  <c r="X18" i="1"/>
  <c r="W18" i="1"/>
  <c r="V18" i="1"/>
  <c r="O18" i="1"/>
  <c r="BU17" i="1"/>
  <c r="BT17" i="1"/>
  <c r="BS17" i="1"/>
  <c r="BR17" i="1"/>
  <c r="BI17" i="1"/>
  <c r="BH17" i="1"/>
  <c r="BG17" i="1"/>
  <c r="BF17" i="1"/>
  <c r="BE17" i="1"/>
  <c r="BB17" i="1"/>
  <c r="AZ17" i="1"/>
  <c r="AW17" i="1"/>
  <c r="AU17" i="1"/>
  <c r="AY17" i="1" s="1"/>
  <c r="AP17" i="1"/>
  <c r="AO17" i="1"/>
  <c r="AK17" i="1"/>
  <c r="AI17" i="1" s="1"/>
  <c r="X17" i="1"/>
  <c r="W17" i="1"/>
  <c r="V17" i="1"/>
  <c r="R17" i="1"/>
  <c r="O17" i="1"/>
  <c r="J27" i="1" l="1"/>
  <c r="I27" i="1"/>
  <c r="AX27" i="1" s="1"/>
  <c r="H27" i="1"/>
  <c r="AJ27" i="1"/>
  <c r="M27" i="1"/>
  <c r="AW28" i="1"/>
  <c r="AY28" i="1" s="1"/>
  <c r="R28" i="1"/>
  <c r="AW29" i="1"/>
  <c r="AY29" i="1" s="1"/>
  <c r="R29" i="1"/>
  <c r="R27" i="1"/>
  <c r="AW27" i="1"/>
  <c r="AY27" i="1" s="1"/>
  <c r="R23" i="1"/>
  <c r="AW23" i="1"/>
  <c r="AY23" i="1" s="1"/>
  <c r="AW30" i="1"/>
  <c r="AY30" i="1" s="1"/>
  <c r="R30" i="1"/>
  <c r="AW18" i="1"/>
  <c r="AY18" i="1" s="1"/>
  <c r="R18" i="1"/>
  <c r="R25" i="1"/>
  <c r="AW25" i="1"/>
  <c r="R24" i="1"/>
  <c r="AW24" i="1"/>
  <c r="AY24" i="1" s="1"/>
  <c r="I17" i="1"/>
  <c r="AX17" i="1" s="1"/>
  <c r="BA17" i="1" s="1"/>
  <c r="H17" i="1"/>
  <c r="AJ17" i="1"/>
  <c r="M17" i="1"/>
  <c r="J17" i="1"/>
  <c r="I28" i="1"/>
  <c r="AX28" i="1" s="1"/>
  <c r="BA28" i="1" s="1"/>
  <c r="H28" i="1"/>
  <c r="M28" i="1"/>
  <c r="J28" i="1"/>
  <c r="AJ28" i="1"/>
  <c r="AW22" i="1"/>
  <c r="AY22" i="1" s="1"/>
  <c r="R22" i="1"/>
  <c r="R21" i="1"/>
  <c r="AW21" i="1"/>
  <c r="BA21" i="1" s="1"/>
  <c r="I26" i="1"/>
  <c r="AX26" i="1" s="1"/>
  <c r="BA26" i="1" s="1"/>
  <c r="J26" i="1"/>
  <c r="AJ26" i="1"/>
  <c r="M26" i="1"/>
  <c r="H26" i="1"/>
  <c r="AW20" i="1"/>
  <c r="AY20" i="1" s="1"/>
  <c r="R20" i="1"/>
  <c r="J22" i="1"/>
  <c r="I22" i="1"/>
  <c r="AX22" i="1" s="1"/>
  <c r="H22" i="1"/>
  <c r="AJ22" i="1"/>
  <c r="M22" i="1"/>
  <c r="AW19" i="1"/>
  <c r="AY19" i="1" s="1"/>
  <c r="R19" i="1"/>
  <c r="AY25" i="1"/>
  <c r="AW26" i="1"/>
  <c r="AY26" i="1" s="1"/>
  <c r="R26" i="1"/>
  <c r="H20" i="1"/>
  <c r="I30" i="1"/>
  <c r="AX30" i="1" s="1"/>
  <c r="BA30" i="1" s="1"/>
  <c r="M21" i="1"/>
  <c r="H30" i="1"/>
  <c r="H25" i="1"/>
  <c r="H19" i="1"/>
  <c r="I24" i="1"/>
  <c r="AX24" i="1" s="1"/>
  <c r="J29" i="1"/>
  <c r="I19" i="1"/>
  <c r="AX19" i="1" s="1"/>
  <c r="J24" i="1"/>
  <c r="J25" i="1"/>
  <c r="H21" i="1"/>
  <c r="AJ25" i="1"/>
  <c r="J20" i="1"/>
  <c r="H23" i="1"/>
  <c r="M19" i="1"/>
  <c r="I18" i="1"/>
  <c r="AX18" i="1" s="1"/>
  <c r="J23" i="1"/>
  <c r="H29" i="1"/>
  <c r="M29" i="1"/>
  <c r="M24" i="1"/>
  <c r="H18" i="1"/>
  <c r="J18" i="1"/>
  <c r="I25" i="1"/>
  <c r="AX25" i="1" s="1"/>
  <c r="BA25" i="1" s="1"/>
  <c r="J30" i="1"/>
  <c r="AJ19" i="1"/>
  <c r="H24" i="1"/>
  <c r="AJ18" i="1"/>
  <c r="J21" i="1"/>
  <c r="I20" i="1"/>
  <c r="AX20" i="1" s="1"/>
  <c r="M23" i="1"/>
  <c r="AJ30" i="1"/>
  <c r="AJ20" i="1"/>
  <c r="AJ21" i="1"/>
  <c r="AJ23" i="1"/>
  <c r="Z30" i="1" l="1"/>
  <c r="Z24" i="1"/>
  <c r="Z18" i="1"/>
  <c r="Z22" i="1"/>
  <c r="S28" i="1"/>
  <c r="T28" i="1" s="1"/>
  <c r="Z20" i="1"/>
  <c r="P28" i="1"/>
  <c r="N28" i="1" s="1"/>
  <c r="Q28" i="1" s="1"/>
  <c r="K28" i="1" s="1"/>
  <c r="L28" i="1" s="1"/>
  <c r="Z28" i="1"/>
  <c r="BA22" i="1"/>
  <c r="S19" i="1"/>
  <c r="T19" i="1" s="1"/>
  <c r="AY21" i="1"/>
  <c r="BA23" i="1"/>
  <c r="S21" i="1"/>
  <c r="T21" i="1" s="1"/>
  <c r="S23" i="1"/>
  <c r="T23" i="1" s="1"/>
  <c r="S20" i="1"/>
  <c r="T20" i="1" s="1"/>
  <c r="S24" i="1"/>
  <c r="T24" i="1" s="1"/>
  <c r="P24" i="1" s="1"/>
  <c r="N24" i="1" s="1"/>
  <c r="Q24" i="1" s="1"/>
  <c r="K24" i="1" s="1"/>
  <c r="L24" i="1" s="1"/>
  <c r="BA24" i="1"/>
  <c r="Z27" i="1"/>
  <c r="S22" i="1"/>
  <c r="T22" i="1" s="1"/>
  <c r="P22" i="1" s="1"/>
  <c r="N22" i="1" s="1"/>
  <c r="Q22" i="1" s="1"/>
  <c r="K22" i="1" s="1"/>
  <c r="L22" i="1" s="1"/>
  <c r="S26" i="1"/>
  <c r="T26" i="1" s="1"/>
  <c r="BA18" i="1"/>
  <c r="S29" i="1"/>
  <c r="T29" i="1" s="1"/>
  <c r="Z23" i="1"/>
  <c r="Z21" i="1"/>
  <c r="BA29" i="1"/>
  <c r="P26" i="1"/>
  <c r="N26" i="1" s="1"/>
  <c r="Q26" i="1" s="1"/>
  <c r="K26" i="1" s="1"/>
  <c r="L26" i="1" s="1"/>
  <c r="Z26" i="1"/>
  <c r="Z19" i="1"/>
  <c r="P19" i="1"/>
  <c r="N19" i="1" s="1"/>
  <c r="Q19" i="1" s="1"/>
  <c r="K19" i="1" s="1"/>
  <c r="L19" i="1" s="1"/>
  <c r="S25" i="1"/>
  <c r="T25" i="1" s="1"/>
  <c r="BA27" i="1"/>
  <c r="S30" i="1"/>
  <c r="T30" i="1" s="1"/>
  <c r="S27" i="1"/>
  <c r="T27" i="1" s="1"/>
  <c r="Z29" i="1"/>
  <c r="Z17" i="1"/>
  <c r="S17" i="1"/>
  <c r="T17" i="1" s="1"/>
  <c r="P17" i="1" s="1"/>
  <c r="N17" i="1" s="1"/>
  <c r="Q17" i="1" s="1"/>
  <c r="K17" i="1" s="1"/>
  <c r="L17" i="1" s="1"/>
  <c r="BA19" i="1"/>
  <c r="BA20" i="1"/>
  <c r="Z25" i="1"/>
  <c r="S18" i="1"/>
  <c r="T18" i="1" s="1"/>
  <c r="AA20" i="1" l="1"/>
  <c r="U20" i="1"/>
  <c r="Y20" i="1" s="1"/>
  <c r="AB20" i="1"/>
  <c r="AA25" i="1"/>
  <c r="U25" i="1"/>
  <c r="Y25" i="1" s="1"/>
  <c r="AB25" i="1"/>
  <c r="AC25" i="1" s="1"/>
  <c r="U23" i="1"/>
  <c r="Y23" i="1" s="1"/>
  <c r="AB23" i="1"/>
  <c r="AA23" i="1"/>
  <c r="AB18" i="1"/>
  <c r="U18" i="1"/>
  <c r="Y18" i="1" s="1"/>
  <c r="AA18" i="1"/>
  <c r="AB28" i="1"/>
  <c r="U28" i="1"/>
  <c r="Y28" i="1" s="1"/>
  <c r="AA28" i="1"/>
  <c r="AB26" i="1"/>
  <c r="AC26" i="1" s="1"/>
  <c r="U26" i="1"/>
  <c r="Y26" i="1" s="1"/>
  <c r="AA26" i="1"/>
  <c r="U29" i="1"/>
  <c r="Y29" i="1" s="1"/>
  <c r="AA29" i="1"/>
  <c r="AB29" i="1"/>
  <c r="AC29" i="1" s="1"/>
  <c r="P20" i="1"/>
  <c r="N20" i="1" s="1"/>
  <c r="Q20" i="1" s="1"/>
  <c r="K20" i="1" s="1"/>
  <c r="L20" i="1" s="1"/>
  <c r="AB22" i="1"/>
  <c r="U22" i="1"/>
  <c r="Y22" i="1" s="1"/>
  <c r="AA22" i="1"/>
  <c r="P29" i="1"/>
  <c r="N29" i="1" s="1"/>
  <c r="Q29" i="1" s="1"/>
  <c r="K29" i="1" s="1"/>
  <c r="L29" i="1" s="1"/>
  <c r="P18" i="1"/>
  <c r="N18" i="1" s="1"/>
  <c r="Q18" i="1" s="1"/>
  <c r="K18" i="1" s="1"/>
  <c r="L18" i="1" s="1"/>
  <c r="AB21" i="1"/>
  <c r="U21" i="1"/>
  <c r="Y21" i="1" s="1"/>
  <c r="AA21" i="1"/>
  <c r="P21" i="1"/>
  <c r="N21" i="1" s="1"/>
  <c r="Q21" i="1" s="1"/>
  <c r="K21" i="1" s="1"/>
  <c r="L21" i="1" s="1"/>
  <c r="AA30" i="1"/>
  <c r="U30" i="1"/>
  <c r="Y30" i="1" s="1"/>
  <c r="AB30" i="1"/>
  <c r="AC30" i="1" s="1"/>
  <c r="AB24" i="1"/>
  <c r="U24" i="1"/>
  <c r="Y24" i="1" s="1"/>
  <c r="AA24" i="1"/>
  <c r="P30" i="1"/>
  <c r="N30" i="1" s="1"/>
  <c r="Q30" i="1" s="1"/>
  <c r="K30" i="1" s="1"/>
  <c r="L30" i="1" s="1"/>
  <c r="U19" i="1"/>
  <c r="Y19" i="1" s="1"/>
  <c r="AB19" i="1"/>
  <c r="AA19" i="1"/>
  <c r="P23" i="1"/>
  <c r="N23" i="1" s="1"/>
  <c r="Q23" i="1" s="1"/>
  <c r="K23" i="1" s="1"/>
  <c r="L23" i="1" s="1"/>
  <c r="P25" i="1"/>
  <c r="N25" i="1" s="1"/>
  <c r="Q25" i="1" s="1"/>
  <c r="K25" i="1" s="1"/>
  <c r="L25" i="1" s="1"/>
  <c r="U17" i="1"/>
  <c r="Y17" i="1" s="1"/>
  <c r="AB17" i="1"/>
  <c r="AC17" i="1" s="1"/>
  <c r="AA17" i="1"/>
  <c r="AB27" i="1"/>
  <c r="U27" i="1"/>
  <c r="Y27" i="1" s="1"/>
  <c r="AA27" i="1"/>
  <c r="P27" i="1"/>
  <c r="N27" i="1" s="1"/>
  <c r="Q27" i="1" s="1"/>
  <c r="K27" i="1" s="1"/>
  <c r="L27" i="1" s="1"/>
  <c r="AC27" i="1" l="1"/>
  <c r="AC22" i="1"/>
  <c r="AC24" i="1"/>
  <c r="AC18" i="1"/>
  <c r="AC21" i="1"/>
  <c r="AC20" i="1"/>
  <c r="AC19" i="1"/>
  <c r="AC28" i="1"/>
  <c r="AC23" i="1"/>
</calcChain>
</file>

<file path=xl/sharedStrings.xml><?xml version="1.0" encoding="utf-8"?>
<sst xmlns="http://schemas.openxmlformats.org/spreadsheetml/2006/main" count="771" uniqueCount="354">
  <si>
    <t>File opened</t>
  </si>
  <si>
    <t>2020-07-17 13:13:43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</si>
  <si>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</si>
  <si>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</si>
  <si>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</si>
  <si>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</si>
  <si>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</si>
  <si>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</si>
  <si>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</si>
  <si>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</si>
  <si>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</si>
  <si>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1.4.0</t>
  </si>
  <si>
    <t>Head cal</t>
  </si>
  <si>
    <t>{"h2oaspanconc2": "0", "co2bspan2a": "0.163389", "ssb_ref": "36526.8", "co2aspanconc2": "0", "co2bzero": "0.880288", "chamberpressurezero": "2.59209", "co2aspan1": "0.992625", "co2aspan2b": "0.163711", "tbzero": "0.197721", "h2oaspan1": "1.00223", "h2oaspan2a": "0.0661155", "h2obspan2a": "0.0975941", "tazero": "0.00774765", "h2obspan1": "0.998578", "h2obspan2": "0", "co2bspanconc1": "1002", "h2oaspan2b": "0.0662632", "co2bspan2": "0", "co2bspan2b": "0.162103", "co2aspan2": "0", "co2azero": "0.869071", "h2oaspan2": "0", "h2obzero": "1.01783", "ssa_ref": "36614.9", "flowmeterzero": "0.990908", "flowbzero": "0.22736", "co2bspanconc2": "0", "co2bspan1": "0.992131", "h2oaspanconc1": "12.19", "co2aspan2a": "0.164928", "co2aspanconc1": "1002", "h2oazero": "1.00263", "h2obspanconc1": "20", "flowazero": "0.42932", "h2obspanconc2": "0", "h2obspan2b": "0.0963575", "oxygen": "21"}</t>
  </si>
  <si>
    <t>Chamber type</t>
  </si>
  <si>
    <t>6800-01A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</si>
  <si>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</si>
  <si>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</si>
  <si>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</si>
  <si>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</si>
  <si>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</si>
  <si>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</si>
  <si>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</si>
  <si>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13:13:43</t>
  </si>
  <si>
    <t>Stability Definition:	H2O_s (Meas): Slp&lt;0.2	CO2_s (Meas): Slp&lt;0.3</t>
  </si>
  <si>
    <t>SysConst</t>
  </si>
  <si>
    <t>AvgTime</t>
  </si>
  <si>
    <t>4</t>
  </si>
  <si>
    <t>Oxygen</t>
  </si>
  <si>
    <t>21</t>
  </si>
  <si>
    <t>Chamber</t>
  </si>
  <si>
    <t>6800-01A 2 cm²</t>
  </si>
  <si>
    <t>Const</t>
  </si>
  <si>
    <t>S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</si>
  <si>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</si>
  <si>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</si>
  <si>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</si>
  <si>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</si>
  <si>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</si>
  <si>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</si>
  <si>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</si>
  <si>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</si>
  <si>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</si>
  <si>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</si>
  <si>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</si>
  <si>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</si>
  <si>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</si>
  <si>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</si>
  <si>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</si>
  <si>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</si>
  <si>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</si>
  <si>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</si>
  <si>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</si>
  <si>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</si>
  <si>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</si>
  <si>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</si>
  <si>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</si>
  <si>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</si>
  <si>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</si>
  <si>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</si>
  <si>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</si>
  <si>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</si>
  <si>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</si>
  <si>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</si>
  <si>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</si>
  <si>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</si>
  <si>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</si>
  <si>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</si>
  <si>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</si>
  <si>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</si>
  <si>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</si>
  <si>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2.8867 76.9944 384.338 617.676 844.529 1050.88 1230.97 1394.83</t>
  </si>
  <si>
    <t>Fs_true</t>
  </si>
  <si>
    <t>0.249995 100.784 401.701 601.178 800.155 1000.64 1200.01 1400.75</t>
  </si>
  <si>
    <t>leak_wt</t>
  </si>
  <si>
    <t>Sys</t>
  </si>
  <si>
    <t>UserDefVar</t>
  </si>
  <si>
    <t>GasEx</t>
  </si>
  <si>
    <t>Leak</t>
  </si>
  <si>
    <t>FLR</t>
  </si>
  <si>
    <t>MPF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</si>
  <si>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</si>
  <si>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</si>
  <si>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</si>
  <si>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</si>
  <si>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</si>
  <si>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</si>
  <si>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</si>
  <si>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</si>
  <si>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</si>
  <si>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</si>
  <si>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</si>
  <si>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</si>
  <si>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</si>
  <si>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plant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</si>
  <si>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</si>
  <si>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</si>
  <si>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</si>
  <si>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</si>
  <si>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</si>
  <si>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</si>
  <si>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</si>
  <si>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</si>
  <si>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</si>
  <si>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</si>
  <si>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</si>
  <si>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</si>
  <si>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</si>
  <si>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</si>
  <si>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</si>
  <si>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</si>
  <si>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</si>
  <si>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</si>
  <si>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</si>
  <si>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</si>
  <si>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</si>
  <si>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</si>
  <si>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</si>
  <si>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</si>
  <si>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</si>
  <si>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</si>
  <si>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</si>
  <si>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</si>
  <si>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</si>
  <si>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</si>
  <si>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</si>
  <si>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</si>
  <si>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</si>
  <si>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</si>
  <si>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</si>
  <si>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</si>
  <si>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</si>
  <si>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</si>
  <si>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</si>
  <si>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</si>
  <si>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</si>
  <si>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</si>
  <si>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</si>
  <si>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</si>
  <si>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</si>
  <si>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</si>
  <si>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</si>
  <si>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</si>
  <si>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</si>
  <si>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</si>
  <si>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</si>
  <si>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</si>
  <si>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</si>
  <si>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</si>
  <si>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ID</t>
  </si>
  <si>
    <t>P1_dur</t>
  </si>
  <si>
    <t>P2_dur</t>
  </si>
  <si>
    <t>P3_dur</t>
  </si>
  <si>
    <t>P1_Qmax</t>
  </si>
  <si>
    <t>P1_Fmax</t>
  </si>
  <si>
    <t>P2_dQdt</t>
  </si>
  <si>
    <t>P3_ΔF</t>
  </si>
  <si>
    <t>Qin</t>
  </si>
  <si>
    <t>Qabs</t>
  </si>
  <si>
    <t>alpha</t>
  </si>
  <si>
    <t>convert</t>
  </si>
  <si>
    <t>K</t>
  </si>
  <si>
    <t>Geometry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</si>
  <si>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</si>
  <si>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</si>
  <si>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</si>
  <si>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</si>
  <si>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</si>
  <si>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</si>
  <si>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</si>
  <si>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</si>
  <si>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</si>
  <si>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</si>
  <si>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</si>
  <si>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</si>
  <si>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</si>
  <si>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</si>
  <si>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</si>
  <si>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</si>
  <si>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</si>
  <si>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</si>
  <si>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</si>
  <si>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</si>
  <si>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</si>
  <si>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</si>
  <si>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</si>
  <si>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</si>
  <si>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</si>
  <si>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</si>
  <si>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</si>
  <si>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</si>
  <si>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</si>
  <si>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</si>
  <si>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</si>
  <si>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</si>
  <si>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</si>
  <si>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</si>
  <si>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</si>
  <si>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</si>
  <si>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</si>
  <si>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</si>
  <si>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</si>
  <si>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</si>
  <si>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</si>
  <si>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</si>
  <si>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CO2_s:MN</t>
  </si>
  <si>
    <t>CO2_s:SLP</t>
  </si>
  <si>
    <t>CO2_s:SD</t>
  </si>
  <si>
    <t>CO2_s:OK</t>
  </si>
  <si>
    <t>H2O_s:MN</t>
  </si>
  <si>
    <t>H2O_s:SLP</t>
  </si>
  <si>
    <t>H2O_s:SD</t>
  </si>
  <si>
    <t>H2O_s:OK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</si>
  <si>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</si>
  <si>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</si>
  <si>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</si>
  <si>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</si>
  <si>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</si>
  <si>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</si>
  <si>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</si>
  <si>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</si>
  <si>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</si>
  <si>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</si>
  <si>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</si>
  <si>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</si>
  <si>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</si>
  <si>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</si>
  <si>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</si>
  <si>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</si>
  <si>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</si>
  <si>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</si>
  <si>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</si>
  <si>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</si>
  <si>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</si>
  <si>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</si>
  <si>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</si>
  <si>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</si>
  <si>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</si>
  <si>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</si>
  <si>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</si>
  <si>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</si>
  <si>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</si>
  <si>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</si>
  <si>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</si>
  <si>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</si>
  <si>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</si>
  <si>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</si>
  <si>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</si>
  <si>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</si>
  <si>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</si>
  <si>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</si>
  <si>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</si>
  <si>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</si>
  <si>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</si>
  <si>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</si>
  <si>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</si>
  <si>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</si>
  <si>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</si>
  <si>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</si>
  <si>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</si>
  <si>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</si>
  <si>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</si>
  <si>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</si>
  <si>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</si>
  <si>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</si>
  <si>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</si>
  <si>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mol m⁻² s⁻²</t>
  </si>
  <si>
    <t>J/µmol</t>
  </si>
  <si>
    <t>mmol mol⁻¹</t>
  </si>
  <si>
    <t>rpm</t>
  </si>
  <si>
    <t>min⁻¹</t>
  </si>
  <si>
    <t>secs</t>
  </si>
  <si>
    <t>µmol/mol</t>
  </si>
  <si>
    <t>mmol/mol</t>
  </si>
  <si>
    <t>µmol mol⁻¹ min⁻¹</t>
  </si>
  <si>
    <t>mmol mol⁻¹ min⁻¹</t>
  </si>
  <si>
    <t>V</t>
  </si>
  <si>
    <t>20200717 13:20:39</t>
  </si>
  <si>
    <t>13:20:39</t>
  </si>
  <si>
    <t>MPF-5015-20200717-13_20_40</t>
  </si>
  <si>
    <t>DARK-5016-20200717-13_20_48</t>
  </si>
  <si>
    <t>0: Broadleaf</t>
  </si>
  <si>
    <t>13:21:12</t>
  </si>
  <si>
    <t>2/2</t>
  </si>
  <si>
    <t>5</t>
  </si>
  <si>
    <t>11111111</t>
  </si>
  <si>
    <t>oooooooo</t>
  </si>
  <si>
    <t>off</t>
  </si>
  <si>
    <t>20200717 13:22:54</t>
  </si>
  <si>
    <t>13:22:54</t>
  </si>
  <si>
    <t>MPF-5017-20200717-13_22_56</t>
  </si>
  <si>
    <t>DARK-5018-20200717-13_23_03</t>
  </si>
  <si>
    <t>13:23:28</t>
  </si>
  <si>
    <t>20200717 13:24:59</t>
  </si>
  <si>
    <t>13:24:59</t>
  </si>
  <si>
    <t>MPF-5019-20200717-13_25_01</t>
  </si>
  <si>
    <t>DARK-5020-20200717-13_25_08</t>
  </si>
  <si>
    <t>13:25:32</t>
  </si>
  <si>
    <t>20200717 13:27:04</t>
  </si>
  <si>
    <t>13:27:04</t>
  </si>
  <si>
    <t>MPF-5021-20200717-13_27_05</t>
  </si>
  <si>
    <t>DARK-5022-20200717-13_27_13</t>
  </si>
  <si>
    <t>13:27:33</t>
  </si>
  <si>
    <t>20200717 13:29:05</t>
  </si>
  <si>
    <t>13:29:05</t>
  </si>
  <si>
    <t>MPF-5023-20200717-13_29_06</t>
  </si>
  <si>
    <t>DARK-5024-20200717-13_29_14</t>
  </si>
  <si>
    <t>13:29:36</t>
  </si>
  <si>
    <t>20200717 13:31:38</t>
  </si>
  <si>
    <t>13:31:38</t>
  </si>
  <si>
    <t>MPF-5025-20200717-13_31_39</t>
  </si>
  <si>
    <t>DARK-5026-20200717-13_31_47</t>
  </si>
  <si>
    <t>13:32:11</t>
  </si>
  <si>
    <t>0/2</t>
  </si>
  <si>
    <t>20200717 13:33:43</t>
  </si>
  <si>
    <t>13:33:43</t>
  </si>
  <si>
    <t>MPF-5027-20200717-13_33_44</t>
  </si>
  <si>
    <t>DARK-5028-20200717-13_33_52</t>
  </si>
  <si>
    <t>13:34:15</t>
  </si>
  <si>
    <t>20200717 13:36:02</t>
  </si>
  <si>
    <t>13:36:02</t>
  </si>
  <si>
    <t>MPF-5029-20200717-13_36_04</t>
  </si>
  <si>
    <t>DARK-5030-20200717-13_36_11</t>
  </si>
  <si>
    <t>13:36:29</t>
  </si>
  <si>
    <t>20200717 13:38:24</t>
  </si>
  <si>
    <t>13:38:24</t>
  </si>
  <si>
    <t>MPF-5031-20200717-13_38_25</t>
  </si>
  <si>
    <t>DARK-5032-20200717-13_38_33</t>
  </si>
  <si>
    <t>13:38:55</t>
  </si>
  <si>
    <t>20200717 13:40:44</t>
  </si>
  <si>
    <t>13:40:44</t>
  </si>
  <si>
    <t>MPF-5033-20200717-13_40_46</t>
  </si>
  <si>
    <t>DARK-5034-20200717-13_40_53</t>
  </si>
  <si>
    <t>13:41:12</t>
  </si>
  <si>
    <t>20200717 13:43:13</t>
  </si>
  <si>
    <t>13:43:13</t>
  </si>
  <si>
    <t>MPF-5035-20200717-13_43_15</t>
  </si>
  <si>
    <t>DARK-5036-20200717-13_43_23</t>
  </si>
  <si>
    <t>13:43:41</t>
  </si>
  <si>
    <t>20200717 13:45:13</t>
  </si>
  <si>
    <t>13:45:13</t>
  </si>
  <si>
    <t>MPF-5037-20200717-13_45_15</t>
  </si>
  <si>
    <t>DARK-5038-20200717-13_45_23</t>
  </si>
  <si>
    <t>13:45:41</t>
  </si>
  <si>
    <t>20200717 13:47:31</t>
  </si>
  <si>
    <t>13:47:31</t>
  </si>
  <si>
    <t>MPF-5039-20200717-13_47_33</t>
  </si>
  <si>
    <t>DARK-5040-20200717-13_47_41</t>
  </si>
  <si>
    <t>13:48:05</t>
  </si>
  <si>
    <t>20200717 13:49:51</t>
  </si>
  <si>
    <t>13:49:51</t>
  </si>
  <si>
    <t>MPF-5041-20200717-13_49_53</t>
  </si>
  <si>
    <t>DARK-5042-20200717-13_50_00</t>
  </si>
  <si>
    <t>13:50:19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</si>
</sst>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N30"/>
  <sheetViews>
    <sheetView tabSelected="1" workbookViewId="0"/>
  </sheetViews>
  <sheetFormatPr defaultRowHeight="14.4" x14ac:dyDescent="0.25"/>
  <sheetData>
    <row r="2" spans="1:170" x14ac:dyDescent="0.25">
      <c r="A2" t="s">
        <v>25</v>
      </c>
      <c r="B2" t="s">
        <v>26</v>
      </c>
      <c r="C2" t="s">
        <v>28</v>
      </c>
      <c r="D2" t="s">
        <v>30</v>
      </c>
    </row>
    <row r="3" spans="1:170" x14ac:dyDescent="0.25">
      <c r="B3" t="s">
        <v>27</v>
      </c>
      <c r="C3" t="s">
        <v>29</v>
      </c>
      <c r="D3" t="s">
        <v>31</v>
      </c>
    </row>
    <row r="4" spans="1:170" x14ac:dyDescent="0.25">
      <c r="A4" t="s">
        <v>32</v>
      </c>
      <c r="B4" t="s">
        <v>33</v>
      </c>
      <c r="C4" t="s">
        <v>34</v>
      </c>
    </row>
    <row r="5" spans="1:170" x14ac:dyDescent="0.25">
      <c r="B5">
        <v>2</v>
      </c>
      <c r="C5">
        <v>2</v>
      </c>
    </row>
    <row r="6" spans="1:17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</row>
    <row r="7" spans="1:170" x14ac:dyDescent="0.25">
      <c r="B7">
        <v>0</v>
      </c>
      <c r="C7">
        <v>1</v>
      </c>
      <c r="D7">
        <v>0</v>
      </c>
      <c r="E7">
        <v>0</v>
      </c>
    </row>
    <row r="8" spans="1:170" x14ac:dyDescent="0.25">
      <c r="A8" t="s">
        <v>40</v>
      </c>
      <c r="B8" t="s">
        <v>41</v>
      </c>
      <c r="C8" t="s">
        <v>43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50</v>
      </c>
      <c r="J8" t="s">
        <v>51</v>
      </c>
      <c r="K8" t="s">
        <v>52</v>
      </c>
      <c r="L8" t="s">
        <v>53</v>
      </c>
      <c r="M8" t="s">
        <v>54</v>
      </c>
      <c r="N8" t="s">
        <v>55</v>
      </c>
      <c r="O8" t="s">
        <v>56</v>
      </c>
      <c r="P8" t="s">
        <v>57</v>
      </c>
      <c r="Q8" t="s">
        <v>58</v>
      </c>
    </row>
    <row r="9" spans="1:170" x14ac:dyDescent="0.25">
      <c r="B9" t="s">
        <v>42</v>
      </c>
      <c r="C9" t="s">
        <v>44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70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</row>
    <row r="11" spans="1:17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170" x14ac:dyDescent="0.25">
      <c r="A12" t="s">
        <v>65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72</v>
      </c>
      <c r="H12" t="s">
        <v>74</v>
      </c>
    </row>
    <row r="13" spans="1:170" x14ac:dyDescent="0.25">
      <c r="B13">
        <v>-6276</v>
      </c>
      <c r="C13">
        <v>6.6</v>
      </c>
      <c r="D13">
        <v>1.7090000000000001E-5</v>
      </c>
      <c r="E13">
        <v>3.11</v>
      </c>
      <c r="F13" t="s">
        <v>71</v>
      </c>
      <c r="G13" t="s">
        <v>73</v>
      </c>
      <c r="H13">
        <v>0</v>
      </c>
    </row>
    <row r="14" spans="1:170" x14ac:dyDescent="0.25">
      <c r="A14" t="s">
        <v>75</v>
      </c>
      <c r="B14" t="s">
        <v>75</v>
      </c>
      <c r="C14" t="s">
        <v>75</v>
      </c>
      <c r="D14" t="s">
        <v>75</v>
      </c>
      <c r="E14" t="s">
        <v>75</v>
      </c>
      <c r="F14" t="s">
        <v>76</v>
      </c>
      <c r="G14" t="s">
        <v>77</v>
      </c>
      <c r="H14" t="s">
        <v>77</v>
      </c>
      <c r="I14" t="s">
        <v>77</v>
      </c>
      <c r="J14" t="s">
        <v>77</v>
      </c>
      <c r="K14" t="s">
        <v>77</v>
      </c>
      <c r="L14" t="s">
        <v>77</v>
      </c>
      <c r="M14" t="s">
        <v>77</v>
      </c>
      <c r="N14" t="s">
        <v>77</v>
      </c>
      <c r="O14" t="s">
        <v>77</v>
      </c>
      <c r="P14" t="s">
        <v>77</v>
      </c>
      <c r="Q14" t="s">
        <v>77</v>
      </c>
      <c r="R14" t="s">
        <v>77</v>
      </c>
      <c r="S14" t="s">
        <v>77</v>
      </c>
      <c r="T14" t="s">
        <v>77</v>
      </c>
      <c r="U14" t="s">
        <v>77</v>
      </c>
      <c r="V14" t="s">
        <v>77</v>
      </c>
      <c r="W14" t="s">
        <v>77</v>
      </c>
      <c r="X14" t="s">
        <v>77</v>
      </c>
      <c r="Y14" t="s">
        <v>77</v>
      </c>
      <c r="Z14" t="s">
        <v>77</v>
      </c>
      <c r="AA14" t="s">
        <v>77</v>
      </c>
      <c r="AB14" t="s">
        <v>77</v>
      </c>
      <c r="AC14" t="s">
        <v>77</v>
      </c>
      <c r="AD14" t="s">
        <v>77</v>
      </c>
      <c r="AE14" t="s">
        <v>77</v>
      </c>
      <c r="AF14" t="s">
        <v>77</v>
      </c>
      <c r="AG14" t="s">
        <v>78</v>
      </c>
      <c r="AH14" t="s">
        <v>78</v>
      </c>
      <c r="AI14" t="s">
        <v>78</v>
      </c>
      <c r="AJ14" t="s">
        <v>78</v>
      </c>
      <c r="AK14" t="s">
        <v>78</v>
      </c>
      <c r="AL14" t="s">
        <v>79</v>
      </c>
      <c r="AM14" t="s">
        <v>79</v>
      </c>
      <c r="AN14" t="s">
        <v>79</v>
      </c>
      <c r="AO14" t="s">
        <v>79</v>
      </c>
      <c r="AP14" t="s">
        <v>79</v>
      </c>
      <c r="AQ14" t="s">
        <v>79</v>
      </c>
      <c r="AR14" t="s">
        <v>79</v>
      </c>
      <c r="AS14" t="s">
        <v>79</v>
      </c>
      <c r="AT14" t="s">
        <v>79</v>
      </c>
      <c r="AU14" t="s">
        <v>79</v>
      </c>
      <c r="AV14" t="s">
        <v>79</v>
      </c>
      <c r="AW14" t="s">
        <v>79</v>
      </c>
      <c r="AX14" t="s">
        <v>79</v>
      </c>
      <c r="AY14" t="s">
        <v>79</v>
      </c>
      <c r="AZ14" t="s">
        <v>79</v>
      </c>
      <c r="BA14" t="s">
        <v>79</v>
      </c>
      <c r="BB14" t="s">
        <v>79</v>
      </c>
      <c r="BC14" t="s">
        <v>79</v>
      </c>
      <c r="BD14" t="s">
        <v>79</v>
      </c>
      <c r="BE14" t="s">
        <v>79</v>
      </c>
      <c r="BF14" t="s">
        <v>79</v>
      </c>
      <c r="BG14" t="s">
        <v>79</v>
      </c>
      <c r="BH14" t="s">
        <v>79</v>
      </c>
      <c r="BI14" t="s">
        <v>79</v>
      </c>
      <c r="BJ14" t="s">
        <v>80</v>
      </c>
      <c r="BK14" t="s">
        <v>80</v>
      </c>
      <c r="BL14" t="s">
        <v>80</v>
      </c>
      <c r="BM14" t="s">
        <v>80</v>
      </c>
      <c r="BN14" t="s">
        <v>80</v>
      </c>
      <c r="BO14" t="s">
        <v>80</v>
      </c>
      <c r="BP14" t="s">
        <v>80</v>
      </c>
      <c r="BQ14" t="s">
        <v>80</v>
      </c>
      <c r="BR14" t="s">
        <v>81</v>
      </c>
      <c r="BS14" t="s">
        <v>81</v>
      </c>
      <c r="BT14" t="s">
        <v>81</v>
      </c>
      <c r="BU14" t="s">
        <v>81</v>
      </c>
      <c r="BV14" t="s">
        <v>32</v>
      </c>
      <c r="BW14" t="s">
        <v>32</v>
      </c>
      <c r="BX14" t="s">
        <v>82</v>
      </c>
      <c r="BY14" t="s">
        <v>82</v>
      </c>
      <c r="BZ14" t="s">
        <v>82</v>
      </c>
      <c r="CA14" t="s">
        <v>82</v>
      </c>
      <c r="CB14" t="s">
        <v>82</v>
      </c>
      <c r="CC14" t="s">
        <v>82</v>
      </c>
      <c r="CD14" t="s">
        <v>82</v>
      </c>
      <c r="CE14" t="s">
        <v>82</v>
      </c>
      <c r="CF14" t="s">
        <v>82</v>
      </c>
      <c r="CG14" t="s">
        <v>82</v>
      </c>
      <c r="CH14" t="s">
        <v>82</v>
      </c>
      <c r="CI14" t="s">
        <v>82</v>
      </c>
      <c r="CJ14" t="s">
        <v>82</v>
      </c>
      <c r="CK14" t="s">
        <v>82</v>
      </c>
      <c r="CL14" t="s">
        <v>83</v>
      </c>
      <c r="CM14" t="s">
        <v>83</v>
      </c>
      <c r="CN14" t="s">
        <v>83</v>
      </c>
      <c r="CO14" t="s">
        <v>83</v>
      </c>
      <c r="CP14" t="s">
        <v>83</v>
      </c>
      <c r="CQ14" t="s">
        <v>83</v>
      </c>
      <c r="CR14" t="s">
        <v>83</v>
      </c>
      <c r="CS14" t="s">
        <v>83</v>
      </c>
      <c r="CT14" t="s">
        <v>83</v>
      </c>
      <c r="CU14" t="s">
        <v>83</v>
      </c>
      <c r="CV14" t="s">
        <v>83</v>
      </c>
      <c r="CW14" t="s">
        <v>83</v>
      </c>
      <c r="CX14" t="s">
        <v>83</v>
      </c>
      <c r="CY14" t="s">
        <v>83</v>
      </c>
      <c r="CZ14" t="s">
        <v>83</v>
      </c>
      <c r="DA14" t="s">
        <v>83</v>
      </c>
      <c r="DB14" t="s">
        <v>83</v>
      </c>
      <c r="DC14" t="s">
        <v>84</v>
      </c>
      <c r="DD14" t="s">
        <v>84</v>
      </c>
      <c r="DE14" t="s">
        <v>84</v>
      </c>
      <c r="DF14" t="s">
        <v>84</v>
      </c>
      <c r="DG14" t="s">
        <v>84</v>
      </c>
      <c r="DH14" t="s">
        <v>85</v>
      </c>
      <c r="DI14" t="s">
        <v>85</v>
      </c>
      <c r="DJ14" t="s">
        <v>85</v>
      </c>
      <c r="DK14" t="s">
        <v>85</v>
      </c>
      <c r="DL14" t="s">
        <v>85</v>
      </c>
      <c r="DM14" t="s">
        <v>85</v>
      </c>
      <c r="DN14" t="s">
        <v>85</v>
      </c>
      <c r="DO14" t="s">
        <v>85</v>
      </c>
      <c r="DP14" t="s">
        <v>85</v>
      </c>
      <c r="DQ14" t="s">
        <v>86</v>
      </c>
      <c r="DR14" t="s">
        <v>86</v>
      </c>
      <c r="DS14" t="s">
        <v>86</v>
      </c>
      <c r="DT14" t="s">
        <v>86</v>
      </c>
      <c r="DU14" t="s">
        <v>86</v>
      </c>
      <c r="DV14" t="s">
        <v>86</v>
      </c>
      <c r="DW14" t="s">
        <v>86</v>
      </c>
      <c r="DX14" t="s">
        <v>86</v>
      </c>
      <c r="DY14" t="s">
        <v>86</v>
      </c>
      <c r="DZ14" t="s">
        <v>86</v>
      </c>
      <c r="EA14" t="s">
        <v>86</v>
      </c>
      <c r="EB14" t="s">
        <v>87</v>
      </c>
      <c r="EC14" t="s">
        <v>87</v>
      </c>
      <c r="ED14" t="s">
        <v>87</v>
      </c>
      <c r="EE14" t="s">
        <v>87</v>
      </c>
      <c r="EF14" t="s">
        <v>87</v>
      </c>
      <c r="EG14" t="s">
        <v>87</v>
      </c>
      <c r="EH14" t="s">
        <v>87</v>
      </c>
      <c r="EI14" t="s">
        <v>87</v>
      </c>
      <c r="EJ14" t="s">
        <v>87</v>
      </c>
      <c r="EK14" t="s">
        <v>87</v>
      </c>
      <c r="EL14" t="s">
        <v>87</v>
      </c>
      <c r="EM14" t="s">
        <v>87</v>
      </c>
      <c r="EN14" t="s">
        <v>87</v>
      </c>
      <c r="EO14" t="s">
        <v>87</v>
      </c>
      <c r="EP14" t="s">
        <v>87</v>
      </c>
      <c r="EQ14" t="s">
        <v>87</v>
      </c>
      <c r="ER14" t="s">
        <v>87</v>
      </c>
      <c r="ES14" t="s">
        <v>87</v>
      </c>
      <c r="ET14" t="s">
        <v>87</v>
      </c>
      <c r="EU14" t="s">
        <v>88</v>
      </c>
      <c r="EV14" t="s">
        <v>88</v>
      </c>
      <c r="EW14" t="s">
        <v>88</v>
      </c>
      <c r="EX14" t="s">
        <v>88</v>
      </c>
      <c r="EY14" t="s">
        <v>88</v>
      </c>
      <c r="EZ14" t="s">
        <v>88</v>
      </c>
      <c r="FA14" t="s">
        <v>88</v>
      </c>
      <c r="FB14" t="s">
        <v>88</v>
      </c>
      <c r="FC14" t="s">
        <v>88</v>
      </c>
      <c r="FD14" t="s">
        <v>88</v>
      </c>
      <c r="FE14" t="s">
        <v>88</v>
      </c>
      <c r="FF14" t="s">
        <v>88</v>
      </c>
      <c r="FG14" t="s">
        <v>88</v>
      </c>
      <c r="FH14" t="s">
        <v>88</v>
      </c>
      <c r="FI14" t="s">
        <v>88</v>
      </c>
      <c r="FJ14" t="s">
        <v>88</v>
      </c>
      <c r="FK14" t="s">
        <v>88</v>
      </c>
      <c r="FL14" t="s">
        <v>88</v>
      </c>
      <c r="FM14" t="s">
        <v>88</v>
      </c>
      <c r="FN14" t="s">
        <v>88</v>
      </c>
    </row>
    <row r="15" spans="1:170" x14ac:dyDescent="0.25">
      <c r="A15" t="s">
        <v>89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  <c r="P15" t="s">
        <v>104</v>
      </c>
      <c r="Q15" t="s">
        <v>105</v>
      </c>
      <c r="R15" t="s">
        <v>106</v>
      </c>
      <c r="S15" t="s">
        <v>107</v>
      </c>
      <c r="T15" t="s">
        <v>108</v>
      </c>
      <c r="U15" t="s">
        <v>109</v>
      </c>
      <c r="V15" t="s">
        <v>110</v>
      </c>
      <c r="W15" t="s">
        <v>111</v>
      </c>
      <c r="X15" t="s">
        <v>112</v>
      </c>
      <c r="Y15" t="s">
        <v>113</v>
      </c>
      <c r="Z15" t="s">
        <v>114</v>
      </c>
      <c r="AA15" t="s">
        <v>115</v>
      </c>
      <c r="AB15" t="s">
        <v>116</v>
      </c>
      <c r="AC15" t="s">
        <v>117</v>
      </c>
      <c r="AD15" t="s">
        <v>118</v>
      </c>
      <c r="AE15" t="s">
        <v>119</v>
      </c>
      <c r="AF15" t="s">
        <v>120</v>
      </c>
      <c r="AG15" t="s">
        <v>78</v>
      </c>
      <c r="AH15" t="s">
        <v>121</v>
      </c>
      <c r="AI15" t="s">
        <v>122</v>
      </c>
      <c r="AJ15" t="s">
        <v>123</v>
      </c>
      <c r="AK15" t="s">
        <v>124</v>
      </c>
      <c r="AL15" t="s">
        <v>125</v>
      </c>
      <c r="AM15" t="s">
        <v>126</v>
      </c>
      <c r="AN15" t="s">
        <v>127</v>
      </c>
      <c r="AO15" t="s">
        <v>128</v>
      </c>
      <c r="AP15" t="s">
        <v>129</v>
      </c>
      <c r="AQ15" t="s">
        <v>130</v>
      </c>
      <c r="AR15" t="s">
        <v>131</v>
      </c>
      <c r="AS15" t="s">
        <v>132</v>
      </c>
      <c r="AT15" t="s">
        <v>133</v>
      </c>
      <c r="AU15" t="s">
        <v>134</v>
      </c>
      <c r="AV15" t="s">
        <v>135</v>
      </c>
      <c r="AW15" t="s">
        <v>136</v>
      </c>
      <c r="AX15" t="s">
        <v>137</v>
      </c>
      <c r="AY15" t="s">
        <v>138</v>
      </c>
      <c r="AZ15" t="s">
        <v>139</v>
      </c>
      <c r="BA15" t="s">
        <v>140</v>
      </c>
      <c r="BB15" t="s">
        <v>141</v>
      </c>
      <c r="BC15" t="s">
        <v>142</v>
      </c>
      <c r="BD15" t="s">
        <v>143</v>
      </c>
      <c r="BE15" t="s">
        <v>144</v>
      </c>
      <c r="BF15" t="s">
        <v>145</v>
      </c>
      <c r="BG15" t="s">
        <v>146</v>
      </c>
      <c r="BH15" t="s">
        <v>147</v>
      </c>
      <c r="BI15" t="s">
        <v>148</v>
      </c>
      <c r="BJ15" t="s">
        <v>149</v>
      </c>
      <c r="BK15" t="s">
        <v>150</v>
      </c>
      <c r="BL15" t="s">
        <v>151</v>
      </c>
      <c r="BM15" t="s">
        <v>152</v>
      </c>
      <c r="BN15" t="s">
        <v>153</v>
      </c>
      <c r="BO15" t="s">
        <v>154</v>
      </c>
      <c r="BP15" t="s">
        <v>155</v>
      </c>
      <c r="BQ15" t="s">
        <v>156</v>
      </c>
      <c r="BR15" t="s">
        <v>157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95</v>
      </c>
      <c r="BY15" t="s">
        <v>163</v>
      </c>
      <c r="BZ15" t="s">
        <v>164</v>
      </c>
      <c r="CA15" t="s">
        <v>165</v>
      </c>
      <c r="CB15" t="s">
        <v>166</v>
      </c>
      <c r="CC15" t="s">
        <v>167</v>
      </c>
      <c r="CD15" t="s">
        <v>168</v>
      </c>
      <c r="CE15" t="s">
        <v>169</v>
      </c>
      <c r="CF15" t="s">
        <v>170</v>
      </c>
      <c r="CG15" t="s">
        <v>171</v>
      </c>
      <c r="CH15" t="s">
        <v>172</v>
      </c>
      <c r="CI15" t="s">
        <v>173</v>
      </c>
      <c r="CJ15" t="s">
        <v>174</v>
      </c>
      <c r="CK15" t="s">
        <v>175</v>
      </c>
      <c r="CL15" t="s">
        <v>176</v>
      </c>
      <c r="CM15" t="s">
        <v>177</v>
      </c>
      <c r="CN15" t="s">
        <v>178</v>
      </c>
      <c r="CO15" t="s">
        <v>179</v>
      </c>
      <c r="CP15" t="s">
        <v>180</v>
      </c>
      <c r="CQ15" t="s">
        <v>181</v>
      </c>
      <c r="CR15" t="s">
        <v>182</v>
      </c>
      <c r="CS15" t="s">
        <v>183</v>
      </c>
      <c r="CT15" t="s">
        <v>184</v>
      </c>
      <c r="CU15" t="s">
        <v>185</v>
      </c>
      <c r="CV15" t="s">
        <v>186</v>
      </c>
      <c r="CW15" t="s">
        <v>187</v>
      </c>
      <c r="CX15" t="s">
        <v>188</v>
      </c>
      <c r="CY15" t="s">
        <v>189</v>
      </c>
      <c r="CZ15" t="s">
        <v>190</v>
      </c>
      <c r="DA15" t="s">
        <v>191</v>
      </c>
      <c r="DB15" t="s">
        <v>192</v>
      </c>
      <c r="DC15" t="s">
        <v>193</v>
      </c>
      <c r="DD15" t="s">
        <v>194</v>
      </c>
      <c r="DE15" t="s">
        <v>195</v>
      </c>
      <c r="DF15" t="s">
        <v>196</v>
      </c>
      <c r="DG15" t="s">
        <v>197</v>
      </c>
      <c r="DH15" t="s">
        <v>90</v>
      </c>
      <c r="DI15" t="s">
        <v>93</v>
      </c>
      <c r="DJ15" t="s">
        <v>198</v>
      </c>
      <c r="DK15" t="s">
        <v>199</v>
      </c>
      <c r="DL15" t="s">
        <v>200</v>
      </c>
      <c r="DM15" t="s">
        <v>201</v>
      </c>
      <c r="DN15" t="s">
        <v>202</v>
      </c>
      <c r="DO15" t="s">
        <v>203</v>
      </c>
      <c r="DP15" t="s">
        <v>204</v>
      </c>
      <c r="DQ15" t="s">
        <v>205</v>
      </c>
      <c r="DR15" t="s">
        <v>206</v>
      </c>
      <c r="DS15" t="s">
        <v>207</v>
      </c>
      <c r="DT15" t="s">
        <v>208</v>
      </c>
      <c r="DU15" t="s">
        <v>209</v>
      </c>
      <c r="DV15" t="s">
        <v>210</v>
      </c>
      <c r="DW15" t="s">
        <v>211</v>
      </c>
      <c r="DX15" t="s">
        <v>212</v>
      </c>
      <c r="DY15" t="s">
        <v>213</v>
      </c>
      <c r="DZ15" t="s">
        <v>214</v>
      </c>
      <c r="EA15" t="s">
        <v>215</v>
      </c>
      <c r="EB15" t="s">
        <v>216</v>
      </c>
      <c r="EC15" t="s">
        <v>217</v>
      </c>
      <c r="ED15" t="s">
        <v>218</v>
      </c>
      <c r="EE15" t="s">
        <v>219</v>
      </c>
      <c r="EF15" t="s">
        <v>220</v>
      </c>
      <c r="EG15" t="s">
        <v>221</v>
      </c>
      <c r="EH15" t="s">
        <v>222</v>
      </c>
      <c r="EI15" t="s">
        <v>223</v>
      </c>
      <c r="EJ15" t="s">
        <v>224</v>
      </c>
      <c r="EK15" t="s">
        <v>225</v>
      </c>
      <c r="EL15" t="s">
        <v>226</v>
      </c>
      <c r="EM15" t="s">
        <v>227</v>
      </c>
      <c r="EN15" t="s">
        <v>228</v>
      </c>
      <c r="EO15" t="s">
        <v>229</v>
      </c>
      <c r="EP15" t="s">
        <v>230</v>
      </c>
      <c r="EQ15" t="s">
        <v>231</v>
      </c>
      <c r="ER15" t="s">
        <v>232</v>
      </c>
      <c r="ES15" t="s">
        <v>233</v>
      </c>
      <c r="ET15" t="s">
        <v>234</v>
      </c>
      <c r="EU15" t="s">
        <v>235</v>
      </c>
      <c r="EV15" t="s">
        <v>236</v>
      </c>
      <c r="EW15" t="s">
        <v>237</v>
      </c>
      <c r="EX15" t="s">
        <v>238</v>
      </c>
      <c r="EY15" t="s">
        <v>239</v>
      </c>
      <c r="EZ15" t="s">
        <v>240</v>
      </c>
      <c r="FA15" t="s">
        <v>241</v>
      </c>
      <c r="FB15" t="s">
        <v>242</v>
      </c>
      <c r="FC15" t="s">
        <v>243</v>
      </c>
      <c r="FD15" t="s">
        <v>244</v>
      </c>
      <c r="FE15" t="s">
        <v>245</v>
      </c>
      <c r="FF15" t="s">
        <v>246</v>
      </c>
      <c r="FG15" t="s">
        <v>247</v>
      </c>
      <c r="FH15" t="s">
        <v>248</v>
      </c>
      <c r="FI15" t="s">
        <v>249</v>
      </c>
      <c r="FJ15" t="s">
        <v>250</v>
      </c>
      <c r="FK15" t="s">
        <v>251</v>
      </c>
      <c r="FL15" t="s">
        <v>252</v>
      </c>
      <c r="FM15" t="s">
        <v>253</v>
      </c>
      <c r="FN15" t="s">
        <v>254</v>
      </c>
    </row>
    <row r="16" spans="1:170" x14ac:dyDescent="0.25">
      <c r="B16" t="s">
        <v>255</v>
      </c>
      <c r="C16" t="s">
        <v>255</v>
      </c>
      <c r="G16" t="s">
        <v>255</v>
      </c>
      <c r="H16" t="s">
        <v>256</v>
      </c>
      <c r="I16" t="s">
        <v>257</v>
      </c>
      <c r="J16" t="s">
        <v>258</v>
      </c>
      <c r="K16" t="s">
        <v>258</v>
      </c>
      <c r="L16" t="s">
        <v>168</v>
      </c>
      <c r="M16" t="s">
        <v>168</v>
      </c>
      <c r="N16" t="s">
        <v>256</v>
      </c>
      <c r="O16" t="s">
        <v>256</v>
      </c>
      <c r="P16" t="s">
        <v>256</v>
      </c>
      <c r="Q16" t="s">
        <v>256</v>
      </c>
      <c r="R16" t="s">
        <v>259</v>
      </c>
      <c r="S16" t="s">
        <v>260</v>
      </c>
      <c r="T16" t="s">
        <v>260</v>
      </c>
      <c r="U16" t="s">
        <v>261</v>
      </c>
      <c r="V16" t="s">
        <v>262</v>
      </c>
      <c r="W16" t="s">
        <v>261</v>
      </c>
      <c r="X16" t="s">
        <v>261</v>
      </c>
      <c r="Y16" t="s">
        <v>261</v>
      </c>
      <c r="Z16" t="s">
        <v>259</v>
      </c>
      <c r="AA16" t="s">
        <v>259</v>
      </c>
      <c r="AB16" t="s">
        <v>259</v>
      </c>
      <c r="AC16" t="s">
        <v>259</v>
      </c>
      <c r="AG16" t="s">
        <v>263</v>
      </c>
      <c r="AH16" t="s">
        <v>262</v>
      </c>
      <c r="AJ16" t="s">
        <v>262</v>
      </c>
      <c r="AK16" t="s">
        <v>263</v>
      </c>
      <c r="AQ16" t="s">
        <v>257</v>
      </c>
      <c r="AW16" t="s">
        <v>257</v>
      </c>
      <c r="AX16" t="s">
        <v>257</v>
      </c>
      <c r="AY16" t="s">
        <v>257</v>
      </c>
      <c r="BA16" t="s">
        <v>264</v>
      </c>
      <c r="BK16" t="s">
        <v>265</v>
      </c>
      <c r="BL16" t="s">
        <v>265</v>
      </c>
      <c r="BM16" t="s">
        <v>265</v>
      </c>
      <c r="BN16" t="s">
        <v>257</v>
      </c>
      <c r="BP16" t="s">
        <v>266</v>
      </c>
      <c r="BR16" t="s">
        <v>257</v>
      </c>
      <c r="BS16" t="s">
        <v>257</v>
      </c>
      <c r="BU16" t="s">
        <v>267</v>
      </c>
      <c r="BX16" t="s">
        <v>255</v>
      </c>
      <c r="BY16" t="s">
        <v>258</v>
      </c>
      <c r="BZ16" t="s">
        <v>258</v>
      </c>
      <c r="CA16" t="s">
        <v>268</v>
      </c>
      <c r="CB16" t="s">
        <v>268</v>
      </c>
      <c r="CC16" t="s">
        <v>263</v>
      </c>
      <c r="CD16" t="s">
        <v>261</v>
      </c>
      <c r="CE16" t="s">
        <v>261</v>
      </c>
      <c r="CF16" t="s">
        <v>260</v>
      </c>
      <c r="CG16" t="s">
        <v>260</v>
      </c>
      <c r="CH16" t="s">
        <v>260</v>
      </c>
      <c r="CI16" t="s">
        <v>269</v>
      </c>
      <c r="CJ16" t="s">
        <v>257</v>
      </c>
      <c r="CK16" t="s">
        <v>257</v>
      </c>
      <c r="CL16" t="s">
        <v>257</v>
      </c>
      <c r="CQ16" t="s">
        <v>257</v>
      </c>
      <c r="CT16" t="s">
        <v>260</v>
      </c>
      <c r="CU16" t="s">
        <v>260</v>
      </c>
      <c r="CV16" t="s">
        <v>260</v>
      </c>
      <c r="CW16" t="s">
        <v>260</v>
      </c>
      <c r="CX16" t="s">
        <v>260</v>
      </c>
      <c r="CY16" t="s">
        <v>257</v>
      </c>
      <c r="CZ16" t="s">
        <v>257</v>
      </c>
      <c r="DA16" t="s">
        <v>257</v>
      </c>
      <c r="DB16" t="s">
        <v>255</v>
      </c>
      <c r="DD16" t="s">
        <v>270</v>
      </c>
      <c r="DE16" t="s">
        <v>270</v>
      </c>
      <c r="DG16" t="s">
        <v>255</v>
      </c>
      <c r="DH16" t="s">
        <v>271</v>
      </c>
      <c r="DK16" t="s">
        <v>272</v>
      </c>
      <c r="DL16" t="s">
        <v>273</v>
      </c>
      <c r="DM16" t="s">
        <v>272</v>
      </c>
      <c r="DN16" t="s">
        <v>273</v>
      </c>
      <c r="DO16" t="s">
        <v>262</v>
      </c>
      <c r="DP16" t="s">
        <v>262</v>
      </c>
      <c r="DQ16" t="s">
        <v>258</v>
      </c>
      <c r="DR16" t="s">
        <v>274</v>
      </c>
      <c r="DS16" t="s">
        <v>258</v>
      </c>
      <c r="DU16" t="s">
        <v>268</v>
      </c>
      <c r="DV16" t="s">
        <v>275</v>
      </c>
      <c r="DW16" t="s">
        <v>268</v>
      </c>
      <c r="EB16" t="s">
        <v>276</v>
      </c>
      <c r="EC16" t="s">
        <v>276</v>
      </c>
      <c r="ED16" t="s">
        <v>276</v>
      </c>
      <c r="EE16" t="s">
        <v>276</v>
      </c>
      <c r="EF16" t="s">
        <v>276</v>
      </c>
      <c r="EG16" t="s">
        <v>276</v>
      </c>
      <c r="EH16" t="s">
        <v>276</v>
      </c>
      <c r="EI16" t="s">
        <v>276</v>
      </c>
      <c r="EJ16" t="s">
        <v>276</v>
      </c>
      <c r="EK16" t="s">
        <v>276</v>
      </c>
      <c r="EL16" t="s">
        <v>276</v>
      </c>
      <c r="EM16" t="s">
        <v>276</v>
      </c>
      <c r="ET16" t="s">
        <v>276</v>
      </c>
      <c r="EU16" t="s">
        <v>262</v>
      </c>
      <c r="EV16" t="s">
        <v>262</v>
      </c>
      <c r="EW16" t="s">
        <v>272</v>
      </c>
      <c r="EX16" t="s">
        <v>273</v>
      </c>
      <c r="EZ16" t="s">
        <v>263</v>
      </c>
      <c r="FA16" t="s">
        <v>263</v>
      </c>
      <c r="FB16" t="s">
        <v>260</v>
      </c>
      <c r="FC16" t="s">
        <v>260</v>
      </c>
      <c r="FD16" t="s">
        <v>260</v>
      </c>
      <c r="FE16" t="s">
        <v>260</v>
      </c>
      <c r="FF16" t="s">
        <v>260</v>
      </c>
      <c r="FG16" t="s">
        <v>262</v>
      </c>
      <c r="FH16" t="s">
        <v>262</v>
      </c>
      <c r="FI16" t="s">
        <v>262</v>
      </c>
      <c r="FJ16" t="s">
        <v>260</v>
      </c>
      <c r="FK16" t="s">
        <v>258</v>
      </c>
      <c r="FL16" t="s">
        <v>268</v>
      </c>
      <c r="FM16" t="s">
        <v>262</v>
      </c>
      <c r="FN16" t="s">
        <v>262</v>
      </c>
    </row>
    <row r="17" spans="1:170" x14ac:dyDescent="0.25">
      <c r="A17">
        <v>1</v>
      </c>
      <c r="B17">
        <v>1595010039</v>
      </c>
      <c r="C17">
        <v>0</v>
      </c>
      <c r="D17" t="s">
        <v>277</v>
      </c>
      <c r="E17" t="s">
        <v>278</v>
      </c>
      <c r="G17">
        <v>1595010031.03548</v>
      </c>
      <c r="H17">
        <f t="shared" ref="H17:H30" si="0">CC17*AI17*(CA17-CB17)/(100*$B$5*(1000-AI17*CA17))</f>
        <v>1.3923546506523339E-2</v>
      </c>
      <c r="I17">
        <f t="shared" ref="I17:I30" si="1">CC17*AI17*(BZ17-BY17*(1000-AI17*CB17)/(1000-AI17*CA17))/(100*$B$5)</f>
        <v>39.877866915881206</v>
      </c>
      <c r="J17">
        <f t="shared" ref="J17:J30" si="2">BY17 - IF(AI17&gt;1, I17*$B$5*100/(AK17*CI17), 0)</f>
        <v>381.92622580645201</v>
      </c>
      <c r="K17">
        <f t="shared" ref="K17:K30" si="3">((Q17-H17/2)*J17-I17)/(Q17+H17/2)</f>
        <v>305.73288362141994</v>
      </c>
      <c r="L17">
        <f t="shared" ref="L17:L30" si="4">K17*(CD17+CE17)/1000</f>
        <v>30.516623385685811</v>
      </c>
      <c r="M17">
        <f t="shared" ref="M17:M30" si="5">(BY17 - IF(AI17&gt;1, I17*$B$5*100/(AK17*CI17), 0))*(CD17+CE17)/1000</f>
        <v>38.121835819545211</v>
      </c>
      <c r="N17">
        <f t="shared" ref="N17:N30" si="6">2/((1/P17-1/O17)+SIGN(P17)*SQRT((1/P17-1/O17)*(1/P17-1/O17) + 4*BV17/((BV17+1)*(BV17+1))*(2*1/P17*1/O17-1/O17*1/O17)))</f>
        <v>1.078236398215189</v>
      </c>
      <c r="O17">
        <f t="shared" ref="O17:O30" si="7">AF17+AE17*$B$5+AD17*$B$5*$B$5</f>
        <v>3.3918460643371264</v>
      </c>
      <c r="P17">
        <f t="shared" ref="P17:P30" si="8">H17*(1000-(1000*0.61365*EXP(17.502*T17/(240.97+T17))/(CD17+CE17)+CA17)/2)/(1000*0.61365*EXP(17.502*T17/(240.97+T17))/(CD17+CE17)-CA17)</f>
        <v>0.91810144459584542</v>
      </c>
      <c r="Q17">
        <f t="shared" ref="Q17:Q30" si="9">1/((BV17+1)/(N17/1.6)+1/(O17/1.37)) + BV17/((BV17+1)/(N17/1.6) + BV17/(O17/1.37))</f>
        <v>0.58620861653227518</v>
      </c>
      <c r="R17">
        <f t="shared" ref="R17:R30" si="10">(BS17*BU17)</f>
        <v>353.33711996364337</v>
      </c>
      <c r="S17">
        <f t="shared" ref="S17:S30" si="11">(CF17+(R17+2*0.95*0.0000000567*(((CF17+$B$7)+273)^4-(CF17+273)^4)-44100*H17)/(1.84*29.3*O17+8*0.95*0.0000000567*(CF17+273)^3))</f>
        <v>27.227670891897006</v>
      </c>
      <c r="T17">
        <f t="shared" ref="T17:T30" si="12">($C$7*CG17+$D$7*CH17+$E$7*S17)</f>
        <v>27.1818483870968</v>
      </c>
      <c r="U17">
        <f t="shared" ref="U17:U30" si="13">0.61365*EXP(17.502*T17/(240.97+T17))</f>
        <v>3.6175652370850826</v>
      </c>
      <c r="V17">
        <f t="shared" ref="V17:V30" si="14">(W17/X17*100)</f>
        <v>54.755485497162972</v>
      </c>
      <c r="W17">
        <f t="shared" ref="W17:W30" si="15">CA17*(CD17+CE17)/1000</f>
        <v>2.1475329855657974</v>
      </c>
      <c r="X17">
        <f t="shared" ref="X17:X30" si="16">0.61365*EXP(17.502*CF17/(240.97+CF17))</f>
        <v>3.9220417206912845</v>
      </c>
      <c r="Y17">
        <f t="shared" ref="Y17:Y30" si="17">(U17-CA17*(CD17+CE17)/1000)</f>
        <v>1.4700322515192852</v>
      </c>
      <c r="Z17">
        <f t="shared" ref="Z17:Z30" si="18">(-H17*44100)</f>
        <v>-614.02840093767929</v>
      </c>
      <c r="AA17">
        <f t="shared" ref="AA17:AA30" si="19">2*29.3*O17*0.92*(CF17-T17)</f>
        <v>253.24507270779583</v>
      </c>
      <c r="AB17">
        <f t="shared" ref="AB17:AB30" si="20">2*0.95*0.0000000567*(((CF17+$B$7)+273)^4-(T17+273)^4)</f>
        <v>16.254501578023412</v>
      </c>
      <c r="AC17">
        <f t="shared" ref="AC17:AC30" si="21">R17+AB17+Z17+AA17</f>
        <v>8.8082933117833022</v>
      </c>
      <c r="AD17">
        <v>-4.13214148518583E-2</v>
      </c>
      <c r="AE17">
        <v>4.6386908125969899E-2</v>
      </c>
      <c r="AF17">
        <v>3.4643579074926198</v>
      </c>
      <c r="AG17">
        <v>159</v>
      </c>
      <c r="AH17">
        <v>32</v>
      </c>
      <c r="AI17">
        <f t="shared" ref="AI17:AI30" si="22">IF(AG17*$H$13&gt;=AK17,1,(AK17/(AK17-AG17*$H$13)))</f>
        <v>1</v>
      </c>
      <c r="AJ17">
        <f t="shared" ref="AJ17:AJ30" si="23">(AI17-1)*100</f>
        <v>0</v>
      </c>
      <c r="AK17">
        <f t="shared" ref="AK17:AK30" si="24">MAX(0,($B$13+$C$13*CI17)/(1+$D$13*CI17)*CD17/(CF17+273)*$E$13)</f>
        <v>52416.87942559646</v>
      </c>
      <c r="AL17">
        <v>0</v>
      </c>
      <c r="AM17">
        <v>0</v>
      </c>
      <c r="AN17">
        <v>0</v>
      </c>
      <c r="AO17">
        <f t="shared" ref="AO17:AO30" si="25">AN17-AM17</f>
        <v>0</v>
      </c>
      <c r="AP17" t="e">
        <f t="shared" ref="AP17:AP30" si="26">AO17/AN17</f>
        <v>#DIV/0!</v>
      </c>
      <c r="AQ17">
        <v>-1</v>
      </c>
      <c r="AR17" t="s">
        <v>279</v>
      </c>
      <c r="AS17">
        <v>303.02944000000002</v>
      </c>
      <c r="AT17">
        <v>434.03100000000001</v>
      </c>
      <c r="AU17">
        <f t="shared" ref="AU17:AU30" si="27">1-AS17/AT17</f>
        <v>0.30182535348857564</v>
      </c>
      <c r="AV17">
        <v>0.5</v>
      </c>
      <c r="AW17">
        <f t="shared" ref="AW17:AW30" si="28">BS17</f>
        <v>1849.1798302287657</v>
      </c>
      <c r="AX17">
        <f t="shared" ref="AX17:AX30" si="29">I17</f>
        <v>39.877866915881206</v>
      </c>
      <c r="AY17">
        <f t="shared" ref="AY17:AY30" si="30">AU17*AV17*AW17</f>
        <v>279.06467796137076</v>
      </c>
      <c r="AZ17">
        <f t="shared" ref="AZ17:AZ30" si="31">BE17/AT17</f>
        <v>0.55556169950994283</v>
      </c>
      <c r="BA17">
        <f t="shared" ref="BA17:BA30" si="32">(AX17-AQ17)/AW17</f>
        <v>2.2105944618065688E-2</v>
      </c>
      <c r="BB17">
        <f t="shared" ref="BB17:BB30" si="33">(AN17-AT17)/AT17</f>
        <v>-1</v>
      </c>
      <c r="BC17" t="s">
        <v>280</v>
      </c>
      <c r="BD17">
        <v>192.9</v>
      </c>
      <c r="BE17">
        <f t="shared" ref="BE17:BE30" si="34">AT17-BD17</f>
        <v>241.131</v>
      </c>
      <c r="BF17">
        <f t="shared" ref="BF17:BF30" si="35">(AT17-AS17)/(AT17-BD17)</f>
        <v>0.54327962808597807</v>
      </c>
      <c r="BG17">
        <f t="shared" ref="BG17:BG30" si="36">(AN17-AT17)/(AN17-BD17)</f>
        <v>2.250031104199067</v>
      </c>
      <c r="BH17">
        <f t="shared" ref="BH17:BH30" si="37">(AT17-AS17)/(AT17-AM17)</f>
        <v>0.30182535348857564</v>
      </c>
      <c r="BI17" t="e">
        <f t="shared" ref="BI17:BI30" si="38">(AN17-AT17)/(AN17-AM17)</f>
        <v>#DIV/0!</v>
      </c>
      <c r="BJ17">
        <v>5015</v>
      </c>
      <c r="BK17">
        <v>300</v>
      </c>
      <c r="BL17">
        <v>300</v>
      </c>
      <c r="BM17">
        <v>300</v>
      </c>
      <c r="BN17">
        <v>9869.02</v>
      </c>
      <c r="BO17">
        <v>395.68299999999999</v>
      </c>
      <c r="BP17">
        <v>-6.4009799999999997E-3</v>
      </c>
      <c r="BQ17">
        <v>1.3063</v>
      </c>
      <c r="BR17">
        <f t="shared" ref="BR17:BR30" si="39">$B$11*CJ17+$C$11*CK17+$F$11*CL17</f>
        <v>2199.99322580645</v>
      </c>
      <c r="BS17">
        <f t="shared" ref="BS17:BS30" si="40">BR17*BT17</f>
        <v>1849.1798302287657</v>
      </c>
      <c r="BT17">
        <f t="shared" ref="BT17:BT30" si="41">($B$11*$D$9+$C$11*$D$9+$F$11*((CY17+CQ17)/MAX(CY17+CQ17+CZ17, 0.1)*$I$9+CZ17/MAX(CY17+CQ17+CZ17, 0.1)*$J$9))/($B$11+$C$11+$F$11)</f>
        <v>0.84053887463717669</v>
      </c>
      <c r="BU17">
        <f t="shared" ref="BU17:BU30" si="42">($B$11*$K$9+$C$11*$K$9+$F$11*((CY17+CQ17)/MAX(CY17+CQ17+CZ17, 0.1)*$P$9+CZ17/MAX(CY17+CQ17+CZ17, 0.1)*$Q$9))/($B$11+$C$11+$F$11)</f>
        <v>0.19107774927435334</v>
      </c>
      <c r="BV17">
        <v>0.5</v>
      </c>
      <c r="BW17" t="s">
        <v>281</v>
      </c>
      <c r="BX17">
        <v>1595010031.03548</v>
      </c>
      <c r="BY17">
        <v>381.92622580645201</v>
      </c>
      <c r="BZ17">
        <v>400.00283870967701</v>
      </c>
      <c r="CA17">
        <v>21.515206451612901</v>
      </c>
      <c r="CB17">
        <v>16.066109677419401</v>
      </c>
      <c r="CC17">
        <v>500.04538709677399</v>
      </c>
      <c r="CD17">
        <v>99.614648387096807</v>
      </c>
      <c r="CE17">
        <v>0.20001016129032301</v>
      </c>
      <c r="CF17">
        <v>28.5667516129032</v>
      </c>
      <c r="CG17">
        <v>27.1818483870968</v>
      </c>
      <c r="CH17">
        <v>999.9</v>
      </c>
      <c r="CI17">
        <v>10003.408387096801</v>
      </c>
      <c r="CJ17">
        <v>0</v>
      </c>
      <c r="CK17">
        <v>321.40554838709699</v>
      </c>
      <c r="CL17">
        <v>2199.99322580645</v>
      </c>
      <c r="CM17">
        <v>0.98199790322580705</v>
      </c>
      <c r="CN17">
        <v>1.80024709677419E-2</v>
      </c>
      <c r="CO17">
        <v>0</v>
      </c>
      <c r="CP17">
        <v>303.21709677419301</v>
      </c>
      <c r="CQ17">
        <v>5.00054</v>
      </c>
      <c r="CR17">
        <v>9697.8809677419395</v>
      </c>
      <c r="CS17">
        <v>20590.470967741901</v>
      </c>
      <c r="CT17">
        <v>49.052161290322601</v>
      </c>
      <c r="CU17">
        <v>50.973612903225799</v>
      </c>
      <c r="CV17">
        <v>49.3444838709677</v>
      </c>
      <c r="CW17">
        <v>49.993741935483897</v>
      </c>
      <c r="CX17">
        <v>50.501935483871002</v>
      </c>
      <c r="CY17">
        <v>2155.4790322580602</v>
      </c>
      <c r="CZ17">
        <v>39.517419354838701</v>
      </c>
      <c r="DA17">
        <v>0</v>
      </c>
      <c r="DB17">
        <v>475.200000047684</v>
      </c>
      <c r="DC17">
        <v>303.02944000000002</v>
      </c>
      <c r="DD17">
        <v>-12.398923068443001</v>
      </c>
      <c r="DE17">
        <v>-606.55384617336199</v>
      </c>
      <c r="DF17">
        <v>9689.1883999999991</v>
      </c>
      <c r="DG17">
        <v>15</v>
      </c>
      <c r="DH17">
        <v>1595010072.5</v>
      </c>
      <c r="DI17" t="s">
        <v>282</v>
      </c>
      <c r="DJ17">
        <v>71</v>
      </c>
      <c r="DK17">
        <v>-0.42099999999999999</v>
      </c>
      <c r="DL17">
        <v>9.4E-2</v>
      </c>
      <c r="DM17">
        <v>400</v>
      </c>
      <c r="DN17">
        <v>16</v>
      </c>
      <c r="DO17">
        <v>0.32</v>
      </c>
      <c r="DP17">
        <v>0.02</v>
      </c>
      <c r="DQ17">
        <v>382.23639215686302</v>
      </c>
      <c r="DR17">
        <v>0.11388306150921899</v>
      </c>
      <c r="DS17">
        <v>2.2241172235444601E-2</v>
      </c>
      <c r="DT17">
        <v>1</v>
      </c>
      <c r="DU17">
        <v>21.5068254901961</v>
      </c>
      <c r="DV17">
        <v>0.18147498511426799</v>
      </c>
      <c r="DW17">
        <v>2.6538147482794198E-2</v>
      </c>
      <c r="DX17">
        <v>1</v>
      </c>
      <c r="DY17">
        <v>2</v>
      </c>
      <c r="DZ17">
        <v>2</v>
      </c>
      <c r="EA17" t="s">
        <v>283</v>
      </c>
      <c r="EB17">
        <v>1.86669</v>
      </c>
      <c r="EC17">
        <v>1.86317</v>
      </c>
      <c r="ED17">
        <v>1.8688100000000001</v>
      </c>
      <c r="EE17">
        <v>1.86676</v>
      </c>
      <c r="EF17">
        <v>1.87148</v>
      </c>
      <c r="EG17">
        <v>1.86389</v>
      </c>
      <c r="EH17">
        <v>1.8653900000000001</v>
      </c>
      <c r="EI17">
        <v>1.8653500000000001</v>
      </c>
      <c r="EJ17" t="s">
        <v>284</v>
      </c>
      <c r="EK17" t="s">
        <v>19</v>
      </c>
      <c r="EL17" t="s">
        <v>19</v>
      </c>
      <c r="EM17" t="s">
        <v>19</v>
      </c>
      <c r="EN17" t="s">
        <v>285</v>
      </c>
      <c r="EO17" t="s">
        <v>286</v>
      </c>
      <c r="EP17" t="s">
        <v>287</v>
      </c>
      <c r="EQ17" t="s">
        <v>287</v>
      </c>
      <c r="ER17" t="s">
        <v>287</v>
      </c>
      <c r="ES17" t="s">
        <v>287</v>
      </c>
      <c r="ET17">
        <v>0</v>
      </c>
      <c r="EU17">
        <v>100</v>
      </c>
      <c r="EV17">
        <v>100</v>
      </c>
      <c r="EW17">
        <v>-0.42099999999999999</v>
      </c>
      <c r="EX17">
        <v>9.4E-2</v>
      </c>
      <c r="EY17">
        <v>2</v>
      </c>
      <c r="EZ17">
        <v>321.90100000000001</v>
      </c>
      <c r="FA17">
        <v>455.19099999999997</v>
      </c>
      <c r="FB17">
        <v>22.732299999999999</v>
      </c>
      <c r="FC17">
        <v>37.471400000000003</v>
      </c>
      <c r="FD17">
        <v>30.001999999999999</v>
      </c>
      <c r="FE17">
        <v>37.381900000000002</v>
      </c>
      <c r="FF17">
        <v>37.372500000000002</v>
      </c>
      <c r="FG17">
        <v>21.999099999999999</v>
      </c>
      <c r="FH17">
        <v>56.238799999999998</v>
      </c>
      <c r="FI17">
        <v>0</v>
      </c>
      <c r="FJ17">
        <v>22.5655</v>
      </c>
      <c r="FK17">
        <v>400</v>
      </c>
      <c r="FL17">
        <v>16.0884</v>
      </c>
      <c r="FM17">
        <v>100.117</v>
      </c>
      <c r="FN17">
        <v>100.429</v>
      </c>
    </row>
    <row r="18" spans="1:170" x14ac:dyDescent="0.25">
      <c r="A18">
        <v>2</v>
      </c>
      <c r="B18">
        <v>1595010174.5</v>
      </c>
      <c r="C18">
        <v>135.5</v>
      </c>
      <c r="D18" t="s">
        <v>288</v>
      </c>
      <c r="E18" t="s">
        <v>289</v>
      </c>
      <c r="G18">
        <v>1595010166.5645199</v>
      </c>
      <c r="H18">
        <f t="shared" si="0"/>
        <v>1.3842245546212497E-2</v>
      </c>
      <c r="I18">
        <f t="shared" si="1"/>
        <v>31.375599618790506</v>
      </c>
      <c r="J18">
        <f t="shared" si="2"/>
        <v>285.858</v>
      </c>
      <c r="K18">
        <f t="shared" si="3"/>
        <v>226.16302354604827</v>
      </c>
      <c r="L18">
        <f t="shared" si="4"/>
        <v>22.574634370969964</v>
      </c>
      <c r="M18">
        <f t="shared" si="5"/>
        <v>28.533133890929044</v>
      </c>
      <c r="N18">
        <f t="shared" si="6"/>
        <v>1.07576233170916</v>
      </c>
      <c r="O18">
        <f t="shared" si="7"/>
        <v>3.388540485712594</v>
      </c>
      <c r="P18">
        <f t="shared" si="8"/>
        <v>0.91617262335660976</v>
      </c>
      <c r="Q18">
        <f t="shared" si="9"/>
        <v>0.58496312519866378</v>
      </c>
      <c r="R18">
        <f t="shared" si="10"/>
        <v>353.33669593835799</v>
      </c>
      <c r="S18">
        <f t="shared" si="11"/>
        <v>26.745028564515273</v>
      </c>
      <c r="T18">
        <f t="shared" si="12"/>
        <v>26.942783870967698</v>
      </c>
      <c r="U18">
        <f t="shared" si="13"/>
        <v>3.5671497502491856</v>
      </c>
      <c r="V18">
        <f t="shared" si="14"/>
        <v>55.171062319738184</v>
      </c>
      <c r="W18">
        <f t="shared" si="15"/>
        <v>2.1018819848787351</v>
      </c>
      <c r="X18">
        <f t="shared" si="16"/>
        <v>3.8097544192596753</v>
      </c>
      <c r="Y18">
        <f t="shared" si="17"/>
        <v>1.4652677653704504</v>
      </c>
      <c r="Z18">
        <f t="shared" si="18"/>
        <v>-610.44302858797107</v>
      </c>
      <c r="AA18">
        <f t="shared" si="19"/>
        <v>205.43056330153553</v>
      </c>
      <c r="AB18">
        <f t="shared" si="20"/>
        <v>13.149838000389531</v>
      </c>
      <c r="AC18">
        <f t="shared" si="21"/>
        <v>-38.525931347688015</v>
      </c>
      <c r="AD18">
        <v>-4.1270239055266097E-2</v>
      </c>
      <c r="AE18">
        <v>4.6329458811049197E-2</v>
      </c>
      <c r="AF18">
        <v>3.4609625243115598</v>
      </c>
      <c r="AG18">
        <v>160</v>
      </c>
      <c r="AH18">
        <v>32</v>
      </c>
      <c r="AI18">
        <f t="shared" si="22"/>
        <v>1</v>
      </c>
      <c r="AJ18">
        <f t="shared" si="23"/>
        <v>0</v>
      </c>
      <c r="AK18">
        <f t="shared" si="24"/>
        <v>52441.485210084924</v>
      </c>
      <c r="AL18">
        <v>0</v>
      </c>
      <c r="AM18">
        <v>0</v>
      </c>
      <c r="AN18">
        <v>0</v>
      </c>
      <c r="AO18">
        <f t="shared" si="25"/>
        <v>0</v>
      </c>
      <c r="AP18" t="e">
        <f t="shared" si="26"/>
        <v>#DIV/0!</v>
      </c>
      <c r="AQ18">
        <v>-1</v>
      </c>
      <c r="AR18" t="s">
        <v>290</v>
      </c>
      <c r="AS18">
        <v>274.39267999999998</v>
      </c>
      <c r="AT18">
        <v>387.577</v>
      </c>
      <c r="AU18">
        <f t="shared" si="27"/>
        <v>0.29203053844784399</v>
      </c>
      <c r="AV18">
        <v>0.5</v>
      </c>
      <c r="AW18">
        <f t="shared" si="28"/>
        <v>1849.1820384188059</v>
      </c>
      <c r="AX18">
        <f t="shared" si="29"/>
        <v>31.375599618790506</v>
      </c>
      <c r="AY18">
        <f t="shared" si="30"/>
        <v>270.00881318376281</v>
      </c>
      <c r="AZ18">
        <f t="shared" si="31"/>
        <v>0.51576073915634824</v>
      </c>
      <c r="BA18">
        <f t="shared" si="32"/>
        <v>1.7508065158622323E-2</v>
      </c>
      <c r="BB18">
        <f t="shared" si="33"/>
        <v>-1</v>
      </c>
      <c r="BC18" t="s">
        <v>291</v>
      </c>
      <c r="BD18">
        <v>187.68</v>
      </c>
      <c r="BE18">
        <f t="shared" si="34"/>
        <v>199.89699999999999</v>
      </c>
      <c r="BF18">
        <f t="shared" si="35"/>
        <v>0.56621319979789597</v>
      </c>
      <c r="BG18">
        <f t="shared" si="36"/>
        <v>2.0650948422847399</v>
      </c>
      <c r="BH18">
        <f t="shared" si="37"/>
        <v>0.29203053844784393</v>
      </c>
      <c r="BI18" t="e">
        <f t="shared" si="38"/>
        <v>#DIV/0!</v>
      </c>
      <c r="BJ18">
        <v>5017</v>
      </c>
      <c r="BK18">
        <v>300</v>
      </c>
      <c r="BL18">
        <v>300</v>
      </c>
      <c r="BM18">
        <v>300</v>
      </c>
      <c r="BN18">
        <v>9865.68</v>
      </c>
      <c r="BO18">
        <v>351.10899999999998</v>
      </c>
      <c r="BP18">
        <v>-6.3984200000000001E-3</v>
      </c>
      <c r="BQ18">
        <v>1.0452900000000001</v>
      </c>
      <c r="BR18">
        <f t="shared" si="39"/>
        <v>2199.9964516128998</v>
      </c>
      <c r="BS18">
        <f t="shared" si="40"/>
        <v>1849.1820384188059</v>
      </c>
      <c r="BT18">
        <f t="shared" si="41"/>
        <v>0.84053864589786098</v>
      </c>
      <c r="BU18">
        <f t="shared" si="42"/>
        <v>0.19107729179572189</v>
      </c>
      <c r="BV18">
        <v>0.5</v>
      </c>
      <c r="BW18" t="s">
        <v>281</v>
      </c>
      <c r="BX18">
        <v>1595010166.5645199</v>
      </c>
      <c r="BY18">
        <v>285.858</v>
      </c>
      <c r="BZ18">
        <v>299.98974193548401</v>
      </c>
      <c r="CA18">
        <v>21.057616129032301</v>
      </c>
      <c r="CB18">
        <v>15.6377967741935</v>
      </c>
      <c r="CC18">
        <v>500.04474193548401</v>
      </c>
      <c r="CD18">
        <v>99.615735483871006</v>
      </c>
      <c r="CE18">
        <v>0.200025806451613</v>
      </c>
      <c r="CF18">
        <v>28.067303225806501</v>
      </c>
      <c r="CG18">
        <v>26.942783870967698</v>
      </c>
      <c r="CH18">
        <v>999.9</v>
      </c>
      <c r="CI18">
        <v>9990.9103225806502</v>
      </c>
      <c r="CJ18">
        <v>0</v>
      </c>
      <c r="CK18">
        <v>317.897032258065</v>
      </c>
      <c r="CL18">
        <v>2199.9964516128998</v>
      </c>
      <c r="CM18">
        <v>0.98200290322580697</v>
      </c>
      <c r="CN18">
        <v>1.7997251612903199E-2</v>
      </c>
      <c r="CO18">
        <v>0</v>
      </c>
      <c r="CP18">
        <v>274.40245161290301</v>
      </c>
      <c r="CQ18">
        <v>5.00054</v>
      </c>
      <c r="CR18">
        <v>9041.55516129032</v>
      </c>
      <c r="CS18">
        <v>20590.512903225801</v>
      </c>
      <c r="CT18">
        <v>49.794032258064497</v>
      </c>
      <c r="CU18">
        <v>51.955483870967697</v>
      </c>
      <c r="CV18">
        <v>50.146935483870998</v>
      </c>
      <c r="CW18">
        <v>50.8384838709677</v>
      </c>
      <c r="CX18">
        <v>51.183258064516103</v>
      </c>
      <c r="CY18">
        <v>2155.49580645161</v>
      </c>
      <c r="CZ18">
        <v>39.500645161290301</v>
      </c>
      <c r="DA18">
        <v>0</v>
      </c>
      <c r="DB18">
        <v>134.60000014305101</v>
      </c>
      <c r="DC18">
        <v>274.39267999999998</v>
      </c>
      <c r="DD18">
        <v>-3.6962307773488301</v>
      </c>
      <c r="DE18">
        <v>-108.364615342536</v>
      </c>
      <c r="DF18">
        <v>9040.4644000000008</v>
      </c>
      <c r="DG18">
        <v>15</v>
      </c>
      <c r="DH18">
        <v>1595010208.0999999</v>
      </c>
      <c r="DI18" t="s">
        <v>292</v>
      </c>
      <c r="DJ18">
        <v>72</v>
      </c>
      <c r="DK18">
        <v>-0.46400000000000002</v>
      </c>
      <c r="DL18">
        <v>8.8999999999999996E-2</v>
      </c>
      <c r="DM18">
        <v>300</v>
      </c>
      <c r="DN18">
        <v>16</v>
      </c>
      <c r="DO18">
        <v>0.14000000000000001</v>
      </c>
      <c r="DP18">
        <v>0.01</v>
      </c>
      <c r="DQ18">
        <v>285.89535294117599</v>
      </c>
      <c r="DR18">
        <v>5.9955463320511299E-2</v>
      </c>
      <c r="DS18">
        <v>1.84091021065419E-2</v>
      </c>
      <c r="DT18">
        <v>1</v>
      </c>
      <c r="DU18">
        <v>21.0795568627451</v>
      </c>
      <c r="DV18">
        <v>-0.18783227947224601</v>
      </c>
      <c r="DW18">
        <v>2.3703431164731299E-2</v>
      </c>
      <c r="DX18">
        <v>1</v>
      </c>
      <c r="DY18">
        <v>2</v>
      </c>
      <c r="DZ18">
        <v>2</v>
      </c>
      <c r="EA18" t="s">
        <v>283</v>
      </c>
      <c r="EB18">
        <v>1.86676</v>
      </c>
      <c r="EC18">
        <v>1.86324</v>
      </c>
      <c r="ED18">
        <v>1.8689</v>
      </c>
      <c r="EE18">
        <v>1.8667800000000001</v>
      </c>
      <c r="EF18">
        <v>1.8714900000000001</v>
      </c>
      <c r="EG18">
        <v>1.86398</v>
      </c>
      <c r="EH18">
        <v>1.8654500000000001</v>
      </c>
      <c r="EI18">
        <v>1.8653900000000001</v>
      </c>
      <c r="EJ18" t="s">
        <v>284</v>
      </c>
      <c r="EK18" t="s">
        <v>19</v>
      </c>
      <c r="EL18" t="s">
        <v>19</v>
      </c>
      <c r="EM18" t="s">
        <v>19</v>
      </c>
      <c r="EN18" t="s">
        <v>285</v>
      </c>
      <c r="EO18" t="s">
        <v>286</v>
      </c>
      <c r="EP18" t="s">
        <v>287</v>
      </c>
      <c r="EQ18" t="s">
        <v>287</v>
      </c>
      <c r="ER18" t="s">
        <v>287</v>
      </c>
      <c r="ES18" t="s">
        <v>287</v>
      </c>
      <c r="ET18">
        <v>0</v>
      </c>
      <c r="EU18">
        <v>100</v>
      </c>
      <c r="EV18">
        <v>100</v>
      </c>
      <c r="EW18">
        <v>-0.46400000000000002</v>
      </c>
      <c r="EX18">
        <v>8.8999999999999996E-2</v>
      </c>
      <c r="EY18">
        <v>2</v>
      </c>
      <c r="EZ18">
        <v>321.86799999999999</v>
      </c>
      <c r="FA18">
        <v>453.601</v>
      </c>
      <c r="FB18">
        <v>22.882200000000001</v>
      </c>
      <c r="FC18">
        <v>37.702300000000001</v>
      </c>
      <c r="FD18">
        <v>30.000499999999999</v>
      </c>
      <c r="FE18">
        <v>37.602499999999999</v>
      </c>
      <c r="FF18">
        <v>37.591700000000003</v>
      </c>
      <c r="FG18">
        <v>17.4878</v>
      </c>
      <c r="FH18">
        <v>56.619500000000002</v>
      </c>
      <c r="FI18">
        <v>0</v>
      </c>
      <c r="FJ18">
        <v>22.913699999999999</v>
      </c>
      <c r="FK18">
        <v>300</v>
      </c>
      <c r="FL18">
        <v>15.686400000000001</v>
      </c>
      <c r="FM18">
        <v>100.07899999999999</v>
      </c>
      <c r="FN18">
        <v>100.387</v>
      </c>
    </row>
    <row r="19" spans="1:170" x14ac:dyDescent="0.25">
      <c r="A19">
        <v>3</v>
      </c>
      <c r="B19">
        <v>1595010299.5999999</v>
      </c>
      <c r="C19">
        <v>260.59999990463302</v>
      </c>
      <c r="D19" t="s">
        <v>293</v>
      </c>
      <c r="E19" t="s">
        <v>294</v>
      </c>
      <c r="G19">
        <v>1595010291.5999999</v>
      </c>
      <c r="H19">
        <f t="shared" si="0"/>
        <v>1.3214979477301702E-2</v>
      </c>
      <c r="I19">
        <f t="shared" si="1"/>
        <v>20.376422115681905</v>
      </c>
      <c r="J19">
        <f t="shared" si="2"/>
        <v>190.824903225806</v>
      </c>
      <c r="K19">
        <f t="shared" si="3"/>
        <v>150.46216601270928</v>
      </c>
      <c r="L19">
        <f t="shared" si="4"/>
        <v>15.017515816909931</v>
      </c>
      <c r="M19">
        <f t="shared" si="5"/>
        <v>19.046090312243589</v>
      </c>
      <c r="N19">
        <f t="shared" si="6"/>
        <v>1.0247099017508634</v>
      </c>
      <c r="O19">
        <f t="shared" si="7"/>
        <v>3.3921530603433934</v>
      </c>
      <c r="P19">
        <f t="shared" si="8"/>
        <v>0.87894775173391293</v>
      </c>
      <c r="Q19">
        <f t="shared" si="9"/>
        <v>0.56070213484595577</v>
      </c>
      <c r="R19">
        <f t="shared" si="10"/>
        <v>353.33965772081848</v>
      </c>
      <c r="S19">
        <f t="shared" si="11"/>
        <v>26.83091363176543</v>
      </c>
      <c r="T19">
        <f t="shared" si="12"/>
        <v>26.950622580645199</v>
      </c>
      <c r="U19">
        <f t="shared" si="13"/>
        <v>3.5687930508460122</v>
      </c>
      <c r="V19">
        <f t="shared" si="14"/>
        <v>55.5927614450909</v>
      </c>
      <c r="W19">
        <f t="shared" si="15"/>
        <v>2.1108577613791315</v>
      </c>
      <c r="X19">
        <f t="shared" si="16"/>
        <v>3.7970010960222411</v>
      </c>
      <c r="Y19">
        <f t="shared" si="17"/>
        <v>1.4579352894668807</v>
      </c>
      <c r="Z19">
        <f t="shared" si="18"/>
        <v>-582.78059494900504</v>
      </c>
      <c r="AA19">
        <f t="shared" si="19"/>
        <v>193.69409015179585</v>
      </c>
      <c r="AB19">
        <f t="shared" si="20"/>
        <v>12.382292092517174</v>
      </c>
      <c r="AC19">
        <f t="shared" si="21"/>
        <v>-23.364554983873546</v>
      </c>
      <c r="AD19">
        <v>-4.1326168796428302E-2</v>
      </c>
      <c r="AE19">
        <v>4.63922448452182E-2</v>
      </c>
      <c r="AF19">
        <v>3.4646732458386702</v>
      </c>
      <c r="AG19">
        <v>161</v>
      </c>
      <c r="AH19">
        <v>32</v>
      </c>
      <c r="AI19">
        <f t="shared" si="22"/>
        <v>1</v>
      </c>
      <c r="AJ19">
        <f t="shared" si="23"/>
        <v>0</v>
      </c>
      <c r="AK19">
        <f t="shared" si="24"/>
        <v>52519.54875905723</v>
      </c>
      <c r="AL19">
        <v>0</v>
      </c>
      <c r="AM19">
        <v>0</v>
      </c>
      <c r="AN19">
        <v>0</v>
      </c>
      <c r="AO19">
        <f t="shared" si="25"/>
        <v>0</v>
      </c>
      <c r="AP19" t="e">
        <f t="shared" si="26"/>
        <v>#DIV/0!</v>
      </c>
      <c r="AQ19">
        <v>-1</v>
      </c>
      <c r="AR19" t="s">
        <v>295</v>
      </c>
      <c r="AS19">
        <v>264.62592000000001</v>
      </c>
      <c r="AT19">
        <v>348.935</v>
      </c>
      <c r="AU19">
        <f t="shared" si="27"/>
        <v>0.24161829567111348</v>
      </c>
      <c r="AV19">
        <v>0.5</v>
      </c>
      <c r="AW19">
        <f t="shared" si="28"/>
        <v>1849.1921418183081</v>
      </c>
      <c r="AX19">
        <f t="shared" si="29"/>
        <v>20.376422115681905</v>
      </c>
      <c r="AY19">
        <f t="shared" si="30"/>
        <v>223.39932683727778</v>
      </c>
      <c r="AZ19">
        <f t="shared" si="31"/>
        <v>0.45388109533294169</v>
      </c>
      <c r="BA19">
        <f t="shared" si="32"/>
        <v>1.1559870730719469E-2</v>
      </c>
      <c r="BB19">
        <f t="shared" si="33"/>
        <v>-1</v>
      </c>
      <c r="BC19" t="s">
        <v>296</v>
      </c>
      <c r="BD19">
        <v>190.56</v>
      </c>
      <c r="BE19">
        <f t="shared" si="34"/>
        <v>158.375</v>
      </c>
      <c r="BF19">
        <f t="shared" si="35"/>
        <v>0.53233831097079709</v>
      </c>
      <c r="BG19">
        <f t="shared" si="36"/>
        <v>1.8311030646515534</v>
      </c>
      <c r="BH19">
        <f t="shared" si="37"/>
        <v>0.24161829567111351</v>
      </c>
      <c r="BI19" t="e">
        <f t="shared" si="38"/>
        <v>#DIV/0!</v>
      </c>
      <c r="BJ19">
        <v>5019</v>
      </c>
      <c r="BK19">
        <v>300</v>
      </c>
      <c r="BL19">
        <v>300</v>
      </c>
      <c r="BM19">
        <v>300</v>
      </c>
      <c r="BN19">
        <v>9863.43</v>
      </c>
      <c r="BO19">
        <v>325.54599999999999</v>
      </c>
      <c r="BP19">
        <v>-6.3965100000000002E-3</v>
      </c>
      <c r="BQ19">
        <v>2.1349800000000001</v>
      </c>
      <c r="BR19">
        <f t="shared" si="39"/>
        <v>2200.0077419354802</v>
      </c>
      <c r="BS19">
        <f t="shared" si="40"/>
        <v>1849.1921418183081</v>
      </c>
      <c r="BT19">
        <f t="shared" si="41"/>
        <v>0.84053892473644731</v>
      </c>
      <c r="BU19">
        <f t="shared" si="42"/>
        <v>0.19107784947289475</v>
      </c>
      <c r="BV19">
        <v>0.5</v>
      </c>
      <c r="BW19" t="s">
        <v>281</v>
      </c>
      <c r="BX19">
        <v>1595010291.5999999</v>
      </c>
      <c r="BY19">
        <v>190.824903225806</v>
      </c>
      <c r="BZ19">
        <v>199.98341935483899</v>
      </c>
      <c r="CA19">
        <v>21.1489193548387</v>
      </c>
      <c r="CB19">
        <v>15.9751451612903</v>
      </c>
      <c r="CC19">
        <v>500.041032258065</v>
      </c>
      <c r="CD19">
        <v>99.609274193548401</v>
      </c>
      <c r="CE19">
        <v>0.19997496774193499</v>
      </c>
      <c r="CF19">
        <v>28.009767741935502</v>
      </c>
      <c r="CG19">
        <v>26.950622580645199</v>
      </c>
      <c r="CH19">
        <v>999.9</v>
      </c>
      <c r="CI19">
        <v>10005.0990322581</v>
      </c>
      <c r="CJ19">
        <v>0</v>
      </c>
      <c r="CK19">
        <v>88.099470967741993</v>
      </c>
      <c r="CL19">
        <v>2200.0077419354802</v>
      </c>
      <c r="CM19">
        <v>0.98199338709677397</v>
      </c>
      <c r="CN19">
        <v>1.80061935483871E-2</v>
      </c>
      <c r="CO19">
        <v>0</v>
      </c>
      <c r="CP19">
        <v>264.66583870967702</v>
      </c>
      <c r="CQ19">
        <v>5.00054</v>
      </c>
      <c r="CR19">
        <v>7037.1432258064497</v>
      </c>
      <c r="CS19">
        <v>20590.561290322599</v>
      </c>
      <c r="CT19">
        <v>50.3546774193548</v>
      </c>
      <c r="CU19">
        <v>52.618806451612897</v>
      </c>
      <c r="CV19">
        <v>50.761935483871</v>
      </c>
      <c r="CW19">
        <v>51.473580645161299</v>
      </c>
      <c r="CX19">
        <v>51.757935483871002</v>
      </c>
      <c r="CY19">
        <v>2155.4861290322601</v>
      </c>
      <c r="CZ19">
        <v>39.521290322580597</v>
      </c>
      <c r="DA19">
        <v>0</v>
      </c>
      <c r="DB19">
        <v>124.30000019073501</v>
      </c>
      <c r="DC19">
        <v>264.62592000000001</v>
      </c>
      <c r="DD19">
        <v>-2.6081538403518998</v>
      </c>
      <c r="DE19">
        <v>-400.71692224573502</v>
      </c>
      <c r="DF19">
        <v>7035.0403999999999</v>
      </c>
      <c r="DG19">
        <v>15</v>
      </c>
      <c r="DH19">
        <v>1595010332.5999999</v>
      </c>
      <c r="DI19" t="s">
        <v>297</v>
      </c>
      <c r="DJ19">
        <v>73</v>
      </c>
      <c r="DK19">
        <v>-0.371</v>
      </c>
      <c r="DL19">
        <v>9.0999999999999998E-2</v>
      </c>
      <c r="DM19">
        <v>200</v>
      </c>
      <c r="DN19">
        <v>16</v>
      </c>
      <c r="DO19">
        <v>0.37</v>
      </c>
      <c r="DP19">
        <v>0.02</v>
      </c>
      <c r="DQ19">
        <v>190.71660784313701</v>
      </c>
      <c r="DR19">
        <v>0.147627149321373</v>
      </c>
      <c r="DS19">
        <v>2.0762974617232501E-2</v>
      </c>
      <c r="DT19">
        <v>1</v>
      </c>
      <c r="DU19">
        <v>21.1459215686275</v>
      </c>
      <c r="DV19">
        <v>1.6388416289592901E-2</v>
      </c>
      <c r="DW19">
        <v>6.3953510604553001E-3</v>
      </c>
      <c r="DX19">
        <v>1</v>
      </c>
      <c r="DY19">
        <v>2</v>
      </c>
      <c r="DZ19">
        <v>2</v>
      </c>
      <c r="EA19" t="s">
        <v>283</v>
      </c>
      <c r="EB19">
        <v>1.86676</v>
      </c>
      <c r="EC19">
        <v>1.8632500000000001</v>
      </c>
      <c r="ED19">
        <v>1.8689</v>
      </c>
      <c r="EE19">
        <v>1.8667899999999999</v>
      </c>
      <c r="EF19">
        <v>1.8714999999999999</v>
      </c>
      <c r="EG19">
        <v>1.86398</v>
      </c>
      <c r="EH19">
        <v>1.86544</v>
      </c>
      <c r="EI19">
        <v>1.8653900000000001</v>
      </c>
      <c r="EJ19" t="s">
        <v>284</v>
      </c>
      <c r="EK19" t="s">
        <v>19</v>
      </c>
      <c r="EL19" t="s">
        <v>19</v>
      </c>
      <c r="EM19" t="s">
        <v>19</v>
      </c>
      <c r="EN19" t="s">
        <v>285</v>
      </c>
      <c r="EO19" t="s">
        <v>286</v>
      </c>
      <c r="EP19" t="s">
        <v>287</v>
      </c>
      <c r="EQ19" t="s">
        <v>287</v>
      </c>
      <c r="ER19" t="s">
        <v>287</v>
      </c>
      <c r="ES19" t="s">
        <v>287</v>
      </c>
      <c r="ET19">
        <v>0</v>
      </c>
      <c r="EU19">
        <v>100</v>
      </c>
      <c r="EV19">
        <v>100</v>
      </c>
      <c r="EW19">
        <v>-0.371</v>
      </c>
      <c r="EX19">
        <v>9.0999999999999998E-2</v>
      </c>
      <c r="EY19">
        <v>2</v>
      </c>
      <c r="EZ19">
        <v>320.78899999999999</v>
      </c>
      <c r="FA19">
        <v>452.88600000000002</v>
      </c>
      <c r="FB19">
        <v>22.674600000000002</v>
      </c>
      <c r="FC19">
        <v>37.909799999999997</v>
      </c>
      <c r="FD19">
        <v>29.996600000000001</v>
      </c>
      <c r="FE19">
        <v>37.820099999999996</v>
      </c>
      <c r="FF19">
        <v>37.807600000000001</v>
      </c>
      <c r="FG19">
        <v>12.808400000000001</v>
      </c>
      <c r="FH19">
        <v>57.219499999999996</v>
      </c>
      <c r="FI19">
        <v>0</v>
      </c>
      <c r="FJ19">
        <v>22.768799999999999</v>
      </c>
      <c r="FK19">
        <v>200</v>
      </c>
      <c r="FL19">
        <v>15.7277</v>
      </c>
      <c r="FM19">
        <v>100.041</v>
      </c>
      <c r="FN19">
        <v>100.343</v>
      </c>
    </row>
    <row r="20" spans="1:170" x14ac:dyDescent="0.25">
      <c r="A20">
        <v>4</v>
      </c>
      <c r="B20">
        <v>1595010424.0999999</v>
      </c>
      <c r="C20">
        <v>385.09999990463302</v>
      </c>
      <c r="D20" t="s">
        <v>298</v>
      </c>
      <c r="E20" t="s">
        <v>299</v>
      </c>
      <c r="G20">
        <v>1595010416.0999999</v>
      </c>
      <c r="H20">
        <f t="shared" si="0"/>
        <v>1.2817107717897841E-2</v>
      </c>
      <c r="I20">
        <f t="shared" si="1"/>
        <v>7.451259974223464</v>
      </c>
      <c r="J20">
        <f t="shared" si="2"/>
        <v>96.509277419354802</v>
      </c>
      <c r="K20">
        <f t="shared" si="3"/>
        <v>80.135954607508197</v>
      </c>
      <c r="L20">
        <f t="shared" si="4"/>
        <v>7.9979806106762625</v>
      </c>
      <c r="M20">
        <f t="shared" si="5"/>
        <v>9.6321224764951676</v>
      </c>
      <c r="N20">
        <f t="shared" si="6"/>
        <v>0.94944217333902881</v>
      </c>
      <c r="O20">
        <f t="shared" si="7"/>
        <v>3.3896190773128514</v>
      </c>
      <c r="P20">
        <f t="shared" si="8"/>
        <v>0.82281863809600941</v>
      </c>
      <c r="Q20">
        <f t="shared" si="9"/>
        <v>0.52422471334797449</v>
      </c>
      <c r="R20">
        <f t="shared" si="10"/>
        <v>353.33664937847783</v>
      </c>
      <c r="S20">
        <f t="shared" si="11"/>
        <v>27.144037782686038</v>
      </c>
      <c r="T20">
        <f t="shared" si="12"/>
        <v>27.1860419354839</v>
      </c>
      <c r="U20">
        <f t="shared" si="13"/>
        <v>3.6184551217366452</v>
      </c>
      <c r="V20">
        <f t="shared" si="14"/>
        <v>54.809191622265175</v>
      </c>
      <c r="W20">
        <f t="shared" si="15"/>
        <v>2.1083865965969695</v>
      </c>
      <c r="X20">
        <f t="shared" si="16"/>
        <v>3.8467755757603221</v>
      </c>
      <c r="Y20">
        <f t="shared" si="17"/>
        <v>1.5100685251396757</v>
      </c>
      <c r="Z20">
        <f t="shared" si="18"/>
        <v>-565.23445035929478</v>
      </c>
      <c r="AA20">
        <f t="shared" si="19"/>
        <v>191.39069466851575</v>
      </c>
      <c r="AB20">
        <f t="shared" si="20"/>
        <v>12.272266999966915</v>
      </c>
      <c r="AC20">
        <f t="shared" si="21"/>
        <v>-8.2348393123342873</v>
      </c>
      <c r="AD20">
        <v>-4.1286934957257701E-2</v>
      </c>
      <c r="AE20">
        <v>4.63482014236761E-2</v>
      </c>
      <c r="AF20">
        <v>3.46207041429453</v>
      </c>
      <c r="AG20">
        <v>160</v>
      </c>
      <c r="AH20">
        <v>32</v>
      </c>
      <c r="AI20">
        <f t="shared" si="22"/>
        <v>1</v>
      </c>
      <c r="AJ20">
        <f t="shared" si="23"/>
        <v>0</v>
      </c>
      <c r="AK20">
        <f t="shared" si="24"/>
        <v>52432.687557378667</v>
      </c>
      <c r="AL20">
        <v>0</v>
      </c>
      <c r="AM20">
        <v>0</v>
      </c>
      <c r="AN20">
        <v>0</v>
      </c>
      <c r="AO20">
        <f t="shared" si="25"/>
        <v>0</v>
      </c>
      <c r="AP20" t="e">
        <f t="shared" si="26"/>
        <v>#DIV/0!</v>
      </c>
      <c r="AQ20">
        <v>-1</v>
      </c>
      <c r="AR20" t="s">
        <v>300</v>
      </c>
      <c r="AS20">
        <v>263.69024000000002</v>
      </c>
      <c r="AT20">
        <v>329.38</v>
      </c>
      <c r="AU20">
        <f t="shared" si="27"/>
        <v>0.19943457404821174</v>
      </c>
      <c r="AV20">
        <v>0.5</v>
      </c>
      <c r="AW20">
        <f t="shared" si="28"/>
        <v>1849.1766572519771</v>
      </c>
      <c r="AX20">
        <f t="shared" si="29"/>
        <v>7.451259974223464</v>
      </c>
      <c r="AY20">
        <f t="shared" si="30"/>
        <v>184.39487948947203</v>
      </c>
      <c r="AZ20">
        <f t="shared" si="31"/>
        <v>0.39140202805270508</v>
      </c>
      <c r="BA20">
        <f t="shared" si="32"/>
        <v>4.5702826396168692E-3</v>
      </c>
      <c r="BB20">
        <f t="shared" si="33"/>
        <v>-1</v>
      </c>
      <c r="BC20" t="s">
        <v>301</v>
      </c>
      <c r="BD20">
        <v>200.46</v>
      </c>
      <c r="BE20">
        <f t="shared" si="34"/>
        <v>128.91999999999999</v>
      </c>
      <c r="BF20">
        <f t="shared" si="35"/>
        <v>0.50953893887682267</v>
      </c>
      <c r="BG20">
        <f t="shared" si="36"/>
        <v>1.6431208221091489</v>
      </c>
      <c r="BH20">
        <f t="shared" si="37"/>
        <v>0.19943457404821172</v>
      </c>
      <c r="BI20" t="e">
        <f t="shared" si="38"/>
        <v>#DIV/0!</v>
      </c>
      <c r="BJ20">
        <v>5021</v>
      </c>
      <c r="BK20">
        <v>300</v>
      </c>
      <c r="BL20">
        <v>300</v>
      </c>
      <c r="BM20">
        <v>300</v>
      </c>
      <c r="BN20">
        <v>9861.5</v>
      </c>
      <c r="BO20">
        <v>310.97199999999998</v>
      </c>
      <c r="BP20">
        <v>-6.3950300000000003E-3</v>
      </c>
      <c r="BQ20">
        <v>1.36557</v>
      </c>
      <c r="BR20">
        <f t="shared" si="39"/>
        <v>2199.9893548387099</v>
      </c>
      <c r="BS20">
        <f t="shared" si="40"/>
        <v>1849.1766572519771</v>
      </c>
      <c r="BT20">
        <f t="shared" si="41"/>
        <v>0.84053891132920855</v>
      </c>
      <c r="BU20">
        <f t="shared" si="42"/>
        <v>0.19107782265841711</v>
      </c>
      <c r="BV20">
        <v>0.5</v>
      </c>
      <c r="BW20" t="s">
        <v>281</v>
      </c>
      <c r="BX20">
        <v>1595010416.0999999</v>
      </c>
      <c r="BY20">
        <v>96.509277419354802</v>
      </c>
      <c r="BZ20">
        <v>99.984261290322607</v>
      </c>
      <c r="CA20">
        <v>21.125029032258102</v>
      </c>
      <c r="CB20">
        <v>16.106935483870998</v>
      </c>
      <c r="CC20">
        <v>500.04432258064497</v>
      </c>
      <c r="CD20">
        <v>99.605164516128994</v>
      </c>
      <c r="CE20">
        <v>0.19998099999999999</v>
      </c>
      <c r="CF20">
        <v>28.2333741935484</v>
      </c>
      <c r="CG20">
        <v>27.1860419354839</v>
      </c>
      <c r="CH20">
        <v>999.9</v>
      </c>
      <c r="CI20">
        <v>9996.0129032258101</v>
      </c>
      <c r="CJ20">
        <v>0</v>
      </c>
      <c r="CK20">
        <v>312.804129032258</v>
      </c>
      <c r="CL20">
        <v>2199.9893548387099</v>
      </c>
      <c r="CM20">
        <v>0.98199751612903197</v>
      </c>
      <c r="CN20">
        <v>1.8002738709677401E-2</v>
      </c>
      <c r="CO20">
        <v>0</v>
      </c>
      <c r="CP20">
        <v>263.69222580645197</v>
      </c>
      <c r="CQ20">
        <v>5.00054</v>
      </c>
      <c r="CR20">
        <v>8781.9732258064505</v>
      </c>
      <c r="CS20">
        <v>20590.416129032299</v>
      </c>
      <c r="CT20">
        <v>50.804129032257997</v>
      </c>
      <c r="CU20">
        <v>52.9796774193548</v>
      </c>
      <c r="CV20">
        <v>51.158999999999999</v>
      </c>
      <c r="CW20">
        <v>51.878870967741904</v>
      </c>
      <c r="CX20">
        <v>52.084419354838701</v>
      </c>
      <c r="CY20">
        <v>2155.4703225806402</v>
      </c>
      <c r="CZ20">
        <v>39.520000000000003</v>
      </c>
      <c r="DA20">
        <v>0</v>
      </c>
      <c r="DB20">
        <v>123.59999990463299</v>
      </c>
      <c r="DC20">
        <v>263.69024000000002</v>
      </c>
      <c r="DD20">
        <v>-1.6897692574466201</v>
      </c>
      <c r="DE20">
        <v>-113.848461690805</v>
      </c>
      <c r="DF20">
        <v>8780.7207999999991</v>
      </c>
      <c r="DG20">
        <v>15</v>
      </c>
      <c r="DH20">
        <v>1595010453.5999999</v>
      </c>
      <c r="DI20" t="s">
        <v>302</v>
      </c>
      <c r="DJ20">
        <v>74</v>
      </c>
      <c r="DK20">
        <v>-0.37</v>
      </c>
      <c r="DL20">
        <v>9.9000000000000005E-2</v>
      </c>
      <c r="DM20">
        <v>100</v>
      </c>
      <c r="DN20">
        <v>16</v>
      </c>
      <c r="DO20">
        <v>0.46</v>
      </c>
      <c r="DP20">
        <v>0.02</v>
      </c>
      <c r="DQ20">
        <v>96.508931372549</v>
      </c>
      <c r="DR20">
        <v>3.6862262443390602E-2</v>
      </c>
      <c r="DS20">
        <v>1.5434078542920299E-2</v>
      </c>
      <c r="DT20">
        <v>1</v>
      </c>
      <c r="DU20">
        <v>21.118386274509799</v>
      </c>
      <c r="DV20">
        <v>-9.5847963800896399E-3</v>
      </c>
      <c r="DW20">
        <v>6.9619419087156003E-3</v>
      </c>
      <c r="DX20">
        <v>1</v>
      </c>
      <c r="DY20">
        <v>2</v>
      </c>
      <c r="DZ20">
        <v>2</v>
      </c>
      <c r="EA20" t="s">
        <v>283</v>
      </c>
      <c r="EB20">
        <v>1.86666</v>
      </c>
      <c r="EC20">
        <v>1.8631599999999999</v>
      </c>
      <c r="ED20">
        <v>1.86876</v>
      </c>
      <c r="EE20">
        <v>1.86676</v>
      </c>
      <c r="EF20">
        <v>1.8714200000000001</v>
      </c>
      <c r="EG20">
        <v>1.8638600000000001</v>
      </c>
      <c r="EH20">
        <v>1.8653900000000001</v>
      </c>
      <c r="EI20">
        <v>1.8652899999999999</v>
      </c>
      <c r="EJ20" t="s">
        <v>284</v>
      </c>
      <c r="EK20" t="s">
        <v>19</v>
      </c>
      <c r="EL20" t="s">
        <v>19</v>
      </c>
      <c r="EM20" t="s">
        <v>19</v>
      </c>
      <c r="EN20" t="s">
        <v>285</v>
      </c>
      <c r="EO20" t="s">
        <v>286</v>
      </c>
      <c r="EP20" t="s">
        <v>287</v>
      </c>
      <c r="EQ20" t="s">
        <v>287</v>
      </c>
      <c r="ER20" t="s">
        <v>287</v>
      </c>
      <c r="ES20" t="s">
        <v>287</v>
      </c>
      <c r="ET20">
        <v>0</v>
      </c>
      <c r="EU20">
        <v>100</v>
      </c>
      <c r="EV20">
        <v>100</v>
      </c>
      <c r="EW20">
        <v>-0.37</v>
      </c>
      <c r="EX20">
        <v>9.9000000000000005E-2</v>
      </c>
      <c r="EY20">
        <v>2</v>
      </c>
      <c r="EZ20">
        <v>320.983</v>
      </c>
      <c r="FA20">
        <v>453.46</v>
      </c>
      <c r="FB20">
        <v>22.177800000000001</v>
      </c>
      <c r="FC20">
        <v>37.964399999999998</v>
      </c>
      <c r="FD20">
        <v>30.000499999999999</v>
      </c>
      <c r="FE20">
        <v>37.922499999999999</v>
      </c>
      <c r="FF20">
        <v>37.917000000000002</v>
      </c>
      <c r="FG20">
        <v>7.9497099999999996</v>
      </c>
      <c r="FH20">
        <v>56.218800000000002</v>
      </c>
      <c r="FI20">
        <v>0</v>
      </c>
      <c r="FJ20">
        <v>21.433399999999999</v>
      </c>
      <c r="FK20">
        <v>100</v>
      </c>
      <c r="FL20">
        <v>16.2088</v>
      </c>
      <c r="FM20">
        <v>100.027</v>
      </c>
      <c r="FN20">
        <v>100.33</v>
      </c>
    </row>
    <row r="21" spans="1:170" x14ac:dyDescent="0.25">
      <c r="A21">
        <v>5</v>
      </c>
      <c r="B21">
        <v>1595010545.0999999</v>
      </c>
      <c r="C21">
        <v>506.09999990463302</v>
      </c>
      <c r="D21" t="s">
        <v>303</v>
      </c>
      <c r="E21" t="s">
        <v>304</v>
      </c>
      <c r="G21">
        <v>1595010537.0999999</v>
      </c>
      <c r="H21">
        <f t="shared" si="0"/>
        <v>1.2904189479985086E-2</v>
      </c>
      <c r="I21">
        <f t="shared" si="1"/>
        <v>0.99085540871992461</v>
      </c>
      <c r="J21">
        <f t="shared" si="2"/>
        <v>49.384029032258098</v>
      </c>
      <c r="K21">
        <f t="shared" si="3"/>
        <v>46.371398724023237</v>
      </c>
      <c r="L21">
        <f t="shared" si="4"/>
        <v>4.6280908364913396</v>
      </c>
      <c r="M21">
        <f t="shared" si="5"/>
        <v>4.9287659747647652</v>
      </c>
      <c r="N21">
        <f t="shared" si="6"/>
        <v>0.96941114816328677</v>
      </c>
      <c r="O21">
        <f t="shared" si="7"/>
        <v>3.39097638123088</v>
      </c>
      <c r="P21">
        <f t="shared" si="8"/>
        <v>0.83784330235848103</v>
      </c>
      <c r="Q21">
        <f t="shared" si="9"/>
        <v>0.53397806430969175</v>
      </c>
      <c r="R21">
        <f t="shared" si="10"/>
        <v>353.33753025152805</v>
      </c>
      <c r="S21">
        <f t="shared" si="11"/>
        <v>26.752565373262787</v>
      </c>
      <c r="T21">
        <f t="shared" si="12"/>
        <v>26.9845419354839</v>
      </c>
      <c r="U21">
        <f t="shared" si="13"/>
        <v>3.5759114954312547</v>
      </c>
      <c r="V21">
        <f t="shared" si="14"/>
        <v>55.317644513946696</v>
      </c>
      <c r="W21">
        <f t="shared" si="15"/>
        <v>2.0823227494036378</v>
      </c>
      <c r="X21">
        <f t="shared" si="16"/>
        <v>3.7643011876231318</v>
      </c>
      <c r="Y21">
        <f t="shared" si="17"/>
        <v>1.4935887460276169</v>
      </c>
      <c r="Z21">
        <f t="shared" si="18"/>
        <v>-569.07475606734226</v>
      </c>
      <c r="AA21">
        <f t="shared" si="19"/>
        <v>160.31518354973343</v>
      </c>
      <c r="AB21">
        <f t="shared" si="20"/>
        <v>10.24617073876013</v>
      </c>
      <c r="AC21">
        <f t="shared" si="21"/>
        <v>-45.175871527320623</v>
      </c>
      <c r="AD21">
        <v>-4.1307948546702E-2</v>
      </c>
      <c r="AE21">
        <v>4.6371791018718897E-2</v>
      </c>
      <c r="AF21">
        <v>3.4634645933802499</v>
      </c>
      <c r="AG21">
        <v>161</v>
      </c>
      <c r="AH21">
        <v>32</v>
      </c>
      <c r="AI21">
        <f t="shared" si="22"/>
        <v>1</v>
      </c>
      <c r="AJ21">
        <f t="shared" si="23"/>
        <v>0</v>
      </c>
      <c r="AK21">
        <f t="shared" si="24"/>
        <v>52523.122390705859</v>
      </c>
      <c r="AL21">
        <v>0</v>
      </c>
      <c r="AM21">
        <v>0</v>
      </c>
      <c r="AN21">
        <v>0</v>
      </c>
      <c r="AO21">
        <f t="shared" si="25"/>
        <v>0</v>
      </c>
      <c r="AP21" t="e">
        <f t="shared" si="26"/>
        <v>#DIV/0!</v>
      </c>
      <c r="AQ21">
        <v>-1</v>
      </c>
      <c r="AR21" t="s">
        <v>305</v>
      </c>
      <c r="AS21">
        <v>264.16896000000003</v>
      </c>
      <c r="AT21">
        <v>320.43099999999998</v>
      </c>
      <c r="AU21">
        <f t="shared" si="27"/>
        <v>0.17558238747187371</v>
      </c>
      <c r="AV21">
        <v>0.5</v>
      </c>
      <c r="AW21">
        <f t="shared" si="28"/>
        <v>1849.1839448703488</v>
      </c>
      <c r="AX21">
        <f t="shared" si="29"/>
        <v>0.99085540871992461</v>
      </c>
      <c r="AY21">
        <f t="shared" si="30"/>
        <v>162.34206595749677</v>
      </c>
      <c r="AZ21">
        <f t="shared" si="31"/>
        <v>0.36017426528644225</v>
      </c>
      <c r="BA21">
        <f t="shared" si="32"/>
        <v>1.0766129644606604E-3</v>
      </c>
      <c r="BB21">
        <f t="shared" si="33"/>
        <v>-1</v>
      </c>
      <c r="BC21" t="s">
        <v>306</v>
      </c>
      <c r="BD21">
        <v>205.02</v>
      </c>
      <c r="BE21">
        <f t="shared" si="34"/>
        <v>115.41099999999997</v>
      </c>
      <c r="BF21">
        <f t="shared" si="35"/>
        <v>0.48749287329630597</v>
      </c>
      <c r="BG21">
        <f t="shared" si="36"/>
        <v>1.5629255682372449</v>
      </c>
      <c r="BH21">
        <f t="shared" si="37"/>
        <v>0.17558238747187369</v>
      </c>
      <c r="BI21" t="e">
        <f t="shared" si="38"/>
        <v>#DIV/0!</v>
      </c>
      <c r="BJ21">
        <v>5023</v>
      </c>
      <c r="BK21">
        <v>300</v>
      </c>
      <c r="BL21">
        <v>300</v>
      </c>
      <c r="BM21">
        <v>300</v>
      </c>
      <c r="BN21">
        <v>9859.4500000000007</v>
      </c>
      <c r="BO21">
        <v>304.05700000000002</v>
      </c>
      <c r="BP21">
        <v>-6.3934500000000002E-3</v>
      </c>
      <c r="BQ21">
        <v>1.07687</v>
      </c>
      <c r="BR21">
        <f t="shared" si="39"/>
        <v>2199.9983870967699</v>
      </c>
      <c r="BS21">
        <f t="shared" si="40"/>
        <v>1849.1839448703488</v>
      </c>
      <c r="BT21">
        <f t="shared" si="41"/>
        <v>0.84053877299002311</v>
      </c>
      <c r="BU21">
        <f t="shared" si="42"/>
        <v>0.19107754598004661</v>
      </c>
      <c r="BV21">
        <v>0.5</v>
      </c>
      <c r="BW21" t="s">
        <v>281</v>
      </c>
      <c r="BX21">
        <v>1595010537.0999999</v>
      </c>
      <c r="BY21">
        <v>49.384029032258098</v>
      </c>
      <c r="BZ21">
        <v>50.035212903225798</v>
      </c>
      <c r="CA21">
        <v>20.863941935483901</v>
      </c>
      <c r="CB21">
        <v>15.8104451612903</v>
      </c>
      <c r="CC21">
        <v>500.04809677419399</v>
      </c>
      <c r="CD21">
        <v>99.604858064516094</v>
      </c>
      <c r="CE21">
        <v>0.19999932258064501</v>
      </c>
      <c r="CF21">
        <v>27.861470967741901</v>
      </c>
      <c r="CG21">
        <v>26.9845419354839</v>
      </c>
      <c r="CH21">
        <v>999.9</v>
      </c>
      <c r="CI21">
        <v>10001.131290322601</v>
      </c>
      <c r="CJ21">
        <v>0</v>
      </c>
      <c r="CK21">
        <v>160.88825806451601</v>
      </c>
      <c r="CL21">
        <v>2199.9983870967699</v>
      </c>
      <c r="CM21">
        <v>0.98200083870967703</v>
      </c>
      <c r="CN21">
        <v>1.7999419354838699E-2</v>
      </c>
      <c r="CO21">
        <v>0</v>
      </c>
      <c r="CP21">
        <v>264.224548387097</v>
      </c>
      <c r="CQ21">
        <v>5.00054</v>
      </c>
      <c r="CR21">
        <v>7438.8</v>
      </c>
      <c r="CS21">
        <v>20590.5193548387</v>
      </c>
      <c r="CT21">
        <v>51.280032258064502</v>
      </c>
      <c r="CU21">
        <v>53.512</v>
      </c>
      <c r="CV21">
        <v>51.661000000000001</v>
      </c>
      <c r="CW21">
        <v>52.370741935483899</v>
      </c>
      <c r="CX21">
        <v>52.52</v>
      </c>
      <c r="CY21">
        <v>2155.4883870967701</v>
      </c>
      <c r="CZ21">
        <v>39.51</v>
      </c>
      <c r="DA21">
        <v>0</v>
      </c>
      <c r="DB21">
        <v>120.10000014305101</v>
      </c>
      <c r="DC21">
        <v>264.16896000000003</v>
      </c>
      <c r="DD21">
        <v>-0.82661538264755297</v>
      </c>
      <c r="DE21">
        <v>-3253.7415380935299</v>
      </c>
      <c r="DF21">
        <v>7399.3195999999998</v>
      </c>
      <c r="DG21">
        <v>15</v>
      </c>
      <c r="DH21">
        <v>1595010576.5999999</v>
      </c>
      <c r="DI21" t="s">
        <v>307</v>
      </c>
      <c r="DJ21">
        <v>75</v>
      </c>
      <c r="DK21">
        <v>-0.41499999999999998</v>
      </c>
      <c r="DL21">
        <v>9.2999999999999999E-2</v>
      </c>
      <c r="DM21">
        <v>50</v>
      </c>
      <c r="DN21">
        <v>16</v>
      </c>
      <c r="DO21">
        <v>0.47</v>
      </c>
      <c r="DP21">
        <v>0.02</v>
      </c>
      <c r="DQ21">
        <v>49.4172431372549</v>
      </c>
      <c r="DR21">
        <v>9.1769049773758105E-2</v>
      </c>
      <c r="DS21">
        <v>1.8019665237059002E-2</v>
      </c>
      <c r="DT21">
        <v>1</v>
      </c>
      <c r="DU21">
        <v>20.876541176470599</v>
      </c>
      <c r="DV21">
        <v>-0.10174045248868401</v>
      </c>
      <c r="DW21">
        <v>1.7434270695797598E-2</v>
      </c>
      <c r="DX21">
        <v>1</v>
      </c>
      <c r="DY21">
        <v>2</v>
      </c>
      <c r="DZ21">
        <v>2</v>
      </c>
      <c r="EA21" t="s">
        <v>283</v>
      </c>
      <c r="EB21">
        <v>1.86669</v>
      </c>
      <c r="EC21">
        <v>1.86313</v>
      </c>
      <c r="ED21">
        <v>1.8688100000000001</v>
      </c>
      <c r="EE21">
        <v>1.86676</v>
      </c>
      <c r="EF21">
        <v>1.8714500000000001</v>
      </c>
      <c r="EG21">
        <v>1.8638699999999999</v>
      </c>
      <c r="EH21">
        <v>1.8653900000000001</v>
      </c>
      <c r="EI21">
        <v>1.8653500000000001</v>
      </c>
      <c r="EJ21" t="s">
        <v>284</v>
      </c>
      <c r="EK21" t="s">
        <v>19</v>
      </c>
      <c r="EL21" t="s">
        <v>19</v>
      </c>
      <c r="EM21" t="s">
        <v>19</v>
      </c>
      <c r="EN21" t="s">
        <v>285</v>
      </c>
      <c r="EO21" t="s">
        <v>286</v>
      </c>
      <c r="EP21" t="s">
        <v>287</v>
      </c>
      <c r="EQ21" t="s">
        <v>287</v>
      </c>
      <c r="ER21" t="s">
        <v>287</v>
      </c>
      <c r="ES21" t="s">
        <v>287</v>
      </c>
      <c r="ET21">
        <v>0</v>
      </c>
      <c r="EU21">
        <v>100</v>
      </c>
      <c r="EV21">
        <v>100</v>
      </c>
      <c r="EW21">
        <v>-0.41499999999999998</v>
      </c>
      <c r="EX21">
        <v>9.2999999999999999E-2</v>
      </c>
      <c r="EY21">
        <v>2</v>
      </c>
      <c r="EZ21">
        <v>320.19299999999998</v>
      </c>
      <c r="FA21">
        <v>451.73599999999999</v>
      </c>
      <c r="FB21">
        <v>21.992000000000001</v>
      </c>
      <c r="FC21">
        <v>38.2029</v>
      </c>
      <c r="FD21">
        <v>30.001000000000001</v>
      </c>
      <c r="FE21">
        <v>38.113900000000001</v>
      </c>
      <c r="FF21">
        <v>38.105699999999999</v>
      </c>
      <c r="FG21">
        <v>5.4882799999999996</v>
      </c>
      <c r="FH21">
        <v>57.211100000000002</v>
      </c>
      <c r="FI21">
        <v>0</v>
      </c>
      <c r="FJ21">
        <v>22.0718</v>
      </c>
      <c r="FK21">
        <v>50</v>
      </c>
      <c r="FL21">
        <v>15.7462</v>
      </c>
      <c r="FM21">
        <v>99.985299999999995</v>
      </c>
      <c r="FN21">
        <v>100.283</v>
      </c>
    </row>
    <row r="22" spans="1:170" x14ac:dyDescent="0.25">
      <c r="A22">
        <v>6</v>
      </c>
      <c r="B22">
        <v>1595010698.0999999</v>
      </c>
      <c r="C22">
        <v>659.09999990463302</v>
      </c>
      <c r="D22" t="s">
        <v>308</v>
      </c>
      <c r="E22" t="s">
        <v>309</v>
      </c>
      <c r="G22">
        <v>1595010690.0999999</v>
      </c>
      <c r="H22">
        <f t="shared" si="0"/>
        <v>1.2075796946782423E-2</v>
      </c>
      <c r="I22">
        <f t="shared" si="1"/>
        <v>37.830707367166184</v>
      </c>
      <c r="J22">
        <f t="shared" si="2"/>
        <v>383.03119354838702</v>
      </c>
      <c r="K22">
        <f t="shared" si="3"/>
        <v>300.1443248786257</v>
      </c>
      <c r="L22">
        <f t="shared" si="4"/>
        <v>29.956443064846102</v>
      </c>
      <c r="M22">
        <f t="shared" si="5"/>
        <v>38.229115763665817</v>
      </c>
      <c r="N22">
        <f t="shared" si="6"/>
        <v>0.91251700943038994</v>
      </c>
      <c r="O22">
        <f t="shared" si="7"/>
        <v>3.3936843011886091</v>
      </c>
      <c r="P22">
        <f t="shared" si="8"/>
        <v>0.79502298771082602</v>
      </c>
      <c r="Q22">
        <f t="shared" si="9"/>
        <v>0.50617971773182791</v>
      </c>
      <c r="R22">
        <f t="shared" si="10"/>
        <v>353.34292562585398</v>
      </c>
      <c r="S22">
        <f t="shared" si="11"/>
        <v>27.275717742096838</v>
      </c>
      <c r="T22">
        <f t="shared" si="12"/>
        <v>26.986290322580601</v>
      </c>
      <c r="U22">
        <f t="shared" si="13"/>
        <v>3.5762787542495773</v>
      </c>
      <c r="V22">
        <f t="shared" si="14"/>
        <v>54.799454997898366</v>
      </c>
      <c r="W22">
        <f t="shared" si="15"/>
        <v>2.1034243384168141</v>
      </c>
      <c r="X22">
        <f t="shared" si="16"/>
        <v>3.8384037551057459</v>
      </c>
      <c r="Y22">
        <f t="shared" si="17"/>
        <v>1.4728544158327632</v>
      </c>
      <c r="Z22">
        <f t="shared" si="18"/>
        <v>-532.54264535310483</v>
      </c>
      <c r="AA22">
        <f t="shared" si="19"/>
        <v>221.31823172474191</v>
      </c>
      <c r="AB22">
        <f t="shared" si="20"/>
        <v>14.157518615537558</v>
      </c>
      <c r="AC22">
        <f t="shared" si="21"/>
        <v>56.276030613028638</v>
      </c>
      <c r="AD22">
        <v>-4.1349883515038301E-2</v>
      </c>
      <c r="AE22">
        <v>4.6418866694381299E-2</v>
      </c>
      <c r="AF22">
        <v>3.4662461018599999</v>
      </c>
      <c r="AG22">
        <v>160</v>
      </c>
      <c r="AH22">
        <v>32</v>
      </c>
      <c r="AI22">
        <f t="shared" si="22"/>
        <v>1</v>
      </c>
      <c r="AJ22">
        <f t="shared" si="23"/>
        <v>0</v>
      </c>
      <c r="AK22">
        <f t="shared" si="24"/>
        <v>52515.914819085556</v>
      </c>
      <c r="AL22">
        <v>0</v>
      </c>
      <c r="AM22">
        <v>0</v>
      </c>
      <c r="AN22">
        <v>0</v>
      </c>
      <c r="AO22">
        <f t="shared" si="25"/>
        <v>0</v>
      </c>
      <c r="AP22" t="e">
        <f t="shared" si="26"/>
        <v>#DIV/0!</v>
      </c>
      <c r="AQ22">
        <v>-1</v>
      </c>
      <c r="AR22" t="s">
        <v>310</v>
      </c>
      <c r="AS22">
        <v>256.55187999999998</v>
      </c>
      <c r="AT22">
        <v>353.08600000000001</v>
      </c>
      <c r="AU22">
        <f t="shared" si="27"/>
        <v>0.27340115439298085</v>
      </c>
      <c r="AV22">
        <v>0.5</v>
      </c>
      <c r="AW22">
        <f t="shared" si="28"/>
        <v>1849.2101997090072</v>
      </c>
      <c r="AX22">
        <f t="shared" si="29"/>
        <v>37.830707367166184</v>
      </c>
      <c r="AY22">
        <f t="shared" si="30"/>
        <v>252.78810165785862</v>
      </c>
      <c r="AZ22">
        <f t="shared" si="31"/>
        <v>0.4976294727063662</v>
      </c>
      <c r="BA22">
        <f t="shared" si="32"/>
        <v>2.0998536225506764E-2</v>
      </c>
      <c r="BB22">
        <f t="shared" si="33"/>
        <v>-1</v>
      </c>
      <c r="BC22" t="s">
        <v>311</v>
      </c>
      <c r="BD22">
        <v>177.38</v>
      </c>
      <c r="BE22">
        <f t="shared" si="34"/>
        <v>175.70600000000002</v>
      </c>
      <c r="BF22">
        <f t="shared" si="35"/>
        <v>0.54940707773212083</v>
      </c>
      <c r="BG22">
        <f t="shared" si="36"/>
        <v>1.9905626338933364</v>
      </c>
      <c r="BH22">
        <f t="shared" si="37"/>
        <v>0.27340115439298079</v>
      </c>
      <c r="BI22" t="e">
        <f t="shared" si="38"/>
        <v>#DIV/0!</v>
      </c>
      <c r="BJ22">
        <v>5025</v>
      </c>
      <c r="BK22">
        <v>300</v>
      </c>
      <c r="BL22">
        <v>300</v>
      </c>
      <c r="BM22">
        <v>300</v>
      </c>
      <c r="BN22">
        <v>9860.7800000000007</v>
      </c>
      <c r="BO22">
        <v>323.541</v>
      </c>
      <c r="BP22">
        <v>-6.3943400000000001E-3</v>
      </c>
      <c r="BQ22">
        <v>1.1107499999999999</v>
      </c>
      <c r="BR22">
        <f t="shared" si="39"/>
        <v>2200.0293548387099</v>
      </c>
      <c r="BS22">
        <f t="shared" si="40"/>
        <v>1849.2101997090072</v>
      </c>
      <c r="BT22">
        <f t="shared" si="41"/>
        <v>0.84053887537540506</v>
      </c>
      <c r="BU22">
        <f t="shared" si="42"/>
        <v>0.1910777507508104</v>
      </c>
      <c r="BV22">
        <v>0.5</v>
      </c>
      <c r="BW22" t="s">
        <v>281</v>
      </c>
      <c r="BX22">
        <v>1595010690.0999999</v>
      </c>
      <c r="BY22">
        <v>383.03119354838702</v>
      </c>
      <c r="BZ22">
        <v>400.01180645161298</v>
      </c>
      <c r="CA22">
        <v>21.074961290322602</v>
      </c>
      <c r="CB22">
        <v>16.346951612903201</v>
      </c>
      <c r="CC22">
        <v>500.05396774193503</v>
      </c>
      <c r="CD22">
        <v>99.606835483870995</v>
      </c>
      <c r="CE22">
        <v>0.19995938709677399</v>
      </c>
      <c r="CF22">
        <v>28.195941935483901</v>
      </c>
      <c r="CG22">
        <v>26.986290322580601</v>
      </c>
      <c r="CH22">
        <v>999.9</v>
      </c>
      <c r="CI22">
        <v>10011.085483871</v>
      </c>
      <c r="CJ22">
        <v>0</v>
      </c>
      <c r="CK22">
        <v>180.49301612903199</v>
      </c>
      <c r="CL22">
        <v>2200.0293548387099</v>
      </c>
      <c r="CM22">
        <v>0.98199767741935495</v>
      </c>
      <c r="CN22">
        <v>1.80026032258064E-2</v>
      </c>
      <c r="CO22">
        <v>0</v>
      </c>
      <c r="CP22">
        <v>256.51693548387101</v>
      </c>
      <c r="CQ22">
        <v>5.00054</v>
      </c>
      <c r="CR22">
        <v>7836.2893548387101</v>
      </c>
      <c r="CS22">
        <v>20590.787096774198</v>
      </c>
      <c r="CT22">
        <v>51.024000000000001</v>
      </c>
      <c r="CU22">
        <v>53.1429677419355</v>
      </c>
      <c r="CV22">
        <v>51.4695161290323</v>
      </c>
      <c r="CW22">
        <v>51.919129032258098</v>
      </c>
      <c r="CX22">
        <v>52.364709677419299</v>
      </c>
      <c r="CY22">
        <v>2155.51129032258</v>
      </c>
      <c r="CZ22">
        <v>39.518064516129002</v>
      </c>
      <c r="DA22">
        <v>0</v>
      </c>
      <c r="DB22">
        <v>152.200000047684</v>
      </c>
      <c r="DC22">
        <v>256.55187999999998</v>
      </c>
      <c r="DD22">
        <v>0.48446153426746003</v>
      </c>
      <c r="DE22">
        <v>6761.7015383107801</v>
      </c>
      <c r="DF22">
        <v>7890.9791999999998</v>
      </c>
      <c r="DG22">
        <v>15</v>
      </c>
      <c r="DH22">
        <v>1595010731.5999999</v>
      </c>
      <c r="DI22" t="s">
        <v>312</v>
      </c>
      <c r="DJ22">
        <v>76</v>
      </c>
      <c r="DK22">
        <v>-0.42</v>
      </c>
      <c r="DL22">
        <v>0.1</v>
      </c>
      <c r="DM22">
        <v>400</v>
      </c>
      <c r="DN22">
        <v>16</v>
      </c>
      <c r="DO22">
        <v>0.13</v>
      </c>
      <c r="DP22">
        <v>0.02</v>
      </c>
      <c r="DQ22">
        <v>383.065607843137</v>
      </c>
      <c r="DR22">
        <v>-0.363714027149317</v>
      </c>
      <c r="DS22">
        <v>4.6360090354754302E-2</v>
      </c>
      <c r="DT22">
        <v>0</v>
      </c>
      <c r="DU22">
        <v>21.0319509803922</v>
      </c>
      <c r="DV22">
        <v>0.40250389140271198</v>
      </c>
      <c r="DW22">
        <v>5.0099021056339101E-2</v>
      </c>
      <c r="DX22">
        <v>0</v>
      </c>
      <c r="DY22">
        <v>0</v>
      </c>
      <c r="DZ22">
        <v>2</v>
      </c>
      <c r="EA22" t="s">
        <v>313</v>
      </c>
      <c r="EB22">
        <v>1.86676</v>
      </c>
      <c r="EC22">
        <v>1.8632500000000001</v>
      </c>
      <c r="ED22">
        <v>1.8689</v>
      </c>
      <c r="EE22">
        <v>1.8668199999999999</v>
      </c>
      <c r="EF22">
        <v>1.8714900000000001</v>
      </c>
      <c r="EG22">
        <v>1.86399</v>
      </c>
      <c r="EH22">
        <v>1.8655200000000001</v>
      </c>
      <c r="EI22">
        <v>1.8653999999999999</v>
      </c>
      <c r="EJ22" t="s">
        <v>284</v>
      </c>
      <c r="EK22" t="s">
        <v>19</v>
      </c>
      <c r="EL22" t="s">
        <v>19</v>
      </c>
      <c r="EM22" t="s">
        <v>19</v>
      </c>
      <c r="EN22" t="s">
        <v>285</v>
      </c>
      <c r="EO22" t="s">
        <v>286</v>
      </c>
      <c r="EP22" t="s">
        <v>287</v>
      </c>
      <c r="EQ22" t="s">
        <v>287</v>
      </c>
      <c r="ER22" t="s">
        <v>287</v>
      </c>
      <c r="ES22" t="s">
        <v>287</v>
      </c>
      <c r="ET22">
        <v>0</v>
      </c>
      <c r="EU22">
        <v>100</v>
      </c>
      <c r="EV22">
        <v>100</v>
      </c>
      <c r="EW22">
        <v>-0.42</v>
      </c>
      <c r="EX22">
        <v>0.1</v>
      </c>
      <c r="EY22">
        <v>2</v>
      </c>
      <c r="EZ22">
        <v>321.42700000000002</v>
      </c>
      <c r="FA22">
        <v>453.983</v>
      </c>
      <c r="FB22">
        <v>23.202500000000001</v>
      </c>
      <c r="FC22">
        <v>38.104599999999998</v>
      </c>
      <c r="FD22">
        <v>29.9971</v>
      </c>
      <c r="FE22">
        <v>38.137599999999999</v>
      </c>
      <c r="FF22">
        <v>38.1267</v>
      </c>
      <c r="FG22">
        <v>21.969899999999999</v>
      </c>
      <c r="FH22">
        <v>55.603700000000003</v>
      </c>
      <c r="FI22">
        <v>0</v>
      </c>
      <c r="FJ22">
        <v>23.232600000000001</v>
      </c>
      <c r="FK22">
        <v>400</v>
      </c>
      <c r="FL22">
        <v>16.434999999999999</v>
      </c>
      <c r="FM22">
        <v>100.003</v>
      </c>
      <c r="FN22">
        <v>100.31699999999999</v>
      </c>
    </row>
    <row r="23" spans="1:170" x14ac:dyDescent="0.25">
      <c r="A23">
        <v>7</v>
      </c>
      <c r="B23">
        <v>1595010823.0999999</v>
      </c>
      <c r="C23">
        <v>784.09999990463302</v>
      </c>
      <c r="D23" t="s">
        <v>314</v>
      </c>
      <c r="E23" t="s">
        <v>315</v>
      </c>
      <c r="G23">
        <v>1595010815.0999999</v>
      </c>
      <c r="H23">
        <f t="shared" si="0"/>
        <v>1.1616749639885989E-2</v>
      </c>
      <c r="I23">
        <f t="shared" si="1"/>
        <v>39.375056957023205</v>
      </c>
      <c r="J23">
        <f t="shared" si="2"/>
        <v>382.49051612903202</v>
      </c>
      <c r="K23">
        <f t="shared" si="3"/>
        <v>292.04383538458012</v>
      </c>
      <c r="L23">
        <f t="shared" si="4"/>
        <v>29.148200041778274</v>
      </c>
      <c r="M23">
        <f t="shared" si="5"/>
        <v>38.175467951687871</v>
      </c>
      <c r="N23">
        <f t="shared" si="6"/>
        <v>0.85710493536828369</v>
      </c>
      <c r="O23">
        <f t="shared" si="7"/>
        <v>3.3918407891702658</v>
      </c>
      <c r="P23">
        <f t="shared" si="8"/>
        <v>0.75252684872986142</v>
      </c>
      <c r="Q23">
        <f t="shared" si="9"/>
        <v>0.47865775662748222</v>
      </c>
      <c r="R23">
        <f t="shared" si="10"/>
        <v>353.33438974681883</v>
      </c>
      <c r="S23">
        <f t="shared" si="11"/>
        <v>27.173593302740571</v>
      </c>
      <c r="T23">
        <f t="shared" si="12"/>
        <v>27.104451612903201</v>
      </c>
      <c r="U23">
        <f t="shared" si="13"/>
        <v>3.6011756501741088</v>
      </c>
      <c r="V23">
        <f t="shared" si="14"/>
        <v>55.487479355401646</v>
      </c>
      <c r="W23">
        <f t="shared" si="15"/>
        <v>2.1044855150264636</v>
      </c>
      <c r="X23">
        <f t="shared" si="16"/>
        <v>3.7927214201731334</v>
      </c>
      <c r="Y23">
        <f t="shared" si="17"/>
        <v>1.4966901351476452</v>
      </c>
      <c r="Z23">
        <f t="shared" si="18"/>
        <v>-512.29865911897207</v>
      </c>
      <c r="AA23">
        <f t="shared" si="19"/>
        <v>162.00946680898591</v>
      </c>
      <c r="AB23">
        <f t="shared" si="20"/>
        <v>10.36468653781216</v>
      </c>
      <c r="AC23">
        <f t="shared" si="21"/>
        <v>13.409883974644799</v>
      </c>
      <c r="AD23">
        <v>-4.1321333165680901E-2</v>
      </c>
      <c r="AE23">
        <v>4.6386816426079697E-2</v>
      </c>
      <c r="AF23">
        <v>3.4643524889808299</v>
      </c>
      <c r="AG23">
        <v>159</v>
      </c>
      <c r="AH23">
        <v>32</v>
      </c>
      <c r="AI23">
        <f t="shared" si="22"/>
        <v>1</v>
      </c>
      <c r="AJ23">
        <f t="shared" si="23"/>
        <v>0</v>
      </c>
      <c r="AK23">
        <f t="shared" si="24"/>
        <v>52516.994952154164</v>
      </c>
      <c r="AL23">
        <v>0</v>
      </c>
      <c r="AM23">
        <v>0</v>
      </c>
      <c r="AN23">
        <v>0</v>
      </c>
      <c r="AO23">
        <f t="shared" si="25"/>
        <v>0</v>
      </c>
      <c r="AP23" t="e">
        <f t="shared" si="26"/>
        <v>#DIV/0!</v>
      </c>
      <c r="AQ23">
        <v>-1</v>
      </c>
      <c r="AR23" t="s">
        <v>316</v>
      </c>
      <c r="AS23">
        <v>257.19384000000002</v>
      </c>
      <c r="AT23">
        <v>364.70600000000002</v>
      </c>
      <c r="AU23">
        <f t="shared" si="27"/>
        <v>0.29479131135764147</v>
      </c>
      <c r="AV23">
        <v>0.5</v>
      </c>
      <c r="AW23">
        <f t="shared" si="28"/>
        <v>1849.1674158380924</v>
      </c>
      <c r="AX23">
        <f t="shared" si="29"/>
        <v>39.375056957023205</v>
      </c>
      <c r="AY23">
        <f t="shared" si="30"/>
        <v>272.5592437173662</v>
      </c>
      <c r="AZ23">
        <f t="shared" si="31"/>
        <v>0.50886467455978246</v>
      </c>
      <c r="BA23">
        <f t="shared" si="32"/>
        <v>2.1834181486874264E-2</v>
      </c>
      <c r="BB23">
        <f t="shared" si="33"/>
        <v>-1</v>
      </c>
      <c r="BC23" t="s">
        <v>317</v>
      </c>
      <c r="BD23">
        <v>179.12</v>
      </c>
      <c r="BE23">
        <f t="shared" si="34"/>
        <v>185.58600000000001</v>
      </c>
      <c r="BF23">
        <f t="shared" si="35"/>
        <v>0.57931180153675377</v>
      </c>
      <c r="BG23">
        <f t="shared" si="36"/>
        <v>2.0360987047789192</v>
      </c>
      <c r="BH23">
        <f t="shared" si="37"/>
        <v>0.29479131135764147</v>
      </c>
      <c r="BI23" t="e">
        <f t="shared" si="38"/>
        <v>#DIV/0!</v>
      </c>
      <c r="BJ23">
        <v>5027</v>
      </c>
      <c r="BK23">
        <v>300</v>
      </c>
      <c r="BL23">
        <v>300</v>
      </c>
      <c r="BM23">
        <v>300</v>
      </c>
      <c r="BN23">
        <v>9859.67</v>
      </c>
      <c r="BO23">
        <v>331.32600000000002</v>
      </c>
      <c r="BP23">
        <v>-6.3936699999999997E-3</v>
      </c>
      <c r="BQ23">
        <v>1.0658000000000001</v>
      </c>
      <c r="BR23">
        <f t="shared" si="39"/>
        <v>2199.9787096774198</v>
      </c>
      <c r="BS23">
        <f t="shared" si="40"/>
        <v>1849.1674158380924</v>
      </c>
      <c r="BT23">
        <f t="shared" si="41"/>
        <v>0.84053877780900599</v>
      </c>
      <c r="BU23">
        <f t="shared" si="42"/>
        <v>0.1910775556180121</v>
      </c>
      <c r="BV23">
        <v>0.5</v>
      </c>
      <c r="BW23" t="s">
        <v>281</v>
      </c>
      <c r="BX23">
        <v>1595010815.0999999</v>
      </c>
      <c r="BY23">
        <v>382.49051612903202</v>
      </c>
      <c r="BZ23">
        <v>400.01635483871001</v>
      </c>
      <c r="CA23">
        <v>21.085419354838699</v>
      </c>
      <c r="CB23">
        <v>16.537087096774201</v>
      </c>
      <c r="CC23">
        <v>500.04287096774198</v>
      </c>
      <c r="CD23">
        <v>99.607635483870993</v>
      </c>
      <c r="CE23">
        <v>0.19998416129032301</v>
      </c>
      <c r="CF23">
        <v>27.990422580645198</v>
      </c>
      <c r="CG23">
        <v>27.104451612903201</v>
      </c>
      <c r="CH23">
        <v>999.9</v>
      </c>
      <c r="CI23">
        <v>10004.092903225799</v>
      </c>
      <c r="CJ23">
        <v>0</v>
      </c>
      <c r="CK23">
        <v>313.18974193548399</v>
      </c>
      <c r="CL23">
        <v>2199.9787096774198</v>
      </c>
      <c r="CM23">
        <v>0.98199987096774199</v>
      </c>
      <c r="CN23">
        <v>1.8000435483871001E-2</v>
      </c>
      <c r="CO23">
        <v>0</v>
      </c>
      <c r="CP23">
        <v>257.16709677419402</v>
      </c>
      <c r="CQ23">
        <v>5.00054</v>
      </c>
      <c r="CR23">
        <v>8724.9606451612908</v>
      </c>
      <c r="CS23">
        <v>20590.3322580645</v>
      </c>
      <c r="CT23">
        <v>51.185129032258097</v>
      </c>
      <c r="CU23">
        <v>53.273935483871</v>
      </c>
      <c r="CV23">
        <v>51.584387096774201</v>
      </c>
      <c r="CW23">
        <v>52.102645161290297</v>
      </c>
      <c r="CX23">
        <v>52.427193548387102</v>
      </c>
      <c r="CY23">
        <v>2155.4687096774201</v>
      </c>
      <c r="CZ23">
        <v>39.51</v>
      </c>
      <c r="DA23">
        <v>0</v>
      </c>
      <c r="DB23">
        <v>124.40000009536701</v>
      </c>
      <c r="DC23">
        <v>257.19384000000002</v>
      </c>
      <c r="DD23">
        <v>-9.9998629000960597E-4</v>
      </c>
      <c r="DE23">
        <v>-37.943076900687203</v>
      </c>
      <c r="DF23">
        <v>8724.4928</v>
      </c>
      <c r="DG23">
        <v>15</v>
      </c>
      <c r="DH23">
        <v>1595010855.0999999</v>
      </c>
      <c r="DI23" t="s">
        <v>318</v>
      </c>
      <c r="DJ23">
        <v>77</v>
      </c>
      <c r="DK23">
        <v>-0.438</v>
      </c>
      <c r="DL23">
        <v>0.10299999999999999</v>
      </c>
      <c r="DM23">
        <v>400</v>
      </c>
      <c r="DN23">
        <v>17</v>
      </c>
      <c r="DO23">
        <v>0.26</v>
      </c>
      <c r="DP23">
        <v>0.02</v>
      </c>
      <c r="DQ23">
        <v>382.51747058823503</v>
      </c>
      <c r="DR23">
        <v>-0.117350226244365</v>
      </c>
      <c r="DS23">
        <v>2.1943200243102999E-2</v>
      </c>
      <c r="DT23">
        <v>1</v>
      </c>
      <c r="DU23">
        <v>21.092905882352898</v>
      </c>
      <c r="DV23">
        <v>-0.12170389140271499</v>
      </c>
      <c r="DW23">
        <v>1.50390134710439E-2</v>
      </c>
      <c r="DX23">
        <v>1</v>
      </c>
      <c r="DY23">
        <v>2</v>
      </c>
      <c r="DZ23">
        <v>2</v>
      </c>
      <c r="EA23" t="s">
        <v>283</v>
      </c>
      <c r="EB23">
        <v>1.8666199999999999</v>
      </c>
      <c r="EC23">
        <v>1.86317</v>
      </c>
      <c r="ED23">
        <v>1.8688100000000001</v>
      </c>
      <c r="EE23">
        <v>1.86676</v>
      </c>
      <c r="EF23">
        <v>1.8714299999999999</v>
      </c>
      <c r="EG23">
        <v>1.8638699999999999</v>
      </c>
      <c r="EH23">
        <v>1.8653900000000001</v>
      </c>
      <c r="EI23">
        <v>1.8653299999999999</v>
      </c>
      <c r="EJ23" t="s">
        <v>284</v>
      </c>
      <c r="EK23" t="s">
        <v>19</v>
      </c>
      <c r="EL23" t="s">
        <v>19</v>
      </c>
      <c r="EM23" t="s">
        <v>19</v>
      </c>
      <c r="EN23" t="s">
        <v>285</v>
      </c>
      <c r="EO23" t="s">
        <v>286</v>
      </c>
      <c r="EP23" t="s">
        <v>287</v>
      </c>
      <c r="EQ23" t="s">
        <v>287</v>
      </c>
      <c r="ER23" t="s">
        <v>287</v>
      </c>
      <c r="ES23" t="s">
        <v>287</v>
      </c>
      <c r="ET23">
        <v>0</v>
      </c>
      <c r="EU23">
        <v>100</v>
      </c>
      <c r="EV23">
        <v>100</v>
      </c>
      <c r="EW23">
        <v>-0.438</v>
      </c>
      <c r="EX23">
        <v>0.10299999999999999</v>
      </c>
      <c r="EY23">
        <v>2</v>
      </c>
      <c r="EZ23">
        <v>322.41800000000001</v>
      </c>
      <c r="FA23">
        <v>455.23200000000003</v>
      </c>
      <c r="FB23">
        <v>21.6891</v>
      </c>
      <c r="FC23">
        <v>37.904899999999998</v>
      </c>
      <c r="FD23">
        <v>29.9999</v>
      </c>
      <c r="FE23">
        <v>38.012599999999999</v>
      </c>
      <c r="FF23">
        <v>38.023200000000003</v>
      </c>
      <c r="FG23">
        <v>21.9618</v>
      </c>
      <c r="FH23">
        <v>55.554299999999998</v>
      </c>
      <c r="FI23">
        <v>0</v>
      </c>
      <c r="FJ23">
        <v>20.667400000000001</v>
      </c>
      <c r="FK23">
        <v>400</v>
      </c>
      <c r="FL23">
        <v>16.400600000000001</v>
      </c>
      <c r="FM23">
        <v>100.033</v>
      </c>
      <c r="FN23">
        <v>100.35299999999999</v>
      </c>
    </row>
    <row r="24" spans="1:170" x14ac:dyDescent="0.25">
      <c r="A24">
        <v>8</v>
      </c>
      <c r="B24">
        <v>1595010962.5999999</v>
      </c>
      <c r="C24">
        <v>923.59999990463302</v>
      </c>
      <c r="D24" t="s">
        <v>319</v>
      </c>
      <c r="E24" t="s">
        <v>320</v>
      </c>
      <c r="G24">
        <v>1595010954.5999999</v>
      </c>
      <c r="H24">
        <f t="shared" si="0"/>
        <v>1.1261435412600385E-2</v>
      </c>
      <c r="I24">
        <f t="shared" si="1"/>
        <v>44.974716317617165</v>
      </c>
      <c r="J24">
        <f t="shared" si="2"/>
        <v>479.86103225806499</v>
      </c>
      <c r="K24">
        <f t="shared" si="3"/>
        <v>370.49131450455616</v>
      </c>
      <c r="L24">
        <f t="shared" si="4"/>
        <v>36.973706398400822</v>
      </c>
      <c r="M24">
        <f t="shared" si="5"/>
        <v>47.888412559601456</v>
      </c>
      <c r="N24">
        <f t="shared" si="6"/>
        <v>0.81005262936345213</v>
      </c>
      <c r="O24">
        <f t="shared" si="7"/>
        <v>3.3900772557978374</v>
      </c>
      <c r="P24">
        <f t="shared" si="8"/>
        <v>0.71592652973896542</v>
      </c>
      <c r="Q24">
        <f t="shared" si="9"/>
        <v>0.45499623986668702</v>
      </c>
      <c r="R24">
        <f t="shared" si="10"/>
        <v>353.33150666052768</v>
      </c>
      <c r="S24">
        <f t="shared" si="11"/>
        <v>26.813584978631127</v>
      </c>
      <c r="T24">
        <f t="shared" si="12"/>
        <v>26.9472548387097</v>
      </c>
      <c r="U24">
        <f t="shared" si="13"/>
        <v>3.568086959267522</v>
      </c>
      <c r="V24">
        <f t="shared" si="14"/>
        <v>55.252710250912898</v>
      </c>
      <c r="W24">
        <f t="shared" si="15"/>
        <v>2.0424280352461914</v>
      </c>
      <c r="X24">
        <f t="shared" si="16"/>
        <v>3.6965209959315</v>
      </c>
      <c r="Y24">
        <f t="shared" si="17"/>
        <v>1.5256589240213305</v>
      </c>
      <c r="Z24">
        <f t="shared" si="18"/>
        <v>-496.62930169567699</v>
      </c>
      <c r="AA24">
        <f t="shared" si="19"/>
        <v>110.24671598175703</v>
      </c>
      <c r="AB24">
        <f t="shared" si="20"/>
        <v>7.0357730031845023</v>
      </c>
      <c r="AC24">
        <f t="shared" si="21"/>
        <v>-26.015306050207784</v>
      </c>
      <c r="AD24">
        <v>-4.1294027988682903E-2</v>
      </c>
      <c r="AE24">
        <v>4.6356163972834499E-2</v>
      </c>
      <c r="AF24">
        <v>3.4625410398068999</v>
      </c>
      <c r="AG24">
        <v>160</v>
      </c>
      <c r="AH24">
        <v>32</v>
      </c>
      <c r="AI24">
        <f t="shared" si="22"/>
        <v>1</v>
      </c>
      <c r="AJ24">
        <f t="shared" si="23"/>
        <v>0</v>
      </c>
      <c r="AK24">
        <f t="shared" si="24"/>
        <v>52560.295825812573</v>
      </c>
      <c r="AL24">
        <v>0</v>
      </c>
      <c r="AM24">
        <v>0</v>
      </c>
      <c r="AN24">
        <v>0</v>
      </c>
      <c r="AO24">
        <f t="shared" si="25"/>
        <v>0</v>
      </c>
      <c r="AP24" t="e">
        <f t="shared" si="26"/>
        <v>#DIV/0!</v>
      </c>
      <c r="AQ24">
        <v>-1</v>
      </c>
      <c r="AR24" t="s">
        <v>321</v>
      </c>
      <c r="AS24">
        <v>260.69839999999999</v>
      </c>
      <c r="AT24">
        <v>370.12400000000002</v>
      </c>
      <c r="AU24">
        <f t="shared" si="27"/>
        <v>0.2956457835752343</v>
      </c>
      <c r="AV24">
        <v>0.5</v>
      </c>
      <c r="AW24">
        <f t="shared" si="28"/>
        <v>1849.1522416445409</v>
      </c>
      <c r="AX24">
        <f t="shared" si="29"/>
        <v>44.974716317617165</v>
      </c>
      <c r="AY24">
        <f t="shared" si="30"/>
        <v>273.34703171545067</v>
      </c>
      <c r="AZ24">
        <f t="shared" si="31"/>
        <v>0.51783726534891006</v>
      </c>
      <c r="BA24">
        <f t="shared" si="32"/>
        <v>2.4862591236257333E-2</v>
      </c>
      <c r="BB24">
        <f t="shared" si="33"/>
        <v>-1</v>
      </c>
      <c r="BC24" t="s">
        <v>322</v>
      </c>
      <c r="BD24">
        <v>178.46</v>
      </c>
      <c r="BE24">
        <f t="shared" si="34"/>
        <v>191.66400000000002</v>
      </c>
      <c r="BF24">
        <f t="shared" si="35"/>
        <v>0.57092411720510905</v>
      </c>
      <c r="BG24">
        <f t="shared" si="36"/>
        <v>2.073988568866973</v>
      </c>
      <c r="BH24">
        <f t="shared" si="37"/>
        <v>0.2956457835752343</v>
      </c>
      <c r="BI24" t="e">
        <f t="shared" si="38"/>
        <v>#DIV/0!</v>
      </c>
      <c r="BJ24">
        <v>5029</v>
      </c>
      <c r="BK24">
        <v>300</v>
      </c>
      <c r="BL24">
        <v>300</v>
      </c>
      <c r="BM24">
        <v>300</v>
      </c>
      <c r="BN24">
        <v>9858.49</v>
      </c>
      <c r="BO24">
        <v>339.601</v>
      </c>
      <c r="BP24">
        <v>-6.3926399999999998E-3</v>
      </c>
      <c r="BQ24">
        <v>2.3443000000000001</v>
      </c>
      <c r="BR24">
        <f t="shared" si="39"/>
        <v>2199.9606451612899</v>
      </c>
      <c r="BS24">
        <f t="shared" si="40"/>
        <v>1849.1522416445409</v>
      </c>
      <c r="BT24">
        <f t="shared" si="41"/>
        <v>0.840538782233066</v>
      </c>
      <c r="BU24">
        <f t="shared" si="42"/>
        <v>0.19107756446613222</v>
      </c>
      <c r="BV24">
        <v>0.5</v>
      </c>
      <c r="BW24" t="s">
        <v>281</v>
      </c>
      <c r="BX24">
        <v>1595010954.5999999</v>
      </c>
      <c r="BY24">
        <v>479.86103225806499</v>
      </c>
      <c r="BZ24">
        <v>500.01083870967699</v>
      </c>
      <c r="CA24">
        <v>20.4659451612903</v>
      </c>
      <c r="CB24">
        <v>16.0539225806452</v>
      </c>
      <c r="CC24">
        <v>500.04093548387101</v>
      </c>
      <c r="CD24">
        <v>99.596416129032306</v>
      </c>
      <c r="CE24">
        <v>0.20000270967741901</v>
      </c>
      <c r="CF24">
        <v>27.550467741935499</v>
      </c>
      <c r="CG24">
        <v>26.9472548387097</v>
      </c>
      <c r="CH24">
        <v>999.9</v>
      </c>
      <c r="CI24">
        <v>9998.6083870967796</v>
      </c>
      <c r="CJ24">
        <v>0</v>
      </c>
      <c r="CK24">
        <v>303.17019354838698</v>
      </c>
      <c r="CL24">
        <v>2199.9606451612899</v>
      </c>
      <c r="CM24">
        <v>0.98200129032258099</v>
      </c>
      <c r="CN24">
        <v>1.7998945161290299E-2</v>
      </c>
      <c r="CO24">
        <v>0</v>
      </c>
      <c r="CP24">
        <v>260.72590322580601</v>
      </c>
      <c r="CQ24">
        <v>5.00054</v>
      </c>
      <c r="CR24">
        <v>8748.6377419354794</v>
      </c>
      <c r="CS24">
        <v>20590.161290322601</v>
      </c>
      <c r="CT24">
        <v>51.600677419354803</v>
      </c>
      <c r="CU24">
        <v>53.858677419354798</v>
      </c>
      <c r="CV24">
        <v>52.03</v>
      </c>
      <c r="CW24">
        <v>52.588419354838699</v>
      </c>
      <c r="CX24">
        <v>52.782032258064497</v>
      </c>
      <c r="CY24">
        <v>2155.4506451612901</v>
      </c>
      <c r="CZ24">
        <v>39.51</v>
      </c>
      <c r="DA24">
        <v>0</v>
      </c>
      <c r="DB24">
        <v>139.200000047684</v>
      </c>
      <c r="DC24">
        <v>260.69839999999999</v>
      </c>
      <c r="DD24">
        <v>-1.6110000014306101</v>
      </c>
      <c r="DE24">
        <v>-51.8969230770998</v>
      </c>
      <c r="DF24">
        <v>8747.8371999999999</v>
      </c>
      <c r="DG24">
        <v>15</v>
      </c>
      <c r="DH24">
        <v>1595010989.0999999</v>
      </c>
      <c r="DI24" t="s">
        <v>323</v>
      </c>
      <c r="DJ24">
        <v>78</v>
      </c>
      <c r="DK24">
        <v>-0.44500000000000001</v>
      </c>
      <c r="DL24">
        <v>9.5000000000000001E-2</v>
      </c>
      <c r="DM24">
        <v>500</v>
      </c>
      <c r="DN24">
        <v>16</v>
      </c>
      <c r="DO24">
        <v>0.12</v>
      </c>
      <c r="DP24">
        <v>0.02</v>
      </c>
      <c r="DQ24">
        <v>479.839274509804</v>
      </c>
      <c r="DR24">
        <v>0.27335022624474897</v>
      </c>
      <c r="DS24">
        <v>3.7615223467687302E-2</v>
      </c>
      <c r="DT24">
        <v>1</v>
      </c>
      <c r="DU24">
        <v>20.4867568627451</v>
      </c>
      <c r="DV24">
        <v>-0.136158190045234</v>
      </c>
      <c r="DW24">
        <v>1.6775124614854801E-2</v>
      </c>
      <c r="DX24">
        <v>1</v>
      </c>
      <c r="DY24">
        <v>2</v>
      </c>
      <c r="DZ24">
        <v>2</v>
      </c>
      <c r="EA24" t="s">
        <v>283</v>
      </c>
      <c r="EB24">
        <v>1.8666199999999999</v>
      </c>
      <c r="EC24">
        <v>1.86314</v>
      </c>
      <c r="ED24">
        <v>1.8688100000000001</v>
      </c>
      <c r="EE24">
        <v>1.86676</v>
      </c>
      <c r="EF24">
        <v>1.87147</v>
      </c>
      <c r="EG24">
        <v>1.86388</v>
      </c>
      <c r="EH24">
        <v>1.8653900000000001</v>
      </c>
      <c r="EI24">
        <v>1.86534</v>
      </c>
      <c r="EJ24" t="s">
        <v>284</v>
      </c>
      <c r="EK24" t="s">
        <v>19</v>
      </c>
      <c r="EL24" t="s">
        <v>19</v>
      </c>
      <c r="EM24" t="s">
        <v>19</v>
      </c>
      <c r="EN24" t="s">
        <v>285</v>
      </c>
      <c r="EO24" t="s">
        <v>286</v>
      </c>
      <c r="EP24" t="s">
        <v>287</v>
      </c>
      <c r="EQ24" t="s">
        <v>287</v>
      </c>
      <c r="ER24" t="s">
        <v>287</v>
      </c>
      <c r="ES24" t="s">
        <v>287</v>
      </c>
      <c r="ET24">
        <v>0</v>
      </c>
      <c r="EU24">
        <v>100</v>
      </c>
      <c r="EV24">
        <v>100</v>
      </c>
      <c r="EW24">
        <v>-0.44500000000000001</v>
      </c>
      <c r="EX24">
        <v>9.5000000000000001E-2</v>
      </c>
      <c r="EY24">
        <v>2</v>
      </c>
      <c r="EZ24">
        <v>321.92</v>
      </c>
      <c r="FA24">
        <v>453.72899999999998</v>
      </c>
      <c r="FB24">
        <v>21.534500000000001</v>
      </c>
      <c r="FC24">
        <v>38.059100000000001</v>
      </c>
      <c r="FD24">
        <v>30.000699999999998</v>
      </c>
      <c r="FE24">
        <v>38.085000000000001</v>
      </c>
      <c r="FF24">
        <v>38.091700000000003</v>
      </c>
      <c r="FG24">
        <v>26.268899999999999</v>
      </c>
      <c r="FH24">
        <v>56.351399999999998</v>
      </c>
      <c r="FI24">
        <v>0</v>
      </c>
      <c r="FJ24">
        <v>21.813500000000001</v>
      </c>
      <c r="FK24">
        <v>500</v>
      </c>
      <c r="FL24">
        <v>16.0702</v>
      </c>
      <c r="FM24">
        <v>100.009</v>
      </c>
      <c r="FN24">
        <v>100.321</v>
      </c>
    </row>
    <row r="25" spans="1:170" x14ac:dyDescent="0.25">
      <c r="A25">
        <v>9</v>
      </c>
      <c r="B25">
        <v>1595011104.0999999</v>
      </c>
      <c r="C25">
        <v>1065.0999999046301</v>
      </c>
      <c r="D25" t="s">
        <v>324</v>
      </c>
      <c r="E25" t="s">
        <v>325</v>
      </c>
      <c r="G25">
        <v>1595011096.0999999</v>
      </c>
      <c r="H25">
        <f t="shared" si="0"/>
        <v>1.0656063528599971E-2</v>
      </c>
      <c r="I25">
        <f t="shared" si="1"/>
        <v>47.62545921683332</v>
      </c>
      <c r="J25">
        <f t="shared" si="2"/>
        <v>578.522903225807</v>
      </c>
      <c r="K25">
        <f t="shared" si="3"/>
        <v>450.94000287102739</v>
      </c>
      <c r="L25">
        <f t="shared" si="4"/>
        <v>44.998083937486236</v>
      </c>
      <c r="M25">
        <f t="shared" si="5"/>
        <v>57.729236690847721</v>
      </c>
      <c r="N25">
        <f t="shared" si="6"/>
        <v>0.73414635801501515</v>
      </c>
      <c r="O25">
        <f t="shared" si="7"/>
        <v>3.3898707146272171</v>
      </c>
      <c r="P25">
        <f t="shared" si="8"/>
        <v>0.65592084881793589</v>
      </c>
      <c r="Q25">
        <f t="shared" si="9"/>
        <v>0.41628204197425689</v>
      </c>
      <c r="R25">
        <f t="shared" si="10"/>
        <v>353.33539072864073</v>
      </c>
      <c r="S25">
        <f t="shared" si="11"/>
        <v>27.044975540223604</v>
      </c>
      <c r="T25">
        <f t="shared" si="12"/>
        <v>27.1666387096774</v>
      </c>
      <c r="U25">
        <f t="shared" si="13"/>
        <v>3.6143392964979437</v>
      </c>
      <c r="V25">
        <f t="shared" si="14"/>
        <v>54.860627857295476</v>
      </c>
      <c r="W25">
        <f t="shared" si="15"/>
        <v>2.0391218658966292</v>
      </c>
      <c r="X25">
        <f t="shared" si="16"/>
        <v>3.7169131042408634</v>
      </c>
      <c r="Y25">
        <f t="shared" si="17"/>
        <v>1.5752174306013145</v>
      </c>
      <c r="Z25">
        <f t="shared" si="18"/>
        <v>-469.93240161125874</v>
      </c>
      <c r="AA25">
        <f t="shared" si="19"/>
        <v>87.341423549840641</v>
      </c>
      <c r="AB25">
        <f t="shared" si="20"/>
        <v>5.583064850827836</v>
      </c>
      <c r="AC25">
        <f t="shared" si="21"/>
        <v>-23.672522481949528</v>
      </c>
      <c r="AD25">
        <v>-4.1290830484749401E-2</v>
      </c>
      <c r="AE25">
        <v>4.63525744945524E-2</v>
      </c>
      <c r="AF25">
        <v>3.4623288875771099</v>
      </c>
      <c r="AG25">
        <v>160</v>
      </c>
      <c r="AH25">
        <v>32</v>
      </c>
      <c r="AI25">
        <f t="shared" si="22"/>
        <v>1</v>
      </c>
      <c r="AJ25">
        <f t="shared" si="23"/>
        <v>0</v>
      </c>
      <c r="AK25">
        <f t="shared" si="24"/>
        <v>52539.748501247603</v>
      </c>
      <c r="AL25">
        <v>0</v>
      </c>
      <c r="AM25">
        <v>0</v>
      </c>
      <c r="AN25">
        <v>0</v>
      </c>
      <c r="AO25">
        <f t="shared" si="25"/>
        <v>0</v>
      </c>
      <c r="AP25" t="e">
        <f t="shared" si="26"/>
        <v>#DIV/0!</v>
      </c>
      <c r="AQ25">
        <v>-1</v>
      </c>
      <c r="AR25" t="s">
        <v>326</v>
      </c>
      <c r="AS25">
        <v>258.51267999999999</v>
      </c>
      <c r="AT25">
        <v>370.03800000000001</v>
      </c>
      <c r="AU25">
        <f t="shared" si="27"/>
        <v>0.30138883033634389</v>
      </c>
      <c r="AV25">
        <v>0.5</v>
      </c>
      <c r="AW25">
        <f t="shared" si="28"/>
        <v>1849.1752545478387</v>
      </c>
      <c r="AX25">
        <f t="shared" si="29"/>
        <v>47.62545921683332</v>
      </c>
      <c r="AY25">
        <f t="shared" si="30"/>
        <v>278.66038352754202</v>
      </c>
      <c r="AZ25">
        <f t="shared" si="31"/>
        <v>0.51761710959414975</v>
      </c>
      <c r="BA25">
        <f t="shared" si="32"/>
        <v>2.6295754876258737E-2</v>
      </c>
      <c r="BB25">
        <f t="shared" si="33"/>
        <v>-1</v>
      </c>
      <c r="BC25" t="s">
        <v>327</v>
      </c>
      <c r="BD25">
        <v>178.5</v>
      </c>
      <c r="BE25">
        <f t="shared" si="34"/>
        <v>191.53800000000001</v>
      </c>
      <c r="BF25">
        <f t="shared" si="35"/>
        <v>0.58226210986853788</v>
      </c>
      <c r="BG25">
        <f t="shared" si="36"/>
        <v>2.0730420168067227</v>
      </c>
      <c r="BH25">
        <f t="shared" si="37"/>
        <v>0.30138883033634389</v>
      </c>
      <c r="BI25" t="e">
        <f t="shared" si="38"/>
        <v>#DIV/0!</v>
      </c>
      <c r="BJ25">
        <v>5031</v>
      </c>
      <c r="BK25">
        <v>300</v>
      </c>
      <c r="BL25">
        <v>300</v>
      </c>
      <c r="BM25">
        <v>300</v>
      </c>
      <c r="BN25">
        <v>9857.2099999999991</v>
      </c>
      <c r="BO25">
        <v>336.89299999999997</v>
      </c>
      <c r="BP25">
        <v>-6.3916199999999998E-3</v>
      </c>
      <c r="BQ25">
        <v>1.3712500000000001</v>
      </c>
      <c r="BR25">
        <f t="shared" si="39"/>
        <v>2199.9883870967701</v>
      </c>
      <c r="BS25">
        <f t="shared" si="40"/>
        <v>1849.1752545478387</v>
      </c>
      <c r="BT25">
        <f t="shared" si="41"/>
        <v>0.84053864347353013</v>
      </c>
      <c r="BU25">
        <f t="shared" si="42"/>
        <v>0.19107728694706036</v>
      </c>
      <c r="BV25">
        <v>0.5</v>
      </c>
      <c r="BW25" t="s">
        <v>281</v>
      </c>
      <c r="BX25">
        <v>1595011096.0999999</v>
      </c>
      <c r="BY25">
        <v>578.522903225807</v>
      </c>
      <c r="BZ25">
        <v>600.03716129032296</v>
      </c>
      <c r="CA25">
        <v>20.434683870967699</v>
      </c>
      <c r="CB25">
        <v>16.259716129032299</v>
      </c>
      <c r="CC25">
        <v>500.04267741935502</v>
      </c>
      <c r="CD25">
        <v>99.587316129032203</v>
      </c>
      <c r="CE25">
        <v>0.19998074193548401</v>
      </c>
      <c r="CF25">
        <v>27.644554838709698</v>
      </c>
      <c r="CG25">
        <v>27.1666387096774</v>
      </c>
      <c r="CH25">
        <v>999.9</v>
      </c>
      <c r="CI25">
        <v>9998.7477419354891</v>
      </c>
      <c r="CJ25">
        <v>0</v>
      </c>
      <c r="CK25">
        <v>298.987161290323</v>
      </c>
      <c r="CL25">
        <v>2199.9883870967701</v>
      </c>
      <c r="CM25">
        <v>0.98200399999999999</v>
      </c>
      <c r="CN25">
        <v>1.7996100000000001E-2</v>
      </c>
      <c r="CO25">
        <v>0</v>
      </c>
      <c r="CP25">
        <v>258.54661290322599</v>
      </c>
      <c r="CQ25">
        <v>5.00054</v>
      </c>
      <c r="CR25">
        <v>8698.28548387097</v>
      </c>
      <c r="CS25">
        <v>20590.454838709698</v>
      </c>
      <c r="CT25">
        <v>51.933129032258002</v>
      </c>
      <c r="CU25">
        <v>54.316064516129003</v>
      </c>
      <c r="CV25">
        <v>52.429064516129003</v>
      </c>
      <c r="CW25">
        <v>53.041935483870901</v>
      </c>
      <c r="CX25">
        <v>53.088419354838699</v>
      </c>
      <c r="CY25">
        <v>2155.4880645161302</v>
      </c>
      <c r="CZ25">
        <v>39.500322580645197</v>
      </c>
      <c r="DA25">
        <v>0</v>
      </c>
      <c r="DB25">
        <v>141.09999990463299</v>
      </c>
      <c r="DC25">
        <v>258.51267999999999</v>
      </c>
      <c r="DD25">
        <v>-0.98669231931019197</v>
      </c>
      <c r="DE25">
        <v>0.491538468905728</v>
      </c>
      <c r="DF25">
        <v>8698.3068000000003</v>
      </c>
      <c r="DG25">
        <v>15</v>
      </c>
      <c r="DH25">
        <v>1595011135.0999999</v>
      </c>
      <c r="DI25" t="s">
        <v>328</v>
      </c>
      <c r="DJ25">
        <v>79</v>
      </c>
      <c r="DK25">
        <v>-0.35</v>
      </c>
      <c r="DL25">
        <v>9.8000000000000004E-2</v>
      </c>
      <c r="DM25">
        <v>600</v>
      </c>
      <c r="DN25">
        <v>16</v>
      </c>
      <c r="DO25">
        <v>0.11</v>
      </c>
      <c r="DP25">
        <v>0.03</v>
      </c>
      <c r="DQ25">
        <v>578.39943137254897</v>
      </c>
      <c r="DR25">
        <v>0.25829864253393298</v>
      </c>
      <c r="DS25">
        <v>4.9049097012317001E-2</v>
      </c>
      <c r="DT25">
        <v>1</v>
      </c>
      <c r="DU25">
        <v>20.426664705882398</v>
      </c>
      <c r="DV25">
        <v>5.5417194570134401E-2</v>
      </c>
      <c r="DW25">
        <v>6.9515923843534704E-3</v>
      </c>
      <c r="DX25">
        <v>1</v>
      </c>
      <c r="DY25">
        <v>2</v>
      </c>
      <c r="DZ25">
        <v>2</v>
      </c>
      <c r="EA25" t="s">
        <v>283</v>
      </c>
      <c r="EB25">
        <v>1.86663</v>
      </c>
      <c r="EC25">
        <v>1.8631200000000001</v>
      </c>
      <c r="ED25">
        <v>1.86876</v>
      </c>
      <c r="EE25">
        <v>1.86676</v>
      </c>
      <c r="EF25">
        <v>1.8714500000000001</v>
      </c>
      <c r="EG25">
        <v>1.8638600000000001</v>
      </c>
      <c r="EH25">
        <v>1.8653900000000001</v>
      </c>
      <c r="EI25">
        <v>1.86534</v>
      </c>
      <c r="EJ25" t="s">
        <v>284</v>
      </c>
      <c r="EK25" t="s">
        <v>19</v>
      </c>
      <c r="EL25" t="s">
        <v>19</v>
      </c>
      <c r="EM25" t="s">
        <v>19</v>
      </c>
      <c r="EN25" t="s">
        <v>285</v>
      </c>
      <c r="EO25" t="s">
        <v>286</v>
      </c>
      <c r="EP25" t="s">
        <v>287</v>
      </c>
      <c r="EQ25" t="s">
        <v>287</v>
      </c>
      <c r="ER25" t="s">
        <v>287</v>
      </c>
      <c r="ES25" t="s">
        <v>287</v>
      </c>
      <c r="ET25">
        <v>0</v>
      </c>
      <c r="EU25">
        <v>100</v>
      </c>
      <c r="EV25">
        <v>100</v>
      </c>
      <c r="EW25">
        <v>-0.35</v>
      </c>
      <c r="EX25">
        <v>9.8000000000000004E-2</v>
      </c>
      <c r="EY25">
        <v>2</v>
      </c>
      <c r="EZ25">
        <v>321.27999999999997</v>
      </c>
      <c r="FA25">
        <v>453.09899999999999</v>
      </c>
      <c r="FB25">
        <v>21.6355</v>
      </c>
      <c r="FC25">
        <v>38.233800000000002</v>
      </c>
      <c r="FD25">
        <v>30.000699999999998</v>
      </c>
      <c r="FE25">
        <v>38.217799999999997</v>
      </c>
      <c r="FF25">
        <v>38.217100000000002</v>
      </c>
      <c r="FG25">
        <v>30.443300000000001</v>
      </c>
      <c r="FH25">
        <v>56.054499999999997</v>
      </c>
      <c r="FI25">
        <v>0</v>
      </c>
      <c r="FJ25">
        <v>20.2864</v>
      </c>
      <c r="FK25">
        <v>600</v>
      </c>
      <c r="FL25">
        <v>16.253900000000002</v>
      </c>
      <c r="FM25">
        <v>99.976299999999995</v>
      </c>
      <c r="FN25">
        <v>100.28400000000001</v>
      </c>
    </row>
    <row r="26" spans="1:170" x14ac:dyDescent="0.25">
      <c r="A26">
        <v>10</v>
      </c>
      <c r="B26">
        <v>1595011244.5999999</v>
      </c>
      <c r="C26">
        <v>1205.5999999046301</v>
      </c>
      <c r="D26" t="s">
        <v>329</v>
      </c>
      <c r="E26" t="s">
        <v>330</v>
      </c>
      <c r="G26">
        <v>1595011236.5999999</v>
      </c>
      <c r="H26">
        <f t="shared" si="0"/>
        <v>1.040751403596136E-2</v>
      </c>
      <c r="I26">
        <f t="shared" si="1"/>
        <v>49.071124931512415</v>
      </c>
      <c r="J26">
        <f t="shared" si="2"/>
        <v>677.54854838709696</v>
      </c>
      <c r="K26">
        <f t="shared" si="3"/>
        <v>538.15040543999385</v>
      </c>
      <c r="L26">
        <f t="shared" si="4"/>
        <v>53.699474688716464</v>
      </c>
      <c r="M26">
        <f t="shared" si="5"/>
        <v>67.609353735860878</v>
      </c>
      <c r="N26">
        <f t="shared" si="6"/>
        <v>0.69762660884653738</v>
      </c>
      <c r="O26">
        <f t="shared" si="7"/>
        <v>3.3906598523466216</v>
      </c>
      <c r="P26">
        <f t="shared" si="8"/>
        <v>0.62660269538279789</v>
      </c>
      <c r="Q26">
        <f t="shared" si="9"/>
        <v>0.39740362190666589</v>
      </c>
      <c r="R26">
        <f t="shared" si="10"/>
        <v>353.34008392221563</v>
      </c>
      <c r="S26">
        <f t="shared" si="11"/>
        <v>27.177159935615897</v>
      </c>
      <c r="T26">
        <f t="shared" si="12"/>
        <v>27.325051612903199</v>
      </c>
      <c r="U26">
        <f t="shared" si="13"/>
        <v>3.6480617760050795</v>
      </c>
      <c r="V26">
        <f t="shared" si="14"/>
        <v>54.586071709137151</v>
      </c>
      <c r="W26">
        <f t="shared" si="15"/>
        <v>2.0379058654505391</v>
      </c>
      <c r="X26">
        <f t="shared" si="16"/>
        <v>3.7333806988521845</v>
      </c>
      <c r="Y26">
        <f t="shared" si="17"/>
        <v>1.6101559105545404</v>
      </c>
      <c r="Z26">
        <f t="shared" si="18"/>
        <v>-458.97136898589599</v>
      </c>
      <c r="AA26">
        <f t="shared" si="19"/>
        <v>72.233219405025821</v>
      </c>
      <c r="AB26">
        <f t="shared" si="20"/>
        <v>4.6216354057107116</v>
      </c>
      <c r="AC26">
        <f t="shared" si="21"/>
        <v>-28.776430252943825</v>
      </c>
      <c r="AD26">
        <v>-4.1303047751848003E-2</v>
      </c>
      <c r="AE26">
        <v>4.6366289447162E-2</v>
      </c>
      <c r="AF26">
        <v>3.4631394644596898</v>
      </c>
      <c r="AG26">
        <v>161</v>
      </c>
      <c r="AH26">
        <v>32</v>
      </c>
      <c r="AI26">
        <f t="shared" si="22"/>
        <v>1</v>
      </c>
      <c r="AJ26">
        <f t="shared" si="23"/>
        <v>0</v>
      </c>
      <c r="AK26">
        <f t="shared" si="24"/>
        <v>52541.393063902797</v>
      </c>
      <c r="AL26">
        <v>0</v>
      </c>
      <c r="AM26">
        <v>0</v>
      </c>
      <c r="AN26">
        <v>0</v>
      </c>
      <c r="AO26">
        <f t="shared" si="25"/>
        <v>0</v>
      </c>
      <c r="AP26" t="e">
        <f t="shared" si="26"/>
        <v>#DIV/0!</v>
      </c>
      <c r="AQ26">
        <v>-1</v>
      </c>
      <c r="AR26" t="s">
        <v>331</v>
      </c>
      <c r="AS26">
        <v>256.51312000000001</v>
      </c>
      <c r="AT26">
        <v>362.35899999999998</v>
      </c>
      <c r="AU26">
        <f t="shared" si="27"/>
        <v>0.29210225218636754</v>
      </c>
      <c r="AV26">
        <v>0.5</v>
      </c>
      <c r="AW26">
        <f t="shared" si="28"/>
        <v>1849.1948041516796</v>
      </c>
      <c r="AX26">
        <f t="shared" si="29"/>
        <v>49.071124931512415</v>
      </c>
      <c r="AY26">
        <f t="shared" si="30"/>
        <v>270.07698351201719</v>
      </c>
      <c r="AZ26">
        <f t="shared" si="31"/>
        <v>0.5140178662597038</v>
      </c>
      <c r="BA26">
        <f t="shared" si="32"/>
        <v>2.7077258068807199E-2</v>
      </c>
      <c r="BB26">
        <f t="shared" si="33"/>
        <v>-1</v>
      </c>
      <c r="BC26" t="s">
        <v>332</v>
      </c>
      <c r="BD26">
        <v>176.1</v>
      </c>
      <c r="BE26">
        <f t="shared" si="34"/>
        <v>186.25899999999999</v>
      </c>
      <c r="BF26">
        <f t="shared" si="35"/>
        <v>0.56827256669476356</v>
      </c>
      <c r="BG26">
        <f t="shared" si="36"/>
        <v>2.0576888131743329</v>
      </c>
      <c r="BH26">
        <f t="shared" si="37"/>
        <v>0.29210225218636759</v>
      </c>
      <c r="BI26" t="e">
        <f t="shared" si="38"/>
        <v>#DIV/0!</v>
      </c>
      <c r="BJ26">
        <v>5033</v>
      </c>
      <c r="BK26">
        <v>300</v>
      </c>
      <c r="BL26">
        <v>300</v>
      </c>
      <c r="BM26">
        <v>300</v>
      </c>
      <c r="BN26">
        <v>9855.5499999999993</v>
      </c>
      <c r="BO26">
        <v>332.23700000000002</v>
      </c>
      <c r="BP26">
        <v>-6.3903600000000003E-3</v>
      </c>
      <c r="BQ26">
        <v>2.07016</v>
      </c>
      <c r="BR26">
        <f t="shared" si="39"/>
        <v>2200.01096774194</v>
      </c>
      <c r="BS26">
        <f t="shared" si="40"/>
        <v>1849.1948041516796</v>
      </c>
      <c r="BT26">
        <f t="shared" si="41"/>
        <v>0.84053890242632145</v>
      </c>
      <c r="BU26">
        <f t="shared" si="42"/>
        <v>0.19107780485264278</v>
      </c>
      <c r="BV26">
        <v>0.5</v>
      </c>
      <c r="BW26" t="s">
        <v>281</v>
      </c>
      <c r="BX26">
        <v>1595011236.5999999</v>
      </c>
      <c r="BY26">
        <v>677.54854838709696</v>
      </c>
      <c r="BZ26">
        <v>699.99532258064505</v>
      </c>
      <c r="CA26">
        <v>20.422916129032298</v>
      </c>
      <c r="CB26">
        <v>16.345351612903201</v>
      </c>
      <c r="CC26">
        <v>500.051548387097</v>
      </c>
      <c r="CD26">
        <v>99.585258064516097</v>
      </c>
      <c r="CE26">
        <v>0.19999554838709699</v>
      </c>
      <c r="CF26">
        <v>27.720206451612899</v>
      </c>
      <c r="CG26">
        <v>27.325051612903199</v>
      </c>
      <c r="CH26">
        <v>999.9</v>
      </c>
      <c r="CI26">
        <v>10001.912903225801</v>
      </c>
      <c r="CJ26">
        <v>0</v>
      </c>
      <c r="CK26">
        <v>304.52800000000002</v>
      </c>
      <c r="CL26">
        <v>2200.01096774194</v>
      </c>
      <c r="CM26">
        <v>0.98199432258064501</v>
      </c>
      <c r="CN26">
        <v>1.8005448387096799E-2</v>
      </c>
      <c r="CO26">
        <v>0</v>
      </c>
      <c r="CP26">
        <v>256.53145161290303</v>
      </c>
      <c r="CQ26">
        <v>5.00054</v>
      </c>
      <c r="CR26">
        <v>8700.7803225806492</v>
      </c>
      <c r="CS26">
        <v>20590.587096774201</v>
      </c>
      <c r="CT26">
        <v>52.336387096774203</v>
      </c>
      <c r="CU26">
        <v>54.787999999999997</v>
      </c>
      <c r="CV26">
        <v>52.842483870967698</v>
      </c>
      <c r="CW26">
        <v>53.578451612903201</v>
      </c>
      <c r="CX26">
        <v>53.475548387096801</v>
      </c>
      <c r="CY26">
        <v>2155.48903225806</v>
      </c>
      <c r="CZ26">
        <v>39.519677419354799</v>
      </c>
      <c r="DA26">
        <v>0</v>
      </c>
      <c r="DB26">
        <v>140.09999990463299</v>
      </c>
      <c r="DC26">
        <v>256.51312000000001</v>
      </c>
      <c r="DD26">
        <v>-1.8649230733670501</v>
      </c>
      <c r="DE26">
        <v>-15.682307704898699</v>
      </c>
      <c r="DF26">
        <v>8700.3968000000004</v>
      </c>
      <c r="DG26">
        <v>15</v>
      </c>
      <c r="DH26">
        <v>1595011272.0999999</v>
      </c>
      <c r="DI26" t="s">
        <v>333</v>
      </c>
      <c r="DJ26">
        <v>80</v>
      </c>
      <c r="DK26">
        <v>-0.317</v>
      </c>
      <c r="DL26">
        <v>0.10100000000000001</v>
      </c>
      <c r="DM26">
        <v>700</v>
      </c>
      <c r="DN26">
        <v>17</v>
      </c>
      <c r="DO26">
        <v>0.15</v>
      </c>
      <c r="DP26">
        <v>0.02</v>
      </c>
      <c r="DQ26">
        <v>677.48792156862703</v>
      </c>
      <c r="DR26">
        <v>0.267844343891804</v>
      </c>
      <c r="DS26">
        <v>4.29727880778807E-2</v>
      </c>
      <c r="DT26">
        <v>1</v>
      </c>
      <c r="DU26">
        <v>20.417339215686301</v>
      </c>
      <c r="DV26">
        <v>2.7696651583700702E-2</v>
      </c>
      <c r="DW26">
        <v>3.5749168881808102E-3</v>
      </c>
      <c r="DX26">
        <v>1</v>
      </c>
      <c r="DY26">
        <v>2</v>
      </c>
      <c r="DZ26">
        <v>2</v>
      </c>
      <c r="EA26" t="s">
        <v>283</v>
      </c>
      <c r="EB26">
        <v>1.8666400000000001</v>
      </c>
      <c r="EC26">
        <v>1.8631200000000001</v>
      </c>
      <c r="ED26">
        <v>1.86876</v>
      </c>
      <c r="EE26">
        <v>1.86676</v>
      </c>
      <c r="EF26">
        <v>1.8714299999999999</v>
      </c>
      <c r="EG26">
        <v>1.8638600000000001</v>
      </c>
      <c r="EH26">
        <v>1.8653900000000001</v>
      </c>
      <c r="EI26">
        <v>1.8653500000000001</v>
      </c>
      <c r="EJ26" t="s">
        <v>284</v>
      </c>
      <c r="EK26" t="s">
        <v>19</v>
      </c>
      <c r="EL26" t="s">
        <v>19</v>
      </c>
      <c r="EM26" t="s">
        <v>19</v>
      </c>
      <c r="EN26" t="s">
        <v>285</v>
      </c>
      <c r="EO26" t="s">
        <v>286</v>
      </c>
      <c r="EP26" t="s">
        <v>287</v>
      </c>
      <c r="EQ26" t="s">
        <v>287</v>
      </c>
      <c r="ER26" t="s">
        <v>287</v>
      </c>
      <c r="ES26" t="s">
        <v>287</v>
      </c>
      <c r="ET26">
        <v>0</v>
      </c>
      <c r="EU26">
        <v>100</v>
      </c>
      <c r="EV26">
        <v>100</v>
      </c>
      <c r="EW26">
        <v>-0.317</v>
      </c>
      <c r="EX26">
        <v>0.10100000000000001</v>
      </c>
      <c r="EY26">
        <v>2</v>
      </c>
      <c r="EZ26">
        <v>320.00900000000001</v>
      </c>
      <c r="FA26">
        <v>452.24299999999999</v>
      </c>
      <c r="FB26">
        <v>21.875</v>
      </c>
      <c r="FC26">
        <v>38.485700000000001</v>
      </c>
      <c r="FD26">
        <v>30.001000000000001</v>
      </c>
      <c r="FE26">
        <v>38.411200000000001</v>
      </c>
      <c r="FF26">
        <v>38.404299999999999</v>
      </c>
      <c r="FG26">
        <v>34.495399999999997</v>
      </c>
      <c r="FH26">
        <v>55.610100000000003</v>
      </c>
      <c r="FI26">
        <v>0</v>
      </c>
      <c r="FJ26">
        <v>18.210999999999999</v>
      </c>
      <c r="FK26">
        <v>700</v>
      </c>
      <c r="FL26">
        <v>16.517600000000002</v>
      </c>
      <c r="FM26">
        <v>99.932100000000005</v>
      </c>
      <c r="FN26">
        <v>100.233</v>
      </c>
    </row>
    <row r="27" spans="1:170" x14ac:dyDescent="0.25">
      <c r="A27">
        <v>11</v>
      </c>
      <c r="B27">
        <v>1595011393.5999999</v>
      </c>
      <c r="C27">
        <v>1354.5999999046301</v>
      </c>
      <c r="D27" t="s">
        <v>334</v>
      </c>
      <c r="E27" t="s">
        <v>335</v>
      </c>
      <c r="G27">
        <v>1595011385.5999999</v>
      </c>
      <c r="H27">
        <f t="shared" si="0"/>
        <v>9.399320713238582E-3</v>
      </c>
      <c r="I27">
        <f t="shared" si="1"/>
        <v>49.156191715242237</v>
      </c>
      <c r="J27">
        <f t="shared" si="2"/>
        <v>777.41474193548402</v>
      </c>
      <c r="K27">
        <f t="shared" si="3"/>
        <v>622.8938481965605</v>
      </c>
      <c r="L27">
        <f t="shared" si="4"/>
        <v>62.155858601847719</v>
      </c>
      <c r="M27">
        <f t="shared" si="5"/>
        <v>77.574824209029174</v>
      </c>
      <c r="N27">
        <f t="shared" si="6"/>
        <v>0.627605252703059</v>
      </c>
      <c r="O27">
        <f t="shared" si="7"/>
        <v>3.391509141201615</v>
      </c>
      <c r="P27">
        <f t="shared" si="8"/>
        <v>0.56950165368752603</v>
      </c>
      <c r="Q27">
        <f t="shared" si="9"/>
        <v>0.36070957871556208</v>
      </c>
      <c r="R27">
        <f t="shared" si="10"/>
        <v>353.34037995701067</v>
      </c>
      <c r="S27">
        <f t="shared" si="11"/>
        <v>27.235787066111318</v>
      </c>
      <c r="T27">
        <f t="shared" si="12"/>
        <v>27.272829032258102</v>
      </c>
      <c r="U27">
        <f t="shared" si="13"/>
        <v>3.6369145703290862</v>
      </c>
      <c r="V27">
        <f t="shared" si="14"/>
        <v>55.10199860053401</v>
      </c>
      <c r="W27">
        <f t="shared" si="15"/>
        <v>2.0368269705606608</v>
      </c>
      <c r="X27">
        <f t="shared" si="16"/>
        <v>3.6964665933930778</v>
      </c>
      <c r="Y27">
        <f t="shared" si="17"/>
        <v>1.6000875997684254</v>
      </c>
      <c r="Z27">
        <f t="shared" si="18"/>
        <v>-414.51004345382148</v>
      </c>
      <c r="AA27">
        <f t="shared" si="19"/>
        <v>50.718300258554073</v>
      </c>
      <c r="AB27">
        <f t="shared" si="20"/>
        <v>3.2406546990848866</v>
      </c>
      <c r="AC27">
        <f t="shared" si="21"/>
        <v>-7.2107085391718684</v>
      </c>
      <c r="AD27">
        <v>-4.1316197698163797E-2</v>
      </c>
      <c r="AE27">
        <v>4.6381051413899997E-2</v>
      </c>
      <c r="AF27">
        <v>3.4640118291664699</v>
      </c>
      <c r="AG27">
        <v>162</v>
      </c>
      <c r="AH27">
        <v>32</v>
      </c>
      <c r="AI27">
        <f t="shared" si="22"/>
        <v>1</v>
      </c>
      <c r="AJ27">
        <f t="shared" si="23"/>
        <v>0</v>
      </c>
      <c r="AK27">
        <f t="shared" si="24"/>
        <v>52587.170799521889</v>
      </c>
      <c r="AL27">
        <v>0</v>
      </c>
      <c r="AM27">
        <v>0</v>
      </c>
      <c r="AN27">
        <v>0</v>
      </c>
      <c r="AO27">
        <f t="shared" si="25"/>
        <v>0</v>
      </c>
      <c r="AP27" t="e">
        <f t="shared" si="26"/>
        <v>#DIV/0!</v>
      </c>
      <c r="AQ27">
        <v>-1</v>
      </c>
      <c r="AR27" t="s">
        <v>336</v>
      </c>
      <c r="AS27">
        <v>255.05284</v>
      </c>
      <c r="AT27">
        <v>356.08699999999999</v>
      </c>
      <c r="AU27">
        <f t="shared" si="27"/>
        <v>0.28373448061850048</v>
      </c>
      <c r="AV27">
        <v>0.5</v>
      </c>
      <c r="AW27">
        <f t="shared" si="28"/>
        <v>1849.2005620420452</v>
      </c>
      <c r="AX27">
        <f t="shared" si="29"/>
        <v>49.156191715242237</v>
      </c>
      <c r="AY27">
        <f t="shared" si="30"/>
        <v>262.34098051521943</v>
      </c>
      <c r="AZ27">
        <f t="shared" si="31"/>
        <v>0.50905256299724511</v>
      </c>
      <c r="BA27">
        <f t="shared" si="32"/>
        <v>2.7123175681850045E-2</v>
      </c>
      <c r="BB27">
        <f t="shared" si="33"/>
        <v>-1</v>
      </c>
      <c r="BC27" t="s">
        <v>337</v>
      </c>
      <c r="BD27">
        <v>174.82</v>
      </c>
      <c r="BE27">
        <f t="shared" si="34"/>
        <v>181.267</v>
      </c>
      <c r="BF27">
        <f t="shared" si="35"/>
        <v>0.55737757010376954</v>
      </c>
      <c r="BG27">
        <f t="shared" si="36"/>
        <v>2.0368779315867749</v>
      </c>
      <c r="BH27">
        <f t="shared" si="37"/>
        <v>0.28373448061850048</v>
      </c>
      <c r="BI27" t="e">
        <f t="shared" si="38"/>
        <v>#DIV/0!</v>
      </c>
      <c r="BJ27">
        <v>5035</v>
      </c>
      <c r="BK27">
        <v>300</v>
      </c>
      <c r="BL27">
        <v>300</v>
      </c>
      <c r="BM27">
        <v>300</v>
      </c>
      <c r="BN27">
        <v>9856.0300000000007</v>
      </c>
      <c r="BO27">
        <v>327.23200000000003</v>
      </c>
      <c r="BP27">
        <v>-6.3905899999999998E-3</v>
      </c>
      <c r="BQ27">
        <v>1.94922</v>
      </c>
      <c r="BR27">
        <f t="shared" si="39"/>
        <v>2200.0183870967699</v>
      </c>
      <c r="BS27">
        <f t="shared" si="40"/>
        <v>1849.2005620420452</v>
      </c>
      <c r="BT27">
        <f t="shared" si="41"/>
        <v>0.84053868498904794</v>
      </c>
      <c r="BU27">
        <f t="shared" si="42"/>
        <v>0.19107736997809585</v>
      </c>
      <c r="BV27">
        <v>0.5</v>
      </c>
      <c r="BW27" t="s">
        <v>281</v>
      </c>
      <c r="BX27">
        <v>1595011385.5999999</v>
      </c>
      <c r="BY27">
        <v>777.41474193548402</v>
      </c>
      <c r="BZ27">
        <v>799.99806451612903</v>
      </c>
      <c r="CA27">
        <v>20.412025806451599</v>
      </c>
      <c r="CB27">
        <v>16.7293709677419</v>
      </c>
      <c r="CC27">
        <v>500.04477419354799</v>
      </c>
      <c r="CD27">
        <v>99.585658064516096</v>
      </c>
      <c r="CE27">
        <v>0.19997761290322599</v>
      </c>
      <c r="CF27">
        <v>27.5502161290323</v>
      </c>
      <c r="CG27">
        <v>27.272829032258102</v>
      </c>
      <c r="CH27">
        <v>999.9</v>
      </c>
      <c r="CI27">
        <v>10005.057096774201</v>
      </c>
      <c r="CJ27">
        <v>0</v>
      </c>
      <c r="CK27">
        <v>51.4250774193548</v>
      </c>
      <c r="CL27">
        <v>2200.0183870967699</v>
      </c>
      <c r="CM27">
        <v>0.98200348387096803</v>
      </c>
      <c r="CN27">
        <v>1.7996448387096801E-2</v>
      </c>
      <c r="CO27">
        <v>0</v>
      </c>
      <c r="CP27">
        <v>255.08125806451599</v>
      </c>
      <c r="CQ27">
        <v>5.00054</v>
      </c>
      <c r="CR27">
        <v>6615.1619354838704</v>
      </c>
      <c r="CS27">
        <v>20590.7193548387</v>
      </c>
      <c r="CT27">
        <v>52.320258064516104</v>
      </c>
      <c r="CU27">
        <v>54.753870967741904</v>
      </c>
      <c r="CV27">
        <v>52.886870967741899</v>
      </c>
      <c r="CW27">
        <v>53.431258064516101</v>
      </c>
      <c r="CX27">
        <v>53.526000000000003</v>
      </c>
      <c r="CY27">
        <v>2155.5125806451601</v>
      </c>
      <c r="CZ27">
        <v>39.503870967741904</v>
      </c>
      <c r="DA27">
        <v>0</v>
      </c>
      <c r="DB27">
        <v>148.40000009536701</v>
      </c>
      <c r="DC27">
        <v>255.05284</v>
      </c>
      <c r="DD27">
        <v>-0.24430769365094199</v>
      </c>
      <c r="DE27">
        <v>26.2915384220059</v>
      </c>
      <c r="DF27">
        <v>6615.4264000000003</v>
      </c>
      <c r="DG27">
        <v>15</v>
      </c>
      <c r="DH27">
        <v>1595011421.5999999</v>
      </c>
      <c r="DI27" t="s">
        <v>338</v>
      </c>
      <c r="DJ27">
        <v>81</v>
      </c>
      <c r="DK27">
        <v>-0.36699999999999999</v>
      </c>
      <c r="DL27">
        <v>0.10199999999999999</v>
      </c>
      <c r="DM27">
        <v>800</v>
      </c>
      <c r="DN27">
        <v>17</v>
      </c>
      <c r="DO27">
        <v>0.13</v>
      </c>
      <c r="DP27">
        <v>0.03</v>
      </c>
      <c r="DQ27">
        <v>777.40705882352904</v>
      </c>
      <c r="DR27">
        <v>0.74722533936631996</v>
      </c>
      <c r="DS27">
        <v>9.5514583993633398E-2</v>
      </c>
      <c r="DT27">
        <v>0</v>
      </c>
      <c r="DU27">
        <v>20.432658823529401</v>
      </c>
      <c r="DV27">
        <v>-0.26492524886885499</v>
      </c>
      <c r="DW27">
        <v>3.2541564230034799E-2</v>
      </c>
      <c r="DX27">
        <v>0</v>
      </c>
      <c r="DY27">
        <v>0</v>
      </c>
      <c r="DZ27">
        <v>2</v>
      </c>
      <c r="EA27" t="s">
        <v>313</v>
      </c>
      <c r="EB27">
        <v>1.8666400000000001</v>
      </c>
      <c r="EC27">
        <v>1.8631599999999999</v>
      </c>
      <c r="ED27">
        <v>1.8687800000000001</v>
      </c>
      <c r="EE27">
        <v>1.86676</v>
      </c>
      <c r="EF27">
        <v>1.87147</v>
      </c>
      <c r="EG27">
        <v>1.8638600000000001</v>
      </c>
      <c r="EH27">
        <v>1.8653900000000001</v>
      </c>
      <c r="EI27">
        <v>1.86531</v>
      </c>
      <c r="EJ27" t="s">
        <v>284</v>
      </c>
      <c r="EK27" t="s">
        <v>19</v>
      </c>
      <c r="EL27" t="s">
        <v>19</v>
      </c>
      <c r="EM27" t="s">
        <v>19</v>
      </c>
      <c r="EN27" t="s">
        <v>285</v>
      </c>
      <c r="EO27" t="s">
        <v>286</v>
      </c>
      <c r="EP27" t="s">
        <v>287</v>
      </c>
      <c r="EQ27" t="s">
        <v>287</v>
      </c>
      <c r="ER27" t="s">
        <v>287</v>
      </c>
      <c r="ES27" t="s">
        <v>287</v>
      </c>
      <c r="ET27">
        <v>0</v>
      </c>
      <c r="EU27">
        <v>100</v>
      </c>
      <c r="EV27">
        <v>100</v>
      </c>
      <c r="EW27">
        <v>-0.36699999999999999</v>
      </c>
      <c r="EX27">
        <v>0.10199999999999999</v>
      </c>
      <c r="EY27">
        <v>2</v>
      </c>
      <c r="EZ27">
        <v>319.49200000000002</v>
      </c>
      <c r="FA27">
        <v>451.75400000000002</v>
      </c>
      <c r="FB27">
        <v>21.608599999999999</v>
      </c>
      <c r="FC27">
        <v>38.676099999999998</v>
      </c>
      <c r="FD27">
        <v>29.9998</v>
      </c>
      <c r="FE27">
        <v>38.601900000000001</v>
      </c>
      <c r="FF27">
        <v>38.584400000000002</v>
      </c>
      <c r="FG27">
        <v>38.442700000000002</v>
      </c>
      <c r="FH27">
        <v>55.351900000000001</v>
      </c>
      <c r="FI27">
        <v>0</v>
      </c>
      <c r="FJ27">
        <v>18.225100000000001</v>
      </c>
      <c r="FK27">
        <v>800</v>
      </c>
      <c r="FL27">
        <v>16.788799999999998</v>
      </c>
      <c r="FM27">
        <v>99.898099999999999</v>
      </c>
      <c r="FN27">
        <v>100.196</v>
      </c>
    </row>
    <row r="28" spans="1:170" x14ac:dyDescent="0.25">
      <c r="A28">
        <v>12</v>
      </c>
      <c r="B28">
        <v>1595011513.5999999</v>
      </c>
      <c r="C28">
        <v>1474.5999999046301</v>
      </c>
      <c r="D28" t="s">
        <v>339</v>
      </c>
      <c r="E28" t="s">
        <v>340</v>
      </c>
      <c r="G28">
        <v>1595011505.6516099</v>
      </c>
      <c r="H28">
        <f t="shared" si="0"/>
        <v>8.4412390781697742E-3</v>
      </c>
      <c r="I28">
        <f t="shared" si="1"/>
        <v>49.459558538456179</v>
      </c>
      <c r="J28">
        <f t="shared" si="2"/>
        <v>976.98758064516096</v>
      </c>
      <c r="K28">
        <f t="shared" si="3"/>
        <v>802.02076324990639</v>
      </c>
      <c r="L28">
        <f t="shared" si="4"/>
        <v>80.027866083435498</v>
      </c>
      <c r="M28">
        <f t="shared" si="5"/>
        <v>97.486542558110884</v>
      </c>
      <c r="N28">
        <f t="shared" si="6"/>
        <v>0.56179046216740514</v>
      </c>
      <c r="O28">
        <f t="shared" si="7"/>
        <v>3.3885974157006058</v>
      </c>
      <c r="P28">
        <f t="shared" si="8"/>
        <v>0.51470870284977832</v>
      </c>
      <c r="Q28">
        <f t="shared" si="9"/>
        <v>0.32559359976356184</v>
      </c>
      <c r="R28">
        <f t="shared" si="10"/>
        <v>353.33792687256647</v>
      </c>
      <c r="S28">
        <f t="shared" si="11"/>
        <v>26.870136152417192</v>
      </c>
      <c r="T28">
        <f t="shared" si="12"/>
        <v>26.941480645161299</v>
      </c>
      <c r="U28">
        <f t="shared" si="13"/>
        <v>3.5668766071200437</v>
      </c>
      <c r="V28">
        <f t="shared" si="14"/>
        <v>55.310786808957332</v>
      </c>
      <c r="W28">
        <f t="shared" si="15"/>
        <v>1.9758864943786305</v>
      </c>
      <c r="X28">
        <f t="shared" si="16"/>
        <v>3.5723348163592652</v>
      </c>
      <c r="Y28">
        <f t="shared" si="17"/>
        <v>1.5909901127414132</v>
      </c>
      <c r="Z28">
        <f t="shared" si="18"/>
        <v>-372.25864334728703</v>
      </c>
      <c r="AA28">
        <f t="shared" si="19"/>
        <v>4.7545521398218211</v>
      </c>
      <c r="AB28">
        <f t="shared" si="20"/>
        <v>0.30266831909775754</v>
      </c>
      <c r="AC28">
        <f t="shared" si="21"/>
        <v>-13.863496015801008</v>
      </c>
      <c r="AD28">
        <v>-4.1271120234941103E-2</v>
      </c>
      <c r="AE28">
        <v>4.6330448012429998E-2</v>
      </c>
      <c r="AF28">
        <v>3.46102100061551</v>
      </c>
      <c r="AG28">
        <v>159</v>
      </c>
      <c r="AH28">
        <v>32</v>
      </c>
      <c r="AI28">
        <f t="shared" si="22"/>
        <v>1</v>
      </c>
      <c r="AJ28">
        <f t="shared" si="23"/>
        <v>0</v>
      </c>
      <c r="AK28">
        <f t="shared" si="24"/>
        <v>52634.12508033932</v>
      </c>
      <c r="AL28">
        <v>0</v>
      </c>
      <c r="AM28">
        <v>0</v>
      </c>
      <c r="AN28">
        <v>0</v>
      </c>
      <c r="AO28">
        <f t="shared" si="25"/>
        <v>0</v>
      </c>
      <c r="AP28" t="e">
        <f t="shared" si="26"/>
        <v>#DIV/0!</v>
      </c>
      <c r="AQ28">
        <v>-1</v>
      </c>
      <c r="AR28" t="s">
        <v>341</v>
      </c>
      <c r="AS28">
        <v>255.8074</v>
      </c>
      <c r="AT28">
        <v>350.642</v>
      </c>
      <c r="AU28">
        <f t="shared" si="27"/>
        <v>0.27045989927048097</v>
      </c>
      <c r="AV28">
        <v>0.5</v>
      </c>
      <c r="AW28">
        <f t="shared" si="28"/>
        <v>1849.1858609993803</v>
      </c>
      <c r="AX28">
        <f t="shared" si="29"/>
        <v>49.459558538456179</v>
      </c>
      <c r="AY28">
        <f t="shared" si="30"/>
        <v>250.06531084914502</v>
      </c>
      <c r="AZ28">
        <f t="shared" si="31"/>
        <v>0.50154288419527604</v>
      </c>
      <c r="BA28">
        <f t="shared" si="32"/>
        <v>2.7287445574121817E-2</v>
      </c>
      <c r="BB28">
        <f t="shared" si="33"/>
        <v>-1</v>
      </c>
      <c r="BC28" t="s">
        <v>342</v>
      </c>
      <c r="BD28">
        <v>174.78</v>
      </c>
      <c r="BE28">
        <f t="shared" si="34"/>
        <v>175.86199999999999</v>
      </c>
      <c r="BF28">
        <f t="shared" si="35"/>
        <v>0.53925578010030595</v>
      </c>
      <c r="BG28">
        <f t="shared" si="36"/>
        <v>2.0061906396612885</v>
      </c>
      <c r="BH28">
        <f t="shared" si="37"/>
        <v>0.27045989927048097</v>
      </c>
      <c r="BI28" t="e">
        <f t="shared" si="38"/>
        <v>#DIV/0!</v>
      </c>
      <c r="BJ28">
        <v>5037</v>
      </c>
      <c r="BK28">
        <v>300</v>
      </c>
      <c r="BL28">
        <v>300</v>
      </c>
      <c r="BM28">
        <v>300</v>
      </c>
      <c r="BN28">
        <v>9860</v>
      </c>
      <c r="BO28">
        <v>322.625</v>
      </c>
      <c r="BP28">
        <v>-6.3933799999999997E-3</v>
      </c>
      <c r="BQ28">
        <v>1.11029</v>
      </c>
      <c r="BR28">
        <f t="shared" si="39"/>
        <v>2200.0006451612899</v>
      </c>
      <c r="BS28">
        <f t="shared" si="40"/>
        <v>1849.1858609993803</v>
      </c>
      <c r="BT28">
        <f t="shared" si="41"/>
        <v>0.84053878123468007</v>
      </c>
      <c r="BU28">
        <f t="shared" si="42"/>
        <v>0.19107756246936006</v>
      </c>
      <c r="BV28">
        <v>0.5</v>
      </c>
      <c r="BW28" t="s">
        <v>281</v>
      </c>
      <c r="BX28">
        <v>1595011505.6516099</v>
      </c>
      <c r="BY28">
        <v>976.98758064516096</v>
      </c>
      <c r="BZ28">
        <v>1000.06777419355</v>
      </c>
      <c r="CA28">
        <v>19.801877419354799</v>
      </c>
      <c r="CB28">
        <v>16.4925903225806</v>
      </c>
      <c r="CC28">
        <v>500.05251612903203</v>
      </c>
      <c r="CD28">
        <v>99.582770967741894</v>
      </c>
      <c r="CE28">
        <v>0.20001490322580601</v>
      </c>
      <c r="CF28">
        <v>26.967506451612898</v>
      </c>
      <c r="CG28">
        <v>26.941480645161299</v>
      </c>
      <c r="CH28">
        <v>999.9</v>
      </c>
      <c r="CI28">
        <v>9994.4309677419405</v>
      </c>
      <c r="CJ28">
        <v>0</v>
      </c>
      <c r="CK28">
        <v>287.21996774193502</v>
      </c>
      <c r="CL28">
        <v>2200.0006451612899</v>
      </c>
      <c r="CM28">
        <v>0.98199832258064501</v>
      </c>
      <c r="CN28">
        <v>1.8002061290322599E-2</v>
      </c>
      <c r="CO28">
        <v>0</v>
      </c>
      <c r="CP28">
        <v>255.82338709677401</v>
      </c>
      <c r="CQ28">
        <v>5.00054</v>
      </c>
      <c r="CR28">
        <v>8478.6470967741898</v>
      </c>
      <c r="CS28">
        <v>20590.5193548387</v>
      </c>
      <c r="CT28">
        <v>51.6489677419355</v>
      </c>
      <c r="CU28">
        <v>53.860677419354801</v>
      </c>
      <c r="CV28">
        <v>52.201290322580597</v>
      </c>
      <c r="CW28">
        <v>52.517935483871</v>
      </c>
      <c r="CX28">
        <v>52.880806451612898</v>
      </c>
      <c r="CY28">
        <v>2155.4899999999998</v>
      </c>
      <c r="CZ28">
        <v>39.510645161290299</v>
      </c>
      <c r="DA28">
        <v>0</v>
      </c>
      <c r="DB28">
        <v>119.700000047684</v>
      </c>
      <c r="DC28">
        <v>255.8074</v>
      </c>
      <c r="DD28">
        <v>-2.3520769101837602</v>
      </c>
      <c r="DE28">
        <v>-182.47923078903099</v>
      </c>
      <c r="DF28">
        <v>8475.4344000000001</v>
      </c>
      <c r="DG28">
        <v>15</v>
      </c>
      <c r="DH28">
        <v>1595011541.5999999</v>
      </c>
      <c r="DI28" t="s">
        <v>343</v>
      </c>
      <c r="DJ28">
        <v>82</v>
      </c>
      <c r="DK28">
        <v>-9.4E-2</v>
      </c>
      <c r="DL28">
        <v>9.9000000000000005E-2</v>
      </c>
      <c r="DM28">
        <v>1000</v>
      </c>
      <c r="DN28">
        <v>16</v>
      </c>
      <c r="DO28">
        <v>0.12</v>
      </c>
      <c r="DP28">
        <v>0.03</v>
      </c>
      <c r="DQ28">
        <v>976.68945098039205</v>
      </c>
      <c r="DR28">
        <v>0.28623030538163402</v>
      </c>
      <c r="DS28">
        <v>4.5335054923548501E-2</v>
      </c>
      <c r="DT28">
        <v>1</v>
      </c>
      <c r="DU28">
        <v>19.8026352941176</v>
      </c>
      <c r="DV28">
        <v>2.4495249520440899E-2</v>
      </c>
      <c r="DW28">
        <v>1.2078092686873799E-2</v>
      </c>
      <c r="DX28">
        <v>1</v>
      </c>
      <c r="DY28">
        <v>2</v>
      </c>
      <c r="DZ28">
        <v>2</v>
      </c>
      <c r="EA28" t="s">
        <v>283</v>
      </c>
      <c r="EB28">
        <v>1.8667400000000001</v>
      </c>
      <c r="EC28">
        <v>1.8632</v>
      </c>
      <c r="ED28">
        <v>1.8689</v>
      </c>
      <c r="EE28">
        <v>1.86677</v>
      </c>
      <c r="EF28">
        <v>1.8714999999999999</v>
      </c>
      <c r="EG28">
        <v>1.8639300000000001</v>
      </c>
      <c r="EH28">
        <v>1.86541</v>
      </c>
      <c r="EI28">
        <v>1.86538</v>
      </c>
      <c r="EJ28" t="s">
        <v>284</v>
      </c>
      <c r="EK28" t="s">
        <v>19</v>
      </c>
      <c r="EL28" t="s">
        <v>19</v>
      </c>
      <c r="EM28" t="s">
        <v>19</v>
      </c>
      <c r="EN28" t="s">
        <v>285</v>
      </c>
      <c r="EO28" t="s">
        <v>286</v>
      </c>
      <c r="EP28" t="s">
        <v>287</v>
      </c>
      <c r="EQ28" t="s">
        <v>287</v>
      </c>
      <c r="ER28" t="s">
        <v>287</v>
      </c>
      <c r="ES28" t="s">
        <v>287</v>
      </c>
      <c r="ET28">
        <v>0</v>
      </c>
      <c r="EU28">
        <v>100</v>
      </c>
      <c r="EV28">
        <v>100</v>
      </c>
      <c r="EW28">
        <v>-9.4E-2</v>
      </c>
      <c r="EX28">
        <v>9.9000000000000005E-2</v>
      </c>
      <c r="EY28">
        <v>2</v>
      </c>
      <c r="EZ28">
        <v>322.01100000000002</v>
      </c>
      <c r="FA28">
        <v>453.17700000000002</v>
      </c>
      <c r="FB28">
        <v>21.752700000000001</v>
      </c>
      <c r="FC28">
        <v>38.409100000000002</v>
      </c>
      <c r="FD28">
        <v>29.9985</v>
      </c>
      <c r="FE28">
        <v>38.455599999999997</v>
      </c>
      <c r="FF28">
        <v>38.445900000000002</v>
      </c>
      <c r="FG28">
        <v>46.055799999999998</v>
      </c>
      <c r="FH28">
        <v>56.020299999999999</v>
      </c>
      <c r="FI28">
        <v>0</v>
      </c>
      <c r="FJ28">
        <v>21.7532</v>
      </c>
      <c r="FK28">
        <v>1000</v>
      </c>
      <c r="FL28">
        <v>16.379100000000001</v>
      </c>
      <c r="FM28">
        <v>99.958100000000002</v>
      </c>
      <c r="FN28">
        <v>100.28</v>
      </c>
    </row>
    <row r="29" spans="1:170" x14ac:dyDescent="0.25">
      <c r="A29">
        <v>13</v>
      </c>
      <c r="B29">
        <v>1595011651.7</v>
      </c>
      <c r="C29">
        <v>1612.7000000476801</v>
      </c>
      <c r="D29" t="s">
        <v>344</v>
      </c>
      <c r="E29" t="s">
        <v>345</v>
      </c>
      <c r="G29">
        <v>1595011643.6483901</v>
      </c>
      <c r="H29">
        <f t="shared" si="0"/>
        <v>8.0656210602617368E-3</v>
      </c>
      <c r="I29">
        <f t="shared" si="1"/>
        <v>49.177997596994821</v>
      </c>
      <c r="J29">
        <f t="shared" si="2"/>
        <v>1176.51306451613</v>
      </c>
      <c r="K29">
        <f t="shared" si="3"/>
        <v>984.96296461191275</v>
      </c>
      <c r="L29">
        <f t="shared" si="4"/>
        <v>98.283177641563256</v>
      </c>
      <c r="M29">
        <f t="shared" si="5"/>
        <v>117.39674147344105</v>
      </c>
      <c r="N29">
        <f t="shared" si="6"/>
        <v>0.5185805190307553</v>
      </c>
      <c r="O29">
        <f t="shared" si="7"/>
        <v>3.3905947911439474</v>
      </c>
      <c r="P29">
        <f t="shared" si="8"/>
        <v>0.47820579795911144</v>
      </c>
      <c r="Q29">
        <f t="shared" si="9"/>
        <v>0.30224375198361986</v>
      </c>
      <c r="R29">
        <f t="shared" si="10"/>
        <v>353.33555387521255</v>
      </c>
      <c r="S29">
        <f t="shared" si="11"/>
        <v>27.157910375842832</v>
      </c>
      <c r="T29">
        <f t="shared" si="12"/>
        <v>27.213083870967701</v>
      </c>
      <c r="U29">
        <f t="shared" si="13"/>
        <v>3.624198098607788</v>
      </c>
      <c r="V29">
        <f t="shared" si="14"/>
        <v>55.007069031993694</v>
      </c>
      <c r="W29">
        <f t="shared" si="15"/>
        <v>1.9885386660062256</v>
      </c>
      <c r="X29">
        <f t="shared" si="16"/>
        <v>3.6150602113514436</v>
      </c>
      <c r="Y29">
        <f t="shared" si="17"/>
        <v>1.6356594326015623</v>
      </c>
      <c r="Z29">
        <f t="shared" si="18"/>
        <v>-355.6938887575426</v>
      </c>
      <c r="AA29">
        <f t="shared" si="19"/>
        <v>-7.8683862957921002</v>
      </c>
      <c r="AB29">
        <f t="shared" si="20"/>
        <v>-0.50178356378185041</v>
      </c>
      <c r="AC29">
        <f t="shared" si="21"/>
        <v>-10.728504741903969</v>
      </c>
      <c r="AD29">
        <v>-4.1302040439286203E-2</v>
      </c>
      <c r="AE29">
        <v>4.6365158650566E-2</v>
      </c>
      <c r="AF29">
        <v>3.4630726355999601</v>
      </c>
      <c r="AG29">
        <v>159</v>
      </c>
      <c r="AH29">
        <v>32</v>
      </c>
      <c r="AI29">
        <f t="shared" si="22"/>
        <v>1</v>
      </c>
      <c r="AJ29">
        <f t="shared" si="23"/>
        <v>0</v>
      </c>
      <c r="AK29">
        <f t="shared" si="24"/>
        <v>52636.427505409512</v>
      </c>
      <c r="AL29">
        <v>0</v>
      </c>
      <c r="AM29">
        <v>0</v>
      </c>
      <c r="AN29">
        <v>0</v>
      </c>
      <c r="AO29">
        <f t="shared" si="25"/>
        <v>0</v>
      </c>
      <c r="AP29" t="e">
        <f t="shared" si="26"/>
        <v>#DIV/0!</v>
      </c>
      <c r="AQ29">
        <v>-1</v>
      </c>
      <c r="AR29" t="s">
        <v>346</v>
      </c>
      <c r="AS29">
        <v>254.01867999999999</v>
      </c>
      <c r="AT29">
        <v>341.71100000000001</v>
      </c>
      <c r="AU29">
        <f t="shared" si="27"/>
        <v>0.25662714984299606</v>
      </c>
      <c r="AV29">
        <v>0.5</v>
      </c>
      <c r="AW29">
        <f t="shared" si="28"/>
        <v>1849.1721766069154</v>
      </c>
      <c r="AX29">
        <f t="shared" si="29"/>
        <v>49.177997596994821</v>
      </c>
      <c r="AY29">
        <f t="shared" si="30"/>
        <v>237.27389262580104</v>
      </c>
      <c r="AZ29">
        <f t="shared" si="31"/>
        <v>0.49665067849732669</v>
      </c>
      <c r="BA29">
        <f t="shared" si="32"/>
        <v>2.7135384271824527E-2</v>
      </c>
      <c r="BB29">
        <f t="shared" si="33"/>
        <v>-1</v>
      </c>
      <c r="BC29" t="s">
        <v>347</v>
      </c>
      <c r="BD29">
        <v>172</v>
      </c>
      <c r="BE29">
        <f t="shared" si="34"/>
        <v>169.71100000000001</v>
      </c>
      <c r="BF29">
        <f t="shared" si="35"/>
        <v>0.51671559297865199</v>
      </c>
      <c r="BG29">
        <f t="shared" si="36"/>
        <v>1.9866918604651163</v>
      </c>
      <c r="BH29">
        <f t="shared" si="37"/>
        <v>0.25662714984299606</v>
      </c>
      <c r="BI29" t="e">
        <f t="shared" si="38"/>
        <v>#DIV/0!</v>
      </c>
      <c r="BJ29">
        <v>5039</v>
      </c>
      <c r="BK29">
        <v>300</v>
      </c>
      <c r="BL29">
        <v>300</v>
      </c>
      <c r="BM29">
        <v>300</v>
      </c>
      <c r="BN29">
        <v>9860.51</v>
      </c>
      <c r="BO29">
        <v>316.98200000000003</v>
      </c>
      <c r="BP29">
        <v>-6.3939399999999999E-3</v>
      </c>
      <c r="BQ29">
        <v>1.7614099999999999</v>
      </c>
      <c r="BR29">
        <f t="shared" si="39"/>
        <v>2199.9841935483901</v>
      </c>
      <c r="BS29">
        <f t="shared" si="40"/>
        <v>1849.1721766069154</v>
      </c>
      <c r="BT29">
        <f t="shared" si="41"/>
        <v>0.84053884661069123</v>
      </c>
      <c r="BU29">
        <f t="shared" si="42"/>
        <v>0.19107769322138263</v>
      </c>
      <c r="BV29">
        <v>0.5</v>
      </c>
      <c r="BW29" t="s">
        <v>281</v>
      </c>
      <c r="BX29">
        <v>1595011643.6483901</v>
      </c>
      <c r="BY29">
        <v>1176.51306451613</v>
      </c>
      <c r="BZ29">
        <v>1199.97774193548</v>
      </c>
      <c r="CA29">
        <v>19.9285064516129</v>
      </c>
      <c r="CB29">
        <v>16.766854838709701</v>
      </c>
      <c r="CC29">
        <v>500.04783870967702</v>
      </c>
      <c r="CD29">
        <v>99.583638709677402</v>
      </c>
      <c r="CE29">
        <v>0.19998887096774201</v>
      </c>
      <c r="CF29">
        <v>27.170038709677399</v>
      </c>
      <c r="CG29">
        <v>27.213083870967701</v>
      </c>
      <c r="CH29">
        <v>999.9</v>
      </c>
      <c r="CI29">
        <v>10001.831612903199</v>
      </c>
      <c r="CJ29">
        <v>0</v>
      </c>
      <c r="CK29">
        <v>286.35838709677398</v>
      </c>
      <c r="CL29">
        <v>2199.9841935483901</v>
      </c>
      <c r="CM29">
        <v>0.98199780645161305</v>
      </c>
      <c r="CN29">
        <v>1.8002535483870999E-2</v>
      </c>
      <c r="CO29">
        <v>0</v>
      </c>
      <c r="CP29">
        <v>254.059838709677</v>
      </c>
      <c r="CQ29">
        <v>5.00054</v>
      </c>
      <c r="CR29">
        <v>8375.2232258064505</v>
      </c>
      <c r="CS29">
        <v>20590.370967741899</v>
      </c>
      <c r="CT29">
        <v>51.471612903225797</v>
      </c>
      <c r="CU29">
        <v>53.566064516129003</v>
      </c>
      <c r="CV29">
        <v>51.949258064516101</v>
      </c>
      <c r="CW29">
        <v>52.342483870967698</v>
      </c>
      <c r="CX29">
        <v>52.658999999999999</v>
      </c>
      <c r="CY29">
        <v>2155.4699999999998</v>
      </c>
      <c r="CZ29">
        <v>39.515161290322602</v>
      </c>
      <c r="DA29">
        <v>0</v>
      </c>
      <c r="DB29">
        <v>137.59999990463299</v>
      </c>
      <c r="DC29">
        <v>254.01867999999999</v>
      </c>
      <c r="DD29">
        <v>-2.2339230767460601</v>
      </c>
      <c r="DE29">
        <v>-57.086153928456397</v>
      </c>
      <c r="DF29">
        <v>8374.2968000000001</v>
      </c>
      <c r="DG29">
        <v>15</v>
      </c>
      <c r="DH29">
        <v>1595011685.5999999</v>
      </c>
      <c r="DI29" t="s">
        <v>348</v>
      </c>
      <c r="DJ29">
        <v>83</v>
      </c>
      <c r="DK29">
        <v>-3.9E-2</v>
      </c>
      <c r="DL29">
        <v>0.109</v>
      </c>
      <c r="DM29">
        <v>1200</v>
      </c>
      <c r="DN29">
        <v>17</v>
      </c>
      <c r="DO29">
        <v>0.27</v>
      </c>
      <c r="DP29">
        <v>0.02</v>
      </c>
      <c r="DQ29">
        <v>1176.45470588235</v>
      </c>
      <c r="DR29">
        <v>5.2395159928939998E-2</v>
      </c>
      <c r="DS29">
        <v>5.2742546771164203E-2</v>
      </c>
      <c r="DT29">
        <v>1</v>
      </c>
      <c r="DU29">
        <v>19.9379568627451</v>
      </c>
      <c r="DV29">
        <v>-0.18443305233504301</v>
      </c>
      <c r="DW29">
        <v>2.9981296489265199E-2</v>
      </c>
      <c r="DX29">
        <v>1</v>
      </c>
      <c r="DY29">
        <v>2</v>
      </c>
      <c r="DZ29">
        <v>2</v>
      </c>
      <c r="EA29" t="s">
        <v>283</v>
      </c>
      <c r="EB29">
        <v>1.8666400000000001</v>
      </c>
      <c r="EC29">
        <v>1.8631200000000001</v>
      </c>
      <c r="ED29">
        <v>1.8688100000000001</v>
      </c>
      <c r="EE29">
        <v>1.86676</v>
      </c>
      <c r="EF29">
        <v>1.8714200000000001</v>
      </c>
      <c r="EG29">
        <v>1.8638600000000001</v>
      </c>
      <c r="EH29">
        <v>1.8653900000000001</v>
      </c>
      <c r="EI29">
        <v>1.8652899999999999</v>
      </c>
      <c r="EJ29" t="s">
        <v>284</v>
      </c>
      <c r="EK29" t="s">
        <v>19</v>
      </c>
      <c r="EL29" t="s">
        <v>19</v>
      </c>
      <c r="EM29" t="s">
        <v>19</v>
      </c>
      <c r="EN29" t="s">
        <v>285</v>
      </c>
      <c r="EO29" t="s">
        <v>286</v>
      </c>
      <c r="EP29" t="s">
        <v>287</v>
      </c>
      <c r="EQ29" t="s">
        <v>287</v>
      </c>
      <c r="ER29" t="s">
        <v>287</v>
      </c>
      <c r="ES29" t="s">
        <v>287</v>
      </c>
      <c r="ET29">
        <v>0</v>
      </c>
      <c r="EU29">
        <v>100</v>
      </c>
      <c r="EV29">
        <v>100</v>
      </c>
      <c r="EW29">
        <v>-3.9E-2</v>
      </c>
      <c r="EX29">
        <v>0.109</v>
      </c>
      <c r="EY29">
        <v>2</v>
      </c>
      <c r="EZ29">
        <v>322.78899999999999</v>
      </c>
      <c r="FA29">
        <v>455.34500000000003</v>
      </c>
      <c r="FB29">
        <v>21.1357</v>
      </c>
      <c r="FC29">
        <v>38.128300000000003</v>
      </c>
      <c r="FD29">
        <v>29.999700000000001</v>
      </c>
      <c r="FE29">
        <v>38.250399999999999</v>
      </c>
      <c r="FF29">
        <v>38.264200000000002</v>
      </c>
      <c r="FG29">
        <v>53.357399999999998</v>
      </c>
      <c r="FH29">
        <v>55.149799999999999</v>
      </c>
      <c r="FI29">
        <v>0</v>
      </c>
      <c r="FJ29">
        <v>17.9861</v>
      </c>
      <c r="FK29">
        <v>1200</v>
      </c>
      <c r="FL29">
        <v>16.821200000000001</v>
      </c>
      <c r="FM29">
        <v>100.008</v>
      </c>
      <c r="FN29">
        <v>100.336</v>
      </c>
    </row>
    <row r="30" spans="1:170" x14ac:dyDescent="0.25">
      <c r="A30">
        <v>14</v>
      </c>
      <c r="B30">
        <v>1595011791.7</v>
      </c>
      <c r="C30">
        <v>1752.7000000476801</v>
      </c>
      <c r="D30" t="s">
        <v>349</v>
      </c>
      <c r="E30" t="s">
        <v>350</v>
      </c>
      <c r="G30">
        <v>1595011783.7</v>
      </c>
      <c r="H30">
        <f t="shared" si="0"/>
        <v>7.9640464439034043E-3</v>
      </c>
      <c r="I30">
        <f t="shared" si="1"/>
        <v>48.80878995928331</v>
      </c>
      <c r="J30">
        <f t="shared" si="2"/>
        <v>1575.48593548387</v>
      </c>
      <c r="K30">
        <f t="shared" si="3"/>
        <v>1371.023862125543</v>
      </c>
      <c r="L30">
        <f t="shared" si="4"/>
        <v>136.80763695714128</v>
      </c>
      <c r="M30">
        <f t="shared" si="5"/>
        <v>157.20988806030189</v>
      </c>
      <c r="N30">
        <f t="shared" si="6"/>
        <v>0.50730114787596325</v>
      </c>
      <c r="O30">
        <f t="shared" si="7"/>
        <v>3.390767972551755</v>
      </c>
      <c r="P30">
        <f t="shared" si="8"/>
        <v>0.46859526963115072</v>
      </c>
      <c r="Q30">
        <f t="shared" si="9"/>
        <v>0.29610313249132725</v>
      </c>
      <c r="R30">
        <f t="shared" si="10"/>
        <v>353.3437036195221</v>
      </c>
      <c r="S30">
        <f t="shared" si="11"/>
        <v>27.112572738396384</v>
      </c>
      <c r="T30">
        <f t="shared" si="12"/>
        <v>27.239948387096799</v>
      </c>
      <c r="U30">
        <f t="shared" si="13"/>
        <v>3.6299112723369995</v>
      </c>
      <c r="V30">
        <f t="shared" si="14"/>
        <v>55.038213752000729</v>
      </c>
      <c r="W30">
        <f t="shared" si="15"/>
        <v>1.981693707249883</v>
      </c>
      <c r="X30">
        <f t="shared" si="16"/>
        <v>3.6005778025051645</v>
      </c>
      <c r="Y30">
        <f t="shared" si="17"/>
        <v>1.6482175650871165</v>
      </c>
      <c r="Z30">
        <f t="shared" si="18"/>
        <v>-351.21444817614014</v>
      </c>
      <c r="AA30">
        <f t="shared" si="19"/>
        <v>-25.286383868990118</v>
      </c>
      <c r="AB30">
        <f t="shared" si="20"/>
        <v>-1.6121488957987471</v>
      </c>
      <c r="AC30">
        <f t="shared" si="21"/>
        <v>-24.769277321406879</v>
      </c>
      <c r="AD30">
        <v>-4.13047217463305E-2</v>
      </c>
      <c r="AE30">
        <v>4.6368168652618502E-2</v>
      </c>
      <c r="AF30">
        <v>3.4632505222318399</v>
      </c>
      <c r="AG30">
        <v>158</v>
      </c>
      <c r="AH30">
        <v>32</v>
      </c>
      <c r="AI30">
        <f t="shared" si="22"/>
        <v>1</v>
      </c>
      <c r="AJ30">
        <f t="shared" si="23"/>
        <v>0</v>
      </c>
      <c r="AK30">
        <f t="shared" si="24"/>
        <v>52651.735002459267</v>
      </c>
      <c r="AL30">
        <v>0</v>
      </c>
      <c r="AM30">
        <v>0</v>
      </c>
      <c r="AN30">
        <v>0</v>
      </c>
      <c r="AO30">
        <f t="shared" si="25"/>
        <v>0</v>
      </c>
      <c r="AP30" t="e">
        <f t="shared" si="26"/>
        <v>#DIV/0!</v>
      </c>
      <c r="AQ30">
        <v>-1</v>
      </c>
      <c r="AR30" t="s">
        <v>351</v>
      </c>
      <c r="AS30">
        <v>253.92903999999999</v>
      </c>
      <c r="AT30">
        <v>335.49900000000002</v>
      </c>
      <c r="AU30">
        <f t="shared" si="27"/>
        <v>0.24313026268334637</v>
      </c>
      <c r="AV30">
        <v>0.5</v>
      </c>
      <c r="AW30">
        <f t="shared" si="28"/>
        <v>1849.2137803541575</v>
      </c>
      <c r="AX30">
        <f t="shared" si="29"/>
        <v>48.80878995928331</v>
      </c>
      <c r="AY30">
        <f t="shared" si="30"/>
        <v>224.79991608758513</v>
      </c>
      <c r="AZ30">
        <f t="shared" si="31"/>
        <v>0.49102679888762713</v>
      </c>
      <c r="BA30">
        <f t="shared" si="32"/>
        <v>2.6935117231142437E-2</v>
      </c>
      <c r="BB30">
        <f t="shared" si="33"/>
        <v>-1</v>
      </c>
      <c r="BC30" t="s">
        <v>352</v>
      </c>
      <c r="BD30">
        <v>170.76</v>
      </c>
      <c r="BE30">
        <f t="shared" si="34"/>
        <v>164.73900000000003</v>
      </c>
      <c r="BF30">
        <f t="shared" si="35"/>
        <v>0.49514662587486885</v>
      </c>
      <c r="BG30">
        <f t="shared" si="36"/>
        <v>1.9647399859451864</v>
      </c>
      <c r="BH30">
        <f t="shared" si="37"/>
        <v>0.24313026268334639</v>
      </c>
      <c r="BI30" t="e">
        <f t="shared" si="38"/>
        <v>#DIV/0!</v>
      </c>
      <c r="BJ30">
        <v>5041</v>
      </c>
      <c r="BK30">
        <v>300</v>
      </c>
      <c r="BL30">
        <v>300</v>
      </c>
      <c r="BM30">
        <v>300</v>
      </c>
      <c r="BN30">
        <v>9861.02</v>
      </c>
      <c r="BO30">
        <v>312.49599999999998</v>
      </c>
      <c r="BP30">
        <v>-6.3943699999999999E-3</v>
      </c>
      <c r="BQ30">
        <v>1.74448</v>
      </c>
      <c r="BR30">
        <f t="shared" si="39"/>
        <v>2200.0335483870999</v>
      </c>
      <c r="BS30">
        <f t="shared" si="40"/>
        <v>1849.2137803541575</v>
      </c>
      <c r="BT30">
        <f t="shared" si="41"/>
        <v>0.84053890074079218</v>
      </c>
      <c r="BU30">
        <f t="shared" si="42"/>
        <v>0.19107780148158449</v>
      </c>
      <c r="BV30">
        <v>0.5</v>
      </c>
      <c r="BW30" t="s">
        <v>281</v>
      </c>
      <c r="BX30">
        <v>1595011783.7</v>
      </c>
      <c r="BY30">
        <v>1575.48593548387</v>
      </c>
      <c r="BZ30">
        <v>1600.0261290322601</v>
      </c>
      <c r="CA30">
        <v>19.859632258064501</v>
      </c>
      <c r="CB30">
        <v>16.737561290322599</v>
      </c>
      <c r="CC30">
        <v>500.04522580645198</v>
      </c>
      <c r="CD30">
        <v>99.585006451612898</v>
      </c>
      <c r="CE30">
        <v>0.20000877419354801</v>
      </c>
      <c r="CF30">
        <v>27.101622580645198</v>
      </c>
      <c r="CG30">
        <v>27.239948387096799</v>
      </c>
      <c r="CH30">
        <v>999.9</v>
      </c>
      <c r="CI30">
        <v>10002.3435483871</v>
      </c>
      <c r="CJ30">
        <v>0</v>
      </c>
      <c r="CK30">
        <v>283.27016129032302</v>
      </c>
      <c r="CL30">
        <v>2200.0335483870999</v>
      </c>
      <c r="CM30">
        <v>0.98199654838709705</v>
      </c>
      <c r="CN30">
        <v>1.80034161290323E-2</v>
      </c>
      <c r="CO30">
        <v>0</v>
      </c>
      <c r="CP30">
        <v>253.94554838709701</v>
      </c>
      <c r="CQ30">
        <v>5.00054</v>
      </c>
      <c r="CR30">
        <v>8363.6190322580605</v>
      </c>
      <c r="CS30">
        <v>20590.819354838699</v>
      </c>
      <c r="CT30">
        <v>51.356709677419403</v>
      </c>
      <c r="CU30">
        <v>53.54</v>
      </c>
      <c r="CV30">
        <v>51.874870967741899</v>
      </c>
      <c r="CW30">
        <v>52.281935483871003</v>
      </c>
      <c r="CX30">
        <v>52.566064516129003</v>
      </c>
      <c r="CY30">
        <v>2155.5135483870999</v>
      </c>
      <c r="CZ30">
        <v>39.520000000000003</v>
      </c>
      <c r="DA30">
        <v>0</v>
      </c>
      <c r="DB30">
        <v>139.5</v>
      </c>
      <c r="DC30">
        <v>253.92903999999999</v>
      </c>
      <c r="DD30">
        <v>-1.0153076865328301</v>
      </c>
      <c r="DE30">
        <v>-37.259999920528699</v>
      </c>
      <c r="DF30">
        <v>8362.9336000000003</v>
      </c>
      <c r="DG30">
        <v>15</v>
      </c>
      <c r="DH30">
        <v>1595011819.7</v>
      </c>
      <c r="DI30" t="s">
        <v>353</v>
      </c>
      <c r="DJ30">
        <v>84</v>
      </c>
      <c r="DK30">
        <v>-0.23499999999999999</v>
      </c>
      <c r="DL30">
        <v>0.104</v>
      </c>
      <c r="DM30">
        <v>1600</v>
      </c>
      <c r="DN30">
        <v>17</v>
      </c>
      <c r="DO30">
        <v>0.13</v>
      </c>
      <c r="DP30">
        <v>0.02</v>
      </c>
      <c r="DQ30">
        <v>1575.6601960784301</v>
      </c>
      <c r="DR30">
        <v>0.26030769230788198</v>
      </c>
      <c r="DS30">
        <v>4.6038781438999497E-2</v>
      </c>
      <c r="DT30">
        <v>1</v>
      </c>
      <c r="DU30">
        <v>19.870609803921599</v>
      </c>
      <c r="DV30">
        <v>-6.2666063348415096E-2</v>
      </c>
      <c r="DW30">
        <v>7.9523890824339995E-3</v>
      </c>
      <c r="DX30">
        <v>1</v>
      </c>
      <c r="DY30">
        <v>2</v>
      </c>
      <c r="DZ30">
        <v>2</v>
      </c>
      <c r="EA30" t="s">
        <v>283</v>
      </c>
      <c r="EB30">
        <v>1.8666100000000001</v>
      </c>
      <c r="EC30">
        <v>1.86313</v>
      </c>
      <c r="ED30">
        <v>1.8687800000000001</v>
      </c>
      <c r="EE30">
        <v>1.86676</v>
      </c>
      <c r="EF30">
        <v>1.8714</v>
      </c>
      <c r="EG30">
        <v>1.8638600000000001</v>
      </c>
      <c r="EH30">
        <v>1.8653900000000001</v>
      </c>
      <c r="EI30">
        <v>1.86527</v>
      </c>
      <c r="EJ30" t="s">
        <v>284</v>
      </c>
      <c r="EK30" t="s">
        <v>19</v>
      </c>
      <c r="EL30" t="s">
        <v>19</v>
      </c>
      <c r="EM30" t="s">
        <v>19</v>
      </c>
      <c r="EN30" t="s">
        <v>285</v>
      </c>
      <c r="EO30" t="s">
        <v>286</v>
      </c>
      <c r="EP30" t="s">
        <v>287</v>
      </c>
      <c r="EQ30" t="s">
        <v>287</v>
      </c>
      <c r="ER30" t="s">
        <v>287</v>
      </c>
      <c r="ES30" t="s">
        <v>287</v>
      </c>
      <c r="ET30">
        <v>0</v>
      </c>
      <c r="EU30">
        <v>100</v>
      </c>
      <c r="EV30">
        <v>100</v>
      </c>
      <c r="EW30">
        <v>-0.23499999999999999</v>
      </c>
      <c r="EX30">
        <v>0.104</v>
      </c>
      <c r="EY30">
        <v>2</v>
      </c>
      <c r="EZ30">
        <v>323.30900000000003</v>
      </c>
      <c r="FA30">
        <v>455.31700000000001</v>
      </c>
      <c r="FB30">
        <v>21.154800000000002</v>
      </c>
      <c r="FC30">
        <v>38.0608</v>
      </c>
      <c r="FD30">
        <v>29.9999</v>
      </c>
      <c r="FE30">
        <v>38.152500000000003</v>
      </c>
      <c r="FF30">
        <v>38.165399999999998</v>
      </c>
      <c r="FG30">
        <v>67.129800000000003</v>
      </c>
      <c r="FH30">
        <v>55.6708</v>
      </c>
      <c r="FI30">
        <v>0</v>
      </c>
      <c r="FJ30">
        <v>17.777000000000001</v>
      </c>
      <c r="FK30">
        <v>1600</v>
      </c>
      <c r="FL30">
        <v>16.771799999999999</v>
      </c>
      <c r="FM30">
        <v>100.021</v>
      </c>
      <c r="FN30">
        <v>100.355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19</v>
      </c>
    </row>
    <row r="12" spans="1:2" x14ac:dyDescent="0.25">
      <c r="A12" t="s">
        <v>21</v>
      </c>
      <c r="B12" t="s">
        <v>17</v>
      </c>
    </row>
    <row r="13" spans="1:2" x14ac:dyDescent="0.25">
      <c r="A13" t="s">
        <v>22</v>
      </c>
      <c r="B13" t="s">
        <v>11</v>
      </c>
    </row>
    <row r="14" spans="1:2" x14ac:dyDescent="0.25">
      <c r="A14" t="s">
        <v>23</v>
      </c>
      <c r="B1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2020-07-17T13:50:51Z</dcterms:created>
  <dcterms:modified xsi:type="dcterms:W3CDTF">2024-11-20T09:01:48Z</dcterms:modified>
</cp:coreProperties>
</file>