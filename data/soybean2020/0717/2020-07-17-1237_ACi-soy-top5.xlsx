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717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AZ30" i="1" s="1"/>
  <c r="BB30" i="1"/>
  <c r="AU30" i="1"/>
  <c r="AO30" i="1"/>
  <c r="AP30" i="1" s="1"/>
  <c r="AK30" i="1"/>
  <c r="AI30" i="1"/>
  <c r="J30" i="1" s="1"/>
  <c r="X30" i="1"/>
  <c r="W30" i="1"/>
  <c r="V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O29" i="1"/>
  <c r="AP29" i="1" s="1"/>
  <c r="AK29" i="1"/>
  <c r="AI29" i="1"/>
  <c r="M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 s="1"/>
  <c r="X28" i="1"/>
  <c r="W28" i="1"/>
  <c r="V28" i="1"/>
  <c r="O28" i="1"/>
  <c r="BU27" i="1"/>
  <c r="BT27" i="1"/>
  <c r="BR27" i="1"/>
  <c r="BS27" i="1" s="1"/>
  <c r="R27" i="1" s="1"/>
  <c r="BI27" i="1"/>
  <c r="BH27" i="1"/>
  <c r="BG27" i="1"/>
  <c r="BF27" i="1"/>
  <c r="BE27" i="1"/>
  <c r="BB27" i="1"/>
  <c r="AZ27" i="1"/>
  <c r="AW27" i="1"/>
  <c r="AY27" i="1" s="1"/>
  <c r="AU27" i="1"/>
  <c r="AO27" i="1"/>
  <c r="AP27" i="1" s="1"/>
  <c r="AK27" i="1"/>
  <c r="AI27" i="1"/>
  <c r="AJ27" i="1" s="1"/>
  <c r="X27" i="1"/>
  <c r="W27" i="1"/>
  <c r="V27" i="1"/>
  <c r="O27" i="1"/>
  <c r="M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 s="1"/>
  <c r="AJ26" i="1"/>
  <c r="X26" i="1"/>
  <c r="W26" i="1"/>
  <c r="V26" i="1"/>
  <c r="O26" i="1"/>
  <c r="BU25" i="1"/>
  <c r="BT25" i="1"/>
  <c r="BR25" i="1"/>
  <c r="BS25" i="1" s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/>
  <c r="AJ25" i="1" s="1"/>
  <c r="X25" i="1"/>
  <c r="W25" i="1"/>
  <c r="V25" i="1"/>
  <c r="O25" i="1"/>
  <c r="BU24" i="1"/>
  <c r="BT24" i="1"/>
  <c r="BR24" i="1"/>
  <c r="BS24" i="1" s="1"/>
  <c r="BI24" i="1"/>
  <c r="BH24" i="1"/>
  <c r="BG24" i="1"/>
  <c r="BF24" i="1"/>
  <c r="BE24" i="1"/>
  <c r="BB24" i="1"/>
  <c r="AZ24" i="1"/>
  <c r="AU24" i="1"/>
  <c r="AO24" i="1"/>
  <c r="AP24" i="1" s="1"/>
  <c r="AK24" i="1"/>
  <c r="AI24" i="1"/>
  <c r="M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AJ23" i="1" s="1"/>
  <c r="X23" i="1"/>
  <c r="W23" i="1"/>
  <c r="V23" i="1"/>
  <c r="O23" i="1"/>
  <c r="BU22" i="1"/>
  <c r="BT22" i="1"/>
  <c r="BR22" i="1"/>
  <c r="BS22" i="1" s="1"/>
  <c r="R22" i="1" s="1"/>
  <c r="BI22" i="1"/>
  <c r="BH22" i="1"/>
  <c r="BG22" i="1"/>
  <c r="BF22" i="1"/>
  <c r="BE22" i="1"/>
  <c r="BB22" i="1"/>
  <c r="AZ22" i="1"/>
  <c r="AW22" i="1"/>
  <c r="AU22" i="1"/>
  <c r="AY22" i="1" s="1"/>
  <c r="AP22" i="1"/>
  <c r="AO22" i="1"/>
  <c r="AK22" i="1"/>
  <c r="AI22" i="1"/>
  <c r="J22" i="1" s="1"/>
  <c r="X22" i="1"/>
  <c r="W22" i="1"/>
  <c r="V22" i="1"/>
  <c r="O22" i="1"/>
  <c r="M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X21" i="1"/>
  <c r="W21" i="1"/>
  <c r="V21" i="1"/>
  <c r="O21" i="1"/>
  <c r="BU20" i="1"/>
  <c r="BT20" i="1"/>
  <c r="BS20" i="1" s="1"/>
  <c r="BR20" i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H20" i="1" s="1"/>
  <c r="Z20" i="1"/>
  <c r="X20" i="1"/>
  <c r="W20" i="1"/>
  <c r="V20" i="1"/>
  <c r="O20" i="1"/>
  <c r="BU19" i="1"/>
  <c r="BT19" i="1"/>
  <c r="BR19" i="1"/>
  <c r="BS19" i="1" s="1"/>
  <c r="BI19" i="1"/>
  <c r="BH19" i="1"/>
  <c r="BG19" i="1"/>
  <c r="BF19" i="1"/>
  <c r="BE19" i="1"/>
  <c r="BB19" i="1"/>
  <c r="AZ19" i="1"/>
  <c r="AU19" i="1"/>
  <c r="AP19" i="1"/>
  <c r="AO19" i="1"/>
  <c r="AK19" i="1"/>
  <c r="AI19" i="1"/>
  <c r="M19" i="1" s="1"/>
  <c r="X19" i="1"/>
  <c r="W19" i="1"/>
  <c r="V19" i="1"/>
  <c r="O19" i="1"/>
  <c r="J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O18" i="1"/>
  <c r="AP18" i="1" s="1"/>
  <c r="AK18" i="1"/>
  <c r="AI18" i="1"/>
  <c r="M18" i="1" s="1"/>
  <c r="X18" i="1"/>
  <c r="W18" i="1"/>
  <c r="V18" i="1"/>
  <c r="O18" i="1"/>
  <c r="BU17" i="1"/>
  <c r="BT17" i="1"/>
  <c r="BS17" i="1"/>
  <c r="BR17" i="1"/>
  <c r="BI17" i="1"/>
  <c r="BH17" i="1"/>
  <c r="BG17" i="1"/>
  <c r="BF17" i="1"/>
  <c r="BE17" i="1"/>
  <c r="BB17" i="1"/>
  <c r="AZ17" i="1"/>
  <c r="AW17" i="1"/>
  <c r="AU17" i="1"/>
  <c r="AY17" i="1" s="1"/>
  <c r="AP17" i="1"/>
  <c r="AO17" i="1"/>
  <c r="AK17" i="1"/>
  <c r="AI17" i="1"/>
  <c r="I17" i="1" s="1"/>
  <c r="AX17" i="1" s="1"/>
  <c r="BA17" i="1" s="1"/>
  <c r="X17" i="1"/>
  <c r="V17" i="1" s="1"/>
  <c r="W17" i="1"/>
  <c r="R17" i="1"/>
  <c r="O17" i="1"/>
  <c r="M17" i="1"/>
  <c r="J17" i="1"/>
  <c r="R20" i="1" l="1"/>
  <c r="AW20" i="1"/>
  <c r="AY20" i="1" s="1"/>
  <c r="AW26" i="1"/>
  <c r="R26" i="1"/>
  <c r="AW21" i="1"/>
  <c r="R21" i="1"/>
  <c r="AY24" i="1"/>
  <c r="J28" i="1"/>
  <c r="H28" i="1"/>
  <c r="AJ28" i="1"/>
  <c r="M28" i="1"/>
  <c r="I28" i="1"/>
  <c r="AX28" i="1" s="1"/>
  <c r="BA28" i="1" s="1"/>
  <c r="R25" i="1"/>
  <c r="AW25" i="1"/>
  <c r="AY25" i="1" s="1"/>
  <c r="R19" i="1"/>
  <c r="AW19" i="1"/>
  <c r="AY19" i="1" s="1"/>
  <c r="R29" i="1"/>
  <c r="AW29" i="1"/>
  <c r="AY29" i="1" s="1"/>
  <c r="AW18" i="1"/>
  <c r="AY18" i="1" s="1"/>
  <c r="R18" i="1"/>
  <c r="J21" i="1"/>
  <c r="M21" i="1"/>
  <c r="I21" i="1"/>
  <c r="AX21" i="1" s="1"/>
  <c r="BA21" i="1" s="1"/>
  <c r="H21" i="1"/>
  <c r="AJ21" i="1"/>
  <c r="R24" i="1"/>
  <c r="AW24" i="1"/>
  <c r="AY21" i="1"/>
  <c r="M26" i="1"/>
  <c r="I26" i="1"/>
  <c r="AX26" i="1" s="1"/>
  <c r="BA26" i="1" s="1"/>
  <c r="J26" i="1"/>
  <c r="H26" i="1"/>
  <c r="AW28" i="1"/>
  <c r="AY28" i="1" s="1"/>
  <c r="R28" i="1"/>
  <c r="AY26" i="1"/>
  <c r="AW23" i="1"/>
  <c r="AY23" i="1" s="1"/>
  <c r="R23" i="1"/>
  <c r="R30" i="1"/>
  <c r="AW30" i="1"/>
  <c r="AY30" i="1" s="1"/>
  <c r="H25" i="1"/>
  <c r="J25" i="1"/>
  <c r="AJ29" i="1"/>
  <c r="H29" i="1"/>
  <c r="M30" i="1"/>
  <c r="H30" i="1"/>
  <c r="I25" i="1"/>
  <c r="AX25" i="1" s="1"/>
  <c r="I20" i="1"/>
  <c r="AX20" i="1" s="1"/>
  <c r="BA20" i="1" s="1"/>
  <c r="J20" i="1"/>
  <c r="AJ24" i="1"/>
  <c r="AJ19" i="1"/>
  <c r="H24" i="1"/>
  <c r="M25" i="1"/>
  <c r="I29" i="1"/>
  <c r="AX29" i="1" s="1"/>
  <c r="BA29" i="1" s="1"/>
  <c r="H19" i="1"/>
  <c r="M20" i="1"/>
  <c r="I24" i="1"/>
  <c r="AX24" i="1" s="1"/>
  <c r="J29" i="1"/>
  <c r="I19" i="1"/>
  <c r="AX19" i="1" s="1"/>
  <c r="J24" i="1"/>
  <c r="H23" i="1"/>
  <c r="H18" i="1"/>
  <c r="I18" i="1"/>
  <c r="AX18" i="1" s="1"/>
  <c r="BA18" i="1" s="1"/>
  <c r="AJ30" i="1"/>
  <c r="J18" i="1"/>
  <c r="M23" i="1"/>
  <c r="I27" i="1"/>
  <c r="AX27" i="1" s="1"/>
  <c r="BA27" i="1" s="1"/>
  <c r="I30" i="1"/>
  <c r="AX30" i="1" s="1"/>
  <c r="BA30" i="1" s="1"/>
  <c r="AJ18" i="1"/>
  <c r="I23" i="1"/>
  <c r="AX23" i="1" s="1"/>
  <c r="J23" i="1"/>
  <c r="AJ22" i="1"/>
  <c r="H27" i="1"/>
  <c r="AJ17" i="1"/>
  <c r="H22" i="1"/>
  <c r="H17" i="1"/>
  <c r="I22" i="1"/>
  <c r="AX22" i="1" s="1"/>
  <c r="BA22" i="1" s="1"/>
  <c r="J27" i="1"/>
  <c r="AJ20" i="1"/>
  <c r="Z22" i="1" l="1"/>
  <c r="S23" i="1"/>
  <c r="T23" i="1" s="1"/>
  <c r="Z24" i="1"/>
  <c r="Z27" i="1"/>
  <c r="S28" i="1"/>
  <c r="T28" i="1" s="1"/>
  <c r="P28" i="1" s="1"/>
  <c r="N28" i="1" s="1"/>
  <c r="Q28" i="1" s="1"/>
  <c r="K28" i="1" s="1"/>
  <c r="L28" i="1" s="1"/>
  <c r="BA23" i="1"/>
  <c r="Z18" i="1"/>
  <c r="P18" i="1"/>
  <c r="N18" i="1" s="1"/>
  <c r="Q18" i="1" s="1"/>
  <c r="K18" i="1" s="1"/>
  <c r="L18" i="1" s="1"/>
  <c r="S30" i="1"/>
  <c r="T30" i="1" s="1"/>
  <c r="P30" i="1" s="1"/>
  <c r="N30" i="1" s="1"/>
  <c r="Q30" i="1" s="1"/>
  <c r="K30" i="1" s="1"/>
  <c r="L30" i="1" s="1"/>
  <c r="S21" i="1"/>
  <c r="T21" i="1" s="1"/>
  <c r="S27" i="1"/>
  <c r="T27" i="1" s="1"/>
  <c r="S20" i="1"/>
  <c r="T20" i="1" s="1"/>
  <c r="P17" i="1"/>
  <c r="N17" i="1" s="1"/>
  <c r="Q17" i="1" s="1"/>
  <c r="K17" i="1" s="1"/>
  <c r="L17" i="1" s="1"/>
  <c r="Z17" i="1"/>
  <c r="S19" i="1"/>
  <c r="T19" i="1" s="1"/>
  <c r="P19" i="1" s="1"/>
  <c r="N19" i="1" s="1"/>
  <c r="Q19" i="1" s="1"/>
  <c r="K19" i="1" s="1"/>
  <c r="L19" i="1" s="1"/>
  <c r="S25" i="1"/>
  <c r="T25" i="1" s="1"/>
  <c r="P25" i="1" s="1"/>
  <c r="N25" i="1" s="1"/>
  <c r="Q25" i="1" s="1"/>
  <c r="K25" i="1" s="1"/>
  <c r="L25" i="1" s="1"/>
  <c r="BA25" i="1"/>
  <c r="Z30" i="1"/>
  <c r="Z28" i="1"/>
  <c r="Z29" i="1"/>
  <c r="Z25" i="1"/>
  <c r="S22" i="1"/>
  <c r="T22" i="1" s="1"/>
  <c r="Z19" i="1"/>
  <c r="S29" i="1"/>
  <c r="T29" i="1" s="1"/>
  <c r="P29" i="1" s="1"/>
  <c r="N29" i="1" s="1"/>
  <c r="Q29" i="1" s="1"/>
  <c r="K29" i="1" s="1"/>
  <c r="L29" i="1" s="1"/>
  <c r="S17" i="1"/>
  <c r="T17" i="1" s="1"/>
  <c r="Z26" i="1"/>
  <c r="P26" i="1"/>
  <c r="N26" i="1" s="1"/>
  <c r="Q26" i="1" s="1"/>
  <c r="K26" i="1" s="1"/>
  <c r="L26" i="1" s="1"/>
  <c r="S24" i="1"/>
  <c r="T24" i="1" s="1"/>
  <c r="P24" i="1" s="1"/>
  <c r="N24" i="1" s="1"/>
  <c r="Q24" i="1" s="1"/>
  <c r="K24" i="1" s="1"/>
  <c r="L24" i="1" s="1"/>
  <c r="Z21" i="1"/>
  <c r="P21" i="1"/>
  <c r="N21" i="1" s="1"/>
  <c r="Q21" i="1" s="1"/>
  <c r="K21" i="1" s="1"/>
  <c r="L21" i="1" s="1"/>
  <c r="Z23" i="1"/>
  <c r="P23" i="1"/>
  <c r="N23" i="1" s="1"/>
  <c r="Q23" i="1" s="1"/>
  <c r="K23" i="1" s="1"/>
  <c r="L23" i="1" s="1"/>
  <c r="BA19" i="1"/>
  <c r="S26" i="1"/>
  <c r="T26" i="1" s="1"/>
  <c r="BA24" i="1"/>
  <c r="S18" i="1"/>
  <c r="T18" i="1" s="1"/>
  <c r="AB27" i="1" l="1"/>
  <c r="AC27" i="1" s="1"/>
  <c r="U27" i="1"/>
  <c r="Y27" i="1" s="1"/>
  <c r="AA27" i="1"/>
  <c r="U18" i="1"/>
  <c r="Y18" i="1" s="1"/>
  <c r="AB18" i="1"/>
  <c r="AA18" i="1"/>
  <c r="P27" i="1"/>
  <c r="N27" i="1" s="1"/>
  <c r="Q27" i="1" s="1"/>
  <c r="K27" i="1" s="1"/>
  <c r="L27" i="1" s="1"/>
  <c r="AB21" i="1"/>
  <c r="U21" i="1"/>
  <c r="Y21" i="1" s="1"/>
  <c r="AA21" i="1"/>
  <c r="U30" i="1"/>
  <c r="Y30" i="1" s="1"/>
  <c r="AB30" i="1"/>
  <c r="AC30" i="1" s="1"/>
  <c r="AA30" i="1"/>
  <c r="U28" i="1"/>
  <c r="Y28" i="1" s="1"/>
  <c r="AB28" i="1"/>
  <c r="AA28" i="1"/>
  <c r="AB26" i="1"/>
  <c r="U26" i="1"/>
  <c r="Y26" i="1" s="1"/>
  <c r="AA26" i="1"/>
  <c r="AB19" i="1"/>
  <c r="AC19" i="1" s="1"/>
  <c r="AA19" i="1"/>
  <c r="U19" i="1"/>
  <c r="Y19" i="1" s="1"/>
  <c r="AA24" i="1"/>
  <c r="AB24" i="1"/>
  <c r="AC24" i="1" s="1"/>
  <c r="U24" i="1"/>
  <c r="Y24" i="1" s="1"/>
  <c r="U20" i="1"/>
  <c r="Y20" i="1" s="1"/>
  <c r="AB20" i="1"/>
  <c r="AA20" i="1"/>
  <c r="P20" i="1"/>
  <c r="N20" i="1" s="1"/>
  <c r="Q20" i="1" s="1"/>
  <c r="K20" i="1" s="1"/>
  <c r="L20" i="1" s="1"/>
  <c r="AB17" i="1"/>
  <c r="AC17" i="1" s="1"/>
  <c r="U17" i="1"/>
  <c r="Y17" i="1" s="1"/>
  <c r="AA17" i="1"/>
  <c r="U29" i="1"/>
  <c r="Y29" i="1" s="1"/>
  <c r="AB29" i="1"/>
  <c r="AA29" i="1"/>
  <c r="AB22" i="1"/>
  <c r="U22" i="1"/>
  <c r="Y22" i="1" s="1"/>
  <c r="AA22" i="1"/>
  <c r="U23" i="1"/>
  <c r="Y23" i="1" s="1"/>
  <c r="AB23" i="1"/>
  <c r="AA23" i="1"/>
  <c r="P22" i="1"/>
  <c r="N22" i="1" s="1"/>
  <c r="Q22" i="1" s="1"/>
  <c r="K22" i="1" s="1"/>
  <c r="L22" i="1" s="1"/>
  <c r="U25" i="1"/>
  <c r="Y25" i="1" s="1"/>
  <c r="AB25" i="1"/>
  <c r="AA25" i="1"/>
  <c r="AC23" i="1" l="1"/>
  <c r="AC28" i="1"/>
  <c r="AC21" i="1"/>
  <c r="AC20" i="1"/>
  <c r="AC25" i="1"/>
  <c r="AC26" i="1"/>
  <c r="AC22" i="1"/>
  <c r="AC29" i="1"/>
  <c r="AC18" i="1"/>
</calcChain>
</file>

<file path=xl/sharedStrings.xml><?xml version="1.0" encoding="utf-8"?>
<sst xmlns="http://schemas.openxmlformats.org/spreadsheetml/2006/main" count="771" uniqueCount="355">
  <si>
    <t>File opened</t>
  </si>
  <si>
    <t>2020-07-17 12:37:19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</si>
  <si>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</si>
  <si>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</si>
  <si>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</si>
  <si>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</si>
  <si>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</si>
  <si>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</si>
  <si>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</si>
  <si>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</si>
  <si>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</si>
  <si>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</si>
  <si>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</si>
  <si>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{"h2oaspanconc2": "0", "co2bspan2a": "0.163389", "ssb_ref": "36526.8", "co2aspanconc2": "0", "co2bzero": "0.880288", "chamberpressurezero": "2.59209", "co2aspan1": "0.992625", "co2aspan2b": "0.163711", "tbzero": "0.197721", "h2oaspan1": "1.00223", "h2oaspan2a": "0.0661155", "h2obspan2a": "0.0975941", "tazero": "0.00774765", "h2obspan1": "0.998578", "h2obspan2": "0", "co2bspanconc1": "1002", "h2oaspan2b": "0.0662632", "co2bspan2": "0", "co2bspan2b": "0.162103", "co2aspan2": "0", "co2azero": "0.869071", "h2oaspan2": "0", "h2obzero": "1.01783", "ssa_ref": "36614.9", "flowmeterzero": "0.990908", "flowbzero": "0.22736", "co2bspanconc2": "0", "co2bspan1": "0.992131", "h2oaspanconc1": "12.19", "co2aspan2a": "0.164928", "co2aspanconc1": "1002", "h2oazero": "1.00263", "h2obspanconc1": "20", "flowazero": "0.42932", "h2obspanconc2": "0", "h2obspan2b": "0.0963575", "oxygen": "21"}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</si>
  <si>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</si>
  <si>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</si>
  <si>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</si>
  <si>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</si>
  <si>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</si>
  <si>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</si>
  <si>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</si>
  <si>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</si>
  <si>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</si>
  <si>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12:37:19</t>
  </si>
  <si>
    <t>Stability Definition:	H2O_s (Meas): Slp&lt;0.2	CO2_s (Meas): Slp&lt;0.3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</si>
  <si>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</si>
  <si>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</si>
  <si>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</si>
  <si>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</si>
  <si>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</si>
  <si>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</si>
  <si>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</si>
  <si>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</si>
  <si>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</si>
  <si>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</si>
  <si>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</si>
  <si>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</si>
  <si>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</si>
  <si>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</si>
  <si>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</si>
  <si>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</si>
  <si>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</si>
  <si>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</si>
  <si>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</si>
  <si>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</si>
  <si>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</si>
  <si>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</si>
  <si>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</si>
  <si>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</si>
  <si>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</si>
  <si>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</si>
  <si>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</si>
  <si>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</si>
  <si>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</si>
  <si>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</si>
  <si>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</si>
  <si>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</si>
  <si>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</si>
  <si>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</si>
  <si>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</si>
  <si>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</si>
  <si>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</si>
  <si>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</si>
  <si>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</si>
  <si>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</si>
  <si>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</si>
  <si>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</si>
  <si>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</si>
  <si>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</si>
  <si>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</si>
  <si>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</si>
  <si>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2.8867 76.9944 384.338 617.676 844.529 1050.88 1230.97 1394.83</t>
  </si>
  <si>
    <t>Fs_true</t>
  </si>
  <si>
    <t>0.249995 100.784 401.701 601.178 800.155 1000.64 1200.01 1400.75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</si>
  <si>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</si>
  <si>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</si>
  <si>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</si>
  <si>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</si>
  <si>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</si>
  <si>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</si>
  <si>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</si>
  <si>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</si>
  <si>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</si>
  <si>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</si>
  <si>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</si>
  <si>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</si>
  <si>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</si>
  <si>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</si>
  <si>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</si>
  <si>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</si>
  <si>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</si>
  <si>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</si>
  <si>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</si>
  <si>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</si>
  <si>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</si>
  <si>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</si>
  <si>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</si>
  <si>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</si>
  <si>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</si>
  <si>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</si>
  <si>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</si>
  <si>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</si>
  <si>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</si>
  <si>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</si>
  <si>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</si>
  <si>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</si>
  <si>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</si>
  <si>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</si>
  <si>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</si>
  <si>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</si>
  <si>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</si>
  <si>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</si>
  <si>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</si>
  <si>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</si>
  <si>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</si>
  <si>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</si>
  <si>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</si>
  <si>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</si>
  <si>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</si>
  <si>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</si>
  <si>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</si>
  <si>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</si>
  <si>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</si>
  <si>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</si>
  <si>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</si>
  <si>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</si>
  <si>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</si>
  <si>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</si>
  <si>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</si>
  <si>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</si>
  <si>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</si>
  <si>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</si>
  <si>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</si>
  <si>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</si>
  <si>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</si>
  <si>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</si>
  <si>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</si>
  <si>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</si>
  <si>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</si>
  <si>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</si>
  <si>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</si>
  <si>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</si>
  <si>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</si>
  <si>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</si>
  <si>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</si>
  <si>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</si>
  <si>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</si>
  <si>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</si>
  <si>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</si>
  <si>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</si>
  <si>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</si>
  <si>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</si>
  <si>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</si>
  <si>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</si>
  <si>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</si>
  <si>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</si>
  <si>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</si>
  <si>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</si>
  <si>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</si>
  <si>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</si>
  <si>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</si>
  <si>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</si>
  <si>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</si>
  <si>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</si>
  <si>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</si>
  <si>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</si>
  <si>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</si>
  <si>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</si>
  <si>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</si>
  <si>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</si>
  <si>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</si>
  <si>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</si>
  <si>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</si>
  <si>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</si>
  <si>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</si>
  <si>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</si>
  <si>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</si>
  <si>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</si>
  <si>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</si>
  <si>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</si>
  <si>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</si>
  <si>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</si>
  <si>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</si>
  <si>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</si>
  <si>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</si>
  <si>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</si>
  <si>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</si>
  <si>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</si>
  <si>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</si>
  <si>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</si>
  <si>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</si>
  <si>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</si>
  <si>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</si>
  <si>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</si>
  <si>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</si>
  <si>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</si>
  <si>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</si>
  <si>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</si>
  <si>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</si>
  <si>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</si>
  <si>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</si>
  <si>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</si>
  <si>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</si>
  <si>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</si>
  <si>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</si>
  <si>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</si>
  <si>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</si>
  <si>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</si>
  <si>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</si>
  <si>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</si>
  <si>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</si>
  <si>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</si>
  <si>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</si>
  <si>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</si>
  <si>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</si>
  <si>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</si>
  <si>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</si>
  <si>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</si>
  <si>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</si>
  <si>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</si>
  <si>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</si>
  <si>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</si>
  <si>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</si>
  <si>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</si>
  <si>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</si>
  <si>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</si>
  <si>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</si>
  <si>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</si>
  <si>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</si>
  <si>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</si>
  <si>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</si>
  <si>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</si>
  <si>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</si>
  <si>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</si>
  <si>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</si>
  <si>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</si>
  <si>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</si>
  <si>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</si>
  <si>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</si>
  <si>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</si>
  <si>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</si>
  <si>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</si>
  <si>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</si>
  <si>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</si>
  <si>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</si>
  <si>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</si>
  <si>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</si>
  <si>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</si>
  <si>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</si>
  <si>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</si>
  <si>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</si>
  <si>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</si>
  <si>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</si>
  <si>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</si>
  <si>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</si>
  <si>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</si>
  <si>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</si>
  <si>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</si>
  <si>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</si>
  <si>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</si>
  <si>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</si>
  <si>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</si>
  <si>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</si>
  <si>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</si>
  <si>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</si>
  <si>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</si>
  <si>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</si>
  <si>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</si>
  <si>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</si>
  <si>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</si>
  <si>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</si>
  <si>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</si>
  <si>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</si>
  <si>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</si>
  <si>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</si>
  <si>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</si>
  <si>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</si>
  <si>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20200717 12:43:40</t>
  </si>
  <si>
    <t>12:43:40</t>
  </si>
  <si>
    <t>MPF-4987-20200717-12_43_42</t>
  </si>
  <si>
    <t>DARK-4988-20200717-12_43_49</t>
  </si>
  <si>
    <t>0: Broadleaf</t>
  </si>
  <si>
    <t>12:44:09</t>
  </si>
  <si>
    <t>2/2</t>
  </si>
  <si>
    <t>5</t>
  </si>
  <si>
    <t>11111111</t>
  </si>
  <si>
    <t>oooooooo</t>
  </si>
  <si>
    <t>off</t>
  </si>
  <si>
    <t>20200717 12:46:03</t>
  </si>
  <si>
    <t>12:46:03</t>
  </si>
  <si>
    <t>MPF-4989-20200717-12_46_04</t>
  </si>
  <si>
    <t>DARK-4990-20200717-12_46_12</t>
  </si>
  <si>
    <t>12:46:35</t>
  </si>
  <si>
    <t>20200717 12:48:06</t>
  </si>
  <si>
    <t>12:48:06</t>
  </si>
  <si>
    <t>MPF-4991-20200717-12_48_08</t>
  </si>
  <si>
    <t>DARK-4992-20200717-12_48_16</t>
  </si>
  <si>
    <t>12:48:36</t>
  </si>
  <si>
    <t>20200717 12:50:08</t>
  </si>
  <si>
    <t>12:50:08</t>
  </si>
  <si>
    <t>MPF-4993-20200717-12_50_10</t>
  </si>
  <si>
    <t>DARK-4994-20200717-12_50_17</t>
  </si>
  <si>
    <t>12:50:36</t>
  </si>
  <si>
    <t>20200717 12:52:07</t>
  </si>
  <si>
    <t>12:52:07</t>
  </si>
  <si>
    <t>MPF-4995-20200717-12_52_09</t>
  </si>
  <si>
    <t>DARK-4996-20200717-12_52_17</t>
  </si>
  <si>
    <t>12:52:38</t>
  </si>
  <si>
    <t>20200717 12:54:13</t>
  </si>
  <si>
    <t>12:54:13</t>
  </si>
  <si>
    <t>MPF-4997-20200717-12_54_15</t>
  </si>
  <si>
    <t>DARK-4998-20200717-12_54_22</t>
  </si>
  <si>
    <t>12:54:47</t>
  </si>
  <si>
    <t>20200717 12:56:18</t>
  </si>
  <si>
    <t>12:56:18</t>
  </si>
  <si>
    <t>MPF-4999-20200717-12_56_20</t>
  </si>
  <si>
    <t>DARK-5000-20200717-12_56_28</t>
  </si>
  <si>
    <t>12:56:44</t>
  </si>
  <si>
    <t>20200717 12:58:25</t>
  </si>
  <si>
    <t>12:58:25</t>
  </si>
  <si>
    <t>MPF-5001-20200717-12_58_26</t>
  </si>
  <si>
    <t>DARK-5002-20200717-12_58_34</t>
  </si>
  <si>
    <t>12:58:50</t>
  </si>
  <si>
    <t>20200717 13:00:51</t>
  </si>
  <si>
    <t>13:00:51</t>
  </si>
  <si>
    <t>MPF-5003-20200717-13_00_53</t>
  </si>
  <si>
    <t>DARK-5004-20200717-13_01_00</t>
  </si>
  <si>
    <t>13:01:24</t>
  </si>
  <si>
    <t>1/2</t>
  </si>
  <si>
    <t>20200717 13:03:25</t>
  </si>
  <si>
    <t>13:03:25</t>
  </si>
  <si>
    <t>MPF-5005-20200717-13_03_27</t>
  </si>
  <si>
    <t>DARK-5006-20200717-13_03_34</t>
  </si>
  <si>
    <t>13:03:56</t>
  </si>
  <si>
    <t>0/2</t>
  </si>
  <si>
    <t>20200717 13:05:42</t>
  </si>
  <si>
    <t>13:05:42</t>
  </si>
  <si>
    <t>MPF-5007-20200717-13_05_43</t>
  </si>
  <si>
    <t>DARK-5008-20200717-13_05_51</t>
  </si>
  <si>
    <t>13:06:13</t>
  </si>
  <si>
    <t>20200717 13:08:08</t>
  </si>
  <si>
    <t>13:08:08</t>
  </si>
  <si>
    <t>MPF-5009-20200717-13_08_09</t>
  </si>
  <si>
    <t>DARK-5010-20200717-13_08_17</t>
  </si>
  <si>
    <t>13:08:36</t>
  </si>
  <si>
    <t>20200717 13:10:18</t>
  </si>
  <si>
    <t>13:10:18</t>
  </si>
  <si>
    <t>MPF-5011-20200717-13_10_19</t>
  </si>
  <si>
    <t>DARK-5012-20200717-13_10_27</t>
  </si>
  <si>
    <t>13:10:42</t>
  </si>
  <si>
    <t>20200717 13:12:43</t>
  </si>
  <si>
    <t>13:12:43</t>
  </si>
  <si>
    <t>MPF-5013-20200717-13_12_45</t>
  </si>
  <si>
    <t>DARK-5014-20200717-13_12_52</t>
  </si>
  <si>
    <t>13:13:10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</si>
</sst>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1595007820.3</v>
      </c>
      <c r="C17">
        <v>0</v>
      </c>
      <c r="D17" t="s">
        <v>277</v>
      </c>
      <c r="E17" t="s">
        <v>278</v>
      </c>
      <c r="G17">
        <v>1595007812.3</v>
      </c>
      <c r="H17">
        <f t="shared" ref="H17:H30" si="0">CC17*AI17*(CA17-CB17)/(100*$B$5*(1000-AI17*CA17))</f>
        <v>1.306317564410334E-2</v>
      </c>
      <c r="I17">
        <f t="shared" ref="I17:I30" si="1">CC17*AI17*(BZ17-BY17*(1000-AI17*CB17)/(1000-AI17*CA17))/(100*$B$5)</f>
        <v>38.771986171546274</v>
      </c>
      <c r="J17">
        <f t="shared" ref="J17:J30" si="2">BY17 - IF(AI17&gt;1, I17*$B$5*100/(AK17*CI17), 0)</f>
        <v>382.50187096774198</v>
      </c>
      <c r="K17">
        <f t="shared" ref="K17:K30" si="3">((Q17-H17/2)*J17-I17)/(Q17+H17/2)</f>
        <v>304.67426123576905</v>
      </c>
      <c r="L17">
        <f t="shared" ref="L17:L30" si="4">K17*(CD17+CE17)/1000</f>
        <v>30.420128186588421</v>
      </c>
      <c r="M17">
        <f t="shared" ref="M17:M30" si="5">(BY17 - IF(AI17&gt;1, I17*$B$5*100/(AK17*CI17), 0))*(CD17+CE17)/1000</f>
        <v>38.190807123823319</v>
      </c>
      <c r="N17">
        <f t="shared" ref="N17:N30" si="6">2/((1/P17-1/O17)+SIGN(P17)*SQRT((1/P17-1/O17)*(1/P17-1/O17) + 4*BV17/((BV17+1)*(BV17+1))*(2*1/P17*1/O17-1/O17*1/O17)))</f>
        <v>1.0146716703528154</v>
      </c>
      <c r="O17">
        <f t="shared" ref="O17:O30" si="7">AF17+AE17*$B$5+AD17*$B$5*$B$5</f>
        <v>3.3905105970753251</v>
      </c>
      <c r="P17">
        <f t="shared" ref="P17:P30" si="8">H17*(1000-(1000*0.61365*EXP(17.502*T17/(240.97+T17))/(CD17+CE17)+CA17)/2)/(1000*0.61365*EXP(17.502*T17/(240.97+T17))/(CD17+CE17)-CA17)</f>
        <v>0.87148025875361834</v>
      </c>
      <c r="Q17">
        <f t="shared" ref="Q17:Q30" si="9">1/((BV17+1)/(N17/1.6)+1/(O17/1.37)) + BV17/((BV17+1)/(N17/1.6) + BV17/(O17/1.37))</f>
        <v>0.55584820833164006</v>
      </c>
      <c r="R17">
        <f t="shared" ref="R17:R30" si="10">(BS17*BU17)</f>
        <v>353.33789350650778</v>
      </c>
      <c r="S17">
        <f t="shared" ref="S17:S30" si="11">(CF17+(R17+2*0.95*0.0000000567*(((CF17+$B$7)+273)^4-(CF17+273)^4)-44100*H17)/(1.84*29.3*O17+8*0.95*0.0000000567*(CF17+273)^3))</f>
        <v>27.365483325703302</v>
      </c>
      <c r="T17">
        <f t="shared" ref="T17:T30" si="12">($C$7*CG17+$D$7*CH17+$E$7*S17)</f>
        <v>27.028351612903201</v>
      </c>
      <c r="U17">
        <f t="shared" ref="U17:U30" si="13">0.61365*EXP(17.502*T17/(240.97+T17))</f>
        <v>3.5851239010598639</v>
      </c>
      <c r="V17">
        <f t="shared" ref="V17:V30" si="14">(W17/X17*100)</f>
        <v>54.521343416441837</v>
      </c>
      <c r="W17">
        <f t="shared" ref="W17:W30" si="15">CA17*(CD17+CE17)/1000</f>
        <v>2.1313306726357477</v>
      </c>
      <c r="X17">
        <f t="shared" ref="X17:X30" si="16">0.61365*EXP(17.502*CF17/(240.97+CF17))</f>
        <v>3.9091675646293935</v>
      </c>
      <c r="Y17">
        <f t="shared" ref="Y17:Y30" si="17">(U17-CA17*(CD17+CE17)/1000)</f>
        <v>1.4537932284241162</v>
      </c>
      <c r="Z17">
        <f t="shared" ref="Z17:Z30" si="18">(-H17*44100)</f>
        <v>-576.08604590495725</v>
      </c>
      <c r="AA17">
        <f t="shared" ref="AA17:AA30" si="19">2*29.3*O17*0.92*(CF17-T17)</f>
        <v>270.85233025042265</v>
      </c>
      <c r="AB17">
        <f t="shared" ref="AB17:AB30" si="20">2*0.95*0.0000000567*(((CF17+$B$7)+273)^4-(T17+273)^4)</f>
        <v>17.373269753119615</v>
      </c>
      <c r="AC17">
        <f t="shared" ref="AC17:AC30" si="21">R17+AB17+Z17+AA17</f>
        <v>65.477447605092777</v>
      </c>
      <c r="AD17">
        <v>-4.1300736914324301E-2</v>
      </c>
      <c r="AE17">
        <v>4.6363695329601197E-2</v>
      </c>
      <c r="AF17">
        <v>3.4629861540734201</v>
      </c>
      <c r="AG17">
        <v>157</v>
      </c>
      <c r="AH17">
        <v>31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52402.207336389205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303.86016000000001</v>
      </c>
      <c r="AT17">
        <v>433.267</v>
      </c>
      <c r="AU17">
        <f t="shared" ref="AU17:AU30" si="27">1-AS17/AT17</f>
        <v>0.29867688977004936</v>
      </c>
      <c r="AV17">
        <v>0.5</v>
      </c>
      <c r="AW17">
        <f t="shared" ref="AW17:AW30" si="28">BS17</f>
        <v>1849.1855997090513</v>
      </c>
      <c r="AX17">
        <f t="shared" ref="AX17:AX30" si="29">I17</f>
        <v>38.771986171546274</v>
      </c>
      <c r="AY17">
        <f t="shared" ref="AY17:AY30" si="30">AU17*AV17*AW17</f>
        <v>276.15450176433148</v>
      </c>
      <c r="AZ17">
        <f t="shared" ref="AZ17:AZ30" si="31">BE17/AT17</f>
        <v>0.55463951789543164</v>
      </c>
      <c r="BA17">
        <f t="shared" ref="BA17:BA30" si="32">(AX17-AQ17)/AW17</f>
        <v>2.1507839006427453E-2</v>
      </c>
      <c r="BB17">
        <f t="shared" ref="BB17:BB30" si="33">(AN17-AT17)/AT17</f>
        <v>-1</v>
      </c>
      <c r="BC17" t="s">
        <v>280</v>
      </c>
      <c r="BD17">
        <v>192.96</v>
      </c>
      <c r="BE17">
        <f t="shared" ref="BE17:BE30" si="34">AT17-BD17</f>
        <v>240.30699999999999</v>
      </c>
      <c r="BF17">
        <f t="shared" ref="BF17:BF30" si="35">(AT17-AS17)/(AT17-BD17)</f>
        <v>0.53850632732296599</v>
      </c>
      <c r="BG17">
        <f t="shared" ref="BG17:BG30" si="36">(AN17-AT17)/(AN17-BD17)</f>
        <v>2.2453720978441125</v>
      </c>
      <c r="BH17">
        <f t="shared" ref="BH17:BH30" si="37">(AT17-AS17)/(AT17-AM17)</f>
        <v>0.29867688977004941</v>
      </c>
      <c r="BI17" t="e">
        <f t="shared" ref="BI17:BI30" si="38">(AN17-AT17)/(AN17-AM17)</f>
        <v>#DIV/0!</v>
      </c>
      <c r="BJ17">
        <v>4987</v>
      </c>
      <c r="BK17">
        <v>300</v>
      </c>
      <c r="BL17">
        <v>300</v>
      </c>
      <c r="BM17">
        <v>300</v>
      </c>
      <c r="BN17">
        <v>9867.8799999999992</v>
      </c>
      <c r="BO17">
        <v>395.99</v>
      </c>
      <c r="BP17">
        <v>-6.3999399999999998E-3</v>
      </c>
      <c r="BQ17">
        <v>0.94006299999999998</v>
      </c>
      <c r="BR17">
        <f t="shared" ref="BR17:BR30" si="39">$B$11*CJ17+$C$11*CK17+$F$11*CL17</f>
        <v>2200.0003225806399</v>
      </c>
      <c r="BS17">
        <f t="shared" ref="BS17:BS30" si="40">BR17*BT17</f>
        <v>1849.1855997090513</v>
      </c>
      <c r="BT17">
        <f t="shared" ref="BT17:BT30" si="41">($B$11*$D$9+$C$11*$D$9+$F$11*((CY17+CQ17)/MAX(CY17+CQ17+CZ17, 0.1)*$I$9+CZ17/MAX(CY17+CQ17+CZ17, 0.1)*$J$9))/($B$11+$C$11+$F$11)</f>
        <v>0.8405387857125054</v>
      </c>
      <c r="BU17">
        <f t="shared" ref="BU17:BU30" si="42">($B$11*$K$9+$C$11*$K$9+$F$11*((CY17+CQ17)/MAX(CY17+CQ17+CZ17, 0.1)*$P$9+CZ17/MAX(CY17+CQ17+CZ17, 0.1)*$Q$9))/($B$11+$C$11+$F$11)</f>
        <v>0.19107757142501086</v>
      </c>
      <c r="BV17">
        <v>0.5</v>
      </c>
      <c r="BW17" t="s">
        <v>281</v>
      </c>
      <c r="BX17">
        <v>1595007812.3</v>
      </c>
      <c r="BY17">
        <v>382.50187096774198</v>
      </c>
      <c r="BZ17">
        <v>400.00745161290303</v>
      </c>
      <c r="CA17">
        <v>21.346445161290301</v>
      </c>
      <c r="CB17">
        <v>16.233267741935499</v>
      </c>
      <c r="CC17">
        <v>500.05396774193503</v>
      </c>
      <c r="CD17">
        <v>99.644764516129101</v>
      </c>
      <c r="CE17">
        <v>0.19999448387096799</v>
      </c>
      <c r="CF17">
        <v>28.510125806451601</v>
      </c>
      <c r="CG17">
        <v>27.028351612903201</v>
      </c>
      <c r="CH17">
        <v>999.9</v>
      </c>
      <c r="CI17">
        <v>9995.3806451612909</v>
      </c>
      <c r="CJ17">
        <v>0</v>
      </c>
      <c r="CK17">
        <v>84.9881483870968</v>
      </c>
      <c r="CL17">
        <v>2200.0003225806399</v>
      </c>
      <c r="CM17">
        <v>0.98199870967741998</v>
      </c>
      <c r="CN17">
        <v>1.8001654838709701E-2</v>
      </c>
      <c r="CO17">
        <v>0</v>
      </c>
      <c r="CP17">
        <v>304.000870967742</v>
      </c>
      <c r="CQ17">
        <v>5.00054</v>
      </c>
      <c r="CR17">
        <v>8121.7051612903197</v>
      </c>
      <c r="CS17">
        <v>20590.529032258099</v>
      </c>
      <c r="CT17">
        <v>49.152967741935498</v>
      </c>
      <c r="CU17">
        <v>50.495741935483899</v>
      </c>
      <c r="CV17">
        <v>49.449322580645202</v>
      </c>
      <c r="CW17">
        <v>49.558354838709697</v>
      </c>
      <c r="CX17">
        <v>50.685225806451598</v>
      </c>
      <c r="CY17">
        <v>2155.4893548387099</v>
      </c>
      <c r="CZ17">
        <v>39.510967741935502</v>
      </c>
      <c r="DA17">
        <v>0</v>
      </c>
      <c r="DB17">
        <v>431.09999990463302</v>
      </c>
      <c r="DC17">
        <v>303.86016000000001</v>
      </c>
      <c r="DD17">
        <v>-7.9193846176615699</v>
      </c>
      <c r="DE17">
        <v>-746.86769349760698</v>
      </c>
      <c r="DF17">
        <v>8108.7012000000004</v>
      </c>
      <c r="DG17">
        <v>15</v>
      </c>
      <c r="DH17">
        <v>1595007849.8</v>
      </c>
      <c r="DI17" t="s">
        <v>282</v>
      </c>
      <c r="DJ17">
        <v>57</v>
      </c>
      <c r="DK17">
        <v>-0.41099999999999998</v>
      </c>
      <c r="DL17">
        <v>9.5000000000000001E-2</v>
      </c>
      <c r="DM17">
        <v>400</v>
      </c>
      <c r="DN17">
        <v>16</v>
      </c>
      <c r="DO17">
        <v>0.09</v>
      </c>
      <c r="DP17">
        <v>0.02</v>
      </c>
      <c r="DQ17">
        <v>382.46303921568602</v>
      </c>
      <c r="DR17">
        <v>0.19736470588240199</v>
      </c>
      <c r="DS17">
        <v>2.73567289527217E-2</v>
      </c>
      <c r="DT17">
        <v>1</v>
      </c>
      <c r="DU17">
        <v>21.343001960784299</v>
      </c>
      <c r="DV17">
        <v>0.15492705882351199</v>
      </c>
      <c r="DW17">
        <v>3.3733514435281102E-2</v>
      </c>
      <c r="DX17">
        <v>1</v>
      </c>
      <c r="DY17">
        <v>2</v>
      </c>
      <c r="DZ17">
        <v>2</v>
      </c>
      <c r="EA17" t="s">
        <v>283</v>
      </c>
      <c r="EB17">
        <v>1.86676</v>
      </c>
      <c r="EC17">
        <v>1.86327</v>
      </c>
      <c r="ED17">
        <v>1.86893</v>
      </c>
      <c r="EE17">
        <v>1.8669100000000001</v>
      </c>
      <c r="EF17">
        <v>1.87157</v>
      </c>
      <c r="EG17">
        <v>1.8640099999999999</v>
      </c>
      <c r="EH17">
        <v>1.86554</v>
      </c>
      <c r="EI17">
        <v>1.86544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-0.41099999999999998</v>
      </c>
      <c r="EX17">
        <v>9.5000000000000001E-2</v>
      </c>
      <c r="EY17">
        <v>2</v>
      </c>
      <c r="EZ17">
        <v>324.48</v>
      </c>
      <c r="FA17">
        <v>460.39400000000001</v>
      </c>
      <c r="FB17">
        <v>24.242100000000001</v>
      </c>
      <c r="FC17">
        <v>37.089700000000001</v>
      </c>
      <c r="FD17">
        <v>29.997800000000002</v>
      </c>
      <c r="FE17">
        <v>37.295400000000001</v>
      </c>
      <c r="FF17">
        <v>37.302500000000002</v>
      </c>
      <c r="FG17">
        <v>22.0213</v>
      </c>
      <c r="FH17">
        <v>55.332099999999997</v>
      </c>
      <c r="FI17">
        <v>0</v>
      </c>
      <c r="FJ17">
        <v>24.2681</v>
      </c>
      <c r="FK17">
        <v>400</v>
      </c>
      <c r="FL17">
        <v>16.353100000000001</v>
      </c>
      <c r="FM17">
        <v>100.19799999999999</v>
      </c>
      <c r="FN17">
        <v>100.499</v>
      </c>
    </row>
    <row r="18" spans="1:170" x14ac:dyDescent="0.25">
      <c r="A18">
        <v>2</v>
      </c>
      <c r="B18">
        <v>1595007963.3</v>
      </c>
      <c r="C18">
        <v>143</v>
      </c>
      <c r="D18" t="s">
        <v>288</v>
      </c>
      <c r="E18" t="s">
        <v>289</v>
      </c>
      <c r="G18">
        <v>1595007955.3</v>
      </c>
      <c r="H18">
        <f t="shared" si="0"/>
        <v>1.2710986070967661E-2</v>
      </c>
      <c r="I18">
        <f t="shared" si="1"/>
        <v>30.021564681081042</v>
      </c>
      <c r="J18">
        <f t="shared" si="2"/>
        <v>286.53754838709699</v>
      </c>
      <c r="K18">
        <f t="shared" si="3"/>
        <v>224.85930312933877</v>
      </c>
      <c r="L18">
        <f t="shared" si="4"/>
        <v>22.450568141035902</v>
      </c>
      <c r="M18">
        <f t="shared" si="5"/>
        <v>28.608692927104197</v>
      </c>
      <c r="N18">
        <f t="shared" si="6"/>
        <v>0.98043204686541785</v>
      </c>
      <c r="O18">
        <f t="shared" si="7"/>
        <v>3.3969630307633665</v>
      </c>
      <c r="P18">
        <f t="shared" si="8"/>
        <v>0.84627864173555056</v>
      </c>
      <c r="Q18">
        <f t="shared" si="9"/>
        <v>0.539440505646957</v>
      </c>
      <c r="R18">
        <f t="shared" si="10"/>
        <v>353.33834931641883</v>
      </c>
      <c r="S18">
        <f t="shared" si="11"/>
        <v>26.931319942436595</v>
      </c>
      <c r="T18">
        <f t="shared" si="12"/>
        <v>26.985848387096802</v>
      </c>
      <c r="U18">
        <f t="shared" si="13"/>
        <v>3.5761859200367478</v>
      </c>
      <c r="V18">
        <f t="shared" si="14"/>
        <v>55.86547239429602</v>
      </c>
      <c r="W18">
        <f t="shared" si="15"/>
        <v>2.1193350345708835</v>
      </c>
      <c r="X18">
        <f t="shared" si="16"/>
        <v>3.79364022846296</v>
      </c>
      <c r="Y18">
        <f t="shared" si="17"/>
        <v>1.4568508854658644</v>
      </c>
      <c r="Z18">
        <f t="shared" si="18"/>
        <v>-560.55448572967384</v>
      </c>
      <c r="AA18">
        <f t="shared" si="19"/>
        <v>184.73568031416301</v>
      </c>
      <c r="AB18">
        <f t="shared" si="20"/>
        <v>11.79406153536528</v>
      </c>
      <c r="AC18">
        <f t="shared" si="21"/>
        <v>-10.686394563726708</v>
      </c>
      <c r="AD18">
        <v>-4.1400678288768297E-2</v>
      </c>
      <c r="AE18">
        <v>4.6475888277759801E-2</v>
      </c>
      <c r="AF18">
        <v>3.4696139673629198</v>
      </c>
      <c r="AG18">
        <v>155</v>
      </c>
      <c r="AH18">
        <v>31</v>
      </c>
      <c r="AI18">
        <f t="shared" si="22"/>
        <v>1</v>
      </c>
      <c r="AJ18">
        <f t="shared" si="23"/>
        <v>0</v>
      </c>
      <c r="AK18">
        <f t="shared" si="24"/>
        <v>52613.720524326498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275.36455999999998</v>
      </c>
      <c r="AT18">
        <v>379.94299999999998</v>
      </c>
      <c r="AU18">
        <f t="shared" si="27"/>
        <v>0.27524770820886291</v>
      </c>
      <c r="AV18">
        <v>0.5</v>
      </c>
      <c r="AW18">
        <f t="shared" si="28"/>
        <v>1849.1855997089892</v>
      </c>
      <c r="AX18">
        <f t="shared" si="29"/>
        <v>30.021564681081042</v>
      </c>
      <c r="AY18">
        <f t="shared" si="30"/>
        <v>254.49204918636551</v>
      </c>
      <c r="AZ18">
        <f t="shared" si="31"/>
        <v>0.51061080214663779</v>
      </c>
      <c r="BA18">
        <f t="shared" si="32"/>
        <v>1.6775798322225189E-2</v>
      </c>
      <c r="BB18">
        <f t="shared" si="33"/>
        <v>-1</v>
      </c>
      <c r="BC18" t="s">
        <v>291</v>
      </c>
      <c r="BD18">
        <v>185.94</v>
      </c>
      <c r="BE18">
        <f t="shared" si="34"/>
        <v>194.00299999999999</v>
      </c>
      <c r="BF18">
        <f t="shared" si="35"/>
        <v>0.53905578779709595</v>
      </c>
      <c r="BG18">
        <f t="shared" si="36"/>
        <v>2.0433634505754545</v>
      </c>
      <c r="BH18">
        <f t="shared" si="37"/>
        <v>0.27524770820886291</v>
      </c>
      <c r="BI18" t="e">
        <f t="shared" si="38"/>
        <v>#DIV/0!</v>
      </c>
      <c r="BJ18">
        <v>4989</v>
      </c>
      <c r="BK18">
        <v>300</v>
      </c>
      <c r="BL18">
        <v>300</v>
      </c>
      <c r="BM18">
        <v>300</v>
      </c>
      <c r="BN18">
        <v>9869.4599999999991</v>
      </c>
      <c r="BO18">
        <v>349.31099999999998</v>
      </c>
      <c r="BP18">
        <v>-6.4013400000000002E-3</v>
      </c>
      <c r="BQ18">
        <v>1.2188099999999999</v>
      </c>
      <c r="BR18">
        <f t="shared" si="39"/>
        <v>2200</v>
      </c>
      <c r="BS18">
        <f t="shared" si="40"/>
        <v>1849.1855997089892</v>
      </c>
      <c r="BT18">
        <f t="shared" si="41"/>
        <v>0.84053890895863148</v>
      </c>
      <c r="BU18">
        <f t="shared" si="42"/>
        <v>0.19107781791726289</v>
      </c>
      <c r="BV18">
        <v>0.5</v>
      </c>
      <c r="BW18" t="s">
        <v>281</v>
      </c>
      <c r="BX18">
        <v>1595007955.3</v>
      </c>
      <c r="BY18">
        <v>286.53754838709699</v>
      </c>
      <c r="BZ18">
        <v>300.00177419354799</v>
      </c>
      <c r="CA18">
        <v>21.226732258064501</v>
      </c>
      <c r="CB18">
        <v>16.250732258064499</v>
      </c>
      <c r="CC18">
        <v>500.047161290323</v>
      </c>
      <c r="CD18">
        <v>99.642751612903197</v>
      </c>
      <c r="CE18">
        <v>0.19998483870967701</v>
      </c>
      <c r="CF18">
        <v>27.994577419354801</v>
      </c>
      <c r="CG18">
        <v>26.985848387096802</v>
      </c>
      <c r="CH18">
        <v>999.9</v>
      </c>
      <c r="CI18">
        <v>10019.7703225806</v>
      </c>
      <c r="CJ18">
        <v>0</v>
      </c>
      <c r="CK18">
        <v>199.16793548387099</v>
      </c>
      <c r="CL18">
        <v>2200</v>
      </c>
      <c r="CM18">
        <v>0.98199548387096802</v>
      </c>
      <c r="CN18">
        <v>1.8004245161290299E-2</v>
      </c>
      <c r="CO18">
        <v>0</v>
      </c>
      <c r="CP18">
        <v>275.40064516129002</v>
      </c>
      <c r="CQ18">
        <v>5.00054</v>
      </c>
      <c r="CR18">
        <v>8615.5029032258099</v>
      </c>
      <c r="CS18">
        <v>20590.5193548387</v>
      </c>
      <c r="CT18">
        <v>48.5884838709677</v>
      </c>
      <c r="CU18">
        <v>49.808</v>
      </c>
      <c r="CV18">
        <v>48.811999999999998</v>
      </c>
      <c r="CW18">
        <v>48.878935483870997</v>
      </c>
      <c r="CX18">
        <v>50.052096774193501</v>
      </c>
      <c r="CY18">
        <v>2155.48</v>
      </c>
      <c r="CZ18">
        <v>39.520000000000003</v>
      </c>
      <c r="DA18">
        <v>0</v>
      </c>
      <c r="DB18">
        <v>142.299999952316</v>
      </c>
      <c r="DC18">
        <v>275.36455999999998</v>
      </c>
      <c r="DD18">
        <v>-3.5179999921076899</v>
      </c>
      <c r="DE18">
        <v>-99.968461723105705</v>
      </c>
      <c r="DF18">
        <v>8614.07</v>
      </c>
      <c r="DG18">
        <v>15</v>
      </c>
      <c r="DH18">
        <v>1595007995.3</v>
      </c>
      <c r="DI18" t="s">
        <v>292</v>
      </c>
      <c r="DJ18">
        <v>58</v>
      </c>
      <c r="DK18">
        <v>-0.434</v>
      </c>
      <c r="DL18">
        <v>9.7000000000000003E-2</v>
      </c>
      <c r="DM18">
        <v>300</v>
      </c>
      <c r="DN18">
        <v>16</v>
      </c>
      <c r="DO18">
        <v>0.27</v>
      </c>
      <c r="DP18">
        <v>0.02</v>
      </c>
      <c r="DQ18">
        <v>286.57164705882298</v>
      </c>
      <c r="DR18">
        <v>-0.19544253393664399</v>
      </c>
      <c r="DS18">
        <v>3.3662583830912397E-2</v>
      </c>
      <c r="DT18">
        <v>1</v>
      </c>
      <c r="DU18">
        <v>21.247831372549001</v>
      </c>
      <c r="DV18">
        <v>-0.185569954751132</v>
      </c>
      <c r="DW18">
        <v>3.5883665464047997E-2</v>
      </c>
      <c r="DX18">
        <v>1</v>
      </c>
      <c r="DY18">
        <v>2</v>
      </c>
      <c r="DZ18">
        <v>2</v>
      </c>
      <c r="EA18" t="s">
        <v>283</v>
      </c>
      <c r="EB18">
        <v>1.86676</v>
      </c>
      <c r="EC18">
        <v>1.86327</v>
      </c>
      <c r="ED18">
        <v>1.8689499999999999</v>
      </c>
      <c r="EE18">
        <v>1.8668800000000001</v>
      </c>
      <c r="EF18">
        <v>1.8716200000000001</v>
      </c>
      <c r="EG18">
        <v>1.8640099999999999</v>
      </c>
      <c r="EH18">
        <v>1.86554</v>
      </c>
      <c r="EI18">
        <v>1.8654900000000001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-0.434</v>
      </c>
      <c r="EX18">
        <v>9.7000000000000003E-2</v>
      </c>
      <c r="EY18">
        <v>2</v>
      </c>
      <c r="EZ18">
        <v>326.041</v>
      </c>
      <c r="FA18">
        <v>462.077</v>
      </c>
      <c r="FB18">
        <v>23.471399999999999</v>
      </c>
      <c r="FC18">
        <v>36.5899</v>
      </c>
      <c r="FD18">
        <v>29.998799999999999</v>
      </c>
      <c r="FE18">
        <v>36.8812</v>
      </c>
      <c r="FF18">
        <v>36.913899999999998</v>
      </c>
      <c r="FG18">
        <v>17.5307</v>
      </c>
      <c r="FH18">
        <v>56.713000000000001</v>
      </c>
      <c r="FI18">
        <v>0</v>
      </c>
      <c r="FJ18">
        <v>23.380800000000001</v>
      </c>
      <c r="FK18">
        <v>300</v>
      </c>
      <c r="FL18">
        <v>15.870100000000001</v>
      </c>
      <c r="FM18">
        <v>100.292</v>
      </c>
      <c r="FN18">
        <v>100.60599999999999</v>
      </c>
    </row>
    <row r="19" spans="1:170" x14ac:dyDescent="0.25">
      <c r="A19">
        <v>3</v>
      </c>
      <c r="B19">
        <v>1595008086.8</v>
      </c>
      <c r="C19">
        <v>266.5</v>
      </c>
      <c r="D19" t="s">
        <v>293</v>
      </c>
      <c r="E19" t="s">
        <v>294</v>
      </c>
      <c r="G19">
        <v>1595008078.8</v>
      </c>
      <c r="H19">
        <f t="shared" si="0"/>
        <v>1.185210772295916E-2</v>
      </c>
      <c r="I19">
        <f t="shared" si="1"/>
        <v>19.376481241530886</v>
      </c>
      <c r="J19">
        <f t="shared" si="2"/>
        <v>191.369870967742</v>
      </c>
      <c r="K19">
        <f t="shared" si="3"/>
        <v>147.44950364597426</v>
      </c>
      <c r="L19">
        <f t="shared" si="4"/>
        <v>14.720206663620298</v>
      </c>
      <c r="M19">
        <f t="shared" si="5"/>
        <v>19.104873059451791</v>
      </c>
      <c r="N19">
        <f t="shared" si="6"/>
        <v>0.87364476097209498</v>
      </c>
      <c r="O19">
        <f t="shared" si="7"/>
        <v>3.3909682257624891</v>
      </c>
      <c r="P19">
        <f t="shared" si="8"/>
        <v>0.76523937276403575</v>
      </c>
      <c r="Q19">
        <f t="shared" si="9"/>
        <v>0.48688898588072893</v>
      </c>
      <c r="R19">
        <f t="shared" si="10"/>
        <v>353.33896712062267</v>
      </c>
      <c r="S19">
        <f t="shared" si="11"/>
        <v>26.917615447439683</v>
      </c>
      <c r="T19">
        <f t="shared" si="12"/>
        <v>27.047758064516099</v>
      </c>
      <c r="U19">
        <f t="shared" si="13"/>
        <v>3.5892113535963817</v>
      </c>
      <c r="V19">
        <f t="shared" si="14"/>
        <v>55.678789358248636</v>
      </c>
      <c r="W19">
        <f t="shared" si="15"/>
        <v>2.0869564793020912</v>
      </c>
      <c r="X19">
        <f t="shared" si="16"/>
        <v>3.7482073575166823</v>
      </c>
      <c r="Y19">
        <f t="shared" si="17"/>
        <v>1.5022548742942905</v>
      </c>
      <c r="Z19">
        <f t="shared" si="18"/>
        <v>-522.67795058249897</v>
      </c>
      <c r="AA19">
        <f t="shared" si="19"/>
        <v>135.33947350306346</v>
      </c>
      <c r="AB19">
        <f t="shared" si="20"/>
        <v>8.64948222039847</v>
      </c>
      <c r="AC19">
        <f t="shared" si="21"/>
        <v>-25.350027738414383</v>
      </c>
      <c r="AD19">
        <v>-4.13078222735603E-2</v>
      </c>
      <c r="AE19">
        <v>4.63716492660552E-2</v>
      </c>
      <c r="AF19">
        <v>3.4634562163246199</v>
      </c>
      <c r="AG19">
        <v>156</v>
      </c>
      <c r="AH19">
        <v>31</v>
      </c>
      <c r="AI19">
        <f t="shared" si="22"/>
        <v>1</v>
      </c>
      <c r="AJ19">
        <f t="shared" si="23"/>
        <v>0</v>
      </c>
      <c r="AK19">
        <f t="shared" si="24"/>
        <v>52536.374616823479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266.16896000000003</v>
      </c>
      <c r="AT19">
        <v>350.334</v>
      </c>
      <c r="AU19">
        <f t="shared" si="27"/>
        <v>0.24024228307843365</v>
      </c>
      <c r="AV19">
        <v>0.5</v>
      </c>
      <c r="AW19">
        <f t="shared" si="28"/>
        <v>1849.1888513218914</v>
      </c>
      <c r="AX19">
        <f t="shared" si="29"/>
        <v>19.376481241530886</v>
      </c>
      <c r="AY19">
        <f t="shared" si="30"/>
        <v>222.12667574237869</v>
      </c>
      <c r="AZ19">
        <f t="shared" si="31"/>
        <v>0.45617610623005472</v>
      </c>
      <c r="BA19">
        <f t="shared" si="32"/>
        <v>1.1019145625372321E-2</v>
      </c>
      <c r="BB19">
        <f t="shared" si="33"/>
        <v>-1</v>
      </c>
      <c r="BC19" t="s">
        <v>296</v>
      </c>
      <c r="BD19">
        <v>190.52</v>
      </c>
      <c r="BE19">
        <f t="shared" si="34"/>
        <v>159.81399999999999</v>
      </c>
      <c r="BF19">
        <f t="shared" si="35"/>
        <v>0.52664372332836906</v>
      </c>
      <c r="BG19">
        <f t="shared" si="36"/>
        <v>1.8388305689691371</v>
      </c>
      <c r="BH19">
        <f t="shared" si="37"/>
        <v>0.24024228307843365</v>
      </c>
      <c r="BI19" t="e">
        <f t="shared" si="38"/>
        <v>#DIV/0!</v>
      </c>
      <c r="BJ19">
        <v>4991</v>
      </c>
      <c r="BK19">
        <v>300</v>
      </c>
      <c r="BL19">
        <v>300</v>
      </c>
      <c r="BM19">
        <v>300</v>
      </c>
      <c r="BN19">
        <v>9869.9599999999991</v>
      </c>
      <c r="BO19">
        <v>325.10899999999998</v>
      </c>
      <c r="BP19">
        <v>-6.4016899999999998E-3</v>
      </c>
      <c r="BQ19">
        <v>1.26498</v>
      </c>
      <c r="BR19">
        <f t="shared" si="39"/>
        <v>2200.0038709677401</v>
      </c>
      <c r="BS19">
        <f t="shared" si="40"/>
        <v>1849.1888513218914</v>
      </c>
      <c r="BT19">
        <f t="shared" si="41"/>
        <v>0.84053890801040643</v>
      </c>
      <c r="BU19">
        <f t="shared" si="42"/>
        <v>0.19107781602081286</v>
      </c>
      <c r="BV19">
        <v>0.5</v>
      </c>
      <c r="BW19" t="s">
        <v>281</v>
      </c>
      <c r="BX19">
        <v>1595008078.8</v>
      </c>
      <c r="BY19">
        <v>191.369870967742</v>
      </c>
      <c r="BZ19">
        <v>200.027064516129</v>
      </c>
      <c r="CA19">
        <v>20.904645161290301</v>
      </c>
      <c r="CB19">
        <v>16.263258064516101</v>
      </c>
      <c r="CC19">
        <v>500.03774193548401</v>
      </c>
      <c r="CD19">
        <v>99.632199999999997</v>
      </c>
      <c r="CE19">
        <v>0.19998864516129</v>
      </c>
      <c r="CF19">
        <v>27.788070967741898</v>
      </c>
      <c r="CG19">
        <v>27.047758064516099</v>
      </c>
      <c r="CH19">
        <v>999.9</v>
      </c>
      <c r="CI19">
        <v>9998.3561290322596</v>
      </c>
      <c r="CJ19">
        <v>0</v>
      </c>
      <c r="CK19">
        <v>192.07335483871</v>
      </c>
      <c r="CL19">
        <v>2200.0038709677401</v>
      </c>
      <c r="CM19">
        <v>0.98199499999999995</v>
      </c>
      <c r="CN19">
        <v>1.8004599999999999E-2</v>
      </c>
      <c r="CO19">
        <v>0</v>
      </c>
      <c r="CP19">
        <v>266.21219354838701</v>
      </c>
      <c r="CQ19">
        <v>5.00054</v>
      </c>
      <c r="CR19">
        <v>8336.9693548387095</v>
      </c>
      <c r="CS19">
        <v>20590.5419354839</v>
      </c>
      <c r="CT19">
        <v>48.4856451612903</v>
      </c>
      <c r="CU19">
        <v>49.8241935483871</v>
      </c>
      <c r="CV19">
        <v>48.703258064516099</v>
      </c>
      <c r="CW19">
        <v>48.8929032258064</v>
      </c>
      <c r="CX19">
        <v>49.941193548387098</v>
      </c>
      <c r="CY19">
        <v>2155.4838709677401</v>
      </c>
      <c r="CZ19">
        <v>39.520000000000003</v>
      </c>
      <c r="DA19">
        <v>0</v>
      </c>
      <c r="DB19">
        <v>123</v>
      </c>
      <c r="DC19">
        <v>266.16896000000003</v>
      </c>
      <c r="DD19">
        <v>-2.20169230565187</v>
      </c>
      <c r="DE19">
        <v>-93.289230661916307</v>
      </c>
      <c r="DF19">
        <v>8335.4315999999999</v>
      </c>
      <c r="DG19">
        <v>15</v>
      </c>
      <c r="DH19">
        <v>1595008116.8</v>
      </c>
      <c r="DI19" t="s">
        <v>297</v>
      </c>
      <c r="DJ19">
        <v>59</v>
      </c>
      <c r="DK19">
        <v>-0.41299999999999998</v>
      </c>
      <c r="DL19">
        <v>9.9000000000000005E-2</v>
      </c>
      <c r="DM19">
        <v>200</v>
      </c>
      <c r="DN19">
        <v>16</v>
      </c>
      <c r="DO19">
        <v>0.5</v>
      </c>
      <c r="DP19">
        <v>0.02</v>
      </c>
      <c r="DQ19">
        <v>191.33405882352901</v>
      </c>
      <c r="DR19">
        <v>0.16207058823519499</v>
      </c>
      <c r="DS19">
        <v>2.2432829378167998E-2</v>
      </c>
      <c r="DT19">
        <v>1</v>
      </c>
      <c r="DU19">
        <v>20.9128607843137</v>
      </c>
      <c r="DV19">
        <v>-0.124352579185541</v>
      </c>
      <c r="DW19">
        <v>1.52986360846814E-2</v>
      </c>
      <c r="DX19">
        <v>1</v>
      </c>
      <c r="DY19">
        <v>2</v>
      </c>
      <c r="DZ19">
        <v>2</v>
      </c>
      <c r="EA19" t="s">
        <v>283</v>
      </c>
      <c r="EB19">
        <v>1.8667</v>
      </c>
      <c r="EC19">
        <v>1.8632200000000001</v>
      </c>
      <c r="ED19">
        <v>1.8688499999999999</v>
      </c>
      <c r="EE19">
        <v>1.86676</v>
      </c>
      <c r="EF19">
        <v>1.87148</v>
      </c>
      <c r="EG19">
        <v>1.86389</v>
      </c>
      <c r="EH19">
        <v>1.86541</v>
      </c>
      <c r="EI19">
        <v>1.8653900000000001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-0.41299999999999998</v>
      </c>
      <c r="EX19">
        <v>9.9000000000000005E-2</v>
      </c>
      <c r="EY19">
        <v>2</v>
      </c>
      <c r="EZ19">
        <v>325.79399999999998</v>
      </c>
      <c r="FA19">
        <v>460.54399999999998</v>
      </c>
      <c r="FB19">
        <v>21.2117</v>
      </c>
      <c r="FC19">
        <v>36.624299999999998</v>
      </c>
      <c r="FD19">
        <v>30.000800000000002</v>
      </c>
      <c r="FE19">
        <v>36.816099999999999</v>
      </c>
      <c r="FF19">
        <v>36.846200000000003</v>
      </c>
      <c r="FG19">
        <v>12.856400000000001</v>
      </c>
      <c r="FH19">
        <v>56.049700000000001</v>
      </c>
      <c r="FI19">
        <v>0</v>
      </c>
      <c r="FJ19">
        <v>20.7608</v>
      </c>
      <c r="FK19">
        <v>200</v>
      </c>
      <c r="FL19">
        <v>16.011900000000001</v>
      </c>
      <c r="FM19">
        <v>100.26600000000001</v>
      </c>
      <c r="FN19">
        <v>100.56399999999999</v>
      </c>
    </row>
    <row r="20" spans="1:170" x14ac:dyDescent="0.25">
      <c r="A20">
        <v>4</v>
      </c>
      <c r="B20">
        <v>1595008208.3</v>
      </c>
      <c r="C20">
        <v>388</v>
      </c>
      <c r="D20" t="s">
        <v>298</v>
      </c>
      <c r="E20" t="s">
        <v>299</v>
      </c>
      <c r="G20">
        <v>1595008200.3</v>
      </c>
      <c r="H20">
        <f t="shared" si="0"/>
        <v>1.1913294153142663E-2</v>
      </c>
      <c r="I20">
        <f t="shared" si="1"/>
        <v>7.0851439538129339</v>
      </c>
      <c r="J20">
        <f t="shared" si="2"/>
        <v>96.694070967741993</v>
      </c>
      <c r="K20">
        <f t="shared" si="3"/>
        <v>79.410677787235059</v>
      </c>
      <c r="L20">
        <f t="shared" si="4"/>
        <v>7.9278529761071592</v>
      </c>
      <c r="M20">
        <f t="shared" si="5"/>
        <v>9.6533161490878783</v>
      </c>
      <c r="N20">
        <f t="shared" si="6"/>
        <v>0.84110228492389905</v>
      </c>
      <c r="O20">
        <f t="shared" si="7"/>
        <v>3.3907373208747429</v>
      </c>
      <c r="P20">
        <f t="shared" si="8"/>
        <v>0.740118980726584</v>
      </c>
      <c r="Q20">
        <f t="shared" si="9"/>
        <v>0.47063315089242297</v>
      </c>
      <c r="R20">
        <f t="shared" si="10"/>
        <v>353.3378525972131</v>
      </c>
      <c r="S20">
        <f t="shared" si="11"/>
        <v>26.859143110066622</v>
      </c>
      <c r="T20">
        <f t="shared" si="12"/>
        <v>27.052900000000001</v>
      </c>
      <c r="U20">
        <f t="shared" si="13"/>
        <v>3.590295046916673</v>
      </c>
      <c r="V20">
        <f t="shared" si="14"/>
        <v>54.261406159748027</v>
      </c>
      <c r="W20">
        <f t="shared" si="15"/>
        <v>2.028549613065596</v>
      </c>
      <c r="X20">
        <f t="shared" si="16"/>
        <v>3.7384759383003354</v>
      </c>
      <c r="Y20">
        <f t="shared" si="17"/>
        <v>1.561745433851077</v>
      </c>
      <c r="Z20">
        <f t="shared" si="18"/>
        <v>-525.37627215359146</v>
      </c>
      <c r="AA20">
        <f t="shared" si="19"/>
        <v>126.25269245851156</v>
      </c>
      <c r="AB20">
        <f t="shared" si="20"/>
        <v>8.0677118973790147</v>
      </c>
      <c r="AC20">
        <f t="shared" si="21"/>
        <v>-37.718015200487784</v>
      </c>
      <c r="AD20">
        <v>-4.1304247172662199E-2</v>
      </c>
      <c r="AE20">
        <v>4.6367635902101002E-2</v>
      </c>
      <c r="AF20">
        <v>3.4632190377611898</v>
      </c>
      <c r="AG20">
        <v>156</v>
      </c>
      <c r="AH20">
        <v>31</v>
      </c>
      <c r="AI20">
        <f t="shared" si="22"/>
        <v>1</v>
      </c>
      <c r="AJ20">
        <f t="shared" si="23"/>
        <v>0</v>
      </c>
      <c r="AK20">
        <f t="shared" si="24"/>
        <v>52539.818693164423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266.54548</v>
      </c>
      <c r="AT20">
        <v>331.774</v>
      </c>
      <c r="AU20">
        <f t="shared" si="27"/>
        <v>0.19660527949748929</v>
      </c>
      <c r="AV20">
        <v>0.5</v>
      </c>
      <c r="AW20">
        <f t="shared" si="28"/>
        <v>1849.1828997089876</v>
      </c>
      <c r="AX20">
        <f t="shared" si="29"/>
        <v>7.0851439538129339</v>
      </c>
      <c r="AY20">
        <f t="shared" si="30"/>
        <v>181.77956041963162</v>
      </c>
      <c r="AZ20">
        <f t="shared" si="31"/>
        <v>0.39724029007698014</v>
      </c>
      <c r="BA20">
        <f t="shared" si="32"/>
        <v>4.3722792132056395E-3</v>
      </c>
      <c r="BB20">
        <f t="shared" si="33"/>
        <v>-1</v>
      </c>
      <c r="BC20" t="s">
        <v>301</v>
      </c>
      <c r="BD20">
        <v>199.98</v>
      </c>
      <c r="BE20">
        <f t="shared" si="34"/>
        <v>131.79400000000001</v>
      </c>
      <c r="BF20">
        <f t="shared" si="35"/>
        <v>0.49492784193514117</v>
      </c>
      <c r="BG20">
        <f t="shared" si="36"/>
        <v>1.659035903590359</v>
      </c>
      <c r="BH20">
        <f t="shared" si="37"/>
        <v>0.19660527949748927</v>
      </c>
      <c r="BI20" t="e">
        <f t="shared" si="38"/>
        <v>#DIV/0!</v>
      </c>
      <c r="BJ20">
        <v>4993</v>
      </c>
      <c r="BK20">
        <v>300</v>
      </c>
      <c r="BL20">
        <v>300</v>
      </c>
      <c r="BM20">
        <v>300</v>
      </c>
      <c r="BN20">
        <v>9870.43</v>
      </c>
      <c r="BO20">
        <v>311.791</v>
      </c>
      <c r="BP20">
        <v>-6.4019000000000003E-3</v>
      </c>
      <c r="BQ20">
        <v>1.27905</v>
      </c>
      <c r="BR20">
        <f t="shared" si="39"/>
        <v>2199.9967741935502</v>
      </c>
      <c r="BS20">
        <f t="shared" si="40"/>
        <v>1849.1828997089876</v>
      </c>
      <c r="BT20">
        <f t="shared" si="41"/>
        <v>0.84053891414765369</v>
      </c>
      <c r="BU20">
        <f t="shared" si="42"/>
        <v>0.19107782829530767</v>
      </c>
      <c r="BV20">
        <v>0.5</v>
      </c>
      <c r="BW20" t="s">
        <v>281</v>
      </c>
      <c r="BX20">
        <v>1595008200.3</v>
      </c>
      <c r="BY20">
        <v>96.694070967741993</v>
      </c>
      <c r="BZ20">
        <v>99.9885290322581</v>
      </c>
      <c r="CA20">
        <v>20.319309677419401</v>
      </c>
      <c r="CB20">
        <v>15.6513548387097</v>
      </c>
      <c r="CC20">
        <v>500.05729032258103</v>
      </c>
      <c r="CD20">
        <v>99.633574193548398</v>
      </c>
      <c r="CE20">
        <v>0.20001490322580601</v>
      </c>
      <c r="CF20">
        <v>27.743554838709699</v>
      </c>
      <c r="CG20">
        <v>27.052900000000001</v>
      </c>
      <c r="CH20">
        <v>999.9</v>
      </c>
      <c r="CI20">
        <v>9997.3529032258102</v>
      </c>
      <c r="CJ20">
        <v>0</v>
      </c>
      <c r="CK20">
        <v>189.506838709677</v>
      </c>
      <c r="CL20">
        <v>2199.9967741935502</v>
      </c>
      <c r="CM20">
        <v>0.98199409677419403</v>
      </c>
      <c r="CN20">
        <v>1.8005548387096799E-2</v>
      </c>
      <c r="CO20">
        <v>0</v>
      </c>
      <c r="CP20">
        <v>266.53909677419398</v>
      </c>
      <c r="CQ20">
        <v>5.00054</v>
      </c>
      <c r="CR20">
        <v>8321.7364516129001</v>
      </c>
      <c r="CS20">
        <v>20590.470967741901</v>
      </c>
      <c r="CT20">
        <v>48.461387096774203</v>
      </c>
      <c r="CU20">
        <v>49.8546774193548</v>
      </c>
      <c r="CV20">
        <v>48.679000000000002</v>
      </c>
      <c r="CW20">
        <v>48.963419354838699</v>
      </c>
      <c r="CX20">
        <v>49.896999999999998</v>
      </c>
      <c r="CY20">
        <v>2155.4764516128998</v>
      </c>
      <c r="CZ20">
        <v>39.5203225806452</v>
      </c>
      <c r="DA20">
        <v>0</v>
      </c>
      <c r="DB20">
        <v>120.700000047684</v>
      </c>
      <c r="DC20">
        <v>266.54548</v>
      </c>
      <c r="DD20">
        <v>-1.8903845881802701</v>
      </c>
      <c r="DE20">
        <v>-75.826153820297804</v>
      </c>
      <c r="DF20">
        <v>8320.8547999999992</v>
      </c>
      <c r="DG20">
        <v>15</v>
      </c>
      <c r="DH20">
        <v>1595008236.3</v>
      </c>
      <c r="DI20" t="s">
        <v>302</v>
      </c>
      <c r="DJ20">
        <v>60</v>
      </c>
      <c r="DK20">
        <v>-0.377</v>
      </c>
      <c r="DL20">
        <v>9.5000000000000001E-2</v>
      </c>
      <c r="DM20">
        <v>100</v>
      </c>
      <c r="DN20">
        <v>16</v>
      </c>
      <c r="DO20">
        <v>0.66</v>
      </c>
      <c r="DP20">
        <v>0.02</v>
      </c>
      <c r="DQ20">
        <v>96.632725490196094</v>
      </c>
      <c r="DR20">
        <v>0.27453067873303899</v>
      </c>
      <c r="DS20">
        <v>3.6126660858148897E-2</v>
      </c>
      <c r="DT20">
        <v>1</v>
      </c>
      <c r="DU20">
        <v>20.313241176470601</v>
      </c>
      <c r="DV20">
        <v>0.103994932126696</v>
      </c>
      <c r="DW20">
        <v>1.6693278869060801E-2</v>
      </c>
      <c r="DX20">
        <v>1</v>
      </c>
      <c r="DY20">
        <v>2</v>
      </c>
      <c r="DZ20">
        <v>2</v>
      </c>
      <c r="EA20" t="s">
        <v>283</v>
      </c>
      <c r="EB20">
        <v>1.86663</v>
      </c>
      <c r="EC20">
        <v>1.86317</v>
      </c>
      <c r="ED20">
        <v>1.86887</v>
      </c>
      <c r="EE20">
        <v>1.86676</v>
      </c>
      <c r="EF20">
        <v>1.87148</v>
      </c>
      <c r="EG20">
        <v>1.86388</v>
      </c>
      <c r="EH20">
        <v>1.8653900000000001</v>
      </c>
      <c r="EI20">
        <v>1.86537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-0.377</v>
      </c>
      <c r="EX20">
        <v>9.5000000000000001E-2</v>
      </c>
      <c r="EY20">
        <v>2</v>
      </c>
      <c r="EZ20">
        <v>325.37900000000002</v>
      </c>
      <c r="FA20">
        <v>458.64600000000002</v>
      </c>
      <c r="FB20">
        <v>22.0045</v>
      </c>
      <c r="FC20">
        <v>36.838099999999997</v>
      </c>
      <c r="FD20">
        <v>30.003</v>
      </c>
      <c r="FE20">
        <v>36.916699999999999</v>
      </c>
      <c r="FF20">
        <v>36.929499999999997</v>
      </c>
      <c r="FG20">
        <v>8.0030199999999994</v>
      </c>
      <c r="FH20">
        <v>56.626100000000001</v>
      </c>
      <c r="FI20">
        <v>0</v>
      </c>
      <c r="FJ20">
        <v>22.1525</v>
      </c>
      <c r="FK20">
        <v>100</v>
      </c>
      <c r="FL20">
        <v>15.8697</v>
      </c>
      <c r="FM20">
        <v>100.212</v>
      </c>
      <c r="FN20">
        <v>100.503</v>
      </c>
    </row>
    <row r="21" spans="1:170" x14ac:dyDescent="0.25">
      <c r="A21">
        <v>5</v>
      </c>
      <c r="B21">
        <v>1595008327.8</v>
      </c>
      <c r="C21">
        <v>507.5</v>
      </c>
      <c r="D21" t="s">
        <v>303</v>
      </c>
      <c r="E21" t="s">
        <v>304</v>
      </c>
      <c r="G21">
        <v>1595008319.8</v>
      </c>
      <c r="H21">
        <f t="shared" si="0"/>
        <v>1.1920638654409902E-2</v>
      </c>
      <c r="I21">
        <f t="shared" si="1"/>
        <v>0.92362426320411795</v>
      </c>
      <c r="J21">
        <f t="shared" si="2"/>
        <v>49.383987096774199</v>
      </c>
      <c r="K21">
        <f t="shared" si="3"/>
        <v>46.276967982895584</v>
      </c>
      <c r="L21">
        <f t="shared" si="4"/>
        <v>4.620190532266216</v>
      </c>
      <c r="M21">
        <f t="shared" si="5"/>
        <v>4.9303884756322969</v>
      </c>
      <c r="N21">
        <f t="shared" si="6"/>
        <v>0.86143058729681421</v>
      </c>
      <c r="O21">
        <f t="shared" si="7"/>
        <v>3.3893995040215064</v>
      </c>
      <c r="P21">
        <f t="shared" si="8"/>
        <v>0.75579745926558939</v>
      </c>
      <c r="Q21">
        <f t="shared" si="9"/>
        <v>0.48078046766812449</v>
      </c>
      <c r="R21">
        <f t="shared" si="10"/>
        <v>353.33933037561729</v>
      </c>
      <c r="S21">
        <f t="shared" si="11"/>
        <v>26.645189299328386</v>
      </c>
      <c r="T21">
        <f t="shared" si="12"/>
        <v>26.9589838709677</v>
      </c>
      <c r="U21">
        <f t="shared" si="13"/>
        <v>3.5705466331782945</v>
      </c>
      <c r="V21">
        <f t="shared" si="14"/>
        <v>55.251026362528975</v>
      </c>
      <c r="W21">
        <f t="shared" si="15"/>
        <v>2.0401248335836319</v>
      </c>
      <c r="X21">
        <f t="shared" si="16"/>
        <v>3.6924650416399079</v>
      </c>
      <c r="Y21">
        <f t="shared" si="17"/>
        <v>1.5304217995946625</v>
      </c>
      <c r="Z21">
        <f t="shared" si="18"/>
        <v>-525.70016465947663</v>
      </c>
      <c r="AA21">
        <f t="shared" si="19"/>
        <v>104.65202082790424</v>
      </c>
      <c r="AB21">
        <f t="shared" si="20"/>
        <v>6.6798282392837001</v>
      </c>
      <c r="AC21">
        <f t="shared" si="21"/>
        <v>-61.028985216671373</v>
      </c>
      <c r="AD21">
        <v>-4.1283535910430998E-2</v>
      </c>
      <c r="AE21">
        <v>4.63443856958402E-2</v>
      </c>
      <c r="AF21">
        <v>3.4618448762715501</v>
      </c>
      <c r="AG21">
        <v>157</v>
      </c>
      <c r="AH21">
        <v>31</v>
      </c>
      <c r="AI21">
        <f t="shared" si="22"/>
        <v>1</v>
      </c>
      <c r="AJ21">
        <f t="shared" si="23"/>
        <v>0</v>
      </c>
      <c r="AK21">
        <f t="shared" si="24"/>
        <v>52551.65613962627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267.76175999999998</v>
      </c>
      <c r="AT21">
        <v>321.83</v>
      </c>
      <c r="AU21">
        <f t="shared" si="27"/>
        <v>0.16800248578442034</v>
      </c>
      <c r="AV21">
        <v>0.5</v>
      </c>
      <c r="AW21">
        <f t="shared" si="28"/>
        <v>1849.1905061605933</v>
      </c>
      <c r="AX21">
        <f t="shared" si="29"/>
        <v>0.92362426320411795</v>
      </c>
      <c r="AY21">
        <f t="shared" si="30"/>
        <v>155.33430086196506</v>
      </c>
      <c r="AZ21">
        <f t="shared" si="31"/>
        <v>0.35605754590933097</v>
      </c>
      <c r="BA21">
        <f t="shared" si="32"/>
        <v>1.0402520761357728E-3</v>
      </c>
      <c r="BB21">
        <f t="shared" si="33"/>
        <v>-1</v>
      </c>
      <c r="BC21" t="s">
        <v>306</v>
      </c>
      <c r="BD21">
        <v>207.24</v>
      </c>
      <c r="BE21">
        <f t="shared" si="34"/>
        <v>114.58999999999997</v>
      </c>
      <c r="BF21">
        <f t="shared" si="35"/>
        <v>0.47184082380661502</v>
      </c>
      <c r="BG21">
        <f t="shared" si="36"/>
        <v>1.5529337965643697</v>
      </c>
      <c r="BH21">
        <f t="shared" si="37"/>
        <v>0.16800248578442037</v>
      </c>
      <c r="BI21" t="e">
        <f t="shared" si="38"/>
        <v>#DIV/0!</v>
      </c>
      <c r="BJ21">
        <v>4995</v>
      </c>
      <c r="BK21">
        <v>300</v>
      </c>
      <c r="BL21">
        <v>300</v>
      </c>
      <c r="BM21">
        <v>300</v>
      </c>
      <c r="BN21">
        <v>9870.5300000000007</v>
      </c>
      <c r="BO21">
        <v>305.55500000000001</v>
      </c>
      <c r="BP21">
        <v>-6.4019899999999998E-3</v>
      </c>
      <c r="BQ21">
        <v>0.91659500000000005</v>
      </c>
      <c r="BR21">
        <f t="shared" si="39"/>
        <v>2200.0058064516102</v>
      </c>
      <c r="BS21">
        <f t="shared" si="40"/>
        <v>1849.1905061605933</v>
      </c>
      <c r="BT21">
        <f t="shared" si="41"/>
        <v>0.84053892073273795</v>
      </c>
      <c r="BU21">
        <f t="shared" si="42"/>
        <v>0.19107784146547607</v>
      </c>
      <c r="BV21">
        <v>0.5</v>
      </c>
      <c r="BW21" t="s">
        <v>281</v>
      </c>
      <c r="BX21">
        <v>1595008319.8</v>
      </c>
      <c r="BY21">
        <v>49.383987096774199</v>
      </c>
      <c r="BZ21">
        <v>49.988848387096802</v>
      </c>
      <c r="CA21">
        <v>20.434393548387099</v>
      </c>
      <c r="CB21">
        <v>15.7640677419355</v>
      </c>
      <c r="CC21">
        <v>500.05280645161298</v>
      </c>
      <c r="CD21">
        <v>99.637770967741901</v>
      </c>
      <c r="CE21">
        <v>0.20002596774193501</v>
      </c>
      <c r="CF21">
        <v>27.531700000000001</v>
      </c>
      <c r="CG21">
        <v>26.9589838709677</v>
      </c>
      <c r="CH21">
        <v>999.9</v>
      </c>
      <c r="CI21">
        <v>9991.9190322580598</v>
      </c>
      <c r="CJ21">
        <v>0</v>
      </c>
      <c r="CK21">
        <v>190.24161290322601</v>
      </c>
      <c r="CL21">
        <v>2200.0058064516102</v>
      </c>
      <c r="CM21">
        <v>0.98199358064516096</v>
      </c>
      <c r="CN21">
        <v>1.80060903225806E-2</v>
      </c>
      <c r="CO21">
        <v>0</v>
      </c>
      <c r="CP21">
        <v>267.779258064516</v>
      </c>
      <c r="CQ21">
        <v>5.00054</v>
      </c>
      <c r="CR21">
        <v>8339.8764516128995</v>
      </c>
      <c r="CS21">
        <v>20590.558064516099</v>
      </c>
      <c r="CT21">
        <v>48.390935483870997</v>
      </c>
      <c r="CU21">
        <v>49.844516129032201</v>
      </c>
      <c r="CV21">
        <v>48.637</v>
      </c>
      <c r="CW21">
        <v>48.918935483870897</v>
      </c>
      <c r="CX21">
        <v>49.840451612903202</v>
      </c>
      <c r="CY21">
        <v>2155.4848387096799</v>
      </c>
      <c r="CZ21">
        <v>39.5209677419355</v>
      </c>
      <c r="DA21">
        <v>0</v>
      </c>
      <c r="DB21">
        <v>119</v>
      </c>
      <c r="DC21">
        <v>267.76175999999998</v>
      </c>
      <c r="DD21">
        <v>-0.67638461315216103</v>
      </c>
      <c r="DE21">
        <v>-13.511538491269199</v>
      </c>
      <c r="DF21">
        <v>8339.5948000000008</v>
      </c>
      <c r="DG21">
        <v>15</v>
      </c>
      <c r="DH21">
        <v>1595008358.8</v>
      </c>
      <c r="DI21" t="s">
        <v>307</v>
      </c>
      <c r="DJ21">
        <v>61</v>
      </c>
      <c r="DK21">
        <v>-0.438</v>
      </c>
      <c r="DL21">
        <v>9.1999999999999998E-2</v>
      </c>
      <c r="DM21">
        <v>50</v>
      </c>
      <c r="DN21">
        <v>16</v>
      </c>
      <c r="DO21">
        <v>0.53</v>
      </c>
      <c r="DP21">
        <v>0.02</v>
      </c>
      <c r="DQ21">
        <v>49.442819607843099</v>
      </c>
      <c r="DR21">
        <v>2.24394570135786E-2</v>
      </c>
      <c r="DS21">
        <v>6.6411674974030596E-3</v>
      </c>
      <c r="DT21">
        <v>1</v>
      </c>
      <c r="DU21">
        <v>20.4394764705882</v>
      </c>
      <c r="DV21">
        <v>-1.93259728506785E-2</v>
      </c>
      <c r="DW21">
        <v>3.4738004410211098E-3</v>
      </c>
      <c r="DX21">
        <v>1</v>
      </c>
      <c r="DY21">
        <v>2</v>
      </c>
      <c r="DZ21">
        <v>2</v>
      </c>
      <c r="EA21" t="s">
        <v>283</v>
      </c>
      <c r="EB21">
        <v>1.86676</v>
      </c>
      <c r="EC21">
        <v>1.8632500000000001</v>
      </c>
      <c r="ED21">
        <v>1.8689</v>
      </c>
      <c r="EE21">
        <v>1.8668199999999999</v>
      </c>
      <c r="EF21">
        <v>1.87151</v>
      </c>
      <c r="EG21">
        <v>1.8639600000000001</v>
      </c>
      <c r="EH21">
        <v>1.86551</v>
      </c>
      <c r="EI21">
        <v>1.8653999999999999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-0.438</v>
      </c>
      <c r="EX21">
        <v>9.1999999999999998E-2</v>
      </c>
      <c r="EY21">
        <v>2</v>
      </c>
      <c r="EZ21">
        <v>324.56799999999998</v>
      </c>
      <c r="FA21">
        <v>457.387</v>
      </c>
      <c r="FB21">
        <v>22.335699999999999</v>
      </c>
      <c r="FC21">
        <v>37.041899999999998</v>
      </c>
      <c r="FD21">
        <v>30.000599999999999</v>
      </c>
      <c r="FE21">
        <v>37.06</v>
      </c>
      <c r="FF21">
        <v>37.063000000000002</v>
      </c>
      <c r="FG21">
        <v>5.5521799999999999</v>
      </c>
      <c r="FH21">
        <v>57.679299999999998</v>
      </c>
      <c r="FI21">
        <v>0</v>
      </c>
      <c r="FJ21">
        <v>22.3719</v>
      </c>
      <c r="FK21">
        <v>50</v>
      </c>
      <c r="FL21">
        <v>15.6615</v>
      </c>
      <c r="FM21">
        <v>100.185</v>
      </c>
      <c r="FN21">
        <v>100.47</v>
      </c>
    </row>
    <row r="22" spans="1:170" x14ac:dyDescent="0.25">
      <c r="A22">
        <v>6</v>
      </c>
      <c r="B22">
        <v>1595008453.3</v>
      </c>
      <c r="C22">
        <v>633</v>
      </c>
      <c r="D22" t="s">
        <v>308</v>
      </c>
      <c r="E22" t="s">
        <v>309</v>
      </c>
      <c r="G22">
        <v>1595008445.32581</v>
      </c>
      <c r="H22">
        <f t="shared" si="0"/>
        <v>1.1871906534876254E-2</v>
      </c>
      <c r="I22">
        <f t="shared" si="1"/>
        <v>36.780205313217614</v>
      </c>
      <c r="J22">
        <f t="shared" si="2"/>
        <v>383.45477419354802</v>
      </c>
      <c r="K22">
        <f t="shared" si="3"/>
        <v>297.84934362424173</v>
      </c>
      <c r="L22">
        <f t="shared" si="4"/>
        <v>29.738366539920687</v>
      </c>
      <c r="M22">
        <f t="shared" si="5"/>
        <v>38.285525452882496</v>
      </c>
      <c r="N22">
        <f t="shared" si="6"/>
        <v>0.85360064716027739</v>
      </c>
      <c r="O22">
        <f t="shared" si="7"/>
        <v>3.3907303802285162</v>
      </c>
      <c r="P22">
        <f t="shared" si="8"/>
        <v>0.74979118254229116</v>
      </c>
      <c r="Q22">
        <f t="shared" si="9"/>
        <v>0.47689024453239159</v>
      </c>
      <c r="R22">
        <f t="shared" si="10"/>
        <v>353.34016936297803</v>
      </c>
      <c r="S22">
        <f t="shared" si="11"/>
        <v>26.84876780213169</v>
      </c>
      <c r="T22">
        <f t="shared" si="12"/>
        <v>27.0058677419355</v>
      </c>
      <c r="U22">
        <f t="shared" si="13"/>
        <v>3.5803933534244581</v>
      </c>
      <c r="V22">
        <f t="shared" si="14"/>
        <v>54.738752757380624</v>
      </c>
      <c r="W22">
        <f t="shared" si="15"/>
        <v>2.0440346945901977</v>
      </c>
      <c r="X22">
        <f t="shared" si="16"/>
        <v>3.7341638083169384</v>
      </c>
      <c r="Y22">
        <f t="shared" si="17"/>
        <v>1.5363586588342604</v>
      </c>
      <c r="Z22">
        <f t="shared" si="18"/>
        <v>-523.55107818804277</v>
      </c>
      <c r="AA22">
        <f t="shared" si="19"/>
        <v>131.23818541569574</v>
      </c>
      <c r="AB22">
        <f t="shared" si="20"/>
        <v>8.3835128705237274</v>
      </c>
      <c r="AC22">
        <f t="shared" si="21"/>
        <v>-30.589210538845293</v>
      </c>
      <c r="AD22">
        <v>-4.1304139712319603E-2</v>
      </c>
      <c r="AE22">
        <v>4.6367515268452397E-2</v>
      </c>
      <c r="AF22">
        <v>3.4632119085408899</v>
      </c>
      <c r="AG22">
        <v>157</v>
      </c>
      <c r="AH22">
        <v>31</v>
      </c>
      <c r="AI22">
        <f t="shared" si="22"/>
        <v>1</v>
      </c>
      <c r="AJ22">
        <f t="shared" si="23"/>
        <v>0</v>
      </c>
      <c r="AK22">
        <f t="shared" si="24"/>
        <v>52543.3570888943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262.91728000000001</v>
      </c>
      <c r="AT22">
        <v>359.34</v>
      </c>
      <c r="AU22">
        <f t="shared" si="27"/>
        <v>0.26833283241498296</v>
      </c>
      <c r="AV22">
        <v>0.5</v>
      </c>
      <c r="AW22">
        <f t="shared" si="28"/>
        <v>1849.1950932573743</v>
      </c>
      <c r="AX22">
        <f t="shared" si="29"/>
        <v>36.780205313217614</v>
      </c>
      <c r="AY22">
        <f t="shared" si="30"/>
        <v>248.09987853081989</v>
      </c>
      <c r="AZ22">
        <f t="shared" si="31"/>
        <v>0.50052874714754825</v>
      </c>
      <c r="BA22">
        <f t="shared" si="32"/>
        <v>2.0430621653157986E-2</v>
      </c>
      <c r="BB22">
        <f t="shared" si="33"/>
        <v>-1</v>
      </c>
      <c r="BC22" t="s">
        <v>311</v>
      </c>
      <c r="BD22">
        <v>179.48</v>
      </c>
      <c r="BE22">
        <f t="shared" si="34"/>
        <v>179.85999999999999</v>
      </c>
      <c r="BF22">
        <f t="shared" si="35"/>
        <v>0.53609874346714104</v>
      </c>
      <c r="BG22">
        <f t="shared" si="36"/>
        <v>2.0021172275462447</v>
      </c>
      <c r="BH22">
        <f t="shared" si="37"/>
        <v>0.26833283241498296</v>
      </c>
      <c r="BI22" t="e">
        <f t="shared" si="38"/>
        <v>#DIV/0!</v>
      </c>
      <c r="BJ22">
        <v>4997</v>
      </c>
      <c r="BK22">
        <v>300</v>
      </c>
      <c r="BL22">
        <v>300</v>
      </c>
      <c r="BM22">
        <v>300</v>
      </c>
      <c r="BN22">
        <v>9870.58</v>
      </c>
      <c r="BO22">
        <v>329.97300000000001</v>
      </c>
      <c r="BP22">
        <v>-6.4022100000000002E-3</v>
      </c>
      <c r="BQ22">
        <v>0.81497200000000003</v>
      </c>
      <c r="BR22">
        <f t="shared" si="39"/>
        <v>2200.01129032258</v>
      </c>
      <c r="BS22">
        <f t="shared" si="40"/>
        <v>1849.1950932573743</v>
      </c>
      <c r="BT22">
        <f t="shared" si="41"/>
        <v>0.84053891059178765</v>
      </c>
      <c r="BU22">
        <f t="shared" si="42"/>
        <v>0.19107782118357564</v>
      </c>
      <c r="BV22">
        <v>0.5</v>
      </c>
      <c r="BW22" t="s">
        <v>281</v>
      </c>
      <c r="BX22">
        <v>1595008445.32581</v>
      </c>
      <c r="BY22">
        <v>383.45477419354802</v>
      </c>
      <c r="BZ22">
        <v>399.98641935483897</v>
      </c>
      <c r="CA22">
        <v>20.472354838709698</v>
      </c>
      <c r="CB22">
        <v>15.821196774193499</v>
      </c>
      <c r="CC22">
        <v>500.041516129032</v>
      </c>
      <c r="CD22">
        <v>99.643687096774201</v>
      </c>
      <c r="CE22">
        <v>0.199966</v>
      </c>
      <c r="CF22">
        <v>27.723796774193598</v>
      </c>
      <c r="CG22">
        <v>27.0058677419355</v>
      </c>
      <c r="CH22">
        <v>999.9</v>
      </c>
      <c r="CI22">
        <v>9996.3122580645195</v>
      </c>
      <c r="CJ22">
        <v>0</v>
      </c>
      <c r="CK22">
        <v>187.002677419355</v>
      </c>
      <c r="CL22">
        <v>2200.01129032258</v>
      </c>
      <c r="CM22">
        <v>0.98199406451612903</v>
      </c>
      <c r="CN22">
        <v>1.80056129032258E-2</v>
      </c>
      <c r="CO22">
        <v>0</v>
      </c>
      <c r="CP22">
        <v>262.89577419354799</v>
      </c>
      <c r="CQ22">
        <v>5.00054</v>
      </c>
      <c r="CR22">
        <v>8237.1</v>
      </c>
      <c r="CS22">
        <v>20590.603225806499</v>
      </c>
      <c r="CT22">
        <v>48.396935483870998</v>
      </c>
      <c r="CU22">
        <v>49.959419354838701</v>
      </c>
      <c r="CV22">
        <v>48.667000000000002</v>
      </c>
      <c r="CW22">
        <v>49.034064516129</v>
      </c>
      <c r="CX22">
        <v>49.874870967741899</v>
      </c>
      <c r="CY22">
        <v>2155.49096774194</v>
      </c>
      <c r="CZ22">
        <v>39.5203225806452</v>
      </c>
      <c r="DA22">
        <v>0</v>
      </c>
      <c r="DB22">
        <v>124.90000009536701</v>
      </c>
      <c r="DC22">
        <v>262.91728000000001</v>
      </c>
      <c r="DD22">
        <v>1.6550769259045</v>
      </c>
      <c r="DE22">
        <v>-234.34384609943899</v>
      </c>
      <c r="DF22">
        <v>8232.2340000000004</v>
      </c>
      <c r="DG22">
        <v>15</v>
      </c>
      <c r="DH22">
        <v>1595008487.3</v>
      </c>
      <c r="DI22" t="s">
        <v>312</v>
      </c>
      <c r="DJ22">
        <v>62</v>
      </c>
      <c r="DK22">
        <v>-0.40899999999999997</v>
      </c>
      <c r="DL22">
        <v>9.4E-2</v>
      </c>
      <c r="DM22">
        <v>400</v>
      </c>
      <c r="DN22">
        <v>16</v>
      </c>
      <c r="DO22">
        <v>7.0000000000000007E-2</v>
      </c>
      <c r="DP22">
        <v>0.02</v>
      </c>
      <c r="DQ22">
        <v>383.39868627451</v>
      </c>
      <c r="DR22">
        <v>0.28769895995977701</v>
      </c>
      <c r="DS22">
        <v>4.1979682385403297E-2</v>
      </c>
      <c r="DT22">
        <v>1</v>
      </c>
      <c r="DU22">
        <v>20.470272549019601</v>
      </c>
      <c r="DV22">
        <v>-1.6714153023415299E-3</v>
      </c>
      <c r="DW22">
        <v>1.66687195967488E-3</v>
      </c>
      <c r="DX22">
        <v>1</v>
      </c>
      <c r="DY22">
        <v>2</v>
      </c>
      <c r="DZ22">
        <v>2</v>
      </c>
      <c r="EA22" t="s">
        <v>283</v>
      </c>
      <c r="EB22">
        <v>1.86676</v>
      </c>
      <c r="EC22">
        <v>1.8632500000000001</v>
      </c>
      <c r="ED22">
        <v>1.8689</v>
      </c>
      <c r="EE22">
        <v>1.86686</v>
      </c>
      <c r="EF22">
        <v>1.8714999999999999</v>
      </c>
      <c r="EG22">
        <v>1.8640000000000001</v>
      </c>
      <c r="EH22">
        <v>1.8655299999999999</v>
      </c>
      <c r="EI22">
        <v>1.8654200000000001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-0.40899999999999997</v>
      </c>
      <c r="EX22">
        <v>9.4E-2</v>
      </c>
      <c r="EY22">
        <v>2</v>
      </c>
      <c r="EZ22">
        <v>324.04599999999999</v>
      </c>
      <c r="FA22">
        <v>457.76</v>
      </c>
      <c r="FB22">
        <v>22.5913</v>
      </c>
      <c r="FC22">
        <v>37.213200000000001</v>
      </c>
      <c r="FD22">
        <v>30.000599999999999</v>
      </c>
      <c r="FE22">
        <v>37.223500000000001</v>
      </c>
      <c r="FF22">
        <v>37.222700000000003</v>
      </c>
      <c r="FG22">
        <v>22.0383</v>
      </c>
      <c r="FH22">
        <v>57.209800000000001</v>
      </c>
      <c r="FI22">
        <v>0</v>
      </c>
      <c r="FJ22">
        <v>22.584800000000001</v>
      </c>
      <c r="FK22">
        <v>400</v>
      </c>
      <c r="FL22">
        <v>15.8537</v>
      </c>
      <c r="FM22">
        <v>100.148</v>
      </c>
      <c r="FN22">
        <v>100.431</v>
      </c>
    </row>
    <row r="23" spans="1:170" x14ac:dyDescent="0.25">
      <c r="A23">
        <v>7</v>
      </c>
      <c r="B23">
        <v>1595008578.8</v>
      </c>
      <c r="C23">
        <v>758.5</v>
      </c>
      <c r="D23" t="s">
        <v>313</v>
      </c>
      <c r="E23" t="s">
        <v>314</v>
      </c>
      <c r="G23">
        <v>1595008570.86129</v>
      </c>
      <c r="H23">
        <f t="shared" si="0"/>
        <v>1.0994639315969449E-2</v>
      </c>
      <c r="I23">
        <f t="shared" si="1"/>
        <v>37.307896047651184</v>
      </c>
      <c r="J23">
        <f t="shared" si="2"/>
        <v>383.413935483871</v>
      </c>
      <c r="K23">
        <f t="shared" si="3"/>
        <v>290.1626012683036</v>
      </c>
      <c r="L23">
        <f t="shared" si="4"/>
        <v>28.971476824074127</v>
      </c>
      <c r="M23">
        <f t="shared" si="5"/>
        <v>38.282217961048545</v>
      </c>
      <c r="N23">
        <f t="shared" si="6"/>
        <v>0.78004413608926204</v>
      </c>
      <c r="O23">
        <f t="shared" si="7"/>
        <v>3.3907495747631597</v>
      </c>
      <c r="P23">
        <f t="shared" si="8"/>
        <v>0.69237530997118824</v>
      </c>
      <c r="Q23">
        <f t="shared" si="9"/>
        <v>0.43978739745956186</v>
      </c>
      <c r="R23">
        <f t="shared" si="10"/>
        <v>353.33697737459016</v>
      </c>
      <c r="S23">
        <f t="shared" si="11"/>
        <v>26.912128502209939</v>
      </c>
      <c r="T23">
        <f t="shared" si="12"/>
        <v>27.045080645161299</v>
      </c>
      <c r="U23">
        <f t="shared" si="13"/>
        <v>3.5886471846825336</v>
      </c>
      <c r="V23">
        <f t="shared" si="14"/>
        <v>55.277943948196061</v>
      </c>
      <c r="W23">
        <f t="shared" si="15"/>
        <v>2.0478915230395436</v>
      </c>
      <c r="X23">
        <f t="shared" si="16"/>
        <v>3.7047172466449423</v>
      </c>
      <c r="Y23">
        <f t="shared" si="17"/>
        <v>1.54075566164299</v>
      </c>
      <c r="Z23">
        <f t="shared" si="18"/>
        <v>-484.8635938342527</v>
      </c>
      <c r="AA23">
        <f t="shared" si="19"/>
        <v>99.308710186700594</v>
      </c>
      <c r="AB23">
        <f t="shared" si="20"/>
        <v>6.3407653213559172</v>
      </c>
      <c r="AC23">
        <f t="shared" si="21"/>
        <v>-25.877140951605995</v>
      </c>
      <c r="AD23">
        <v>-4.1304436896887099E-2</v>
      </c>
      <c r="AE23">
        <v>4.6367848884164099E-2</v>
      </c>
      <c r="AF23">
        <v>3.46323162458238</v>
      </c>
      <c r="AG23">
        <v>158</v>
      </c>
      <c r="AH23">
        <v>32</v>
      </c>
      <c r="AI23">
        <f t="shared" si="22"/>
        <v>1</v>
      </c>
      <c r="AJ23">
        <f t="shared" si="23"/>
        <v>0</v>
      </c>
      <c r="AK23">
        <f t="shared" si="24"/>
        <v>52567.440869864949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315</v>
      </c>
      <c r="AS23">
        <v>263.05815999999999</v>
      </c>
      <c r="AT23">
        <v>367.161</v>
      </c>
      <c r="AU23">
        <f t="shared" si="27"/>
        <v>0.28353458019778788</v>
      </c>
      <c r="AV23">
        <v>0.5</v>
      </c>
      <c r="AW23">
        <f t="shared" si="28"/>
        <v>1849.1782932573717</v>
      </c>
      <c r="AX23">
        <f t="shared" si="29"/>
        <v>37.307896047651184</v>
      </c>
      <c r="AY23">
        <f t="shared" si="30"/>
        <v>262.15299554479537</v>
      </c>
      <c r="AZ23">
        <f t="shared" si="31"/>
        <v>0.49962005768586532</v>
      </c>
      <c r="BA23">
        <f t="shared" si="32"/>
        <v>2.0716172251930835E-2</v>
      </c>
      <c r="BB23">
        <f t="shared" si="33"/>
        <v>-1</v>
      </c>
      <c r="BC23" t="s">
        <v>316</v>
      </c>
      <c r="BD23">
        <v>183.72</v>
      </c>
      <c r="BE23">
        <f t="shared" si="34"/>
        <v>183.441</v>
      </c>
      <c r="BF23">
        <f t="shared" si="35"/>
        <v>0.56750039522244211</v>
      </c>
      <c r="BG23">
        <f t="shared" si="36"/>
        <v>1.998481384715872</v>
      </c>
      <c r="BH23">
        <f t="shared" si="37"/>
        <v>0.28353458019778793</v>
      </c>
      <c r="BI23" t="e">
        <f t="shared" si="38"/>
        <v>#DIV/0!</v>
      </c>
      <c r="BJ23">
        <v>4999</v>
      </c>
      <c r="BK23">
        <v>300</v>
      </c>
      <c r="BL23">
        <v>300</v>
      </c>
      <c r="BM23">
        <v>300</v>
      </c>
      <c r="BN23">
        <v>9870.16</v>
      </c>
      <c r="BO23">
        <v>335.30700000000002</v>
      </c>
      <c r="BP23">
        <v>-6.4018900000000004E-3</v>
      </c>
      <c r="BQ23">
        <v>0.70797699999999997</v>
      </c>
      <c r="BR23">
        <f t="shared" si="39"/>
        <v>2199.99129032258</v>
      </c>
      <c r="BS23">
        <f t="shared" si="40"/>
        <v>1849.1782932573717</v>
      </c>
      <c r="BT23">
        <f t="shared" si="41"/>
        <v>0.84053891549099302</v>
      </c>
      <c r="BU23">
        <f t="shared" si="42"/>
        <v>0.19107783098198641</v>
      </c>
      <c r="BV23">
        <v>0.5</v>
      </c>
      <c r="BW23" t="s">
        <v>281</v>
      </c>
      <c r="BX23">
        <v>1595008570.86129</v>
      </c>
      <c r="BY23">
        <v>383.413935483871</v>
      </c>
      <c r="BZ23">
        <v>400.02164516129</v>
      </c>
      <c r="CA23">
        <v>20.510570967741899</v>
      </c>
      <c r="CB23">
        <v>16.203345161290301</v>
      </c>
      <c r="CC23">
        <v>500.04961290322598</v>
      </c>
      <c r="CD23">
        <v>99.645670967741907</v>
      </c>
      <c r="CE23">
        <v>0.199990387096774</v>
      </c>
      <c r="CF23">
        <v>27.588338709677402</v>
      </c>
      <c r="CG23">
        <v>27.045080645161299</v>
      </c>
      <c r="CH23">
        <v>999.9</v>
      </c>
      <c r="CI23">
        <v>9996.1851612903192</v>
      </c>
      <c r="CJ23">
        <v>0</v>
      </c>
      <c r="CK23">
        <v>189.87535483871</v>
      </c>
      <c r="CL23">
        <v>2199.99129032258</v>
      </c>
      <c r="CM23">
        <v>0.98199467741935498</v>
      </c>
      <c r="CN23">
        <v>1.8004938709677398E-2</v>
      </c>
      <c r="CO23">
        <v>0</v>
      </c>
      <c r="CP23">
        <v>263.06270967741898</v>
      </c>
      <c r="CQ23">
        <v>5.00054</v>
      </c>
      <c r="CR23">
        <v>8335.3661290322598</v>
      </c>
      <c r="CS23">
        <v>20590.4290322581</v>
      </c>
      <c r="CT23">
        <v>48.503806451612903</v>
      </c>
      <c r="CU23">
        <v>50.070129032258002</v>
      </c>
      <c r="CV23">
        <v>48.758000000000003</v>
      </c>
      <c r="CW23">
        <v>49.167000000000002</v>
      </c>
      <c r="CX23">
        <v>49.963419354838699</v>
      </c>
      <c r="CY23">
        <v>2155.4709677419401</v>
      </c>
      <c r="CZ23">
        <v>39.5203225806452</v>
      </c>
      <c r="DA23">
        <v>0</v>
      </c>
      <c r="DB23">
        <v>124.89999985694899</v>
      </c>
      <c r="DC23">
        <v>263.05815999999999</v>
      </c>
      <c r="DD23">
        <v>1.52576922673396</v>
      </c>
      <c r="DE23">
        <v>104.49923097542199</v>
      </c>
      <c r="DF23">
        <v>8336.7279999999992</v>
      </c>
      <c r="DG23">
        <v>15</v>
      </c>
      <c r="DH23">
        <v>1595008604.8</v>
      </c>
      <c r="DI23" t="s">
        <v>317</v>
      </c>
      <c r="DJ23">
        <v>63</v>
      </c>
      <c r="DK23">
        <v>-0.34499999999999997</v>
      </c>
      <c r="DL23">
        <v>9.8000000000000004E-2</v>
      </c>
      <c r="DM23">
        <v>400</v>
      </c>
      <c r="DN23">
        <v>16</v>
      </c>
      <c r="DO23">
        <v>0.1</v>
      </c>
      <c r="DP23">
        <v>0.02</v>
      </c>
      <c r="DQ23">
        <v>383.37050980392098</v>
      </c>
      <c r="DR23">
        <v>-0.292397134127375</v>
      </c>
      <c r="DS23">
        <v>3.7377445515908499E-2</v>
      </c>
      <c r="DT23">
        <v>1</v>
      </c>
      <c r="DU23">
        <v>20.504741176470599</v>
      </c>
      <c r="DV23">
        <v>1.45844479073431E-2</v>
      </c>
      <c r="DW23">
        <v>6.0485349537310199E-3</v>
      </c>
      <c r="DX23">
        <v>1</v>
      </c>
      <c r="DY23">
        <v>2</v>
      </c>
      <c r="DZ23">
        <v>2</v>
      </c>
      <c r="EA23" t="s">
        <v>283</v>
      </c>
      <c r="EB23">
        <v>1.8666400000000001</v>
      </c>
      <c r="EC23">
        <v>1.86321</v>
      </c>
      <c r="ED23">
        <v>1.8688100000000001</v>
      </c>
      <c r="EE23">
        <v>1.86676</v>
      </c>
      <c r="EF23">
        <v>1.87148</v>
      </c>
      <c r="EG23">
        <v>1.8638600000000001</v>
      </c>
      <c r="EH23">
        <v>1.8653999999999999</v>
      </c>
      <c r="EI23">
        <v>1.86537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-0.34499999999999997</v>
      </c>
      <c r="EX23">
        <v>9.8000000000000004E-2</v>
      </c>
      <c r="EY23">
        <v>2</v>
      </c>
      <c r="EZ23">
        <v>323.76100000000002</v>
      </c>
      <c r="FA23">
        <v>457.03699999999998</v>
      </c>
      <c r="FB23">
        <v>21.241599999999998</v>
      </c>
      <c r="FC23">
        <v>37.422699999999999</v>
      </c>
      <c r="FD23">
        <v>30.001000000000001</v>
      </c>
      <c r="FE23">
        <v>37.414900000000003</v>
      </c>
      <c r="FF23">
        <v>37.414099999999998</v>
      </c>
      <c r="FG23">
        <v>22.028199999999998</v>
      </c>
      <c r="FH23">
        <v>55.999400000000001</v>
      </c>
      <c r="FI23">
        <v>0</v>
      </c>
      <c r="FJ23">
        <v>21.129899999999999</v>
      </c>
      <c r="FK23">
        <v>400</v>
      </c>
      <c r="FL23">
        <v>16.1005</v>
      </c>
      <c r="FM23">
        <v>100.104</v>
      </c>
      <c r="FN23">
        <v>100.377</v>
      </c>
    </row>
    <row r="24" spans="1:170" x14ac:dyDescent="0.25">
      <c r="A24">
        <v>8</v>
      </c>
      <c r="B24">
        <v>1595008705</v>
      </c>
      <c r="C24">
        <v>884.70000004768394</v>
      </c>
      <c r="D24" t="s">
        <v>318</v>
      </c>
      <c r="E24" t="s">
        <v>319</v>
      </c>
      <c r="G24">
        <v>1595008696.9935501</v>
      </c>
      <c r="H24">
        <f t="shared" si="0"/>
        <v>1.0459236358532686E-2</v>
      </c>
      <c r="I24">
        <f t="shared" si="1"/>
        <v>43.128294652672068</v>
      </c>
      <c r="J24">
        <f t="shared" si="2"/>
        <v>480.70590322580699</v>
      </c>
      <c r="K24">
        <f t="shared" si="3"/>
        <v>364.76849966165582</v>
      </c>
      <c r="L24">
        <f t="shared" si="4"/>
        <v>36.420634221876348</v>
      </c>
      <c r="M24">
        <f t="shared" si="5"/>
        <v>47.996507061117235</v>
      </c>
      <c r="N24">
        <f t="shared" si="6"/>
        <v>0.72217327533648967</v>
      </c>
      <c r="O24">
        <f t="shared" si="7"/>
        <v>3.3920949725213254</v>
      </c>
      <c r="P24">
        <f t="shared" si="8"/>
        <v>0.64638192536149475</v>
      </c>
      <c r="Q24">
        <f t="shared" si="9"/>
        <v>0.41013341249966984</v>
      </c>
      <c r="R24">
        <f t="shared" si="10"/>
        <v>353.3436063905732</v>
      </c>
      <c r="S24">
        <f t="shared" si="11"/>
        <v>26.747529986405489</v>
      </c>
      <c r="T24">
        <f t="shared" si="12"/>
        <v>26.942238709677401</v>
      </c>
      <c r="U24">
        <f t="shared" si="13"/>
        <v>3.5670354876594002</v>
      </c>
      <c r="V24">
        <f t="shared" si="14"/>
        <v>54.798835371584133</v>
      </c>
      <c r="W24">
        <f t="shared" si="15"/>
        <v>1.9964207554745386</v>
      </c>
      <c r="X24">
        <f t="shared" si="16"/>
        <v>3.6431809945175955</v>
      </c>
      <c r="Y24">
        <f t="shared" si="17"/>
        <v>1.5706147321848616</v>
      </c>
      <c r="Z24">
        <f t="shared" si="18"/>
        <v>-461.25232341129146</v>
      </c>
      <c r="AA24">
        <f t="shared" si="19"/>
        <v>65.828375597530581</v>
      </c>
      <c r="AB24">
        <f t="shared" si="20"/>
        <v>4.1932519170386584</v>
      </c>
      <c r="AC24">
        <f t="shared" si="21"/>
        <v>-37.887089506149024</v>
      </c>
      <c r="AD24">
        <v>-4.1325269270537798E-2</v>
      </c>
      <c r="AE24">
        <v>4.6391235048603298E-2</v>
      </c>
      <c r="AF24">
        <v>3.46461357950627</v>
      </c>
      <c r="AG24">
        <v>158</v>
      </c>
      <c r="AH24">
        <v>32</v>
      </c>
      <c r="AI24">
        <f t="shared" si="22"/>
        <v>1</v>
      </c>
      <c r="AJ24">
        <f t="shared" si="23"/>
        <v>0</v>
      </c>
      <c r="AK24">
        <f t="shared" si="24"/>
        <v>52642.987255579792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320</v>
      </c>
      <c r="AS24">
        <v>269.61860000000001</v>
      </c>
      <c r="AT24">
        <v>381.45699999999999</v>
      </c>
      <c r="AU24">
        <f t="shared" si="27"/>
        <v>0.29318743659180457</v>
      </c>
      <c r="AV24">
        <v>0.5</v>
      </c>
      <c r="AW24">
        <f t="shared" si="28"/>
        <v>1849.2127545476924</v>
      </c>
      <c r="AX24">
        <f t="shared" si="29"/>
        <v>43.128294652672068</v>
      </c>
      <c r="AY24">
        <f t="shared" si="30"/>
        <v>271.08297360935393</v>
      </c>
      <c r="AZ24">
        <f t="shared" si="31"/>
        <v>0.5292785294279565</v>
      </c>
      <c r="BA24">
        <f t="shared" si="32"/>
        <v>2.3863286982068008E-2</v>
      </c>
      <c r="BB24">
        <f t="shared" si="33"/>
        <v>-1</v>
      </c>
      <c r="BC24" t="s">
        <v>321</v>
      </c>
      <c r="BD24">
        <v>179.56</v>
      </c>
      <c r="BE24">
        <f t="shared" si="34"/>
        <v>201.89699999999999</v>
      </c>
      <c r="BF24">
        <f t="shared" si="35"/>
        <v>0.55393789902772195</v>
      </c>
      <c r="BG24">
        <f t="shared" si="36"/>
        <v>2.1243985297393628</v>
      </c>
      <c r="BH24">
        <f t="shared" si="37"/>
        <v>0.29318743659180452</v>
      </c>
      <c r="BI24" t="e">
        <f t="shared" si="38"/>
        <v>#DIV/0!</v>
      </c>
      <c r="BJ24">
        <v>5001</v>
      </c>
      <c r="BK24">
        <v>300</v>
      </c>
      <c r="BL24">
        <v>300</v>
      </c>
      <c r="BM24">
        <v>300</v>
      </c>
      <c r="BN24">
        <v>9870.7900000000009</v>
      </c>
      <c r="BO24">
        <v>348.983</v>
      </c>
      <c r="BP24">
        <v>-6.4022799999999998E-3</v>
      </c>
      <c r="BQ24">
        <v>0.94885299999999995</v>
      </c>
      <c r="BR24">
        <f t="shared" si="39"/>
        <v>2200.0322580645202</v>
      </c>
      <c r="BS24">
        <f t="shared" si="40"/>
        <v>1849.2127545476924</v>
      </c>
      <c r="BT24">
        <f t="shared" si="41"/>
        <v>0.84053892744942682</v>
      </c>
      <c r="BU24">
        <f t="shared" si="42"/>
        <v>0.19107785489885351</v>
      </c>
      <c r="BV24">
        <v>0.5</v>
      </c>
      <c r="BW24" t="s">
        <v>281</v>
      </c>
      <c r="BX24">
        <v>1595008696.9935501</v>
      </c>
      <c r="BY24">
        <v>480.70590322580699</v>
      </c>
      <c r="BZ24">
        <v>499.96651612903202</v>
      </c>
      <c r="CA24">
        <v>19.995022580645202</v>
      </c>
      <c r="CB24">
        <v>15.895370967741901</v>
      </c>
      <c r="CC24">
        <v>500.04754838709698</v>
      </c>
      <c r="CD24">
        <v>99.645887096774203</v>
      </c>
      <c r="CE24">
        <v>0.199999419354839</v>
      </c>
      <c r="CF24">
        <v>27.302203225806501</v>
      </c>
      <c r="CG24">
        <v>26.942238709677401</v>
      </c>
      <c r="CH24">
        <v>999.9</v>
      </c>
      <c r="CI24">
        <v>10001.2051612903</v>
      </c>
      <c r="CJ24">
        <v>0</v>
      </c>
      <c r="CK24">
        <v>47.135032258064498</v>
      </c>
      <c r="CL24">
        <v>2200.0322580645202</v>
      </c>
      <c r="CM24">
        <v>0.98199396774193604</v>
      </c>
      <c r="CN24">
        <v>1.8005683870967699E-2</v>
      </c>
      <c r="CO24">
        <v>0</v>
      </c>
      <c r="CP24">
        <v>269.66138709677398</v>
      </c>
      <c r="CQ24">
        <v>5.00054</v>
      </c>
      <c r="CR24">
        <v>7076.7012903225796</v>
      </c>
      <c r="CS24">
        <v>20590.790322580699</v>
      </c>
      <c r="CT24">
        <v>48.402999999999999</v>
      </c>
      <c r="CU24">
        <v>49.959419354838701</v>
      </c>
      <c r="CV24">
        <v>48.683064516129001</v>
      </c>
      <c r="CW24">
        <v>49.058129032258101</v>
      </c>
      <c r="CX24">
        <v>49.874935483870999</v>
      </c>
      <c r="CY24">
        <v>2155.5103225806502</v>
      </c>
      <c r="CZ24">
        <v>39.521935483870998</v>
      </c>
      <c r="DA24">
        <v>0</v>
      </c>
      <c r="DB24">
        <v>125.39999985694899</v>
      </c>
      <c r="DC24">
        <v>269.61860000000001</v>
      </c>
      <c r="DD24">
        <v>-1.9214615386615901</v>
      </c>
      <c r="DE24">
        <v>79.847692460368606</v>
      </c>
      <c r="DF24">
        <v>7077.5752000000002</v>
      </c>
      <c r="DG24">
        <v>15</v>
      </c>
      <c r="DH24">
        <v>1595008730</v>
      </c>
      <c r="DI24" t="s">
        <v>322</v>
      </c>
      <c r="DJ24">
        <v>64</v>
      </c>
      <c r="DK24">
        <v>-0.432</v>
      </c>
      <c r="DL24">
        <v>9.4E-2</v>
      </c>
      <c r="DM24">
        <v>500</v>
      </c>
      <c r="DN24">
        <v>16</v>
      </c>
      <c r="DO24">
        <v>0.14000000000000001</v>
      </c>
      <c r="DP24">
        <v>0.02</v>
      </c>
      <c r="DQ24">
        <v>480.76880392156897</v>
      </c>
      <c r="DR24">
        <v>0.27396426586811601</v>
      </c>
      <c r="DS24">
        <v>4.0239488754326203E-2</v>
      </c>
      <c r="DT24">
        <v>1</v>
      </c>
      <c r="DU24">
        <v>19.995696078431401</v>
      </c>
      <c r="DV24">
        <v>5.4794320539571999E-2</v>
      </c>
      <c r="DW24">
        <v>1.2970161242656901E-2</v>
      </c>
      <c r="DX24">
        <v>1</v>
      </c>
      <c r="DY24">
        <v>2</v>
      </c>
      <c r="DZ24">
        <v>2</v>
      </c>
      <c r="EA24" t="s">
        <v>283</v>
      </c>
      <c r="EB24">
        <v>1.86676</v>
      </c>
      <c r="EC24">
        <v>1.86327</v>
      </c>
      <c r="ED24">
        <v>1.8689</v>
      </c>
      <c r="EE24">
        <v>1.8668899999999999</v>
      </c>
      <c r="EF24">
        <v>1.8715200000000001</v>
      </c>
      <c r="EG24">
        <v>1.8640099999999999</v>
      </c>
      <c r="EH24">
        <v>1.8655299999999999</v>
      </c>
      <c r="EI24">
        <v>1.8653999999999999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-0.432</v>
      </c>
      <c r="EX24">
        <v>9.4E-2</v>
      </c>
      <c r="EY24">
        <v>2</v>
      </c>
      <c r="EZ24">
        <v>323.47199999999998</v>
      </c>
      <c r="FA24">
        <v>455.93400000000003</v>
      </c>
      <c r="FB24">
        <v>22.470300000000002</v>
      </c>
      <c r="FC24">
        <v>37.6389</v>
      </c>
      <c r="FD24">
        <v>29.999500000000001</v>
      </c>
      <c r="FE24">
        <v>37.608600000000003</v>
      </c>
      <c r="FF24">
        <v>37.598500000000001</v>
      </c>
      <c r="FG24">
        <v>26.340900000000001</v>
      </c>
      <c r="FH24">
        <v>56.835299999999997</v>
      </c>
      <c r="FI24">
        <v>0</v>
      </c>
      <c r="FJ24">
        <v>22.5016</v>
      </c>
      <c r="FK24">
        <v>500</v>
      </c>
      <c r="FL24">
        <v>16.037500000000001</v>
      </c>
      <c r="FM24">
        <v>100.068</v>
      </c>
      <c r="FN24">
        <v>100.34</v>
      </c>
    </row>
    <row r="25" spans="1:170" x14ac:dyDescent="0.25">
      <c r="A25">
        <v>9</v>
      </c>
      <c r="B25">
        <v>1595008851.5</v>
      </c>
      <c r="C25">
        <v>1031.2000000476801</v>
      </c>
      <c r="D25" t="s">
        <v>323</v>
      </c>
      <c r="E25" t="s">
        <v>324</v>
      </c>
      <c r="G25">
        <v>1595008843.5</v>
      </c>
      <c r="H25">
        <f t="shared" si="0"/>
        <v>8.9083306558413906E-3</v>
      </c>
      <c r="I25">
        <f t="shared" si="1"/>
        <v>45.724826234105812</v>
      </c>
      <c r="J25">
        <f t="shared" si="2"/>
        <v>579.65558064516097</v>
      </c>
      <c r="K25">
        <f t="shared" si="3"/>
        <v>433.74952164667701</v>
      </c>
      <c r="L25">
        <f t="shared" si="4"/>
        <v>43.305684226986095</v>
      </c>
      <c r="M25">
        <f t="shared" si="5"/>
        <v>57.87298955519649</v>
      </c>
      <c r="N25">
        <f t="shared" si="6"/>
        <v>0.59675015950065313</v>
      </c>
      <c r="O25">
        <f t="shared" si="7"/>
        <v>3.3906076730230383</v>
      </c>
      <c r="P25">
        <f t="shared" si="8"/>
        <v>0.54394955107254184</v>
      </c>
      <c r="Q25">
        <f t="shared" si="9"/>
        <v>0.34432223342002599</v>
      </c>
      <c r="R25">
        <f t="shared" si="10"/>
        <v>353.33729562494352</v>
      </c>
      <c r="S25">
        <f t="shared" si="11"/>
        <v>26.854383712300301</v>
      </c>
      <c r="T25">
        <f t="shared" si="12"/>
        <v>27.017448387096799</v>
      </c>
      <c r="U25">
        <f t="shared" si="13"/>
        <v>3.5828292099537067</v>
      </c>
      <c r="V25">
        <f t="shared" si="14"/>
        <v>55.506264641074367</v>
      </c>
      <c r="W25">
        <f t="shared" si="15"/>
        <v>1.9933931577272153</v>
      </c>
      <c r="X25">
        <f t="shared" si="16"/>
        <v>3.59129401089641</v>
      </c>
      <c r="Y25">
        <f t="shared" si="17"/>
        <v>1.5894360522264914</v>
      </c>
      <c r="Z25">
        <f t="shared" si="18"/>
        <v>-392.85738192260533</v>
      </c>
      <c r="AA25">
        <f t="shared" si="19"/>
        <v>7.3465675444259686</v>
      </c>
      <c r="AB25">
        <f t="shared" si="20"/>
        <v>0.4677835534685299</v>
      </c>
      <c r="AC25">
        <f t="shared" si="21"/>
        <v>-31.705735199767329</v>
      </c>
      <c r="AD25">
        <v>-4.1302239882780901E-2</v>
      </c>
      <c r="AE25">
        <v>4.6365382543360999E-2</v>
      </c>
      <c r="AF25">
        <v>3.4630858674674401</v>
      </c>
      <c r="AG25">
        <v>156</v>
      </c>
      <c r="AH25">
        <v>31</v>
      </c>
      <c r="AI25">
        <f t="shared" si="22"/>
        <v>1</v>
      </c>
      <c r="AJ25">
        <f t="shared" si="23"/>
        <v>0</v>
      </c>
      <c r="AK25">
        <f t="shared" si="24"/>
        <v>52657.612238085676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325</v>
      </c>
      <c r="AS25">
        <v>269.72480000000002</v>
      </c>
      <c r="AT25">
        <v>386</v>
      </c>
      <c r="AU25">
        <f t="shared" si="27"/>
        <v>0.30123108808290155</v>
      </c>
      <c r="AV25">
        <v>0.5</v>
      </c>
      <c r="AW25">
        <f t="shared" si="28"/>
        <v>1849.1852803542909</v>
      </c>
      <c r="AX25">
        <f t="shared" si="29"/>
        <v>45.724826234105812</v>
      </c>
      <c r="AY25">
        <f t="shared" si="30"/>
        <v>278.5160470340042</v>
      </c>
      <c r="AZ25">
        <f t="shared" si="31"/>
        <v>0.52974093264248701</v>
      </c>
      <c r="BA25">
        <f t="shared" si="32"/>
        <v>2.5267790486172195E-2</v>
      </c>
      <c r="BB25">
        <f t="shared" si="33"/>
        <v>-1</v>
      </c>
      <c r="BC25" t="s">
        <v>326</v>
      </c>
      <c r="BD25">
        <v>181.52</v>
      </c>
      <c r="BE25">
        <f t="shared" si="34"/>
        <v>204.48</v>
      </c>
      <c r="BF25">
        <f t="shared" si="35"/>
        <v>0.56863849765258212</v>
      </c>
      <c r="BG25">
        <f t="shared" si="36"/>
        <v>2.1264874394006168</v>
      </c>
      <c r="BH25">
        <f t="shared" si="37"/>
        <v>0.3012310880829015</v>
      </c>
      <c r="BI25" t="e">
        <f t="shared" si="38"/>
        <v>#DIV/0!</v>
      </c>
      <c r="BJ25">
        <v>5003</v>
      </c>
      <c r="BK25">
        <v>300</v>
      </c>
      <c r="BL25">
        <v>300</v>
      </c>
      <c r="BM25">
        <v>300</v>
      </c>
      <c r="BN25">
        <v>9872.2199999999993</v>
      </c>
      <c r="BO25">
        <v>350.92</v>
      </c>
      <c r="BP25">
        <v>-6.4035200000000002E-3</v>
      </c>
      <c r="BQ25">
        <v>1.1601300000000001</v>
      </c>
      <c r="BR25">
        <f t="shared" si="39"/>
        <v>2200.0003225806399</v>
      </c>
      <c r="BS25">
        <f t="shared" si="40"/>
        <v>1849.1852803542909</v>
      </c>
      <c r="BT25">
        <f t="shared" si="41"/>
        <v>0.84053864055127192</v>
      </c>
      <c r="BU25">
        <f t="shared" si="42"/>
        <v>0.19107728110254402</v>
      </c>
      <c r="BV25">
        <v>0.5</v>
      </c>
      <c r="BW25" t="s">
        <v>281</v>
      </c>
      <c r="BX25">
        <v>1595008843.5</v>
      </c>
      <c r="BY25">
        <v>579.65558064516097</v>
      </c>
      <c r="BZ25">
        <v>600.00909677419304</v>
      </c>
      <c r="CA25">
        <v>19.965816129032302</v>
      </c>
      <c r="CB25">
        <v>16.473958064516101</v>
      </c>
      <c r="CC25">
        <v>500.047161290323</v>
      </c>
      <c r="CD25">
        <v>99.640299999999996</v>
      </c>
      <c r="CE25">
        <v>0.20000429032258099</v>
      </c>
      <c r="CF25">
        <v>27.057638709677398</v>
      </c>
      <c r="CG25">
        <v>27.017448387096799</v>
      </c>
      <c r="CH25">
        <v>999.9</v>
      </c>
      <c r="CI25">
        <v>9996.1922580645205</v>
      </c>
      <c r="CJ25">
        <v>0</v>
      </c>
      <c r="CK25">
        <v>185.83625806451599</v>
      </c>
      <c r="CL25">
        <v>2200.0003225806399</v>
      </c>
      <c r="CM25">
        <v>0.98200432258064496</v>
      </c>
      <c r="CN25">
        <v>1.79958451612903E-2</v>
      </c>
      <c r="CO25">
        <v>0</v>
      </c>
      <c r="CP25">
        <v>269.76445161290297</v>
      </c>
      <c r="CQ25">
        <v>5.00054</v>
      </c>
      <c r="CR25">
        <v>8590.6467741935503</v>
      </c>
      <c r="CS25">
        <v>20590.5709677419</v>
      </c>
      <c r="CT25">
        <v>48.019935483871002</v>
      </c>
      <c r="CU25">
        <v>49.362806451612897</v>
      </c>
      <c r="CV25">
        <v>48.262</v>
      </c>
      <c r="CW25">
        <v>48.507870967741901</v>
      </c>
      <c r="CX25">
        <v>49.479612903225799</v>
      </c>
      <c r="CY25">
        <v>2155.5</v>
      </c>
      <c r="CZ25">
        <v>39.500322580645197</v>
      </c>
      <c r="DA25">
        <v>0</v>
      </c>
      <c r="DB25">
        <v>146</v>
      </c>
      <c r="DC25">
        <v>269.72480000000002</v>
      </c>
      <c r="DD25">
        <v>-0.70153846643400697</v>
      </c>
      <c r="DE25">
        <v>326.55076916263903</v>
      </c>
      <c r="DF25">
        <v>8613.4140000000007</v>
      </c>
      <c r="DG25">
        <v>15</v>
      </c>
      <c r="DH25">
        <v>1595008884</v>
      </c>
      <c r="DI25" t="s">
        <v>327</v>
      </c>
      <c r="DJ25">
        <v>65</v>
      </c>
      <c r="DK25">
        <v>-0.26700000000000002</v>
      </c>
      <c r="DL25">
        <v>9.8000000000000004E-2</v>
      </c>
      <c r="DM25">
        <v>600</v>
      </c>
      <c r="DN25">
        <v>16</v>
      </c>
      <c r="DO25">
        <v>0.13</v>
      </c>
      <c r="DP25">
        <v>0.02</v>
      </c>
      <c r="DQ25">
        <v>579.46527450980398</v>
      </c>
      <c r="DR25">
        <v>0.22801085972856699</v>
      </c>
      <c r="DS25">
        <v>3.8642696304746198E-2</v>
      </c>
      <c r="DT25">
        <v>1</v>
      </c>
      <c r="DU25">
        <v>19.9873117647059</v>
      </c>
      <c r="DV25">
        <v>-0.28558045248869102</v>
      </c>
      <c r="DW25">
        <v>3.5388857485665101E-2</v>
      </c>
      <c r="DX25">
        <v>0</v>
      </c>
      <c r="DY25">
        <v>1</v>
      </c>
      <c r="DZ25">
        <v>2</v>
      </c>
      <c r="EA25" t="s">
        <v>328</v>
      </c>
      <c r="EB25">
        <v>1.8667199999999999</v>
      </c>
      <c r="EC25">
        <v>1.86324</v>
      </c>
      <c r="ED25">
        <v>1.8689</v>
      </c>
      <c r="EE25">
        <v>1.86676</v>
      </c>
      <c r="EF25">
        <v>1.8714900000000001</v>
      </c>
      <c r="EG25">
        <v>1.86392</v>
      </c>
      <c r="EH25">
        <v>1.8654299999999999</v>
      </c>
      <c r="EI25">
        <v>1.8653900000000001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-0.26700000000000002</v>
      </c>
      <c r="EX25">
        <v>9.8000000000000004E-2</v>
      </c>
      <c r="EY25">
        <v>2</v>
      </c>
      <c r="EZ25">
        <v>325.18700000000001</v>
      </c>
      <c r="FA25">
        <v>457.75700000000001</v>
      </c>
      <c r="FB25">
        <v>20.9755</v>
      </c>
      <c r="FC25">
        <v>37.435600000000001</v>
      </c>
      <c r="FD25">
        <v>29.999199999999998</v>
      </c>
      <c r="FE25">
        <v>37.525500000000001</v>
      </c>
      <c r="FF25">
        <v>37.524299999999997</v>
      </c>
      <c r="FG25">
        <v>30.509</v>
      </c>
      <c r="FH25">
        <v>56.483199999999997</v>
      </c>
      <c r="FI25">
        <v>0</v>
      </c>
      <c r="FJ25">
        <v>20.9833</v>
      </c>
      <c r="FK25">
        <v>600</v>
      </c>
      <c r="FL25">
        <v>16.3261</v>
      </c>
      <c r="FM25">
        <v>100.11</v>
      </c>
      <c r="FN25">
        <v>100.398</v>
      </c>
    </row>
    <row r="26" spans="1:170" x14ac:dyDescent="0.25">
      <c r="A26">
        <v>10</v>
      </c>
      <c r="B26">
        <v>1595009005.5</v>
      </c>
      <c r="C26">
        <v>1185.2000000476801</v>
      </c>
      <c r="D26" t="s">
        <v>329</v>
      </c>
      <c r="E26" t="s">
        <v>330</v>
      </c>
      <c r="G26">
        <v>1595008997.5</v>
      </c>
      <c r="H26">
        <f t="shared" si="0"/>
        <v>8.2025650877201942E-3</v>
      </c>
      <c r="I26">
        <f t="shared" si="1"/>
        <v>47.390519356552467</v>
      </c>
      <c r="J26">
        <f t="shared" si="2"/>
        <v>678.823451612903</v>
      </c>
      <c r="K26">
        <f t="shared" si="3"/>
        <v>510.35972565624246</v>
      </c>
      <c r="L26">
        <f t="shared" si="4"/>
        <v>50.952803636812959</v>
      </c>
      <c r="M26">
        <f t="shared" si="5"/>
        <v>67.771723150021629</v>
      </c>
      <c r="N26">
        <f t="shared" si="6"/>
        <v>0.533335437992563</v>
      </c>
      <c r="O26">
        <f t="shared" si="7"/>
        <v>3.3921671550859216</v>
      </c>
      <c r="P26">
        <f t="shared" si="8"/>
        <v>0.49074963672822197</v>
      </c>
      <c r="Q26">
        <f t="shared" si="9"/>
        <v>0.31026083072853949</v>
      </c>
      <c r="R26">
        <f t="shared" si="10"/>
        <v>353.33667782073741</v>
      </c>
      <c r="S26">
        <f t="shared" si="11"/>
        <v>26.596062997665921</v>
      </c>
      <c r="T26">
        <f t="shared" si="12"/>
        <v>26.896038709677399</v>
      </c>
      <c r="U26">
        <f t="shared" si="13"/>
        <v>3.5573638411360218</v>
      </c>
      <c r="V26">
        <f t="shared" si="14"/>
        <v>55.209397996994689</v>
      </c>
      <c r="W26">
        <f t="shared" si="15"/>
        <v>1.9345487383014874</v>
      </c>
      <c r="X26">
        <f t="shared" si="16"/>
        <v>3.5040207075012737</v>
      </c>
      <c r="Y26">
        <f t="shared" si="17"/>
        <v>1.6228151028345343</v>
      </c>
      <c r="Z26">
        <f t="shared" si="18"/>
        <v>-361.73312036846056</v>
      </c>
      <c r="AA26">
        <f t="shared" si="19"/>
        <v>-46.963202822769702</v>
      </c>
      <c r="AB26">
        <f t="shared" si="20"/>
        <v>-2.9808902816133003</v>
      </c>
      <c r="AC26">
        <f t="shared" si="21"/>
        <v>-58.340535652106169</v>
      </c>
      <c r="AD26">
        <v>-4.1326387063290802E-2</v>
      </c>
      <c r="AE26">
        <v>4.6392489868892599E-2</v>
      </c>
      <c r="AF26">
        <v>3.4646877236012998</v>
      </c>
      <c r="AG26">
        <v>156</v>
      </c>
      <c r="AH26">
        <v>31</v>
      </c>
      <c r="AI26">
        <f t="shared" si="22"/>
        <v>1</v>
      </c>
      <c r="AJ26">
        <f t="shared" si="23"/>
        <v>0</v>
      </c>
      <c r="AK26">
        <f t="shared" si="24"/>
        <v>52760.639216763644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269.09688</v>
      </c>
      <c r="AT26">
        <v>381.86399999999998</v>
      </c>
      <c r="AU26">
        <f t="shared" si="27"/>
        <v>0.295307020300421</v>
      </c>
      <c r="AV26">
        <v>0.5</v>
      </c>
      <c r="AW26">
        <f t="shared" si="28"/>
        <v>1849.1820287413886</v>
      </c>
      <c r="AX26">
        <f t="shared" si="29"/>
        <v>47.390519356552467</v>
      </c>
      <c r="AY26">
        <f t="shared" si="30"/>
        <v>273.03821745035344</v>
      </c>
      <c r="AZ26">
        <f t="shared" si="31"/>
        <v>0.52113841577105979</v>
      </c>
      <c r="BA26">
        <f t="shared" si="32"/>
        <v>2.6168607851704342E-2</v>
      </c>
      <c r="BB26">
        <f t="shared" si="33"/>
        <v>-1</v>
      </c>
      <c r="BC26" t="s">
        <v>332</v>
      </c>
      <c r="BD26">
        <v>182.86</v>
      </c>
      <c r="BE26">
        <f t="shared" si="34"/>
        <v>199.00399999999996</v>
      </c>
      <c r="BF26">
        <f t="shared" si="35"/>
        <v>0.56665755462201761</v>
      </c>
      <c r="BG26">
        <f t="shared" si="36"/>
        <v>2.0882861205293666</v>
      </c>
      <c r="BH26">
        <f t="shared" si="37"/>
        <v>0.29530702030042105</v>
      </c>
      <c r="BI26" t="e">
        <f t="shared" si="38"/>
        <v>#DIV/0!</v>
      </c>
      <c r="BJ26">
        <v>5005</v>
      </c>
      <c r="BK26">
        <v>300</v>
      </c>
      <c r="BL26">
        <v>300</v>
      </c>
      <c r="BM26">
        <v>300</v>
      </c>
      <c r="BN26">
        <v>9873.35</v>
      </c>
      <c r="BO26">
        <v>348.36399999999998</v>
      </c>
      <c r="BP26">
        <v>-6.4043700000000004E-3</v>
      </c>
      <c r="BQ26">
        <v>1.4093599999999999</v>
      </c>
      <c r="BR26">
        <f t="shared" si="39"/>
        <v>2199.9964516128998</v>
      </c>
      <c r="BS26">
        <f t="shared" si="40"/>
        <v>1849.1820287413886</v>
      </c>
      <c r="BT26">
        <f t="shared" si="41"/>
        <v>0.84053864149902791</v>
      </c>
      <c r="BU26">
        <f t="shared" si="42"/>
        <v>0.19107728299805588</v>
      </c>
      <c r="BV26">
        <v>0.5</v>
      </c>
      <c r="BW26" t="s">
        <v>281</v>
      </c>
      <c r="BX26">
        <v>1595008997.5</v>
      </c>
      <c r="BY26">
        <v>678.823451612903</v>
      </c>
      <c r="BZ26">
        <v>700.005</v>
      </c>
      <c r="CA26">
        <v>19.377064516129</v>
      </c>
      <c r="CB26">
        <v>16.159903225806499</v>
      </c>
      <c r="CC26">
        <v>500.04477419354799</v>
      </c>
      <c r="CD26">
        <v>99.637045161290303</v>
      </c>
      <c r="CE26">
        <v>0.19999345161290299</v>
      </c>
      <c r="CF26">
        <v>26.6392387096774</v>
      </c>
      <c r="CG26">
        <v>26.896038709677399</v>
      </c>
      <c r="CH26">
        <v>999.9</v>
      </c>
      <c r="CI26">
        <v>10002.363225806501</v>
      </c>
      <c r="CJ26">
        <v>0</v>
      </c>
      <c r="CK26">
        <v>44.068358064516097</v>
      </c>
      <c r="CL26">
        <v>2199.9964516128998</v>
      </c>
      <c r="CM26">
        <v>0.98200316129032295</v>
      </c>
      <c r="CN26">
        <v>1.7997080645161301E-2</v>
      </c>
      <c r="CO26">
        <v>0</v>
      </c>
      <c r="CP26">
        <v>269.10761290322603</v>
      </c>
      <c r="CQ26">
        <v>5.00054</v>
      </c>
      <c r="CR26">
        <v>7039.87161290323</v>
      </c>
      <c r="CS26">
        <v>20590.5193548387</v>
      </c>
      <c r="CT26">
        <v>47.8121935483871</v>
      </c>
      <c r="CU26">
        <v>49.116741935483901</v>
      </c>
      <c r="CV26">
        <v>48.027999999999999</v>
      </c>
      <c r="CW26">
        <v>48.259870967741897</v>
      </c>
      <c r="CX26">
        <v>49.261806451612898</v>
      </c>
      <c r="CY26">
        <v>2155.4961290322599</v>
      </c>
      <c r="CZ26">
        <v>39.500322580645197</v>
      </c>
      <c r="DA26">
        <v>0</v>
      </c>
      <c r="DB26">
        <v>153.200000047684</v>
      </c>
      <c r="DC26">
        <v>269.09688</v>
      </c>
      <c r="DD26">
        <v>-1.6922307667976999</v>
      </c>
      <c r="DE26">
        <v>-36.624615406687703</v>
      </c>
      <c r="DF26">
        <v>7039.4920000000002</v>
      </c>
      <c r="DG26">
        <v>15</v>
      </c>
      <c r="DH26">
        <v>1595009036.5</v>
      </c>
      <c r="DI26" t="s">
        <v>333</v>
      </c>
      <c r="DJ26">
        <v>66</v>
      </c>
      <c r="DK26">
        <v>-0.23300000000000001</v>
      </c>
      <c r="DL26">
        <v>9.6000000000000002E-2</v>
      </c>
      <c r="DM26">
        <v>700</v>
      </c>
      <c r="DN26">
        <v>16</v>
      </c>
      <c r="DO26">
        <v>0.19</v>
      </c>
      <c r="DP26">
        <v>0.03</v>
      </c>
      <c r="DQ26">
        <v>678.75390196078399</v>
      </c>
      <c r="DR26">
        <v>0.32612850678745903</v>
      </c>
      <c r="DS26">
        <v>6.4180888640960304E-2</v>
      </c>
      <c r="DT26">
        <v>0</v>
      </c>
      <c r="DU26">
        <v>19.4011196078431</v>
      </c>
      <c r="DV26">
        <v>-0.257213755656099</v>
      </c>
      <c r="DW26">
        <v>3.1780953844986998E-2</v>
      </c>
      <c r="DX26">
        <v>0</v>
      </c>
      <c r="DY26">
        <v>0</v>
      </c>
      <c r="DZ26">
        <v>2</v>
      </c>
      <c r="EA26" t="s">
        <v>334</v>
      </c>
      <c r="EB26">
        <v>1.86676</v>
      </c>
      <c r="EC26">
        <v>1.8632500000000001</v>
      </c>
      <c r="ED26">
        <v>1.8689199999999999</v>
      </c>
      <c r="EE26">
        <v>1.8668899999999999</v>
      </c>
      <c r="EF26">
        <v>1.87158</v>
      </c>
      <c r="EG26">
        <v>1.8640099999999999</v>
      </c>
      <c r="EH26">
        <v>1.86554</v>
      </c>
      <c r="EI26">
        <v>1.86548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-0.23300000000000001</v>
      </c>
      <c r="EX26">
        <v>9.6000000000000002E-2</v>
      </c>
      <c r="EY26">
        <v>2</v>
      </c>
      <c r="EZ26">
        <v>325.327</v>
      </c>
      <c r="FA26">
        <v>457.56799999999998</v>
      </c>
      <c r="FB26">
        <v>21.877199999999998</v>
      </c>
      <c r="FC26">
        <v>37.3551</v>
      </c>
      <c r="FD26">
        <v>29.9986</v>
      </c>
      <c r="FE26">
        <v>37.46</v>
      </c>
      <c r="FF26">
        <v>37.4621</v>
      </c>
      <c r="FG26">
        <v>34.548299999999998</v>
      </c>
      <c r="FH26">
        <v>56.426900000000003</v>
      </c>
      <c r="FI26">
        <v>0</v>
      </c>
      <c r="FJ26">
        <v>21.9648</v>
      </c>
      <c r="FK26">
        <v>700</v>
      </c>
      <c r="FL26">
        <v>16.116099999999999</v>
      </c>
      <c r="FM26">
        <v>100.127</v>
      </c>
      <c r="FN26">
        <v>100.426</v>
      </c>
    </row>
    <row r="27" spans="1:170" x14ac:dyDescent="0.25">
      <c r="A27">
        <v>11</v>
      </c>
      <c r="B27">
        <v>1595009142</v>
      </c>
      <c r="C27">
        <v>1321.7000000476801</v>
      </c>
      <c r="D27" t="s">
        <v>335</v>
      </c>
      <c r="E27" t="s">
        <v>336</v>
      </c>
      <c r="G27">
        <v>1595009134</v>
      </c>
      <c r="H27">
        <f t="shared" si="0"/>
        <v>7.0807634044580316E-3</v>
      </c>
      <c r="I27">
        <f t="shared" si="1"/>
        <v>48.501645340913363</v>
      </c>
      <c r="J27">
        <f t="shared" si="2"/>
        <v>778.40651612903196</v>
      </c>
      <c r="K27">
        <f t="shared" si="3"/>
        <v>575.57394580084986</v>
      </c>
      <c r="L27">
        <f t="shared" si="4"/>
        <v>57.455174931039608</v>
      </c>
      <c r="M27">
        <f t="shared" si="5"/>
        <v>77.702409704154803</v>
      </c>
      <c r="N27">
        <f t="shared" si="6"/>
        <v>0.44662655666067064</v>
      </c>
      <c r="O27">
        <f t="shared" si="7"/>
        <v>3.3904236589031509</v>
      </c>
      <c r="P27">
        <f t="shared" si="8"/>
        <v>0.41632650225270612</v>
      </c>
      <c r="Q27">
        <f t="shared" si="9"/>
        <v>0.26275490621291275</v>
      </c>
      <c r="R27">
        <f t="shared" si="10"/>
        <v>353.3394819574591</v>
      </c>
      <c r="S27">
        <f t="shared" si="11"/>
        <v>27.044437942502281</v>
      </c>
      <c r="T27">
        <f t="shared" si="12"/>
        <v>27.083941935483899</v>
      </c>
      <c r="U27">
        <f t="shared" si="13"/>
        <v>3.5968433872572545</v>
      </c>
      <c r="V27">
        <f t="shared" si="14"/>
        <v>54.912598474114716</v>
      </c>
      <c r="W27">
        <f t="shared" si="15"/>
        <v>1.9462296819729539</v>
      </c>
      <c r="X27">
        <f t="shared" si="16"/>
        <v>3.5442316263550855</v>
      </c>
      <c r="Y27">
        <f t="shared" si="17"/>
        <v>1.6506137052843006</v>
      </c>
      <c r="Z27">
        <f t="shared" si="18"/>
        <v>-312.26166613659922</v>
      </c>
      <c r="AA27">
        <f t="shared" si="19"/>
        <v>-45.844126573398619</v>
      </c>
      <c r="AB27">
        <f t="shared" si="20"/>
        <v>-2.9169212026687168</v>
      </c>
      <c r="AC27">
        <f t="shared" si="21"/>
        <v>-7.6832319552074679</v>
      </c>
      <c r="AD27">
        <v>-4.1299390919403003E-2</v>
      </c>
      <c r="AE27">
        <v>4.6362184332386397E-2</v>
      </c>
      <c r="AF27">
        <v>3.4628968539159901</v>
      </c>
      <c r="AG27">
        <v>154</v>
      </c>
      <c r="AH27">
        <v>31</v>
      </c>
      <c r="AI27">
        <f t="shared" si="22"/>
        <v>1</v>
      </c>
      <c r="AJ27">
        <f t="shared" si="23"/>
        <v>0</v>
      </c>
      <c r="AK27">
        <f t="shared" si="24"/>
        <v>52693.168078597533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337</v>
      </c>
      <c r="AS27">
        <v>266.34519999999998</v>
      </c>
      <c r="AT27">
        <v>375.98700000000002</v>
      </c>
      <c r="AU27">
        <f t="shared" si="27"/>
        <v>0.29161061419676759</v>
      </c>
      <c r="AV27">
        <v>0.5</v>
      </c>
      <c r="AW27">
        <f t="shared" si="28"/>
        <v>1849.1915609993096</v>
      </c>
      <c r="AX27">
        <f t="shared" si="29"/>
        <v>48.501645340913363</v>
      </c>
      <c r="AY27">
        <f t="shared" si="30"/>
        <v>269.62194343524402</v>
      </c>
      <c r="AZ27">
        <f t="shared" si="31"/>
        <v>0.5226430701061473</v>
      </c>
      <c r="BA27">
        <f t="shared" si="32"/>
        <v>2.67693441744686E-2</v>
      </c>
      <c r="BB27">
        <f t="shared" si="33"/>
        <v>-1</v>
      </c>
      <c r="BC27" t="s">
        <v>338</v>
      </c>
      <c r="BD27">
        <v>179.48</v>
      </c>
      <c r="BE27">
        <f t="shared" si="34"/>
        <v>196.50700000000003</v>
      </c>
      <c r="BF27">
        <f t="shared" si="35"/>
        <v>0.55795366068384344</v>
      </c>
      <c r="BG27">
        <f t="shared" si="36"/>
        <v>2.0948685090260755</v>
      </c>
      <c r="BH27">
        <f t="shared" si="37"/>
        <v>0.29161061419676754</v>
      </c>
      <c r="BI27" t="e">
        <f t="shared" si="38"/>
        <v>#DIV/0!</v>
      </c>
      <c r="BJ27">
        <v>5007</v>
      </c>
      <c r="BK27">
        <v>300</v>
      </c>
      <c r="BL27">
        <v>300</v>
      </c>
      <c r="BM27">
        <v>300</v>
      </c>
      <c r="BN27">
        <v>9876.81</v>
      </c>
      <c r="BO27">
        <v>343.69299999999998</v>
      </c>
      <c r="BP27">
        <v>-6.4068299999999996E-3</v>
      </c>
      <c r="BQ27">
        <v>1.3843700000000001</v>
      </c>
      <c r="BR27">
        <f t="shared" si="39"/>
        <v>2200.0070967741899</v>
      </c>
      <c r="BS27">
        <f t="shared" si="40"/>
        <v>1849.1915609993096</v>
      </c>
      <c r="BT27">
        <f t="shared" si="41"/>
        <v>0.8405389072202214</v>
      </c>
      <c r="BU27">
        <f t="shared" si="42"/>
        <v>0.19107781444044294</v>
      </c>
      <c r="BV27">
        <v>0.5</v>
      </c>
      <c r="BW27" t="s">
        <v>281</v>
      </c>
      <c r="BX27">
        <v>1595009134</v>
      </c>
      <c r="BY27">
        <v>778.40651612903196</v>
      </c>
      <c r="BZ27">
        <v>800.00954838709697</v>
      </c>
      <c r="CA27">
        <v>19.496922580645201</v>
      </c>
      <c r="CB27">
        <v>16.720135483871001</v>
      </c>
      <c r="CC27">
        <v>500.05348387096802</v>
      </c>
      <c r="CD27">
        <v>99.622409677419299</v>
      </c>
      <c r="CE27">
        <v>0.19999429032258101</v>
      </c>
      <c r="CF27">
        <v>26.833132258064499</v>
      </c>
      <c r="CG27">
        <v>27.083941935483899</v>
      </c>
      <c r="CH27">
        <v>999.9</v>
      </c>
      <c r="CI27">
        <v>9997.2977419354793</v>
      </c>
      <c r="CJ27">
        <v>0</v>
      </c>
      <c r="CK27">
        <v>190.66019354838701</v>
      </c>
      <c r="CL27">
        <v>2200.0070967741899</v>
      </c>
      <c r="CM27">
        <v>0.98199587096774199</v>
      </c>
      <c r="CN27">
        <v>1.8003990322580599E-2</v>
      </c>
      <c r="CO27">
        <v>0</v>
      </c>
      <c r="CP27">
        <v>266.37664516129001</v>
      </c>
      <c r="CQ27">
        <v>5.00054</v>
      </c>
      <c r="CR27">
        <v>8503.9193548387102</v>
      </c>
      <c r="CS27">
        <v>20590.5709677419</v>
      </c>
      <c r="CT27">
        <v>47.245774193548399</v>
      </c>
      <c r="CU27">
        <v>48.485774193548401</v>
      </c>
      <c r="CV27">
        <v>47.471548387096803</v>
      </c>
      <c r="CW27">
        <v>47.572290322580599</v>
      </c>
      <c r="CX27">
        <v>48.741774193548402</v>
      </c>
      <c r="CY27">
        <v>2155.4870967741899</v>
      </c>
      <c r="CZ27">
        <v>39.520000000000003</v>
      </c>
      <c r="DA27">
        <v>0</v>
      </c>
      <c r="DB27">
        <v>135.700000047684</v>
      </c>
      <c r="DC27">
        <v>266.34519999999998</v>
      </c>
      <c r="DD27">
        <v>-1.73738461206531</v>
      </c>
      <c r="DE27">
        <v>825.05615504013599</v>
      </c>
      <c r="DF27">
        <v>8516.2908000000007</v>
      </c>
      <c r="DG27">
        <v>15</v>
      </c>
      <c r="DH27">
        <v>1595009173</v>
      </c>
      <c r="DI27" t="s">
        <v>339</v>
      </c>
      <c r="DJ27">
        <v>67</v>
      </c>
      <c r="DK27">
        <v>-0.28599999999999998</v>
      </c>
      <c r="DL27">
        <v>0.109</v>
      </c>
      <c r="DM27">
        <v>800</v>
      </c>
      <c r="DN27">
        <v>17</v>
      </c>
      <c r="DO27">
        <v>0.1</v>
      </c>
      <c r="DP27">
        <v>0.04</v>
      </c>
      <c r="DQ27">
        <v>778.42998039215695</v>
      </c>
      <c r="DR27">
        <v>0.29496108597290599</v>
      </c>
      <c r="DS27">
        <v>4.4102149783575503E-2</v>
      </c>
      <c r="DT27">
        <v>1</v>
      </c>
      <c r="DU27">
        <v>19.482064705882401</v>
      </c>
      <c r="DV27">
        <v>1.7625339366519499E-2</v>
      </c>
      <c r="DW27">
        <v>4.83714482019427E-3</v>
      </c>
      <c r="DX27">
        <v>1</v>
      </c>
      <c r="DY27">
        <v>2</v>
      </c>
      <c r="DZ27">
        <v>2</v>
      </c>
      <c r="EA27" t="s">
        <v>283</v>
      </c>
      <c r="EB27">
        <v>1.8667499999999999</v>
      </c>
      <c r="EC27">
        <v>1.86324</v>
      </c>
      <c r="ED27">
        <v>1.8689</v>
      </c>
      <c r="EE27">
        <v>1.8667800000000001</v>
      </c>
      <c r="EF27">
        <v>1.8714900000000001</v>
      </c>
      <c r="EG27">
        <v>1.8640000000000001</v>
      </c>
      <c r="EH27">
        <v>1.8654999999999999</v>
      </c>
      <c r="EI27">
        <v>1.8653900000000001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-0.28599999999999998</v>
      </c>
      <c r="EX27">
        <v>0.109</v>
      </c>
      <c r="EY27">
        <v>2</v>
      </c>
      <c r="EZ27">
        <v>327.41699999999997</v>
      </c>
      <c r="FA27">
        <v>460.55599999999998</v>
      </c>
      <c r="FB27">
        <v>21.5245</v>
      </c>
      <c r="FC27">
        <v>36.921599999999998</v>
      </c>
      <c r="FD27">
        <v>29.999300000000002</v>
      </c>
      <c r="FE27">
        <v>37.157800000000002</v>
      </c>
      <c r="FF27">
        <v>37.173000000000002</v>
      </c>
      <c r="FG27">
        <v>38.514000000000003</v>
      </c>
      <c r="FH27">
        <v>54.052199999999999</v>
      </c>
      <c r="FI27">
        <v>0</v>
      </c>
      <c r="FJ27">
        <v>21.464500000000001</v>
      </c>
      <c r="FK27">
        <v>800</v>
      </c>
      <c r="FL27">
        <v>16.834199999999999</v>
      </c>
      <c r="FM27">
        <v>100.205</v>
      </c>
      <c r="FN27">
        <v>100.527</v>
      </c>
    </row>
    <row r="28" spans="1:170" x14ac:dyDescent="0.25">
      <c r="A28">
        <v>12</v>
      </c>
      <c r="B28">
        <v>1595009288</v>
      </c>
      <c r="C28">
        <v>1467.7000000476801</v>
      </c>
      <c r="D28" t="s">
        <v>340</v>
      </c>
      <c r="E28" t="s">
        <v>341</v>
      </c>
      <c r="G28">
        <v>1595009280</v>
      </c>
      <c r="H28">
        <f t="shared" si="0"/>
        <v>7.3698238108583043E-3</v>
      </c>
      <c r="I28">
        <f t="shared" si="1"/>
        <v>48.582007949395191</v>
      </c>
      <c r="J28">
        <f t="shared" si="2"/>
        <v>977.71299999999997</v>
      </c>
      <c r="K28">
        <f t="shared" si="3"/>
        <v>776.75392997153574</v>
      </c>
      <c r="L28">
        <f t="shared" si="4"/>
        <v>77.532314647630443</v>
      </c>
      <c r="M28">
        <f t="shared" si="5"/>
        <v>97.591204918469558</v>
      </c>
      <c r="N28">
        <f t="shared" si="6"/>
        <v>0.46684058066744111</v>
      </c>
      <c r="O28">
        <f t="shared" si="7"/>
        <v>3.3902339359589542</v>
      </c>
      <c r="P28">
        <f t="shared" si="8"/>
        <v>0.43384264370047976</v>
      </c>
      <c r="Q28">
        <f t="shared" si="9"/>
        <v>0.27392176934105056</v>
      </c>
      <c r="R28">
        <f t="shared" si="10"/>
        <v>353.33891563693982</v>
      </c>
      <c r="S28">
        <f t="shared" si="11"/>
        <v>26.477741433859602</v>
      </c>
      <c r="T28">
        <f t="shared" si="12"/>
        <v>26.937551612903199</v>
      </c>
      <c r="U28">
        <f t="shared" si="13"/>
        <v>3.5660532316463844</v>
      </c>
      <c r="V28">
        <f t="shared" si="14"/>
        <v>55.709379845831975</v>
      </c>
      <c r="W28">
        <f t="shared" si="15"/>
        <v>1.9170216776922089</v>
      </c>
      <c r="X28">
        <f t="shared" si="16"/>
        <v>3.4411111432173578</v>
      </c>
      <c r="Y28">
        <f t="shared" si="17"/>
        <v>1.6490315539541756</v>
      </c>
      <c r="Z28">
        <f t="shared" si="18"/>
        <v>-325.00923005885124</v>
      </c>
      <c r="AA28">
        <f t="shared" si="19"/>
        <v>-110.68634242472302</v>
      </c>
      <c r="AB28">
        <f t="shared" si="20"/>
        <v>-7.0202501317729684</v>
      </c>
      <c r="AC28">
        <f t="shared" si="21"/>
        <v>-89.376906978407419</v>
      </c>
      <c r="AD28">
        <v>-4.1296453643196701E-2</v>
      </c>
      <c r="AE28">
        <v>4.6358886982525299E-2</v>
      </c>
      <c r="AF28">
        <v>3.4627019765666902</v>
      </c>
      <c r="AG28">
        <v>154</v>
      </c>
      <c r="AH28">
        <v>31</v>
      </c>
      <c r="AI28">
        <f t="shared" si="22"/>
        <v>1</v>
      </c>
      <c r="AJ28">
        <f t="shared" si="23"/>
        <v>0</v>
      </c>
      <c r="AK28">
        <f t="shared" si="24"/>
        <v>52777.649102856267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342</v>
      </c>
      <c r="AS28">
        <v>265.95004</v>
      </c>
      <c r="AT28">
        <v>365.16899999999998</v>
      </c>
      <c r="AU28">
        <f t="shared" si="27"/>
        <v>0.27170696307736963</v>
      </c>
      <c r="AV28">
        <v>0.5</v>
      </c>
      <c r="AW28">
        <f t="shared" si="28"/>
        <v>1849.1885803541538</v>
      </c>
      <c r="AX28">
        <f t="shared" si="29"/>
        <v>48.582007949395191</v>
      </c>
      <c r="AY28">
        <f t="shared" si="30"/>
        <v>251.21870666268981</v>
      </c>
      <c r="AZ28">
        <f t="shared" si="31"/>
        <v>0.52471321497717494</v>
      </c>
      <c r="BA28">
        <f t="shared" si="32"/>
        <v>2.6812845631947024E-2</v>
      </c>
      <c r="BB28">
        <f t="shared" si="33"/>
        <v>-1</v>
      </c>
      <c r="BC28" t="s">
        <v>343</v>
      </c>
      <c r="BD28">
        <v>173.56</v>
      </c>
      <c r="BE28">
        <f t="shared" si="34"/>
        <v>191.60899999999998</v>
      </c>
      <c r="BF28">
        <f t="shared" si="35"/>
        <v>0.51781993538925619</v>
      </c>
      <c r="BG28">
        <f t="shared" si="36"/>
        <v>2.1039928554966583</v>
      </c>
      <c r="BH28">
        <f t="shared" si="37"/>
        <v>0.27170696307736963</v>
      </c>
      <c r="BI28" t="e">
        <f t="shared" si="38"/>
        <v>#DIV/0!</v>
      </c>
      <c r="BJ28">
        <v>5009</v>
      </c>
      <c r="BK28">
        <v>300</v>
      </c>
      <c r="BL28">
        <v>300</v>
      </c>
      <c r="BM28">
        <v>300</v>
      </c>
      <c r="BN28">
        <v>9876.73</v>
      </c>
      <c r="BO28">
        <v>336.32</v>
      </c>
      <c r="BP28">
        <v>-6.40691E-3</v>
      </c>
      <c r="BQ28">
        <v>1.0926800000000001</v>
      </c>
      <c r="BR28">
        <f t="shared" si="39"/>
        <v>2200.0035483871002</v>
      </c>
      <c r="BS28">
        <f t="shared" si="40"/>
        <v>1849.1885803541538</v>
      </c>
      <c r="BT28">
        <f t="shared" si="41"/>
        <v>0.84053890808942511</v>
      </c>
      <c r="BU28">
        <f t="shared" si="42"/>
        <v>0.19107781617885011</v>
      </c>
      <c r="BV28">
        <v>0.5</v>
      </c>
      <c r="BW28" t="s">
        <v>281</v>
      </c>
      <c r="BX28">
        <v>1595009280</v>
      </c>
      <c r="BY28">
        <v>977.71299999999997</v>
      </c>
      <c r="BZ28">
        <v>1000.0262903225801</v>
      </c>
      <c r="CA28">
        <v>19.2055935483871</v>
      </c>
      <c r="CB28">
        <v>16.3145064516129</v>
      </c>
      <c r="CC28">
        <v>500.03903225806403</v>
      </c>
      <c r="CD28">
        <v>99.615825806451596</v>
      </c>
      <c r="CE28">
        <v>0.199973838709677</v>
      </c>
      <c r="CF28">
        <v>26.331961290322599</v>
      </c>
      <c r="CG28">
        <v>26.937551612903199</v>
      </c>
      <c r="CH28">
        <v>999.9</v>
      </c>
      <c r="CI28">
        <v>9997.2474193548405</v>
      </c>
      <c r="CJ28">
        <v>0</v>
      </c>
      <c r="CK28">
        <v>149.169877419355</v>
      </c>
      <c r="CL28">
        <v>2200.0035483871002</v>
      </c>
      <c r="CM28">
        <v>0.98199674193548403</v>
      </c>
      <c r="CN28">
        <v>1.8003380645161299E-2</v>
      </c>
      <c r="CO28">
        <v>0</v>
      </c>
      <c r="CP28">
        <v>265.95061290322599</v>
      </c>
      <c r="CQ28">
        <v>5.00054</v>
      </c>
      <c r="CR28">
        <v>7827.28</v>
      </c>
      <c r="CS28">
        <v>20590.538709677399</v>
      </c>
      <c r="CT28">
        <v>47.262</v>
      </c>
      <c r="CU28">
        <v>48.625</v>
      </c>
      <c r="CV28">
        <v>47.512</v>
      </c>
      <c r="CW28">
        <v>47.632935483871002</v>
      </c>
      <c r="CX28">
        <v>48.733741935483899</v>
      </c>
      <c r="CY28">
        <v>2155.4835483871002</v>
      </c>
      <c r="CZ28">
        <v>39.520000000000003</v>
      </c>
      <c r="DA28">
        <v>0</v>
      </c>
      <c r="DB28">
        <v>145.5</v>
      </c>
      <c r="DC28">
        <v>265.95004</v>
      </c>
      <c r="DD28">
        <v>6.2692305879312599E-2</v>
      </c>
      <c r="DE28">
        <v>-7392.7392444861298</v>
      </c>
      <c r="DF28">
        <v>7737.7727999999997</v>
      </c>
      <c r="DG28">
        <v>15</v>
      </c>
      <c r="DH28">
        <v>1595009316.5</v>
      </c>
      <c r="DI28" t="s">
        <v>344</v>
      </c>
      <c r="DJ28">
        <v>68</v>
      </c>
      <c r="DK28">
        <v>0.115</v>
      </c>
      <c r="DL28">
        <v>9.7000000000000003E-2</v>
      </c>
      <c r="DM28">
        <v>1000</v>
      </c>
      <c r="DN28">
        <v>16</v>
      </c>
      <c r="DO28">
        <v>0.13</v>
      </c>
      <c r="DP28">
        <v>0.03</v>
      </c>
      <c r="DQ28">
        <v>977.32796078431397</v>
      </c>
      <c r="DR28">
        <v>-0.25082592827581701</v>
      </c>
      <c r="DS28">
        <v>4.9468532594288898E-2</v>
      </c>
      <c r="DT28">
        <v>1</v>
      </c>
      <c r="DU28">
        <v>19.237627450980401</v>
      </c>
      <c r="DV28">
        <v>-0.16306413343152301</v>
      </c>
      <c r="DW28">
        <v>3.8164258396996602E-2</v>
      </c>
      <c r="DX28">
        <v>1</v>
      </c>
      <c r="DY28">
        <v>2</v>
      </c>
      <c r="DZ28">
        <v>2</v>
      </c>
      <c r="EA28" t="s">
        <v>283</v>
      </c>
      <c r="EB28">
        <v>1.86676</v>
      </c>
      <c r="EC28">
        <v>1.8632500000000001</v>
      </c>
      <c r="ED28">
        <v>1.8689100000000001</v>
      </c>
      <c r="EE28">
        <v>1.86683</v>
      </c>
      <c r="EF28">
        <v>1.8714999999999999</v>
      </c>
      <c r="EG28">
        <v>1.8640099999999999</v>
      </c>
      <c r="EH28">
        <v>1.8655299999999999</v>
      </c>
      <c r="EI28">
        <v>1.8654500000000001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0.115</v>
      </c>
      <c r="EX28">
        <v>9.7000000000000003E-2</v>
      </c>
      <c r="EY28">
        <v>2</v>
      </c>
      <c r="EZ28">
        <v>327.399</v>
      </c>
      <c r="FA28">
        <v>460.04599999999999</v>
      </c>
      <c r="FB28">
        <v>21.070399999999999</v>
      </c>
      <c r="FC28">
        <v>36.798400000000001</v>
      </c>
      <c r="FD28">
        <v>29.997</v>
      </c>
      <c r="FE28">
        <v>36.991700000000002</v>
      </c>
      <c r="FF28">
        <v>37.015599999999999</v>
      </c>
      <c r="FG28">
        <v>46.112299999999998</v>
      </c>
      <c r="FH28">
        <v>56.833599999999997</v>
      </c>
      <c r="FI28">
        <v>0</v>
      </c>
      <c r="FJ28">
        <v>21.1492</v>
      </c>
      <c r="FK28">
        <v>1000</v>
      </c>
      <c r="FL28">
        <v>16.050799999999999</v>
      </c>
      <c r="FM28">
        <v>100.23099999999999</v>
      </c>
      <c r="FN28">
        <v>100.55</v>
      </c>
    </row>
    <row r="29" spans="1:170" x14ac:dyDescent="0.25">
      <c r="A29">
        <v>13</v>
      </c>
      <c r="B29">
        <v>1595009418</v>
      </c>
      <c r="C29">
        <v>1597.7000000476801</v>
      </c>
      <c r="D29" t="s">
        <v>345</v>
      </c>
      <c r="E29" t="s">
        <v>346</v>
      </c>
      <c r="G29">
        <v>1595009410</v>
      </c>
      <c r="H29">
        <f t="shared" si="0"/>
        <v>6.7519378548810535E-3</v>
      </c>
      <c r="I29">
        <f t="shared" si="1"/>
        <v>48.099058130373251</v>
      </c>
      <c r="J29">
        <f t="shared" si="2"/>
        <v>1177.5967741935499</v>
      </c>
      <c r="K29">
        <f t="shared" si="3"/>
        <v>951.82927323282433</v>
      </c>
      <c r="L29">
        <f t="shared" si="4"/>
        <v>95.00378829491369</v>
      </c>
      <c r="M29">
        <f t="shared" si="5"/>
        <v>117.53804781846792</v>
      </c>
      <c r="N29">
        <f t="shared" si="6"/>
        <v>0.41450832202964227</v>
      </c>
      <c r="O29">
        <f t="shared" si="7"/>
        <v>3.3904150611410833</v>
      </c>
      <c r="P29">
        <f t="shared" si="8"/>
        <v>0.38827217011343845</v>
      </c>
      <c r="Q29">
        <f t="shared" si="9"/>
        <v>0.24488880846222866</v>
      </c>
      <c r="R29">
        <f t="shared" si="10"/>
        <v>353.33711370801115</v>
      </c>
      <c r="S29">
        <f t="shared" si="11"/>
        <v>26.876262613935463</v>
      </c>
      <c r="T29">
        <f t="shared" si="12"/>
        <v>27.0937290322581</v>
      </c>
      <c r="U29">
        <f t="shared" si="13"/>
        <v>3.5989101496907958</v>
      </c>
      <c r="V29">
        <f t="shared" si="14"/>
        <v>54.69815867052673</v>
      </c>
      <c r="W29">
        <f t="shared" si="15"/>
        <v>1.9111215528005143</v>
      </c>
      <c r="X29">
        <f t="shared" si="16"/>
        <v>3.4939412939146943</v>
      </c>
      <c r="Y29">
        <f t="shared" si="17"/>
        <v>1.6877885968902815</v>
      </c>
      <c r="Z29">
        <f t="shared" si="18"/>
        <v>-297.76045940025443</v>
      </c>
      <c r="AA29">
        <f t="shared" si="19"/>
        <v>-92.012904555178139</v>
      </c>
      <c r="AB29">
        <f t="shared" si="20"/>
        <v>-5.8476977440777951</v>
      </c>
      <c r="AC29">
        <f t="shared" si="21"/>
        <v>-42.283947991499204</v>
      </c>
      <c r="AD29">
        <v>-4.12992578079018E-2</v>
      </c>
      <c r="AE29">
        <v>4.6362034903065098E-2</v>
      </c>
      <c r="AF29">
        <v>3.4628880225665601</v>
      </c>
      <c r="AG29">
        <v>154</v>
      </c>
      <c r="AH29">
        <v>31</v>
      </c>
      <c r="AI29">
        <f t="shared" si="22"/>
        <v>1</v>
      </c>
      <c r="AJ29">
        <f t="shared" si="23"/>
        <v>0</v>
      </c>
      <c r="AK29">
        <f t="shared" si="24"/>
        <v>52735.480916501263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347</v>
      </c>
      <c r="AS29">
        <v>263.43351999999999</v>
      </c>
      <c r="AT29">
        <v>355.858</v>
      </c>
      <c r="AU29">
        <f t="shared" si="27"/>
        <v>0.25972292318846291</v>
      </c>
      <c r="AV29">
        <v>0.5</v>
      </c>
      <c r="AW29">
        <f t="shared" si="28"/>
        <v>1849.1790964831848</v>
      </c>
      <c r="AX29">
        <f t="shared" si="29"/>
        <v>48.099058130373251</v>
      </c>
      <c r="AY29">
        <f t="shared" si="30"/>
        <v>240.13710021880672</v>
      </c>
      <c r="AZ29">
        <f t="shared" si="31"/>
        <v>0.49788960765249057</v>
      </c>
      <c r="BA29">
        <f t="shared" si="32"/>
        <v>2.6551813301237868E-2</v>
      </c>
      <c r="BB29">
        <f t="shared" si="33"/>
        <v>-1</v>
      </c>
      <c r="BC29" t="s">
        <v>348</v>
      </c>
      <c r="BD29">
        <v>178.68</v>
      </c>
      <c r="BE29">
        <f t="shared" si="34"/>
        <v>177.178</v>
      </c>
      <c r="BF29">
        <f t="shared" si="35"/>
        <v>0.52164760861958037</v>
      </c>
      <c r="BG29">
        <f t="shared" si="36"/>
        <v>1.9915939109021714</v>
      </c>
      <c r="BH29">
        <f t="shared" si="37"/>
        <v>0.25972292318846285</v>
      </c>
      <c r="BI29" t="e">
        <f t="shared" si="38"/>
        <v>#DIV/0!</v>
      </c>
      <c r="BJ29">
        <v>5011</v>
      </c>
      <c r="BK29">
        <v>300</v>
      </c>
      <c r="BL29">
        <v>300</v>
      </c>
      <c r="BM29">
        <v>300</v>
      </c>
      <c r="BN29">
        <v>9877.4</v>
      </c>
      <c r="BO29">
        <v>329.25299999999999</v>
      </c>
      <c r="BP29">
        <v>-6.4072699999999996E-3</v>
      </c>
      <c r="BQ29">
        <v>1.3874500000000001</v>
      </c>
      <c r="BR29">
        <f t="shared" si="39"/>
        <v>2199.9922580645198</v>
      </c>
      <c r="BS29">
        <f t="shared" si="40"/>
        <v>1849.1790964831848</v>
      </c>
      <c r="BT29">
        <f t="shared" si="41"/>
        <v>0.84053891085509147</v>
      </c>
      <c r="BU29">
        <f t="shared" si="42"/>
        <v>0.19107782171018292</v>
      </c>
      <c r="BV29">
        <v>0.5</v>
      </c>
      <c r="BW29" t="s">
        <v>281</v>
      </c>
      <c r="BX29">
        <v>1595009410</v>
      </c>
      <c r="BY29">
        <v>1177.5967741935499</v>
      </c>
      <c r="BZ29">
        <v>1200.01451612903</v>
      </c>
      <c r="CA29">
        <v>19.147251612903201</v>
      </c>
      <c r="CB29">
        <v>16.498461290322599</v>
      </c>
      <c r="CC29">
        <v>500.05141935483903</v>
      </c>
      <c r="CD29">
        <v>99.611822580645196</v>
      </c>
      <c r="CE29">
        <v>0.199972419354839</v>
      </c>
      <c r="CF29">
        <v>26.5903322580645</v>
      </c>
      <c r="CG29">
        <v>27.0937290322581</v>
      </c>
      <c r="CH29">
        <v>999.9</v>
      </c>
      <c r="CI29">
        <v>9998.3280645161303</v>
      </c>
      <c r="CJ29">
        <v>0</v>
      </c>
      <c r="CK29">
        <v>179.17377419354801</v>
      </c>
      <c r="CL29">
        <v>2199.9922580645198</v>
      </c>
      <c r="CM29">
        <v>0.98199519354838705</v>
      </c>
      <c r="CN29">
        <v>1.8004464516128998E-2</v>
      </c>
      <c r="CO29">
        <v>0</v>
      </c>
      <c r="CP29">
        <v>263.43174193548401</v>
      </c>
      <c r="CQ29">
        <v>5.00054</v>
      </c>
      <c r="CR29">
        <v>8209.7419354838694</v>
      </c>
      <c r="CS29">
        <v>20590.4290322581</v>
      </c>
      <c r="CT29">
        <v>47.122903225806397</v>
      </c>
      <c r="CU29">
        <v>48.346548387096803</v>
      </c>
      <c r="CV29">
        <v>47.336387096774203</v>
      </c>
      <c r="CW29">
        <v>47.380806451612898</v>
      </c>
      <c r="CX29">
        <v>48.550064516128998</v>
      </c>
      <c r="CY29">
        <v>2155.4722580645198</v>
      </c>
      <c r="CZ29">
        <v>39.520000000000003</v>
      </c>
      <c r="DA29">
        <v>0</v>
      </c>
      <c r="DB29">
        <v>129.200000047684</v>
      </c>
      <c r="DC29">
        <v>263.43351999999999</v>
      </c>
      <c r="DD29">
        <v>-1.5422307827660999</v>
      </c>
      <c r="DE29">
        <v>-770.02077118487705</v>
      </c>
      <c r="DF29">
        <v>8204.7135999999991</v>
      </c>
      <c r="DG29">
        <v>15</v>
      </c>
      <c r="DH29">
        <v>1595009442</v>
      </c>
      <c r="DI29" t="s">
        <v>349</v>
      </c>
      <c r="DJ29">
        <v>69</v>
      </c>
      <c r="DK29">
        <v>0.19500000000000001</v>
      </c>
      <c r="DL29">
        <v>0.105</v>
      </c>
      <c r="DM29">
        <v>1200</v>
      </c>
      <c r="DN29">
        <v>16</v>
      </c>
      <c r="DO29">
        <v>0.26</v>
      </c>
      <c r="DP29">
        <v>0.03</v>
      </c>
      <c r="DQ29">
        <v>1177.4960784313701</v>
      </c>
      <c r="DR29">
        <v>0.21143891402770501</v>
      </c>
      <c r="DS29">
        <v>6.877295499477E-2</v>
      </c>
      <c r="DT29">
        <v>1</v>
      </c>
      <c r="DU29">
        <v>19.1425549019608</v>
      </c>
      <c r="DV29">
        <v>-3.6748235294110997E-2</v>
      </c>
      <c r="DW29">
        <v>4.5466347704080498E-3</v>
      </c>
      <c r="DX29">
        <v>1</v>
      </c>
      <c r="DY29">
        <v>2</v>
      </c>
      <c r="DZ29">
        <v>2</v>
      </c>
      <c r="EA29" t="s">
        <v>283</v>
      </c>
      <c r="EB29">
        <v>1.8667499999999999</v>
      </c>
      <c r="EC29">
        <v>1.8632500000000001</v>
      </c>
      <c r="ED29">
        <v>1.8689</v>
      </c>
      <c r="EE29">
        <v>1.86677</v>
      </c>
      <c r="EF29">
        <v>1.8714900000000001</v>
      </c>
      <c r="EG29">
        <v>1.8639600000000001</v>
      </c>
      <c r="EH29">
        <v>1.86544</v>
      </c>
      <c r="EI29">
        <v>1.8653900000000001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0.19500000000000001</v>
      </c>
      <c r="EX29">
        <v>0.105</v>
      </c>
      <c r="EY29">
        <v>2</v>
      </c>
      <c r="EZ29">
        <v>327.721</v>
      </c>
      <c r="FA29">
        <v>460.55399999999997</v>
      </c>
      <c r="FB29">
        <v>21.121300000000002</v>
      </c>
      <c r="FC29">
        <v>36.706000000000003</v>
      </c>
      <c r="FD29">
        <v>30.000900000000001</v>
      </c>
      <c r="FE29">
        <v>36.883600000000001</v>
      </c>
      <c r="FF29">
        <v>36.8996</v>
      </c>
      <c r="FG29">
        <v>53.416499999999999</v>
      </c>
      <c r="FH29">
        <v>55.105400000000003</v>
      </c>
      <c r="FI29">
        <v>0</v>
      </c>
      <c r="FJ29">
        <v>21.024699999999999</v>
      </c>
      <c r="FK29">
        <v>1200</v>
      </c>
      <c r="FL29">
        <v>16.468499999999999</v>
      </c>
      <c r="FM29">
        <v>100.241</v>
      </c>
      <c r="FN29">
        <v>100.562</v>
      </c>
    </row>
    <row r="30" spans="1:170" x14ac:dyDescent="0.25">
      <c r="A30">
        <v>14</v>
      </c>
      <c r="B30">
        <v>1595009563.5</v>
      </c>
      <c r="C30">
        <v>1743.2000000476801</v>
      </c>
      <c r="D30" t="s">
        <v>350</v>
      </c>
      <c r="E30" t="s">
        <v>351</v>
      </c>
      <c r="G30">
        <v>1595009555.5</v>
      </c>
      <c r="H30">
        <f t="shared" si="0"/>
        <v>6.8220468440193562E-3</v>
      </c>
      <c r="I30">
        <f t="shared" si="1"/>
        <v>47.69949851820131</v>
      </c>
      <c r="J30">
        <f t="shared" si="2"/>
        <v>1576.5813225806501</v>
      </c>
      <c r="K30">
        <f t="shared" si="3"/>
        <v>1347.4015255051652</v>
      </c>
      <c r="L30">
        <f t="shared" si="4"/>
        <v>134.48883261010531</v>
      </c>
      <c r="M30">
        <f t="shared" si="5"/>
        <v>157.36406525832948</v>
      </c>
      <c r="N30">
        <f t="shared" si="6"/>
        <v>0.42663249549978816</v>
      </c>
      <c r="O30">
        <f t="shared" si="7"/>
        <v>3.3904547304118848</v>
      </c>
      <c r="P30">
        <f t="shared" si="8"/>
        <v>0.3988944913337189</v>
      </c>
      <c r="Q30">
        <f t="shared" si="9"/>
        <v>0.25165077041926515</v>
      </c>
      <c r="R30">
        <f t="shared" si="10"/>
        <v>353.34046079836253</v>
      </c>
      <c r="S30">
        <f t="shared" si="11"/>
        <v>26.48321800034654</v>
      </c>
      <c r="T30">
        <f t="shared" si="12"/>
        <v>26.9018935483871</v>
      </c>
      <c r="U30">
        <f t="shared" si="13"/>
        <v>3.5585882425004267</v>
      </c>
      <c r="V30">
        <f t="shared" si="14"/>
        <v>55.55095668012796</v>
      </c>
      <c r="W30">
        <f t="shared" si="15"/>
        <v>1.8982018531550457</v>
      </c>
      <c r="X30">
        <f t="shared" si="16"/>
        <v>3.4170461979353859</v>
      </c>
      <c r="Y30">
        <f t="shared" si="17"/>
        <v>1.660386389345381</v>
      </c>
      <c r="Z30">
        <f t="shared" si="18"/>
        <v>-300.85226582125358</v>
      </c>
      <c r="AA30">
        <f t="shared" si="19"/>
        <v>-125.89841434629983</v>
      </c>
      <c r="AB30">
        <f t="shared" si="20"/>
        <v>-7.9783799121818149</v>
      </c>
      <c r="AC30">
        <f t="shared" si="21"/>
        <v>-81.388599281372706</v>
      </c>
      <c r="AD30">
        <v>-4.1299871973198399E-2</v>
      </c>
      <c r="AE30">
        <v>4.6362724357414301E-2</v>
      </c>
      <c r="AF30">
        <v>3.4629287695898499</v>
      </c>
      <c r="AG30">
        <v>154</v>
      </c>
      <c r="AH30">
        <v>31</v>
      </c>
      <c r="AI30">
        <f t="shared" si="22"/>
        <v>1</v>
      </c>
      <c r="AJ30">
        <f t="shared" si="23"/>
        <v>0</v>
      </c>
      <c r="AK30">
        <f t="shared" si="24"/>
        <v>52802.752900345688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352</v>
      </c>
      <c r="AS30">
        <v>263.17036000000002</v>
      </c>
      <c r="AT30">
        <v>347.786</v>
      </c>
      <c r="AU30">
        <f t="shared" si="27"/>
        <v>0.24329800509508714</v>
      </c>
      <c r="AV30">
        <v>0.5</v>
      </c>
      <c r="AW30">
        <f t="shared" si="28"/>
        <v>1849.1967097340901</v>
      </c>
      <c r="AX30">
        <f t="shared" si="29"/>
        <v>47.69949851820131</v>
      </c>
      <c r="AY30">
        <f t="shared" si="30"/>
        <v>224.95293525335151</v>
      </c>
      <c r="AZ30">
        <f t="shared" si="31"/>
        <v>0.49578188886269137</v>
      </c>
      <c r="BA30">
        <f t="shared" si="32"/>
        <v>2.6335488410643006E-2</v>
      </c>
      <c r="BB30">
        <f t="shared" si="33"/>
        <v>-1</v>
      </c>
      <c r="BC30" t="s">
        <v>353</v>
      </c>
      <c r="BD30">
        <v>175.36</v>
      </c>
      <c r="BE30">
        <f t="shared" si="34"/>
        <v>172.42599999999999</v>
      </c>
      <c r="BF30">
        <f t="shared" si="35"/>
        <v>0.49073596789347307</v>
      </c>
      <c r="BG30">
        <f t="shared" si="36"/>
        <v>1.9832687043795618</v>
      </c>
      <c r="BH30">
        <f t="shared" si="37"/>
        <v>0.24329800509508717</v>
      </c>
      <c r="BI30" t="e">
        <f t="shared" si="38"/>
        <v>#DIV/0!</v>
      </c>
      <c r="BJ30">
        <v>5013</v>
      </c>
      <c r="BK30">
        <v>300</v>
      </c>
      <c r="BL30">
        <v>300</v>
      </c>
      <c r="BM30">
        <v>300</v>
      </c>
      <c r="BN30">
        <v>9877.26</v>
      </c>
      <c r="BO30">
        <v>323.79500000000002</v>
      </c>
      <c r="BP30">
        <v>-6.4071800000000002E-3</v>
      </c>
      <c r="BQ30">
        <v>0.91079699999999997</v>
      </c>
      <c r="BR30">
        <f t="shared" si="39"/>
        <v>2200.01322580645</v>
      </c>
      <c r="BS30">
        <f t="shared" si="40"/>
        <v>1849.1967097340901</v>
      </c>
      <c r="BT30">
        <f t="shared" si="41"/>
        <v>0.84053890587691238</v>
      </c>
      <c r="BU30">
        <f t="shared" si="42"/>
        <v>0.19107781175382474</v>
      </c>
      <c r="BV30">
        <v>0.5</v>
      </c>
      <c r="BW30" t="s">
        <v>281</v>
      </c>
      <c r="BX30">
        <v>1595009555.5</v>
      </c>
      <c r="BY30">
        <v>1576.5813225806501</v>
      </c>
      <c r="BZ30">
        <v>1599.96129032258</v>
      </c>
      <c r="CA30">
        <v>19.017490322580599</v>
      </c>
      <c r="CB30">
        <v>16.340800000000002</v>
      </c>
      <c r="CC30">
        <v>500.04354838709702</v>
      </c>
      <c r="CD30">
        <v>99.613490322580603</v>
      </c>
      <c r="CE30">
        <v>0.19998774193548399</v>
      </c>
      <c r="CF30">
        <v>26.2131193548387</v>
      </c>
      <c r="CG30">
        <v>26.9018935483871</v>
      </c>
      <c r="CH30">
        <v>999.9</v>
      </c>
      <c r="CI30">
        <v>9998.3093548387096</v>
      </c>
      <c r="CJ30">
        <v>0</v>
      </c>
      <c r="CK30">
        <v>188.142161290323</v>
      </c>
      <c r="CL30">
        <v>2200.01322580645</v>
      </c>
      <c r="CM30">
        <v>0.98199538709677403</v>
      </c>
      <c r="CN30">
        <v>1.8004329032258098E-2</v>
      </c>
      <c r="CO30">
        <v>0</v>
      </c>
      <c r="CP30">
        <v>263.188774193548</v>
      </c>
      <c r="CQ30">
        <v>5.00054</v>
      </c>
      <c r="CR30">
        <v>8336.3222580645197</v>
      </c>
      <c r="CS30">
        <v>20590.629032258101</v>
      </c>
      <c r="CT30">
        <v>47.175064516128998</v>
      </c>
      <c r="CU30">
        <v>48.533999999999999</v>
      </c>
      <c r="CV30">
        <v>47.411000000000001</v>
      </c>
      <c r="CW30">
        <v>47.608741935483899</v>
      </c>
      <c r="CX30">
        <v>48.594516129032201</v>
      </c>
      <c r="CY30">
        <v>2155.4925806451602</v>
      </c>
      <c r="CZ30">
        <v>39.520000000000003</v>
      </c>
      <c r="DA30">
        <v>0</v>
      </c>
      <c r="DB30">
        <v>144.80000019073501</v>
      </c>
      <c r="DC30">
        <v>263.17036000000002</v>
      </c>
      <c r="DD30">
        <v>-1.4754615284129899</v>
      </c>
      <c r="DE30">
        <v>0.76153841378175802</v>
      </c>
      <c r="DF30">
        <v>8336.2387999999992</v>
      </c>
      <c r="DG30">
        <v>15</v>
      </c>
      <c r="DH30">
        <v>1595009590.5</v>
      </c>
      <c r="DI30" t="s">
        <v>354</v>
      </c>
      <c r="DJ30">
        <v>70</v>
      </c>
      <c r="DK30">
        <v>-0.104</v>
      </c>
      <c r="DL30">
        <v>0.10299999999999999</v>
      </c>
      <c r="DM30">
        <v>1600</v>
      </c>
      <c r="DN30">
        <v>16</v>
      </c>
      <c r="DO30">
        <v>0.16</v>
      </c>
      <c r="DP30">
        <v>0.03</v>
      </c>
      <c r="DQ30">
        <v>1576.9150980392201</v>
      </c>
      <c r="DR30">
        <v>-0.57567420814511205</v>
      </c>
      <c r="DS30">
        <v>9.3544003465710998E-2</v>
      </c>
      <c r="DT30">
        <v>0</v>
      </c>
      <c r="DU30">
        <v>19.0271431372549</v>
      </c>
      <c r="DV30">
        <v>-3.9024434389156697E-2</v>
      </c>
      <c r="DW30">
        <v>2.4492105610103499E-2</v>
      </c>
      <c r="DX30">
        <v>1</v>
      </c>
      <c r="DY30">
        <v>1</v>
      </c>
      <c r="DZ30">
        <v>2</v>
      </c>
      <c r="EA30" t="s">
        <v>328</v>
      </c>
      <c r="EB30">
        <v>1.86676</v>
      </c>
      <c r="EC30">
        <v>1.8632500000000001</v>
      </c>
      <c r="ED30">
        <v>1.8689100000000001</v>
      </c>
      <c r="EE30">
        <v>1.8668499999999999</v>
      </c>
      <c r="EF30">
        <v>1.8715200000000001</v>
      </c>
      <c r="EG30">
        <v>1.8640099999999999</v>
      </c>
      <c r="EH30">
        <v>1.8655299999999999</v>
      </c>
      <c r="EI30">
        <v>1.86544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-0.104</v>
      </c>
      <c r="EX30">
        <v>0.10299999999999999</v>
      </c>
      <c r="EY30">
        <v>2</v>
      </c>
      <c r="EZ30">
        <v>327.76400000000001</v>
      </c>
      <c r="FA30">
        <v>460.53800000000001</v>
      </c>
      <c r="FB30">
        <v>21.029399999999999</v>
      </c>
      <c r="FC30">
        <v>36.798999999999999</v>
      </c>
      <c r="FD30">
        <v>29.9983</v>
      </c>
      <c r="FE30">
        <v>36.895299999999999</v>
      </c>
      <c r="FF30">
        <v>36.908200000000001</v>
      </c>
      <c r="FG30">
        <v>67.200800000000001</v>
      </c>
      <c r="FH30">
        <v>55.6905</v>
      </c>
      <c r="FI30">
        <v>0</v>
      </c>
      <c r="FJ30">
        <v>21.105899999999998</v>
      </c>
      <c r="FK30">
        <v>1600</v>
      </c>
      <c r="FL30">
        <v>16.201899999999998</v>
      </c>
      <c r="FM30">
        <v>100.232</v>
      </c>
      <c r="FN30">
        <v>100.54600000000001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2020-07-17T13:13:27Z</dcterms:created>
  <dcterms:modified xsi:type="dcterms:W3CDTF">2024-11-20T09:01:37Z</dcterms:modified>
</cp:coreProperties>
</file>