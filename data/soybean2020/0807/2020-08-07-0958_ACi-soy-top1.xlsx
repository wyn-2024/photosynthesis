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807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H30" i="1" s="1"/>
  <c r="X30" i="1"/>
  <c r="V30" i="1" s="1"/>
  <c r="W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/>
  <c r="I29" i="1" s="1"/>
  <c r="AX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H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/>
  <c r="J27" i="1" s="1"/>
  <c r="X27" i="1"/>
  <c r="W27" i="1"/>
  <c r="V27" i="1"/>
  <c r="O27" i="1"/>
  <c r="M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X26" i="1"/>
  <c r="W26" i="1"/>
  <c r="V26" i="1"/>
  <c r="O26" i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I25" i="1" s="1"/>
  <c r="AX25" i="1" s="1"/>
  <c r="X25" i="1"/>
  <c r="W25" i="1"/>
  <c r="V25" i="1" s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J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P23" i="1"/>
  <c r="AO23" i="1"/>
  <c r="AK23" i="1"/>
  <c r="AI23" i="1"/>
  <c r="M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P22" i="1"/>
  <c r="AO22" i="1"/>
  <c r="AK22" i="1"/>
  <c r="AI22" i="1" s="1"/>
  <c r="X22" i="1"/>
  <c r="W22" i="1"/>
  <c r="V22" i="1"/>
  <c r="O22" i="1"/>
  <c r="BU21" i="1"/>
  <c r="BT21" i="1"/>
  <c r="BS21" i="1"/>
  <c r="BR21" i="1"/>
  <c r="BI21" i="1"/>
  <c r="BH21" i="1"/>
  <c r="BG21" i="1"/>
  <c r="BF21" i="1"/>
  <c r="BE21" i="1"/>
  <c r="BB21" i="1"/>
  <c r="AZ21" i="1"/>
  <c r="AW21" i="1"/>
  <c r="AU21" i="1"/>
  <c r="AY21" i="1" s="1"/>
  <c r="AO21" i="1"/>
  <c r="AP21" i="1" s="1"/>
  <c r="AK21" i="1"/>
  <c r="AI21" i="1"/>
  <c r="J21" i="1" s="1"/>
  <c r="X21" i="1"/>
  <c r="W21" i="1"/>
  <c r="V21" i="1"/>
  <c r="R21" i="1"/>
  <c r="O21" i="1"/>
  <c r="BU20" i="1"/>
  <c r="BT20" i="1"/>
  <c r="BS20" i="1" s="1"/>
  <c r="BR20" i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J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J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 s="1"/>
  <c r="X17" i="1"/>
  <c r="W17" i="1"/>
  <c r="V17" i="1"/>
  <c r="O17" i="1"/>
  <c r="R17" i="1" l="1"/>
  <c r="AW17" i="1"/>
  <c r="AW23" i="1"/>
  <c r="AY23" i="1" s="1"/>
  <c r="R23" i="1"/>
  <c r="R29" i="1"/>
  <c r="AW29" i="1"/>
  <c r="BA29" i="1" s="1"/>
  <c r="Z30" i="1"/>
  <c r="R24" i="1"/>
  <c r="AW24" i="1"/>
  <c r="AY24" i="1" s="1"/>
  <c r="J22" i="1"/>
  <c r="I22" i="1"/>
  <c r="AX22" i="1" s="1"/>
  <c r="BA22" i="1" s="1"/>
  <c r="H22" i="1"/>
  <c r="AJ22" i="1"/>
  <c r="M22" i="1"/>
  <c r="AY30" i="1"/>
  <c r="I17" i="1"/>
  <c r="AX17" i="1" s="1"/>
  <c r="BA17" i="1" s="1"/>
  <c r="H17" i="1"/>
  <c r="AJ17" i="1"/>
  <c r="M17" i="1"/>
  <c r="J17" i="1"/>
  <c r="AW27" i="1"/>
  <c r="AY27" i="1" s="1"/>
  <c r="R27" i="1"/>
  <c r="R30" i="1"/>
  <c r="AW30" i="1"/>
  <c r="Z28" i="1"/>
  <c r="AW25" i="1"/>
  <c r="AY25" i="1" s="1"/>
  <c r="R25" i="1"/>
  <c r="AW20" i="1"/>
  <c r="AY20" i="1" s="1"/>
  <c r="R20" i="1"/>
  <c r="AW28" i="1"/>
  <c r="AY28" i="1" s="1"/>
  <c r="R28" i="1"/>
  <c r="J26" i="1"/>
  <c r="H26" i="1"/>
  <c r="M26" i="1"/>
  <c r="I26" i="1"/>
  <c r="AX26" i="1" s="1"/>
  <c r="BA26" i="1" s="1"/>
  <c r="AJ26" i="1"/>
  <c r="R19" i="1"/>
  <c r="AW19" i="1"/>
  <c r="AY19" i="1" s="1"/>
  <c r="AY17" i="1"/>
  <c r="AW18" i="1"/>
  <c r="AY18" i="1" s="1"/>
  <c r="R18" i="1"/>
  <c r="R26" i="1"/>
  <c r="AW26" i="1"/>
  <c r="AY26" i="1" s="1"/>
  <c r="R22" i="1"/>
  <c r="AW22" i="1"/>
  <c r="AY22" i="1" s="1"/>
  <c r="I21" i="1"/>
  <c r="AX21" i="1" s="1"/>
  <c r="BA21" i="1" s="1"/>
  <c r="AJ25" i="1"/>
  <c r="AJ20" i="1"/>
  <c r="H20" i="1"/>
  <c r="M30" i="1"/>
  <c r="M20" i="1"/>
  <c r="I24" i="1"/>
  <c r="AX24" i="1" s="1"/>
  <c r="BA24" i="1" s="1"/>
  <c r="J29" i="1"/>
  <c r="M29" i="1"/>
  <c r="H23" i="1"/>
  <c r="M24" i="1"/>
  <c r="I28" i="1"/>
  <c r="AX28" i="1" s="1"/>
  <c r="H18" i="1"/>
  <c r="M19" i="1"/>
  <c r="I23" i="1"/>
  <c r="AX23" i="1" s="1"/>
  <c r="BA23" i="1" s="1"/>
  <c r="J28" i="1"/>
  <c r="I20" i="1"/>
  <c r="AX20" i="1" s="1"/>
  <c r="H21" i="1"/>
  <c r="AJ30" i="1"/>
  <c r="I30" i="1"/>
  <c r="AX30" i="1" s="1"/>
  <c r="BA30" i="1" s="1"/>
  <c r="AJ24" i="1"/>
  <c r="J23" i="1"/>
  <c r="J18" i="1"/>
  <c r="AJ27" i="1"/>
  <c r="J25" i="1"/>
  <c r="AJ19" i="1"/>
  <c r="AJ18" i="1"/>
  <c r="H27" i="1"/>
  <c r="M28" i="1"/>
  <c r="AJ21" i="1"/>
  <c r="M21" i="1"/>
  <c r="H29" i="1"/>
  <c r="H19" i="1"/>
  <c r="I19" i="1"/>
  <c r="AX19" i="1" s="1"/>
  <c r="BA19" i="1" s="1"/>
  <c r="AJ28" i="1"/>
  <c r="AJ23" i="1"/>
  <c r="I27" i="1"/>
  <c r="AX27" i="1" s="1"/>
  <c r="BA27" i="1" s="1"/>
  <c r="J30" i="1"/>
  <c r="AJ29" i="1"/>
  <c r="H24" i="1"/>
  <c r="M25" i="1"/>
  <c r="I18" i="1"/>
  <c r="AX18" i="1" s="1"/>
  <c r="BA18" i="1" s="1"/>
  <c r="H25" i="1"/>
  <c r="Z22" i="1" l="1"/>
  <c r="Z27" i="1"/>
  <c r="S20" i="1"/>
  <c r="T20" i="1" s="1"/>
  <c r="BA20" i="1"/>
  <c r="AY29" i="1"/>
  <c r="S29" i="1"/>
  <c r="T29" i="1" s="1"/>
  <c r="Z26" i="1"/>
  <c r="P21" i="1"/>
  <c r="N21" i="1" s="1"/>
  <c r="Q21" i="1" s="1"/>
  <c r="K21" i="1" s="1"/>
  <c r="L21" i="1" s="1"/>
  <c r="Z21" i="1"/>
  <c r="Z18" i="1"/>
  <c r="P18" i="1"/>
  <c r="N18" i="1" s="1"/>
  <c r="Q18" i="1" s="1"/>
  <c r="K18" i="1" s="1"/>
  <c r="L18" i="1" s="1"/>
  <c r="BA25" i="1"/>
  <c r="S19" i="1"/>
  <c r="T19" i="1" s="1"/>
  <c r="S28" i="1"/>
  <c r="T28" i="1" s="1"/>
  <c r="S26" i="1"/>
  <c r="T26" i="1" s="1"/>
  <c r="P25" i="1"/>
  <c r="N25" i="1" s="1"/>
  <c r="Q25" i="1" s="1"/>
  <c r="K25" i="1" s="1"/>
  <c r="L25" i="1" s="1"/>
  <c r="Z25" i="1"/>
  <c r="S18" i="1"/>
  <c r="T18" i="1" s="1"/>
  <c r="Z24" i="1"/>
  <c r="S30" i="1"/>
  <c r="T30" i="1" s="1"/>
  <c r="Z23" i="1"/>
  <c r="P20" i="1"/>
  <c r="N20" i="1" s="1"/>
  <c r="Q20" i="1" s="1"/>
  <c r="K20" i="1" s="1"/>
  <c r="L20" i="1" s="1"/>
  <c r="Z20" i="1"/>
  <c r="S22" i="1"/>
  <c r="T22" i="1" s="1"/>
  <c r="S25" i="1"/>
  <c r="T25" i="1" s="1"/>
  <c r="S27" i="1"/>
  <c r="T27" i="1" s="1"/>
  <c r="Z19" i="1"/>
  <c r="S24" i="1"/>
  <c r="T24" i="1" s="1"/>
  <c r="P24" i="1" s="1"/>
  <c r="N24" i="1" s="1"/>
  <c r="Q24" i="1" s="1"/>
  <c r="K24" i="1" s="1"/>
  <c r="L24" i="1" s="1"/>
  <c r="S23" i="1"/>
  <c r="T23" i="1" s="1"/>
  <c r="BA28" i="1"/>
  <c r="Z29" i="1"/>
  <c r="S21" i="1"/>
  <c r="T21" i="1" s="1"/>
  <c r="Z17" i="1"/>
  <c r="S17" i="1"/>
  <c r="T17" i="1" s="1"/>
  <c r="AB19" i="1" l="1"/>
  <c r="AA19" i="1"/>
  <c r="U19" i="1"/>
  <c r="Y19" i="1" s="1"/>
  <c r="U27" i="1"/>
  <c r="Y27" i="1" s="1"/>
  <c r="AB27" i="1"/>
  <c r="AA27" i="1"/>
  <c r="AB22" i="1"/>
  <c r="U22" i="1"/>
  <c r="Y22" i="1" s="1"/>
  <c r="AA22" i="1"/>
  <c r="AB30" i="1"/>
  <c r="U30" i="1"/>
  <c r="Y30" i="1" s="1"/>
  <c r="AA30" i="1"/>
  <c r="P30" i="1"/>
  <c r="N30" i="1" s="1"/>
  <c r="Q30" i="1" s="1"/>
  <c r="K30" i="1" s="1"/>
  <c r="L30" i="1" s="1"/>
  <c r="U17" i="1"/>
  <c r="Y17" i="1" s="1"/>
  <c r="AB17" i="1"/>
  <c r="AC17" i="1" s="1"/>
  <c r="AA17" i="1"/>
  <c r="P27" i="1"/>
  <c r="N27" i="1" s="1"/>
  <c r="Q27" i="1" s="1"/>
  <c r="K27" i="1" s="1"/>
  <c r="L27" i="1" s="1"/>
  <c r="U18" i="1"/>
  <c r="Y18" i="1" s="1"/>
  <c r="AB18" i="1"/>
  <c r="AC18" i="1" s="1"/>
  <c r="AA18" i="1"/>
  <c r="U29" i="1"/>
  <c r="Y29" i="1" s="1"/>
  <c r="AB29" i="1"/>
  <c r="AC29" i="1" s="1"/>
  <c r="AA29" i="1"/>
  <c r="AB21" i="1"/>
  <c r="AC21" i="1" s="1"/>
  <c r="U21" i="1"/>
  <c r="Y21" i="1" s="1"/>
  <c r="AA21" i="1"/>
  <c r="P29" i="1"/>
  <c r="N29" i="1" s="1"/>
  <c r="Q29" i="1" s="1"/>
  <c r="K29" i="1" s="1"/>
  <c r="L29" i="1" s="1"/>
  <c r="P22" i="1"/>
  <c r="N22" i="1" s="1"/>
  <c r="Q22" i="1" s="1"/>
  <c r="K22" i="1" s="1"/>
  <c r="L22" i="1" s="1"/>
  <c r="AB26" i="1"/>
  <c r="U26" i="1"/>
  <c r="Y26" i="1" s="1"/>
  <c r="AA26" i="1"/>
  <c r="U23" i="1"/>
  <c r="Y23" i="1" s="1"/>
  <c r="AB23" i="1"/>
  <c r="AA23" i="1"/>
  <c r="AB24" i="1"/>
  <c r="AA24" i="1"/>
  <c r="U24" i="1"/>
  <c r="Y24" i="1" s="1"/>
  <c r="AB28" i="1"/>
  <c r="AC28" i="1" s="1"/>
  <c r="AA28" i="1"/>
  <c r="U28" i="1"/>
  <c r="Y28" i="1" s="1"/>
  <c r="P28" i="1"/>
  <c r="N28" i="1" s="1"/>
  <c r="Q28" i="1" s="1"/>
  <c r="K28" i="1" s="1"/>
  <c r="L28" i="1" s="1"/>
  <c r="P19" i="1"/>
  <c r="N19" i="1" s="1"/>
  <c r="Q19" i="1" s="1"/>
  <c r="K19" i="1" s="1"/>
  <c r="L19" i="1" s="1"/>
  <c r="U25" i="1"/>
  <c r="Y25" i="1" s="1"/>
  <c r="AB25" i="1"/>
  <c r="AA25" i="1"/>
  <c r="P26" i="1"/>
  <c r="N26" i="1" s="1"/>
  <c r="Q26" i="1" s="1"/>
  <c r="K26" i="1" s="1"/>
  <c r="L26" i="1" s="1"/>
  <c r="P23" i="1"/>
  <c r="N23" i="1" s="1"/>
  <c r="Q23" i="1" s="1"/>
  <c r="K23" i="1" s="1"/>
  <c r="L23" i="1" s="1"/>
  <c r="AA20" i="1"/>
  <c r="U20" i="1"/>
  <c r="Y20" i="1" s="1"/>
  <c r="AB20" i="1"/>
  <c r="P17" i="1"/>
  <c r="N17" i="1" s="1"/>
  <c r="Q17" i="1" s="1"/>
  <c r="K17" i="1" s="1"/>
  <c r="L17" i="1" s="1"/>
  <c r="AC24" i="1" l="1"/>
  <c r="AC23" i="1"/>
  <c r="AC20" i="1"/>
  <c r="AC25" i="1"/>
  <c r="AC30" i="1"/>
  <c r="AC22" i="1"/>
  <c r="AC26" i="1"/>
  <c r="AC27" i="1"/>
  <c r="AC19" i="1"/>
</calcChain>
</file>

<file path=xl/sharedStrings.xml><?xml version="1.0" encoding="utf-8"?>
<sst xmlns="http://schemas.openxmlformats.org/spreadsheetml/2006/main" count="771" uniqueCount="355">
  <si>
    <t>File opened</t>
  </si>
  <si>
    <t>2020-08-07 09:58:52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</si>
  <si>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</si>
  <si>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</si>
  <si>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</si>
  <si>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</si>
  <si>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</si>
  <si>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</si>
  <si>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</si>
  <si>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</si>
  <si>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</si>
  <si>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</si>
  <si>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</si>
  <si>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{"co2aspanconc1": "1002", "chamberpressurezero": "2.59209", "co2azero": "0.869071", "h2oaspan1": "1.00223", "h2oazero": "1.00263", "ssb_ref": "36526.8", "h2obspan2a": "0.0975941", "tazero": "0.00774765", "co2aspan2b": "0.163711", "co2aspan2a": "0.164928", "h2oaspanconc2": "0", "h2oaspan2a": "0.0661155", "co2bspanconc1": "1002", "h2oaspan2b": "0.0662632", "h2obspan2b": "0.0963575", "co2aspanconc2": "0", "h2obspanconc1": "20", "co2aspan2": "0", "flowazero": "0.42932", "h2obspan1": "0.998578", "oxygen": "21", "co2bspan2a": "0.163389", "co2bspan1": "0.992131", "h2oaspan2": "0", "h2oaspanconc1": "12.19", "h2obzero": "1.01783", "tbzero": "0.197721", "co2aspan1": "0.992625", "h2obspan2": "0", "co2bzero": "0.880288", "flowmeterzero": "0.990908", "ssa_ref": "36614.9", "co2bspan2": "0", "h2obspanconc2": "0", "co2bspanconc2": "0", "co2bspan2b": "0.162103", "flowbzero": "0.22736"}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</si>
  <si>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</si>
  <si>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</si>
  <si>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</si>
  <si>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</si>
  <si>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</si>
  <si>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</si>
  <si>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</si>
  <si>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</si>
  <si>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</si>
  <si>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09:58:52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</si>
  <si>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</si>
  <si>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</si>
  <si>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</si>
  <si>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</si>
  <si>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</si>
  <si>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</si>
  <si>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</si>
  <si>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</si>
  <si>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</si>
  <si>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</si>
  <si>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</si>
  <si>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</si>
  <si>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</si>
  <si>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</si>
  <si>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</si>
  <si>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</si>
  <si>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</si>
  <si>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</si>
  <si>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</si>
  <si>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</si>
  <si>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</si>
  <si>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</si>
  <si>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</si>
  <si>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</si>
  <si>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</si>
  <si>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</si>
  <si>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</si>
  <si>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</si>
  <si>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</si>
  <si>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</si>
  <si>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</si>
  <si>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</si>
  <si>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</si>
  <si>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</si>
  <si>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</si>
  <si>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</si>
  <si>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</si>
  <si>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</si>
  <si>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</si>
  <si>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</si>
  <si>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</si>
  <si>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</si>
  <si>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</si>
  <si>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</si>
  <si>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</si>
  <si>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</si>
  <si>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</si>
  <si>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3.02491 76.925 386.185 618.874 847.247 1053.45 1228.52 1400.43</t>
  </si>
  <si>
    <t>Fs_true</t>
  </si>
  <si>
    <t>0.304308 100.02 403.273 601.289 800.851 1000.77 1199.91 1400.15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</si>
  <si>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</si>
  <si>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</si>
  <si>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</si>
  <si>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</si>
  <si>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</si>
  <si>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</si>
  <si>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</si>
  <si>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</si>
  <si>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</si>
  <si>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</si>
  <si>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</si>
  <si>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</si>
  <si>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</si>
  <si>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</si>
  <si>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</si>
  <si>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</si>
  <si>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</si>
  <si>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</si>
  <si>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</si>
  <si>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</si>
  <si>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</si>
  <si>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</si>
  <si>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</si>
  <si>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</si>
  <si>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</si>
  <si>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</si>
  <si>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</si>
  <si>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</si>
  <si>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</si>
  <si>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</si>
  <si>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</si>
  <si>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</si>
  <si>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</si>
  <si>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</si>
  <si>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</si>
  <si>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</si>
  <si>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</si>
  <si>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</si>
  <si>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</si>
  <si>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</si>
  <si>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</si>
  <si>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</si>
  <si>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</si>
  <si>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</si>
  <si>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</si>
  <si>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</si>
  <si>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</si>
  <si>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</si>
  <si>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</si>
  <si>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</si>
  <si>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</si>
  <si>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</si>
  <si>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</si>
  <si>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</si>
  <si>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</si>
  <si>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</si>
  <si>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</si>
  <si>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</si>
  <si>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</si>
  <si>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</si>
  <si>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</si>
  <si>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</si>
  <si>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</si>
  <si>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</si>
  <si>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</si>
  <si>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</si>
  <si>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</si>
  <si>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</si>
  <si>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</si>
  <si>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</si>
  <si>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</si>
  <si>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</si>
  <si>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</si>
  <si>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</si>
  <si>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</si>
  <si>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</si>
  <si>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</si>
  <si>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</si>
  <si>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</si>
  <si>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</si>
  <si>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</si>
  <si>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</si>
  <si>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</si>
  <si>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</si>
  <si>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</si>
  <si>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</si>
  <si>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</si>
  <si>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</si>
  <si>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</si>
  <si>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</si>
  <si>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</si>
  <si>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</si>
  <si>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</si>
  <si>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</si>
  <si>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</si>
  <si>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</si>
  <si>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</si>
  <si>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</si>
  <si>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</si>
  <si>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</si>
  <si>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</si>
  <si>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</si>
  <si>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</si>
  <si>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</si>
  <si>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</si>
  <si>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</si>
  <si>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</si>
  <si>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</si>
  <si>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</si>
  <si>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</si>
  <si>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</si>
  <si>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</si>
  <si>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</si>
  <si>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</si>
  <si>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</si>
  <si>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</si>
  <si>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</si>
  <si>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</si>
  <si>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</si>
  <si>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</si>
  <si>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</si>
  <si>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</si>
  <si>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</si>
  <si>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</si>
  <si>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</si>
  <si>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</si>
  <si>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</si>
  <si>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</si>
  <si>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</si>
  <si>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</si>
  <si>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</si>
  <si>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</si>
  <si>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</si>
  <si>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</si>
  <si>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</si>
  <si>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</si>
  <si>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</si>
  <si>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</si>
  <si>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</si>
  <si>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</si>
  <si>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</si>
  <si>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</si>
  <si>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</si>
  <si>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</si>
  <si>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</si>
  <si>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</si>
  <si>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</si>
  <si>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</si>
  <si>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</si>
  <si>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</si>
  <si>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</si>
  <si>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</si>
  <si>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</si>
  <si>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</si>
  <si>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</si>
  <si>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</si>
  <si>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</si>
  <si>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</si>
  <si>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</si>
  <si>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</si>
  <si>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</si>
  <si>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</si>
  <si>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</si>
  <si>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</si>
  <si>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</si>
  <si>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</si>
  <si>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</si>
  <si>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</si>
  <si>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</si>
  <si>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</si>
  <si>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</si>
  <si>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</si>
  <si>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</si>
  <si>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</si>
  <si>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</si>
  <si>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</si>
  <si>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</si>
  <si>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</si>
  <si>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</si>
  <si>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</si>
  <si>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</si>
  <si>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</si>
  <si>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</si>
  <si>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</si>
  <si>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</si>
  <si>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</si>
  <si>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</si>
  <si>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</si>
  <si>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</si>
  <si>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</si>
  <si>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</si>
  <si>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</si>
  <si>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</si>
  <si>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</si>
  <si>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</si>
  <si>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</si>
  <si>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</si>
  <si>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</si>
  <si>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</si>
  <si>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</si>
  <si>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</si>
  <si>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</si>
  <si>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</si>
  <si>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20200807 10:07:58</t>
  </si>
  <si>
    <t>10:07:58</t>
  </si>
  <si>
    <t>MPF-5701-20200807-10_07_59</t>
  </si>
  <si>
    <t>DARK-5702-20200807-10_08_07</t>
  </si>
  <si>
    <t>0: Broadleaf</t>
  </si>
  <si>
    <t>10:08:23</t>
  </si>
  <si>
    <t>0/2</t>
  </si>
  <si>
    <t>5</t>
  </si>
  <si>
    <t>11111111</t>
  </si>
  <si>
    <t>oooooooo</t>
  </si>
  <si>
    <t>off</t>
  </si>
  <si>
    <t>20200807 10:10:25</t>
  </si>
  <si>
    <t>10:10:25</t>
  </si>
  <si>
    <t>MPF-5703-20200807-10_10_27</t>
  </si>
  <si>
    <t>DARK-5704-20200807-10_10_35</t>
  </si>
  <si>
    <t>10:10:48</t>
  </si>
  <si>
    <t>1/2</t>
  </si>
  <si>
    <t>20200807 10:12:20</t>
  </si>
  <si>
    <t>10:12:20</t>
  </si>
  <si>
    <t>MPF-5705-20200807-10_12_21</t>
  </si>
  <si>
    <t>DARK-5706-20200807-10_12_29</t>
  </si>
  <si>
    <t>10:12:42</t>
  </si>
  <si>
    <t>2/2</t>
  </si>
  <si>
    <t>20200807 10:14:14</t>
  </si>
  <si>
    <t>10:14:14</t>
  </si>
  <si>
    <t>MPF-5707-20200807-10_14_16</t>
  </si>
  <si>
    <t>DARK-5708-20200807-10_14_23</t>
  </si>
  <si>
    <t>10:14:37</t>
  </si>
  <si>
    <t>20200807 10:16:09</t>
  </si>
  <si>
    <t>10:16:09</t>
  </si>
  <si>
    <t>MPF-5709-20200807-10_16_10</t>
  </si>
  <si>
    <t>DARK-5710-20200807-10_16_18</t>
  </si>
  <si>
    <t>10:16:32</t>
  </si>
  <si>
    <t>20200807 10:18:03</t>
  </si>
  <si>
    <t>10:18:03</t>
  </si>
  <si>
    <t>MPF-5711-20200807-10_18_05</t>
  </si>
  <si>
    <t>DARK-5712-20200807-10_18_13</t>
  </si>
  <si>
    <t>10:18:30</t>
  </si>
  <si>
    <t>20200807 10:20:01</t>
  </si>
  <si>
    <t>10:20:01</t>
  </si>
  <si>
    <t>MPF-5713-20200807-10_20_03</t>
  </si>
  <si>
    <t>DARK-5714-20200807-10_20_11</t>
  </si>
  <si>
    <t>10:20:27</t>
  </si>
  <si>
    <t>20200807 10:21:59</t>
  </si>
  <si>
    <t>10:21:59</t>
  </si>
  <si>
    <t>MPF-5715-20200807-10_22_01</t>
  </si>
  <si>
    <t>DARK-5716-20200807-10_22_09</t>
  </si>
  <si>
    <t>10:22:24</t>
  </si>
  <si>
    <t>20200807 10:23:59</t>
  </si>
  <si>
    <t>10:23:59</t>
  </si>
  <si>
    <t>MPF-5717-20200807-10_24_01</t>
  </si>
  <si>
    <t>DARK-5718-20200807-10_24_09</t>
  </si>
  <si>
    <t>10:24:20</t>
  </si>
  <si>
    <t>20200807 10:26:05</t>
  </si>
  <si>
    <t>10:26:05</t>
  </si>
  <si>
    <t>MPF-5719-20200807-10_26_07</t>
  </si>
  <si>
    <t>DARK-5720-20200807-10_26_14</t>
  </si>
  <si>
    <t>10:26:27</t>
  </si>
  <si>
    <t>20200807 10:28:29</t>
  </si>
  <si>
    <t>10:28:29</t>
  </si>
  <si>
    <t>MPF-5721-20200807-10_28_31</t>
  </si>
  <si>
    <t>DARK-5722-20200807-10_28_38</t>
  </si>
  <si>
    <t>10:28:53</t>
  </si>
  <si>
    <t>20200807 10:30:55</t>
  </si>
  <si>
    <t>10:30:55</t>
  </si>
  <si>
    <t>MPF-5723-20200807-10_30_57</t>
  </si>
  <si>
    <t>DARK-5724-20200807-10_31_04</t>
  </si>
  <si>
    <t>10:31:20</t>
  </si>
  <si>
    <t>20200807 10:33:22</t>
  </si>
  <si>
    <t>10:33:22</t>
  </si>
  <si>
    <t>MPF-5725-20200807-10_33_23</t>
  </si>
  <si>
    <t>DARK-5726-20200807-10_33_31</t>
  </si>
  <si>
    <t>10:33:42</t>
  </si>
  <si>
    <t>20200807 10:35:44</t>
  </si>
  <si>
    <t>10:35:44</t>
  </si>
  <si>
    <t>MPF-5727-20200807-10_35_45</t>
  </si>
  <si>
    <t>DARK-5728-20200807-10_35_53</t>
  </si>
  <si>
    <t>10:36:06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</si>
</sst>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1596812878.3</v>
      </c>
      <c r="C17">
        <v>0</v>
      </c>
      <c r="D17" t="s">
        <v>277</v>
      </c>
      <c r="E17" t="s">
        <v>278</v>
      </c>
      <c r="G17">
        <v>1596812870.3</v>
      </c>
      <c r="H17">
        <f t="shared" ref="H17:H30" si="0">CC17*AI17*(CA17-CB17)/(100*$B$5*(1000-AI17*CA17))</f>
        <v>6.6910061998254828E-3</v>
      </c>
      <c r="I17">
        <f t="shared" ref="I17:I30" si="1">CC17*AI17*(BZ17-BY17*(1000-AI17*CB17)/(1000-AI17*CA17))/(100*$B$5)</f>
        <v>31.819081091908576</v>
      </c>
      <c r="J17">
        <f t="shared" ref="J17:J30" si="2">BY17 - IF(AI17&gt;1, I17*$B$5*100/(AK17*CI17), 0)</f>
        <v>386.202</v>
      </c>
      <c r="K17">
        <f t="shared" ref="K17:K30" si="3">((Q17-H17/2)*J17-I17)/(Q17+H17/2)</f>
        <v>252.63430873714202</v>
      </c>
      <c r="L17">
        <f t="shared" ref="L17:L30" si="4">K17*(CD17+CE17)/1000</f>
        <v>25.240182617076869</v>
      </c>
      <c r="M17">
        <f t="shared" ref="M17:M30" si="5">(BY17 - IF(AI17&gt;1, I17*$B$5*100/(AK17*CI17), 0))*(CD17+CE17)/1000</f>
        <v>38.584660396314604</v>
      </c>
      <c r="N17">
        <f t="shared" ref="N17:N30" si="6">2/((1/P17-1/O17)+SIGN(P17)*SQRT((1/P17-1/O17)*(1/P17-1/O17) + 4*BV17/((BV17+1)*(BV17+1))*(2*1/P17*1/O17-1/O17*1/O17)))</f>
        <v>0.43124649507051632</v>
      </c>
      <c r="O17">
        <f t="shared" ref="O17:O30" si="7">AF17+AE17*$B$5+AD17*$B$5*$B$5</f>
        <v>3.3921166500828557</v>
      </c>
      <c r="P17">
        <f t="shared" ref="P17:P30" si="8">H17*(1000-(1000*0.61365*EXP(17.502*T17/(240.97+T17))/(CD17+CE17)+CA17)/2)/(1000*0.61365*EXP(17.502*T17/(240.97+T17))/(CD17+CE17)-CA17)</f>
        <v>0.40293953200472099</v>
      </c>
      <c r="Q17">
        <f t="shared" ref="Q17:Q30" si="9">1/((BV17+1)/(N17/1.6)+1/(O17/1.37)) + BV17/((BV17+1)/(N17/1.6) + BV17/(O17/1.37))</f>
        <v>0.25422547640132731</v>
      </c>
      <c r="R17">
        <f t="shared" ref="R17:R30" si="10">(BS17*BU17)</f>
        <v>353.33274030224379</v>
      </c>
      <c r="S17">
        <f t="shared" ref="S17:S30" si="11">(CF17+(R17+2*0.95*0.0000000567*(((CF17+$B$7)+273)^4-(CF17+273)^4)-44100*H17)/(1.84*29.3*O17+8*0.95*0.0000000567*(CF17+273)^3))</f>
        <v>27.244508147012439</v>
      </c>
      <c r="T17">
        <f t="shared" ref="T17:T30" si="12">($C$7*CG17+$D$7*CH17+$E$7*S17)</f>
        <v>27.045638709677402</v>
      </c>
      <c r="U17">
        <f t="shared" ref="U17:U30" si="13">0.61365*EXP(17.502*T17/(240.97+T17))</f>
        <v>3.5887647701302319</v>
      </c>
      <c r="V17">
        <f t="shared" ref="V17:V30" si="14">(W17/X17*100)</f>
        <v>55.385724577179687</v>
      </c>
      <c r="W17">
        <f t="shared" ref="W17:W30" si="15">CA17*(CD17+CE17)/1000</f>
        <v>1.9759467668570529</v>
      </c>
      <c r="X17">
        <f t="shared" ref="X17:X30" si="16">0.61365*EXP(17.502*CF17/(240.97+CF17))</f>
        <v>3.567610213537213</v>
      </c>
      <c r="Y17">
        <f t="shared" ref="Y17:Y30" si="17">(U17-CA17*(CD17+CE17)/1000)</f>
        <v>1.6128180032731789</v>
      </c>
      <c r="Z17">
        <f t="shared" ref="Z17:Z30" si="18">(-H17*44100)</f>
        <v>-295.07337341230379</v>
      </c>
      <c r="AA17">
        <f t="shared" ref="AA17:AA30" si="19">2*29.3*O17*0.92*(CF17-T17)</f>
        <v>-18.407923354047899</v>
      </c>
      <c r="AB17">
        <f t="shared" ref="AB17:AB30" si="20">2*0.95*0.0000000567*(((CF17+$B$7)+273)^4-(T17+273)^4)</f>
        <v>-1.1710855789078176</v>
      </c>
      <c r="AC17">
        <f t="shared" ref="AC17:AC30" si="21">R17+AB17+Z17+AA17</f>
        <v>38.680357956984281</v>
      </c>
      <c r="AD17">
        <v>-4.1325604960187501E-2</v>
      </c>
      <c r="AE17">
        <v>4.6391611889643102E-2</v>
      </c>
      <c r="AF17">
        <v>3.4646358461443199</v>
      </c>
      <c r="AG17">
        <v>126</v>
      </c>
      <c r="AH17">
        <v>25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52707.433792917676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292.76884000000001</v>
      </c>
      <c r="AT17">
        <v>400.762</v>
      </c>
      <c r="AU17">
        <f t="shared" ref="AU17:AU30" si="27">1-AS17/AT17</f>
        <v>0.26946956048727166</v>
      </c>
      <c r="AV17">
        <v>0.5</v>
      </c>
      <c r="AW17">
        <f t="shared" ref="AW17:AW30" si="28">BS17</f>
        <v>1849.1604480962028</v>
      </c>
      <c r="AX17">
        <f t="shared" ref="AX17:AX30" si="29">I17</f>
        <v>31.819081091908576</v>
      </c>
      <c r="AY17">
        <f t="shared" ref="AY17:AY30" si="30">AU17*AV17*AW17</f>
        <v>249.14622660946506</v>
      </c>
      <c r="AZ17">
        <f t="shared" ref="AZ17:AZ30" si="31">BE17/AT17</f>
        <v>0.52794925666605119</v>
      </c>
      <c r="BA17">
        <f t="shared" ref="BA17:BA30" si="32">(AX17-AQ17)/AW17</f>
        <v>1.7748098130531263E-2</v>
      </c>
      <c r="BB17">
        <f t="shared" ref="BB17:BB30" si="33">(AN17-AT17)/AT17</f>
        <v>-1</v>
      </c>
      <c r="BC17" t="s">
        <v>280</v>
      </c>
      <c r="BD17">
        <v>189.18</v>
      </c>
      <c r="BE17">
        <f t="shared" ref="BE17:BE30" si="34">AT17-BD17</f>
        <v>211.58199999999999</v>
      </c>
      <c r="BF17">
        <f t="shared" ref="BF17:BF30" si="35">(AT17-AS17)/(AT17-BD17)</f>
        <v>0.51040806873930666</v>
      </c>
      <c r="BG17">
        <f t="shared" ref="BG17:BG30" si="36">(AN17-AT17)/(AN17-BD17)</f>
        <v>2.1184163230785495</v>
      </c>
      <c r="BH17">
        <f t="shared" ref="BH17:BH30" si="37">(AT17-AS17)/(AT17-AM17)</f>
        <v>0.26946956048727172</v>
      </c>
      <c r="BI17" t="e">
        <f t="shared" ref="BI17:BI30" si="38">(AN17-AT17)/(AN17-AM17)</f>
        <v>#DIV/0!</v>
      </c>
      <c r="BJ17">
        <v>5701</v>
      </c>
      <c r="BK17">
        <v>300</v>
      </c>
      <c r="BL17">
        <v>300</v>
      </c>
      <c r="BM17">
        <v>300</v>
      </c>
      <c r="BN17">
        <v>9875.81</v>
      </c>
      <c r="BO17">
        <v>369.80399999999997</v>
      </c>
      <c r="BP17">
        <v>-6.4078800000000003E-3</v>
      </c>
      <c r="BQ17">
        <v>1.9424399999999999</v>
      </c>
      <c r="BR17">
        <f t="shared" ref="BR17:BR30" si="39">$B$11*CJ17+$C$11*CK17+$F$11*CL17</f>
        <v>2199.9706451612901</v>
      </c>
      <c r="BS17">
        <f t="shared" ref="BS17:BS30" si="40">BR17*BT17</f>
        <v>1849.1604480962028</v>
      </c>
      <c r="BT17">
        <f t="shared" ref="BT17:BT30" si="41">($B$11*$D$9+$C$11*$D$9+$F$11*((CY17+CQ17)/MAX(CY17+CQ17+CZ17, 0.1)*$I$9+CZ17/MAX(CY17+CQ17+CZ17, 0.1)*$J$9))/($B$11+$C$11+$F$11)</f>
        <v>0.84053869180633189</v>
      </c>
      <c r="BU17">
        <f t="shared" ref="BU17:BU30" si="42">($B$11*$K$9+$C$11*$K$9+$F$11*((CY17+CQ17)/MAX(CY17+CQ17+CZ17, 0.1)*$P$9+CZ17/MAX(CY17+CQ17+CZ17, 0.1)*$Q$9))/($B$11+$C$11+$F$11)</f>
        <v>0.19107738361266399</v>
      </c>
      <c r="BV17">
        <v>0.5</v>
      </c>
      <c r="BW17" t="s">
        <v>281</v>
      </c>
      <c r="BX17">
        <v>1596812870.3</v>
      </c>
      <c r="BY17">
        <v>386.202</v>
      </c>
      <c r="BZ17">
        <v>399.961935483871</v>
      </c>
      <c r="CA17">
        <v>19.777667741935499</v>
      </c>
      <c r="CB17">
        <v>17.154451612903198</v>
      </c>
      <c r="CC17">
        <v>500.04829032258101</v>
      </c>
      <c r="CD17">
        <v>99.707964516129096</v>
      </c>
      <c r="CE17">
        <v>0.20001212903225801</v>
      </c>
      <c r="CF17">
        <v>26.944980645161301</v>
      </c>
      <c r="CG17">
        <v>27.045638709677402</v>
      </c>
      <c r="CH17">
        <v>999.9</v>
      </c>
      <c r="CI17">
        <v>9995.0596774193491</v>
      </c>
      <c r="CJ17">
        <v>0</v>
      </c>
      <c r="CK17">
        <v>260.88419354838697</v>
      </c>
      <c r="CL17">
        <v>2199.9706451612901</v>
      </c>
      <c r="CM17">
        <v>0.98200232258064502</v>
      </c>
      <c r="CN17">
        <v>1.7997961290322599E-2</v>
      </c>
      <c r="CO17">
        <v>0</v>
      </c>
      <c r="CP17">
        <v>292.91554838709698</v>
      </c>
      <c r="CQ17">
        <v>5.00054</v>
      </c>
      <c r="CR17">
        <v>8702.0319354838703</v>
      </c>
      <c r="CS17">
        <v>20590.274193548401</v>
      </c>
      <c r="CT17">
        <v>44.4371935483871</v>
      </c>
      <c r="CU17">
        <v>44.784032258064499</v>
      </c>
      <c r="CV17">
        <v>44.334419354838701</v>
      </c>
      <c r="CW17">
        <v>44.080419354838703</v>
      </c>
      <c r="CX17">
        <v>46.076354838709698</v>
      </c>
      <c r="CY17">
        <v>2155.4670967741899</v>
      </c>
      <c r="CZ17">
        <v>39.503548387096799</v>
      </c>
      <c r="DA17">
        <v>0</v>
      </c>
      <c r="DB17">
        <v>1587483859.7</v>
      </c>
      <c r="DC17">
        <v>292.76884000000001</v>
      </c>
      <c r="DD17">
        <v>-8.7012307697992899</v>
      </c>
      <c r="DE17">
        <v>-182.33153853783401</v>
      </c>
      <c r="DF17">
        <v>8698.66</v>
      </c>
      <c r="DG17">
        <v>15</v>
      </c>
      <c r="DH17">
        <v>1596812903.8</v>
      </c>
      <c r="DI17" t="s">
        <v>282</v>
      </c>
      <c r="DJ17">
        <v>1</v>
      </c>
      <c r="DK17">
        <v>-0.46300000000000002</v>
      </c>
      <c r="DL17">
        <v>0.123</v>
      </c>
      <c r="DM17">
        <v>400</v>
      </c>
      <c r="DN17">
        <v>17</v>
      </c>
      <c r="DO17">
        <v>0.13</v>
      </c>
      <c r="DP17">
        <v>0.03</v>
      </c>
      <c r="DQ17">
        <v>386.61124999999998</v>
      </c>
      <c r="DR17">
        <v>0.75676427900620102</v>
      </c>
      <c r="DS17">
        <v>9.5295063032993205E-2</v>
      </c>
      <c r="DT17">
        <v>0</v>
      </c>
      <c r="DU17">
        <v>19.853219230769199</v>
      </c>
      <c r="DV17">
        <v>-0.45886553402201302</v>
      </c>
      <c r="DW17">
        <v>5.7441619320641797E-2</v>
      </c>
      <c r="DX17">
        <v>0</v>
      </c>
      <c r="DY17">
        <v>0</v>
      </c>
      <c r="DZ17">
        <v>2</v>
      </c>
      <c r="EA17" t="s">
        <v>283</v>
      </c>
      <c r="EB17">
        <v>1.8667499999999999</v>
      </c>
      <c r="EC17">
        <v>1.8632500000000001</v>
      </c>
      <c r="ED17">
        <v>1.8689199999999999</v>
      </c>
      <c r="EE17">
        <v>1.8668199999999999</v>
      </c>
      <c r="EF17">
        <v>1.8714999999999999</v>
      </c>
      <c r="EG17">
        <v>1.86402</v>
      </c>
      <c r="EH17">
        <v>1.8656900000000001</v>
      </c>
      <c r="EI17">
        <v>1.8655600000000001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-0.46300000000000002</v>
      </c>
      <c r="EX17">
        <v>0.123</v>
      </c>
      <c r="EY17">
        <v>2</v>
      </c>
      <c r="EZ17">
        <v>355.97899999999998</v>
      </c>
      <c r="FA17">
        <v>545.63900000000001</v>
      </c>
      <c r="FB17">
        <v>19.683599999999998</v>
      </c>
      <c r="FC17">
        <v>28.518899999999999</v>
      </c>
      <c r="FD17">
        <v>30.000599999999999</v>
      </c>
      <c r="FE17">
        <v>28.197700000000001</v>
      </c>
      <c r="FF17">
        <v>28.154299999999999</v>
      </c>
      <c r="FG17">
        <v>21.769400000000001</v>
      </c>
      <c r="FH17">
        <v>35.965000000000003</v>
      </c>
      <c r="FI17">
        <v>66.462100000000007</v>
      </c>
      <c r="FJ17">
        <v>19.706900000000001</v>
      </c>
      <c r="FK17">
        <v>400</v>
      </c>
      <c r="FL17">
        <v>16.9849</v>
      </c>
      <c r="FM17">
        <v>101.741</v>
      </c>
      <c r="FN17">
        <v>102.063</v>
      </c>
    </row>
    <row r="18" spans="1:170" x14ac:dyDescent="0.25">
      <c r="A18">
        <v>2</v>
      </c>
      <c r="B18">
        <v>1596813025.9000001</v>
      </c>
      <c r="C18">
        <v>147.60000014305101</v>
      </c>
      <c r="D18" t="s">
        <v>288</v>
      </c>
      <c r="E18" t="s">
        <v>289</v>
      </c>
      <c r="G18">
        <v>1596813017.8516099</v>
      </c>
      <c r="H18">
        <f t="shared" si="0"/>
        <v>5.025999846775887E-3</v>
      </c>
      <c r="I18">
        <f t="shared" si="1"/>
        <v>20.241456318580589</v>
      </c>
      <c r="J18">
        <f t="shared" si="2"/>
        <v>291.29374193548398</v>
      </c>
      <c r="K18">
        <f t="shared" si="3"/>
        <v>174.73775303659164</v>
      </c>
      <c r="L18">
        <f t="shared" si="4"/>
        <v>17.457058610672387</v>
      </c>
      <c r="M18">
        <f t="shared" si="5"/>
        <v>29.101506901172918</v>
      </c>
      <c r="N18">
        <f t="shared" si="6"/>
        <v>0.30652832886665654</v>
      </c>
      <c r="O18">
        <f t="shared" si="7"/>
        <v>3.392697906881958</v>
      </c>
      <c r="P18">
        <f t="shared" si="8"/>
        <v>0.29193164337173866</v>
      </c>
      <c r="Q18">
        <f t="shared" si="9"/>
        <v>0.18371079540422716</v>
      </c>
      <c r="R18">
        <f t="shared" si="10"/>
        <v>353.33325243173505</v>
      </c>
      <c r="S18">
        <f t="shared" si="11"/>
        <v>27.16332677705287</v>
      </c>
      <c r="T18">
        <f t="shared" si="12"/>
        <v>26.988303225806501</v>
      </c>
      <c r="U18">
        <f t="shared" si="13"/>
        <v>3.5767016169845975</v>
      </c>
      <c r="V18">
        <f t="shared" si="14"/>
        <v>54.826608624114073</v>
      </c>
      <c r="W18">
        <f t="shared" si="15"/>
        <v>1.9038907255313362</v>
      </c>
      <c r="X18">
        <f t="shared" si="16"/>
        <v>3.4725670131892108</v>
      </c>
      <c r="Y18">
        <f t="shared" si="17"/>
        <v>1.6728108914532613</v>
      </c>
      <c r="Z18">
        <f t="shared" si="18"/>
        <v>-221.64659324281661</v>
      </c>
      <c r="AA18">
        <f t="shared" si="19"/>
        <v>-91.835899680992071</v>
      </c>
      <c r="AB18">
        <f t="shared" si="20"/>
        <v>-5.8264093922785376</v>
      </c>
      <c r="AC18">
        <f t="shared" si="21"/>
        <v>34.02435011564782</v>
      </c>
      <c r="AD18">
        <v>-4.1334606420660502E-2</v>
      </c>
      <c r="AE18">
        <v>4.6401716817595202E-2</v>
      </c>
      <c r="AF18">
        <v>3.4652328989294099</v>
      </c>
      <c r="AG18">
        <v>133</v>
      </c>
      <c r="AH18">
        <v>27</v>
      </c>
      <c r="AI18">
        <f t="shared" si="22"/>
        <v>1</v>
      </c>
      <c r="AJ18">
        <f t="shared" si="23"/>
        <v>0</v>
      </c>
      <c r="AK18">
        <f t="shared" si="24"/>
        <v>52799.125664194697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273.60572000000002</v>
      </c>
      <c r="AT18">
        <v>362.762</v>
      </c>
      <c r="AU18">
        <f t="shared" si="27"/>
        <v>0.24577072570996961</v>
      </c>
      <c r="AV18">
        <v>0.5</v>
      </c>
      <c r="AW18">
        <f t="shared" si="28"/>
        <v>1849.158773902534</v>
      </c>
      <c r="AX18">
        <f t="shared" si="29"/>
        <v>20.241456318580589</v>
      </c>
      <c r="AY18">
        <f t="shared" si="30"/>
        <v>227.2345469074917</v>
      </c>
      <c r="AZ18">
        <f t="shared" si="31"/>
        <v>0.48065122587261067</v>
      </c>
      <c r="BA18">
        <f t="shared" si="32"/>
        <v>1.1487091653980487E-2</v>
      </c>
      <c r="BB18">
        <f t="shared" si="33"/>
        <v>-1</v>
      </c>
      <c r="BC18" t="s">
        <v>291</v>
      </c>
      <c r="BD18">
        <v>188.4</v>
      </c>
      <c r="BE18">
        <f t="shared" si="34"/>
        <v>174.36199999999999</v>
      </c>
      <c r="BF18">
        <f t="shared" si="35"/>
        <v>0.51132861517991302</v>
      </c>
      <c r="BG18">
        <f t="shared" si="36"/>
        <v>1.925488322717622</v>
      </c>
      <c r="BH18">
        <f t="shared" si="37"/>
        <v>0.24577072570996958</v>
      </c>
      <c r="BI18" t="e">
        <f t="shared" si="38"/>
        <v>#DIV/0!</v>
      </c>
      <c r="BJ18">
        <v>5703</v>
      </c>
      <c r="BK18">
        <v>300</v>
      </c>
      <c r="BL18">
        <v>300</v>
      </c>
      <c r="BM18">
        <v>300</v>
      </c>
      <c r="BN18">
        <v>9871.68</v>
      </c>
      <c r="BO18">
        <v>335.745</v>
      </c>
      <c r="BP18">
        <v>-6.4045600000000001E-3</v>
      </c>
      <c r="BQ18">
        <v>1.22916</v>
      </c>
      <c r="BR18">
        <f t="shared" si="39"/>
        <v>2199.9680645161302</v>
      </c>
      <c r="BS18">
        <f t="shared" si="40"/>
        <v>1849.158773902534</v>
      </c>
      <c r="BT18">
        <f t="shared" si="41"/>
        <v>0.84053891678161496</v>
      </c>
      <c r="BU18">
        <f t="shared" si="42"/>
        <v>0.1910778335632301</v>
      </c>
      <c r="BV18">
        <v>0.5</v>
      </c>
      <c r="BW18" t="s">
        <v>281</v>
      </c>
      <c r="BX18">
        <v>1596813017.8516099</v>
      </c>
      <c r="BY18">
        <v>291.29374193548398</v>
      </c>
      <c r="BZ18">
        <v>299.97525806451603</v>
      </c>
      <c r="CA18">
        <v>19.0571387096774</v>
      </c>
      <c r="CB18">
        <v>17.085206451612901</v>
      </c>
      <c r="CC18">
        <v>500.03935483870998</v>
      </c>
      <c r="CD18">
        <v>99.704390322580593</v>
      </c>
      <c r="CE18">
        <v>0.19994235483871001</v>
      </c>
      <c r="CF18">
        <v>26.486212903225798</v>
      </c>
      <c r="CG18">
        <v>26.988303225806501</v>
      </c>
      <c r="CH18">
        <v>999.9</v>
      </c>
      <c r="CI18">
        <v>9997.5951612903209</v>
      </c>
      <c r="CJ18">
        <v>0</v>
      </c>
      <c r="CK18">
        <v>252.16829032258099</v>
      </c>
      <c r="CL18">
        <v>2199.9680645161302</v>
      </c>
      <c r="CM18">
        <v>0.98199538709677403</v>
      </c>
      <c r="CN18">
        <v>1.8004316129032302E-2</v>
      </c>
      <c r="CO18">
        <v>0</v>
      </c>
      <c r="CP18">
        <v>273.61587096774201</v>
      </c>
      <c r="CQ18">
        <v>5.00054</v>
      </c>
      <c r="CR18">
        <v>8307.4641935483905</v>
      </c>
      <c r="CS18">
        <v>20590.203225806501</v>
      </c>
      <c r="CT18">
        <v>45.415064516129</v>
      </c>
      <c r="CU18">
        <v>46.277999999999999</v>
      </c>
      <c r="CV18">
        <v>45.457451612903199</v>
      </c>
      <c r="CW18">
        <v>45.3061935483871</v>
      </c>
      <c r="CX18">
        <v>46.933193548387102</v>
      </c>
      <c r="CY18">
        <v>2155.4480645161302</v>
      </c>
      <c r="CZ18">
        <v>39.520000000000003</v>
      </c>
      <c r="DA18">
        <v>0</v>
      </c>
      <c r="DB18">
        <v>147.09999990463299</v>
      </c>
      <c r="DC18">
        <v>273.60572000000002</v>
      </c>
      <c r="DD18">
        <v>-1.55092307030545</v>
      </c>
      <c r="DE18">
        <v>-46.038461632000299</v>
      </c>
      <c r="DF18">
        <v>8306.7836000000007</v>
      </c>
      <c r="DG18">
        <v>15</v>
      </c>
      <c r="DH18">
        <v>1596813048.9000001</v>
      </c>
      <c r="DI18" t="s">
        <v>292</v>
      </c>
      <c r="DJ18">
        <v>2</v>
      </c>
      <c r="DK18">
        <v>-0.51200000000000001</v>
      </c>
      <c r="DL18">
        <v>0.129</v>
      </c>
      <c r="DM18">
        <v>300</v>
      </c>
      <c r="DN18">
        <v>17</v>
      </c>
      <c r="DO18">
        <v>0.15</v>
      </c>
      <c r="DP18">
        <v>0.04</v>
      </c>
      <c r="DQ18">
        <v>291.29501923076901</v>
      </c>
      <c r="DR18">
        <v>0.51509582072791005</v>
      </c>
      <c r="DS18">
        <v>6.5259980193014697E-2</v>
      </c>
      <c r="DT18">
        <v>0</v>
      </c>
      <c r="DU18">
        <v>19.0691673076923</v>
      </c>
      <c r="DV18">
        <v>-0.192859734093693</v>
      </c>
      <c r="DW18">
        <v>2.57450273103958E-2</v>
      </c>
      <c r="DX18">
        <v>1</v>
      </c>
      <c r="DY18">
        <v>1</v>
      </c>
      <c r="DZ18">
        <v>2</v>
      </c>
      <c r="EA18" t="s">
        <v>293</v>
      </c>
      <c r="EB18">
        <v>1.86676</v>
      </c>
      <c r="EC18">
        <v>1.8632500000000001</v>
      </c>
      <c r="ED18">
        <v>1.86893</v>
      </c>
      <c r="EE18">
        <v>1.8668800000000001</v>
      </c>
      <c r="EF18">
        <v>1.87155</v>
      </c>
      <c r="EG18">
        <v>1.86405</v>
      </c>
      <c r="EH18">
        <v>1.8656999999999999</v>
      </c>
      <c r="EI18">
        <v>1.8656200000000001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-0.51200000000000001</v>
      </c>
      <c r="EX18">
        <v>0.129</v>
      </c>
      <c r="EY18">
        <v>2</v>
      </c>
      <c r="EZ18">
        <v>349.62900000000002</v>
      </c>
      <c r="FA18">
        <v>543.74400000000003</v>
      </c>
      <c r="FB18">
        <v>20.3096</v>
      </c>
      <c r="FC18">
        <v>28.864899999999999</v>
      </c>
      <c r="FD18">
        <v>29.999099999999999</v>
      </c>
      <c r="FE18">
        <v>28.588899999999999</v>
      </c>
      <c r="FF18">
        <v>28.552299999999999</v>
      </c>
      <c r="FG18">
        <v>17.373999999999999</v>
      </c>
      <c r="FH18">
        <v>34.059699999999999</v>
      </c>
      <c r="FI18">
        <v>64.226600000000005</v>
      </c>
      <c r="FJ18">
        <v>20.402799999999999</v>
      </c>
      <c r="FK18">
        <v>300</v>
      </c>
      <c r="FL18">
        <v>17.178699999999999</v>
      </c>
      <c r="FM18">
        <v>101.669</v>
      </c>
      <c r="FN18">
        <v>102</v>
      </c>
    </row>
    <row r="19" spans="1:170" x14ac:dyDescent="0.25">
      <c r="A19">
        <v>3</v>
      </c>
      <c r="B19">
        <v>1596813140.3</v>
      </c>
      <c r="C19">
        <v>262</v>
      </c>
      <c r="D19" t="s">
        <v>294</v>
      </c>
      <c r="E19" t="s">
        <v>295</v>
      </c>
      <c r="G19">
        <v>1596813132.3483901</v>
      </c>
      <c r="H19">
        <f t="shared" si="0"/>
        <v>4.747080801263721E-3</v>
      </c>
      <c r="I19">
        <f t="shared" si="1"/>
        <v>11.790716910027941</v>
      </c>
      <c r="J19">
        <f t="shared" si="2"/>
        <v>194.876838709677</v>
      </c>
      <c r="K19">
        <f t="shared" si="3"/>
        <v>122.44056487335509</v>
      </c>
      <c r="L19">
        <f t="shared" si="4"/>
        <v>12.232616347949259</v>
      </c>
      <c r="M19">
        <f t="shared" si="5"/>
        <v>19.469475704415245</v>
      </c>
      <c r="N19">
        <f t="shared" si="6"/>
        <v>0.28822948677440163</v>
      </c>
      <c r="O19">
        <f t="shared" si="7"/>
        <v>3.3948027149335447</v>
      </c>
      <c r="P19">
        <f t="shared" si="8"/>
        <v>0.2752916315761777</v>
      </c>
      <c r="Q19">
        <f t="shared" si="9"/>
        <v>0.17317128453625616</v>
      </c>
      <c r="R19">
        <f t="shared" si="10"/>
        <v>353.33063143790343</v>
      </c>
      <c r="S19">
        <f t="shared" si="11"/>
        <v>27.18815131147916</v>
      </c>
      <c r="T19">
        <f t="shared" si="12"/>
        <v>27.011883870967701</v>
      </c>
      <c r="U19">
        <f t="shared" si="13"/>
        <v>3.5816585970106267</v>
      </c>
      <c r="V19">
        <f t="shared" si="14"/>
        <v>55.0163163540753</v>
      </c>
      <c r="W19">
        <f t="shared" si="15"/>
        <v>1.9062030946848545</v>
      </c>
      <c r="X19">
        <f t="shared" si="16"/>
        <v>3.464795938748185</v>
      </c>
      <c r="Y19">
        <f t="shared" si="17"/>
        <v>1.6754555023257722</v>
      </c>
      <c r="Z19">
        <f t="shared" si="18"/>
        <v>-209.3462633357301</v>
      </c>
      <c r="AA19">
        <f t="shared" si="19"/>
        <v>-103.16222017697703</v>
      </c>
      <c r="AB19">
        <f t="shared" si="20"/>
        <v>-6.540464556353899</v>
      </c>
      <c r="AC19">
        <f t="shared" si="21"/>
        <v>34.28168336884238</v>
      </c>
      <c r="AD19">
        <v>-4.1367207727416297E-2</v>
      </c>
      <c r="AE19">
        <v>4.6438314640459999E-2</v>
      </c>
      <c r="AF19">
        <v>3.4673949165622902</v>
      </c>
      <c r="AG19">
        <v>132</v>
      </c>
      <c r="AH19">
        <v>26</v>
      </c>
      <c r="AI19">
        <f t="shared" si="22"/>
        <v>1</v>
      </c>
      <c r="AJ19">
        <f t="shared" si="23"/>
        <v>0</v>
      </c>
      <c r="AK19">
        <f t="shared" si="24"/>
        <v>52845.81621286158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296</v>
      </c>
      <c r="AS19">
        <v>269.99043999999998</v>
      </c>
      <c r="AT19">
        <v>344.98200000000003</v>
      </c>
      <c r="AU19">
        <f t="shared" si="27"/>
        <v>0.21737818205007808</v>
      </c>
      <c r="AV19">
        <v>0.5</v>
      </c>
      <c r="AW19">
        <f t="shared" si="28"/>
        <v>1849.1476351929257</v>
      </c>
      <c r="AX19">
        <f t="shared" si="29"/>
        <v>11.790716910027941</v>
      </c>
      <c r="AY19">
        <f t="shared" si="30"/>
        <v>200.98217564021959</v>
      </c>
      <c r="AZ19">
        <f t="shared" si="31"/>
        <v>0.45376860241983646</v>
      </c>
      <c r="BA19">
        <f t="shared" si="32"/>
        <v>6.9170879958935548E-3</v>
      </c>
      <c r="BB19">
        <f t="shared" si="33"/>
        <v>-1</v>
      </c>
      <c r="BC19" t="s">
        <v>297</v>
      </c>
      <c r="BD19">
        <v>188.44</v>
      </c>
      <c r="BE19">
        <f t="shared" si="34"/>
        <v>156.54200000000003</v>
      </c>
      <c r="BF19">
        <f t="shared" si="35"/>
        <v>0.47905073398832287</v>
      </c>
      <c r="BG19">
        <f t="shared" si="36"/>
        <v>1.8307259605179369</v>
      </c>
      <c r="BH19">
        <f t="shared" si="37"/>
        <v>0.21737818205007811</v>
      </c>
      <c r="BI19" t="e">
        <f t="shared" si="38"/>
        <v>#DIV/0!</v>
      </c>
      <c r="BJ19">
        <v>5705</v>
      </c>
      <c r="BK19">
        <v>300</v>
      </c>
      <c r="BL19">
        <v>300</v>
      </c>
      <c r="BM19">
        <v>300</v>
      </c>
      <c r="BN19">
        <v>9868.67</v>
      </c>
      <c r="BO19">
        <v>323.13</v>
      </c>
      <c r="BP19">
        <v>-6.4023400000000003E-3</v>
      </c>
      <c r="BQ19">
        <v>1.66232</v>
      </c>
      <c r="BR19">
        <f t="shared" si="39"/>
        <v>2199.9551612903201</v>
      </c>
      <c r="BS19">
        <f t="shared" si="40"/>
        <v>1849.1476351929257</v>
      </c>
      <c r="BT19">
        <f t="shared" si="41"/>
        <v>0.84053878357609868</v>
      </c>
      <c r="BU19">
        <f t="shared" si="42"/>
        <v>0.19107756715219748</v>
      </c>
      <c r="BV19">
        <v>0.5</v>
      </c>
      <c r="BW19" t="s">
        <v>281</v>
      </c>
      <c r="BX19">
        <v>1596813132.3483901</v>
      </c>
      <c r="BY19">
        <v>194.876838709677</v>
      </c>
      <c r="BZ19">
        <v>199.96264516129</v>
      </c>
      <c r="CA19">
        <v>19.079858064516099</v>
      </c>
      <c r="CB19">
        <v>17.2174451612903</v>
      </c>
      <c r="CC19">
        <v>500.05099999999999</v>
      </c>
      <c r="CD19">
        <v>99.706558064516102</v>
      </c>
      <c r="CE19">
        <v>0.20000770967741899</v>
      </c>
      <c r="CF19">
        <v>26.448219354838699</v>
      </c>
      <c r="CG19">
        <v>27.011883870967701</v>
      </c>
      <c r="CH19">
        <v>999.9</v>
      </c>
      <c r="CI19">
        <v>10005.262903225799</v>
      </c>
      <c r="CJ19">
        <v>0</v>
      </c>
      <c r="CK19">
        <v>243.86245161290299</v>
      </c>
      <c r="CL19">
        <v>2199.9551612903201</v>
      </c>
      <c r="CM19">
        <v>0.98200083870967703</v>
      </c>
      <c r="CN19">
        <v>1.7999419354838699E-2</v>
      </c>
      <c r="CO19">
        <v>0</v>
      </c>
      <c r="CP19">
        <v>269.99822580645201</v>
      </c>
      <c r="CQ19">
        <v>5.00054</v>
      </c>
      <c r="CR19">
        <v>8266.8280645161303</v>
      </c>
      <c r="CS19">
        <v>20590.122580645198</v>
      </c>
      <c r="CT19">
        <v>46.1208064516129</v>
      </c>
      <c r="CU19">
        <v>47.294064516128998</v>
      </c>
      <c r="CV19">
        <v>46.275935483871002</v>
      </c>
      <c r="CW19">
        <v>46.227548387096803</v>
      </c>
      <c r="CX19">
        <v>47.618741935483897</v>
      </c>
      <c r="CY19">
        <v>2155.4451612903199</v>
      </c>
      <c r="CZ19">
        <v>39.51</v>
      </c>
      <c r="DA19">
        <v>0</v>
      </c>
      <c r="DB19">
        <v>113.60000014305101</v>
      </c>
      <c r="DC19">
        <v>269.99043999999998</v>
      </c>
      <c r="DD19">
        <v>-3.0884615546618299</v>
      </c>
      <c r="DE19">
        <v>79.1207682878334</v>
      </c>
      <c r="DF19">
        <v>8267.0416000000005</v>
      </c>
      <c r="DG19">
        <v>15</v>
      </c>
      <c r="DH19">
        <v>1596813162.9000001</v>
      </c>
      <c r="DI19" t="s">
        <v>298</v>
      </c>
      <c r="DJ19">
        <v>3</v>
      </c>
      <c r="DK19">
        <v>-0.46800000000000003</v>
      </c>
      <c r="DL19">
        <v>0.128</v>
      </c>
      <c r="DM19">
        <v>200</v>
      </c>
      <c r="DN19">
        <v>17</v>
      </c>
      <c r="DO19">
        <v>0.49</v>
      </c>
      <c r="DP19">
        <v>0.05</v>
      </c>
      <c r="DQ19">
        <v>194.83188461538501</v>
      </c>
      <c r="DR19">
        <v>6.5088599496121897E-3</v>
      </c>
      <c r="DS19">
        <v>9.8891040392043907E-3</v>
      </c>
      <c r="DT19">
        <v>1</v>
      </c>
      <c r="DU19">
        <v>19.0700884615385</v>
      </c>
      <c r="DV19">
        <v>0.121203215276664</v>
      </c>
      <c r="DW19">
        <v>1.6553243394087799E-2</v>
      </c>
      <c r="DX19">
        <v>1</v>
      </c>
      <c r="DY19">
        <v>2</v>
      </c>
      <c r="DZ19">
        <v>2</v>
      </c>
      <c r="EA19" t="s">
        <v>299</v>
      </c>
      <c r="EB19">
        <v>1.8667499999999999</v>
      </c>
      <c r="EC19">
        <v>1.86324</v>
      </c>
      <c r="ED19">
        <v>1.8689499999999999</v>
      </c>
      <c r="EE19">
        <v>1.8668800000000001</v>
      </c>
      <c r="EF19">
        <v>1.8715200000000001</v>
      </c>
      <c r="EG19">
        <v>1.86402</v>
      </c>
      <c r="EH19">
        <v>1.8656900000000001</v>
      </c>
      <c r="EI19">
        <v>1.8655900000000001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-0.46800000000000003</v>
      </c>
      <c r="EX19">
        <v>0.128</v>
      </c>
      <c r="EY19">
        <v>2</v>
      </c>
      <c r="EZ19">
        <v>350.137</v>
      </c>
      <c r="FA19">
        <v>542.66300000000001</v>
      </c>
      <c r="FB19">
        <v>20.817699999999999</v>
      </c>
      <c r="FC19">
        <v>29.071899999999999</v>
      </c>
      <c r="FD19">
        <v>30.000800000000002</v>
      </c>
      <c r="FE19">
        <v>28.8504</v>
      </c>
      <c r="FF19">
        <v>28.820399999999999</v>
      </c>
      <c r="FG19">
        <v>12.7888</v>
      </c>
      <c r="FH19">
        <v>33.6907</v>
      </c>
      <c r="FI19">
        <v>62.725200000000001</v>
      </c>
      <c r="FJ19">
        <v>20.7986</v>
      </c>
      <c r="FK19">
        <v>200</v>
      </c>
      <c r="FL19">
        <v>17.206600000000002</v>
      </c>
      <c r="FM19">
        <v>101.634</v>
      </c>
      <c r="FN19">
        <v>101.968</v>
      </c>
    </row>
    <row r="20" spans="1:170" x14ac:dyDescent="0.25">
      <c r="A20">
        <v>4</v>
      </c>
      <c r="B20">
        <v>1596813254.4000001</v>
      </c>
      <c r="C20">
        <v>376.10000014305098</v>
      </c>
      <c r="D20" t="s">
        <v>300</v>
      </c>
      <c r="E20" t="s">
        <v>301</v>
      </c>
      <c r="G20">
        <v>1596813246.37097</v>
      </c>
      <c r="H20">
        <f t="shared" si="0"/>
        <v>4.7826704401222339E-3</v>
      </c>
      <c r="I20">
        <f t="shared" si="1"/>
        <v>4.098938926422929</v>
      </c>
      <c r="J20">
        <f t="shared" si="2"/>
        <v>98.159093548387105</v>
      </c>
      <c r="K20">
        <f t="shared" si="3"/>
        <v>72.484861025974126</v>
      </c>
      <c r="L20">
        <f t="shared" si="4"/>
        <v>7.2417651285782645</v>
      </c>
      <c r="M20">
        <f t="shared" si="5"/>
        <v>9.806807803036806</v>
      </c>
      <c r="N20">
        <f t="shared" si="6"/>
        <v>0.292325070636476</v>
      </c>
      <c r="O20">
        <f t="shared" si="7"/>
        <v>3.3998379276936777</v>
      </c>
      <c r="P20">
        <f t="shared" si="8"/>
        <v>0.27904477472112815</v>
      </c>
      <c r="Q20">
        <f t="shared" si="9"/>
        <v>0.17554588325678683</v>
      </c>
      <c r="R20">
        <f t="shared" si="10"/>
        <v>353.33907943626019</v>
      </c>
      <c r="S20">
        <f t="shared" si="11"/>
        <v>27.222035971784603</v>
      </c>
      <c r="T20">
        <f t="shared" si="12"/>
        <v>27.001580645161301</v>
      </c>
      <c r="U20">
        <f t="shared" si="13"/>
        <v>3.5794919782566721</v>
      </c>
      <c r="V20">
        <f t="shared" si="14"/>
        <v>55.107885389689102</v>
      </c>
      <c r="W20">
        <f t="shared" si="15"/>
        <v>1.9142169921962906</v>
      </c>
      <c r="X20">
        <f t="shared" si="16"/>
        <v>3.4735809197905603</v>
      </c>
      <c r="Y20">
        <f t="shared" si="17"/>
        <v>1.6652749860603815</v>
      </c>
      <c r="Z20">
        <f t="shared" si="18"/>
        <v>-210.91576640939053</v>
      </c>
      <c r="AA20">
        <f t="shared" si="19"/>
        <v>-93.555224951026347</v>
      </c>
      <c r="AB20">
        <f t="shared" si="20"/>
        <v>-5.9235650756030154</v>
      </c>
      <c r="AC20">
        <f t="shared" si="21"/>
        <v>42.944523000240324</v>
      </c>
      <c r="AD20">
        <v>-4.1445235049276399E-2</v>
      </c>
      <c r="AE20">
        <v>4.6525907144816803E-2</v>
      </c>
      <c r="AF20">
        <v>3.4725670536011499</v>
      </c>
      <c r="AG20">
        <v>135</v>
      </c>
      <c r="AH20">
        <v>27</v>
      </c>
      <c r="AI20">
        <f t="shared" si="22"/>
        <v>1</v>
      </c>
      <c r="AJ20">
        <f t="shared" si="23"/>
        <v>0</v>
      </c>
      <c r="AK20">
        <f t="shared" si="24"/>
        <v>52933.807902168985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302</v>
      </c>
      <c r="AS20">
        <v>269.79827999999998</v>
      </c>
      <c r="AT20">
        <v>327.16000000000003</v>
      </c>
      <c r="AU20">
        <f t="shared" si="27"/>
        <v>0.17533231446387099</v>
      </c>
      <c r="AV20">
        <v>0.5</v>
      </c>
      <c r="AW20">
        <f t="shared" si="28"/>
        <v>1849.1947545478511</v>
      </c>
      <c r="AX20">
        <f t="shared" si="29"/>
        <v>4.098938926422929</v>
      </c>
      <c r="AY20">
        <f t="shared" si="30"/>
        <v>162.11179810466228</v>
      </c>
      <c r="AZ20">
        <f t="shared" si="31"/>
        <v>0.40921873089619765</v>
      </c>
      <c r="BA20">
        <f t="shared" si="32"/>
        <v>2.7573834037127568E-3</v>
      </c>
      <c r="BB20">
        <f t="shared" si="33"/>
        <v>-1</v>
      </c>
      <c r="BC20" t="s">
        <v>303</v>
      </c>
      <c r="BD20">
        <v>193.28</v>
      </c>
      <c r="BE20">
        <f t="shared" si="34"/>
        <v>133.88000000000002</v>
      </c>
      <c r="BF20">
        <f t="shared" si="35"/>
        <v>0.42845622945921752</v>
      </c>
      <c r="BG20">
        <f t="shared" si="36"/>
        <v>1.6926738410596027</v>
      </c>
      <c r="BH20">
        <f t="shared" si="37"/>
        <v>0.17533231446387101</v>
      </c>
      <c r="BI20" t="e">
        <f t="shared" si="38"/>
        <v>#DIV/0!</v>
      </c>
      <c r="BJ20">
        <v>5707</v>
      </c>
      <c r="BK20">
        <v>300</v>
      </c>
      <c r="BL20">
        <v>300</v>
      </c>
      <c r="BM20">
        <v>300</v>
      </c>
      <c r="BN20">
        <v>9866.09</v>
      </c>
      <c r="BO20">
        <v>314.96199999999999</v>
      </c>
      <c r="BP20">
        <v>-6.4001500000000003E-3</v>
      </c>
      <c r="BQ20">
        <v>1.71445</v>
      </c>
      <c r="BR20">
        <f t="shared" si="39"/>
        <v>2200.0116129032299</v>
      </c>
      <c r="BS20">
        <f t="shared" si="40"/>
        <v>1849.1947545478511</v>
      </c>
      <c r="BT20">
        <f t="shared" si="41"/>
        <v>0.84053863338820023</v>
      </c>
      <c r="BU20">
        <f t="shared" si="42"/>
        <v>0.1910772667764005</v>
      </c>
      <c r="BV20">
        <v>0.5</v>
      </c>
      <c r="BW20" t="s">
        <v>281</v>
      </c>
      <c r="BX20">
        <v>1596813246.37097</v>
      </c>
      <c r="BY20">
        <v>98.159093548387105</v>
      </c>
      <c r="BZ20">
        <v>99.986270967741902</v>
      </c>
      <c r="CA20">
        <v>19.159935483870999</v>
      </c>
      <c r="CB20">
        <v>17.283709677419399</v>
      </c>
      <c r="CC20">
        <v>500.05012903225798</v>
      </c>
      <c r="CD20">
        <v>99.707367741935499</v>
      </c>
      <c r="CE20">
        <v>0.19990980645161299</v>
      </c>
      <c r="CF20">
        <v>26.491164516129</v>
      </c>
      <c r="CG20">
        <v>27.001580645161301</v>
      </c>
      <c r="CH20">
        <v>999.9</v>
      </c>
      <c r="CI20">
        <v>10024.053548387101</v>
      </c>
      <c r="CJ20">
        <v>0</v>
      </c>
      <c r="CK20">
        <v>245.56035483871</v>
      </c>
      <c r="CL20">
        <v>2200.0116129032299</v>
      </c>
      <c r="CM20">
        <v>0.98200483870967703</v>
      </c>
      <c r="CN20">
        <v>1.79952193548387E-2</v>
      </c>
      <c r="CO20">
        <v>0</v>
      </c>
      <c r="CP20">
        <v>269.81480645161298</v>
      </c>
      <c r="CQ20">
        <v>5.00054</v>
      </c>
      <c r="CR20">
        <v>8305.8354838709693</v>
      </c>
      <c r="CS20">
        <v>20590.670967741898</v>
      </c>
      <c r="CT20">
        <v>46.771999999999998</v>
      </c>
      <c r="CU20">
        <v>48.153064516129</v>
      </c>
      <c r="CV20">
        <v>47.026000000000003</v>
      </c>
      <c r="CW20">
        <v>46.939161290322602</v>
      </c>
      <c r="CX20">
        <v>48.253870967741904</v>
      </c>
      <c r="CY20">
        <v>2155.5116129032299</v>
      </c>
      <c r="CZ20">
        <v>39.5</v>
      </c>
      <c r="DA20">
        <v>0</v>
      </c>
      <c r="DB20">
        <v>113.5</v>
      </c>
      <c r="DC20">
        <v>269.79827999999998</v>
      </c>
      <c r="DD20">
        <v>-1.7304615418190199</v>
      </c>
      <c r="DE20">
        <v>-7.3599998983985504</v>
      </c>
      <c r="DF20">
        <v>8305.8367999999991</v>
      </c>
      <c r="DG20">
        <v>15</v>
      </c>
      <c r="DH20">
        <v>1596813277.9000001</v>
      </c>
      <c r="DI20" t="s">
        <v>304</v>
      </c>
      <c r="DJ20">
        <v>4</v>
      </c>
      <c r="DK20">
        <v>-0.379</v>
      </c>
      <c r="DL20">
        <v>0.13</v>
      </c>
      <c r="DM20">
        <v>100</v>
      </c>
      <c r="DN20">
        <v>17</v>
      </c>
      <c r="DO20">
        <v>0.15</v>
      </c>
      <c r="DP20">
        <v>0.05</v>
      </c>
      <c r="DQ20">
        <v>98.074326923076995</v>
      </c>
      <c r="DR20">
        <v>-8.4302791727467602E-2</v>
      </c>
      <c r="DS20">
        <v>1.73663923380835E-2</v>
      </c>
      <c r="DT20">
        <v>1</v>
      </c>
      <c r="DU20">
        <v>19.1510826923077</v>
      </c>
      <c r="DV20">
        <v>0.101865530267622</v>
      </c>
      <c r="DW20">
        <v>1.56840526693869E-2</v>
      </c>
      <c r="DX20">
        <v>1</v>
      </c>
      <c r="DY20">
        <v>2</v>
      </c>
      <c r="DZ20">
        <v>2</v>
      </c>
      <c r="EA20" t="s">
        <v>299</v>
      </c>
      <c r="EB20">
        <v>1.86676</v>
      </c>
      <c r="EC20">
        <v>1.8632500000000001</v>
      </c>
      <c r="ED20">
        <v>1.8689800000000001</v>
      </c>
      <c r="EE20">
        <v>1.8668800000000001</v>
      </c>
      <c r="EF20">
        <v>1.8715299999999999</v>
      </c>
      <c r="EG20">
        <v>1.8640399999999999</v>
      </c>
      <c r="EH20">
        <v>1.8656900000000001</v>
      </c>
      <c r="EI20">
        <v>1.86561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-0.379</v>
      </c>
      <c r="EX20">
        <v>0.13</v>
      </c>
      <c r="EY20">
        <v>2</v>
      </c>
      <c r="EZ20">
        <v>347.23200000000003</v>
      </c>
      <c r="FA20">
        <v>541.58399999999995</v>
      </c>
      <c r="FB20">
        <v>20.906199999999998</v>
      </c>
      <c r="FC20">
        <v>29.235499999999998</v>
      </c>
      <c r="FD20">
        <v>30.000399999999999</v>
      </c>
      <c r="FE20">
        <v>29.064699999999998</v>
      </c>
      <c r="FF20">
        <v>29.0427</v>
      </c>
      <c r="FG20">
        <v>8.0093200000000007</v>
      </c>
      <c r="FH20">
        <v>33.134799999999998</v>
      </c>
      <c r="FI20">
        <v>61.231900000000003</v>
      </c>
      <c r="FJ20">
        <v>20.891400000000001</v>
      </c>
      <c r="FK20">
        <v>100</v>
      </c>
      <c r="FL20">
        <v>17.305</v>
      </c>
      <c r="FM20">
        <v>101.599</v>
      </c>
      <c r="FN20">
        <v>101.946</v>
      </c>
    </row>
    <row r="21" spans="1:170" x14ac:dyDescent="0.25">
      <c r="A21">
        <v>5</v>
      </c>
      <c r="B21">
        <v>1596813369.4000001</v>
      </c>
      <c r="C21">
        <v>491.10000014305098</v>
      </c>
      <c r="D21" t="s">
        <v>305</v>
      </c>
      <c r="E21" t="s">
        <v>306</v>
      </c>
      <c r="G21">
        <v>1596813361.4000001</v>
      </c>
      <c r="H21">
        <f t="shared" si="0"/>
        <v>5.2474039559077647E-3</v>
      </c>
      <c r="I21">
        <f t="shared" si="1"/>
        <v>0.27686377218960873</v>
      </c>
      <c r="J21">
        <f t="shared" si="2"/>
        <v>49.770106451612897</v>
      </c>
      <c r="K21">
        <f t="shared" si="3"/>
        <v>47.023950662827623</v>
      </c>
      <c r="L21">
        <f t="shared" si="4"/>
        <v>4.6983314855186302</v>
      </c>
      <c r="M21">
        <f t="shared" si="5"/>
        <v>4.9727097549903272</v>
      </c>
      <c r="N21">
        <f t="shared" si="6"/>
        <v>0.32323090195348442</v>
      </c>
      <c r="O21">
        <f t="shared" si="7"/>
        <v>3.3954057853687254</v>
      </c>
      <c r="P21">
        <f t="shared" si="8"/>
        <v>0.30705748116770604</v>
      </c>
      <c r="Q21">
        <f t="shared" si="9"/>
        <v>0.19329658334123548</v>
      </c>
      <c r="R21">
        <f t="shared" si="10"/>
        <v>353.33695925695952</v>
      </c>
      <c r="S21">
        <f t="shared" si="11"/>
        <v>27.172100331146762</v>
      </c>
      <c r="T21">
        <f t="shared" si="12"/>
        <v>26.9859096774194</v>
      </c>
      <c r="U21">
        <f t="shared" si="13"/>
        <v>3.5761987947289504</v>
      </c>
      <c r="V21">
        <f t="shared" si="14"/>
        <v>54.972822143519608</v>
      </c>
      <c r="W21">
        <f t="shared" si="15"/>
        <v>1.91566959148577</v>
      </c>
      <c r="X21">
        <f t="shared" si="16"/>
        <v>3.4847575889126805</v>
      </c>
      <c r="Y21">
        <f t="shared" si="17"/>
        <v>1.6605292032431804</v>
      </c>
      <c r="Z21">
        <f t="shared" si="18"/>
        <v>-231.41051445553242</v>
      </c>
      <c r="AA21">
        <f t="shared" si="19"/>
        <v>-80.588248886653332</v>
      </c>
      <c r="AB21">
        <f t="shared" si="20"/>
        <v>-5.1101973202903022</v>
      </c>
      <c r="AC21">
        <f t="shared" si="21"/>
        <v>36.227998594483466</v>
      </c>
      <c r="AD21">
        <v>-4.13765503494486E-2</v>
      </c>
      <c r="AE21">
        <v>4.64488025521499E-2</v>
      </c>
      <c r="AF21">
        <v>3.4680143816622202</v>
      </c>
      <c r="AG21">
        <v>132</v>
      </c>
      <c r="AH21">
        <v>26</v>
      </c>
      <c r="AI21">
        <f t="shared" si="22"/>
        <v>1</v>
      </c>
      <c r="AJ21">
        <f t="shared" si="23"/>
        <v>0</v>
      </c>
      <c r="AK21">
        <f t="shared" si="24"/>
        <v>52840.219640773961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307</v>
      </c>
      <c r="AS21">
        <v>269.41879999999998</v>
      </c>
      <c r="AT21">
        <v>320.28100000000001</v>
      </c>
      <c r="AU21">
        <f t="shared" si="27"/>
        <v>0.15880492442573879</v>
      </c>
      <c r="AV21">
        <v>0.5</v>
      </c>
      <c r="AW21">
        <f t="shared" si="28"/>
        <v>1849.1782835799554</v>
      </c>
      <c r="AX21">
        <f t="shared" si="29"/>
        <v>0.27686377218960873</v>
      </c>
      <c r="AY21">
        <f t="shared" si="30"/>
        <v>146.82930878681609</v>
      </c>
      <c r="AZ21">
        <f t="shared" si="31"/>
        <v>0.41413945878775205</v>
      </c>
      <c r="BA21">
        <f t="shared" si="32"/>
        <v>6.905033351990472E-4</v>
      </c>
      <c r="BB21">
        <f t="shared" si="33"/>
        <v>-1</v>
      </c>
      <c r="BC21" t="s">
        <v>308</v>
      </c>
      <c r="BD21">
        <v>187.64</v>
      </c>
      <c r="BE21">
        <f t="shared" si="34"/>
        <v>132.64100000000002</v>
      </c>
      <c r="BF21">
        <f t="shared" si="35"/>
        <v>0.38345760360672809</v>
      </c>
      <c r="BG21">
        <f t="shared" si="36"/>
        <v>1.706890854828395</v>
      </c>
      <c r="BH21">
        <f t="shared" si="37"/>
        <v>0.15880492442573874</v>
      </c>
      <c r="BI21" t="e">
        <f t="shared" si="38"/>
        <v>#DIV/0!</v>
      </c>
      <c r="BJ21">
        <v>5709</v>
      </c>
      <c r="BK21">
        <v>300</v>
      </c>
      <c r="BL21">
        <v>300</v>
      </c>
      <c r="BM21">
        <v>300</v>
      </c>
      <c r="BN21">
        <v>9863.56</v>
      </c>
      <c r="BO21">
        <v>308.16000000000003</v>
      </c>
      <c r="BP21">
        <v>-6.3981899999999998E-3</v>
      </c>
      <c r="BQ21">
        <v>1.1958599999999999</v>
      </c>
      <c r="BR21">
        <f t="shared" si="39"/>
        <v>2199.99129032258</v>
      </c>
      <c r="BS21">
        <f t="shared" si="40"/>
        <v>1849.1782835799554</v>
      </c>
      <c r="BT21">
        <f t="shared" si="41"/>
        <v>0.84053891109214995</v>
      </c>
      <c r="BU21">
        <f t="shared" si="42"/>
        <v>0.19107782218429983</v>
      </c>
      <c r="BV21">
        <v>0.5</v>
      </c>
      <c r="BW21" t="s">
        <v>281</v>
      </c>
      <c r="BX21">
        <v>1596813361.4000001</v>
      </c>
      <c r="BY21">
        <v>49.770106451612897</v>
      </c>
      <c r="BZ21">
        <v>49.9852967741936</v>
      </c>
      <c r="CA21">
        <v>19.173264516128999</v>
      </c>
      <c r="CB21">
        <v>17.114745161290301</v>
      </c>
      <c r="CC21">
        <v>500.04816129032298</v>
      </c>
      <c r="CD21">
        <v>99.713596774193604</v>
      </c>
      <c r="CE21">
        <v>0.19998809677419399</v>
      </c>
      <c r="CF21">
        <v>26.545664516129001</v>
      </c>
      <c r="CG21">
        <v>26.9859096774194</v>
      </c>
      <c r="CH21">
        <v>999.9</v>
      </c>
      <c r="CI21">
        <v>10006.816129032301</v>
      </c>
      <c r="CJ21">
        <v>0</v>
      </c>
      <c r="CK21">
        <v>253.34545161290299</v>
      </c>
      <c r="CL21">
        <v>2199.99129032258</v>
      </c>
      <c r="CM21">
        <v>0.98199567741935501</v>
      </c>
      <c r="CN21">
        <v>1.80040258064516E-2</v>
      </c>
      <c r="CO21">
        <v>0</v>
      </c>
      <c r="CP21">
        <v>269.40370967741899</v>
      </c>
      <c r="CQ21">
        <v>5.00054</v>
      </c>
      <c r="CR21">
        <v>8327.2645161290293</v>
      </c>
      <c r="CS21">
        <v>20590.412903225799</v>
      </c>
      <c r="CT21">
        <v>47.398935483871</v>
      </c>
      <c r="CU21">
        <v>48.937322580645201</v>
      </c>
      <c r="CV21">
        <v>47.723580645161299</v>
      </c>
      <c r="CW21">
        <v>47.636870967741899</v>
      </c>
      <c r="CX21">
        <v>48.840516129032203</v>
      </c>
      <c r="CY21">
        <v>2155.47129032258</v>
      </c>
      <c r="CZ21">
        <v>39.520000000000003</v>
      </c>
      <c r="DA21">
        <v>0</v>
      </c>
      <c r="DB21">
        <v>114.200000047684</v>
      </c>
      <c r="DC21">
        <v>269.41879999999998</v>
      </c>
      <c r="DD21">
        <v>-0.68592307330990199</v>
      </c>
      <c r="DE21">
        <v>-14.065384712846299</v>
      </c>
      <c r="DF21">
        <v>8327.1592000000001</v>
      </c>
      <c r="DG21">
        <v>15</v>
      </c>
      <c r="DH21">
        <v>1596813392.4000001</v>
      </c>
      <c r="DI21" t="s">
        <v>309</v>
      </c>
      <c r="DJ21">
        <v>5</v>
      </c>
      <c r="DK21">
        <v>-0.40400000000000003</v>
      </c>
      <c r="DL21">
        <v>0.125</v>
      </c>
      <c r="DM21">
        <v>50</v>
      </c>
      <c r="DN21">
        <v>17</v>
      </c>
      <c r="DO21">
        <v>0.38</v>
      </c>
      <c r="DP21">
        <v>0.04</v>
      </c>
      <c r="DQ21">
        <v>49.798796153846197</v>
      </c>
      <c r="DR21">
        <v>-4.9117732434006502E-2</v>
      </c>
      <c r="DS21">
        <v>8.6263674844237505E-3</v>
      </c>
      <c r="DT21">
        <v>1</v>
      </c>
      <c r="DU21">
        <v>19.195509615384601</v>
      </c>
      <c r="DV21">
        <v>-0.17599982924955901</v>
      </c>
      <c r="DW21">
        <v>2.2769702031895499E-2</v>
      </c>
      <c r="DX21">
        <v>1</v>
      </c>
      <c r="DY21">
        <v>2</v>
      </c>
      <c r="DZ21">
        <v>2</v>
      </c>
      <c r="EA21" t="s">
        <v>299</v>
      </c>
      <c r="EB21">
        <v>1.86676</v>
      </c>
      <c r="EC21">
        <v>1.8632500000000001</v>
      </c>
      <c r="ED21">
        <v>1.8689499999999999</v>
      </c>
      <c r="EE21">
        <v>1.8668899999999999</v>
      </c>
      <c r="EF21">
        <v>1.87154</v>
      </c>
      <c r="EG21">
        <v>1.86405</v>
      </c>
      <c r="EH21">
        <v>1.8656900000000001</v>
      </c>
      <c r="EI21">
        <v>1.8656299999999999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-0.40400000000000003</v>
      </c>
      <c r="EX21">
        <v>0.125</v>
      </c>
      <c r="EY21">
        <v>2</v>
      </c>
      <c r="EZ21">
        <v>349.93799999999999</v>
      </c>
      <c r="FA21">
        <v>540.32000000000005</v>
      </c>
      <c r="FB21">
        <v>20.953600000000002</v>
      </c>
      <c r="FC21">
        <v>29.374400000000001</v>
      </c>
      <c r="FD21">
        <v>30.000599999999999</v>
      </c>
      <c r="FE21">
        <v>29.2456</v>
      </c>
      <c r="FF21">
        <v>29.230399999999999</v>
      </c>
      <c r="FG21">
        <v>5.5957400000000002</v>
      </c>
      <c r="FH21">
        <v>33.794499999999999</v>
      </c>
      <c r="FI21">
        <v>59.733800000000002</v>
      </c>
      <c r="FJ21">
        <v>20.958600000000001</v>
      </c>
      <c r="FK21">
        <v>50</v>
      </c>
      <c r="FL21">
        <v>17.1325</v>
      </c>
      <c r="FM21">
        <v>101.572</v>
      </c>
      <c r="FN21">
        <v>101.922</v>
      </c>
    </row>
    <row r="22" spans="1:170" x14ac:dyDescent="0.25">
      <c r="A22">
        <v>6</v>
      </c>
      <c r="B22">
        <v>1596813483.9000001</v>
      </c>
      <c r="C22">
        <v>605.60000014305103</v>
      </c>
      <c r="D22" t="s">
        <v>310</v>
      </c>
      <c r="E22" t="s">
        <v>311</v>
      </c>
      <c r="G22">
        <v>1596813475.9000001</v>
      </c>
      <c r="H22">
        <f t="shared" si="0"/>
        <v>5.4950081159565985E-3</v>
      </c>
      <c r="I22">
        <f t="shared" si="1"/>
        <v>29.143349142709468</v>
      </c>
      <c r="J22">
        <f t="shared" si="2"/>
        <v>387.48983870967697</v>
      </c>
      <c r="K22">
        <f t="shared" si="3"/>
        <v>236.16543059426451</v>
      </c>
      <c r="L22">
        <f t="shared" si="4"/>
        <v>23.598308139925802</v>
      </c>
      <c r="M22">
        <f t="shared" si="5"/>
        <v>38.719064818046149</v>
      </c>
      <c r="N22">
        <f t="shared" si="6"/>
        <v>0.34182262447356354</v>
      </c>
      <c r="O22">
        <f t="shared" si="7"/>
        <v>3.3960631410012976</v>
      </c>
      <c r="P22">
        <f t="shared" si="8"/>
        <v>0.32379419077158617</v>
      </c>
      <c r="Q22">
        <f t="shared" si="9"/>
        <v>0.20391187984933423</v>
      </c>
      <c r="R22">
        <f t="shared" si="10"/>
        <v>353.33248485051956</v>
      </c>
      <c r="S22">
        <f t="shared" si="11"/>
        <v>27.336758095555041</v>
      </c>
      <c r="T22">
        <f t="shared" si="12"/>
        <v>27.019325806451601</v>
      </c>
      <c r="U22">
        <f t="shared" si="13"/>
        <v>3.583224239923203</v>
      </c>
      <c r="V22">
        <f t="shared" si="14"/>
        <v>54.789477022461107</v>
      </c>
      <c r="W22">
        <f t="shared" si="15"/>
        <v>1.9342843691849991</v>
      </c>
      <c r="X22">
        <f t="shared" si="16"/>
        <v>3.5303939265418314</v>
      </c>
      <c r="Y22">
        <f t="shared" si="17"/>
        <v>1.6489398707382039</v>
      </c>
      <c r="Z22">
        <f t="shared" si="18"/>
        <v>-242.329857913686</v>
      </c>
      <c r="AA22">
        <f t="shared" si="19"/>
        <v>-46.266478115771321</v>
      </c>
      <c r="AB22">
        <f t="shared" si="20"/>
        <v>-2.9369790676872354</v>
      </c>
      <c r="AC22">
        <f t="shared" si="21"/>
        <v>61.799169753375025</v>
      </c>
      <c r="AD22">
        <v>-4.1386734798833903E-2</v>
      </c>
      <c r="AE22">
        <v>4.6460235488791697E-2</v>
      </c>
      <c r="AF22">
        <v>3.4686896092190498</v>
      </c>
      <c r="AG22">
        <v>134</v>
      </c>
      <c r="AH22">
        <v>27</v>
      </c>
      <c r="AI22">
        <f t="shared" si="22"/>
        <v>1</v>
      </c>
      <c r="AJ22">
        <f t="shared" si="23"/>
        <v>0</v>
      </c>
      <c r="AK22">
        <f t="shared" si="24"/>
        <v>52813.933053929548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312</v>
      </c>
      <c r="AS22">
        <v>257.815</v>
      </c>
      <c r="AT22">
        <v>349.11900000000003</v>
      </c>
      <c r="AU22">
        <f t="shared" si="27"/>
        <v>0.2615268719261914</v>
      </c>
      <c r="AV22">
        <v>0.5</v>
      </c>
      <c r="AW22">
        <f t="shared" si="28"/>
        <v>1849.15739003164</v>
      </c>
      <c r="AX22">
        <f t="shared" si="29"/>
        <v>29.143349142709468</v>
      </c>
      <c r="AY22">
        <f t="shared" si="30"/>
        <v>241.80217395708755</v>
      </c>
      <c r="AZ22">
        <f t="shared" si="31"/>
        <v>0.48647882240725948</v>
      </c>
      <c r="BA22">
        <f t="shared" si="32"/>
        <v>1.630112682955219E-2</v>
      </c>
      <c r="BB22">
        <f t="shared" si="33"/>
        <v>-1</v>
      </c>
      <c r="BC22" t="s">
        <v>313</v>
      </c>
      <c r="BD22">
        <v>179.28</v>
      </c>
      <c r="BE22">
        <f t="shared" si="34"/>
        <v>169.83900000000003</v>
      </c>
      <c r="BF22">
        <f t="shared" si="35"/>
        <v>0.53759148369926824</v>
      </c>
      <c r="BG22">
        <f t="shared" si="36"/>
        <v>1.9473393574297191</v>
      </c>
      <c r="BH22">
        <f t="shared" si="37"/>
        <v>0.2615268719261914</v>
      </c>
      <c r="BI22" t="e">
        <f t="shared" si="38"/>
        <v>#DIV/0!</v>
      </c>
      <c r="BJ22">
        <v>5711</v>
      </c>
      <c r="BK22">
        <v>300</v>
      </c>
      <c r="BL22">
        <v>300</v>
      </c>
      <c r="BM22">
        <v>300</v>
      </c>
      <c r="BN22">
        <v>9861.11</v>
      </c>
      <c r="BO22">
        <v>319.50200000000001</v>
      </c>
      <c r="BP22">
        <v>-6.3965200000000002E-3</v>
      </c>
      <c r="BQ22">
        <v>0.95419299999999996</v>
      </c>
      <c r="BR22">
        <f t="shared" si="39"/>
        <v>2199.96677419355</v>
      </c>
      <c r="BS22">
        <f t="shared" si="40"/>
        <v>1849.15739003164</v>
      </c>
      <c r="BT22">
        <f t="shared" si="41"/>
        <v>0.84053878073203747</v>
      </c>
      <c r="BU22">
        <f t="shared" si="42"/>
        <v>0.1910775614640752</v>
      </c>
      <c r="BV22">
        <v>0.5</v>
      </c>
      <c r="BW22" t="s">
        <v>281</v>
      </c>
      <c r="BX22">
        <v>1596813475.9000001</v>
      </c>
      <c r="BY22">
        <v>387.48983870967697</v>
      </c>
      <c r="BZ22">
        <v>399.99751612903202</v>
      </c>
      <c r="CA22">
        <v>19.357790322580598</v>
      </c>
      <c r="CB22">
        <v>17.202570967741899</v>
      </c>
      <c r="CC22">
        <v>500.05461290322597</v>
      </c>
      <c r="CD22">
        <v>99.722777419354799</v>
      </c>
      <c r="CE22">
        <v>0.20001009677419401</v>
      </c>
      <c r="CF22">
        <v>26.7666258064516</v>
      </c>
      <c r="CG22">
        <v>27.019325806451601</v>
      </c>
      <c r="CH22">
        <v>999.9</v>
      </c>
      <c r="CI22">
        <v>10008.357741935501</v>
      </c>
      <c r="CJ22">
        <v>0</v>
      </c>
      <c r="CK22">
        <v>263.20293548387099</v>
      </c>
      <c r="CL22">
        <v>2199.96677419355</v>
      </c>
      <c r="CM22">
        <v>0.98200019354838697</v>
      </c>
      <c r="CN22">
        <v>1.8000096774193501E-2</v>
      </c>
      <c r="CO22">
        <v>0</v>
      </c>
      <c r="CP22">
        <v>257.81883870967698</v>
      </c>
      <c r="CQ22">
        <v>5.00054</v>
      </c>
      <c r="CR22">
        <v>8100.5158064516099</v>
      </c>
      <c r="CS22">
        <v>20590.2193548387</v>
      </c>
      <c r="CT22">
        <v>48.048064516129003</v>
      </c>
      <c r="CU22">
        <v>49.689258064516103</v>
      </c>
      <c r="CV22">
        <v>48.376838709677401</v>
      </c>
      <c r="CW22">
        <v>48.336451612903197</v>
      </c>
      <c r="CX22">
        <v>49.435129032257997</v>
      </c>
      <c r="CY22">
        <v>2155.4567741935498</v>
      </c>
      <c r="CZ22">
        <v>39.51</v>
      </c>
      <c r="DA22">
        <v>0</v>
      </c>
      <c r="DB22">
        <v>113.60000014305101</v>
      </c>
      <c r="DC22">
        <v>257.815</v>
      </c>
      <c r="DD22">
        <v>-0.16946151531662401</v>
      </c>
      <c r="DE22">
        <v>0.37461520035789497</v>
      </c>
      <c r="DF22">
        <v>8101.2016000000003</v>
      </c>
      <c r="DG22">
        <v>15</v>
      </c>
      <c r="DH22">
        <v>1596813510.4000001</v>
      </c>
      <c r="DI22" t="s">
        <v>314</v>
      </c>
      <c r="DJ22">
        <v>6</v>
      </c>
      <c r="DK22">
        <v>-0.38200000000000001</v>
      </c>
      <c r="DL22">
        <v>0.129</v>
      </c>
      <c r="DM22">
        <v>400</v>
      </c>
      <c r="DN22">
        <v>17</v>
      </c>
      <c r="DO22">
        <v>0.15</v>
      </c>
      <c r="DP22">
        <v>0.05</v>
      </c>
      <c r="DQ22">
        <v>387.49715384615399</v>
      </c>
      <c r="DR22">
        <v>-0.297935627080958</v>
      </c>
      <c r="DS22">
        <v>3.9319394615117298E-2</v>
      </c>
      <c r="DT22">
        <v>1</v>
      </c>
      <c r="DU22">
        <v>19.346509615384601</v>
      </c>
      <c r="DV22">
        <v>7.6253222914705099E-2</v>
      </c>
      <c r="DW22">
        <v>9.8020064589502097E-3</v>
      </c>
      <c r="DX22">
        <v>1</v>
      </c>
      <c r="DY22">
        <v>2</v>
      </c>
      <c r="DZ22">
        <v>2</v>
      </c>
      <c r="EA22" t="s">
        <v>299</v>
      </c>
      <c r="EB22">
        <v>1.86676</v>
      </c>
      <c r="EC22">
        <v>1.8632599999999999</v>
      </c>
      <c r="ED22">
        <v>1.86896</v>
      </c>
      <c r="EE22">
        <v>1.8668899999999999</v>
      </c>
      <c r="EF22">
        <v>1.87155</v>
      </c>
      <c r="EG22">
        <v>1.86405</v>
      </c>
      <c r="EH22">
        <v>1.8656900000000001</v>
      </c>
      <c r="EI22">
        <v>1.86561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-0.38200000000000001</v>
      </c>
      <c r="EX22">
        <v>0.129</v>
      </c>
      <c r="EY22">
        <v>2</v>
      </c>
      <c r="EZ22">
        <v>347.93400000000003</v>
      </c>
      <c r="FA22">
        <v>539.91</v>
      </c>
      <c r="FB22">
        <v>21.051300000000001</v>
      </c>
      <c r="FC22">
        <v>29.523900000000001</v>
      </c>
      <c r="FD22">
        <v>30.000599999999999</v>
      </c>
      <c r="FE22">
        <v>29.421399999999998</v>
      </c>
      <c r="FF22">
        <v>29.410599999999999</v>
      </c>
      <c r="FG22">
        <v>21.8767</v>
      </c>
      <c r="FH22">
        <v>33.217300000000002</v>
      </c>
      <c r="FI22">
        <v>58.615499999999997</v>
      </c>
      <c r="FJ22">
        <v>21.0306</v>
      </c>
      <c r="FK22">
        <v>400</v>
      </c>
      <c r="FL22">
        <v>17.2804</v>
      </c>
      <c r="FM22">
        <v>101.54300000000001</v>
      </c>
      <c r="FN22">
        <v>101.895</v>
      </c>
    </row>
    <row r="23" spans="1:170" x14ac:dyDescent="0.25">
      <c r="A23">
        <v>7</v>
      </c>
      <c r="B23">
        <v>1596813601.9000001</v>
      </c>
      <c r="C23">
        <v>723.60000014305103</v>
      </c>
      <c r="D23" t="s">
        <v>315</v>
      </c>
      <c r="E23" t="s">
        <v>316</v>
      </c>
      <c r="G23">
        <v>1596813593.9000001</v>
      </c>
      <c r="H23">
        <f t="shared" si="0"/>
        <v>5.3470319429135089E-3</v>
      </c>
      <c r="I23">
        <f t="shared" si="1"/>
        <v>29.832635684344936</v>
      </c>
      <c r="J23">
        <f t="shared" si="2"/>
        <v>387.22677419354801</v>
      </c>
      <c r="K23">
        <f t="shared" si="3"/>
        <v>229.3087806292387</v>
      </c>
      <c r="L23">
        <f t="shared" si="4"/>
        <v>22.914544894082489</v>
      </c>
      <c r="M23">
        <f t="shared" si="5"/>
        <v>38.69509609313846</v>
      </c>
      <c r="N23">
        <f t="shared" si="6"/>
        <v>0.33389136669582392</v>
      </c>
      <c r="O23">
        <f t="shared" si="7"/>
        <v>3.3806037019710993</v>
      </c>
      <c r="P23">
        <f t="shared" si="8"/>
        <v>0.31659282811631201</v>
      </c>
      <c r="Q23">
        <f t="shared" si="9"/>
        <v>0.19935000835933586</v>
      </c>
      <c r="R23">
        <f t="shared" si="10"/>
        <v>353.33477292443473</v>
      </c>
      <c r="S23">
        <f t="shared" si="11"/>
        <v>27.451421873430444</v>
      </c>
      <c r="T23">
        <f t="shared" si="12"/>
        <v>27.0641838709677</v>
      </c>
      <c r="U23">
        <f t="shared" si="13"/>
        <v>3.5926741906264734</v>
      </c>
      <c r="V23">
        <f t="shared" si="14"/>
        <v>55.029813589143671</v>
      </c>
      <c r="W23">
        <f t="shared" si="15"/>
        <v>1.9517678392928191</v>
      </c>
      <c r="X23">
        <f t="shared" si="16"/>
        <v>3.5467462308065412</v>
      </c>
      <c r="Y23">
        <f t="shared" si="17"/>
        <v>1.6409063513336544</v>
      </c>
      <c r="Z23">
        <f t="shared" si="18"/>
        <v>-235.80410868248575</v>
      </c>
      <c r="AA23">
        <f t="shared" si="19"/>
        <v>-39.912104625859449</v>
      </c>
      <c r="AB23">
        <f t="shared" si="20"/>
        <v>-2.5467633842680253</v>
      </c>
      <c r="AC23">
        <f t="shared" si="21"/>
        <v>75.07179623182148</v>
      </c>
      <c r="AD23">
        <v>-4.11474562583697E-2</v>
      </c>
      <c r="AE23">
        <v>4.6191624365169097E-2</v>
      </c>
      <c r="AF23">
        <v>3.45281027827424</v>
      </c>
      <c r="AG23">
        <v>133</v>
      </c>
      <c r="AH23">
        <v>27</v>
      </c>
      <c r="AI23">
        <f t="shared" si="22"/>
        <v>1</v>
      </c>
      <c r="AJ23">
        <f t="shared" si="23"/>
        <v>0</v>
      </c>
      <c r="AK23">
        <f t="shared" si="24"/>
        <v>52507.244543016648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317</v>
      </c>
      <c r="AS23">
        <v>258.02184</v>
      </c>
      <c r="AT23">
        <v>352.03899999999999</v>
      </c>
      <c r="AU23">
        <f t="shared" si="27"/>
        <v>0.26706461500004264</v>
      </c>
      <c r="AV23">
        <v>0.5</v>
      </c>
      <c r="AW23">
        <f t="shared" si="28"/>
        <v>1849.1720029349365</v>
      </c>
      <c r="AX23">
        <f t="shared" si="29"/>
        <v>29.832635684344936</v>
      </c>
      <c r="AY23">
        <f t="shared" si="30"/>
        <v>246.92420451633825</v>
      </c>
      <c r="AZ23">
        <f t="shared" si="31"/>
        <v>0.49107911339368648</v>
      </c>
      <c r="BA23">
        <f t="shared" si="32"/>
        <v>1.6673752163351235E-2</v>
      </c>
      <c r="BB23">
        <f t="shared" si="33"/>
        <v>-1</v>
      </c>
      <c r="BC23" t="s">
        <v>318</v>
      </c>
      <c r="BD23">
        <v>179.16</v>
      </c>
      <c r="BE23">
        <f t="shared" si="34"/>
        <v>172.87899999999999</v>
      </c>
      <c r="BF23">
        <f t="shared" si="35"/>
        <v>0.54383216006571067</v>
      </c>
      <c r="BG23">
        <f t="shared" si="36"/>
        <v>1.9649419513284214</v>
      </c>
      <c r="BH23">
        <f t="shared" si="37"/>
        <v>0.26706461500004258</v>
      </c>
      <c r="BI23" t="e">
        <f t="shared" si="38"/>
        <v>#DIV/0!</v>
      </c>
      <c r="BJ23">
        <v>5713</v>
      </c>
      <c r="BK23">
        <v>300</v>
      </c>
      <c r="BL23">
        <v>300</v>
      </c>
      <c r="BM23">
        <v>300</v>
      </c>
      <c r="BN23">
        <v>9858.77</v>
      </c>
      <c r="BO23">
        <v>323.57799999999997</v>
      </c>
      <c r="BP23">
        <v>-6.3945199999999999E-3</v>
      </c>
      <c r="BQ23">
        <v>0.96853599999999995</v>
      </c>
      <c r="BR23">
        <f t="shared" si="39"/>
        <v>2199.98451612903</v>
      </c>
      <c r="BS23">
        <f t="shared" si="40"/>
        <v>1849.1720029349365</v>
      </c>
      <c r="BT23">
        <f t="shared" si="41"/>
        <v>0.84053864442129633</v>
      </c>
      <c r="BU23">
        <f t="shared" si="42"/>
        <v>0.19107728884259281</v>
      </c>
      <c r="BV23">
        <v>0.5</v>
      </c>
      <c r="BW23" t="s">
        <v>281</v>
      </c>
      <c r="BX23">
        <v>1596813593.9000001</v>
      </c>
      <c r="BY23">
        <v>387.22677419354801</v>
      </c>
      <c r="BZ23">
        <v>399.98683870967699</v>
      </c>
      <c r="CA23">
        <v>19.531590322580598</v>
      </c>
      <c r="CB23">
        <v>17.4347483870968</v>
      </c>
      <c r="CC23">
        <v>500.04683870967699</v>
      </c>
      <c r="CD23">
        <v>99.728732258064497</v>
      </c>
      <c r="CE23">
        <v>0.200039903225806</v>
      </c>
      <c r="CF23">
        <v>26.845193548387101</v>
      </c>
      <c r="CG23">
        <v>27.0641838709677</v>
      </c>
      <c r="CH23">
        <v>999.9</v>
      </c>
      <c r="CI23">
        <v>9949.9</v>
      </c>
      <c r="CJ23">
        <v>0</v>
      </c>
      <c r="CK23">
        <v>274.840709677419</v>
      </c>
      <c r="CL23">
        <v>2199.98451612903</v>
      </c>
      <c r="CM23">
        <v>0.98200412903225798</v>
      </c>
      <c r="CN23">
        <v>1.7995964516129E-2</v>
      </c>
      <c r="CO23">
        <v>0</v>
      </c>
      <c r="CP23">
        <v>258.01254838709701</v>
      </c>
      <c r="CQ23">
        <v>5.00054</v>
      </c>
      <c r="CR23">
        <v>8138.6032258064497</v>
      </c>
      <c r="CS23">
        <v>20590.409677419299</v>
      </c>
      <c r="CT23">
        <v>48.667064516129003</v>
      </c>
      <c r="CU23">
        <v>50.390838709677404</v>
      </c>
      <c r="CV23">
        <v>49.0400322580645</v>
      </c>
      <c r="CW23">
        <v>49.0119677419355</v>
      </c>
      <c r="CX23">
        <v>50.050064516128998</v>
      </c>
      <c r="CY23">
        <v>2155.4841935483901</v>
      </c>
      <c r="CZ23">
        <v>39.500322580645197</v>
      </c>
      <c r="DA23">
        <v>0</v>
      </c>
      <c r="DB23">
        <v>117.200000047684</v>
      </c>
      <c r="DC23">
        <v>258.02184</v>
      </c>
      <c r="DD23">
        <v>0.368846143101762</v>
      </c>
      <c r="DE23">
        <v>26.425384595413501</v>
      </c>
      <c r="DF23">
        <v>8138.6264000000001</v>
      </c>
      <c r="DG23">
        <v>15</v>
      </c>
      <c r="DH23">
        <v>1596813627.9000001</v>
      </c>
      <c r="DI23" t="s">
        <v>319</v>
      </c>
      <c r="DJ23">
        <v>7</v>
      </c>
      <c r="DK23">
        <v>-0.40300000000000002</v>
      </c>
      <c r="DL23">
        <v>0.13200000000000001</v>
      </c>
      <c r="DM23">
        <v>400</v>
      </c>
      <c r="DN23">
        <v>17</v>
      </c>
      <c r="DO23">
        <v>0.19</v>
      </c>
      <c r="DP23">
        <v>0.05</v>
      </c>
      <c r="DQ23">
        <v>387.234057692308</v>
      </c>
      <c r="DR23">
        <v>0.17355587808426301</v>
      </c>
      <c r="DS23">
        <v>2.58452595426765E-2</v>
      </c>
      <c r="DT23">
        <v>1</v>
      </c>
      <c r="DU23">
        <v>19.530117307692301</v>
      </c>
      <c r="DV23">
        <v>-1.90347477162029E-2</v>
      </c>
      <c r="DW23">
        <v>2.7884874004105598E-3</v>
      </c>
      <c r="DX23">
        <v>1</v>
      </c>
      <c r="DY23">
        <v>2</v>
      </c>
      <c r="DZ23">
        <v>2</v>
      </c>
      <c r="EA23" t="s">
        <v>299</v>
      </c>
      <c r="EB23">
        <v>1.86676</v>
      </c>
      <c r="EC23">
        <v>1.8632500000000001</v>
      </c>
      <c r="ED23">
        <v>1.8689199999999999</v>
      </c>
      <c r="EE23">
        <v>1.8668800000000001</v>
      </c>
      <c r="EF23">
        <v>1.8714999999999999</v>
      </c>
      <c r="EG23">
        <v>1.8640099999999999</v>
      </c>
      <c r="EH23">
        <v>1.8656900000000001</v>
      </c>
      <c r="EI23">
        <v>1.8655900000000001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-0.40300000000000002</v>
      </c>
      <c r="EX23">
        <v>0.13200000000000001</v>
      </c>
      <c r="EY23">
        <v>2</v>
      </c>
      <c r="EZ23">
        <v>349.68200000000002</v>
      </c>
      <c r="FA23">
        <v>538.84199999999998</v>
      </c>
      <c r="FB23">
        <v>20.131399999999999</v>
      </c>
      <c r="FC23">
        <v>29.688099999999999</v>
      </c>
      <c r="FD23">
        <v>30.001000000000001</v>
      </c>
      <c r="FE23">
        <v>29.596900000000002</v>
      </c>
      <c r="FF23">
        <v>29.589099999999998</v>
      </c>
      <c r="FG23">
        <v>21.891100000000002</v>
      </c>
      <c r="FH23">
        <v>32.231299999999997</v>
      </c>
      <c r="FI23">
        <v>57.114800000000002</v>
      </c>
      <c r="FJ23">
        <v>20.0867</v>
      </c>
      <c r="FK23">
        <v>400</v>
      </c>
      <c r="FL23">
        <v>17.5288</v>
      </c>
      <c r="FM23">
        <v>101.514</v>
      </c>
      <c r="FN23">
        <v>101.871</v>
      </c>
    </row>
    <row r="24" spans="1:170" x14ac:dyDescent="0.25">
      <c r="A24">
        <v>8</v>
      </c>
      <c r="B24">
        <v>1596813719.4000001</v>
      </c>
      <c r="C24">
        <v>841.10000014305103</v>
      </c>
      <c r="D24" t="s">
        <v>320</v>
      </c>
      <c r="E24" t="s">
        <v>321</v>
      </c>
      <c r="G24">
        <v>1596813711.4000001</v>
      </c>
      <c r="H24">
        <f t="shared" si="0"/>
        <v>5.2799820347838389E-3</v>
      </c>
      <c r="I24">
        <f t="shared" si="1"/>
        <v>36.134247746316987</v>
      </c>
      <c r="J24">
        <f t="shared" si="2"/>
        <v>484.49248387096799</v>
      </c>
      <c r="K24">
        <f t="shared" si="3"/>
        <v>290.05277281513725</v>
      </c>
      <c r="L24">
        <f t="shared" si="4"/>
        <v>28.98645861083077</v>
      </c>
      <c r="M24">
        <f t="shared" si="5"/>
        <v>48.417814436599301</v>
      </c>
      <c r="N24">
        <f t="shared" si="6"/>
        <v>0.32857402699405308</v>
      </c>
      <c r="O24">
        <f t="shared" si="7"/>
        <v>3.3961759714502806</v>
      </c>
      <c r="P24">
        <f t="shared" si="8"/>
        <v>0.31187989750046546</v>
      </c>
      <c r="Q24">
        <f t="shared" si="9"/>
        <v>0.19635412981851857</v>
      </c>
      <c r="R24">
        <f t="shared" si="10"/>
        <v>353.33766575650333</v>
      </c>
      <c r="S24">
        <f t="shared" si="11"/>
        <v>27.341160767849694</v>
      </c>
      <c r="T24">
        <f t="shared" si="12"/>
        <v>27.0084870967742</v>
      </c>
      <c r="U24">
        <f t="shared" si="13"/>
        <v>3.5809441782718561</v>
      </c>
      <c r="V24">
        <f t="shared" si="14"/>
        <v>54.975240895893322</v>
      </c>
      <c r="W24">
        <f t="shared" si="15"/>
        <v>1.9357867914086424</v>
      </c>
      <c r="X24">
        <f t="shared" si="16"/>
        <v>3.5211974697381394</v>
      </c>
      <c r="Y24">
        <f t="shared" si="17"/>
        <v>1.6451573868632137</v>
      </c>
      <c r="Z24">
        <f t="shared" si="18"/>
        <v>-232.84720773396731</v>
      </c>
      <c r="AA24">
        <f t="shared" si="19"/>
        <v>-52.399323162553678</v>
      </c>
      <c r="AB24">
        <f t="shared" si="20"/>
        <v>-3.3252618026599494</v>
      </c>
      <c r="AC24">
        <f t="shared" si="21"/>
        <v>64.765873057322381</v>
      </c>
      <c r="AD24">
        <v>-4.1388482977201199E-2</v>
      </c>
      <c r="AE24">
        <v>4.6462197972157802E-2</v>
      </c>
      <c r="AF24">
        <v>3.4688055074147699</v>
      </c>
      <c r="AG24">
        <v>134</v>
      </c>
      <c r="AH24">
        <v>27</v>
      </c>
      <c r="AI24">
        <f t="shared" si="22"/>
        <v>1</v>
      </c>
      <c r="AJ24">
        <f t="shared" si="23"/>
        <v>0</v>
      </c>
      <c r="AK24">
        <f t="shared" si="24"/>
        <v>52824.151839922677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322</v>
      </c>
      <c r="AS24">
        <v>261.53552000000002</v>
      </c>
      <c r="AT24">
        <v>368.46100000000001</v>
      </c>
      <c r="AU24">
        <f t="shared" si="27"/>
        <v>0.29019483744548269</v>
      </c>
      <c r="AV24">
        <v>0.5</v>
      </c>
      <c r="AW24">
        <f t="shared" si="28"/>
        <v>1849.1818260369719</v>
      </c>
      <c r="AX24">
        <f t="shared" si="29"/>
        <v>36.134247746316987</v>
      </c>
      <c r="AY24">
        <f t="shared" si="30"/>
        <v>268.31150970696996</v>
      </c>
      <c r="AZ24">
        <f t="shared" si="31"/>
        <v>0.51300137599366014</v>
      </c>
      <c r="BA24">
        <f t="shared" si="32"/>
        <v>2.0081447493944027E-2</v>
      </c>
      <c r="BB24">
        <f t="shared" si="33"/>
        <v>-1</v>
      </c>
      <c r="BC24" t="s">
        <v>323</v>
      </c>
      <c r="BD24">
        <v>179.44</v>
      </c>
      <c r="BE24">
        <f t="shared" si="34"/>
        <v>189.02100000000002</v>
      </c>
      <c r="BF24">
        <f t="shared" si="35"/>
        <v>0.56568042704249788</v>
      </c>
      <c r="BG24">
        <f t="shared" si="36"/>
        <v>2.0533938921087831</v>
      </c>
      <c r="BH24">
        <f t="shared" si="37"/>
        <v>0.29019483744548269</v>
      </c>
      <c r="BI24" t="e">
        <f t="shared" si="38"/>
        <v>#DIV/0!</v>
      </c>
      <c r="BJ24">
        <v>5715</v>
      </c>
      <c r="BK24">
        <v>300</v>
      </c>
      <c r="BL24">
        <v>300</v>
      </c>
      <c r="BM24">
        <v>300</v>
      </c>
      <c r="BN24">
        <v>9857.07</v>
      </c>
      <c r="BO24">
        <v>336.10399999999998</v>
      </c>
      <c r="BP24">
        <v>-6.3931500000000002E-3</v>
      </c>
      <c r="BQ24">
        <v>0.90182499999999999</v>
      </c>
      <c r="BR24">
        <f t="shared" si="39"/>
        <v>2199.99548387097</v>
      </c>
      <c r="BS24">
        <f t="shared" si="40"/>
        <v>1849.1818260369719</v>
      </c>
      <c r="BT24">
        <f t="shared" si="41"/>
        <v>0.84053891909962963</v>
      </c>
      <c r="BU24">
        <f t="shared" si="42"/>
        <v>0.19107783819925928</v>
      </c>
      <c r="BV24">
        <v>0.5</v>
      </c>
      <c r="BW24" t="s">
        <v>281</v>
      </c>
      <c r="BX24">
        <v>1596813711.4000001</v>
      </c>
      <c r="BY24">
        <v>484.49248387096799</v>
      </c>
      <c r="BZ24">
        <v>499.96767741935503</v>
      </c>
      <c r="CA24">
        <v>19.370435483870999</v>
      </c>
      <c r="CB24">
        <v>17.2995870967742</v>
      </c>
      <c r="CC24">
        <v>500.056548387097</v>
      </c>
      <c r="CD24">
        <v>99.735125806451606</v>
      </c>
      <c r="CE24">
        <v>0.199994032258065</v>
      </c>
      <c r="CF24">
        <v>26.722300000000001</v>
      </c>
      <c r="CG24">
        <v>27.0084870967742</v>
      </c>
      <c r="CH24">
        <v>999.9</v>
      </c>
      <c r="CI24">
        <v>10007.541290322601</v>
      </c>
      <c r="CJ24">
        <v>0</v>
      </c>
      <c r="CK24">
        <v>289.14293548387099</v>
      </c>
      <c r="CL24">
        <v>2199.99548387097</v>
      </c>
      <c r="CM24">
        <v>0.98199348387096796</v>
      </c>
      <c r="CN24">
        <v>1.8006261290322598E-2</v>
      </c>
      <c r="CO24">
        <v>0</v>
      </c>
      <c r="CP24">
        <v>261.54709677419402</v>
      </c>
      <c r="CQ24">
        <v>5.00054</v>
      </c>
      <c r="CR24">
        <v>8246.5493548387094</v>
      </c>
      <c r="CS24">
        <v>20590.451612903202</v>
      </c>
      <c r="CT24">
        <v>49.239774193548399</v>
      </c>
      <c r="CU24">
        <v>51.003870967741904</v>
      </c>
      <c r="CV24">
        <v>49.652999999999999</v>
      </c>
      <c r="CW24">
        <v>49.582322580645098</v>
      </c>
      <c r="CX24">
        <v>50.5783225806451</v>
      </c>
      <c r="CY24">
        <v>2155.4738709677399</v>
      </c>
      <c r="CZ24">
        <v>39.520645161290297</v>
      </c>
      <c r="DA24">
        <v>0</v>
      </c>
      <c r="DB24">
        <v>116.60000014305101</v>
      </c>
      <c r="DC24">
        <v>261.53552000000002</v>
      </c>
      <c r="DD24">
        <v>0.90892307926490001</v>
      </c>
      <c r="DE24">
        <v>7.2607692036881</v>
      </c>
      <c r="DF24">
        <v>8246.2667999999994</v>
      </c>
      <c r="DG24">
        <v>15</v>
      </c>
      <c r="DH24">
        <v>1596813744.9000001</v>
      </c>
      <c r="DI24" t="s">
        <v>324</v>
      </c>
      <c r="DJ24">
        <v>8</v>
      </c>
      <c r="DK24">
        <v>-0.32</v>
      </c>
      <c r="DL24">
        <v>0.129</v>
      </c>
      <c r="DM24">
        <v>500</v>
      </c>
      <c r="DN24">
        <v>17</v>
      </c>
      <c r="DO24">
        <v>0.1</v>
      </c>
      <c r="DP24">
        <v>0.04</v>
      </c>
      <c r="DQ24">
        <v>484.39536538461499</v>
      </c>
      <c r="DR24">
        <v>0.16130282591987599</v>
      </c>
      <c r="DS24">
        <v>2.7626651601278401E-2</v>
      </c>
      <c r="DT24">
        <v>1</v>
      </c>
      <c r="DU24">
        <v>19.378369230769199</v>
      </c>
      <c r="DV24">
        <v>-5.43662597114348E-2</v>
      </c>
      <c r="DW24">
        <v>7.5675557089646397E-3</v>
      </c>
      <c r="DX24">
        <v>1</v>
      </c>
      <c r="DY24">
        <v>2</v>
      </c>
      <c r="DZ24">
        <v>2</v>
      </c>
      <c r="EA24" t="s">
        <v>299</v>
      </c>
      <c r="EB24">
        <v>1.86676</v>
      </c>
      <c r="EC24">
        <v>1.8632500000000001</v>
      </c>
      <c r="ED24">
        <v>1.86896</v>
      </c>
      <c r="EE24">
        <v>1.8669</v>
      </c>
      <c r="EF24">
        <v>1.87151</v>
      </c>
      <c r="EG24">
        <v>1.86405</v>
      </c>
      <c r="EH24">
        <v>1.8656900000000001</v>
      </c>
      <c r="EI24">
        <v>1.86558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-0.32</v>
      </c>
      <c r="EX24">
        <v>0.129</v>
      </c>
      <c r="EY24">
        <v>2</v>
      </c>
      <c r="EZ24">
        <v>348.61799999999999</v>
      </c>
      <c r="FA24">
        <v>537.41</v>
      </c>
      <c r="FB24">
        <v>20.4087</v>
      </c>
      <c r="FC24">
        <v>29.878399999999999</v>
      </c>
      <c r="FD24">
        <v>30.000699999999998</v>
      </c>
      <c r="FE24">
        <v>29.779299999999999</v>
      </c>
      <c r="FF24">
        <v>29.771899999999999</v>
      </c>
      <c r="FG24">
        <v>26.162800000000001</v>
      </c>
      <c r="FH24">
        <v>32.726300000000002</v>
      </c>
      <c r="FI24">
        <v>55.994300000000003</v>
      </c>
      <c r="FJ24">
        <v>20.4056</v>
      </c>
      <c r="FK24">
        <v>500</v>
      </c>
      <c r="FL24">
        <v>17.361799999999999</v>
      </c>
      <c r="FM24">
        <v>101.477</v>
      </c>
      <c r="FN24">
        <v>101.837</v>
      </c>
    </row>
    <row r="25" spans="1:170" x14ac:dyDescent="0.25">
      <c r="A25">
        <v>9</v>
      </c>
      <c r="B25">
        <v>1596813839.9000001</v>
      </c>
      <c r="C25">
        <v>961.60000014305103</v>
      </c>
      <c r="D25" t="s">
        <v>325</v>
      </c>
      <c r="E25" t="s">
        <v>326</v>
      </c>
      <c r="G25">
        <v>1596813831.9000001</v>
      </c>
      <c r="H25">
        <f t="shared" si="0"/>
        <v>4.8544220453215128E-3</v>
      </c>
      <c r="I25">
        <f t="shared" si="1"/>
        <v>41.279039956976767</v>
      </c>
      <c r="J25">
        <f t="shared" si="2"/>
        <v>582.31183870967698</v>
      </c>
      <c r="K25">
        <f t="shared" si="3"/>
        <v>339.83747558384977</v>
      </c>
      <c r="L25">
        <f t="shared" si="4"/>
        <v>33.962702234746999</v>
      </c>
      <c r="M25">
        <f t="shared" si="5"/>
        <v>58.195122688831098</v>
      </c>
      <c r="N25">
        <f t="shared" si="6"/>
        <v>0.29915790508303614</v>
      </c>
      <c r="O25">
        <f t="shared" si="7"/>
        <v>3.3934166769541916</v>
      </c>
      <c r="P25">
        <f t="shared" si="8"/>
        <v>0.28524040395575534</v>
      </c>
      <c r="Q25">
        <f t="shared" si="9"/>
        <v>0.17947171971573195</v>
      </c>
      <c r="R25">
        <f t="shared" si="10"/>
        <v>353.33618700170393</v>
      </c>
      <c r="S25">
        <f t="shared" si="11"/>
        <v>27.39567120541485</v>
      </c>
      <c r="T25">
        <f t="shared" si="12"/>
        <v>27.0174709677419</v>
      </c>
      <c r="U25">
        <f t="shared" si="13"/>
        <v>3.5828339609473843</v>
      </c>
      <c r="V25">
        <f t="shared" si="14"/>
        <v>54.91721477685082</v>
      </c>
      <c r="W25">
        <f t="shared" si="15"/>
        <v>1.9289189199020187</v>
      </c>
      <c r="X25">
        <f t="shared" si="16"/>
        <v>3.5124121420577095</v>
      </c>
      <c r="Y25">
        <f t="shared" si="17"/>
        <v>1.6539150410453656</v>
      </c>
      <c r="Z25">
        <f t="shared" si="18"/>
        <v>-214.0800121986787</v>
      </c>
      <c r="AA25">
        <f t="shared" si="19"/>
        <v>-61.764299494162579</v>
      </c>
      <c r="AB25">
        <f t="shared" si="20"/>
        <v>-3.9220943736285987</v>
      </c>
      <c r="AC25">
        <f t="shared" si="21"/>
        <v>73.569780935234036</v>
      </c>
      <c r="AD25">
        <v>-4.13457384017758E-2</v>
      </c>
      <c r="AE25">
        <v>4.6414213441612298E-2</v>
      </c>
      <c r="AF25">
        <v>3.4659712036780701</v>
      </c>
      <c r="AG25">
        <v>134</v>
      </c>
      <c r="AH25">
        <v>27</v>
      </c>
      <c r="AI25">
        <f t="shared" si="22"/>
        <v>1</v>
      </c>
      <c r="AJ25">
        <f t="shared" si="23"/>
        <v>0</v>
      </c>
      <c r="AK25">
        <f t="shared" si="24"/>
        <v>52779.365518018596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327</v>
      </c>
      <c r="AS25">
        <v>265.33931999999999</v>
      </c>
      <c r="AT25">
        <v>384.95499999999998</v>
      </c>
      <c r="AU25">
        <f t="shared" si="27"/>
        <v>0.31072639659180945</v>
      </c>
      <c r="AV25">
        <v>0.5</v>
      </c>
      <c r="AW25">
        <f t="shared" si="28"/>
        <v>1849.1742190638236</v>
      </c>
      <c r="AX25">
        <f t="shared" si="29"/>
        <v>41.279039956976767</v>
      </c>
      <c r="AY25">
        <f t="shared" si="30"/>
        <v>287.29362088008759</v>
      </c>
      <c r="AZ25">
        <f t="shared" si="31"/>
        <v>0.52825654946682077</v>
      </c>
      <c r="BA25">
        <f t="shared" si="32"/>
        <v>2.2863740755795992E-2</v>
      </c>
      <c r="BB25">
        <f t="shared" si="33"/>
        <v>-1</v>
      </c>
      <c r="BC25" t="s">
        <v>328</v>
      </c>
      <c r="BD25">
        <v>181.6</v>
      </c>
      <c r="BE25">
        <f t="shared" si="34"/>
        <v>203.35499999999999</v>
      </c>
      <c r="BF25">
        <f t="shared" si="35"/>
        <v>0.5882111578274446</v>
      </c>
      <c r="BG25">
        <f t="shared" si="36"/>
        <v>2.1197962555066079</v>
      </c>
      <c r="BH25">
        <f t="shared" si="37"/>
        <v>0.31072639659180945</v>
      </c>
      <c r="BI25" t="e">
        <f t="shared" si="38"/>
        <v>#DIV/0!</v>
      </c>
      <c r="BJ25">
        <v>5717</v>
      </c>
      <c r="BK25">
        <v>300</v>
      </c>
      <c r="BL25">
        <v>300</v>
      </c>
      <c r="BM25">
        <v>300</v>
      </c>
      <c r="BN25">
        <v>9855.68</v>
      </c>
      <c r="BO25">
        <v>347.57799999999997</v>
      </c>
      <c r="BP25">
        <v>-6.3919900000000002E-3</v>
      </c>
      <c r="BQ25">
        <v>1.46692</v>
      </c>
      <c r="BR25">
        <f t="shared" si="39"/>
        <v>2199.9864516129001</v>
      </c>
      <c r="BS25">
        <f t="shared" si="40"/>
        <v>1849.1742190638236</v>
      </c>
      <c r="BT25">
        <f t="shared" si="41"/>
        <v>0.84053891227744526</v>
      </c>
      <c r="BU25">
        <f t="shared" si="42"/>
        <v>0.1910778245548905</v>
      </c>
      <c r="BV25">
        <v>0.5</v>
      </c>
      <c r="BW25" t="s">
        <v>281</v>
      </c>
      <c r="BX25">
        <v>1596813831.9000001</v>
      </c>
      <c r="BY25">
        <v>582.31183870967698</v>
      </c>
      <c r="BZ25">
        <v>599.95222580645202</v>
      </c>
      <c r="CA25">
        <v>19.301141935483901</v>
      </c>
      <c r="CB25">
        <v>17.397061290322601</v>
      </c>
      <c r="CC25">
        <v>500.055096774194</v>
      </c>
      <c r="CD25">
        <v>99.738070967741905</v>
      </c>
      <c r="CE25">
        <v>0.20000141935483901</v>
      </c>
      <c r="CF25">
        <v>26.679861290322599</v>
      </c>
      <c r="CG25">
        <v>27.0174709677419</v>
      </c>
      <c r="CH25">
        <v>999.9</v>
      </c>
      <c r="CI25">
        <v>9996.9106451612897</v>
      </c>
      <c r="CJ25">
        <v>0</v>
      </c>
      <c r="CK25">
        <v>300.32483870967701</v>
      </c>
      <c r="CL25">
        <v>2199.9864516129001</v>
      </c>
      <c r="CM25">
        <v>0.98199638709677395</v>
      </c>
      <c r="CN25">
        <v>1.8004093548387098E-2</v>
      </c>
      <c r="CO25">
        <v>0</v>
      </c>
      <c r="CP25">
        <v>265.34199999999998</v>
      </c>
      <c r="CQ25">
        <v>5.00054</v>
      </c>
      <c r="CR25">
        <v>8360.7496774193605</v>
      </c>
      <c r="CS25">
        <v>20590.377419354802</v>
      </c>
      <c r="CT25">
        <v>49.707322580645098</v>
      </c>
      <c r="CU25">
        <v>51.487774193548397</v>
      </c>
      <c r="CV25">
        <v>50.140999999999998</v>
      </c>
      <c r="CW25">
        <v>49.993838709677398</v>
      </c>
      <c r="CX25">
        <v>51.012</v>
      </c>
      <c r="CY25">
        <v>2155.4664516129001</v>
      </c>
      <c r="CZ25">
        <v>39.520000000000003</v>
      </c>
      <c r="DA25">
        <v>0</v>
      </c>
      <c r="DB25">
        <v>119.80000019073501</v>
      </c>
      <c r="DC25">
        <v>265.33931999999999</v>
      </c>
      <c r="DD25">
        <v>-1.11707691436206</v>
      </c>
      <c r="DE25">
        <v>-18.566153682950599</v>
      </c>
      <c r="DF25">
        <v>8359.9976000000006</v>
      </c>
      <c r="DG25">
        <v>15</v>
      </c>
      <c r="DH25">
        <v>1596813860.9000001</v>
      </c>
      <c r="DI25" t="s">
        <v>329</v>
      </c>
      <c r="DJ25">
        <v>9</v>
      </c>
      <c r="DK25">
        <v>-0.318</v>
      </c>
      <c r="DL25">
        <v>0.128</v>
      </c>
      <c r="DM25">
        <v>600</v>
      </c>
      <c r="DN25">
        <v>17</v>
      </c>
      <c r="DO25">
        <v>0.16</v>
      </c>
      <c r="DP25">
        <v>0.04</v>
      </c>
      <c r="DQ25">
        <v>582.28088461538505</v>
      </c>
      <c r="DR25">
        <v>0.25955775633914502</v>
      </c>
      <c r="DS25">
        <v>4.16148336377603E-2</v>
      </c>
      <c r="DT25">
        <v>1</v>
      </c>
      <c r="DU25">
        <v>19.297748076923099</v>
      </c>
      <c r="DV25">
        <v>4.5945359856555901E-2</v>
      </c>
      <c r="DW25">
        <v>6.4589082902433998E-3</v>
      </c>
      <c r="DX25">
        <v>1</v>
      </c>
      <c r="DY25">
        <v>2</v>
      </c>
      <c r="DZ25">
        <v>2</v>
      </c>
      <c r="EA25" t="s">
        <v>299</v>
      </c>
      <c r="EB25">
        <v>1.8667499999999999</v>
      </c>
      <c r="EC25">
        <v>1.8632500000000001</v>
      </c>
      <c r="ED25">
        <v>1.8689199999999999</v>
      </c>
      <c r="EE25">
        <v>1.8669</v>
      </c>
      <c r="EF25">
        <v>1.8714999999999999</v>
      </c>
      <c r="EG25">
        <v>1.8640600000000001</v>
      </c>
      <c r="EH25">
        <v>1.8656900000000001</v>
      </c>
      <c r="EI25">
        <v>1.8655999999999999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-0.318</v>
      </c>
      <c r="EX25">
        <v>0.128</v>
      </c>
      <c r="EY25">
        <v>2</v>
      </c>
      <c r="EZ25">
        <v>348.24700000000001</v>
      </c>
      <c r="FA25">
        <v>536.24099999999999</v>
      </c>
      <c r="FB25">
        <v>20.022500000000001</v>
      </c>
      <c r="FC25">
        <v>30.032299999999999</v>
      </c>
      <c r="FD25">
        <v>30.000399999999999</v>
      </c>
      <c r="FE25">
        <v>29.946200000000001</v>
      </c>
      <c r="FF25">
        <v>29.9389</v>
      </c>
      <c r="FG25">
        <v>30.306699999999999</v>
      </c>
      <c r="FH25">
        <v>32.425600000000003</v>
      </c>
      <c r="FI25">
        <v>54.493299999999998</v>
      </c>
      <c r="FJ25">
        <v>20.020299999999999</v>
      </c>
      <c r="FK25">
        <v>600</v>
      </c>
      <c r="FL25">
        <v>17.465299999999999</v>
      </c>
      <c r="FM25">
        <v>101.44799999999999</v>
      </c>
      <c r="FN25">
        <v>101.81399999999999</v>
      </c>
    </row>
    <row r="26" spans="1:170" x14ac:dyDescent="0.25">
      <c r="A26">
        <v>10</v>
      </c>
      <c r="B26">
        <v>1596813965.4000001</v>
      </c>
      <c r="C26">
        <v>1087.10000014305</v>
      </c>
      <c r="D26" t="s">
        <v>330</v>
      </c>
      <c r="E26" t="s">
        <v>331</v>
      </c>
      <c r="G26">
        <v>1596813957.4000001</v>
      </c>
      <c r="H26">
        <f t="shared" si="0"/>
        <v>4.5575858288734372E-3</v>
      </c>
      <c r="I26">
        <f t="shared" si="1"/>
        <v>45.214684574680334</v>
      </c>
      <c r="J26">
        <f t="shared" si="2"/>
        <v>680.64577419354805</v>
      </c>
      <c r="K26">
        <f t="shared" si="3"/>
        <v>394.46990615879128</v>
      </c>
      <c r="L26">
        <f t="shared" si="4"/>
        <v>39.41810620596727</v>
      </c>
      <c r="M26">
        <f t="shared" si="5"/>
        <v>68.014738252311545</v>
      </c>
      <c r="N26">
        <f t="shared" si="6"/>
        <v>0.27680111212265757</v>
      </c>
      <c r="O26">
        <f t="shared" si="7"/>
        <v>3.3933456576353809</v>
      </c>
      <c r="P26">
        <f t="shared" si="8"/>
        <v>0.26484112863927461</v>
      </c>
      <c r="Q26">
        <f t="shared" si="9"/>
        <v>0.16655719749045389</v>
      </c>
      <c r="R26">
        <f t="shared" si="10"/>
        <v>353.3377390554574</v>
      </c>
      <c r="S26">
        <f t="shared" si="11"/>
        <v>27.422717721236012</v>
      </c>
      <c r="T26">
        <f t="shared" si="12"/>
        <v>27.060300000000002</v>
      </c>
      <c r="U26">
        <f t="shared" si="13"/>
        <v>3.591855141980008</v>
      </c>
      <c r="V26">
        <f t="shared" si="14"/>
        <v>54.783486601281048</v>
      </c>
      <c r="W26">
        <f t="shared" si="15"/>
        <v>1.9196630057527544</v>
      </c>
      <c r="X26">
        <f t="shared" si="16"/>
        <v>3.5040906025646517</v>
      </c>
      <c r="Y26">
        <f t="shared" si="17"/>
        <v>1.6721921362272536</v>
      </c>
      <c r="Z26">
        <f t="shared" si="18"/>
        <v>-200.98953505331858</v>
      </c>
      <c r="AA26">
        <f t="shared" si="19"/>
        <v>-76.967851844978426</v>
      </c>
      <c r="AB26">
        <f t="shared" si="20"/>
        <v>-4.887700429436924</v>
      </c>
      <c r="AC26">
        <f t="shared" si="21"/>
        <v>70.492651727723498</v>
      </c>
      <c r="AD26">
        <v>-4.1344638439768197E-2</v>
      </c>
      <c r="AE26">
        <v>4.6412978637896798E-2</v>
      </c>
      <c r="AF26">
        <v>3.46589825411866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52784.868751519796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332</v>
      </c>
      <c r="AS26">
        <v>267.17732000000001</v>
      </c>
      <c r="AT26">
        <v>391.553</v>
      </c>
      <c r="AU26">
        <f t="shared" si="27"/>
        <v>0.31764711290680947</v>
      </c>
      <c r="AV26">
        <v>0.5</v>
      </c>
      <c r="AW26">
        <f t="shared" si="28"/>
        <v>1849.1847868058301</v>
      </c>
      <c r="AX26">
        <f t="shared" si="29"/>
        <v>45.214684574680334</v>
      </c>
      <c r="AY26">
        <f t="shared" si="30"/>
        <v>293.69410438003297</v>
      </c>
      <c r="AZ26">
        <f t="shared" si="31"/>
        <v>0.54146692784884809</v>
      </c>
      <c r="BA26">
        <f t="shared" si="32"/>
        <v>2.4991923416430861E-2</v>
      </c>
      <c r="BB26">
        <f t="shared" si="33"/>
        <v>-1</v>
      </c>
      <c r="BC26" t="s">
        <v>333</v>
      </c>
      <c r="BD26">
        <v>179.54</v>
      </c>
      <c r="BE26">
        <f t="shared" si="34"/>
        <v>212.01300000000001</v>
      </c>
      <c r="BF26">
        <f t="shared" si="35"/>
        <v>0.58664176253342948</v>
      </c>
      <c r="BG26">
        <f t="shared" si="36"/>
        <v>2.1808677731981732</v>
      </c>
      <c r="BH26">
        <f t="shared" si="37"/>
        <v>0.31764711290680953</v>
      </c>
      <c r="BI26" t="e">
        <f t="shared" si="38"/>
        <v>#DIV/0!</v>
      </c>
      <c r="BJ26">
        <v>5719</v>
      </c>
      <c r="BK26">
        <v>300</v>
      </c>
      <c r="BL26">
        <v>300</v>
      </c>
      <c r="BM26">
        <v>300</v>
      </c>
      <c r="BN26">
        <v>9854.4699999999993</v>
      </c>
      <c r="BO26">
        <v>353.45</v>
      </c>
      <c r="BP26">
        <v>-6.3909700000000002E-3</v>
      </c>
      <c r="BQ26">
        <v>1.2385299999999999</v>
      </c>
      <c r="BR26">
        <f t="shared" si="39"/>
        <v>2199.9993548387101</v>
      </c>
      <c r="BS26">
        <f t="shared" si="40"/>
        <v>1849.1847868058301</v>
      </c>
      <c r="BT26">
        <f t="shared" si="41"/>
        <v>0.84053878594950793</v>
      </c>
      <c r="BU26">
        <f t="shared" si="42"/>
        <v>0.19107757189901592</v>
      </c>
      <c r="BV26">
        <v>0.5</v>
      </c>
      <c r="BW26" t="s">
        <v>281</v>
      </c>
      <c r="BX26">
        <v>1596813957.4000001</v>
      </c>
      <c r="BY26">
        <v>680.64577419354805</v>
      </c>
      <c r="BZ26">
        <v>699.97022580645205</v>
      </c>
      <c r="CA26">
        <v>19.210696774193501</v>
      </c>
      <c r="CB26">
        <v>17.422893548387101</v>
      </c>
      <c r="CC26">
        <v>500.05854838709701</v>
      </c>
      <c r="CD26">
        <v>99.726706451612898</v>
      </c>
      <c r="CE26">
        <v>0.20007019354838701</v>
      </c>
      <c r="CF26">
        <v>26.639577419354801</v>
      </c>
      <c r="CG26">
        <v>27.060300000000002</v>
      </c>
      <c r="CH26">
        <v>999.9</v>
      </c>
      <c r="CI26">
        <v>9997.7838709677399</v>
      </c>
      <c r="CJ26">
        <v>0</v>
      </c>
      <c r="CK26">
        <v>303.811193548387</v>
      </c>
      <c r="CL26">
        <v>2199.9993548387101</v>
      </c>
      <c r="CM26">
        <v>0.98199838709677401</v>
      </c>
      <c r="CN26">
        <v>1.80019935483871E-2</v>
      </c>
      <c r="CO26">
        <v>0</v>
      </c>
      <c r="CP26">
        <v>267.19370967741901</v>
      </c>
      <c r="CQ26">
        <v>5.00054</v>
      </c>
      <c r="CR26">
        <v>8425.7954838709702</v>
      </c>
      <c r="CS26">
        <v>20590.506451612899</v>
      </c>
      <c r="CT26">
        <v>50.139000000000003</v>
      </c>
      <c r="CU26">
        <v>51.919161290322599</v>
      </c>
      <c r="CV26">
        <v>50.600548387096801</v>
      </c>
      <c r="CW26">
        <v>50.392870967741899</v>
      </c>
      <c r="CX26">
        <v>51.417064516129003</v>
      </c>
      <c r="CY26">
        <v>2155.4883870967701</v>
      </c>
      <c r="CZ26">
        <v>39.510967741935502</v>
      </c>
      <c r="DA26">
        <v>0</v>
      </c>
      <c r="DB26">
        <v>125</v>
      </c>
      <c r="DC26">
        <v>267.17732000000001</v>
      </c>
      <c r="DD26">
        <v>-0.50038460196101198</v>
      </c>
      <c r="DE26">
        <v>-53.029231098764299</v>
      </c>
      <c r="DF26">
        <v>8425.7119999999995</v>
      </c>
      <c r="DG26">
        <v>15</v>
      </c>
      <c r="DH26">
        <v>1596813987.9000001</v>
      </c>
      <c r="DI26" t="s">
        <v>334</v>
      </c>
      <c r="DJ26">
        <v>10</v>
      </c>
      <c r="DK26">
        <v>-0.216</v>
      </c>
      <c r="DL26">
        <v>0.13</v>
      </c>
      <c r="DM26">
        <v>700</v>
      </c>
      <c r="DN26">
        <v>17</v>
      </c>
      <c r="DO26">
        <v>0.1</v>
      </c>
      <c r="DP26">
        <v>0.06</v>
      </c>
      <c r="DQ26">
        <v>680.50746153846103</v>
      </c>
      <c r="DR26">
        <v>0.28017075044812001</v>
      </c>
      <c r="DS26">
        <v>5.3743501051996399E-2</v>
      </c>
      <c r="DT26">
        <v>1</v>
      </c>
      <c r="DU26">
        <v>19.209315384615401</v>
      </c>
      <c r="DV26">
        <v>-1.08699735336609E-3</v>
      </c>
      <c r="DW26">
        <v>4.6405149173582997E-3</v>
      </c>
      <c r="DX26">
        <v>1</v>
      </c>
      <c r="DY26">
        <v>2</v>
      </c>
      <c r="DZ26">
        <v>2</v>
      </c>
      <c r="EA26" t="s">
        <v>299</v>
      </c>
      <c r="EB26">
        <v>1.8667400000000001</v>
      </c>
      <c r="EC26">
        <v>1.8632500000000001</v>
      </c>
      <c r="ED26">
        <v>1.86894</v>
      </c>
      <c r="EE26">
        <v>1.8669</v>
      </c>
      <c r="EF26">
        <v>1.87151</v>
      </c>
      <c r="EG26">
        <v>1.8640699999999999</v>
      </c>
      <c r="EH26">
        <v>1.86568</v>
      </c>
      <c r="EI26">
        <v>1.8655999999999999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-0.216</v>
      </c>
      <c r="EX26">
        <v>0.13</v>
      </c>
      <c r="EY26">
        <v>2</v>
      </c>
      <c r="EZ26">
        <v>507.93099999999998</v>
      </c>
      <c r="FA26">
        <v>542.47</v>
      </c>
      <c r="FB26">
        <v>20.018699999999999</v>
      </c>
      <c r="FC26">
        <v>30.155899999999999</v>
      </c>
      <c r="FD26">
        <v>30.000699999999998</v>
      </c>
      <c r="FE26">
        <v>30.088899999999999</v>
      </c>
      <c r="FF26">
        <v>30.084900000000001</v>
      </c>
      <c r="FG26">
        <v>34.325400000000002</v>
      </c>
      <c r="FH26">
        <v>32.403500000000001</v>
      </c>
      <c r="FI26">
        <v>52.997700000000002</v>
      </c>
      <c r="FJ26">
        <v>19.9297</v>
      </c>
      <c r="FK26">
        <v>700</v>
      </c>
      <c r="FL26">
        <v>17.5001</v>
      </c>
      <c r="FM26">
        <v>101.428</v>
      </c>
      <c r="FN26">
        <v>101.804</v>
      </c>
    </row>
    <row r="27" spans="1:170" x14ac:dyDescent="0.25">
      <c r="A27">
        <v>11</v>
      </c>
      <c r="B27">
        <v>1596814109.4000001</v>
      </c>
      <c r="C27">
        <v>1231.10000014305</v>
      </c>
      <c r="D27" t="s">
        <v>335</v>
      </c>
      <c r="E27" t="s">
        <v>336</v>
      </c>
      <c r="G27">
        <v>1596814101.4000001</v>
      </c>
      <c r="H27">
        <f t="shared" si="0"/>
        <v>3.9353020704257788E-3</v>
      </c>
      <c r="I27">
        <f t="shared" si="1"/>
        <v>46.802324041566365</v>
      </c>
      <c r="J27">
        <f t="shared" si="2"/>
        <v>780.020451612903</v>
      </c>
      <c r="K27">
        <f t="shared" si="3"/>
        <v>440.52597939977028</v>
      </c>
      <c r="L27">
        <f t="shared" si="4"/>
        <v>44.014650321585755</v>
      </c>
      <c r="M27">
        <f t="shared" si="5"/>
        <v>77.934852941490846</v>
      </c>
      <c r="N27">
        <f t="shared" si="6"/>
        <v>0.23967139853773028</v>
      </c>
      <c r="O27">
        <f t="shared" si="7"/>
        <v>3.389890588965673</v>
      </c>
      <c r="P27">
        <f t="shared" si="8"/>
        <v>0.23063974949442753</v>
      </c>
      <c r="Q27">
        <f t="shared" si="9"/>
        <v>0.14493294447275687</v>
      </c>
      <c r="R27">
        <f t="shared" si="10"/>
        <v>353.3413915278116</v>
      </c>
      <c r="S27">
        <f t="shared" si="11"/>
        <v>27.456743761672982</v>
      </c>
      <c r="T27">
        <f t="shared" si="12"/>
        <v>27.010712903225802</v>
      </c>
      <c r="U27">
        <f t="shared" si="13"/>
        <v>3.5814123018558348</v>
      </c>
      <c r="V27">
        <f t="shared" si="14"/>
        <v>55.246032009556558</v>
      </c>
      <c r="W27">
        <f t="shared" si="15"/>
        <v>1.923591880900354</v>
      </c>
      <c r="X27">
        <f t="shared" si="16"/>
        <v>3.4818643275006753</v>
      </c>
      <c r="Y27">
        <f t="shared" si="17"/>
        <v>1.6578204209554808</v>
      </c>
      <c r="Z27">
        <f t="shared" si="18"/>
        <v>-173.54682130577686</v>
      </c>
      <c r="AA27">
        <f t="shared" si="19"/>
        <v>-87.565958836353516</v>
      </c>
      <c r="AB27">
        <f t="shared" si="20"/>
        <v>-5.5619947977933313</v>
      </c>
      <c r="AC27">
        <f t="shared" si="21"/>
        <v>86.666616587887901</v>
      </c>
      <c r="AD27">
        <v>-4.1291138159422702E-2</v>
      </c>
      <c r="AE27">
        <v>4.6352919886326997E-2</v>
      </c>
      <c r="AF27">
        <v>3.4623493018307099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52738.076215453038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337</v>
      </c>
      <c r="AS27">
        <v>267.60199999999998</v>
      </c>
      <c r="AT27">
        <v>394.63299999999998</v>
      </c>
      <c r="AU27">
        <f t="shared" si="27"/>
        <v>0.32189654691827596</v>
      </c>
      <c r="AV27">
        <v>0.5</v>
      </c>
      <c r="AW27">
        <f t="shared" si="28"/>
        <v>1849.2042674509999</v>
      </c>
      <c r="AX27">
        <f t="shared" si="29"/>
        <v>46.802324041566365</v>
      </c>
      <c r="AY27">
        <f t="shared" si="30"/>
        <v>297.62623411950847</v>
      </c>
      <c r="AZ27">
        <f t="shared" si="31"/>
        <v>0.54975888990530442</v>
      </c>
      <c r="BA27">
        <f t="shared" si="32"/>
        <v>2.5850212917504545E-2</v>
      </c>
      <c r="BB27">
        <f t="shared" si="33"/>
        <v>-1</v>
      </c>
      <c r="BC27" t="s">
        <v>338</v>
      </c>
      <c r="BD27">
        <v>177.68</v>
      </c>
      <c r="BE27">
        <f t="shared" si="34"/>
        <v>216.95299999999997</v>
      </c>
      <c r="BF27">
        <f t="shared" si="35"/>
        <v>0.58552313173821069</v>
      </c>
      <c r="BG27">
        <f t="shared" si="36"/>
        <v>2.2210321927059882</v>
      </c>
      <c r="BH27">
        <f t="shared" si="37"/>
        <v>0.32189654691827602</v>
      </c>
      <c r="BI27" t="e">
        <f t="shared" si="38"/>
        <v>#DIV/0!</v>
      </c>
      <c r="BJ27">
        <v>5721</v>
      </c>
      <c r="BK27">
        <v>300</v>
      </c>
      <c r="BL27">
        <v>300</v>
      </c>
      <c r="BM27">
        <v>300</v>
      </c>
      <c r="BN27">
        <v>9858.9</v>
      </c>
      <c r="BO27">
        <v>356.113</v>
      </c>
      <c r="BP27">
        <v>-6.3942499999999998E-3</v>
      </c>
      <c r="BQ27">
        <v>1.41638</v>
      </c>
      <c r="BR27">
        <f t="shared" si="39"/>
        <v>2200.0225806451599</v>
      </c>
      <c r="BS27">
        <f t="shared" si="40"/>
        <v>1849.2042674509999</v>
      </c>
      <c r="BT27">
        <f t="shared" si="41"/>
        <v>0.84053876706516251</v>
      </c>
      <c r="BU27">
        <f t="shared" si="42"/>
        <v>0.1910775341303253</v>
      </c>
      <c r="BV27">
        <v>0.5</v>
      </c>
      <c r="BW27" t="s">
        <v>281</v>
      </c>
      <c r="BX27">
        <v>1596814101.4000001</v>
      </c>
      <c r="BY27">
        <v>780.020451612903</v>
      </c>
      <c r="BZ27">
        <v>799.96703225806505</v>
      </c>
      <c r="CA27">
        <v>19.2525032258065</v>
      </c>
      <c r="CB27">
        <v>17.7088580645161</v>
      </c>
      <c r="CC27">
        <v>500.05503225806501</v>
      </c>
      <c r="CD27">
        <v>99.713919354838694</v>
      </c>
      <c r="CE27">
        <v>0.199939032258065</v>
      </c>
      <c r="CF27">
        <v>26.531570967741899</v>
      </c>
      <c r="CG27">
        <v>27.010712903225802</v>
      </c>
      <c r="CH27">
        <v>999.9</v>
      </c>
      <c r="CI27">
        <v>9986.1270967741893</v>
      </c>
      <c r="CJ27">
        <v>0</v>
      </c>
      <c r="CK27">
        <v>311.70190322580697</v>
      </c>
      <c r="CL27">
        <v>2200.0225806451599</v>
      </c>
      <c r="CM27">
        <v>0.98200167741935496</v>
      </c>
      <c r="CN27">
        <v>1.7998538709677402E-2</v>
      </c>
      <c r="CO27">
        <v>0</v>
      </c>
      <c r="CP27">
        <v>267.60993548387103</v>
      </c>
      <c r="CQ27">
        <v>5.00054</v>
      </c>
      <c r="CR27">
        <v>8423.6809677419405</v>
      </c>
      <c r="CS27">
        <v>20590.748387096799</v>
      </c>
      <c r="CT27">
        <v>49.088419354838699</v>
      </c>
      <c r="CU27">
        <v>51.064225806451603</v>
      </c>
      <c r="CV27">
        <v>49.634870967741897</v>
      </c>
      <c r="CW27">
        <v>49.304064516129003</v>
      </c>
      <c r="CX27">
        <v>50.372677419354801</v>
      </c>
      <c r="CY27">
        <v>2155.5125806451601</v>
      </c>
      <c r="CZ27">
        <v>39.51</v>
      </c>
      <c r="DA27">
        <v>0</v>
      </c>
      <c r="DB27">
        <v>143.10000014305101</v>
      </c>
      <c r="DC27">
        <v>267.60199999999998</v>
      </c>
      <c r="DD27">
        <v>-0.81530769030267902</v>
      </c>
      <c r="DE27">
        <v>-35.458461451216898</v>
      </c>
      <c r="DF27">
        <v>8423.5499999999993</v>
      </c>
      <c r="DG27">
        <v>15</v>
      </c>
      <c r="DH27">
        <v>1596814133.9000001</v>
      </c>
      <c r="DI27" t="s">
        <v>339</v>
      </c>
      <c r="DJ27">
        <v>11</v>
      </c>
      <c r="DK27">
        <v>-0.35299999999999998</v>
      </c>
      <c r="DL27">
        <v>0.13500000000000001</v>
      </c>
      <c r="DM27">
        <v>800</v>
      </c>
      <c r="DN27">
        <v>18</v>
      </c>
      <c r="DO27">
        <v>0.2</v>
      </c>
      <c r="DP27">
        <v>0.06</v>
      </c>
      <c r="DQ27">
        <v>780.10611538461501</v>
      </c>
      <c r="DR27">
        <v>0.68565866985392698</v>
      </c>
      <c r="DS27">
        <v>9.05333881984932E-2</v>
      </c>
      <c r="DT27">
        <v>0</v>
      </c>
      <c r="DU27">
        <v>19.259049999999998</v>
      </c>
      <c r="DV27">
        <v>-0.134620677879281</v>
      </c>
      <c r="DW27">
        <v>1.7205416186592101E-2</v>
      </c>
      <c r="DX27">
        <v>1</v>
      </c>
      <c r="DY27">
        <v>1</v>
      </c>
      <c r="DZ27">
        <v>2</v>
      </c>
      <c r="EA27" t="s">
        <v>293</v>
      </c>
      <c r="EB27">
        <v>1.8667499999999999</v>
      </c>
      <c r="EC27">
        <v>1.8632500000000001</v>
      </c>
      <c r="ED27">
        <v>1.8689199999999999</v>
      </c>
      <c r="EE27">
        <v>1.86687</v>
      </c>
      <c r="EF27">
        <v>1.8715599999999999</v>
      </c>
      <c r="EG27">
        <v>1.8640300000000001</v>
      </c>
      <c r="EH27">
        <v>1.86568</v>
      </c>
      <c r="EI27">
        <v>1.86557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-0.35299999999999998</v>
      </c>
      <c r="EX27">
        <v>0.13500000000000001</v>
      </c>
      <c r="EY27">
        <v>2</v>
      </c>
      <c r="EZ27">
        <v>508.03800000000001</v>
      </c>
      <c r="FA27">
        <v>541.75199999999995</v>
      </c>
      <c r="FB27">
        <v>19.680700000000002</v>
      </c>
      <c r="FC27">
        <v>30.263300000000001</v>
      </c>
      <c r="FD27">
        <v>30.000299999999999</v>
      </c>
      <c r="FE27">
        <v>30.2211</v>
      </c>
      <c r="FF27">
        <v>30.221</v>
      </c>
      <c r="FG27">
        <v>38.2637</v>
      </c>
      <c r="FH27">
        <v>31.323699999999999</v>
      </c>
      <c r="FI27">
        <v>51.5045</v>
      </c>
      <c r="FJ27">
        <v>20.098800000000001</v>
      </c>
      <c r="FK27">
        <v>800</v>
      </c>
      <c r="FL27">
        <v>17.710699999999999</v>
      </c>
      <c r="FM27">
        <v>101.408</v>
      </c>
      <c r="FN27">
        <v>101.78700000000001</v>
      </c>
    </row>
    <row r="28" spans="1:170" x14ac:dyDescent="0.25">
      <c r="A28">
        <v>12</v>
      </c>
      <c r="B28">
        <v>1596814255.5</v>
      </c>
      <c r="C28">
        <v>1377.2000000476801</v>
      </c>
      <c r="D28" t="s">
        <v>340</v>
      </c>
      <c r="E28" t="s">
        <v>341</v>
      </c>
      <c r="G28">
        <v>1596814247.5</v>
      </c>
      <c r="H28">
        <f t="shared" si="0"/>
        <v>3.5086105619179975E-3</v>
      </c>
      <c r="I28">
        <f t="shared" si="1"/>
        <v>49.60778443781728</v>
      </c>
      <c r="J28">
        <f t="shared" si="2"/>
        <v>978.76751612903195</v>
      </c>
      <c r="K28">
        <f t="shared" si="3"/>
        <v>568.63705653896716</v>
      </c>
      <c r="L28">
        <f t="shared" si="4"/>
        <v>56.812854789851194</v>
      </c>
      <c r="M28">
        <f t="shared" si="5"/>
        <v>97.78922447529844</v>
      </c>
      <c r="N28">
        <f t="shared" si="6"/>
        <v>0.2101069620457727</v>
      </c>
      <c r="O28">
        <f t="shared" si="7"/>
        <v>3.3997871976889509</v>
      </c>
      <c r="P28">
        <f t="shared" si="8"/>
        <v>0.20315076095414736</v>
      </c>
      <c r="Q28">
        <f t="shared" si="9"/>
        <v>0.12757502698952505</v>
      </c>
      <c r="R28">
        <f t="shared" si="10"/>
        <v>353.33682024635823</v>
      </c>
      <c r="S28">
        <f t="shared" si="11"/>
        <v>27.461213649764666</v>
      </c>
      <c r="T28">
        <f t="shared" si="12"/>
        <v>27.020229032258101</v>
      </c>
      <c r="U28">
        <f t="shared" si="13"/>
        <v>3.5834143022509082</v>
      </c>
      <c r="V28">
        <f t="shared" si="14"/>
        <v>55.009310063785868</v>
      </c>
      <c r="W28">
        <f t="shared" si="15"/>
        <v>1.9052591965014363</v>
      </c>
      <c r="X28">
        <f t="shared" si="16"/>
        <v>3.4635213462815644</v>
      </c>
      <c r="Y28">
        <f t="shared" si="17"/>
        <v>1.6781551057494719</v>
      </c>
      <c r="Z28">
        <f t="shared" si="18"/>
        <v>-154.72972578058369</v>
      </c>
      <c r="AA28">
        <f t="shared" si="19"/>
        <v>-105.98675794215194</v>
      </c>
      <c r="AB28">
        <f t="shared" si="20"/>
        <v>-6.7097591151359657</v>
      </c>
      <c r="AC28">
        <f t="shared" si="21"/>
        <v>85.910577408486631</v>
      </c>
      <c r="AD28">
        <v>-4.1444448659392299E-2</v>
      </c>
      <c r="AE28">
        <v>4.6525024353280299E-2</v>
      </c>
      <c r="AF28">
        <v>3.4725149436199598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52941.611656837638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342</v>
      </c>
      <c r="AS28">
        <v>267.34604000000002</v>
      </c>
      <c r="AT28">
        <v>392.92700000000002</v>
      </c>
      <c r="AU28">
        <f t="shared" si="27"/>
        <v>0.31960379408897832</v>
      </c>
      <c r="AV28">
        <v>0.5</v>
      </c>
      <c r="AW28">
        <f t="shared" si="28"/>
        <v>1849.1789397325019</v>
      </c>
      <c r="AX28">
        <f t="shared" si="29"/>
        <v>49.60778443781728</v>
      </c>
      <c r="AY28">
        <f t="shared" si="30"/>
        <v>295.50230254397093</v>
      </c>
      <c r="AZ28">
        <f t="shared" si="31"/>
        <v>0.5428667411503918</v>
      </c>
      <c r="BA28">
        <f t="shared" si="32"/>
        <v>2.7367705390987249E-2</v>
      </c>
      <c r="BB28">
        <f t="shared" si="33"/>
        <v>-1</v>
      </c>
      <c r="BC28" t="s">
        <v>343</v>
      </c>
      <c r="BD28">
        <v>179.62</v>
      </c>
      <c r="BE28">
        <f t="shared" si="34"/>
        <v>213.30700000000002</v>
      </c>
      <c r="BF28">
        <f t="shared" si="35"/>
        <v>0.58873342178175114</v>
      </c>
      <c r="BG28">
        <f t="shared" si="36"/>
        <v>2.1875459302972944</v>
      </c>
      <c r="BH28">
        <f t="shared" si="37"/>
        <v>0.31960379408897838</v>
      </c>
      <c r="BI28" t="e">
        <f t="shared" si="38"/>
        <v>#DIV/0!</v>
      </c>
      <c r="BJ28">
        <v>5723</v>
      </c>
      <c r="BK28">
        <v>300</v>
      </c>
      <c r="BL28">
        <v>300</v>
      </c>
      <c r="BM28">
        <v>300</v>
      </c>
      <c r="BN28">
        <v>9861.43</v>
      </c>
      <c r="BO28">
        <v>356.38</v>
      </c>
      <c r="BP28">
        <v>-6.3963400000000004E-3</v>
      </c>
      <c r="BQ28">
        <v>1.6569199999999999</v>
      </c>
      <c r="BR28">
        <f t="shared" si="39"/>
        <v>2199.9922580645198</v>
      </c>
      <c r="BS28">
        <f t="shared" si="40"/>
        <v>1849.1789397325019</v>
      </c>
      <c r="BT28">
        <f t="shared" si="41"/>
        <v>0.84053883960453035</v>
      </c>
      <c r="BU28">
        <f t="shared" si="42"/>
        <v>0.19107767920906082</v>
      </c>
      <c r="BV28">
        <v>0.5</v>
      </c>
      <c r="BW28" t="s">
        <v>281</v>
      </c>
      <c r="BX28">
        <v>1596814247.5</v>
      </c>
      <c r="BY28">
        <v>978.76751612903195</v>
      </c>
      <c r="BZ28">
        <v>999.98203225806401</v>
      </c>
      <c r="CA28">
        <v>19.0696451612903</v>
      </c>
      <c r="CB28">
        <v>17.6931096774194</v>
      </c>
      <c r="CC28">
        <v>500.05287096774202</v>
      </c>
      <c r="CD28">
        <v>99.710648387096796</v>
      </c>
      <c r="CE28">
        <v>0.19992574193548401</v>
      </c>
      <c r="CF28">
        <v>26.441980645161301</v>
      </c>
      <c r="CG28">
        <v>27.020229032258101</v>
      </c>
      <c r="CH28">
        <v>999.9</v>
      </c>
      <c r="CI28">
        <v>10023.5335483871</v>
      </c>
      <c r="CJ28">
        <v>0</v>
      </c>
      <c r="CK28">
        <v>314.739451612903</v>
      </c>
      <c r="CL28">
        <v>2199.9922580645198</v>
      </c>
      <c r="CM28">
        <v>0.98199806451612903</v>
      </c>
      <c r="CN28">
        <v>1.80023322580645E-2</v>
      </c>
      <c r="CO28">
        <v>0</v>
      </c>
      <c r="CP28">
        <v>267.39270967741902</v>
      </c>
      <c r="CQ28">
        <v>5.00054</v>
      </c>
      <c r="CR28">
        <v>8430.2564516129005</v>
      </c>
      <c r="CS28">
        <v>20590.435483870999</v>
      </c>
      <c r="CT28">
        <v>48.477645161290297</v>
      </c>
      <c r="CU28">
        <v>50.685193548387097</v>
      </c>
      <c r="CV28">
        <v>49.072258064516099</v>
      </c>
      <c r="CW28">
        <v>49.009903225806397</v>
      </c>
      <c r="CX28">
        <v>49.884903225806397</v>
      </c>
      <c r="CY28">
        <v>2155.4809677419398</v>
      </c>
      <c r="CZ28">
        <v>39.514838709677399</v>
      </c>
      <c r="DA28">
        <v>0</v>
      </c>
      <c r="DB28">
        <v>145.40000009536701</v>
      </c>
      <c r="DC28">
        <v>267.34604000000002</v>
      </c>
      <c r="DD28">
        <v>-2.8594615457382901</v>
      </c>
      <c r="DE28">
        <v>-41.069999724990602</v>
      </c>
      <c r="DF28">
        <v>8429.8248000000003</v>
      </c>
      <c r="DG28">
        <v>15</v>
      </c>
      <c r="DH28">
        <v>1596814280.5999999</v>
      </c>
      <c r="DI28" t="s">
        <v>344</v>
      </c>
      <c r="DJ28">
        <v>12</v>
      </c>
      <c r="DK28">
        <v>-3.6999999999999998E-2</v>
      </c>
      <c r="DL28">
        <v>0.13500000000000001</v>
      </c>
      <c r="DM28">
        <v>1000</v>
      </c>
      <c r="DN28">
        <v>18</v>
      </c>
      <c r="DO28">
        <v>0.25</v>
      </c>
      <c r="DP28">
        <v>7.0000000000000007E-2</v>
      </c>
      <c r="DQ28">
        <v>978.38578846153803</v>
      </c>
      <c r="DR28">
        <v>0.78649534704970403</v>
      </c>
      <c r="DS28">
        <v>0.108574032973331</v>
      </c>
      <c r="DT28">
        <v>0</v>
      </c>
      <c r="DU28">
        <v>19.077059615384599</v>
      </c>
      <c r="DV28">
        <v>-8.0607359344305296E-2</v>
      </c>
      <c r="DW28">
        <v>1.0180510407625101E-2</v>
      </c>
      <c r="DX28">
        <v>1</v>
      </c>
      <c r="DY28">
        <v>1</v>
      </c>
      <c r="DZ28">
        <v>2</v>
      </c>
      <c r="EA28" t="s">
        <v>293</v>
      </c>
      <c r="EB28">
        <v>1.8667400000000001</v>
      </c>
      <c r="EC28">
        <v>1.8632500000000001</v>
      </c>
      <c r="ED28">
        <v>1.8689199999999999</v>
      </c>
      <c r="EE28">
        <v>1.8668800000000001</v>
      </c>
      <c r="EF28">
        <v>1.87154</v>
      </c>
      <c r="EG28">
        <v>1.8640300000000001</v>
      </c>
      <c r="EH28">
        <v>1.8656900000000001</v>
      </c>
      <c r="EI28">
        <v>1.8655600000000001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-3.6999999999999998E-2</v>
      </c>
      <c r="EX28">
        <v>0.13500000000000001</v>
      </c>
      <c r="EY28">
        <v>2</v>
      </c>
      <c r="EZ28">
        <v>507.98899999999998</v>
      </c>
      <c r="FA28">
        <v>540.45899999999995</v>
      </c>
      <c r="FB28">
        <v>20.036000000000001</v>
      </c>
      <c r="FC28">
        <v>30.428999999999998</v>
      </c>
      <c r="FD28">
        <v>30.000800000000002</v>
      </c>
      <c r="FE28">
        <v>30.3813</v>
      </c>
      <c r="FF28">
        <v>30.381599999999999</v>
      </c>
      <c r="FG28">
        <v>45.833399999999997</v>
      </c>
      <c r="FH28">
        <v>31.67</v>
      </c>
      <c r="FI28">
        <v>50.009799999999998</v>
      </c>
      <c r="FJ28">
        <v>20.015899999999998</v>
      </c>
      <c r="FK28">
        <v>1000</v>
      </c>
      <c r="FL28">
        <v>17.709599999999998</v>
      </c>
      <c r="FM28">
        <v>101.378</v>
      </c>
      <c r="FN28">
        <v>101.76</v>
      </c>
    </row>
    <row r="29" spans="1:170" x14ac:dyDescent="0.25">
      <c r="A29">
        <v>13</v>
      </c>
      <c r="B29">
        <v>1596814402.0999999</v>
      </c>
      <c r="C29">
        <v>1523.7999999523199</v>
      </c>
      <c r="D29" t="s">
        <v>345</v>
      </c>
      <c r="E29" t="s">
        <v>346</v>
      </c>
      <c r="G29">
        <v>1596814394.02581</v>
      </c>
      <c r="H29">
        <f t="shared" si="0"/>
        <v>2.9283472725671346E-3</v>
      </c>
      <c r="I29">
        <f t="shared" si="1"/>
        <v>50.196900112209313</v>
      </c>
      <c r="J29">
        <f t="shared" si="2"/>
        <v>1178.48806451613</v>
      </c>
      <c r="K29">
        <f t="shared" si="3"/>
        <v>681.67318921002561</v>
      </c>
      <c r="L29">
        <f t="shared" si="4"/>
        <v>68.105778762858719</v>
      </c>
      <c r="M29">
        <f t="shared" si="5"/>
        <v>117.74241479207745</v>
      </c>
      <c r="N29">
        <f t="shared" si="6"/>
        <v>0.17458609104404166</v>
      </c>
      <c r="O29">
        <f t="shared" si="7"/>
        <v>3.4001914570729475</v>
      </c>
      <c r="P29">
        <f t="shared" si="8"/>
        <v>0.16975455577716789</v>
      </c>
      <c r="Q29">
        <f t="shared" si="9"/>
        <v>0.10651955448504884</v>
      </c>
      <c r="R29">
        <f t="shared" si="10"/>
        <v>353.3394304737763</v>
      </c>
      <c r="S29">
        <f t="shared" si="11"/>
        <v>27.487168104446781</v>
      </c>
      <c r="T29">
        <f t="shared" si="12"/>
        <v>26.9945967741935</v>
      </c>
      <c r="U29">
        <f t="shared" si="13"/>
        <v>3.5780240222762152</v>
      </c>
      <c r="V29">
        <f t="shared" si="14"/>
        <v>55.251674185337862</v>
      </c>
      <c r="W29">
        <f t="shared" si="15"/>
        <v>1.9017983154780318</v>
      </c>
      <c r="X29">
        <f t="shared" si="16"/>
        <v>3.4420645953615501</v>
      </c>
      <c r="Y29">
        <f t="shared" si="17"/>
        <v>1.6762257067981834</v>
      </c>
      <c r="Z29">
        <f t="shared" si="18"/>
        <v>-129.14011472021065</v>
      </c>
      <c r="AA29">
        <f t="shared" si="19"/>
        <v>-120.60807429498257</v>
      </c>
      <c r="AB29">
        <f t="shared" si="20"/>
        <v>-7.6294903532345959</v>
      </c>
      <c r="AC29">
        <f t="shared" si="21"/>
        <v>95.961751105348498</v>
      </c>
      <c r="AD29">
        <v>-4.1450715423598197E-2</v>
      </c>
      <c r="AE29">
        <v>4.6532059345100199E-2</v>
      </c>
      <c r="AF29">
        <v>3.47293020007714</v>
      </c>
      <c r="AG29">
        <v>0</v>
      </c>
      <c r="AH29">
        <v>0</v>
      </c>
      <c r="AI29">
        <f t="shared" si="22"/>
        <v>1</v>
      </c>
      <c r="AJ29">
        <f t="shared" si="23"/>
        <v>0</v>
      </c>
      <c r="AK29">
        <f t="shared" si="24"/>
        <v>52967.896331230491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265.25083999999998</v>
      </c>
      <c r="AT29">
        <v>390.21</v>
      </c>
      <c r="AU29">
        <f t="shared" si="27"/>
        <v>0.32023566797365521</v>
      </c>
      <c r="AV29">
        <v>0.5</v>
      </c>
      <c r="AW29">
        <f t="shared" si="28"/>
        <v>1849.1912900315722</v>
      </c>
      <c r="AX29">
        <f t="shared" si="29"/>
        <v>50.196900112209313</v>
      </c>
      <c r="AY29">
        <f t="shared" si="30"/>
        <v>296.08850398716288</v>
      </c>
      <c r="AZ29">
        <f t="shared" si="31"/>
        <v>0.54496296865790217</v>
      </c>
      <c r="BA29">
        <f t="shared" si="32"/>
        <v>2.7686102778115076E-2</v>
      </c>
      <c r="BB29">
        <f t="shared" si="33"/>
        <v>-1</v>
      </c>
      <c r="BC29" t="s">
        <v>348</v>
      </c>
      <c r="BD29">
        <v>177.56</v>
      </c>
      <c r="BE29">
        <f t="shared" si="34"/>
        <v>212.64999999999998</v>
      </c>
      <c r="BF29">
        <f t="shared" si="35"/>
        <v>0.58762830942863864</v>
      </c>
      <c r="BG29">
        <f t="shared" si="36"/>
        <v>2.1976233385897723</v>
      </c>
      <c r="BH29">
        <f t="shared" si="37"/>
        <v>0.32023566797365521</v>
      </c>
      <c r="BI29" t="e">
        <f t="shared" si="38"/>
        <v>#DIV/0!</v>
      </c>
      <c r="BJ29">
        <v>5725</v>
      </c>
      <c r="BK29">
        <v>300</v>
      </c>
      <c r="BL29">
        <v>300</v>
      </c>
      <c r="BM29">
        <v>300</v>
      </c>
      <c r="BN29">
        <v>9863.0300000000007</v>
      </c>
      <c r="BO29">
        <v>353.47500000000002</v>
      </c>
      <c r="BP29">
        <v>-6.3974899999999996E-3</v>
      </c>
      <c r="BQ29">
        <v>2.0968</v>
      </c>
      <c r="BR29">
        <f t="shared" si="39"/>
        <v>2200.00677419355</v>
      </c>
      <c r="BS29">
        <f t="shared" si="40"/>
        <v>1849.1912900315722</v>
      </c>
      <c r="BT29">
        <f t="shared" si="41"/>
        <v>0.84053890729923997</v>
      </c>
      <c r="BU29">
        <f t="shared" si="42"/>
        <v>0.19107781459847972</v>
      </c>
      <c r="BV29">
        <v>0.5</v>
      </c>
      <c r="BW29" t="s">
        <v>281</v>
      </c>
      <c r="BX29">
        <v>1596814394.02581</v>
      </c>
      <c r="BY29">
        <v>1178.48806451613</v>
      </c>
      <c r="BZ29">
        <v>1199.94451612903</v>
      </c>
      <c r="CA29">
        <v>19.035167741935499</v>
      </c>
      <c r="CB29">
        <v>17.886270967741901</v>
      </c>
      <c r="CC29">
        <v>500.06332258064498</v>
      </c>
      <c r="CD29">
        <v>99.709758064516194</v>
      </c>
      <c r="CE29">
        <v>0.19996383870967699</v>
      </c>
      <c r="CF29">
        <v>26.336654838709698</v>
      </c>
      <c r="CG29">
        <v>26.9945967741935</v>
      </c>
      <c r="CH29">
        <v>999.9</v>
      </c>
      <c r="CI29">
        <v>10025.1387096774</v>
      </c>
      <c r="CJ29">
        <v>0</v>
      </c>
      <c r="CK29">
        <v>317.35661290322599</v>
      </c>
      <c r="CL29">
        <v>2200.00677419355</v>
      </c>
      <c r="CM29">
        <v>0.98199480645161297</v>
      </c>
      <c r="CN29">
        <v>1.8004703225806499E-2</v>
      </c>
      <c r="CO29">
        <v>0</v>
      </c>
      <c r="CP29">
        <v>265.29261290322597</v>
      </c>
      <c r="CQ29">
        <v>5.00054</v>
      </c>
      <c r="CR29">
        <v>8402.2296774193601</v>
      </c>
      <c r="CS29">
        <v>20590.5709677419</v>
      </c>
      <c r="CT29">
        <v>48.090451612903202</v>
      </c>
      <c r="CU29">
        <v>50.382870967741901</v>
      </c>
      <c r="CV29">
        <v>48.6871935483871</v>
      </c>
      <c r="CW29">
        <v>48.814193548387102</v>
      </c>
      <c r="CX29">
        <v>49.491806451612902</v>
      </c>
      <c r="CY29">
        <v>2155.48677419355</v>
      </c>
      <c r="CZ29">
        <v>39.520000000000003</v>
      </c>
      <c r="DA29">
        <v>0</v>
      </c>
      <c r="DB29">
        <v>145.799999952316</v>
      </c>
      <c r="DC29">
        <v>265.25083999999998</v>
      </c>
      <c r="DD29">
        <v>-3.1857692255611401</v>
      </c>
      <c r="DE29">
        <v>-55.787692368005096</v>
      </c>
      <c r="DF29">
        <v>8401.5295999999998</v>
      </c>
      <c r="DG29">
        <v>15</v>
      </c>
      <c r="DH29">
        <v>1596814422.5999999</v>
      </c>
      <c r="DI29" t="s">
        <v>349</v>
      </c>
      <c r="DJ29">
        <v>13</v>
      </c>
      <c r="DK29">
        <v>-7.6999999999999999E-2</v>
      </c>
      <c r="DL29">
        <v>0.13700000000000001</v>
      </c>
      <c r="DM29">
        <v>1200</v>
      </c>
      <c r="DN29">
        <v>18</v>
      </c>
      <c r="DO29">
        <v>0.09</v>
      </c>
      <c r="DP29">
        <v>0.08</v>
      </c>
      <c r="DQ29">
        <v>1178.42173076923</v>
      </c>
      <c r="DR29">
        <v>1.1092505769744001</v>
      </c>
      <c r="DS29">
        <v>0.14603373100658401</v>
      </c>
      <c r="DT29">
        <v>0</v>
      </c>
      <c r="DU29">
        <v>19.029150000000001</v>
      </c>
      <c r="DV29">
        <v>6.8263932955690901E-2</v>
      </c>
      <c r="DW29">
        <v>1.6205145194327201E-2</v>
      </c>
      <c r="DX29">
        <v>1</v>
      </c>
      <c r="DY29">
        <v>1</v>
      </c>
      <c r="DZ29">
        <v>2</v>
      </c>
      <c r="EA29" t="s">
        <v>293</v>
      </c>
      <c r="EB29">
        <v>1.86676</v>
      </c>
      <c r="EC29">
        <v>1.8632500000000001</v>
      </c>
      <c r="ED29">
        <v>1.8689499999999999</v>
      </c>
      <c r="EE29">
        <v>1.86686</v>
      </c>
      <c r="EF29">
        <v>1.8715299999999999</v>
      </c>
      <c r="EG29">
        <v>1.86402</v>
      </c>
      <c r="EH29">
        <v>1.86568</v>
      </c>
      <c r="EI29">
        <v>1.86564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-7.6999999999999999E-2</v>
      </c>
      <c r="EX29">
        <v>0.13700000000000001</v>
      </c>
      <c r="EY29">
        <v>2</v>
      </c>
      <c r="EZ29">
        <v>508.19</v>
      </c>
      <c r="FA29">
        <v>539.29100000000005</v>
      </c>
      <c r="FB29">
        <v>20.107399999999998</v>
      </c>
      <c r="FC29">
        <v>30.5885</v>
      </c>
      <c r="FD29">
        <v>30.000499999999999</v>
      </c>
      <c r="FE29">
        <v>30.543199999999999</v>
      </c>
      <c r="FF29">
        <v>30.545400000000001</v>
      </c>
      <c r="FG29">
        <v>53.092199999999998</v>
      </c>
      <c r="FH29">
        <v>31.214500000000001</v>
      </c>
      <c r="FI29">
        <v>48.887999999999998</v>
      </c>
      <c r="FJ29">
        <v>20.0716</v>
      </c>
      <c r="FK29">
        <v>1200</v>
      </c>
      <c r="FL29">
        <v>17.7743</v>
      </c>
      <c r="FM29">
        <v>101.35</v>
      </c>
      <c r="FN29">
        <v>101.738</v>
      </c>
    </row>
    <row r="30" spans="1:170" x14ac:dyDescent="0.25">
      <c r="A30">
        <v>14</v>
      </c>
      <c r="B30">
        <v>1596814544</v>
      </c>
      <c r="C30">
        <v>1665.7000000476801</v>
      </c>
      <c r="D30" t="s">
        <v>350</v>
      </c>
      <c r="E30" t="s">
        <v>351</v>
      </c>
      <c r="G30">
        <v>1596814536.06129</v>
      </c>
      <c r="H30">
        <f t="shared" si="0"/>
        <v>2.5397278748982162E-3</v>
      </c>
      <c r="I30">
        <f t="shared" si="1"/>
        <v>52.913668817942842</v>
      </c>
      <c r="J30">
        <f t="shared" si="2"/>
        <v>1577.1716774193601</v>
      </c>
      <c r="K30">
        <f t="shared" si="3"/>
        <v>966.01729674150079</v>
      </c>
      <c r="L30">
        <f t="shared" si="4"/>
        <v>96.521331420021951</v>
      </c>
      <c r="M30">
        <f t="shared" si="5"/>
        <v>157.58590523788709</v>
      </c>
      <c r="N30">
        <f t="shared" si="6"/>
        <v>0.1500677997360019</v>
      </c>
      <c r="O30">
        <f t="shared" si="7"/>
        <v>3.3953390169703237</v>
      </c>
      <c r="P30">
        <f t="shared" si="8"/>
        <v>0.14647802773610716</v>
      </c>
      <c r="Q30">
        <f t="shared" si="9"/>
        <v>9.1864141953915082E-2</v>
      </c>
      <c r="R30">
        <f t="shared" si="10"/>
        <v>353.34123354214182</v>
      </c>
      <c r="S30">
        <f t="shared" si="11"/>
        <v>27.418354440521</v>
      </c>
      <c r="T30">
        <f t="shared" si="12"/>
        <v>26.944480645161299</v>
      </c>
      <c r="U30">
        <f t="shared" si="13"/>
        <v>3.5675054045571142</v>
      </c>
      <c r="V30">
        <f t="shared" si="14"/>
        <v>55.200618836822649</v>
      </c>
      <c r="W30">
        <f t="shared" si="15"/>
        <v>1.8823320956626457</v>
      </c>
      <c r="X30">
        <f t="shared" si="16"/>
        <v>3.4099836837463124</v>
      </c>
      <c r="Y30">
        <f t="shared" si="17"/>
        <v>1.6851733088944685</v>
      </c>
      <c r="Z30">
        <f t="shared" si="18"/>
        <v>-112.00199928301133</v>
      </c>
      <c r="AA30">
        <f t="shared" si="19"/>
        <v>-140.28501651613843</v>
      </c>
      <c r="AB30">
        <f t="shared" si="20"/>
        <v>-8.8776321686099404</v>
      </c>
      <c r="AC30">
        <f t="shared" si="21"/>
        <v>92.176585574382131</v>
      </c>
      <c r="AD30">
        <v>-4.1375515952580003E-2</v>
      </c>
      <c r="AE30">
        <v>4.6447641351046801E-2</v>
      </c>
      <c r="AF30">
        <v>3.4679457980785502</v>
      </c>
      <c r="AG30">
        <v>0</v>
      </c>
      <c r="AH30">
        <v>0</v>
      </c>
      <c r="AI30">
        <f t="shared" si="22"/>
        <v>1</v>
      </c>
      <c r="AJ30">
        <f t="shared" si="23"/>
        <v>0</v>
      </c>
      <c r="AK30">
        <f t="shared" si="24"/>
        <v>52903.939156587767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263.00243999999998</v>
      </c>
      <c r="AT30">
        <v>380.96800000000002</v>
      </c>
      <c r="AU30">
        <f t="shared" si="27"/>
        <v>0.30964689947712154</v>
      </c>
      <c r="AV30">
        <v>0.5</v>
      </c>
      <c r="AW30">
        <f t="shared" si="28"/>
        <v>1849.2054004041756</v>
      </c>
      <c r="AX30">
        <f t="shared" si="29"/>
        <v>52.913668817942842</v>
      </c>
      <c r="AY30">
        <f t="shared" si="30"/>
        <v>286.30035936575104</v>
      </c>
      <c r="AZ30">
        <f t="shared" si="31"/>
        <v>0.53476407467293841</v>
      </c>
      <c r="BA30">
        <f t="shared" si="32"/>
        <v>2.9155046165320025E-2</v>
      </c>
      <c r="BB30">
        <f t="shared" si="33"/>
        <v>-1</v>
      </c>
      <c r="BC30" t="s">
        <v>353</v>
      </c>
      <c r="BD30">
        <v>177.24</v>
      </c>
      <c r="BE30">
        <f t="shared" si="34"/>
        <v>203.72800000000001</v>
      </c>
      <c r="BF30">
        <f t="shared" si="35"/>
        <v>0.57903459514646993</v>
      </c>
      <c r="BG30">
        <f t="shared" si="36"/>
        <v>2.1494470774091625</v>
      </c>
      <c r="BH30">
        <f t="shared" si="37"/>
        <v>0.30964689947712154</v>
      </c>
      <c r="BI30" t="e">
        <f t="shared" si="38"/>
        <v>#DIV/0!</v>
      </c>
      <c r="BJ30">
        <v>5727</v>
      </c>
      <c r="BK30">
        <v>300</v>
      </c>
      <c r="BL30">
        <v>300</v>
      </c>
      <c r="BM30">
        <v>300</v>
      </c>
      <c r="BN30">
        <v>9864.31</v>
      </c>
      <c r="BO30">
        <v>346.07</v>
      </c>
      <c r="BP30">
        <v>-6.3985099999999996E-3</v>
      </c>
      <c r="BQ30">
        <v>1.68845</v>
      </c>
      <c r="BR30">
        <f t="shared" si="39"/>
        <v>2200.02419354839</v>
      </c>
      <c r="BS30">
        <f t="shared" si="40"/>
        <v>1849.2054004041756</v>
      </c>
      <c r="BT30">
        <f t="shared" si="41"/>
        <v>0.84053866581422298</v>
      </c>
      <c r="BU30">
        <f t="shared" si="42"/>
        <v>0.19107733162844592</v>
      </c>
      <c r="BV30">
        <v>0.5</v>
      </c>
      <c r="BW30" t="s">
        <v>281</v>
      </c>
      <c r="BX30">
        <v>1596814536.06129</v>
      </c>
      <c r="BY30">
        <v>1577.1716774193601</v>
      </c>
      <c r="BZ30">
        <v>1599.93677419355</v>
      </c>
      <c r="CA30">
        <v>18.838999999999999</v>
      </c>
      <c r="CB30">
        <v>17.8423612903226</v>
      </c>
      <c r="CC30">
        <v>500.05722580645198</v>
      </c>
      <c r="CD30">
        <v>99.716809677419405</v>
      </c>
      <c r="CE30">
        <v>0.19996380645161299</v>
      </c>
      <c r="CF30">
        <v>26.178103225806499</v>
      </c>
      <c r="CG30">
        <v>26.944480645161299</v>
      </c>
      <c r="CH30">
        <v>999.9</v>
      </c>
      <c r="CI30">
        <v>10006.2435483871</v>
      </c>
      <c r="CJ30">
        <v>0</v>
      </c>
      <c r="CK30">
        <v>287.78061290322597</v>
      </c>
      <c r="CL30">
        <v>2200.02419354839</v>
      </c>
      <c r="CM30">
        <v>0.98200429032257996</v>
      </c>
      <c r="CN30">
        <v>1.7995658064516099E-2</v>
      </c>
      <c r="CO30">
        <v>0</v>
      </c>
      <c r="CP30">
        <v>262.95719354838701</v>
      </c>
      <c r="CQ30">
        <v>5.00054</v>
      </c>
      <c r="CR30">
        <v>8357.06870967742</v>
      </c>
      <c r="CS30">
        <v>20590.777419354799</v>
      </c>
      <c r="CT30">
        <v>47.846548387096803</v>
      </c>
      <c r="CU30">
        <v>50.237806451612897</v>
      </c>
      <c r="CV30">
        <v>48.445129032258002</v>
      </c>
      <c r="CW30">
        <v>48.705354838709702</v>
      </c>
      <c r="CX30">
        <v>49.316064516129003</v>
      </c>
      <c r="CY30">
        <v>2155.5203225806399</v>
      </c>
      <c r="CZ30">
        <v>39.502580645161302</v>
      </c>
      <c r="DA30">
        <v>0</v>
      </c>
      <c r="DB30">
        <v>141.200000047684</v>
      </c>
      <c r="DC30">
        <v>263.00243999999998</v>
      </c>
      <c r="DD30">
        <v>0.99846153831956197</v>
      </c>
      <c r="DE30">
        <v>-7.9430767443764303</v>
      </c>
      <c r="DF30">
        <v>8357.7276000000002</v>
      </c>
      <c r="DG30">
        <v>15</v>
      </c>
      <c r="DH30">
        <v>1596814566.5999999</v>
      </c>
      <c r="DI30" t="s">
        <v>354</v>
      </c>
      <c r="DJ30">
        <v>14</v>
      </c>
      <c r="DK30">
        <v>-0.125</v>
      </c>
      <c r="DL30">
        <v>0.13500000000000001</v>
      </c>
      <c r="DM30">
        <v>1600</v>
      </c>
      <c r="DN30">
        <v>18</v>
      </c>
      <c r="DO30">
        <v>0.14000000000000001</v>
      </c>
      <c r="DP30">
        <v>7.0000000000000007E-2</v>
      </c>
      <c r="DQ30">
        <v>1577.1784615384599</v>
      </c>
      <c r="DR30">
        <v>0.454998192771152</v>
      </c>
      <c r="DS30">
        <v>8.03211011499428E-2</v>
      </c>
      <c r="DT30">
        <v>0</v>
      </c>
      <c r="DU30">
        <v>18.903907692307701</v>
      </c>
      <c r="DV30">
        <v>-0.606722802789329</v>
      </c>
      <c r="DW30">
        <v>8.1546574342410097E-2</v>
      </c>
      <c r="DX30">
        <v>0</v>
      </c>
      <c r="DY30">
        <v>0</v>
      </c>
      <c r="DZ30">
        <v>2</v>
      </c>
      <c r="EA30" t="s">
        <v>283</v>
      </c>
      <c r="EB30">
        <v>1.86676</v>
      </c>
      <c r="EC30">
        <v>1.8632500000000001</v>
      </c>
      <c r="ED30">
        <v>1.8689899999999999</v>
      </c>
      <c r="EE30">
        <v>1.8669100000000001</v>
      </c>
      <c r="EF30">
        <v>1.8715599999999999</v>
      </c>
      <c r="EG30">
        <v>1.8641099999999999</v>
      </c>
      <c r="EH30">
        <v>1.8656900000000001</v>
      </c>
      <c r="EI30">
        <v>1.8656600000000001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-0.125</v>
      </c>
      <c r="EX30">
        <v>0.13500000000000001</v>
      </c>
      <c r="EY30">
        <v>2</v>
      </c>
      <c r="EZ30">
        <v>508.44200000000001</v>
      </c>
      <c r="FA30">
        <v>538.82600000000002</v>
      </c>
      <c r="FB30">
        <v>19.5777</v>
      </c>
      <c r="FC30">
        <v>30.7819</v>
      </c>
      <c r="FD30">
        <v>29.9956</v>
      </c>
      <c r="FE30">
        <v>30.722799999999999</v>
      </c>
      <c r="FF30">
        <v>30.723600000000001</v>
      </c>
      <c r="FG30">
        <v>66.794600000000003</v>
      </c>
      <c r="FH30">
        <v>31.959</v>
      </c>
      <c r="FI30">
        <v>47.397799999999997</v>
      </c>
      <c r="FJ30">
        <v>19.698699999999999</v>
      </c>
      <c r="FK30">
        <v>1600</v>
      </c>
      <c r="FL30">
        <v>17.733599999999999</v>
      </c>
      <c r="FM30">
        <v>101.316</v>
      </c>
      <c r="FN30">
        <v>101.702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2020-08-07T10:36:30Z</dcterms:created>
  <dcterms:modified xsi:type="dcterms:W3CDTF">2024-11-20T09:03:18Z</dcterms:modified>
</cp:coreProperties>
</file>