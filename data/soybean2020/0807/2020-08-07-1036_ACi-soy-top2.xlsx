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807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1" i="1" l="1"/>
  <c r="BT31" i="1"/>
  <c r="BR31" i="1"/>
  <c r="BS31" i="1" s="1"/>
  <c r="BI31" i="1"/>
  <c r="BH31" i="1"/>
  <c r="BG31" i="1"/>
  <c r="BF31" i="1"/>
  <c r="BE31" i="1"/>
  <c r="AZ31" i="1" s="1"/>
  <c r="BB31" i="1"/>
  <c r="AU31" i="1"/>
  <c r="AO31" i="1"/>
  <c r="AP31" i="1" s="1"/>
  <c r="AK31" i="1"/>
  <c r="AI31" i="1"/>
  <c r="M31" i="1" s="1"/>
  <c r="X31" i="1"/>
  <c r="W31" i="1"/>
  <c r="V31" i="1"/>
  <c r="O31" i="1"/>
  <c r="BU30" i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/>
  <c r="AJ30" i="1" s="1"/>
  <c r="X30" i="1"/>
  <c r="W30" i="1"/>
  <c r="V30" i="1"/>
  <c r="O30" i="1"/>
  <c r="BU29" i="1"/>
  <c r="BT29" i="1"/>
  <c r="BR29" i="1"/>
  <c r="BS29" i="1" s="1"/>
  <c r="BI29" i="1"/>
  <c r="BH29" i="1"/>
  <c r="BG29" i="1"/>
  <c r="BF29" i="1"/>
  <c r="BE29" i="1"/>
  <c r="AZ29" i="1" s="1"/>
  <c r="BB29" i="1"/>
  <c r="AU29" i="1"/>
  <c r="AO29" i="1"/>
  <c r="AP29" i="1" s="1"/>
  <c r="AK29" i="1"/>
  <c r="AI29" i="1"/>
  <c r="J29" i="1" s="1"/>
  <c r="X29" i="1"/>
  <c r="W29" i="1"/>
  <c r="V29" i="1"/>
  <c r="O29" i="1"/>
  <c r="BU28" i="1"/>
  <c r="BT28" i="1"/>
  <c r="BR28" i="1"/>
  <c r="BS28" i="1" s="1"/>
  <c r="BI28" i="1"/>
  <c r="BH28" i="1"/>
  <c r="BG28" i="1"/>
  <c r="BF28" i="1"/>
  <c r="BE28" i="1"/>
  <c r="BB28" i="1"/>
  <c r="AZ28" i="1"/>
  <c r="AU28" i="1"/>
  <c r="AP28" i="1"/>
  <c r="AO28" i="1"/>
  <c r="AK28" i="1"/>
  <c r="AI28" i="1"/>
  <c r="J28" i="1" s="1"/>
  <c r="X28" i="1"/>
  <c r="W28" i="1"/>
  <c r="V28" i="1"/>
  <c r="O28" i="1"/>
  <c r="M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O27" i="1"/>
  <c r="AP27" i="1" s="1"/>
  <c r="AK27" i="1"/>
  <c r="AI27" i="1" s="1"/>
  <c r="X27" i="1"/>
  <c r="W27" i="1"/>
  <c r="V27" i="1"/>
  <c r="O27" i="1"/>
  <c r="BU26" i="1"/>
  <c r="R26" i="1" s="1"/>
  <c r="BT26" i="1"/>
  <c r="BS26" i="1"/>
  <c r="BR26" i="1"/>
  <c r="BI26" i="1"/>
  <c r="BH26" i="1"/>
  <c r="BG26" i="1"/>
  <c r="BF26" i="1"/>
  <c r="BE26" i="1"/>
  <c r="BB26" i="1"/>
  <c r="AZ26" i="1"/>
  <c r="AW26" i="1"/>
  <c r="AU26" i="1"/>
  <c r="AY26" i="1" s="1"/>
  <c r="AO26" i="1"/>
  <c r="AP26" i="1" s="1"/>
  <c r="AK26" i="1"/>
  <c r="AI26" i="1"/>
  <c r="H26" i="1" s="1"/>
  <c r="X26" i="1"/>
  <c r="W26" i="1"/>
  <c r="V26" i="1" s="1"/>
  <c r="O26" i="1"/>
  <c r="BU25" i="1"/>
  <c r="BT25" i="1"/>
  <c r="BR25" i="1"/>
  <c r="BS25" i="1" s="1"/>
  <c r="BI25" i="1"/>
  <c r="BH25" i="1"/>
  <c r="BG25" i="1"/>
  <c r="BF25" i="1"/>
  <c r="BE25" i="1"/>
  <c r="BB25" i="1"/>
  <c r="AZ25" i="1"/>
  <c r="AU25" i="1"/>
  <c r="AO25" i="1"/>
  <c r="AP25" i="1" s="1"/>
  <c r="AK25" i="1"/>
  <c r="AI25" i="1"/>
  <c r="J25" i="1" s="1"/>
  <c r="X25" i="1"/>
  <c r="W25" i="1"/>
  <c r="V25" i="1"/>
  <c r="O25" i="1"/>
  <c r="BU24" i="1"/>
  <c r="BT24" i="1"/>
  <c r="BR24" i="1"/>
  <c r="BS24" i="1" s="1"/>
  <c r="BI24" i="1"/>
  <c r="BH24" i="1"/>
  <c r="BG24" i="1"/>
  <c r="BF24" i="1"/>
  <c r="BE24" i="1"/>
  <c r="AZ24" i="1" s="1"/>
  <c r="BB24" i="1"/>
  <c r="AU24" i="1"/>
  <c r="AO24" i="1"/>
  <c r="AP24" i="1" s="1"/>
  <c r="AK24" i="1"/>
  <c r="AI24" i="1"/>
  <c r="J24" i="1" s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BB23" i="1"/>
  <c r="AZ23" i="1"/>
  <c r="AU23" i="1"/>
  <c r="AO23" i="1"/>
  <c r="AP23" i="1" s="1"/>
  <c r="AK23" i="1"/>
  <c r="AI23" i="1"/>
  <c r="J23" i="1" s="1"/>
  <c r="X23" i="1"/>
  <c r="W23" i="1"/>
  <c r="V23" i="1"/>
  <c r="O23" i="1"/>
  <c r="M23" i="1"/>
  <c r="BU22" i="1"/>
  <c r="BT22" i="1"/>
  <c r="BR22" i="1"/>
  <c r="BS22" i="1" s="1"/>
  <c r="BI22" i="1"/>
  <c r="BH22" i="1"/>
  <c r="BG22" i="1"/>
  <c r="BF22" i="1"/>
  <c r="BE22" i="1"/>
  <c r="BB22" i="1"/>
  <c r="AZ22" i="1"/>
  <c r="AU22" i="1"/>
  <c r="AO22" i="1"/>
  <c r="AP22" i="1" s="1"/>
  <c r="AK22" i="1"/>
  <c r="AI22" i="1"/>
  <c r="J22" i="1" s="1"/>
  <c r="X22" i="1"/>
  <c r="W22" i="1"/>
  <c r="V22" i="1"/>
  <c r="O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AJ21" i="1" s="1"/>
  <c r="X21" i="1"/>
  <c r="W21" i="1"/>
  <c r="V21" i="1" s="1"/>
  <c r="O21" i="1"/>
  <c r="BU20" i="1"/>
  <c r="BT20" i="1"/>
  <c r="BR20" i="1"/>
  <c r="BS20" i="1" s="1"/>
  <c r="BI20" i="1"/>
  <c r="BH20" i="1"/>
  <c r="BG20" i="1"/>
  <c r="BF20" i="1"/>
  <c r="BE20" i="1"/>
  <c r="AZ20" i="1" s="1"/>
  <c r="BB20" i="1"/>
  <c r="AU20" i="1"/>
  <c r="AO20" i="1"/>
  <c r="AP20" i="1" s="1"/>
  <c r="AK20" i="1"/>
  <c r="AI20" i="1"/>
  <c r="M20" i="1" s="1"/>
  <c r="X20" i="1"/>
  <c r="W20" i="1"/>
  <c r="V20" i="1"/>
  <c r="O20" i="1"/>
  <c r="BU19" i="1"/>
  <c r="BT19" i="1"/>
  <c r="BR19" i="1"/>
  <c r="BS19" i="1" s="1"/>
  <c r="BI19" i="1"/>
  <c r="BH19" i="1"/>
  <c r="BG19" i="1"/>
  <c r="BF19" i="1"/>
  <c r="BE19" i="1"/>
  <c r="BB19" i="1"/>
  <c r="AZ19" i="1"/>
  <c r="AU19" i="1"/>
  <c r="AO19" i="1"/>
  <c r="AP19" i="1" s="1"/>
  <c r="AK19" i="1"/>
  <c r="AI19" i="1"/>
  <c r="M19" i="1" s="1"/>
  <c r="X19" i="1"/>
  <c r="W19" i="1"/>
  <c r="V19" i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P18" i="1"/>
  <c r="AO18" i="1"/>
  <c r="AK18" i="1"/>
  <c r="AI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O17" i="1"/>
  <c r="AP17" i="1" s="1"/>
  <c r="AK17" i="1"/>
  <c r="AI17" i="1"/>
  <c r="J17" i="1" s="1"/>
  <c r="X17" i="1"/>
  <c r="W17" i="1"/>
  <c r="V17" i="1"/>
  <c r="O17" i="1"/>
  <c r="AW30" i="1" l="1"/>
  <c r="R30" i="1"/>
  <c r="S26" i="1"/>
  <c r="T26" i="1" s="1"/>
  <c r="AW21" i="1"/>
  <c r="R21" i="1"/>
  <c r="R25" i="1"/>
  <c r="AW25" i="1"/>
  <c r="AY25" i="1" s="1"/>
  <c r="AY27" i="1"/>
  <c r="AY23" i="1"/>
  <c r="AY19" i="1"/>
  <c r="R24" i="1"/>
  <c r="AW24" i="1"/>
  <c r="AY24" i="1" s="1"/>
  <c r="R20" i="1"/>
  <c r="AW20" i="1"/>
  <c r="AY20" i="1" s="1"/>
  <c r="R28" i="1"/>
  <c r="AW28" i="1"/>
  <c r="AY28" i="1" s="1"/>
  <c r="I18" i="1"/>
  <c r="AX18" i="1" s="1"/>
  <c r="BA18" i="1" s="1"/>
  <c r="H18" i="1"/>
  <c r="J18" i="1"/>
  <c r="AJ18" i="1"/>
  <c r="M18" i="1"/>
  <c r="R27" i="1"/>
  <c r="AW27" i="1"/>
  <c r="R31" i="1"/>
  <c r="AW31" i="1"/>
  <c r="AY21" i="1"/>
  <c r="R29" i="1"/>
  <c r="AW29" i="1"/>
  <c r="AY29" i="1" s="1"/>
  <c r="AW17" i="1"/>
  <c r="AY17" i="1" s="1"/>
  <c r="R17" i="1"/>
  <c r="J27" i="1"/>
  <c r="M27" i="1"/>
  <c r="AJ27" i="1"/>
  <c r="H27" i="1"/>
  <c r="I27" i="1"/>
  <c r="AX27" i="1" s="1"/>
  <c r="BA27" i="1" s="1"/>
  <c r="AY31" i="1"/>
  <c r="AY22" i="1"/>
  <c r="AY18" i="1"/>
  <c r="AW23" i="1"/>
  <c r="R23" i="1"/>
  <c r="R22" i="1"/>
  <c r="AW22" i="1"/>
  <c r="R18" i="1"/>
  <c r="AW18" i="1"/>
  <c r="Z26" i="1"/>
  <c r="P26" i="1"/>
  <c r="N26" i="1" s="1"/>
  <c r="Q26" i="1" s="1"/>
  <c r="K26" i="1" s="1"/>
  <c r="L26" i="1" s="1"/>
  <c r="AY30" i="1"/>
  <c r="R19" i="1"/>
  <c r="AW19" i="1"/>
  <c r="AJ22" i="1"/>
  <c r="H17" i="1"/>
  <c r="M17" i="1"/>
  <c r="I22" i="1"/>
  <c r="AX22" i="1" s="1"/>
  <c r="BA22" i="1" s="1"/>
  <c r="I21" i="1"/>
  <c r="AX21" i="1" s="1"/>
  <c r="BA21" i="1" s="1"/>
  <c r="J26" i="1"/>
  <c r="M26" i="1"/>
  <c r="I25" i="1"/>
  <c r="AX25" i="1" s="1"/>
  <c r="BA25" i="1" s="1"/>
  <c r="AJ24" i="1"/>
  <c r="I24" i="1"/>
  <c r="AX24" i="1" s="1"/>
  <c r="BA24" i="1" s="1"/>
  <c r="I19" i="1"/>
  <c r="AX19" i="1" s="1"/>
  <c r="BA19" i="1" s="1"/>
  <c r="J19" i="1"/>
  <c r="AJ28" i="1"/>
  <c r="AJ17" i="1"/>
  <c r="H22" i="1"/>
  <c r="H31" i="1"/>
  <c r="H21" i="1"/>
  <c r="I26" i="1"/>
  <c r="AX26" i="1" s="1"/>
  <c r="BA26" i="1" s="1"/>
  <c r="J21" i="1"/>
  <c r="H30" i="1"/>
  <c r="I30" i="1"/>
  <c r="AX30" i="1" s="1"/>
  <c r="BA30" i="1" s="1"/>
  <c r="M21" i="1"/>
  <c r="J30" i="1"/>
  <c r="I20" i="1"/>
  <c r="AX20" i="1" s="1"/>
  <c r="J20" i="1"/>
  <c r="AJ29" i="1"/>
  <c r="M30" i="1"/>
  <c r="AJ19" i="1"/>
  <c r="H24" i="1"/>
  <c r="I29" i="1"/>
  <c r="AX29" i="1" s="1"/>
  <c r="BA29" i="1" s="1"/>
  <c r="AJ23" i="1"/>
  <c r="H28" i="1"/>
  <c r="M29" i="1"/>
  <c r="AJ26" i="1"/>
  <c r="I31" i="1"/>
  <c r="AX31" i="1" s="1"/>
  <c r="BA31" i="1" s="1"/>
  <c r="H20" i="1"/>
  <c r="H29" i="1"/>
  <c r="H23" i="1"/>
  <c r="M24" i="1"/>
  <c r="I28" i="1"/>
  <c r="AX28" i="1" s="1"/>
  <c r="I17" i="1"/>
  <c r="AX17" i="1" s="1"/>
  <c r="AJ31" i="1"/>
  <c r="M22" i="1"/>
  <c r="J31" i="1"/>
  <c r="AJ20" i="1"/>
  <c r="M25" i="1"/>
  <c r="H19" i="1"/>
  <c r="I23" i="1"/>
  <c r="AX23" i="1" s="1"/>
  <c r="BA23" i="1" s="1"/>
  <c r="AJ25" i="1"/>
  <c r="H25" i="1"/>
  <c r="Z17" i="1" l="1"/>
  <c r="S19" i="1"/>
  <c r="T19" i="1" s="1"/>
  <c r="S21" i="1"/>
  <c r="T21" i="1" s="1"/>
  <c r="Z31" i="1"/>
  <c r="Z28" i="1"/>
  <c r="S28" i="1"/>
  <c r="T28" i="1" s="1"/>
  <c r="P28" i="1" s="1"/>
  <c r="N28" i="1" s="1"/>
  <c r="Q28" i="1" s="1"/>
  <c r="K28" i="1" s="1"/>
  <c r="L28" i="1" s="1"/>
  <c r="S20" i="1"/>
  <c r="T20" i="1" s="1"/>
  <c r="Z25" i="1"/>
  <c r="S17" i="1"/>
  <c r="T17" i="1" s="1"/>
  <c r="BA20" i="1"/>
  <c r="S29" i="1"/>
  <c r="T29" i="1" s="1"/>
  <c r="P30" i="1"/>
  <c r="N30" i="1" s="1"/>
  <c r="Q30" i="1" s="1"/>
  <c r="K30" i="1" s="1"/>
  <c r="L30" i="1" s="1"/>
  <c r="Z30" i="1"/>
  <c r="S25" i="1"/>
  <c r="T25" i="1" s="1"/>
  <c r="P25" i="1" s="1"/>
  <c r="N25" i="1" s="1"/>
  <c r="Q25" i="1" s="1"/>
  <c r="K25" i="1" s="1"/>
  <c r="L25" i="1" s="1"/>
  <c r="BA17" i="1"/>
  <c r="BA28" i="1"/>
  <c r="Z22" i="1"/>
  <c r="S22" i="1"/>
  <c r="T22" i="1" s="1"/>
  <c r="P22" i="1" s="1"/>
  <c r="N22" i="1" s="1"/>
  <c r="Q22" i="1" s="1"/>
  <c r="K22" i="1" s="1"/>
  <c r="L22" i="1" s="1"/>
  <c r="S31" i="1"/>
  <c r="T31" i="1" s="1"/>
  <c r="P31" i="1" s="1"/>
  <c r="N31" i="1" s="1"/>
  <c r="Q31" i="1" s="1"/>
  <c r="K31" i="1" s="1"/>
  <c r="L31" i="1" s="1"/>
  <c r="Z24" i="1"/>
  <c r="Z19" i="1"/>
  <c r="P19" i="1"/>
  <c r="N19" i="1" s="1"/>
  <c r="Q19" i="1" s="1"/>
  <c r="K19" i="1" s="1"/>
  <c r="L19" i="1" s="1"/>
  <c r="AB26" i="1"/>
  <c r="AA26" i="1"/>
  <c r="U26" i="1"/>
  <c r="Y26" i="1" s="1"/>
  <c r="Z18" i="1"/>
  <c r="P18" i="1"/>
  <c r="N18" i="1" s="1"/>
  <c r="Q18" i="1" s="1"/>
  <c r="K18" i="1" s="1"/>
  <c r="L18" i="1" s="1"/>
  <c r="P27" i="1"/>
  <c r="N27" i="1" s="1"/>
  <c r="Q27" i="1" s="1"/>
  <c r="K27" i="1" s="1"/>
  <c r="L27" i="1" s="1"/>
  <c r="Z27" i="1"/>
  <c r="S24" i="1"/>
  <c r="T24" i="1" s="1"/>
  <c r="P24" i="1" s="1"/>
  <c r="N24" i="1" s="1"/>
  <c r="Q24" i="1" s="1"/>
  <c r="K24" i="1" s="1"/>
  <c r="L24" i="1" s="1"/>
  <c r="P21" i="1"/>
  <c r="N21" i="1" s="1"/>
  <c r="Q21" i="1" s="1"/>
  <c r="K21" i="1" s="1"/>
  <c r="L21" i="1" s="1"/>
  <c r="Z21" i="1"/>
  <c r="Z23" i="1"/>
  <c r="Z29" i="1"/>
  <c r="S23" i="1"/>
  <c r="T23" i="1" s="1"/>
  <c r="S27" i="1"/>
  <c r="T27" i="1" s="1"/>
  <c r="S30" i="1"/>
  <c r="T30" i="1" s="1"/>
  <c r="S18" i="1"/>
  <c r="T18" i="1" s="1"/>
  <c r="Z20" i="1"/>
  <c r="U29" i="1" l="1"/>
  <c r="Y29" i="1" s="1"/>
  <c r="AA29" i="1"/>
  <c r="AB29" i="1"/>
  <c r="AC29" i="1" s="1"/>
  <c r="AC26" i="1"/>
  <c r="AB27" i="1"/>
  <c r="U27" i="1"/>
  <c r="Y27" i="1" s="1"/>
  <c r="AA27" i="1"/>
  <c r="U30" i="1"/>
  <c r="Y30" i="1" s="1"/>
  <c r="AB30" i="1"/>
  <c r="AA30" i="1"/>
  <c r="U19" i="1"/>
  <c r="Y19" i="1" s="1"/>
  <c r="AB19" i="1"/>
  <c r="AC19" i="1" s="1"/>
  <c r="AA19" i="1"/>
  <c r="AB20" i="1"/>
  <c r="AC20" i="1" s="1"/>
  <c r="AA20" i="1"/>
  <c r="U20" i="1"/>
  <c r="Y20" i="1" s="1"/>
  <c r="AA31" i="1"/>
  <c r="U31" i="1"/>
  <c r="Y31" i="1" s="1"/>
  <c r="AB31" i="1"/>
  <c r="AC31" i="1" s="1"/>
  <c r="AB23" i="1"/>
  <c r="U23" i="1"/>
  <c r="Y23" i="1" s="1"/>
  <c r="AA23" i="1"/>
  <c r="AB25" i="1"/>
  <c r="AA25" i="1"/>
  <c r="U25" i="1"/>
  <c r="Y25" i="1" s="1"/>
  <c r="AB24" i="1"/>
  <c r="U24" i="1"/>
  <c r="Y24" i="1" s="1"/>
  <c r="AA24" i="1"/>
  <c r="AB17" i="1"/>
  <c r="U17" i="1"/>
  <c r="Y17" i="1" s="1"/>
  <c r="AA17" i="1"/>
  <c r="P20" i="1"/>
  <c r="N20" i="1" s="1"/>
  <c r="Q20" i="1" s="1"/>
  <c r="K20" i="1" s="1"/>
  <c r="L20" i="1" s="1"/>
  <c r="AB18" i="1"/>
  <c r="U18" i="1"/>
  <c r="Y18" i="1" s="1"/>
  <c r="AA18" i="1"/>
  <c r="U21" i="1"/>
  <c r="Y21" i="1" s="1"/>
  <c r="AB21" i="1"/>
  <c r="AA21" i="1"/>
  <c r="P23" i="1"/>
  <c r="N23" i="1" s="1"/>
  <c r="Q23" i="1" s="1"/>
  <c r="K23" i="1" s="1"/>
  <c r="L23" i="1" s="1"/>
  <c r="P17" i="1"/>
  <c r="N17" i="1" s="1"/>
  <c r="Q17" i="1" s="1"/>
  <c r="K17" i="1" s="1"/>
  <c r="L17" i="1" s="1"/>
  <c r="AB28" i="1"/>
  <c r="U28" i="1"/>
  <c r="Y28" i="1" s="1"/>
  <c r="AA28" i="1"/>
  <c r="AB22" i="1"/>
  <c r="U22" i="1"/>
  <c r="Y22" i="1" s="1"/>
  <c r="AA22" i="1"/>
  <c r="P29" i="1"/>
  <c r="N29" i="1" s="1"/>
  <c r="Q29" i="1" s="1"/>
  <c r="K29" i="1" s="1"/>
  <c r="L29" i="1" s="1"/>
  <c r="AC30" i="1" l="1"/>
  <c r="AC22" i="1"/>
  <c r="AC28" i="1"/>
  <c r="AC21" i="1"/>
  <c r="AC18" i="1"/>
  <c r="AC27" i="1"/>
  <c r="AC24" i="1"/>
  <c r="AC25" i="1"/>
  <c r="AC23" i="1"/>
  <c r="AC17" i="1"/>
</calcChain>
</file>

<file path=xl/sharedStrings.xml><?xml version="1.0" encoding="utf-8"?>
<sst xmlns="http://schemas.openxmlformats.org/spreadsheetml/2006/main" count="788" uniqueCount="360">
  <si>
    <t>File opened</t>
  </si>
  <si>
    <t>2020-08-07 10:36:44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</si>
  <si>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</si>
  <si>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</si>
  <si>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</si>
  <si>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</si>
  <si>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</si>
  <si>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</si>
  <si>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</si>
  <si>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</si>
  <si>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</si>
  <si>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</si>
  <si>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</si>
  <si>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{"co2aspanconc1": "1002", "chamberpressurezero": "2.59209", "co2azero": "0.869071", "h2oaspan1": "1.00223", "h2oazero": "1.00263", "ssb_ref": "36526.8", "h2obspan2a": "0.0975941", "tazero": "0.00774765", "co2aspan2b": "0.163711", "co2aspan2a": "0.164928", "h2oaspanconc2": "0", "h2oaspan2a": "0.0661155", "co2bspanconc1": "1002", "h2oaspan2b": "0.0662632", "h2obspan2b": "0.0963575", "co2aspanconc2": "0", "h2obspanconc1": "20", "co2aspan2": "0", "flowazero": "0.42932", "h2obspan1": "0.998578", "oxygen": "21", "co2bspan2a": "0.163389", "co2bspan1": "0.992131", "h2oaspan2": "0", "h2oaspanconc1": "12.19", "h2obzero": "1.01783", "tbzero": "0.197721", "co2aspan1": "0.992625", "h2obspan2": "0", "co2bzero": "0.880288", "flowmeterzero": "0.990908", "ssa_ref": "36614.9", "co2bspan2": "0", "h2obspanconc2": "0", "co2bspanconc2": "0", "co2bspan2b": "0.162103", "flowbzero": "0.22736"}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</si>
  <si>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</si>
  <si>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</si>
  <si>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</si>
  <si>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</si>
  <si>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</si>
  <si>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</si>
  <si>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</si>
  <si>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</si>
  <si>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</si>
  <si>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10:36:44</t>
  </si>
  <si>
    <t>Stability Definition:	CO2_s (Meas): Slp&lt;0.3	H2O_s (Meas): Slp&lt;0.2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</si>
  <si>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</si>
  <si>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</si>
  <si>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</si>
  <si>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</si>
  <si>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</si>
  <si>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</si>
  <si>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</si>
  <si>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</si>
  <si>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</si>
  <si>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</si>
  <si>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</si>
  <si>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</si>
  <si>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</si>
  <si>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</si>
  <si>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</si>
  <si>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</si>
  <si>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</si>
  <si>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</si>
  <si>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</si>
  <si>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</si>
  <si>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</si>
  <si>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</si>
  <si>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</si>
  <si>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</si>
  <si>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</si>
  <si>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</si>
  <si>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</si>
  <si>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</si>
  <si>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</si>
  <si>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</si>
  <si>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</si>
  <si>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</si>
  <si>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</si>
  <si>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</si>
  <si>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</si>
  <si>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</si>
  <si>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</si>
  <si>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</si>
  <si>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</si>
  <si>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</si>
  <si>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</si>
  <si>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</si>
  <si>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</si>
  <si>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</si>
  <si>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</si>
  <si>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</si>
  <si>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3.02491 76.925 386.185 618.874 847.247 1053.45 1228.52 1400.43</t>
  </si>
  <si>
    <t>Fs_true</t>
  </si>
  <si>
    <t>0.304308 100.02 403.273 601.289 800.851 1000.77 1199.91 1400.15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</si>
  <si>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</si>
  <si>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</si>
  <si>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</si>
  <si>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</si>
  <si>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</si>
  <si>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</si>
  <si>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</si>
  <si>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</si>
  <si>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</si>
  <si>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</si>
  <si>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</si>
  <si>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</si>
  <si>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</si>
  <si>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</si>
  <si>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</si>
  <si>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</si>
  <si>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</si>
  <si>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</si>
  <si>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</si>
  <si>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</si>
  <si>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</si>
  <si>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</si>
  <si>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</si>
  <si>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</si>
  <si>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</si>
  <si>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</si>
  <si>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</si>
  <si>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</si>
  <si>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</si>
  <si>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</si>
  <si>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</si>
  <si>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</si>
  <si>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</si>
  <si>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</si>
  <si>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</si>
  <si>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</si>
  <si>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</si>
  <si>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</si>
  <si>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</si>
  <si>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</si>
  <si>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</si>
  <si>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</si>
  <si>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</si>
  <si>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</si>
  <si>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</si>
  <si>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</si>
  <si>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</si>
  <si>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</si>
  <si>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</si>
  <si>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</si>
  <si>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</si>
  <si>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</si>
  <si>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</si>
  <si>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</si>
  <si>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</si>
  <si>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</si>
  <si>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</si>
  <si>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</si>
  <si>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</si>
  <si>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</si>
  <si>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</si>
  <si>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</si>
  <si>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</si>
  <si>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</si>
  <si>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</si>
  <si>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</si>
  <si>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</si>
  <si>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</si>
  <si>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</si>
  <si>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</si>
  <si>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</si>
  <si>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</si>
  <si>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</si>
  <si>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</si>
  <si>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</si>
  <si>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</si>
  <si>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</si>
  <si>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</si>
  <si>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</si>
  <si>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</si>
  <si>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</si>
  <si>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</si>
  <si>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</si>
  <si>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</si>
  <si>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</si>
  <si>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</si>
  <si>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</si>
  <si>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</si>
  <si>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</si>
  <si>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</si>
  <si>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</si>
  <si>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</si>
  <si>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</si>
  <si>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</si>
  <si>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</si>
  <si>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</si>
  <si>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</si>
  <si>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</si>
  <si>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</si>
  <si>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</si>
  <si>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</si>
  <si>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</si>
  <si>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</si>
  <si>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</si>
  <si>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</si>
  <si>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</si>
  <si>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</si>
  <si>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</si>
  <si>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</si>
  <si>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</si>
  <si>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</si>
  <si>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</si>
  <si>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</si>
  <si>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</si>
  <si>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</si>
  <si>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</si>
  <si>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</si>
  <si>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</si>
  <si>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</si>
  <si>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</si>
  <si>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</si>
  <si>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</si>
  <si>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</si>
  <si>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</si>
  <si>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</si>
  <si>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</si>
  <si>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</si>
  <si>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</si>
  <si>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</si>
  <si>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</si>
  <si>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</si>
  <si>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</si>
  <si>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</si>
  <si>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</si>
  <si>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</si>
  <si>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</si>
  <si>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</si>
  <si>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</si>
  <si>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</si>
  <si>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</si>
  <si>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</si>
  <si>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</si>
  <si>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</si>
  <si>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</si>
  <si>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</si>
  <si>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</si>
  <si>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</si>
  <si>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</si>
  <si>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</si>
  <si>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</si>
  <si>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</si>
  <si>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</si>
  <si>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</si>
  <si>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</si>
  <si>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</si>
  <si>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</si>
  <si>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</si>
  <si>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</si>
  <si>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</si>
  <si>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</si>
  <si>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</si>
  <si>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</si>
  <si>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</si>
  <si>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</si>
  <si>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</si>
  <si>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</si>
  <si>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</si>
  <si>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</si>
  <si>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</si>
  <si>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</si>
  <si>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</si>
  <si>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</si>
  <si>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</si>
  <si>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</si>
  <si>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</si>
  <si>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</si>
  <si>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</si>
  <si>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</si>
  <si>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</si>
  <si>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</si>
  <si>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</si>
  <si>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</si>
  <si>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</si>
  <si>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</si>
  <si>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</si>
  <si>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</si>
  <si>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</si>
  <si>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</si>
  <si>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</si>
  <si>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</si>
  <si>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</si>
  <si>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</si>
  <si>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</si>
  <si>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</si>
  <si>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</si>
  <si>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</si>
  <si>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</si>
  <si>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</si>
  <si>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</si>
  <si>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</si>
  <si>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</si>
  <si>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</si>
  <si>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</si>
  <si>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20200807 10:48:33</t>
  </si>
  <si>
    <t>10:48:33</t>
  </si>
  <si>
    <t>MPF-5729-20200807-10_48_35</t>
  </si>
  <si>
    <t>DARK-5730-20200807-10_48_42</t>
  </si>
  <si>
    <t>0: Broadleaf</t>
  </si>
  <si>
    <t>10:48:59</t>
  </si>
  <si>
    <t>2/2</t>
  </si>
  <si>
    <t>5</t>
  </si>
  <si>
    <t>11111111</t>
  </si>
  <si>
    <t>oooooooo</t>
  </si>
  <si>
    <t>off</t>
  </si>
  <si>
    <t>20200807 10:50:33</t>
  </si>
  <si>
    <t>10:50:33</t>
  </si>
  <si>
    <t>MPF-5731-20200807-10_50_35</t>
  </si>
  <si>
    <t>DARK-5732-20200807-10_50_42</t>
  </si>
  <si>
    <t>10:50:54</t>
  </si>
  <si>
    <t>20200807 10:52:56</t>
  </si>
  <si>
    <t>10:52:56</t>
  </si>
  <si>
    <t>MPF-5733-20200807-10_52_57</t>
  </si>
  <si>
    <t>DARK-5734-20200807-10_53_05</t>
  </si>
  <si>
    <t>10:53:19</t>
  </si>
  <si>
    <t>0/2</t>
  </si>
  <si>
    <t>20200807 10:54:56</t>
  </si>
  <si>
    <t>10:54:56</t>
  </si>
  <si>
    <t>MPF-5735-20200807-10_54_57</t>
  </si>
  <si>
    <t>DARK-5736-20200807-10_55_05</t>
  </si>
  <si>
    <t>10:55:16</t>
  </si>
  <si>
    <t>20200807 10:56:47</t>
  </si>
  <si>
    <t>10:56:47</t>
  </si>
  <si>
    <t>MPF-5737-20200807-10_56_49</t>
  </si>
  <si>
    <t>DARK-5738-20200807-10_56_56</t>
  </si>
  <si>
    <t>10:57:11</t>
  </si>
  <si>
    <t>20200807 10:58:43</t>
  </si>
  <si>
    <t>10:58:43</t>
  </si>
  <si>
    <t>MPF-5739-20200807-10_58_44</t>
  </si>
  <si>
    <t>DARK-5740-20200807-10_58_52</t>
  </si>
  <si>
    <t>10:59:04</t>
  </si>
  <si>
    <t>20200807 11:00:35</t>
  </si>
  <si>
    <t>11:00:35</t>
  </si>
  <si>
    <t>MPF-5741-20200807-11_00_37</t>
  </si>
  <si>
    <t>DARK-5742-20200807-11_00_45</t>
  </si>
  <si>
    <t>11:00:58</t>
  </si>
  <si>
    <t>20200807 11:02:29</t>
  </si>
  <si>
    <t>11:02:29</t>
  </si>
  <si>
    <t>MPF-5743-20200807-11_02_31</t>
  </si>
  <si>
    <t>DARK-5744-20200807-11_02_39</t>
  </si>
  <si>
    <t>11:02:58</t>
  </si>
  <si>
    <t>20200807 11:04:42</t>
  </si>
  <si>
    <t>11:04:42</t>
  </si>
  <si>
    <t>MPF-5745-20200807-11_04_44</t>
  </si>
  <si>
    <t>DARK-5746-20200807-11_04_51</t>
  </si>
  <si>
    <t>11:05:15</t>
  </si>
  <si>
    <t>20200807 11:07:09</t>
  </si>
  <si>
    <t>11:07:09</t>
  </si>
  <si>
    <t>MPF-5747-20200807-11_07_11</t>
  </si>
  <si>
    <t>DARK-5748-20200807-11_07_19</t>
  </si>
  <si>
    <t>11:07:31</t>
  </si>
  <si>
    <t>20200807 11:09:20</t>
  </si>
  <si>
    <t>11:09:20</t>
  </si>
  <si>
    <t>MPF-5749-20200807-11_09_21</t>
  </si>
  <si>
    <t>DARK-5750-20200807-11_09_29</t>
  </si>
  <si>
    <t>11:09:46</t>
  </si>
  <si>
    <t>20200807 11:11:47</t>
  </si>
  <si>
    <t>11:11:47</t>
  </si>
  <si>
    <t>MPF-5751-20200807-11_11_49</t>
  </si>
  <si>
    <t>DARK-5752-20200807-11_11_57</t>
  </si>
  <si>
    <t>11:12:09</t>
  </si>
  <si>
    <t>1/2</t>
  </si>
  <si>
    <t>20200807 11:14:07</t>
  </si>
  <si>
    <t>11:14:07</t>
  </si>
  <si>
    <t>MPF-5753-20200807-11_14_08</t>
  </si>
  <si>
    <t>DARK-5754-20200807-11_14_16</t>
  </si>
  <si>
    <t>11:14:31</t>
  </si>
  <si>
    <t>20200807 11:16:33</t>
  </si>
  <si>
    <t>11:16:33</t>
  </si>
  <si>
    <t>MPF-5755-20200807-11_16_34</t>
  </si>
  <si>
    <t>DARK-5756-20200807-11_16_42</t>
  </si>
  <si>
    <t>11:17:00</t>
  </si>
  <si>
    <t>20200807 11:19:01</t>
  </si>
  <si>
    <t>11:19:01</t>
  </si>
  <si>
    <t>MPF-5757-20200807-11_19_03</t>
  </si>
  <si>
    <t>DARK-5758-20200807-11_19_10</t>
  </si>
  <si>
    <t>11:19:23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</si>
</sst>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1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1596815313.5999999</v>
      </c>
      <c r="C17">
        <v>0</v>
      </c>
      <c r="D17" t="s">
        <v>277</v>
      </c>
      <c r="E17" t="s">
        <v>278</v>
      </c>
      <c r="G17">
        <v>1596815305.6129</v>
      </c>
      <c r="H17">
        <f t="shared" ref="H17:H31" si="0">CC17*AI17*(CA17-CB17)/(100*$B$5*(1000-AI17*CA17))</f>
        <v>2.5215809355135419E-3</v>
      </c>
      <c r="I17">
        <f t="shared" ref="I17:I31" si="1">CC17*AI17*(BZ17-BY17*(1000-AI17*CB17)/(1000-AI17*CA17))/(100*$B$5)</f>
        <v>16.025385084147054</v>
      </c>
      <c r="J17">
        <f t="shared" ref="J17:J31" si="2">BY17 - IF(AI17&gt;1, I17*$B$5*100/(AK17*CI17), 0)</f>
        <v>393.19867741935502</v>
      </c>
      <c r="K17">
        <f t="shared" ref="K17:K31" si="3">((Q17-H17/2)*J17-I17)/(Q17+H17/2)</f>
        <v>200.35142952487743</v>
      </c>
      <c r="L17">
        <f t="shared" ref="L17:L31" si="4">K17*(CD17+CE17)/1000</f>
        <v>20.020630949096574</v>
      </c>
      <c r="M17">
        <f t="shared" ref="M17:M31" si="5">(BY17 - IF(AI17&gt;1, I17*$B$5*100/(AK17*CI17), 0))*(CD17+CE17)/1000</f>
        <v>39.291387283604642</v>
      </c>
      <c r="N17">
        <f t="shared" ref="N17:N31" si="6">2/((1/P17-1/O17)+SIGN(P17)*SQRT((1/P17-1/O17)*(1/P17-1/O17) + 4*BV17/((BV17+1)*(BV17+1))*(2*1/P17*1/O17-1/O17*1/O17)))</f>
        <v>0.14193049554401072</v>
      </c>
      <c r="O17">
        <f t="shared" ref="O17:O31" si="7">AF17+AE17*$B$5+AD17*$B$5*$B$5</f>
        <v>3.3946343810221724</v>
      </c>
      <c r="P17">
        <f t="shared" ref="P17:P31" si="8">H17*(1000-(1000*0.61365*EXP(17.502*T17/(240.97+T17))/(CD17+CE17)+CA17)/2)/(1000*0.61365*EXP(17.502*T17/(240.97+T17))/(CD17+CE17)-CA17)</f>
        <v>0.1387143291244822</v>
      </c>
      <c r="Q17">
        <f t="shared" ref="Q17:Q31" si="9">1/((BV17+1)/(N17/1.6)+1/(O17/1.37)) + BV17/((BV17+1)/(N17/1.6) + BV17/(O17/1.37))</f>
        <v>8.6979345488490595E-2</v>
      </c>
      <c r="R17">
        <f t="shared" ref="R17:R31" si="10">(BS17*BU17)</f>
        <v>353.33658829678922</v>
      </c>
      <c r="S17">
        <f t="shared" ref="S17:S31" si="11">(CF17+(R17+2*0.95*0.0000000567*(((CF17+$B$7)+273)^4-(CF17+273)^4)-44100*H17)/(1.84*29.3*O17+8*0.95*0.0000000567*(CF17+273)^3))</f>
        <v>26.955689770526089</v>
      </c>
      <c r="T17">
        <f t="shared" ref="T17:T31" si="12">($C$7*CG17+$D$7*CH17+$E$7*S17)</f>
        <v>27.038516129032299</v>
      </c>
      <c r="U17">
        <f t="shared" ref="U17:U31" si="13">0.61365*EXP(17.502*T17/(240.97+T17))</f>
        <v>3.5872642788069795</v>
      </c>
      <c r="V17">
        <f t="shared" ref="V17:V31" si="14">(W17/X17*100)</f>
        <v>54.867014655815105</v>
      </c>
      <c r="W17">
        <f t="shared" ref="W17:W31" si="15">CA17*(CD17+CE17)/1000</f>
        <v>1.8199043862342299</v>
      </c>
      <c r="X17">
        <f t="shared" ref="X17:X31" si="16">0.61365*EXP(17.502*CF17/(240.97+CF17))</f>
        <v>3.3169371391001068</v>
      </c>
      <c r="Y17">
        <f t="shared" ref="Y17:Y31" si="17">(U17-CA17*(CD17+CE17)/1000)</f>
        <v>1.7673598925727496</v>
      </c>
      <c r="Z17">
        <f t="shared" ref="Z17:Z31" si="18">(-H17*44100)</f>
        <v>-111.2017192561472</v>
      </c>
      <c r="AA17">
        <f t="shared" ref="AA17:AA31" si="19">2*29.3*O17*0.92*(CF17-T17)</f>
        <v>-242.99444283702982</v>
      </c>
      <c r="AB17">
        <f t="shared" ref="AB17:AB31" si="20">2*0.95*0.0000000567*(((CF17+$B$7)+273)^4-(T17+273)^4)</f>
        <v>-15.351884684378316</v>
      </c>
      <c r="AC17">
        <f t="shared" ref="AC17:AC31" si="21">R17+AB17+Z17+AA17</f>
        <v>-16.21145848076614</v>
      </c>
      <c r="AD17">
        <v>-4.1364600072815699E-2</v>
      </c>
      <c r="AE17">
        <v>4.6435387319727697E-2</v>
      </c>
      <c r="AF17">
        <v>3.4672220066739801</v>
      </c>
      <c r="AG17">
        <v>137</v>
      </c>
      <c r="AH17">
        <v>27</v>
      </c>
      <c r="AI17">
        <f t="shared" ref="AI17:AI31" si="22">IF(AG17*$H$13&gt;=AK17,1,(AK17/(AK17-AG17*$H$13)))</f>
        <v>1</v>
      </c>
      <c r="AJ17">
        <f t="shared" ref="AJ17:AJ31" si="23">(AI17-1)*100</f>
        <v>0</v>
      </c>
      <c r="AK17">
        <f t="shared" ref="AK17:AK31" si="24">MAX(0,($B$13+$C$13*CI17)/(1+$D$13*CI17)*CD17/(CF17+273)*$E$13)</f>
        <v>52973.53705939553</v>
      </c>
      <c r="AL17">
        <v>0</v>
      </c>
      <c r="AM17">
        <v>0</v>
      </c>
      <c r="AN17">
        <v>0</v>
      </c>
      <c r="AO17">
        <f t="shared" ref="AO17:AO31" si="25">AN17-AM17</f>
        <v>0</v>
      </c>
      <c r="AP17" t="e">
        <f t="shared" ref="AP17:AP31" si="26">AO17/AN17</f>
        <v>#DIV/0!</v>
      </c>
      <c r="AQ17">
        <v>-1</v>
      </c>
      <c r="AR17" t="s">
        <v>279</v>
      </c>
      <c r="AS17">
        <v>262.25707999999997</v>
      </c>
      <c r="AT17">
        <v>324.04300000000001</v>
      </c>
      <c r="AU17">
        <f t="shared" ref="AU17:AU31" si="27">1-AS17/AT17</f>
        <v>0.19067197871887387</v>
      </c>
      <c r="AV17">
        <v>0.5</v>
      </c>
      <c r="AW17">
        <f t="shared" ref="AW17:AW31" si="28">BS17</f>
        <v>1849.1788158380923</v>
      </c>
      <c r="AX17">
        <f t="shared" ref="AX17:AX31" si="29">I17</f>
        <v>16.025385084147054</v>
      </c>
      <c r="AY17">
        <f t="shared" ref="AY17:AY31" si="30">AU17*AV17*AW17</f>
        <v>176.29329191043655</v>
      </c>
      <c r="AZ17">
        <f t="shared" ref="AZ17:AZ31" si="31">BE17/AT17</f>
        <v>0.43723518175057013</v>
      </c>
      <c r="BA17">
        <f t="shared" ref="BA17:BA31" si="32">(AX17-AQ17)/AW17</f>
        <v>9.2069976890962486E-3</v>
      </c>
      <c r="BB17">
        <f t="shared" ref="BB17:BB31" si="33">(AN17-AT17)/AT17</f>
        <v>-1</v>
      </c>
      <c r="BC17" t="s">
        <v>280</v>
      </c>
      <c r="BD17">
        <v>182.36</v>
      </c>
      <c r="BE17">
        <f t="shared" ref="BE17:BE31" si="34">AT17-BD17</f>
        <v>141.68299999999999</v>
      </c>
      <c r="BF17">
        <f t="shared" ref="BF17:BF31" si="35">(AT17-AS17)/(AT17-BD17)</f>
        <v>0.43608562777468035</v>
      </c>
      <c r="BG17">
        <f t="shared" ref="BG17:BG31" si="36">(AN17-AT17)/(AN17-BD17)</f>
        <v>1.7769412151787671</v>
      </c>
      <c r="BH17">
        <f t="shared" ref="BH17:BH31" si="37">(AT17-AS17)/(AT17-AM17)</f>
        <v>0.19067197871887381</v>
      </c>
      <c r="BI17" t="e">
        <f t="shared" ref="BI17:BI31" si="38">(AN17-AT17)/(AN17-AM17)</f>
        <v>#DIV/0!</v>
      </c>
      <c r="BJ17">
        <v>5729</v>
      </c>
      <c r="BK17">
        <v>300</v>
      </c>
      <c r="BL17">
        <v>300</v>
      </c>
      <c r="BM17">
        <v>300</v>
      </c>
      <c r="BN17">
        <v>9869.2199999999993</v>
      </c>
      <c r="BO17">
        <v>307.08800000000002</v>
      </c>
      <c r="BP17">
        <v>-6.4016300000000002E-3</v>
      </c>
      <c r="BQ17">
        <v>0.60797100000000004</v>
      </c>
      <c r="BR17">
        <f t="shared" ref="BR17:BR31" si="39">$B$11*CJ17+$C$11*CK17+$F$11*CL17</f>
        <v>2199.9922580645198</v>
      </c>
      <c r="BS17">
        <f t="shared" ref="BS17:BS31" si="40">BR17*BT17</f>
        <v>1849.1788158380923</v>
      </c>
      <c r="BT17">
        <f t="shared" ref="BT17:BT31" si="41">($B$11*$D$9+$C$11*$D$9+$F$11*((CY17+CQ17)/MAX(CY17+CQ17+CZ17, 0.1)*$I$9+CZ17/MAX(CY17+CQ17+CZ17, 0.1)*$J$9))/($B$11+$C$11+$F$11)</f>
        <v>0.84053878328869147</v>
      </c>
      <c r="BU17">
        <f t="shared" ref="BU17:BU31" si="42">($B$11*$K$9+$C$11*$K$9+$F$11*((CY17+CQ17)/MAX(CY17+CQ17+CZ17, 0.1)*$P$9+CZ17/MAX(CY17+CQ17+CZ17, 0.1)*$Q$9))/($B$11+$C$11+$F$11)</f>
        <v>0.19107756657738292</v>
      </c>
      <c r="BV17">
        <v>0.5</v>
      </c>
      <c r="BW17" t="s">
        <v>281</v>
      </c>
      <c r="BX17">
        <v>1596815305.6129</v>
      </c>
      <c r="BY17">
        <v>393.19867741935502</v>
      </c>
      <c r="BZ17">
        <v>400.00454838709697</v>
      </c>
      <c r="CA17">
        <v>18.212235483871002</v>
      </c>
      <c r="CB17">
        <v>17.222100000000001</v>
      </c>
      <c r="CC17">
        <v>500.06435483871002</v>
      </c>
      <c r="CD17">
        <v>99.727583870967806</v>
      </c>
      <c r="CE17">
        <v>0.19998338709677399</v>
      </c>
      <c r="CF17">
        <v>25.710761290322601</v>
      </c>
      <c r="CG17">
        <v>27.038516129032299</v>
      </c>
      <c r="CH17">
        <v>999.9</v>
      </c>
      <c r="CI17">
        <v>10002.522903225799</v>
      </c>
      <c r="CJ17">
        <v>0</v>
      </c>
      <c r="CK17">
        <v>220.09322580645201</v>
      </c>
      <c r="CL17">
        <v>2199.9922580645198</v>
      </c>
      <c r="CM17">
        <v>0.98199858064516099</v>
      </c>
      <c r="CN17">
        <v>1.8001790322580601E-2</v>
      </c>
      <c r="CO17">
        <v>0</v>
      </c>
      <c r="CP17">
        <v>262.27148387096798</v>
      </c>
      <c r="CQ17">
        <v>5.00054</v>
      </c>
      <c r="CR17">
        <v>8352.3658064516094</v>
      </c>
      <c r="CS17">
        <v>20590.441935483901</v>
      </c>
      <c r="CT17">
        <v>47.856645161290302</v>
      </c>
      <c r="CU17">
        <v>49.223580645161299</v>
      </c>
      <c r="CV17">
        <v>48.177129032258101</v>
      </c>
      <c r="CW17">
        <v>48.005838709677398</v>
      </c>
      <c r="CX17">
        <v>49.2458064516129</v>
      </c>
      <c r="CY17">
        <v>2155.4816129032301</v>
      </c>
      <c r="CZ17">
        <v>39.510645161290299</v>
      </c>
      <c r="DA17">
        <v>0</v>
      </c>
      <c r="DB17">
        <v>768.70000004768394</v>
      </c>
      <c r="DC17">
        <v>262.25707999999997</v>
      </c>
      <c r="DD17">
        <v>-3.8014615306017201</v>
      </c>
      <c r="DE17">
        <v>-71.116922978565199</v>
      </c>
      <c r="DF17">
        <v>8351.0995999999996</v>
      </c>
      <c r="DG17">
        <v>15</v>
      </c>
      <c r="DH17">
        <v>1596815339.0999999</v>
      </c>
      <c r="DI17" t="s">
        <v>282</v>
      </c>
      <c r="DJ17">
        <v>15</v>
      </c>
      <c r="DK17">
        <v>-0.38900000000000001</v>
      </c>
      <c r="DL17">
        <v>0.128</v>
      </c>
      <c r="DM17">
        <v>400</v>
      </c>
      <c r="DN17">
        <v>17</v>
      </c>
      <c r="DO17">
        <v>0.68</v>
      </c>
      <c r="DP17">
        <v>0.09</v>
      </c>
      <c r="DQ17">
        <v>393.43363461538502</v>
      </c>
      <c r="DR17">
        <v>0.26951728099887801</v>
      </c>
      <c r="DS17">
        <v>3.79361958506826E-2</v>
      </c>
      <c r="DT17">
        <v>1</v>
      </c>
      <c r="DU17">
        <v>18.211228846153801</v>
      </c>
      <c r="DV17">
        <v>0.113036474493556</v>
      </c>
      <c r="DW17">
        <v>1.6129742433663899E-2</v>
      </c>
      <c r="DX17">
        <v>1</v>
      </c>
      <c r="DY17">
        <v>2</v>
      </c>
      <c r="DZ17">
        <v>2</v>
      </c>
      <c r="EA17" t="s">
        <v>283</v>
      </c>
      <c r="EB17">
        <v>1.86676</v>
      </c>
      <c r="EC17">
        <v>1.8632500000000001</v>
      </c>
      <c r="ED17">
        <v>1.8689100000000001</v>
      </c>
      <c r="EE17">
        <v>1.86687</v>
      </c>
      <c r="EF17">
        <v>1.8714900000000001</v>
      </c>
      <c r="EG17">
        <v>1.86405</v>
      </c>
      <c r="EH17">
        <v>1.8656699999999999</v>
      </c>
      <c r="EI17">
        <v>1.86555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-0.38900000000000001</v>
      </c>
      <c r="EX17">
        <v>0.128</v>
      </c>
      <c r="EY17">
        <v>2</v>
      </c>
      <c r="EZ17">
        <v>345.65300000000002</v>
      </c>
      <c r="FA17">
        <v>523.28599999999994</v>
      </c>
      <c r="FB17">
        <v>18.752099999999999</v>
      </c>
      <c r="FC17">
        <v>30.855</v>
      </c>
      <c r="FD17">
        <v>30.0002</v>
      </c>
      <c r="FE17">
        <v>30.861599999999999</v>
      </c>
      <c r="FF17">
        <v>30.866900000000001</v>
      </c>
      <c r="FG17">
        <v>22.0015</v>
      </c>
      <c r="FH17">
        <v>31.880400000000002</v>
      </c>
      <c r="FI17">
        <v>34.440399999999997</v>
      </c>
      <c r="FJ17">
        <v>18.758600000000001</v>
      </c>
      <c r="FK17">
        <v>400</v>
      </c>
      <c r="FL17">
        <v>17.2745</v>
      </c>
      <c r="FM17">
        <v>101.291</v>
      </c>
      <c r="FN17">
        <v>101.72799999999999</v>
      </c>
    </row>
    <row r="18" spans="1:170" x14ac:dyDescent="0.25">
      <c r="A18">
        <v>2</v>
      </c>
      <c r="B18">
        <v>1596815433.5999999</v>
      </c>
      <c r="C18">
        <v>120</v>
      </c>
      <c r="D18" t="s">
        <v>288</v>
      </c>
      <c r="E18" t="s">
        <v>289</v>
      </c>
      <c r="G18">
        <v>1596815425.5999999</v>
      </c>
      <c r="H18">
        <f t="shared" si="0"/>
        <v>2.779073563742514E-3</v>
      </c>
      <c r="I18">
        <f t="shared" si="1"/>
        <v>11.303263320108279</v>
      </c>
      <c r="J18">
        <f t="shared" si="2"/>
        <v>295.14903225806501</v>
      </c>
      <c r="K18">
        <f t="shared" si="3"/>
        <v>171.64998107206881</v>
      </c>
      <c r="L18">
        <f t="shared" si="4"/>
        <v>17.153614596076665</v>
      </c>
      <c r="M18">
        <f t="shared" si="5"/>
        <v>29.495329484680529</v>
      </c>
      <c r="N18">
        <f t="shared" si="6"/>
        <v>0.1582746112963794</v>
      </c>
      <c r="O18">
        <f t="shared" si="7"/>
        <v>3.3919594532981923</v>
      </c>
      <c r="P18">
        <f t="shared" si="8"/>
        <v>0.15428322694370661</v>
      </c>
      <c r="Q18">
        <f t="shared" si="9"/>
        <v>9.6777243258909851E-2</v>
      </c>
      <c r="R18">
        <f t="shared" si="10"/>
        <v>353.33359715548357</v>
      </c>
      <c r="S18">
        <f t="shared" si="11"/>
        <v>26.79065028907813</v>
      </c>
      <c r="T18">
        <f t="shared" si="12"/>
        <v>26.993664516129002</v>
      </c>
      <c r="U18">
        <f t="shared" si="13"/>
        <v>3.5778281085610137</v>
      </c>
      <c r="V18">
        <f t="shared" si="14"/>
        <v>55.415906964759863</v>
      </c>
      <c r="W18">
        <f t="shared" si="15"/>
        <v>1.8264150480883659</v>
      </c>
      <c r="X18">
        <f t="shared" si="16"/>
        <v>3.2958317351908026</v>
      </c>
      <c r="Y18">
        <f t="shared" si="17"/>
        <v>1.7514130604726479</v>
      </c>
      <c r="Z18">
        <f t="shared" si="18"/>
        <v>-122.55714416104487</v>
      </c>
      <c r="AA18">
        <f t="shared" si="19"/>
        <v>-254.27700574325854</v>
      </c>
      <c r="AB18">
        <f t="shared" si="20"/>
        <v>-16.065092724527883</v>
      </c>
      <c r="AC18">
        <f t="shared" si="21"/>
        <v>-39.565645473347701</v>
      </c>
      <c r="AD18">
        <v>-4.1323170698471003E-2</v>
      </c>
      <c r="AE18">
        <v>4.6388879217613199E-2</v>
      </c>
      <c r="AF18">
        <v>3.4644743776568498</v>
      </c>
      <c r="AG18">
        <v>0</v>
      </c>
      <c r="AH18">
        <v>0</v>
      </c>
      <c r="AI18">
        <f t="shared" si="22"/>
        <v>1</v>
      </c>
      <c r="AJ18">
        <f t="shared" si="23"/>
        <v>0</v>
      </c>
      <c r="AK18">
        <f t="shared" si="24"/>
        <v>52941.846259707199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255.00976</v>
      </c>
      <c r="AT18">
        <v>308.82299999999998</v>
      </c>
      <c r="AU18">
        <f t="shared" si="27"/>
        <v>0.17425269490938167</v>
      </c>
      <c r="AV18">
        <v>0.5</v>
      </c>
      <c r="AW18">
        <f t="shared" si="28"/>
        <v>1849.1635839276269</v>
      </c>
      <c r="AX18">
        <f t="shared" si="29"/>
        <v>11.303263320108279</v>
      </c>
      <c r="AY18">
        <f t="shared" si="30"/>
        <v>161.11086891383977</v>
      </c>
      <c r="AZ18">
        <f t="shared" si="31"/>
        <v>0.40645612535335768</v>
      </c>
      <c r="BA18">
        <f t="shared" si="32"/>
        <v>6.65342072872543E-3</v>
      </c>
      <c r="BB18">
        <f t="shared" si="33"/>
        <v>-1</v>
      </c>
      <c r="BC18" t="s">
        <v>291</v>
      </c>
      <c r="BD18">
        <v>183.3</v>
      </c>
      <c r="BE18">
        <f t="shared" si="34"/>
        <v>125.52299999999997</v>
      </c>
      <c r="BF18">
        <f t="shared" si="35"/>
        <v>0.42871218820455209</v>
      </c>
      <c r="BG18">
        <f t="shared" si="36"/>
        <v>1.6847954173486086</v>
      </c>
      <c r="BH18">
        <f t="shared" si="37"/>
        <v>0.17425269490938169</v>
      </c>
      <c r="BI18" t="e">
        <f t="shared" si="38"/>
        <v>#DIV/0!</v>
      </c>
      <c r="BJ18">
        <v>5731</v>
      </c>
      <c r="BK18">
        <v>300</v>
      </c>
      <c r="BL18">
        <v>300</v>
      </c>
      <c r="BM18">
        <v>300</v>
      </c>
      <c r="BN18">
        <v>9866.91</v>
      </c>
      <c r="BO18">
        <v>293.97800000000001</v>
      </c>
      <c r="BP18">
        <v>-6.3999E-3</v>
      </c>
      <c r="BQ18">
        <v>0.52584799999999998</v>
      </c>
      <c r="BR18">
        <f t="shared" si="39"/>
        <v>2199.9741935483898</v>
      </c>
      <c r="BS18">
        <f t="shared" si="40"/>
        <v>1849.1635839276269</v>
      </c>
      <c r="BT18">
        <f t="shared" si="41"/>
        <v>0.84053876147750062</v>
      </c>
      <c r="BU18">
        <f t="shared" si="42"/>
        <v>0.1910775229550013</v>
      </c>
      <c r="BV18">
        <v>0.5</v>
      </c>
      <c r="BW18" t="s">
        <v>281</v>
      </c>
      <c r="BX18">
        <v>1596815425.5999999</v>
      </c>
      <c r="BY18">
        <v>295.14903225806501</v>
      </c>
      <c r="BZ18">
        <v>299.99777419354803</v>
      </c>
      <c r="CA18">
        <v>18.276270967741901</v>
      </c>
      <c r="CB18">
        <v>17.185106451612899</v>
      </c>
      <c r="CC18">
        <v>500.06803225806499</v>
      </c>
      <c r="CD18">
        <v>99.733674193548396</v>
      </c>
      <c r="CE18">
        <v>0.20000764516128999</v>
      </c>
      <c r="CF18">
        <v>25.603164516128999</v>
      </c>
      <c r="CG18">
        <v>26.993664516129002</v>
      </c>
      <c r="CH18">
        <v>999.9</v>
      </c>
      <c r="CI18">
        <v>9991.8945161290303</v>
      </c>
      <c r="CJ18">
        <v>0</v>
      </c>
      <c r="CK18">
        <v>309.82390322580602</v>
      </c>
      <c r="CL18">
        <v>2199.9741935483898</v>
      </c>
      <c r="CM18">
        <v>0.98200200000000004</v>
      </c>
      <c r="CN18">
        <v>1.7998199999999999E-2</v>
      </c>
      <c r="CO18">
        <v>0</v>
      </c>
      <c r="CP18">
        <v>255.030483870968</v>
      </c>
      <c r="CQ18">
        <v>5.00054</v>
      </c>
      <c r="CR18">
        <v>8204.6025806451598</v>
      </c>
      <c r="CS18">
        <v>20590.3129032258</v>
      </c>
      <c r="CT18">
        <v>48.463451612903199</v>
      </c>
      <c r="CU18">
        <v>50.072258064516099</v>
      </c>
      <c r="CV18">
        <v>48.840451612903202</v>
      </c>
      <c r="CW18">
        <v>48.7033225806451</v>
      </c>
      <c r="CX18">
        <v>49.786000000000001</v>
      </c>
      <c r="CY18">
        <v>2155.46483870968</v>
      </c>
      <c r="CZ18">
        <v>39.508709677419397</v>
      </c>
      <c r="DA18">
        <v>0</v>
      </c>
      <c r="DB18">
        <v>119.59999990463299</v>
      </c>
      <c r="DC18">
        <v>255.00976</v>
      </c>
      <c r="DD18">
        <v>-1.8003076824664801</v>
      </c>
      <c r="DE18">
        <v>-36.466923082942102</v>
      </c>
      <c r="DF18">
        <v>8203.6967999999997</v>
      </c>
      <c r="DG18">
        <v>15</v>
      </c>
      <c r="DH18">
        <v>1596815454.5999999</v>
      </c>
      <c r="DI18" t="s">
        <v>292</v>
      </c>
      <c r="DJ18">
        <v>16</v>
      </c>
      <c r="DK18">
        <v>-0.45900000000000002</v>
      </c>
      <c r="DL18">
        <v>0.124</v>
      </c>
      <c r="DM18">
        <v>300</v>
      </c>
      <c r="DN18">
        <v>17</v>
      </c>
      <c r="DO18">
        <v>0.7</v>
      </c>
      <c r="DP18">
        <v>0.06</v>
      </c>
      <c r="DQ18">
        <v>295.20973076923099</v>
      </c>
      <c r="DR18">
        <v>6.8382570177672394E-2</v>
      </c>
      <c r="DS18">
        <v>2.0513705910380601E-2</v>
      </c>
      <c r="DT18">
        <v>1</v>
      </c>
      <c r="DU18">
        <v>18.262044230769199</v>
      </c>
      <c r="DV18">
        <v>0.18755365588442399</v>
      </c>
      <c r="DW18">
        <v>2.92640131683264E-2</v>
      </c>
      <c r="DX18">
        <v>1</v>
      </c>
      <c r="DY18">
        <v>2</v>
      </c>
      <c r="DZ18">
        <v>2</v>
      </c>
      <c r="EA18" t="s">
        <v>283</v>
      </c>
      <c r="EB18">
        <v>1.86676</v>
      </c>
      <c r="EC18">
        <v>1.8632500000000001</v>
      </c>
      <c r="ED18">
        <v>1.8689</v>
      </c>
      <c r="EE18">
        <v>1.86687</v>
      </c>
      <c r="EF18">
        <v>1.8715200000000001</v>
      </c>
      <c r="EG18">
        <v>1.86405</v>
      </c>
      <c r="EH18">
        <v>1.86568</v>
      </c>
      <c r="EI18">
        <v>1.8655600000000001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-0.45900000000000002</v>
      </c>
      <c r="EX18">
        <v>0.124</v>
      </c>
      <c r="EY18">
        <v>2</v>
      </c>
      <c r="EZ18">
        <v>507.88600000000002</v>
      </c>
      <c r="FA18">
        <v>529.43799999999999</v>
      </c>
      <c r="FB18">
        <v>18.840599999999998</v>
      </c>
      <c r="FC18">
        <v>30.890699999999999</v>
      </c>
      <c r="FD18">
        <v>30.000499999999999</v>
      </c>
      <c r="FE18">
        <v>30.8993</v>
      </c>
      <c r="FF18">
        <v>30.9069</v>
      </c>
      <c r="FG18">
        <v>17.555299999999999</v>
      </c>
      <c r="FH18">
        <v>32.453200000000002</v>
      </c>
      <c r="FI18">
        <v>32.946300000000001</v>
      </c>
      <c r="FJ18">
        <v>18.8353</v>
      </c>
      <c r="FK18">
        <v>300</v>
      </c>
      <c r="FL18">
        <v>17.070799999999998</v>
      </c>
      <c r="FM18">
        <v>101.282</v>
      </c>
      <c r="FN18">
        <v>101.72</v>
      </c>
    </row>
    <row r="19" spans="1:170" x14ac:dyDescent="0.25">
      <c r="A19">
        <v>3</v>
      </c>
      <c r="B19">
        <v>1596815576.0999999</v>
      </c>
      <c r="C19">
        <v>262.5</v>
      </c>
      <c r="D19" t="s">
        <v>293</v>
      </c>
      <c r="E19" t="s">
        <v>294</v>
      </c>
      <c r="G19">
        <v>1596815568.1161301</v>
      </c>
      <c r="H19">
        <f t="shared" si="0"/>
        <v>2.5965108330100913E-3</v>
      </c>
      <c r="I19">
        <f t="shared" si="1"/>
        <v>7.1824177925451123</v>
      </c>
      <c r="J19">
        <f t="shared" si="2"/>
        <v>196.912709677419</v>
      </c>
      <c r="K19">
        <f t="shared" si="3"/>
        <v>114.9810970617015</v>
      </c>
      <c r="L19">
        <f t="shared" si="4"/>
        <v>11.491285919293759</v>
      </c>
      <c r="M19">
        <f t="shared" si="5"/>
        <v>19.679584782808647</v>
      </c>
      <c r="N19">
        <f t="shared" si="6"/>
        <v>0.15130261659537891</v>
      </c>
      <c r="O19">
        <f t="shared" si="7"/>
        <v>3.3976778956867291</v>
      </c>
      <c r="P19">
        <f t="shared" si="8"/>
        <v>0.1476567452223502</v>
      </c>
      <c r="Q19">
        <f t="shared" si="9"/>
        <v>9.2605715599732075E-2</v>
      </c>
      <c r="R19">
        <f t="shared" si="10"/>
        <v>353.33768937679559</v>
      </c>
      <c r="S19">
        <f t="shared" si="11"/>
        <v>26.557479456054544</v>
      </c>
      <c r="T19">
        <f t="shared" si="12"/>
        <v>26.768874193548399</v>
      </c>
      <c r="U19">
        <f t="shared" si="13"/>
        <v>3.5308609669047488</v>
      </c>
      <c r="V19">
        <f t="shared" si="14"/>
        <v>56.138514102898206</v>
      </c>
      <c r="W19">
        <f t="shared" si="15"/>
        <v>1.8204779910315856</v>
      </c>
      <c r="X19">
        <f t="shared" si="16"/>
        <v>3.2428325190345602</v>
      </c>
      <c r="Y19">
        <f t="shared" si="17"/>
        <v>1.7103829758731632</v>
      </c>
      <c r="Z19">
        <f t="shared" si="18"/>
        <v>-114.50612773574503</v>
      </c>
      <c r="AA19">
        <f t="shared" si="19"/>
        <v>-263.51288823626214</v>
      </c>
      <c r="AB19">
        <f t="shared" si="20"/>
        <v>-16.579177602387499</v>
      </c>
      <c r="AC19">
        <f t="shared" si="21"/>
        <v>-41.26050419759909</v>
      </c>
      <c r="AD19">
        <v>-4.1411756071595397E-2</v>
      </c>
      <c r="AE19">
        <v>4.64883240594504E-2</v>
      </c>
      <c r="AF19">
        <v>3.4703482718542098</v>
      </c>
      <c r="AG19">
        <v>136</v>
      </c>
      <c r="AH19">
        <v>27</v>
      </c>
      <c r="AI19">
        <f t="shared" si="22"/>
        <v>1</v>
      </c>
      <c r="AJ19">
        <f t="shared" si="23"/>
        <v>0</v>
      </c>
      <c r="AK19">
        <f t="shared" si="24"/>
        <v>53099.364439609351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295</v>
      </c>
      <c r="AS19">
        <v>251.50636</v>
      </c>
      <c r="AT19">
        <v>298.21499999999997</v>
      </c>
      <c r="AU19">
        <f t="shared" si="27"/>
        <v>0.15662739969485096</v>
      </c>
      <c r="AV19">
        <v>0.5</v>
      </c>
      <c r="AW19">
        <f t="shared" si="28"/>
        <v>1849.187438418817</v>
      </c>
      <c r="AX19">
        <f t="shared" si="29"/>
        <v>7.1824177925451123</v>
      </c>
      <c r="AY19">
        <f t="shared" si="30"/>
        <v>144.81671001396083</v>
      </c>
      <c r="AZ19">
        <f t="shared" si="31"/>
        <v>0.39245175460657572</v>
      </c>
      <c r="BA19">
        <f t="shared" si="32"/>
        <v>4.4248720397655553E-3</v>
      </c>
      <c r="BB19">
        <f t="shared" si="33"/>
        <v>-1</v>
      </c>
      <c r="BC19" t="s">
        <v>296</v>
      </c>
      <c r="BD19">
        <v>181.18</v>
      </c>
      <c r="BE19">
        <f t="shared" si="34"/>
        <v>117.03499999999997</v>
      </c>
      <c r="BF19">
        <f t="shared" si="35"/>
        <v>0.39909975648310325</v>
      </c>
      <c r="BG19">
        <f t="shared" si="36"/>
        <v>1.6459598189645654</v>
      </c>
      <c r="BH19">
        <f t="shared" si="37"/>
        <v>0.15662739969485096</v>
      </c>
      <c r="BI19" t="e">
        <f t="shared" si="38"/>
        <v>#DIV/0!</v>
      </c>
      <c r="BJ19">
        <v>5733</v>
      </c>
      <c r="BK19">
        <v>300</v>
      </c>
      <c r="BL19">
        <v>300</v>
      </c>
      <c r="BM19">
        <v>300</v>
      </c>
      <c r="BN19">
        <v>9864.69</v>
      </c>
      <c r="BO19">
        <v>285.74099999999999</v>
      </c>
      <c r="BP19">
        <v>-6.3978799999999999E-3</v>
      </c>
      <c r="BQ19">
        <v>0.59396400000000005</v>
      </c>
      <c r="BR19">
        <f t="shared" si="39"/>
        <v>2200.0029032258099</v>
      </c>
      <c r="BS19">
        <f t="shared" si="40"/>
        <v>1849.187438418817</v>
      </c>
      <c r="BT19">
        <f t="shared" si="41"/>
        <v>0.84053863552061647</v>
      </c>
      <c r="BU19">
        <f t="shared" si="42"/>
        <v>0.19107727104123298</v>
      </c>
      <c r="BV19">
        <v>0.5</v>
      </c>
      <c r="BW19" t="s">
        <v>281</v>
      </c>
      <c r="BX19">
        <v>1596815568.1161301</v>
      </c>
      <c r="BY19">
        <v>196.912709677419</v>
      </c>
      <c r="BZ19">
        <v>199.98980645161299</v>
      </c>
      <c r="CA19">
        <v>18.215590322580599</v>
      </c>
      <c r="CB19">
        <v>17.196032258064498</v>
      </c>
      <c r="CC19">
        <v>500.06251612903202</v>
      </c>
      <c r="CD19">
        <v>99.740645161290303</v>
      </c>
      <c r="CE19">
        <v>0.20000780645161301</v>
      </c>
      <c r="CF19">
        <v>25.3302935483871</v>
      </c>
      <c r="CG19">
        <v>26.768874193548399</v>
      </c>
      <c r="CH19">
        <v>999.9</v>
      </c>
      <c r="CI19">
        <v>10012.614516129001</v>
      </c>
      <c r="CJ19">
        <v>0</v>
      </c>
      <c r="CK19">
        <v>324.84348387096799</v>
      </c>
      <c r="CL19">
        <v>2200.0029032258099</v>
      </c>
      <c r="CM19">
        <v>0.98200548387096798</v>
      </c>
      <c r="CN19">
        <v>1.7994541935483901E-2</v>
      </c>
      <c r="CO19">
        <v>0</v>
      </c>
      <c r="CP19">
        <v>251.505</v>
      </c>
      <c r="CQ19">
        <v>5.00054</v>
      </c>
      <c r="CR19">
        <v>8147.56870967742</v>
      </c>
      <c r="CS19">
        <v>20590.5935483871</v>
      </c>
      <c r="CT19">
        <v>49.1650322580645</v>
      </c>
      <c r="CU19">
        <v>51.060225806451598</v>
      </c>
      <c r="CV19">
        <v>49.602548387096803</v>
      </c>
      <c r="CW19">
        <v>49.624677419354803</v>
      </c>
      <c r="CX19">
        <v>50.475677419354803</v>
      </c>
      <c r="CY19">
        <v>2155.5029032258099</v>
      </c>
      <c r="CZ19">
        <v>39.5</v>
      </c>
      <c r="DA19">
        <v>0</v>
      </c>
      <c r="DB19">
        <v>141.799999952316</v>
      </c>
      <c r="DC19">
        <v>251.50636</v>
      </c>
      <c r="DD19">
        <v>-2.0560769038687199</v>
      </c>
      <c r="DE19">
        <v>-4.3861538518827397</v>
      </c>
      <c r="DF19">
        <v>8147.4488000000001</v>
      </c>
      <c r="DG19">
        <v>15</v>
      </c>
      <c r="DH19">
        <v>1596815599.0999999</v>
      </c>
      <c r="DI19" t="s">
        <v>297</v>
      </c>
      <c r="DJ19">
        <v>17</v>
      </c>
      <c r="DK19">
        <v>-0.38400000000000001</v>
      </c>
      <c r="DL19">
        <v>0.113</v>
      </c>
      <c r="DM19">
        <v>200</v>
      </c>
      <c r="DN19">
        <v>17</v>
      </c>
      <c r="DO19">
        <v>0.48</v>
      </c>
      <c r="DP19">
        <v>0.05</v>
      </c>
      <c r="DQ19">
        <v>196.90494230769201</v>
      </c>
      <c r="DR19">
        <v>-0.64494136902534505</v>
      </c>
      <c r="DS19">
        <v>8.4443520829362698E-2</v>
      </c>
      <c r="DT19">
        <v>0</v>
      </c>
      <c r="DU19">
        <v>18.020269230769198</v>
      </c>
      <c r="DV19">
        <v>1.96092970895412</v>
      </c>
      <c r="DW19">
        <v>0.26273448101608798</v>
      </c>
      <c r="DX19">
        <v>0</v>
      </c>
      <c r="DY19">
        <v>0</v>
      </c>
      <c r="DZ19">
        <v>2</v>
      </c>
      <c r="EA19" t="s">
        <v>298</v>
      </c>
      <c r="EB19">
        <v>1.86676</v>
      </c>
      <c r="EC19">
        <v>1.8632599999999999</v>
      </c>
      <c r="ED19">
        <v>1.8689899999999999</v>
      </c>
      <c r="EE19">
        <v>1.8669</v>
      </c>
      <c r="EF19">
        <v>1.87158</v>
      </c>
      <c r="EG19">
        <v>1.86405</v>
      </c>
      <c r="EH19">
        <v>1.8656900000000001</v>
      </c>
      <c r="EI19">
        <v>1.86558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-0.38400000000000001</v>
      </c>
      <c r="EX19">
        <v>0.113</v>
      </c>
      <c r="EY19">
        <v>2</v>
      </c>
      <c r="EZ19">
        <v>345.69</v>
      </c>
      <c r="FA19">
        <v>519.96799999999996</v>
      </c>
      <c r="FB19">
        <v>18.529699999999998</v>
      </c>
      <c r="FC19">
        <v>31.018899999999999</v>
      </c>
      <c r="FD19">
        <v>29.999700000000001</v>
      </c>
      <c r="FE19">
        <v>30.998799999999999</v>
      </c>
      <c r="FF19">
        <v>31.001300000000001</v>
      </c>
      <c r="FG19">
        <v>12.919499999999999</v>
      </c>
      <c r="FH19">
        <v>34.933</v>
      </c>
      <c r="FI19">
        <v>30.6907</v>
      </c>
      <c r="FJ19">
        <v>18.588899999999999</v>
      </c>
      <c r="FK19">
        <v>200</v>
      </c>
      <c r="FL19">
        <v>16.4193</v>
      </c>
      <c r="FM19">
        <v>101.268</v>
      </c>
      <c r="FN19">
        <v>101.708</v>
      </c>
    </row>
    <row r="20" spans="1:170" x14ac:dyDescent="0.25">
      <c r="A20">
        <v>4</v>
      </c>
      <c r="B20">
        <v>1596815696.0999999</v>
      </c>
      <c r="C20">
        <v>382.5</v>
      </c>
      <c r="D20" t="s">
        <v>299</v>
      </c>
      <c r="E20" t="s">
        <v>300</v>
      </c>
      <c r="G20">
        <v>1596815688.13871</v>
      </c>
      <c r="H20">
        <f t="shared" si="0"/>
        <v>2.8863932678601547E-3</v>
      </c>
      <c r="I20">
        <f t="shared" si="1"/>
        <v>2.5229768866573776</v>
      </c>
      <c r="J20">
        <f t="shared" si="2"/>
        <v>98.849377419354795</v>
      </c>
      <c r="K20">
        <f t="shared" si="3"/>
        <v>70.983278693805062</v>
      </c>
      <c r="L20">
        <f t="shared" si="4"/>
        <v>7.0944578381282879</v>
      </c>
      <c r="M20">
        <f t="shared" si="5"/>
        <v>9.8795484419916804</v>
      </c>
      <c r="N20">
        <f t="shared" si="6"/>
        <v>0.16255373948893978</v>
      </c>
      <c r="O20">
        <f t="shared" si="7"/>
        <v>3.3910209482511</v>
      </c>
      <c r="P20">
        <f t="shared" si="8"/>
        <v>0.1583455721958662</v>
      </c>
      <c r="Q20">
        <f t="shared" si="9"/>
        <v>9.9334995958846317E-2</v>
      </c>
      <c r="R20">
        <f t="shared" si="10"/>
        <v>353.33917305535715</v>
      </c>
      <c r="S20">
        <f t="shared" si="11"/>
        <v>26.92226635993816</v>
      </c>
      <c r="T20">
        <f t="shared" si="12"/>
        <v>27.0753709677419</v>
      </c>
      <c r="U20">
        <f t="shared" si="13"/>
        <v>3.5950342884172821</v>
      </c>
      <c r="V20">
        <f t="shared" si="14"/>
        <v>54.790468138727952</v>
      </c>
      <c r="W20">
        <f t="shared" si="15"/>
        <v>1.8225609531339486</v>
      </c>
      <c r="X20">
        <f t="shared" si="16"/>
        <v>3.3264197497259458</v>
      </c>
      <c r="Y20">
        <f t="shared" si="17"/>
        <v>1.7724733352833335</v>
      </c>
      <c r="Z20">
        <f t="shared" si="18"/>
        <v>-127.28994311263283</v>
      </c>
      <c r="AA20">
        <f t="shared" si="19"/>
        <v>-240.67113689689677</v>
      </c>
      <c r="AB20">
        <f t="shared" si="20"/>
        <v>-15.227787863218023</v>
      </c>
      <c r="AC20">
        <f t="shared" si="21"/>
        <v>-29.849694817390457</v>
      </c>
      <c r="AD20">
        <v>-4.13086385913582E-2</v>
      </c>
      <c r="AE20">
        <v>4.6372565654296698E-2</v>
      </c>
      <c r="AF20">
        <v>3.4635103713079398</v>
      </c>
      <c r="AG20">
        <v>0</v>
      </c>
      <c r="AH20">
        <v>0</v>
      </c>
      <c r="AI20">
        <f t="shared" si="22"/>
        <v>1</v>
      </c>
      <c r="AJ20">
        <f t="shared" si="23"/>
        <v>0</v>
      </c>
      <c r="AK20">
        <f t="shared" si="24"/>
        <v>52896.649064983387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301</v>
      </c>
      <c r="AS20">
        <v>250.13352</v>
      </c>
      <c r="AT20">
        <v>291.14100000000002</v>
      </c>
      <c r="AU20">
        <f t="shared" si="27"/>
        <v>0.14085092790091402</v>
      </c>
      <c r="AV20">
        <v>0.5</v>
      </c>
      <c r="AW20">
        <f t="shared" si="28"/>
        <v>1849.1899351928585</v>
      </c>
      <c r="AX20">
        <f t="shared" si="29"/>
        <v>2.5229768866573776</v>
      </c>
      <c r="AY20">
        <f t="shared" si="30"/>
        <v>130.23005911847258</v>
      </c>
      <c r="AZ20">
        <f t="shared" si="31"/>
        <v>0.37768984787439763</v>
      </c>
      <c r="BA20">
        <f t="shared" si="32"/>
        <v>1.9051460423885305E-3</v>
      </c>
      <c r="BB20">
        <f t="shared" si="33"/>
        <v>-1</v>
      </c>
      <c r="BC20" t="s">
        <v>302</v>
      </c>
      <c r="BD20">
        <v>181.18</v>
      </c>
      <c r="BE20">
        <f t="shared" si="34"/>
        <v>109.96100000000001</v>
      </c>
      <c r="BF20">
        <f t="shared" si="35"/>
        <v>0.37292749247460472</v>
      </c>
      <c r="BG20">
        <f t="shared" si="36"/>
        <v>1.6069157743680318</v>
      </c>
      <c r="BH20">
        <f t="shared" si="37"/>
        <v>0.14085092790091402</v>
      </c>
      <c r="BI20" t="e">
        <f t="shared" si="38"/>
        <v>#DIV/0!</v>
      </c>
      <c r="BJ20">
        <v>5735</v>
      </c>
      <c r="BK20">
        <v>300</v>
      </c>
      <c r="BL20">
        <v>300</v>
      </c>
      <c r="BM20">
        <v>300</v>
      </c>
      <c r="BN20">
        <v>9862.17</v>
      </c>
      <c r="BO20">
        <v>280.13099999999997</v>
      </c>
      <c r="BP20">
        <v>-6.39611E-3</v>
      </c>
      <c r="BQ20">
        <v>0.87164299999999995</v>
      </c>
      <c r="BR20">
        <f t="shared" si="39"/>
        <v>2200.0051612903198</v>
      </c>
      <c r="BS20">
        <f t="shared" si="40"/>
        <v>1849.1899351928585</v>
      </c>
      <c r="BT20">
        <f t="shared" si="41"/>
        <v>0.84053890769433215</v>
      </c>
      <c r="BU20">
        <f t="shared" si="42"/>
        <v>0.19107781538866433</v>
      </c>
      <c r="BV20">
        <v>0.5</v>
      </c>
      <c r="BW20" t="s">
        <v>281</v>
      </c>
      <c r="BX20">
        <v>1596815688.13871</v>
      </c>
      <c r="BY20">
        <v>98.849377419354795</v>
      </c>
      <c r="BZ20">
        <v>99.972538709677394</v>
      </c>
      <c r="CA20">
        <v>18.235551612903201</v>
      </c>
      <c r="CB20">
        <v>17.102206451612901</v>
      </c>
      <c r="CC20">
        <v>500.06977419354803</v>
      </c>
      <c r="CD20">
        <v>99.745480645161294</v>
      </c>
      <c r="CE20">
        <v>0.19999903225806501</v>
      </c>
      <c r="CF20">
        <v>25.7589096774194</v>
      </c>
      <c r="CG20">
        <v>27.0753709677419</v>
      </c>
      <c r="CH20">
        <v>999.9</v>
      </c>
      <c r="CI20">
        <v>9987.1983870967706</v>
      </c>
      <c r="CJ20">
        <v>0</v>
      </c>
      <c r="CK20">
        <v>332.91293548387102</v>
      </c>
      <c r="CL20">
        <v>2200.0051612903198</v>
      </c>
      <c r="CM20">
        <v>0.98199664516129104</v>
      </c>
      <c r="CN20">
        <v>1.8003348387096801E-2</v>
      </c>
      <c r="CO20">
        <v>0</v>
      </c>
      <c r="CP20">
        <v>250.14032258064501</v>
      </c>
      <c r="CQ20">
        <v>5.00054</v>
      </c>
      <c r="CR20">
        <v>8150.2977419354802</v>
      </c>
      <c r="CS20">
        <v>20590.554838709701</v>
      </c>
      <c r="CT20">
        <v>49.739645161290298</v>
      </c>
      <c r="CU20">
        <v>51.779967741935501</v>
      </c>
      <c r="CV20">
        <v>50.231645161290302</v>
      </c>
      <c r="CW20">
        <v>50.274000000000001</v>
      </c>
      <c r="CX20">
        <v>50.989774193548399</v>
      </c>
      <c r="CY20">
        <v>2155.4851612903199</v>
      </c>
      <c r="CZ20">
        <v>39.520000000000003</v>
      </c>
      <c r="DA20">
        <v>0</v>
      </c>
      <c r="DB20">
        <v>119.39999985694899</v>
      </c>
      <c r="DC20">
        <v>250.13352</v>
      </c>
      <c r="DD20">
        <v>-0.24976923868519099</v>
      </c>
      <c r="DE20">
        <v>-6.3492308398085902</v>
      </c>
      <c r="DF20">
        <v>8149.9920000000002</v>
      </c>
      <c r="DG20">
        <v>15</v>
      </c>
      <c r="DH20">
        <v>1596815716.2</v>
      </c>
      <c r="DI20" t="s">
        <v>303</v>
      </c>
      <c r="DJ20">
        <v>18</v>
      </c>
      <c r="DK20">
        <v>-0.35399999999999998</v>
      </c>
      <c r="DL20">
        <v>0.126</v>
      </c>
      <c r="DM20">
        <v>100</v>
      </c>
      <c r="DN20">
        <v>17</v>
      </c>
      <c r="DO20">
        <v>0.35</v>
      </c>
      <c r="DP20">
        <v>0.1</v>
      </c>
      <c r="DQ20">
        <v>98.825050000000005</v>
      </c>
      <c r="DR20">
        <v>-6.60895697394768E-2</v>
      </c>
      <c r="DS20">
        <v>1.2461548551753E-2</v>
      </c>
      <c r="DT20">
        <v>1</v>
      </c>
      <c r="DU20">
        <v>18.205400000000001</v>
      </c>
      <c r="DV20">
        <v>0.169473322729918</v>
      </c>
      <c r="DW20">
        <v>2.33686509271257E-2</v>
      </c>
      <c r="DX20">
        <v>1</v>
      </c>
      <c r="DY20">
        <v>2</v>
      </c>
      <c r="DZ20">
        <v>2</v>
      </c>
      <c r="EA20" t="s">
        <v>283</v>
      </c>
      <c r="EB20">
        <v>1.8667400000000001</v>
      </c>
      <c r="EC20">
        <v>1.8632500000000001</v>
      </c>
      <c r="ED20">
        <v>1.8689</v>
      </c>
      <c r="EE20">
        <v>1.8668499999999999</v>
      </c>
      <c r="EF20">
        <v>1.87151</v>
      </c>
      <c r="EG20">
        <v>1.8640300000000001</v>
      </c>
      <c r="EH20">
        <v>1.8656699999999999</v>
      </c>
      <c r="EI20">
        <v>1.86554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-0.35399999999999998</v>
      </c>
      <c r="EX20">
        <v>0.126</v>
      </c>
      <c r="EY20">
        <v>2</v>
      </c>
      <c r="EZ20">
        <v>507.88799999999998</v>
      </c>
      <c r="FA20">
        <v>526.29100000000005</v>
      </c>
      <c r="FB20">
        <v>18.880099999999999</v>
      </c>
      <c r="FC20">
        <v>31.146699999999999</v>
      </c>
      <c r="FD20">
        <v>30.001100000000001</v>
      </c>
      <c r="FE20">
        <v>31.1143</v>
      </c>
      <c r="FF20">
        <v>31.116299999999999</v>
      </c>
      <c r="FG20">
        <v>8.1091099999999994</v>
      </c>
      <c r="FH20">
        <v>31.960999999999999</v>
      </c>
      <c r="FI20">
        <v>29.203700000000001</v>
      </c>
      <c r="FJ20">
        <v>18.800699999999999</v>
      </c>
      <c r="FK20">
        <v>100</v>
      </c>
      <c r="FL20">
        <v>17.1205</v>
      </c>
      <c r="FM20">
        <v>101.233</v>
      </c>
      <c r="FN20">
        <v>101.675</v>
      </c>
    </row>
    <row r="21" spans="1:170" x14ac:dyDescent="0.25">
      <c r="A21">
        <v>5</v>
      </c>
      <c r="B21">
        <v>1596815807.5999999</v>
      </c>
      <c r="C21">
        <v>494</v>
      </c>
      <c r="D21" t="s">
        <v>304</v>
      </c>
      <c r="E21" t="s">
        <v>305</v>
      </c>
      <c r="G21">
        <v>1596815799.6580601</v>
      </c>
      <c r="H21">
        <f t="shared" si="0"/>
        <v>3.4310976716312737E-3</v>
      </c>
      <c r="I21">
        <f t="shared" si="1"/>
        <v>-6.9120479566222859E-2</v>
      </c>
      <c r="J21">
        <f t="shared" si="2"/>
        <v>49.955180645161299</v>
      </c>
      <c r="K21">
        <f t="shared" si="3"/>
        <v>49.115729990897236</v>
      </c>
      <c r="L21">
        <f t="shared" si="4"/>
        <v>4.909127717018885</v>
      </c>
      <c r="M21">
        <f t="shared" si="5"/>
        <v>4.9930309894467015</v>
      </c>
      <c r="N21">
        <f t="shared" si="6"/>
        <v>0.19751116778210628</v>
      </c>
      <c r="O21">
        <f t="shared" si="7"/>
        <v>3.39454000669524</v>
      </c>
      <c r="P21">
        <f t="shared" si="8"/>
        <v>0.19134164506597767</v>
      </c>
      <c r="Q21">
        <f t="shared" si="9"/>
        <v>0.12012678211212738</v>
      </c>
      <c r="R21">
        <f t="shared" si="10"/>
        <v>353.33871905047249</v>
      </c>
      <c r="S21">
        <f t="shared" si="11"/>
        <v>26.764234883435378</v>
      </c>
      <c r="T21">
        <f t="shared" si="12"/>
        <v>26.958374193548401</v>
      </c>
      <c r="U21">
        <f t="shared" si="13"/>
        <v>3.5704187423814613</v>
      </c>
      <c r="V21">
        <f t="shared" si="14"/>
        <v>55.018392989955181</v>
      </c>
      <c r="W21">
        <f t="shared" si="15"/>
        <v>1.8265211606023553</v>
      </c>
      <c r="X21">
        <f t="shared" si="16"/>
        <v>3.3198373513668908</v>
      </c>
      <c r="Y21">
        <f t="shared" si="17"/>
        <v>1.743897581779106</v>
      </c>
      <c r="Z21">
        <f t="shared" si="18"/>
        <v>-151.31140731893916</v>
      </c>
      <c r="AA21">
        <f t="shared" si="19"/>
        <v>-225.62391816595411</v>
      </c>
      <c r="AB21">
        <f t="shared" si="20"/>
        <v>-14.2501668426899</v>
      </c>
      <c r="AC21">
        <f t="shared" si="21"/>
        <v>-37.846773277110685</v>
      </c>
      <c r="AD21">
        <v>-4.1363138149043403E-2</v>
      </c>
      <c r="AE21">
        <v>4.6433746182221798E-2</v>
      </c>
      <c r="AF21">
        <v>3.46712506692697</v>
      </c>
      <c r="AG21">
        <v>137</v>
      </c>
      <c r="AH21">
        <v>27</v>
      </c>
      <c r="AI21">
        <f t="shared" si="22"/>
        <v>1</v>
      </c>
      <c r="AJ21">
        <f t="shared" si="23"/>
        <v>0</v>
      </c>
      <c r="AK21">
        <f t="shared" si="24"/>
        <v>52969.619912320624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306</v>
      </c>
      <c r="AS21">
        <v>249.92668</v>
      </c>
      <c r="AT21">
        <v>286.39</v>
      </c>
      <c r="AU21">
        <f t="shared" si="27"/>
        <v>0.12732050700094266</v>
      </c>
      <c r="AV21">
        <v>0.5</v>
      </c>
      <c r="AW21">
        <f t="shared" si="28"/>
        <v>1849.1928577736539</v>
      </c>
      <c r="AX21">
        <f t="shared" si="29"/>
        <v>-6.9120479566222859E-2</v>
      </c>
      <c r="AY21">
        <f t="shared" si="30"/>
        <v>117.72008609713184</v>
      </c>
      <c r="AZ21">
        <f t="shared" si="31"/>
        <v>0.35703062257760398</v>
      </c>
      <c r="BA21">
        <f t="shared" si="32"/>
        <v>5.0339774811509639E-4</v>
      </c>
      <c r="BB21">
        <f t="shared" si="33"/>
        <v>-1</v>
      </c>
      <c r="BC21" t="s">
        <v>307</v>
      </c>
      <c r="BD21">
        <v>184.14</v>
      </c>
      <c r="BE21">
        <f t="shared" si="34"/>
        <v>102.25</v>
      </c>
      <c r="BF21">
        <f t="shared" si="35"/>
        <v>0.35660948655256708</v>
      </c>
      <c r="BG21">
        <f t="shared" si="36"/>
        <v>1.5552840230259586</v>
      </c>
      <c r="BH21">
        <f t="shared" si="37"/>
        <v>0.12732050700094272</v>
      </c>
      <c r="BI21" t="e">
        <f t="shared" si="38"/>
        <v>#DIV/0!</v>
      </c>
      <c r="BJ21">
        <v>5737</v>
      </c>
      <c r="BK21">
        <v>300</v>
      </c>
      <c r="BL21">
        <v>300</v>
      </c>
      <c r="BM21">
        <v>300</v>
      </c>
      <c r="BN21">
        <v>9863.7800000000007</v>
      </c>
      <c r="BO21">
        <v>276.31900000000002</v>
      </c>
      <c r="BP21">
        <v>-6.3968200000000001E-3</v>
      </c>
      <c r="BQ21">
        <v>0.78884900000000002</v>
      </c>
      <c r="BR21">
        <f t="shared" si="39"/>
        <v>2200.0093548387099</v>
      </c>
      <c r="BS21">
        <f t="shared" si="40"/>
        <v>1849.1928577736539</v>
      </c>
      <c r="BT21">
        <f t="shared" si="41"/>
        <v>0.84053863394104722</v>
      </c>
      <c r="BU21">
        <f t="shared" si="42"/>
        <v>0.19107726788209459</v>
      </c>
      <c r="BV21">
        <v>0.5</v>
      </c>
      <c r="BW21" t="s">
        <v>281</v>
      </c>
      <c r="BX21">
        <v>1596815799.6580601</v>
      </c>
      <c r="BY21">
        <v>49.955180645161299</v>
      </c>
      <c r="BZ21">
        <v>49.996087096774197</v>
      </c>
      <c r="CA21">
        <v>18.2743096774193</v>
      </c>
      <c r="CB21">
        <v>16.927141935483899</v>
      </c>
      <c r="CC21">
        <v>500.070870967742</v>
      </c>
      <c r="CD21">
        <v>99.750235483870995</v>
      </c>
      <c r="CE21">
        <v>0.19997838709677401</v>
      </c>
      <c r="CF21">
        <v>25.7255</v>
      </c>
      <c r="CG21">
        <v>26.958374193548401</v>
      </c>
      <c r="CH21">
        <v>999.9</v>
      </c>
      <c r="CI21">
        <v>9999.89806451613</v>
      </c>
      <c r="CJ21">
        <v>0</v>
      </c>
      <c r="CK21">
        <v>330.52370967741899</v>
      </c>
      <c r="CL21">
        <v>2200.0093548387099</v>
      </c>
      <c r="CM21">
        <v>0.98200477419354804</v>
      </c>
      <c r="CN21">
        <v>1.7995287096774198E-2</v>
      </c>
      <c r="CO21">
        <v>0</v>
      </c>
      <c r="CP21">
        <v>249.91735483871</v>
      </c>
      <c r="CQ21">
        <v>5.00054</v>
      </c>
      <c r="CR21">
        <v>8170.8874193548399</v>
      </c>
      <c r="CS21">
        <v>20590.651612903199</v>
      </c>
      <c r="CT21">
        <v>49.544064516128998</v>
      </c>
      <c r="CU21">
        <v>51.626870967741901</v>
      </c>
      <c r="CV21">
        <v>50.088419354838699</v>
      </c>
      <c r="CW21">
        <v>49.925064516128998</v>
      </c>
      <c r="CX21">
        <v>50.751677419354799</v>
      </c>
      <c r="CY21">
        <v>2155.5093548387099</v>
      </c>
      <c r="CZ21">
        <v>39.5</v>
      </c>
      <c r="DA21">
        <v>0</v>
      </c>
      <c r="DB21">
        <v>110.59999990463299</v>
      </c>
      <c r="DC21">
        <v>249.92668</v>
      </c>
      <c r="DD21">
        <v>-7.2307585299100701E-3</v>
      </c>
      <c r="DE21">
        <v>3.3384613945516599</v>
      </c>
      <c r="DF21">
        <v>8170.9931999999999</v>
      </c>
      <c r="DG21">
        <v>15</v>
      </c>
      <c r="DH21">
        <v>1596815831.5999999</v>
      </c>
      <c r="DI21" t="s">
        <v>308</v>
      </c>
      <c r="DJ21">
        <v>19</v>
      </c>
      <c r="DK21">
        <v>-0.32200000000000001</v>
      </c>
      <c r="DL21">
        <v>0.122</v>
      </c>
      <c r="DM21">
        <v>50</v>
      </c>
      <c r="DN21">
        <v>17</v>
      </c>
      <c r="DO21">
        <v>0.34</v>
      </c>
      <c r="DP21">
        <v>0.06</v>
      </c>
      <c r="DQ21">
        <v>49.922682692307703</v>
      </c>
      <c r="DR21">
        <v>3.0077548332589299E-2</v>
      </c>
      <c r="DS21">
        <v>1.1748039462523599E-2</v>
      </c>
      <c r="DT21">
        <v>1</v>
      </c>
      <c r="DU21">
        <v>18.274640384615399</v>
      </c>
      <c r="DV21">
        <v>4.4567296380638298E-2</v>
      </c>
      <c r="DW21">
        <v>6.1957882597585799E-3</v>
      </c>
      <c r="DX21">
        <v>1</v>
      </c>
      <c r="DY21">
        <v>2</v>
      </c>
      <c r="DZ21">
        <v>2</v>
      </c>
      <c r="EA21" t="s">
        <v>283</v>
      </c>
      <c r="EB21">
        <v>1.86676</v>
      </c>
      <c r="EC21">
        <v>1.8632500000000001</v>
      </c>
      <c r="ED21">
        <v>1.8689199999999999</v>
      </c>
      <c r="EE21">
        <v>1.8668800000000001</v>
      </c>
      <c r="EF21">
        <v>1.87151</v>
      </c>
      <c r="EG21">
        <v>1.86405</v>
      </c>
      <c r="EH21">
        <v>1.8656900000000001</v>
      </c>
      <c r="EI21">
        <v>1.86557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-0.32200000000000001</v>
      </c>
      <c r="EX21">
        <v>0.122</v>
      </c>
      <c r="EY21">
        <v>2</v>
      </c>
      <c r="EZ21">
        <v>345.161</v>
      </c>
      <c r="FA21">
        <v>518.27700000000004</v>
      </c>
      <c r="FB21">
        <v>19.1953</v>
      </c>
      <c r="FC21">
        <v>31.234200000000001</v>
      </c>
      <c r="FD21">
        <v>30.0002</v>
      </c>
      <c r="FE21">
        <v>31.205100000000002</v>
      </c>
      <c r="FF21">
        <v>31.2056</v>
      </c>
      <c r="FG21">
        <v>5.6774100000000001</v>
      </c>
      <c r="FH21">
        <v>32.555100000000003</v>
      </c>
      <c r="FI21">
        <v>27.3291</v>
      </c>
      <c r="FJ21">
        <v>19.208600000000001</v>
      </c>
      <c r="FK21">
        <v>50</v>
      </c>
      <c r="FL21">
        <v>16.9512</v>
      </c>
      <c r="FM21">
        <v>101.218</v>
      </c>
      <c r="FN21">
        <v>101.661</v>
      </c>
    </row>
    <row r="22" spans="1:170" x14ac:dyDescent="0.25">
      <c r="A22">
        <v>6</v>
      </c>
      <c r="B22">
        <v>1596815923.2</v>
      </c>
      <c r="C22">
        <v>609.60000014305103</v>
      </c>
      <c r="D22" t="s">
        <v>309</v>
      </c>
      <c r="E22" t="s">
        <v>310</v>
      </c>
      <c r="G22">
        <v>1596815915.2</v>
      </c>
      <c r="H22">
        <f t="shared" si="0"/>
        <v>3.6881813445213169E-3</v>
      </c>
      <c r="I22">
        <f t="shared" si="1"/>
        <v>20.665255345549753</v>
      </c>
      <c r="J22">
        <f t="shared" si="2"/>
        <v>391.16803225806501</v>
      </c>
      <c r="K22">
        <f t="shared" si="3"/>
        <v>222.82254968320075</v>
      </c>
      <c r="L22">
        <f t="shared" si="4"/>
        <v>22.272413960098554</v>
      </c>
      <c r="M22">
        <f t="shared" si="5"/>
        <v>39.099527201333579</v>
      </c>
      <c r="N22">
        <f t="shared" si="6"/>
        <v>0.21335204437552172</v>
      </c>
      <c r="O22">
        <f t="shared" si="7"/>
        <v>3.3927560822074367</v>
      </c>
      <c r="P22">
        <f t="shared" si="8"/>
        <v>0.20616893482715778</v>
      </c>
      <c r="Q22">
        <f t="shared" si="9"/>
        <v>0.1294808112291938</v>
      </c>
      <c r="R22">
        <f t="shared" si="10"/>
        <v>353.33876585993966</v>
      </c>
      <c r="S22">
        <f t="shared" si="11"/>
        <v>26.880484984372348</v>
      </c>
      <c r="T22">
        <f t="shared" si="12"/>
        <v>27.007335483871</v>
      </c>
      <c r="U22">
        <f t="shared" si="13"/>
        <v>3.5807019961674009</v>
      </c>
      <c r="V22">
        <f t="shared" si="14"/>
        <v>54.887419586511456</v>
      </c>
      <c r="W22">
        <f t="shared" si="15"/>
        <v>1.841075235369688</v>
      </c>
      <c r="X22">
        <f t="shared" si="16"/>
        <v>3.3542754409648561</v>
      </c>
      <c r="Y22">
        <f t="shared" si="17"/>
        <v>1.7396267607977129</v>
      </c>
      <c r="Z22">
        <f t="shared" si="18"/>
        <v>-162.64879729339006</v>
      </c>
      <c r="AA22">
        <f t="shared" si="19"/>
        <v>-202.60557131002508</v>
      </c>
      <c r="AB22">
        <f t="shared" si="20"/>
        <v>-12.817390194302757</v>
      </c>
      <c r="AC22">
        <f t="shared" si="21"/>
        <v>-24.732992937778221</v>
      </c>
      <c r="AD22">
        <v>-4.1335507373833E-2</v>
      </c>
      <c r="AE22">
        <v>4.6402728216459202E-2</v>
      </c>
      <c r="AF22">
        <v>3.4652926552698502</v>
      </c>
      <c r="AG22">
        <v>137</v>
      </c>
      <c r="AH22">
        <v>27</v>
      </c>
      <c r="AI22">
        <f t="shared" si="22"/>
        <v>1</v>
      </c>
      <c r="AJ22">
        <f t="shared" si="23"/>
        <v>0</v>
      </c>
      <c r="AK22">
        <f t="shared" si="24"/>
        <v>52904.955689372408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311</v>
      </c>
      <c r="AS22">
        <v>245.99359999999999</v>
      </c>
      <c r="AT22">
        <v>309.49599999999998</v>
      </c>
      <c r="AU22">
        <f t="shared" si="27"/>
        <v>0.20518003463695811</v>
      </c>
      <c r="AV22">
        <v>0.5</v>
      </c>
      <c r="AW22">
        <f t="shared" si="28"/>
        <v>1849.1904480961618</v>
      </c>
      <c r="AX22">
        <f t="shared" si="29"/>
        <v>20.665255345549753</v>
      </c>
      <c r="AY22">
        <f t="shared" si="30"/>
        <v>189.70848009535129</v>
      </c>
      <c r="AZ22">
        <f t="shared" si="31"/>
        <v>0.43101041693592163</v>
      </c>
      <c r="BA22">
        <f t="shared" si="32"/>
        <v>1.1716075738902538E-2</v>
      </c>
      <c r="BB22">
        <f t="shared" si="33"/>
        <v>-1</v>
      </c>
      <c r="BC22" t="s">
        <v>312</v>
      </c>
      <c r="BD22">
        <v>176.1</v>
      </c>
      <c r="BE22">
        <f t="shared" si="34"/>
        <v>133.39599999999999</v>
      </c>
      <c r="BF22">
        <f t="shared" si="35"/>
        <v>0.47604425919817689</v>
      </c>
      <c r="BG22">
        <f t="shared" si="36"/>
        <v>1.7575014196479273</v>
      </c>
      <c r="BH22">
        <f t="shared" si="37"/>
        <v>0.20518003463695814</v>
      </c>
      <c r="BI22" t="e">
        <f t="shared" si="38"/>
        <v>#DIV/0!</v>
      </c>
      <c r="BJ22">
        <v>5739</v>
      </c>
      <c r="BK22">
        <v>300</v>
      </c>
      <c r="BL22">
        <v>300</v>
      </c>
      <c r="BM22">
        <v>300</v>
      </c>
      <c r="BN22">
        <v>9865.7900000000009</v>
      </c>
      <c r="BO22">
        <v>291.06400000000002</v>
      </c>
      <c r="BP22">
        <v>-6.3985300000000004E-3</v>
      </c>
      <c r="BQ22">
        <v>0.100525</v>
      </c>
      <c r="BR22">
        <f t="shared" si="39"/>
        <v>2200.0061290322601</v>
      </c>
      <c r="BS22">
        <f t="shared" si="40"/>
        <v>1849.1904480961618</v>
      </c>
      <c r="BT22">
        <f t="shared" si="41"/>
        <v>0.84053877109405362</v>
      </c>
      <c r="BU22">
        <f t="shared" si="42"/>
        <v>0.19107754218810744</v>
      </c>
      <c r="BV22">
        <v>0.5</v>
      </c>
      <c r="BW22" t="s">
        <v>281</v>
      </c>
      <c r="BX22">
        <v>1596815915.2</v>
      </c>
      <c r="BY22">
        <v>391.16803225806501</v>
      </c>
      <c r="BZ22">
        <v>400.009935483871</v>
      </c>
      <c r="CA22">
        <v>18.418887096774199</v>
      </c>
      <c r="CB22">
        <v>16.970996774193502</v>
      </c>
      <c r="CC22">
        <v>500.07229032258101</v>
      </c>
      <c r="CD22">
        <v>99.755822580645201</v>
      </c>
      <c r="CE22">
        <v>0.20001219354838701</v>
      </c>
      <c r="CF22">
        <v>25.8996580645161</v>
      </c>
      <c r="CG22">
        <v>27.007335483871</v>
      </c>
      <c r="CH22">
        <v>999.9</v>
      </c>
      <c r="CI22">
        <v>9992.6583870967697</v>
      </c>
      <c r="CJ22">
        <v>0</v>
      </c>
      <c r="CK22">
        <v>312.64022580645201</v>
      </c>
      <c r="CL22">
        <v>2200.0061290322601</v>
      </c>
      <c r="CM22">
        <v>0.98200212903225803</v>
      </c>
      <c r="CN22">
        <v>1.7998064516128998E-2</v>
      </c>
      <c r="CO22">
        <v>0</v>
      </c>
      <c r="CP22">
        <v>246.00690322580601</v>
      </c>
      <c r="CQ22">
        <v>5.00054</v>
      </c>
      <c r="CR22">
        <v>8099.6225806451603</v>
      </c>
      <c r="CS22">
        <v>20590.606451612901</v>
      </c>
      <c r="CT22">
        <v>48.937258064516101</v>
      </c>
      <c r="CU22">
        <v>51.189064516129001</v>
      </c>
      <c r="CV22">
        <v>49.562129032257999</v>
      </c>
      <c r="CW22">
        <v>49.417000000000002</v>
      </c>
      <c r="CX22">
        <v>50.215451612903202</v>
      </c>
      <c r="CY22">
        <v>2155.4961290322599</v>
      </c>
      <c r="CZ22">
        <v>39.51</v>
      </c>
      <c r="DA22">
        <v>0</v>
      </c>
      <c r="DB22">
        <v>114.89999985694899</v>
      </c>
      <c r="DC22">
        <v>245.99359999999999</v>
      </c>
      <c r="DD22">
        <v>0.69638460255972401</v>
      </c>
      <c r="DE22">
        <v>-31.2707690334144</v>
      </c>
      <c r="DF22">
        <v>8098.9236000000001</v>
      </c>
      <c r="DG22">
        <v>15</v>
      </c>
      <c r="DH22">
        <v>1596815944.2</v>
      </c>
      <c r="DI22" t="s">
        <v>313</v>
      </c>
      <c r="DJ22">
        <v>20</v>
      </c>
      <c r="DK22">
        <v>-0.35599999999999998</v>
      </c>
      <c r="DL22">
        <v>0.12</v>
      </c>
      <c r="DM22">
        <v>400</v>
      </c>
      <c r="DN22">
        <v>17</v>
      </c>
      <c r="DO22">
        <v>0.14000000000000001</v>
      </c>
      <c r="DP22">
        <v>0.05</v>
      </c>
      <c r="DQ22">
        <v>391.19321153846198</v>
      </c>
      <c r="DR22">
        <v>8.6032613335647795E-2</v>
      </c>
      <c r="DS22">
        <v>1.9440576655806001E-2</v>
      </c>
      <c r="DT22">
        <v>1</v>
      </c>
      <c r="DU22">
        <v>18.4138019230769</v>
      </c>
      <c r="DV22">
        <v>7.6909929138560901E-2</v>
      </c>
      <c r="DW22">
        <v>1.0011637274549999E-2</v>
      </c>
      <c r="DX22">
        <v>1</v>
      </c>
      <c r="DY22">
        <v>2</v>
      </c>
      <c r="DZ22">
        <v>2</v>
      </c>
      <c r="EA22" t="s">
        <v>283</v>
      </c>
      <c r="EB22">
        <v>1.86676</v>
      </c>
      <c r="EC22">
        <v>1.8632500000000001</v>
      </c>
      <c r="ED22">
        <v>1.8689199999999999</v>
      </c>
      <c r="EE22">
        <v>1.86687</v>
      </c>
      <c r="EF22">
        <v>1.87154</v>
      </c>
      <c r="EG22">
        <v>1.8640699999999999</v>
      </c>
      <c r="EH22">
        <v>1.8656699999999999</v>
      </c>
      <c r="EI22">
        <v>1.86554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-0.35599999999999998</v>
      </c>
      <c r="EX22">
        <v>0.12</v>
      </c>
      <c r="EY22">
        <v>2</v>
      </c>
      <c r="EZ22">
        <v>345.38799999999998</v>
      </c>
      <c r="FA22">
        <v>519.00199999999995</v>
      </c>
      <c r="FB22">
        <v>19.700399999999998</v>
      </c>
      <c r="FC22">
        <v>31.274699999999999</v>
      </c>
      <c r="FD22">
        <v>30.000299999999999</v>
      </c>
      <c r="FE22">
        <v>31.269500000000001</v>
      </c>
      <c r="FF22">
        <v>31.2728</v>
      </c>
      <c r="FG22">
        <v>22.040800000000001</v>
      </c>
      <c r="FH22">
        <v>32.229100000000003</v>
      </c>
      <c r="FI22">
        <v>25.8307</v>
      </c>
      <c r="FJ22">
        <v>19.693999999999999</v>
      </c>
      <c r="FK22">
        <v>400</v>
      </c>
      <c r="FL22">
        <v>16.948599999999999</v>
      </c>
      <c r="FM22">
        <v>101.20699999999999</v>
      </c>
      <c r="FN22">
        <v>101.65300000000001</v>
      </c>
    </row>
    <row r="23" spans="1:170" x14ac:dyDescent="0.25">
      <c r="A23">
        <v>7</v>
      </c>
      <c r="B23">
        <v>1596816035.7</v>
      </c>
      <c r="C23">
        <v>722.10000014305103</v>
      </c>
      <c r="D23" t="s">
        <v>314</v>
      </c>
      <c r="E23" t="s">
        <v>315</v>
      </c>
      <c r="G23">
        <v>1596816027.7</v>
      </c>
      <c r="H23">
        <f t="shared" si="0"/>
        <v>3.7699850873990021E-3</v>
      </c>
      <c r="I23">
        <f t="shared" si="1"/>
        <v>21.575085069251891</v>
      </c>
      <c r="J23">
        <f t="shared" si="2"/>
        <v>390.77480645161302</v>
      </c>
      <c r="K23">
        <f t="shared" si="3"/>
        <v>219.93899136426941</v>
      </c>
      <c r="L23">
        <f t="shared" si="4"/>
        <v>21.984608956000564</v>
      </c>
      <c r="M23">
        <f t="shared" si="5"/>
        <v>39.060974392970635</v>
      </c>
      <c r="N23">
        <f t="shared" si="6"/>
        <v>0.21937673272647665</v>
      </c>
      <c r="O23">
        <f t="shared" si="7"/>
        <v>3.3939656382601333</v>
      </c>
      <c r="P23">
        <f t="shared" si="8"/>
        <v>0.21179258328295975</v>
      </c>
      <c r="Q23">
        <f t="shared" si="9"/>
        <v>0.13302992708437583</v>
      </c>
      <c r="R23">
        <f t="shared" si="10"/>
        <v>353.33902327835767</v>
      </c>
      <c r="S23">
        <f t="shared" si="11"/>
        <v>26.921428645506772</v>
      </c>
      <c r="T23">
        <f t="shared" si="12"/>
        <v>27.0217548387097</v>
      </c>
      <c r="U23">
        <f t="shared" si="13"/>
        <v>3.5837353918153387</v>
      </c>
      <c r="V23">
        <f t="shared" si="14"/>
        <v>55.042680669341436</v>
      </c>
      <c r="W23">
        <f t="shared" si="15"/>
        <v>1.8528373569440351</v>
      </c>
      <c r="X23">
        <f t="shared" si="16"/>
        <v>3.3661829954732898</v>
      </c>
      <c r="Y23">
        <f t="shared" si="17"/>
        <v>1.7308980348713037</v>
      </c>
      <c r="Z23">
        <f t="shared" si="18"/>
        <v>-166.25634235429598</v>
      </c>
      <c r="AA23">
        <f t="shared" si="19"/>
        <v>-194.36422323045744</v>
      </c>
      <c r="AB23">
        <f t="shared" si="20"/>
        <v>-12.296207821958859</v>
      </c>
      <c r="AC23">
        <f t="shared" si="21"/>
        <v>-19.577750128354637</v>
      </c>
      <c r="AD23">
        <v>-4.1354241179466199E-2</v>
      </c>
      <c r="AE23">
        <v>4.6423758554453999E-2</v>
      </c>
      <c r="AF23">
        <v>3.46653508586909</v>
      </c>
      <c r="AG23">
        <v>137</v>
      </c>
      <c r="AH23">
        <v>27</v>
      </c>
      <c r="AI23">
        <f t="shared" si="22"/>
        <v>1</v>
      </c>
      <c r="AJ23">
        <f t="shared" si="23"/>
        <v>0</v>
      </c>
      <c r="AK23">
        <f t="shared" si="24"/>
        <v>52917.401206858172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316</v>
      </c>
      <c r="AS23">
        <v>246.77592000000001</v>
      </c>
      <c r="AT23">
        <v>316.78300000000002</v>
      </c>
      <c r="AU23">
        <f t="shared" si="27"/>
        <v>0.2209938033290928</v>
      </c>
      <c r="AV23">
        <v>0.5</v>
      </c>
      <c r="AW23">
        <f t="shared" si="28"/>
        <v>1849.1918029348672</v>
      </c>
      <c r="AX23">
        <f t="shared" si="29"/>
        <v>21.575085069251891</v>
      </c>
      <c r="AY23">
        <f t="shared" si="30"/>
        <v>204.32996480777928</v>
      </c>
      <c r="AZ23">
        <f t="shared" si="31"/>
        <v>0.45047556213559437</v>
      </c>
      <c r="BA23">
        <f t="shared" si="32"/>
        <v>1.2208081948785839E-2</v>
      </c>
      <c r="BB23">
        <f t="shared" si="33"/>
        <v>-1</v>
      </c>
      <c r="BC23" t="s">
        <v>317</v>
      </c>
      <c r="BD23">
        <v>174.08</v>
      </c>
      <c r="BE23">
        <f t="shared" si="34"/>
        <v>142.703</v>
      </c>
      <c r="BF23">
        <f t="shared" si="35"/>
        <v>0.49057889462730286</v>
      </c>
      <c r="BG23">
        <f t="shared" si="36"/>
        <v>1.8197552849264707</v>
      </c>
      <c r="BH23">
        <f t="shared" si="37"/>
        <v>0.22099380332909277</v>
      </c>
      <c r="BI23" t="e">
        <f t="shared" si="38"/>
        <v>#DIV/0!</v>
      </c>
      <c r="BJ23">
        <v>5741</v>
      </c>
      <c r="BK23">
        <v>300</v>
      </c>
      <c r="BL23">
        <v>300</v>
      </c>
      <c r="BM23">
        <v>300</v>
      </c>
      <c r="BN23">
        <v>9867.26</v>
      </c>
      <c r="BO23">
        <v>294.71800000000002</v>
      </c>
      <c r="BP23">
        <v>-6.3997899999999998E-3</v>
      </c>
      <c r="BQ23">
        <v>9.5275899999999997E-2</v>
      </c>
      <c r="BR23">
        <f t="shared" si="39"/>
        <v>2200.0077419354802</v>
      </c>
      <c r="BS23">
        <f t="shared" si="40"/>
        <v>1849.1918029348672</v>
      </c>
      <c r="BT23">
        <f t="shared" si="41"/>
        <v>0.84053877069906169</v>
      </c>
      <c r="BU23">
        <f t="shared" si="42"/>
        <v>0.19107754139812347</v>
      </c>
      <c r="BV23">
        <v>0.5</v>
      </c>
      <c r="BW23" t="s">
        <v>281</v>
      </c>
      <c r="BX23">
        <v>1596816027.7</v>
      </c>
      <c r="BY23">
        <v>390.77480645161302</v>
      </c>
      <c r="BZ23">
        <v>399.992903225806</v>
      </c>
      <c r="CA23">
        <v>18.5362032258064</v>
      </c>
      <c r="CB23">
        <v>17.0563580645161</v>
      </c>
      <c r="CC23">
        <v>500.06635483871003</v>
      </c>
      <c r="CD23">
        <v>99.757777419354895</v>
      </c>
      <c r="CE23">
        <v>0.19998277419354801</v>
      </c>
      <c r="CF23">
        <v>25.9595129032258</v>
      </c>
      <c r="CG23">
        <v>27.0217548387097</v>
      </c>
      <c r="CH23">
        <v>999.9</v>
      </c>
      <c r="CI23">
        <v>9996.9912903225795</v>
      </c>
      <c r="CJ23">
        <v>0</v>
      </c>
      <c r="CK23">
        <v>280.543838709677</v>
      </c>
      <c r="CL23">
        <v>2200.0077419354802</v>
      </c>
      <c r="CM23">
        <v>0.98200006451612898</v>
      </c>
      <c r="CN23">
        <v>1.8000232258064498E-2</v>
      </c>
      <c r="CO23">
        <v>0</v>
      </c>
      <c r="CP23">
        <v>246.764193548387</v>
      </c>
      <c r="CQ23">
        <v>5.00054</v>
      </c>
      <c r="CR23">
        <v>8109.5680645161301</v>
      </c>
      <c r="CS23">
        <v>20590.619354838698</v>
      </c>
      <c r="CT23">
        <v>48.505774193548397</v>
      </c>
      <c r="CU23">
        <v>50.844580645161301</v>
      </c>
      <c r="CV23">
        <v>49.146903225806398</v>
      </c>
      <c r="CW23">
        <v>49.130838709677398</v>
      </c>
      <c r="CX23">
        <v>49.842516129032198</v>
      </c>
      <c r="CY23">
        <v>2155.49774193548</v>
      </c>
      <c r="CZ23">
        <v>39.51</v>
      </c>
      <c r="DA23">
        <v>0</v>
      </c>
      <c r="DB23">
        <v>111.799999952316</v>
      </c>
      <c r="DC23">
        <v>246.77592000000001</v>
      </c>
      <c r="DD23">
        <v>0.59561538986178797</v>
      </c>
      <c r="DE23">
        <v>-20.301538413907402</v>
      </c>
      <c r="DF23">
        <v>8108.9340000000002</v>
      </c>
      <c r="DG23">
        <v>15</v>
      </c>
      <c r="DH23">
        <v>1596816058.2</v>
      </c>
      <c r="DI23" t="s">
        <v>318</v>
      </c>
      <c r="DJ23">
        <v>21</v>
      </c>
      <c r="DK23">
        <v>-0.33300000000000002</v>
      </c>
      <c r="DL23">
        <v>0.123</v>
      </c>
      <c r="DM23">
        <v>400</v>
      </c>
      <c r="DN23">
        <v>17</v>
      </c>
      <c r="DO23">
        <v>0.22</v>
      </c>
      <c r="DP23">
        <v>0.06</v>
      </c>
      <c r="DQ23">
        <v>390.759480769231</v>
      </c>
      <c r="DR23">
        <v>-0.120046102621071</v>
      </c>
      <c r="DS23">
        <v>2.3488532705109502E-2</v>
      </c>
      <c r="DT23">
        <v>1</v>
      </c>
      <c r="DU23">
        <v>18.5223807692308</v>
      </c>
      <c r="DV23">
        <v>0.112990352599678</v>
      </c>
      <c r="DW23">
        <v>1.4377841370846E-2</v>
      </c>
      <c r="DX23">
        <v>1</v>
      </c>
      <c r="DY23">
        <v>2</v>
      </c>
      <c r="DZ23">
        <v>2</v>
      </c>
      <c r="EA23" t="s">
        <v>283</v>
      </c>
      <c r="EB23">
        <v>1.86676</v>
      </c>
      <c r="EC23">
        <v>1.8632500000000001</v>
      </c>
      <c r="ED23">
        <v>1.8689199999999999</v>
      </c>
      <c r="EE23">
        <v>1.8668800000000001</v>
      </c>
      <c r="EF23">
        <v>1.8715299999999999</v>
      </c>
      <c r="EG23">
        <v>1.8640300000000001</v>
      </c>
      <c r="EH23">
        <v>1.8656900000000001</v>
      </c>
      <c r="EI23">
        <v>1.86555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-0.33300000000000002</v>
      </c>
      <c r="EX23">
        <v>0.123</v>
      </c>
      <c r="EY23">
        <v>2</v>
      </c>
      <c r="EZ23">
        <v>345.02100000000002</v>
      </c>
      <c r="FA23">
        <v>518.49800000000005</v>
      </c>
      <c r="FB23">
        <v>19.527699999999999</v>
      </c>
      <c r="FC23">
        <v>31.2849</v>
      </c>
      <c r="FD23">
        <v>30.0001</v>
      </c>
      <c r="FE23">
        <v>31.302600000000002</v>
      </c>
      <c r="FF23">
        <v>31.308399999999999</v>
      </c>
      <c r="FG23">
        <v>22.038499999999999</v>
      </c>
      <c r="FH23">
        <v>31.953199999999999</v>
      </c>
      <c r="FI23">
        <v>24.3323</v>
      </c>
      <c r="FJ23">
        <v>19.526700000000002</v>
      </c>
      <c r="FK23">
        <v>400</v>
      </c>
      <c r="FL23">
        <v>17.059200000000001</v>
      </c>
      <c r="FM23">
        <v>101.206</v>
      </c>
      <c r="FN23">
        <v>101.65600000000001</v>
      </c>
    </row>
    <row r="24" spans="1:170" x14ac:dyDescent="0.25">
      <c r="A24">
        <v>8</v>
      </c>
      <c r="B24">
        <v>1596816149.7</v>
      </c>
      <c r="C24">
        <v>836.10000014305103</v>
      </c>
      <c r="D24" t="s">
        <v>319</v>
      </c>
      <c r="E24" t="s">
        <v>320</v>
      </c>
      <c r="G24">
        <v>1596816141.7</v>
      </c>
      <c r="H24">
        <f t="shared" si="0"/>
        <v>3.7356557960695376E-3</v>
      </c>
      <c r="I24">
        <f t="shared" si="1"/>
        <v>26.989312300143567</v>
      </c>
      <c r="J24">
        <f t="shared" si="2"/>
        <v>488.445290322581</v>
      </c>
      <c r="K24">
        <f t="shared" si="3"/>
        <v>272.45877372065519</v>
      </c>
      <c r="L24">
        <f t="shared" si="4"/>
        <v>27.233778989631336</v>
      </c>
      <c r="M24">
        <f t="shared" si="5"/>
        <v>48.82283988699843</v>
      </c>
      <c r="N24">
        <f t="shared" si="6"/>
        <v>0.216837410332161</v>
      </c>
      <c r="O24">
        <f t="shared" si="7"/>
        <v>3.3968201741268604</v>
      </c>
      <c r="P24">
        <f t="shared" si="8"/>
        <v>0.20943062879883786</v>
      </c>
      <c r="Q24">
        <f t="shared" si="9"/>
        <v>0.13153853576449709</v>
      </c>
      <c r="R24">
        <f t="shared" si="10"/>
        <v>353.33894129781021</v>
      </c>
      <c r="S24">
        <f t="shared" si="11"/>
        <v>26.923348543025096</v>
      </c>
      <c r="T24">
        <f t="shared" si="12"/>
        <v>27.021354838709701</v>
      </c>
      <c r="U24">
        <f t="shared" si="13"/>
        <v>3.5836512136867018</v>
      </c>
      <c r="V24">
        <f t="shared" si="14"/>
        <v>54.950515205567982</v>
      </c>
      <c r="W24">
        <f t="shared" si="15"/>
        <v>1.8491765830207327</v>
      </c>
      <c r="X24">
        <f t="shared" si="16"/>
        <v>3.3651669617710165</v>
      </c>
      <c r="Y24">
        <f t="shared" si="17"/>
        <v>1.7344746306659691</v>
      </c>
      <c r="Z24">
        <f t="shared" si="18"/>
        <v>-164.7424206066666</v>
      </c>
      <c r="AA24">
        <f t="shared" si="19"/>
        <v>-195.38840364756376</v>
      </c>
      <c r="AB24">
        <f t="shared" si="20"/>
        <v>-12.350273802026699</v>
      </c>
      <c r="AC24">
        <f t="shared" si="21"/>
        <v>-19.142156758446873</v>
      </c>
      <c r="AD24">
        <v>-4.1398464661575901E-2</v>
      </c>
      <c r="AE24">
        <v>4.6473403287311997E-2</v>
      </c>
      <c r="AF24">
        <v>3.4694672261985402</v>
      </c>
      <c r="AG24">
        <v>137</v>
      </c>
      <c r="AH24">
        <v>27</v>
      </c>
      <c r="AI24">
        <f t="shared" si="22"/>
        <v>1</v>
      </c>
      <c r="AJ24">
        <f t="shared" si="23"/>
        <v>0</v>
      </c>
      <c r="AK24">
        <f t="shared" si="24"/>
        <v>52972.529919686967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321</v>
      </c>
      <c r="AS24">
        <v>251.77488</v>
      </c>
      <c r="AT24">
        <v>332.16300000000001</v>
      </c>
      <c r="AU24">
        <f t="shared" si="27"/>
        <v>0.24201407140470199</v>
      </c>
      <c r="AV24">
        <v>0.5</v>
      </c>
      <c r="AW24">
        <f t="shared" si="28"/>
        <v>1849.1910287413139</v>
      </c>
      <c r="AX24">
        <f t="shared" si="29"/>
        <v>26.989312300143567</v>
      </c>
      <c r="AY24">
        <f t="shared" si="30"/>
        <v>223.76512483536735</v>
      </c>
      <c r="AZ24">
        <f t="shared" si="31"/>
        <v>0.46773120425815035</v>
      </c>
      <c r="BA24">
        <f t="shared" si="32"/>
        <v>1.5135976686624426E-2</v>
      </c>
      <c r="BB24">
        <f t="shared" si="33"/>
        <v>-1</v>
      </c>
      <c r="BC24" t="s">
        <v>322</v>
      </c>
      <c r="BD24">
        <v>176.8</v>
      </c>
      <c r="BE24">
        <f t="shared" si="34"/>
        <v>155.363</v>
      </c>
      <c r="BF24">
        <f t="shared" si="35"/>
        <v>0.51742126503736419</v>
      </c>
      <c r="BG24">
        <f t="shared" si="36"/>
        <v>1.8787499999999999</v>
      </c>
      <c r="BH24">
        <f t="shared" si="37"/>
        <v>0.24201407140470194</v>
      </c>
      <c r="BI24" t="e">
        <f t="shared" si="38"/>
        <v>#DIV/0!</v>
      </c>
      <c r="BJ24">
        <v>5743</v>
      </c>
      <c r="BK24">
        <v>300</v>
      </c>
      <c r="BL24">
        <v>300</v>
      </c>
      <c r="BM24">
        <v>300</v>
      </c>
      <c r="BN24">
        <v>9868.1200000000008</v>
      </c>
      <c r="BO24">
        <v>306.63</v>
      </c>
      <c r="BP24">
        <v>-6.4004999999999999E-3</v>
      </c>
      <c r="BQ24">
        <v>-0.48666399999999999</v>
      </c>
      <c r="BR24">
        <f t="shared" si="39"/>
        <v>2200.00677419355</v>
      </c>
      <c r="BS24">
        <f t="shared" si="40"/>
        <v>1849.1910287413139</v>
      </c>
      <c r="BT24">
        <f t="shared" si="41"/>
        <v>0.84053878853130637</v>
      </c>
      <c r="BU24">
        <f t="shared" si="42"/>
        <v>0.19107757706261258</v>
      </c>
      <c r="BV24">
        <v>0.5</v>
      </c>
      <c r="BW24" t="s">
        <v>281</v>
      </c>
      <c r="BX24">
        <v>1596816141.7</v>
      </c>
      <c r="BY24">
        <v>488.445290322581</v>
      </c>
      <c r="BZ24">
        <v>499.969290322581</v>
      </c>
      <c r="CA24">
        <v>18.499980645161301</v>
      </c>
      <c r="CB24">
        <v>17.033564516129001</v>
      </c>
      <c r="CC24">
        <v>500.06900000000002</v>
      </c>
      <c r="CD24">
        <v>99.755641935483894</v>
      </c>
      <c r="CE24">
        <v>0.199953612903226</v>
      </c>
      <c r="CF24">
        <v>25.954412903225801</v>
      </c>
      <c r="CG24">
        <v>27.021354838709701</v>
      </c>
      <c r="CH24">
        <v>999.9</v>
      </c>
      <c r="CI24">
        <v>10007.8961290323</v>
      </c>
      <c r="CJ24">
        <v>0</v>
      </c>
      <c r="CK24">
        <v>268.50296774193498</v>
      </c>
      <c r="CL24">
        <v>2200.00677419355</v>
      </c>
      <c r="CM24">
        <v>0.98199870967741998</v>
      </c>
      <c r="CN24">
        <v>1.8001654838709701E-2</v>
      </c>
      <c r="CO24">
        <v>0</v>
      </c>
      <c r="CP24">
        <v>251.794677419355</v>
      </c>
      <c r="CQ24">
        <v>5.00054</v>
      </c>
      <c r="CR24">
        <v>8215.0041935483896</v>
      </c>
      <c r="CS24">
        <v>20590.599999999999</v>
      </c>
      <c r="CT24">
        <v>48.296064516129</v>
      </c>
      <c r="CU24">
        <v>50.640870967741897</v>
      </c>
      <c r="CV24">
        <v>48.902999999999999</v>
      </c>
      <c r="CW24">
        <v>48.991677419354801</v>
      </c>
      <c r="CX24">
        <v>49.624612903225803</v>
      </c>
      <c r="CY24">
        <v>2155.49548387097</v>
      </c>
      <c r="CZ24">
        <v>39.511290322580599</v>
      </c>
      <c r="DA24">
        <v>0</v>
      </c>
      <c r="DB24">
        <v>113.09999990463299</v>
      </c>
      <c r="DC24">
        <v>251.77488</v>
      </c>
      <c r="DD24">
        <v>-0.68576923649662902</v>
      </c>
      <c r="DE24">
        <v>-16.9484617091065</v>
      </c>
      <c r="DF24">
        <v>8214.9580000000005</v>
      </c>
      <c r="DG24">
        <v>15</v>
      </c>
      <c r="DH24">
        <v>1596816178.7</v>
      </c>
      <c r="DI24" t="s">
        <v>323</v>
      </c>
      <c r="DJ24">
        <v>22</v>
      </c>
      <c r="DK24">
        <v>-0.29199999999999998</v>
      </c>
      <c r="DL24">
        <v>0.122</v>
      </c>
      <c r="DM24">
        <v>500</v>
      </c>
      <c r="DN24">
        <v>17</v>
      </c>
      <c r="DO24">
        <v>0.14000000000000001</v>
      </c>
      <c r="DP24">
        <v>7.0000000000000007E-2</v>
      </c>
      <c r="DQ24">
        <v>488.39553846153899</v>
      </c>
      <c r="DR24">
        <v>9.6231537607939399E-2</v>
      </c>
      <c r="DS24">
        <v>2.0760967016962902E-2</v>
      </c>
      <c r="DT24">
        <v>1</v>
      </c>
      <c r="DU24">
        <v>18.496957692307699</v>
      </c>
      <c r="DV24">
        <v>4.0148211389051003E-2</v>
      </c>
      <c r="DW24">
        <v>5.8902901245590699E-3</v>
      </c>
      <c r="DX24">
        <v>1</v>
      </c>
      <c r="DY24">
        <v>2</v>
      </c>
      <c r="DZ24">
        <v>2</v>
      </c>
      <c r="EA24" t="s">
        <v>283</v>
      </c>
      <c r="EB24">
        <v>1.86676</v>
      </c>
      <c r="EC24">
        <v>1.8632500000000001</v>
      </c>
      <c r="ED24">
        <v>1.8689100000000001</v>
      </c>
      <c r="EE24">
        <v>1.86687</v>
      </c>
      <c r="EF24">
        <v>1.8714999999999999</v>
      </c>
      <c r="EG24">
        <v>1.86402</v>
      </c>
      <c r="EH24">
        <v>1.86568</v>
      </c>
      <c r="EI24">
        <v>1.86554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-0.29199999999999998</v>
      </c>
      <c r="EX24">
        <v>0.122</v>
      </c>
      <c r="EY24">
        <v>2</v>
      </c>
      <c r="EZ24">
        <v>345.017</v>
      </c>
      <c r="FA24">
        <v>518.59299999999996</v>
      </c>
      <c r="FB24">
        <v>19.521799999999999</v>
      </c>
      <c r="FC24">
        <v>31.3095</v>
      </c>
      <c r="FD24">
        <v>30</v>
      </c>
      <c r="FE24">
        <v>31.3337</v>
      </c>
      <c r="FF24">
        <v>31.343499999999999</v>
      </c>
      <c r="FG24">
        <v>26.3247</v>
      </c>
      <c r="FH24">
        <v>31.760200000000001</v>
      </c>
      <c r="FI24">
        <v>22.837399999999999</v>
      </c>
      <c r="FJ24">
        <v>19.498999999999999</v>
      </c>
      <c r="FK24">
        <v>500</v>
      </c>
      <c r="FL24">
        <v>17.112300000000001</v>
      </c>
      <c r="FM24">
        <v>101.20099999999999</v>
      </c>
      <c r="FN24">
        <v>101.657</v>
      </c>
    </row>
    <row r="25" spans="1:170" x14ac:dyDescent="0.25">
      <c r="A25">
        <v>9</v>
      </c>
      <c r="B25">
        <v>1596816282.2</v>
      </c>
      <c r="C25">
        <v>968.60000014305103</v>
      </c>
      <c r="D25" t="s">
        <v>324</v>
      </c>
      <c r="E25" t="s">
        <v>325</v>
      </c>
      <c r="G25">
        <v>1596816274.2</v>
      </c>
      <c r="H25">
        <f t="shared" si="0"/>
        <v>3.558113052208248E-3</v>
      </c>
      <c r="I25">
        <f t="shared" si="1"/>
        <v>31.468370929789998</v>
      </c>
      <c r="J25">
        <f t="shared" si="2"/>
        <v>586.566483870968</v>
      </c>
      <c r="K25">
        <f t="shared" si="3"/>
        <v>321.93173863404712</v>
      </c>
      <c r="L25">
        <f t="shared" si="4"/>
        <v>32.177509101168361</v>
      </c>
      <c r="M25">
        <f t="shared" si="5"/>
        <v>58.628106856694622</v>
      </c>
      <c r="N25">
        <f t="shared" si="6"/>
        <v>0.20578377024303829</v>
      </c>
      <c r="O25">
        <f t="shared" si="7"/>
        <v>3.3967186177057016</v>
      </c>
      <c r="P25">
        <f t="shared" si="8"/>
        <v>0.19910017000941449</v>
      </c>
      <c r="Q25">
        <f t="shared" si="9"/>
        <v>0.12502001803229462</v>
      </c>
      <c r="R25">
        <f t="shared" si="10"/>
        <v>353.34133537007227</v>
      </c>
      <c r="S25">
        <f t="shared" si="11"/>
        <v>26.875890005918368</v>
      </c>
      <c r="T25">
        <f t="shared" si="12"/>
        <v>27.000029032258102</v>
      </c>
      <c r="U25">
        <f t="shared" si="13"/>
        <v>3.5791657957367589</v>
      </c>
      <c r="V25">
        <f t="shared" si="14"/>
        <v>55.003783368998207</v>
      </c>
      <c r="W25">
        <f t="shared" si="15"/>
        <v>1.8413735763777872</v>
      </c>
      <c r="X25">
        <f t="shared" si="16"/>
        <v>3.3477216722070811</v>
      </c>
      <c r="Y25">
        <f t="shared" si="17"/>
        <v>1.7377922193589717</v>
      </c>
      <c r="Z25">
        <f t="shared" si="18"/>
        <v>-156.91278560238374</v>
      </c>
      <c r="AA25">
        <f t="shared" si="19"/>
        <v>-207.55144014858018</v>
      </c>
      <c r="AB25">
        <f t="shared" si="20"/>
        <v>-13.112314978031547</v>
      </c>
      <c r="AC25">
        <f t="shared" si="21"/>
        <v>-24.235205358923167</v>
      </c>
      <c r="AD25">
        <v>-4.1396891025212601E-2</v>
      </c>
      <c r="AE25">
        <v>4.6471636742636102E-2</v>
      </c>
      <c r="AF25">
        <v>3.4693629083212798</v>
      </c>
      <c r="AG25">
        <v>137</v>
      </c>
      <c r="AH25">
        <v>27</v>
      </c>
      <c r="AI25">
        <f t="shared" si="22"/>
        <v>1</v>
      </c>
      <c r="AJ25">
        <f t="shared" si="23"/>
        <v>0</v>
      </c>
      <c r="AK25">
        <f t="shared" si="24"/>
        <v>52986.063302659233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326</v>
      </c>
      <c r="AS25">
        <v>257.84935999999999</v>
      </c>
      <c r="AT25">
        <v>346.54</v>
      </c>
      <c r="AU25">
        <f t="shared" si="27"/>
        <v>0.25593189819357076</v>
      </c>
      <c r="AV25">
        <v>0.5</v>
      </c>
      <c r="AW25">
        <f t="shared" si="28"/>
        <v>1849.2013158380241</v>
      </c>
      <c r="AX25">
        <f t="shared" si="29"/>
        <v>31.468370929789998</v>
      </c>
      <c r="AY25">
        <f t="shared" si="30"/>
        <v>236.63480145223713</v>
      </c>
      <c r="AZ25">
        <f t="shared" si="31"/>
        <v>0.48502337392508804</v>
      </c>
      <c r="BA25">
        <f t="shared" si="32"/>
        <v>1.7558050955136774E-2</v>
      </c>
      <c r="BB25">
        <f t="shared" si="33"/>
        <v>-1</v>
      </c>
      <c r="BC25" t="s">
        <v>327</v>
      </c>
      <c r="BD25">
        <v>178.46</v>
      </c>
      <c r="BE25">
        <f t="shared" si="34"/>
        <v>168.08</v>
      </c>
      <c r="BF25">
        <f t="shared" si="35"/>
        <v>0.52766920514040949</v>
      </c>
      <c r="BG25">
        <f t="shared" si="36"/>
        <v>1.9418357054802198</v>
      </c>
      <c r="BH25">
        <f t="shared" si="37"/>
        <v>0.25593189819357082</v>
      </c>
      <c r="BI25" t="e">
        <f t="shared" si="38"/>
        <v>#DIV/0!</v>
      </c>
      <c r="BJ25">
        <v>5745</v>
      </c>
      <c r="BK25">
        <v>300</v>
      </c>
      <c r="BL25">
        <v>300</v>
      </c>
      <c r="BM25">
        <v>300</v>
      </c>
      <c r="BN25">
        <v>9868.93</v>
      </c>
      <c r="BO25">
        <v>320.084</v>
      </c>
      <c r="BP25">
        <v>-6.4011299999999997E-3</v>
      </c>
      <c r="BQ25">
        <v>-0.111328</v>
      </c>
      <c r="BR25">
        <f t="shared" si="39"/>
        <v>2200.0187096774198</v>
      </c>
      <c r="BS25">
        <f t="shared" si="40"/>
        <v>1849.2013158380241</v>
      </c>
      <c r="BT25">
        <f t="shared" si="41"/>
        <v>0.84053890437557477</v>
      </c>
      <c r="BU25">
        <f t="shared" si="42"/>
        <v>0.19107780875114966</v>
      </c>
      <c r="BV25">
        <v>0.5</v>
      </c>
      <c r="BW25" t="s">
        <v>281</v>
      </c>
      <c r="BX25">
        <v>1596816274.2</v>
      </c>
      <c r="BY25">
        <v>586.566483870968</v>
      </c>
      <c r="BZ25">
        <v>599.98680645161301</v>
      </c>
      <c r="CA25">
        <v>18.422699999999999</v>
      </c>
      <c r="CB25">
        <v>17.0258677419355</v>
      </c>
      <c r="CC25">
        <v>500.069064516129</v>
      </c>
      <c r="CD25">
        <v>99.751367741935496</v>
      </c>
      <c r="CE25">
        <v>0.19997361290322599</v>
      </c>
      <c r="CF25">
        <v>25.866635483871001</v>
      </c>
      <c r="CG25">
        <v>27.000029032258102</v>
      </c>
      <c r="CH25">
        <v>999.9</v>
      </c>
      <c r="CI25">
        <v>10007.944516129</v>
      </c>
      <c r="CJ25">
        <v>0</v>
      </c>
      <c r="CK25">
        <v>268.40703225806402</v>
      </c>
      <c r="CL25">
        <v>2200.0187096774198</v>
      </c>
      <c r="CM25">
        <v>0.98199770967741995</v>
      </c>
      <c r="CN25">
        <v>1.8002612903225801E-2</v>
      </c>
      <c r="CO25">
        <v>0</v>
      </c>
      <c r="CP25">
        <v>257.85764516129001</v>
      </c>
      <c r="CQ25">
        <v>5.00054</v>
      </c>
      <c r="CR25">
        <v>8366.3012903225808</v>
      </c>
      <c r="CS25">
        <v>20590.7</v>
      </c>
      <c r="CT25">
        <v>48.114645161290298</v>
      </c>
      <c r="CU25">
        <v>50.555999999999997</v>
      </c>
      <c r="CV25">
        <v>48.743774193548397</v>
      </c>
      <c r="CW25">
        <v>48.925129032258099</v>
      </c>
      <c r="CX25">
        <v>49.465451612903202</v>
      </c>
      <c r="CY25">
        <v>2155.4987096774198</v>
      </c>
      <c r="CZ25">
        <v>39.520000000000003</v>
      </c>
      <c r="DA25">
        <v>0</v>
      </c>
      <c r="DB25">
        <v>131.59999990463299</v>
      </c>
      <c r="DC25">
        <v>257.84935999999999</v>
      </c>
      <c r="DD25">
        <v>-1.0456923100325399</v>
      </c>
      <c r="DE25">
        <v>-28.2930769909226</v>
      </c>
      <c r="DF25">
        <v>8366.3564000000006</v>
      </c>
      <c r="DG25">
        <v>15</v>
      </c>
      <c r="DH25">
        <v>1596816315.2</v>
      </c>
      <c r="DI25" t="s">
        <v>328</v>
      </c>
      <c r="DJ25">
        <v>23</v>
      </c>
      <c r="DK25">
        <v>-0.26100000000000001</v>
      </c>
      <c r="DL25">
        <v>0.122</v>
      </c>
      <c r="DM25">
        <v>600</v>
      </c>
      <c r="DN25">
        <v>17</v>
      </c>
      <c r="DO25">
        <v>0.26</v>
      </c>
      <c r="DP25">
        <v>0.05</v>
      </c>
      <c r="DQ25">
        <v>586.50763461538497</v>
      </c>
      <c r="DR25">
        <v>0.28686587552193599</v>
      </c>
      <c r="DS25">
        <v>4.0606947513831503E-2</v>
      </c>
      <c r="DT25">
        <v>1</v>
      </c>
      <c r="DU25">
        <v>18.4306153846154</v>
      </c>
      <c r="DV25">
        <v>-7.83263041065691E-2</v>
      </c>
      <c r="DW25">
        <v>1.01372766904246E-2</v>
      </c>
      <c r="DX25">
        <v>1</v>
      </c>
      <c r="DY25">
        <v>2</v>
      </c>
      <c r="DZ25">
        <v>2</v>
      </c>
      <c r="EA25" t="s">
        <v>283</v>
      </c>
      <c r="EB25">
        <v>1.86676</v>
      </c>
      <c r="EC25">
        <v>1.8632500000000001</v>
      </c>
      <c r="ED25">
        <v>1.8689199999999999</v>
      </c>
      <c r="EE25">
        <v>1.8669100000000001</v>
      </c>
      <c r="EF25">
        <v>1.8715200000000001</v>
      </c>
      <c r="EG25">
        <v>1.86405</v>
      </c>
      <c r="EH25">
        <v>1.8656900000000001</v>
      </c>
      <c r="EI25">
        <v>1.86555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-0.26100000000000001</v>
      </c>
      <c r="EX25">
        <v>0.122</v>
      </c>
      <c r="EY25">
        <v>2</v>
      </c>
      <c r="EZ25">
        <v>344.80500000000001</v>
      </c>
      <c r="FA25">
        <v>517.70799999999997</v>
      </c>
      <c r="FB25">
        <v>19.394500000000001</v>
      </c>
      <c r="FC25">
        <v>31.3644</v>
      </c>
      <c r="FD25">
        <v>29.9983</v>
      </c>
      <c r="FE25">
        <v>31.385100000000001</v>
      </c>
      <c r="FF25">
        <v>31.395199999999999</v>
      </c>
      <c r="FG25">
        <v>30.469000000000001</v>
      </c>
      <c r="FH25">
        <v>32.329700000000003</v>
      </c>
      <c r="FI25">
        <v>20.968800000000002</v>
      </c>
      <c r="FJ25">
        <v>19.578299999999999</v>
      </c>
      <c r="FK25">
        <v>600</v>
      </c>
      <c r="FL25">
        <v>17.0366</v>
      </c>
      <c r="FM25">
        <v>101.19499999999999</v>
      </c>
      <c r="FN25">
        <v>101.651</v>
      </c>
    </row>
    <row r="26" spans="1:170" x14ac:dyDescent="0.25">
      <c r="A26">
        <v>10</v>
      </c>
      <c r="B26">
        <v>1596816429.7</v>
      </c>
      <c r="C26">
        <v>1116.10000014305</v>
      </c>
      <c r="D26" t="s">
        <v>329</v>
      </c>
      <c r="E26" t="s">
        <v>330</v>
      </c>
      <c r="G26">
        <v>1596816421.7</v>
      </c>
      <c r="H26">
        <f t="shared" si="0"/>
        <v>3.5382929738980336E-3</v>
      </c>
      <c r="I26">
        <f t="shared" si="1"/>
        <v>34.761015292890477</v>
      </c>
      <c r="J26">
        <f t="shared" si="2"/>
        <v>685.146903225806</v>
      </c>
      <c r="K26">
        <f t="shared" si="3"/>
        <v>391.68431067934716</v>
      </c>
      <c r="L26">
        <f t="shared" si="4"/>
        <v>39.150001120794357</v>
      </c>
      <c r="M26">
        <f t="shared" si="5"/>
        <v>68.48245206114008</v>
      </c>
      <c r="N26">
        <f t="shared" si="6"/>
        <v>0.20566052692977854</v>
      </c>
      <c r="O26">
        <f t="shared" si="7"/>
        <v>3.3925663084918054</v>
      </c>
      <c r="P26">
        <f t="shared" si="8"/>
        <v>0.19897690518202601</v>
      </c>
      <c r="Q26">
        <f t="shared" si="9"/>
        <v>0.12494296848482701</v>
      </c>
      <c r="R26">
        <f t="shared" si="10"/>
        <v>353.33655025669896</v>
      </c>
      <c r="S26">
        <f t="shared" si="11"/>
        <v>26.779440103934562</v>
      </c>
      <c r="T26">
        <f t="shared" si="12"/>
        <v>26.972764516129001</v>
      </c>
      <c r="U26">
        <f t="shared" si="13"/>
        <v>3.5734384381188926</v>
      </c>
      <c r="V26">
        <f t="shared" si="14"/>
        <v>55.422696617605084</v>
      </c>
      <c r="W26">
        <f t="shared" si="15"/>
        <v>1.8442015155936662</v>
      </c>
      <c r="X26">
        <f t="shared" si="16"/>
        <v>3.3275203628541115</v>
      </c>
      <c r="Y26">
        <f t="shared" si="17"/>
        <v>1.7292369225252264</v>
      </c>
      <c r="Z26">
        <f t="shared" si="18"/>
        <v>-156.03872014890328</v>
      </c>
      <c r="AA26">
        <f t="shared" si="19"/>
        <v>-220.99339207623055</v>
      </c>
      <c r="AB26">
        <f t="shared" si="20"/>
        <v>-13.969561634119277</v>
      </c>
      <c r="AC26">
        <f t="shared" si="21"/>
        <v>-37.665123602554132</v>
      </c>
      <c r="AD26">
        <v>-4.1332568400416998E-2</v>
      </c>
      <c r="AE26">
        <v>4.6399428961331597E-2</v>
      </c>
      <c r="AF26">
        <v>3.4650977241708101</v>
      </c>
      <c r="AG26">
        <v>137</v>
      </c>
      <c r="AH26">
        <v>27</v>
      </c>
      <c r="AI26">
        <f t="shared" si="22"/>
        <v>1</v>
      </c>
      <c r="AJ26">
        <f t="shared" si="23"/>
        <v>0</v>
      </c>
      <c r="AK26">
        <f t="shared" si="24"/>
        <v>52925.218533846848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331</v>
      </c>
      <c r="AS26">
        <v>264.09755999999999</v>
      </c>
      <c r="AT26">
        <v>362.404</v>
      </c>
      <c r="AU26">
        <f t="shared" si="27"/>
        <v>0.2712620169755301</v>
      </c>
      <c r="AV26">
        <v>0.5</v>
      </c>
      <c r="AW26">
        <f t="shared" si="28"/>
        <v>1849.1758739025252</v>
      </c>
      <c r="AX26">
        <f t="shared" si="29"/>
        <v>34.761015292890477</v>
      </c>
      <c r="AY26">
        <f t="shared" si="30"/>
        <v>250.80558864864375</v>
      </c>
      <c r="AZ26">
        <f t="shared" si="31"/>
        <v>0.49868103001070624</v>
      </c>
      <c r="BA26">
        <f t="shared" si="32"/>
        <v>1.9338893502552551E-2</v>
      </c>
      <c r="BB26">
        <f t="shared" si="33"/>
        <v>-1</v>
      </c>
      <c r="BC26" t="s">
        <v>332</v>
      </c>
      <c r="BD26">
        <v>181.68</v>
      </c>
      <c r="BE26">
        <f t="shared" si="34"/>
        <v>180.72399999999999</v>
      </c>
      <c r="BF26">
        <f t="shared" si="35"/>
        <v>0.54395896505168106</v>
      </c>
      <c r="BG26">
        <f t="shared" si="36"/>
        <v>1.9947380008806692</v>
      </c>
      <c r="BH26">
        <f t="shared" si="37"/>
        <v>0.2712620169755301</v>
      </c>
      <c r="BI26" t="e">
        <f t="shared" si="38"/>
        <v>#DIV/0!</v>
      </c>
      <c r="BJ26">
        <v>5747</v>
      </c>
      <c r="BK26">
        <v>300</v>
      </c>
      <c r="BL26">
        <v>300</v>
      </c>
      <c r="BM26">
        <v>300</v>
      </c>
      <c r="BN26">
        <v>9870.2900000000009</v>
      </c>
      <c r="BO26">
        <v>332.01400000000001</v>
      </c>
      <c r="BP26">
        <v>-6.4021299999999998E-3</v>
      </c>
      <c r="BQ26">
        <v>-0.42321799999999998</v>
      </c>
      <c r="BR26">
        <f t="shared" si="39"/>
        <v>2199.9883870967701</v>
      </c>
      <c r="BS26">
        <f t="shared" si="40"/>
        <v>1849.1758739025252</v>
      </c>
      <c r="BT26">
        <f t="shared" si="41"/>
        <v>0.8405389249998737</v>
      </c>
      <c r="BU26">
        <f t="shared" si="42"/>
        <v>0.19107784999974764</v>
      </c>
      <c r="BV26">
        <v>0.5</v>
      </c>
      <c r="BW26" t="s">
        <v>281</v>
      </c>
      <c r="BX26">
        <v>1596816421.7</v>
      </c>
      <c r="BY26">
        <v>685.146903225806</v>
      </c>
      <c r="BZ26">
        <v>700.01896774193597</v>
      </c>
      <c r="CA26">
        <v>18.450696774193499</v>
      </c>
      <c r="CB26">
        <v>17.061683870967698</v>
      </c>
      <c r="CC26">
        <v>500.06864516129002</v>
      </c>
      <c r="CD26">
        <v>99.752932258064504</v>
      </c>
      <c r="CE26">
        <v>0.200014677419355</v>
      </c>
      <c r="CF26">
        <v>25.764490322580599</v>
      </c>
      <c r="CG26">
        <v>26.972764516129001</v>
      </c>
      <c r="CH26">
        <v>999.9</v>
      </c>
      <c r="CI26">
        <v>9992.2374193548403</v>
      </c>
      <c r="CJ26">
        <v>0</v>
      </c>
      <c r="CK26">
        <v>341.90077419354799</v>
      </c>
      <c r="CL26">
        <v>2199.9883870967701</v>
      </c>
      <c r="CM26">
        <v>0.98199416129032302</v>
      </c>
      <c r="CN26">
        <v>1.80054806451613E-2</v>
      </c>
      <c r="CO26">
        <v>0</v>
      </c>
      <c r="CP26">
        <v>264.15503225806498</v>
      </c>
      <c r="CQ26">
        <v>5.00054</v>
      </c>
      <c r="CR26">
        <v>8552.4677419354794</v>
      </c>
      <c r="CS26">
        <v>20590.3838709677</v>
      </c>
      <c r="CT26">
        <v>47.8828064516129</v>
      </c>
      <c r="CU26">
        <v>50.286000000000001</v>
      </c>
      <c r="CV26">
        <v>48.4695161290323</v>
      </c>
      <c r="CW26">
        <v>48.656935483871003</v>
      </c>
      <c r="CX26">
        <v>49.259967741935498</v>
      </c>
      <c r="CY26">
        <v>2155.4674193548399</v>
      </c>
      <c r="CZ26">
        <v>39.5209677419355</v>
      </c>
      <c r="DA26">
        <v>0</v>
      </c>
      <c r="DB26">
        <v>147.09999990463299</v>
      </c>
      <c r="DC26">
        <v>264.09755999999999</v>
      </c>
      <c r="DD26">
        <v>-1.8340769538210899</v>
      </c>
      <c r="DE26">
        <v>-31.766923173784701</v>
      </c>
      <c r="DF26">
        <v>8552.0640000000003</v>
      </c>
      <c r="DG26">
        <v>15</v>
      </c>
      <c r="DH26">
        <v>1596816451.2</v>
      </c>
      <c r="DI26" t="s">
        <v>333</v>
      </c>
      <c r="DJ26">
        <v>24</v>
      </c>
      <c r="DK26">
        <v>-0.187</v>
      </c>
      <c r="DL26">
        <v>0.12</v>
      </c>
      <c r="DM26">
        <v>700</v>
      </c>
      <c r="DN26">
        <v>17</v>
      </c>
      <c r="DO26">
        <v>0.16</v>
      </c>
      <c r="DP26">
        <v>0.06</v>
      </c>
      <c r="DQ26">
        <v>685.04894230769196</v>
      </c>
      <c r="DR26">
        <v>0.26775890036697497</v>
      </c>
      <c r="DS26">
        <v>5.8768585754617901E-2</v>
      </c>
      <c r="DT26">
        <v>1</v>
      </c>
      <c r="DU26">
        <v>18.436053846153801</v>
      </c>
      <c r="DV26">
        <v>0.16166652437463599</v>
      </c>
      <c r="DW26">
        <v>3.0757941198096501E-2</v>
      </c>
      <c r="DX26">
        <v>1</v>
      </c>
      <c r="DY26">
        <v>2</v>
      </c>
      <c r="DZ26">
        <v>2</v>
      </c>
      <c r="EA26" t="s">
        <v>283</v>
      </c>
      <c r="EB26">
        <v>1.8667400000000001</v>
      </c>
      <c r="EC26">
        <v>1.8632500000000001</v>
      </c>
      <c r="ED26">
        <v>1.8689100000000001</v>
      </c>
      <c r="EE26">
        <v>1.86687</v>
      </c>
      <c r="EF26">
        <v>1.8714900000000001</v>
      </c>
      <c r="EG26">
        <v>1.86402</v>
      </c>
      <c r="EH26">
        <v>1.8656600000000001</v>
      </c>
      <c r="EI26">
        <v>1.86554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-0.187</v>
      </c>
      <c r="EX26">
        <v>0.12</v>
      </c>
      <c r="EY26">
        <v>2</v>
      </c>
      <c r="EZ26">
        <v>345.29899999999998</v>
      </c>
      <c r="FA26">
        <v>517.04899999999998</v>
      </c>
      <c r="FB26">
        <v>19.586099999999998</v>
      </c>
      <c r="FC26">
        <v>31.400099999999998</v>
      </c>
      <c r="FD26">
        <v>30.001000000000001</v>
      </c>
      <c r="FE26">
        <v>31.424299999999999</v>
      </c>
      <c r="FF26">
        <v>31.430700000000002</v>
      </c>
      <c r="FG26">
        <v>34.497599999999998</v>
      </c>
      <c r="FH26">
        <v>32.652999999999999</v>
      </c>
      <c r="FI26">
        <v>19.0946</v>
      </c>
      <c r="FJ26">
        <v>19.581</v>
      </c>
      <c r="FK26">
        <v>700</v>
      </c>
      <c r="FL26">
        <v>16.921099999999999</v>
      </c>
      <c r="FM26">
        <v>101.187</v>
      </c>
      <c r="FN26">
        <v>101.651</v>
      </c>
    </row>
    <row r="27" spans="1:170" x14ac:dyDescent="0.25">
      <c r="A27">
        <v>11</v>
      </c>
      <c r="B27">
        <v>1596816560.2</v>
      </c>
      <c r="C27">
        <v>1246.60000014305</v>
      </c>
      <c r="D27" t="s">
        <v>334</v>
      </c>
      <c r="E27" t="s">
        <v>335</v>
      </c>
      <c r="G27">
        <v>1596816552.2032299</v>
      </c>
      <c r="H27">
        <f t="shared" si="0"/>
        <v>2.9950719396337607E-3</v>
      </c>
      <c r="I27">
        <f t="shared" si="1"/>
        <v>36.79137156722097</v>
      </c>
      <c r="J27">
        <f t="shared" si="2"/>
        <v>784.31429032258097</v>
      </c>
      <c r="K27">
        <f t="shared" si="3"/>
        <v>413.29124141426007</v>
      </c>
      <c r="L27">
        <f t="shared" si="4"/>
        <v>41.309966759188896</v>
      </c>
      <c r="M27">
        <f t="shared" si="5"/>
        <v>78.395073534855527</v>
      </c>
      <c r="N27">
        <f t="shared" si="6"/>
        <v>0.17035967046527803</v>
      </c>
      <c r="O27">
        <f t="shared" si="7"/>
        <v>3.3932468188817433</v>
      </c>
      <c r="P27">
        <f t="shared" si="8"/>
        <v>0.16574676095225577</v>
      </c>
      <c r="Q27">
        <f t="shared" si="9"/>
        <v>0.10399577342210563</v>
      </c>
      <c r="R27">
        <f t="shared" si="10"/>
        <v>353.33847077182452</v>
      </c>
      <c r="S27">
        <f t="shared" si="11"/>
        <v>26.991114462843669</v>
      </c>
      <c r="T27">
        <f t="shared" si="12"/>
        <v>27.080793548387099</v>
      </c>
      <c r="U27">
        <f t="shared" si="13"/>
        <v>3.5961787558105822</v>
      </c>
      <c r="V27">
        <f t="shared" si="14"/>
        <v>54.9798608334685</v>
      </c>
      <c r="W27">
        <f t="shared" si="15"/>
        <v>1.8391077640486884</v>
      </c>
      <c r="X27">
        <f t="shared" si="16"/>
        <v>3.345057146687334</v>
      </c>
      <c r="Y27">
        <f t="shared" si="17"/>
        <v>1.7570709917618939</v>
      </c>
      <c r="Z27">
        <f t="shared" si="18"/>
        <v>-132.08267253784885</v>
      </c>
      <c r="AA27">
        <f t="shared" si="19"/>
        <v>-224.57312054045053</v>
      </c>
      <c r="AB27">
        <f t="shared" si="20"/>
        <v>-14.206995508886783</v>
      </c>
      <c r="AC27">
        <f t="shared" si="21"/>
        <v>-17.524317815361655</v>
      </c>
      <c r="AD27">
        <v>-4.1343107621849902E-2</v>
      </c>
      <c r="AE27">
        <v>4.6411260160676503E-2</v>
      </c>
      <c r="AF27">
        <v>3.4657967290477898</v>
      </c>
      <c r="AG27">
        <v>136</v>
      </c>
      <c r="AH27">
        <v>27</v>
      </c>
      <c r="AI27">
        <f t="shared" si="22"/>
        <v>1</v>
      </c>
      <c r="AJ27">
        <f t="shared" si="23"/>
        <v>0</v>
      </c>
      <c r="AK27">
        <f t="shared" si="24"/>
        <v>52922.466761706652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336</v>
      </c>
      <c r="AS27">
        <v>267.85399999999998</v>
      </c>
      <c r="AT27">
        <v>369.411</v>
      </c>
      <c r="AU27">
        <f t="shared" si="27"/>
        <v>0.27491601495353424</v>
      </c>
      <c r="AV27">
        <v>0.5</v>
      </c>
      <c r="AW27">
        <f t="shared" si="28"/>
        <v>1849.1880992642018</v>
      </c>
      <c r="AX27">
        <f t="shared" si="29"/>
        <v>36.79137156722097</v>
      </c>
      <c r="AY27">
        <f t="shared" si="30"/>
        <v>254.18571157460744</v>
      </c>
      <c r="AZ27">
        <f t="shared" si="31"/>
        <v>0.50315502245466437</v>
      </c>
      <c r="BA27">
        <f t="shared" si="32"/>
        <v>2.0436737388834746E-2</v>
      </c>
      <c r="BB27">
        <f t="shared" si="33"/>
        <v>-1</v>
      </c>
      <c r="BC27" t="s">
        <v>337</v>
      </c>
      <c r="BD27">
        <v>183.54</v>
      </c>
      <c r="BE27">
        <f t="shared" si="34"/>
        <v>185.87100000000001</v>
      </c>
      <c r="BF27">
        <f t="shared" si="35"/>
        <v>0.54638432030817075</v>
      </c>
      <c r="BG27">
        <f t="shared" si="36"/>
        <v>2.0127002288329519</v>
      </c>
      <c r="BH27">
        <f t="shared" si="37"/>
        <v>0.27491601495353418</v>
      </c>
      <c r="BI27" t="e">
        <f t="shared" si="38"/>
        <v>#DIV/0!</v>
      </c>
      <c r="BJ27">
        <v>5749</v>
      </c>
      <c r="BK27">
        <v>300</v>
      </c>
      <c r="BL27">
        <v>300</v>
      </c>
      <c r="BM27">
        <v>300</v>
      </c>
      <c r="BN27">
        <v>9871.31</v>
      </c>
      <c r="BO27">
        <v>339.96300000000002</v>
      </c>
      <c r="BP27">
        <v>-6.4029600000000001E-3</v>
      </c>
      <c r="BQ27">
        <v>0.81130999999999998</v>
      </c>
      <c r="BR27">
        <f t="shared" si="39"/>
        <v>2200.0032258064498</v>
      </c>
      <c r="BS27">
        <f t="shared" si="40"/>
        <v>1849.1880992642018</v>
      </c>
      <c r="BT27">
        <f t="shared" si="41"/>
        <v>0.84053881265849029</v>
      </c>
      <c r="BU27">
        <f t="shared" si="42"/>
        <v>0.19107762531698053</v>
      </c>
      <c r="BV27">
        <v>0.5</v>
      </c>
      <c r="BW27" t="s">
        <v>281</v>
      </c>
      <c r="BX27">
        <v>1596816552.2032299</v>
      </c>
      <c r="BY27">
        <v>784.31429032258097</v>
      </c>
      <c r="BZ27">
        <v>799.96812903225805</v>
      </c>
      <c r="CA27">
        <v>18.3996064516129</v>
      </c>
      <c r="CB27">
        <v>17.223796774193598</v>
      </c>
      <c r="CC27">
        <v>500.07477419354802</v>
      </c>
      <c r="CD27">
        <v>99.753638709677404</v>
      </c>
      <c r="CE27">
        <v>0.20000806451612901</v>
      </c>
      <c r="CF27">
        <v>25.8531935483871</v>
      </c>
      <c r="CG27">
        <v>27.080793548387099</v>
      </c>
      <c r="CH27">
        <v>999.9</v>
      </c>
      <c r="CI27">
        <v>9994.71451612903</v>
      </c>
      <c r="CJ27">
        <v>0</v>
      </c>
      <c r="CK27">
        <v>330.945516129032</v>
      </c>
      <c r="CL27">
        <v>2200.0032258064498</v>
      </c>
      <c r="CM27">
        <v>0.98199806451612903</v>
      </c>
      <c r="CN27">
        <v>1.8001793548387102E-2</v>
      </c>
      <c r="CO27">
        <v>0</v>
      </c>
      <c r="CP27">
        <v>267.93396774193502</v>
      </c>
      <c r="CQ27">
        <v>5.00054</v>
      </c>
      <c r="CR27">
        <v>8640.1219354838704</v>
      </c>
      <c r="CS27">
        <v>20590.548387096798</v>
      </c>
      <c r="CT27">
        <v>47.622741935483901</v>
      </c>
      <c r="CU27">
        <v>49.981709677419303</v>
      </c>
      <c r="CV27">
        <v>48.203258064516099</v>
      </c>
      <c r="CW27">
        <v>48.425129032258099</v>
      </c>
      <c r="CX27">
        <v>49.015999999999998</v>
      </c>
      <c r="CY27">
        <v>2155.4851612903199</v>
      </c>
      <c r="CZ27">
        <v>39.512903225806497</v>
      </c>
      <c r="DA27">
        <v>0</v>
      </c>
      <c r="DB27">
        <v>129.89999985694899</v>
      </c>
      <c r="DC27">
        <v>267.85399999999998</v>
      </c>
      <c r="DD27">
        <v>-1.50453846272584</v>
      </c>
      <c r="DE27">
        <v>-67.842307744705195</v>
      </c>
      <c r="DF27">
        <v>8639.1</v>
      </c>
      <c r="DG27">
        <v>15</v>
      </c>
      <c r="DH27">
        <v>1596816586.2</v>
      </c>
      <c r="DI27" t="s">
        <v>338</v>
      </c>
      <c r="DJ27">
        <v>25</v>
      </c>
      <c r="DK27">
        <v>-0.27</v>
      </c>
      <c r="DL27">
        <v>0.126</v>
      </c>
      <c r="DM27">
        <v>800</v>
      </c>
      <c r="DN27">
        <v>17</v>
      </c>
      <c r="DO27">
        <v>0.15</v>
      </c>
      <c r="DP27">
        <v>0.08</v>
      </c>
      <c r="DQ27">
        <v>784.37144230769195</v>
      </c>
      <c r="DR27">
        <v>0.247908313616964</v>
      </c>
      <c r="DS27">
        <v>4.7036570658270903E-2</v>
      </c>
      <c r="DT27">
        <v>1</v>
      </c>
      <c r="DU27">
        <v>18.3961038461538</v>
      </c>
      <c r="DV27">
        <v>-2.8578746305018402E-2</v>
      </c>
      <c r="DW27">
        <v>4.3586325280751204E-3</v>
      </c>
      <c r="DX27">
        <v>1</v>
      </c>
      <c r="DY27">
        <v>2</v>
      </c>
      <c r="DZ27">
        <v>2</v>
      </c>
      <c r="EA27" t="s">
        <v>283</v>
      </c>
      <c r="EB27">
        <v>1.8667499999999999</v>
      </c>
      <c r="EC27">
        <v>1.8632299999999999</v>
      </c>
      <c r="ED27">
        <v>1.8689</v>
      </c>
      <c r="EE27">
        <v>1.86683</v>
      </c>
      <c r="EF27">
        <v>1.8714900000000001</v>
      </c>
      <c r="EG27">
        <v>1.8640099999999999</v>
      </c>
      <c r="EH27">
        <v>1.8656699999999999</v>
      </c>
      <c r="EI27">
        <v>1.86554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-0.27</v>
      </c>
      <c r="EX27">
        <v>0.126</v>
      </c>
      <c r="EY27">
        <v>2</v>
      </c>
      <c r="EZ27">
        <v>345.84800000000001</v>
      </c>
      <c r="FA27">
        <v>517.22799999999995</v>
      </c>
      <c r="FB27">
        <v>19.368600000000001</v>
      </c>
      <c r="FC27">
        <v>31.3781</v>
      </c>
      <c r="FD27">
        <v>30.0002</v>
      </c>
      <c r="FE27">
        <v>31.421600000000002</v>
      </c>
      <c r="FF27">
        <v>31.433499999999999</v>
      </c>
      <c r="FG27">
        <v>38.441600000000001</v>
      </c>
      <c r="FH27">
        <v>30.62</v>
      </c>
      <c r="FI27">
        <v>17.6023</v>
      </c>
      <c r="FJ27">
        <v>19.2744</v>
      </c>
      <c r="FK27">
        <v>800</v>
      </c>
      <c r="FL27">
        <v>17.3293</v>
      </c>
      <c r="FM27">
        <v>101.187</v>
      </c>
      <c r="FN27">
        <v>101.658</v>
      </c>
    </row>
    <row r="28" spans="1:170" x14ac:dyDescent="0.25">
      <c r="A28">
        <v>12</v>
      </c>
      <c r="B28">
        <v>1596816707.7</v>
      </c>
      <c r="C28">
        <v>1394.10000014305</v>
      </c>
      <c r="D28" t="s">
        <v>339</v>
      </c>
      <c r="E28" t="s">
        <v>340</v>
      </c>
      <c r="G28">
        <v>1596816699.7032299</v>
      </c>
      <c r="H28">
        <f t="shared" si="0"/>
        <v>2.8469547273817595E-3</v>
      </c>
      <c r="I28">
        <f t="shared" si="1"/>
        <v>40.182260051228944</v>
      </c>
      <c r="J28">
        <f t="shared" si="2"/>
        <v>982.81551612903195</v>
      </c>
      <c r="K28">
        <f t="shared" si="3"/>
        <v>553.74827076209078</v>
      </c>
      <c r="L28">
        <f t="shared" si="4"/>
        <v>55.348388293570146</v>
      </c>
      <c r="M28">
        <f t="shared" si="5"/>
        <v>98.234626959270699</v>
      </c>
      <c r="N28">
        <f t="shared" si="6"/>
        <v>0.1615703190727209</v>
      </c>
      <c r="O28">
        <f t="shared" si="7"/>
        <v>3.3920636823601713</v>
      </c>
      <c r="P28">
        <f t="shared" si="8"/>
        <v>0.15741345645359295</v>
      </c>
      <c r="Q28">
        <f t="shared" si="9"/>
        <v>9.8747980129550272E-2</v>
      </c>
      <c r="R28">
        <f t="shared" si="10"/>
        <v>353.33975317611896</v>
      </c>
      <c r="S28">
        <f t="shared" si="11"/>
        <v>26.889983896241549</v>
      </c>
      <c r="T28">
        <f t="shared" si="12"/>
        <v>27.011435483871001</v>
      </c>
      <c r="U28">
        <f t="shared" si="13"/>
        <v>3.581564283896054</v>
      </c>
      <c r="V28">
        <f t="shared" si="14"/>
        <v>54.92819394285354</v>
      </c>
      <c r="W28">
        <f t="shared" si="15"/>
        <v>1.8227141657754256</v>
      </c>
      <c r="X28">
        <f t="shared" si="16"/>
        <v>3.3183580870540719</v>
      </c>
      <c r="Y28">
        <f t="shared" si="17"/>
        <v>1.7588501181206284</v>
      </c>
      <c r="Z28">
        <f t="shared" si="18"/>
        <v>-125.55070347753559</v>
      </c>
      <c r="AA28">
        <f t="shared" si="19"/>
        <v>-236.53729563384184</v>
      </c>
      <c r="AB28">
        <f t="shared" si="20"/>
        <v>-14.953769175354426</v>
      </c>
      <c r="AC28">
        <f t="shared" si="21"/>
        <v>-23.702015110612876</v>
      </c>
      <c r="AD28">
        <v>-4.1324784725897901E-2</v>
      </c>
      <c r="AE28">
        <v>4.6390691104796503E-2</v>
      </c>
      <c r="AF28">
        <v>3.4645814390541698</v>
      </c>
      <c r="AG28">
        <v>136</v>
      </c>
      <c r="AH28">
        <v>27</v>
      </c>
      <c r="AI28">
        <f t="shared" si="22"/>
        <v>1</v>
      </c>
      <c r="AJ28">
        <f t="shared" si="23"/>
        <v>0</v>
      </c>
      <c r="AK28">
        <f t="shared" si="24"/>
        <v>52923.880032929446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341</v>
      </c>
      <c r="AS28">
        <v>273.05308000000002</v>
      </c>
      <c r="AT28">
        <v>378.83100000000002</v>
      </c>
      <c r="AU28">
        <f t="shared" si="27"/>
        <v>0.27922192217637942</v>
      </c>
      <c r="AV28">
        <v>0.5</v>
      </c>
      <c r="AW28">
        <f t="shared" si="28"/>
        <v>1849.19389708157</v>
      </c>
      <c r="AX28">
        <f t="shared" si="29"/>
        <v>40.182260051228944</v>
      </c>
      <c r="AY28">
        <f t="shared" si="30"/>
        <v>258.16773720997293</v>
      </c>
      <c r="AZ28">
        <f t="shared" si="31"/>
        <v>0.51593190631178554</v>
      </c>
      <c r="BA28">
        <f t="shared" si="32"/>
        <v>2.2270385012747178E-2</v>
      </c>
      <c r="BB28">
        <f t="shared" si="33"/>
        <v>-1</v>
      </c>
      <c r="BC28" t="s">
        <v>342</v>
      </c>
      <c r="BD28">
        <v>183.38</v>
      </c>
      <c r="BE28">
        <f t="shared" si="34"/>
        <v>195.45100000000002</v>
      </c>
      <c r="BF28">
        <f t="shared" si="35"/>
        <v>0.54119917524085315</v>
      </c>
      <c r="BG28">
        <f t="shared" si="36"/>
        <v>2.0658250627113102</v>
      </c>
      <c r="BH28">
        <f t="shared" si="37"/>
        <v>0.27922192217637942</v>
      </c>
      <c r="BI28" t="e">
        <f t="shared" si="38"/>
        <v>#DIV/0!</v>
      </c>
      <c r="BJ28">
        <v>5751</v>
      </c>
      <c r="BK28">
        <v>300</v>
      </c>
      <c r="BL28">
        <v>300</v>
      </c>
      <c r="BM28">
        <v>300</v>
      </c>
      <c r="BN28">
        <v>9871.44</v>
      </c>
      <c r="BO28">
        <v>348.44400000000002</v>
      </c>
      <c r="BP28">
        <v>-6.4030600000000003E-3</v>
      </c>
      <c r="BQ28">
        <v>1.3386499999999999</v>
      </c>
      <c r="BR28">
        <f t="shared" si="39"/>
        <v>2200.0100000000002</v>
      </c>
      <c r="BS28">
        <f t="shared" si="40"/>
        <v>1849.19389708157</v>
      </c>
      <c r="BT28">
        <f t="shared" si="41"/>
        <v>0.84053885986044141</v>
      </c>
      <c r="BU28">
        <f t="shared" si="42"/>
        <v>0.19107771972088267</v>
      </c>
      <c r="BV28">
        <v>0.5</v>
      </c>
      <c r="BW28" t="s">
        <v>281</v>
      </c>
      <c r="BX28">
        <v>1596816699.7032299</v>
      </c>
      <c r="BY28">
        <v>982.81551612903195</v>
      </c>
      <c r="BZ28">
        <v>1000.00496774194</v>
      </c>
      <c r="CA28">
        <v>18.235848387096802</v>
      </c>
      <c r="CB28">
        <v>17.118006451612899</v>
      </c>
      <c r="CC28">
        <v>500.07751612903201</v>
      </c>
      <c r="CD28">
        <v>99.752225806451605</v>
      </c>
      <c r="CE28">
        <v>0.20002906451612901</v>
      </c>
      <c r="CF28">
        <v>25.7179838709677</v>
      </c>
      <c r="CG28">
        <v>27.011435483871001</v>
      </c>
      <c r="CH28">
        <v>999.9</v>
      </c>
      <c r="CI28">
        <v>9990.4264516129006</v>
      </c>
      <c r="CJ28">
        <v>0</v>
      </c>
      <c r="CK28">
        <v>330.92500000000001</v>
      </c>
      <c r="CL28">
        <v>2200.0100000000002</v>
      </c>
      <c r="CM28">
        <v>0.98199564516129001</v>
      </c>
      <c r="CN28">
        <v>1.80041548387097E-2</v>
      </c>
      <c r="CO28">
        <v>0</v>
      </c>
      <c r="CP28">
        <v>273.08635483871001</v>
      </c>
      <c r="CQ28">
        <v>5.00054</v>
      </c>
      <c r="CR28">
        <v>8771.5970967741905</v>
      </c>
      <c r="CS28">
        <v>20590.603225806499</v>
      </c>
      <c r="CT28">
        <v>47.592483870967698</v>
      </c>
      <c r="CU28">
        <v>49.951419354838698</v>
      </c>
      <c r="CV28">
        <v>48.167000000000002</v>
      </c>
      <c r="CW28">
        <v>48.425129032258099</v>
      </c>
      <c r="CX28">
        <v>48.947419354838701</v>
      </c>
      <c r="CY28">
        <v>2155.4864516129001</v>
      </c>
      <c r="CZ28">
        <v>39.516451612903197</v>
      </c>
      <c r="DA28">
        <v>0</v>
      </c>
      <c r="DB28">
        <v>146.89999985694899</v>
      </c>
      <c r="DC28">
        <v>273.05308000000002</v>
      </c>
      <c r="DD28">
        <v>-3.3006153842202699</v>
      </c>
      <c r="DE28">
        <v>-93.010769283868697</v>
      </c>
      <c r="DF28">
        <v>8770.3567999999996</v>
      </c>
      <c r="DG28">
        <v>15</v>
      </c>
      <c r="DH28">
        <v>1596816729.2</v>
      </c>
      <c r="DI28" t="s">
        <v>343</v>
      </c>
      <c r="DJ28">
        <v>26</v>
      </c>
      <c r="DK28">
        <v>0.17899999999999999</v>
      </c>
      <c r="DL28">
        <v>0.126</v>
      </c>
      <c r="DM28">
        <v>1000</v>
      </c>
      <c r="DN28">
        <v>17</v>
      </c>
      <c r="DO28">
        <v>0.3</v>
      </c>
      <c r="DP28">
        <v>0.09</v>
      </c>
      <c r="DQ28">
        <v>982.32165384615405</v>
      </c>
      <c r="DR28">
        <v>0.43059472933331999</v>
      </c>
      <c r="DS28">
        <v>6.12167915047028E-2</v>
      </c>
      <c r="DT28">
        <v>0</v>
      </c>
      <c r="DU28">
        <v>18.241523076923102</v>
      </c>
      <c r="DV28">
        <v>-6.5304111260988798E-2</v>
      </c>
      <c r="DW28">
        <v>8.2297914588172708E-3</v>
      </c>
      <c r="DX28">
        <v>1</v>
      </c>
      <c r="DY28">
        <v>1</v>
      </c>
      <c r="DZ28">
        <v>2</v>
      </c>
      <c r="EA28" t="s">
        <v>344</v>
      </c>
      <c r="EB28">
        <v>1.86676</v>
      </c>
      <c r="EC28">
        <v>1.8632500000000001</v>
      </c>
      <c r="ED28">
        <v>1.8689</v>
      </c>
      <c r="EE28">
        <v>1.86686</v>
      </c>
      <c r="EF28">
        <v>1.8715299999999999</v>
      </c>
      <c r="EG28">
        <v>1.8640300000000001</v>
      </c>
      <c r="EH28">
        <v>1.8656699999999999</v>
      </c>
      <c r="EI28">
        <v>1.86554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0.17899999999999999</v>
      </c>
      <c r="EX28">
        <v>0.126</v>
      </c>
      <c r="EY28">
        <v>2</v>
      </c>
      <c r="EZ28">
        <v>346.14299999999997</v>
      </c>
      <c r="FA28">
        <v>517.20699999999999</v>
      </c>
      <c r="FB28">
        <v>19.555</v>
      </c>
      <c r="FC28">
        <v>31.389299999999999</v>
      </c>
      <c r="FD28">
        <v>30.000299999999999</v>
      </c>
      <c r="FE28">
        <v>31.4314</v>
      </c>
      <c r="FF28">
        <v>31.444400000000002</v>
      </c>
      <c r="FG28">
        <v>46.025199999999998</v>
      </c>
      <c r="FH28">
        <v>31.299600000000002</v>
      </c>
      <c r="FI28">
        <v>15.7331</v>
      </c>
      <c r="FJ28">
        <v>19.5519</v>
      </c>
      <c r="FK28">
        <v>1000</v>
      </c>
      <c r="FL28">
        <v>17.204499999999999</v>
      </c>
      <c r="FM28">
        <v>101.18600000000001</v>
      </c>
      <c r="FN28">
        <v>101.66</v>
      </c>
    </row>
    <row r="29" spans="1:170" x14ac:dyDescent="0.25">
      <c r="A29">
        <v>13</v>
      </c>
      <c r="B29">
        <v>1596816847.2</v>
      </c>
      <c r="C29">
        <v>1533.60000014305</v>
      </c>
      <c r="D29" t="s">
        <v>345</v>
      </c>
      <c r="E29" t="s">
        <v>346</v>
      </c>
      <c r="G29">
        <v>1596816839.2258101</v>
      </c>
      <c r="H29">
        <f t="shared" si="0"/>
        <v>2.7865897407274866E-3</v>
      </c>
      <c r="I29">
        <f t="shared" si="1"/>
        <v>42.494239241748865</v>
      </c>
      <c r="J29">
        <f t="shared" si="2"/>
        <v>1181.70212903226</v>
      </c>
      <c r="K29">
        <f t="shared" si="3"/>
        <v>717.47162921762572</v>
      </c>
      <c r="L29">
        <f t="shared" si="4"/>
        <v>71.71371962500811</v>
      </c>
      <c r="M29">
        <f t="shared" si="5"/>
        <v>118.1151305649603</v>
      </c>
      <c r="N29">
        <f t="shared" si="6"/>
        <v>0.15905125681783186</v>
      </c>
      <c r="O29">
        <f t="shared" si="7"/>
        <v>3.3841659334630965</v>
      </c>
      <c r="P29">
        <f t="shared" si="8"/>
        <v>0.15501211522786193</v>
      </c>
      <c r="Q29">
        <f t="shared" si="9"/>
        <v>9.7236929316518977E-2</v>
      </c>
      <c r="R29">
        <f t="shared" si="10"/>
        <v>353.34072691414326</v>
      </c>
      <c r="S29">
        <f t="shared" si="11"/>
        <v>26.812922675579077</v>
      </c>
      <c r="T29">
        <f t="shared" si="12"/>
        <v>27.022525806451601</v>
      </c>
      <c r="U29">
        <f t="shared" si="13"/>
        <v>3.5838976432391245</v>
      </c>
      <c r="V29">
        <f t="shared" si="14"/>
        <v>55.629705450926558</v>
      </c>
      <c r="W29">
        <f t="shared" si="15"/>
        <v>1.8357900185043339</v>
      </c>
      <c r="X29">
        <f t="shared" si="16"/>
        <v>3.3000175061573285</v>
      </c>
      <c r="Y29">
        <f t="shared" si="17"/>
        <v>1.7481076247347906</v>
      </c>
      <c r="Z29">
        <f t="shared" si="18"/>
        <v>-122.88860756608216</v>
      </c>
      <c r="AA29">
        <f t="shared" si="19"/>
        <v>-255.0564127055535</v>
      </c>
      <c r="AB29">
        <f t="shared" si="20"/>
        <v>-16.155514255117616</v>
      </c>
      <c r="AC29">
        <f t="shared" si="21"/>
        <v>-40.759807612610018</v>
      </c>
      <c r="AD29">
        <v>-4.1202548322952698E-2</v>
      </c>
      <c r="AE29">
        <v>4.62534700339935E-2</v>
      </c>
      <c r="AF29">
        <v>3.4564691866869199</v>
      </c>
      <c r="AG29">
        <v>136</v>
      </c>
      <c r="AH29">
        <v>27</v>
      </c>
      <c r="AI29">
        <f t="shared" si="22"/>
        <v>1</v>
      </c>
      <c r="AJ29">
        <f t="shared" si="23"/>
        <v>0</v>
      </c>
      <c r="AK29">
        <f t="shared" si="24"/>
        <v>52790.165887247174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347</v>
      </c>
      <c r="AS29">
        <v>273.46408000000002</v>
      </c>
      <c r="AT29">
        <v>378.86900000000003</v>
      </c>
      <c r="AU29">
        <f t="shared" si="27"/>
        <v>0.27820940747329548</v>
      </c>
      <c r="AV29">
        <v>0.5</v>
      </c>
      <c r="AW29">
        <f t="shared" si="28"/>
        <v>1849.2034255155902</v>
      </c>
      <c r="AX29">
        <f t="shared" si="29"/>
        <v>42.494239241748865</v>
      </c>
      <c r="AY29">
        <f t="shared" si="30"/>
        <v>257.23289465514034</v>
      </c>
      <c r="AZ29">
        <f t="shared" si="31"/>
        <v>0.51983403234363335</v>
      </c>
      <c r="BA29">
        <f t="shared" si="32"/>
        <v>2.3520527077556062E-2</v>
      </c>
      <c r="BB29">
        <f t="shared" si="33"/>
        <v>-1</v>
      </c>
      <c r="BC29" t="s">
        <v>348</v>
      </c>
      <c r="BD29">
        <v>181.92</v>
      </c>
      <c r="BE29">
        <f t="shared" si="34"/>
        <v>196.94900000000004</v>
      </c>
      <c r="BF29">
        <f t="shared" si="35"/>
        <v>0.53518890677281927</v>
      </c>
      <c r="BG29">
        <f t="shared" si="36"/>
        <v>2.0826132365875112</v>
      </c>
      <c r="BH29">
        <f t="shared" si="37"/>
        <v>0.27820940747329553</v>
      </c>
      <c r="BI29" t="e">
        <f t="shared" si="38"/>
        <v>#DIV/0!</v>
      </c>
      <c r="BJ29">
        <v>5753</v>
      </c>
      <c r="BK29">
        <v>300</v>
      </c>
      <c r="BL29">
        <v>300</v>
      </c>
      <c r="BM29">
        <v>300</v>
      </c>
      <c r="BN29">
        <v>9871.9</v>
      </c>
      <c r="BO29">
        <v>349.33800000000002</v>
      </c>
      <c r="BP29">
        <v>-6.4034599999999997E-3</v>
      </c>
      <c r="BQ29">
        <v>1.1634800000000001</v>
      </c>
      <c r="BR29">
        <f t="shared" si="39"/>
        <v>2200.02193548387</v>
      </c>
      <c r="BS29">
        <f t="shared" si="40"/>
        <v>1849.2034255155902</v>
      </c>
      <c r="BT29">
        <f t="shared" si="41"/>
        <v>0.84053863086091396</v>
      </c>
      <c r="BU29">
        <f t="shared" si="42"/>
        <v>0.19107726172182798</v>
      </c>
      <c r="BV29">
        <v>0.5</v>
      </c>
      <c r="BW29" t="s">
        <v>281</v>
      </c>
      <c r="BX29">
        <v>1596816839.2258101</v>
      </c>
      <c r="BY29">
        <v>1181.70212903226</v>
      </c>
      <c r="BZ29">
        <v>1200.01419354839</v>
      </c>
      <c r="CA29">
        <v>18.366461290322601</v>
      </c>
      <c r="CB29">
        <v>17.272464516128998</v>
      </c>
      <c r="CC29">
        <v>500.076419354839</v>
      </c>
      <c r="CD29">
        <v>99.753296774193601</v>
      </c>
      <c r="CE29">
        <v>0.200090516129032</v>
      </c>
      <c r="CF29">
        <v>25.6245516129032</v>
      </c>
      <c r="CG29">
        <v>27.022525806451601</v>
      </c>
      <c r="CH29">
        <v>999.9</v>
      </c>
      <c r="CI29">
        <v>9960.7683870967703</v>
      </c>
      <c r="CJ29">
        <v>0</v>
      </c>
      <c r="CK29">
        <v>314.58625806451602</v>
      </c>
      <c r="CL29">
        <v>2200.02193548387</v>
      </c>
      <c r="CM29">
        <v>0.98200529032257999</v>
      </c>
      <c r="CN29">
        <v>1.7994780645161301E-2</v>
      </c>
      <c r="CO29">
        <v>0</v>
      </c>
      <c r="CP29">
        <v>273.50419354838698</v>
      </c>
      <c r="CQ29">
        <v>5.00054</v>
      </c>
      <c r="CR29">
        <v>8775.4696774193599</v>
      </c>
      <c r="CS29">
        <v>20590.774193548401</v>
      </c>
      <c r="CT29">
        <v>47.544064516128998</v>
      </c>
      <c r="CU29">
        <v>49.953451612903201</v>
      </c>
      <c r="CV29">
        <v>48.1106451612903</v>
      </c>
      <c r="CW29">
        <v>48.398935483871</v>
      </c>
      <c r="CX29">
        <v>48.911064516129002</v>
      </c>
      <c r="CY29">
        <v>2155.52193548387</v>
      </c>
      <c r="CZ29">
        <v>39.5</v>
      </c>
      <c r="DA29">
        <v>0</v>
      </c>
      <c r="DB29">
        <v>138.799999952316</v>
      </c>
      <c r="DC29">
        <v>273.46408000000002</v>
      </c>
      <c r="DD29">
        <v>-3.6176153856558999</v>
      </c>
      <c r="DE29">
        <v>-76.479230398700494</v>
      </c>
      <c r="DF29">
        <v>8774.5416000000005</v>
      </c>
      <c r="DG29">
        <v>15</v>
      </c>
      <c r="DH29">
        <v>1596816871.8</v>
      </c>
      <c r="DI29" t="s">
        <v>349</v>
      </c>
      <c r="DJ29">
        <v>27</v>
      </c>
      <c r="DK29">
        <v>4.4999999999999998E-2</v>
      </c>
      <c r="DL29">
        <v>0.126</v>
      </c>
      <c r="DM29">
        <v>1200</v>
      </c>
      <c r="DN29">
        <v>17</v>
      </c>
      <c r="DO29">
        <v>0.24</v>
      </c>
      <c r="DP29">
        <v>0.08</v>
      </c>
      <c r="DQ29">
        <v>1181.83173076923</v>
      </c>
      <c r="DR29">
        <v>0.200395743039333</v>
      </c>
      <c r="DS29">
        <v>6.5389988467019905E-2</v>
      </c>
      <c r="DT29">
        <v>1</v>
      </c>
      <c r="DU29">
        <v>18.344213461538502</v>
      </c>
      <c r="DV29">
        <v>0.18597347234168901</v>
      </c>
      <c r="DW29">
        <v>3.3691485050986403E-2</v>
      </c>
      <c r="DX29">
        <v>1</v>
      </c>
      <c r="DY29">
        <v>2</v>
      </c>
      <c r="DZ29">
        <v>2</v>
      </c>
      <c r="EA29" t="s">
        <v>283</v>
      </c>
      <c r="EB29">
        <v>1.86676</v>
      </c>
      <c r="EC29">
        <v>1.8632500000000001</v>
      </c>
      <c r="ED29">
        <v>1.8689199999999999</v>
      </c>
      <c r="EE29">
        <v>1.8668800000000001</v>
      </c>
      <c r="EF29">
        <v>1.87155</v>
      </c>
      <c r="EG29">
        <v>1.8640399999999999</v>
      </c>
      <c r="EH29">
        <v>1.86568</v>
      </c>
      <c r="EI29">
        <v>1.86554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4.4999999999999998E-2</v>
      </c>
      <c r="EX29">
        <v>0.126</v>
      </c>
      <c r="EY29">
        <v>2</v>
      </c>
      <c r="EZ29">
        <v>345.88499999999999</v>
      </c>
      <c r="FA29">
        <v>516.57799999999997</v>
      </c>
      <c r="FB29">
        <v>19.521000000000001</v>
      </c>
      <c r="FC29">
        <v>31.4359</v>
      </c>
      <c r="FD29">
        <v>30.001200000000001</v>
      </c>
      <c r="FE29">
        <v>31.465699999999998</v>
      </c>
      <c r="FF29">
        <v>31.474499999999999</v>
      </c>
      <c r="FG29">
        <v>53.295099999999998</v>
      </c>
      <c r="FH29">
        <v>31.509499999999999</v>
      </c>
      <c r="FI29">
        <v>13.853199999999999</v>
      </c>
      <c r="FJ29">
        <v>19.459199999999999</v>
      </c>
      <c r="FK29">
        <v>1200</v>
      </c>
      <c r="FL29">
        <v>17.126100000000001</v>
      </c>
      <c r="FM29">
        <v>101.18</v>
      </c>
      <c r="FN29">
        <v>101.655</v>
      </c>
    </row>
    <row r="30" spans="1:170" x14ac:dyDescent="0.25">
      <c r="A30">
        <v>14</v>
      </c>
      <c r="B30">
        <v>1596816993.2</v>
      </c>
      <c r="C30">
        <v>1679.60000014305</v>
      </c>
      <c r="D30" t="s">
        <v>350</v>
      </c>
      <c r="E30" t="s">
        <v>351</v>
      </c>
      <c r="G30">
        <v>1596816985.24194</v>
      </c>
      <c r="H30">
        <f t="shared" si="0"/>
        <v>2.0094928649279087E-3</v>
      </c>
      <c r="I30">
        <f t="shared" si="1"/>
        <v>45.370210414500342</v>
      </c>
      <c r="J30">
        <f t="shared" si="2"/>
        <v>1580.58248387097</v>
      </c>
      <c r="K30">
        <f t="shared" si="3"/>
        <v>879.33514091007737</v>
      </c>
      <c r="L30">
        <f t="shared" si="4"/>
        <v>87.898419513511854</v>
      </c>
      <c r="M30">
        <f t="shared" si="5"/>
        <v>157.99516677931385</v>
      </c>
      <c r="N30">
        <f t="shared" si="6"/>
        <v>0.11085043491184958</v>
      </c>
      <c r="O30">
        <f t="shared" si="7"/>
        <v>3.3972219469573988</v>
      </c>
      <c r="P30">
        <f t="shared" si="8"/>
        <v>0.10887952874517309</v>
      </c>
      <c r="Q30">
        <f t="shared" si="9"/>
        <v>6.822386473530262E-2</v>
      </c>
      <c r="R30">
        <f t="shared" si="10"/>
        <v>353.33382810050517</v>
      </c>
      <c r="S30">
        <f t="shared" si="11"/>
        <v>26.792292849020864</v>
      </c>
      <c r="T30">
        <f t="shared" si="12"/>
        <v>27.117945161290301</v>
      </c>
      <c r="U30">
        <f t="shared" si="13"/>
        <v>3.604028378277321</v>
      </c>
      <c r="V30">
        <f t="shared" si="14"/>
        <v>55.451489248969388</v>
      </c>
      <c r="W30">
        <f t="shared" si="15"/>
        <v>1.8091064006174147</v>
      </c>
      <c r="X30">
        <f t="shared" si="16"/>
        <v>3.2625028202484905</v>
      </c>
      <c r="Y30">
        <f t="shared" si="17"/>
        <v>1.7949219776599064</v>
      </c>
      <c r="Z30">
        <f t="shared" si="18"/>
        <v>-88.618635343320776</v>
      </c>
      <c r="AA30">
        <f t="shared" si="19"/>
        <v>-308.77904728818379</v>
      </c>
      <c r="AB30">
        <f t="shared" si="20"/>
        <v>-19.473759238752518</v>
      </c>
      <c r="AC30">
        <f t="shared" si="21"/>
        <v>-63.537613769751886</v>
      </c>
      <c r="AD30">
        <v>-4.1404690417788902E-2</v>
      </c>
      <c r="AE30">
        <v>4.6480392244067303E-2</v>
      </c>
      <c r="AF30">
        <v>3.4698799241404199</v>
      </c>
      <c r="AG30">
        <v>136</v>
      </c>
      <c r="AH30">
        <v>27</v>
      </c>
      <c r="AI30">
        <f t="shared" si="22"/>
        <v>1</v>
      </c>
      <c r="AJ30">
        <f t="shared" si="23"/>
        <v>0</v>
      </c>
      <c r="AK30">
        <f t="shared" si="24"/>
        <v>53073.006704739761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352</v>
      </c>
      <c r="AS30">
        <v>270.69815999999997</v>
      </c>
      <c r="AT30">
        <v>368.238</v>
      </c>
      <c r="AU30">
        <f t="shared" si="27"/>
        <v>0.26488260309908274</v>
      </c>
      <c r="AV30">
        <v>0.5</v>
      </c>
      <c r="AW30">
        <f t="shared" si="28"/>
        <v>1849.167115838166</v>
      </c>
      <c r="AX30">
        <f t="shared" si="29"/>
        <v>45.370210414500342</v>
      </c>
      <c r="AY30">
        <f t="shared" si="30"/>
        <v>244.90609960421824</v>
      </c>
      <c r="AZ30">
        <f t="shared" si="31"/>
        <v>0.50146372726334598</v>
      </c>
      <c r="BA30">
        <f t="shared" si="32"/>
        <v>2.5076268130304852E-2</v>
      </c>
      <c r="BB30">
        <f t="shared" si="33"/>
        <v>-1</v>
      </c>
      <c r="BC30" t="s">
        <v>353</v>
      </c>
      <c r="BD30">
        <v>183.58</v>
      </c>
      <c r="BE30">
        <f t="shared" si="34"/>
        <v>184.65799999999999</v>
      </c>
      <c r="BF30">
        <f t="shared" si="35"/>
        <v>0.52821886947762908</v>
      </c>
      <c r="BG30">
        <f t="shared" si="36"/>
        <v>2.0058720993572283</v>
      </c>
      <c r="BH30">
        <f t="shared" si="37"/>
        <v>0.26488260309908274</v>
      </c>
      <c r="BI30" t="e">
        <f t="shared" si="38"/>
        <v>#DIV/0!</v>
      </c>
      <c r="BJ30">
        <v>5755</v>
      </c>
      <c r="BK30">
        <v>300</v>
      </c>
      <c r="BL30">
        <v>300</v>
      </c>
      <c r="BM30">
        <v>300</v>
      </c>
      <c r="BN30">
        <v>9872.26</v>
      </c>
      <c r="BO30">
        <v>341.62</v>
      </c>
      <c r="BP30">
        <v>-6.4037299999999998E-3</v>
      </c>
      <c r="BQ30">
        <v>0.53295899999999996</v>
      </c>
      <c r="BR30">
        <f t="shared" si="39"/>
        <v>2199.9787096774198</v>
      </c>
      <c r="BS30">
        <f t="shared" si="40"/>
        <v>1849.167115838166</v>
      </c>
      <c r="BT30">
        <f t="shared" si="41"/>
        <v>0.84053864144408341</v>
      </c>
      <c r="BU30">
        <f t="shared" si="42"/>
        <v>0.19107728288816703</v>
      </c>
      <c r="BV30">
        <v>0.5</v>
      </c>
      <c r="BW30" t="s">
        <v>281</v>
      </c>
      <c r="BX30">
        <v>1596816985.24194</v>
      </c>
      <c r="BY30">
        <v>1580.58248387097</v>
      </c>
      <c r="BZ30">
        <v>1599.9980645161299</v>
      </c>
      <c r="CA30">
        <v>18.0982870967742</v>
      </c>
      <c r="CB30">
        <v>17.309158064516101</v>
      </c>
      <c r="CC30">
        <v>500.07651612903197</v>
      </c>
      <c r="CD30">
        <v>99.760125806451597</v>
      </c>
      <c r="CE30">
        <v>0.19996383870967699</v>
      </c>
      <c r="CF30">
        <v>25.432019354838701</v>
      </c>
      <c r="CG30">
        <v>27.117945161290301</v>
      </c>
      <c r="CH30">
        <v>999.9</v>
      </c>
      <c r="CI30">
        <v>10008.9512903226</v>
      </c>
      <c r="CJ30">
        <v>0</v>
      </c>
      <c r="CK30">
        <v>255.01696774193601</v>
      </c>
      <c r="CL30">
        <v>2199.9787096774198</v>
      </c>
      <c r="CM30">
        <v>0.98200445161290295</v>
      </c>
      <c r="CN30">
        <v>1.79957032258065E-2</v>
      </c>
      <c r="CO30">
        <v>0</v>
      </c>
      <c r="CP30">
        <v>270.73722580645199</v>
      </c>
      <c r="CQ30">
        <v>5.00054</v>
      </c>
      <c r="CR30">
        <v>8707.2003225806493</v>
      </c>
      <c r="CS30">
        <v>20590.345161290301</v>
      </c>
      <c r="CT30">
        <v>47.5017741935484</v>
      </c>
      <c r="CU30">
        <v>49.840451612903202</v>
      </c>
      <c r="CV30">
        <v>48.052064516129001</v>
      </c>
      <c r="CW30">
        <v>48.320322580645097</v>
      </c>
      <c r="CX30">
        <v>48.872838709677403</v>
      </c>
      <c r="CY30">
        <v>2155.4787096774198</v>
      </c>
      <c r="CZ30">
        <v>39.5</v>
      </c>
      <c r="DA30">
        <v>0</v>
      </c>
      <c r="DB30">
        <v>145.299999952316</v>
      </c>
      <c r="DC30">
        <v>270.69815999999997</v>
      </c>
      <c r="DD30">
        <v>-2.9100000252711</v>
      </c>
      <c r="DE30">
        <v>-68.733846069652003</v>
      </c>
      <c r="DF30">
        <v>8706.5992000000006</v>
      </c>
      <c r="DG30">
        <v>15</v>
      </c>
      <c r="DH30">
        <v>1596817020.3</v>
      </c>
      <c r="DI30" t="s">
        <v>354</v>
      </c>
      <c r="DJ30">
        <v>28</v>
      </c>
      <c r="DK30">
        <v>-0.20799999999999999</v>
      </c>
      <c r="DL30">
        <v>0.124</v>
      </c>
      <c r="DM30">
        <v>1600</v>
      </c>
      <c r="DN30">
        <v>17</v>
      </c>
      <c r="DO30">
        <v>0.33</v>
      </c>
      <c r="DP30">
        <v>0.11</v>
      </c>
      <c r="DQ30">
        <v>1580.7182692307699</v>
      </c>
      <c r="DR30">
        <v>1.1968457741719201</v>
      </c>
      <c r="DS30">
        <v>0.155176340804804</v>
      </c>
      <c r="DT30">
        <v>0</v>
      </c>
      <c r="DU30">
        <v>18.103136538461499</v>
      </c>
      <c r="DV30">
        <v>-2.1662293347811699E-2</v>
      </c>
      <c r="DW30">
        <v>3.2268720771618299E-3</v>
      </c>
      <c r="DX30">
        <v>1</v>
      </c>
      <c r="DY30">
        <v>1</v>
      </c>
      <c r="DZ30">
        <v>2</v>
      </c>
      <c r="EA30" t="s">
        <v>344</v>
      </c>
      <c r="EB30">
        <v>1.8667400000000001</v>
      </c>
      <c r="EC30">
        <v>1.8632299999999999</v>
      </c>
      <c r="ED30">
        <v>1.8689</v>
      </c>
      <c r="EE30">
        <v>1.8667899999999999</v>
      </c>
      <c r="EF30">
        <v>1.8714900000000001</v>
      </c>
      <c r="EG30">
        <v>1.8640099999999999</v>
      </c>
      <c r="EH30">
        <v>1.8655600000000001</v>
      </c>
      <c r="EI30">
        <v>1.8655299999999999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-0.20799999999999999</v>
      </c>
      <c r="EX30">
        <v>0.124</v>
      </c>
      <c r="EY30">
        <v>2</v>
      </c>
      <c r="EZ30">
        <v>346.233</v>
      </c>
      <c r="FA30">
        <v>516.73199999999997</v>
      </c>
      <c r="FB30">
        <v>18.2468</v>
      </c>
      <c r="FC30">
        <v>31.485499999999998</v>
      </c>
      <c r="FD30">
        <v>30.001100000000001</v>
      </c>
      <c r="FE30">
        <v>31.5015</v>
      </c>
      <c r="FF30">
        <v>31.51</v>
      </c>
      <c r="FG30">
        <v>67.026600000000002</v>
      </c>
      <c r="FH30">
        <v>31.543800000000001</v>
      </c>
      <c r="FI30">
        <v>11.9703</v>
      </c>
      <c r="FJ30">
        <v>18.1218</v>
      </c>
      <c r="FK30">
        <v>1600</v>
      </c>
      <c r="FL30">
        <v>17.156099999999999</v>
      </c>
      <c r="FM30">
        <v>101.167</v>
      </c>
      <c r="FN30">
        <v>101.642</v>
      </c>
    </row>
    <row r="31" spans="1:170" x14ac:dyDescent="0.25">
      <c r="A31">
        <v>15</v>
      </c>
      <c r="B31">
        <v>1596817141.8</v>
      </c>
      <c r="C31">
        <v>1828.2000000476801</v>
      </c>
      <c r="D31" t="s">
        <v>355</v>
      </c>
      <c r="E31" t="s">
        <v>356</v>
      </c>
      <c r="G31">
        <v>1596817133.8</v>
      </c>
      <c r="H31">
        <f t="shared" si="0"/>
        <v>2.056860552541622E-3</v>
      </c>
      <c r="I31">
        <f t="shared" si="1"/>
        <v>44.622884899644788</v>
      </c>
      <c r="J31">
        <f t="shared" si="2"/>
        <v>1780.76196774194</v>
      </c>
      <c r="K31">
        <f t="shared" si="3"/>
        <v>1108.1583895083991</v>
      </c>
      <c r="L31">
        <f t="shared" si="4"/>
        <v>110.77425430635631</v>
      </c>
      <c r="M31">
        <f t="shared" si="5"/>
        <v>178.00937207292424</v>
      </c>
      <c r="N31">
        <f t="shared" si="6"/>
        <v>0.11503842356863533</v>
      </c>
      <c r="O31">
        <f t="shared" si="7"/>
        <v>3.3975813372266308</v>
      </c>
      <c r="P31">
        <f t="shared" si="8"/>
        <v>0.11291753615528125</v>
      </c>
      <c r="Q31">
        <f t="shared" si="9"/>
        <v>7.0760756560011323E-2</v>
      </c>
      <c r="R31">
        <f t="shared" si="10"/>
        <v>353.33599041522803</v>
      </c>
      <c r="S31">
        <f t="shared" si="11"/>
        <v>26.746427927955871</v>
      </c>
      <c r="T31">
        <f t="shared" si="12"/>
        <v>26.962470967741901</v>
      </c>
      <c r="U31">
        <f t="shared" si="13"/>
        <v>3.5712781912513893</v>
      </c>
      <c r="V31">
        <f t="shared" si="14"/>
        <v>55.266365970169161</v>
      </c>
      <c r="W31">
        <f t="shared" si="15"/>
        <v>1.7993161497924988</v>
      </c>
      <c r="X31">
        <f t="shared" si="16"/>
        <v>3.2557164166786472</v>
      </c>
      <c r="Y31">
        <f t="shared" si="17"/>
        <v>1.7719620414588906</v>
      </c>
      <c r="Z31">
        <f t="shared" si="18"/>
        <v>-90.707550367085531</v>
      </c>
      <c r="AA31">
        <f t="shared" si="19"/>
        <v>-286.75090562069011</v>
      </c>
      <c r="AB31">
        <f t="shared" si="20"/>
        <v>-18.065317667634101</v>
      </c>
      <c r="AC31">
        <f t="shared" si="21"/>
        <v>-42.187783240181687</v>
      </c>
      <c r="AD31">
        <v>-4.1410259708228397E-2</v>
      </c>
      <c r="AE31">
        <v>4.6486644260482303E-2</v>
      </c>
      <c r="AF31">
        <v>3.4702490875385799</v>
      </c>
      <c r="AG31">
        <v>137</v>
      </c>
      <c r="AH31">
        <v>27</v>
      </c>
      <c r="AI31">
        <f t="shared" si="22"/>
        <v>1</v>
      </c>
      <c r="AJ31">
        <f t="shared" si="23"/>
        <v>0</v>
      </c>
      <c r="AK31">
        <f t="shared" si="24"/>
        <v>53086.13599589518</v>
      </c>
      <c r="AL31">
        <v>0</v>
      </c>
      <c r="AM31">
        <v>0</v>
      </c>
      <c r="AN31">
        <v>0</v>
      </c>
      <c r="AO31">
        <f t="shared" si="25"/>
        <v>0</v>
      </c>
      <c r="AP31" t="e">
        <f t="shared" si="26"/>
        <v>#DIV/0!</v>
      </c>
      <c r="AQ31">
        <v>-1</v>
      </c>
      <c r="AR31" t="s">
        <v>357</v>
      </c>
      <c r="AS31">
        <v>264.98824000000002</v>
      </c>
      <c r="AT31">
        <v>359.08300000000003</v>
      </c>
      <c r="AU31">
        <f t="shared" si="27"/>
        <v>0.26204181206016441</v>
      </c>
      <c r="AV31">
        <v>0.5</v>
      </c>
      <c r="AW31">
        <f t="shared" si="28"/>
        <v>1849.1784964833319</v>
      </c>
      <c r="AX31">
        <f t="shared" si="29"/>
        <v>44.622884899644788</v>
      </c>
      <c r="AY31">
        <f t="shared" si="30"/>
        <v>242.28104202059131</v>
      </c>
      <c r="AZ31">
        <f t="shared" si="31"/>
        <v>0.49532559324724373</v>
      </c>
      <c r="BA31">
        <f t="shared" si="32"/>
        <v>2.4671974601915357E-2</v>
      </c>
      <c r="BB31">
        <f t="shared" si="33"/>
        <v>-1</v>
      </c>
      <c r="BC31" t="s">
        <v>358</v>
      </c>
      <c r="BD31">
        <v>181.22</v>
      </c>
      <c r="BE31">
        <f t="shared" si="34"/>
        <v>177.86300000000003</v>
      </c>
      <c r="BF31">
        <f t="shared" si="35"/>
        <v>0.52902942152105825</v>
      </c>
      <c r="BG31">
        <f t="shared" si="36"/>
        <v>1.9814755545745504</v>
      </c>
      <c r="BH31">
        <f t="shared" si="37"/>
        <v>0.26204181206016436</v>
      </c>
      <c r="BI31" t="e">
        <f t="shared" si="38"/>
        <v>#DIV/0!</v>
      </c>
      <c r="BJ31">
        <v>5757</v>
      </c>
      <c r="BK31">
        <v>300</v>
      </c>
      <c r="BL31">
        <v>300</v>
      </c>
      <c r="BM31">
        <v>300</v>
      </c>
      <c r="BN31">
        <v>9872.48</v>
      </c>
      <c r="BO31">
        <v>332.22199999999998</v>
      </c>
      <c r="BP31">
        <v>-6.4037800000000004E-3</v>
      </c>
      <c r="BQ31">
        <v>0.70904500000000004</v>
      </c>
      <c r="BR31">
        <f t="shared" si="39"/>
        <v>2199.9922580645198</v>
      </c>
      <c r="BS31">
        <f t="shared" si="40"/>
        <v>1849.1784964833319</v>
      </c>
      <c r="BT31">
        <f t="shared" si="41"/>
        <v>0.84053863812692586</v>
      </c>
      <c r="BU31">
        <f t="shared" si="42"/>
        <v>0.19107727625385185</v>
      </c>
      <c r="BV31">
        <v>0.5</v>
      </c>
      <c r="BW31" t="s">
        <v>281</v>
      </c>
      <c r="BX31">
        <v>1596817133.8</v>
      </c>
      <c r="BY31">
        <v>1780.76196774194</v>
      </c>
      <c r="BZ31">
        <v>1800.0735483870999</v>
      </c>
      <c r="CA31">
        <v>17.9999161290323</v>
      </c>
      <c r="CB31">
        <v>17.192093548387099</v>
      </c>
      <c r="CC31">
        <v>500.06951612903202</v>
      </c>
      <c r="CD31">
        <v>99.762490322580604</v>
      </c>
      <c r="CE31">
        <v>0.19998377419354799</v>
      </c>
      <c r="CF31">
        <v>25.396983870967698</v>
      </c>
      <c r="CG31">
        <v>26.962470967741901</v>
      </c>
      <c r="CH31">
        <v>999.9</v>
      </c>
      <c r="CI31">
        <v>10010.060322580601</v>
      </c>
      <c r="CJ31">
        <v>0</v>
      </c>
      <c r="CK31">
        <v>229.200677419355</v>
      </c>
      <c r="CL31">
        <v>2199.9922580645198</v>
      </c>
      <c r="CM31">
        <v>0.98200425806451597</v>
      </c>
      <c r="CN31">
        <v>1.7995916129032299E-2</v>
      </c>
      <c r="CO31">
        <v>0</v>
      </c>
      <c r="CP31">
        <v>265.02709677419301</v>
      </c>
      <c r="CQ31">
        <v>5.00054</v>
      </c>
      <c r="CR31">
        <v>8585.35</v>
      </c>
      <c r="CS31">
        <v>20590.487096774199</v>
      </c>
      <c r="CT31">
        <v>47.457387096774198</v>
      </c>
      <c r="CU31">
        <v>49.781999999999996</v>
      </c>
      <c r="CV31">
        <v>48.012</v>
      </c>
      <c r="CW31">
        <v>48.2297096774194</v>
      </c>
      <c r="CX31">
        <v>48.81</v>
      </c>
      <c r="CY31">
        <v>2155.4922580645198</v>
      </c>
      <c r="CZ31">
        <v>39.5</v>
      </c>
      <c r="DA31">
        <v>0</v>
      </c>
      <c r="DB31">
        <v>147.700000047684</v>
      </c>
      <c r="DC31">
        <v>264.98824000000002</v>
      </c>
      <c r="DD31">
        <v>-2.3843076895869801</v>
      </c>
      <c r="DE31">
        <v>-75.563076621570602</v>
      </c>
      <c r="DF31">
        <v>8584.4060000000009</v>
      </c>
      <c r="DG31">
        <v>15</v>
      </c>
      <c r="DH31">
        <v>1596817163.8</v>
      </c>
      <c r="DI31" t="s">
        <v>359</v>
      </c>
      <c r="DJ31">
        <v>29</v>
      </c>
      <c r="DK31">
        <v>0.123</v>
      </c>
      <c r="DL31">
        <v>0.124</v>
      </c>
      <c r="DM31">
        <v>1800</v>
      </c>
      <c r="DN31">
        <v>17</v>
      </c>
      <c r="DO31">
        <v>0.14000000000000001</v>
      </c>
      <c r="DP31">
        <v>0.12</v>
      </c>
      <c r="DQ31">
        <v>1780.35211538462</v>
      </c>
      <c r="DR31">
        <v>0.67636618364643097</v>
      </c>
      <c r="DS31">
        <v>0.110911200420412</v>
      </c>
      <c r="DT31">
        <v>0</v>
      </c>
      <c r="DU31">
        <v>17.986042307692301</v>
      </c>
      <c r="DV31">
        <v>0.14271794408696001</v>
      </c>
      <c r="DW31">
        <v>1.8543663090889201E-2</v>
      </c>
      <c r="DX31">
        <v>1</v>
      </c>
      <c r="DY31">
        <v>1</v>
      </c>
      <c r="DZ31">
        <v>2</v>
      </c>
      <c r="EA31" t="s">
        <v>344</v>
      </c>
      <c r="EB31">
        <v>1.86676</v>
      </c>
      <c r="EC31">
        <v>1.8632500000000001</v>
      </c>
      <c r="ED31">
        <v>1.8689100000000001</v>
      </c>
      <c r="EE31">
        <v>1.8668899999999999</v>
      </c>
      <c r="EF31">
        <v>1.87155</v>
      </c>
      <c r="EG31">
        <v>1.8640099999999999</v>
      </c>
      <c r="EH31">
        <v>1.86564</v>
      </c>
      <c r="EI31">
        <v>1.86555</v>
      </c>
      <c r="EJ31" t="s">
        <v>284</v>
      </c>
      <c r="EK31" t="s">
        <v>19</v>
      </c>
      <c r="EL31" t="s">
        <v>19</v>
      </c>
      <c r="EM31" t="s">
        <v>19</v>
      </c>
      <c r="EN31" t="s">
        <v>285</v>
      </c>
      <c r="EO31" t="s">
        <v>286</v>
      </c>
      <c r="EP31" t="s">
        <v>287</v>
      </c>
      <c r="EQ31" t="s">
        <v>287</v>
      </c>
      <c r="ER31" t="s">
        <v>287</v>
      </c>
      <c r="ES31" t="s">
        <v>287</v>
      </c>
      <c r="ET31">
        <v>0</v>
      </c>
      <c r="EU31">
        <v>100</v>
      </c>
      <c r="EV31">
        <v>100</v>
      </c>
      <c r="EW31">
        <v>0.123</v>
      </c>
      <c r="EX31">
        <v>0.124</v>
      </c>
      <c r="EY31">
        <v>2</v>
      </c>
      <c r="EZ31">
        <v>345.37299999999999</v>
      </c>
      <c r="FA31">
        <v>516.55100000000004</v>
      </c>
      <c r="FB31">
        <v>19.275300000000001</v>
      </c>
      <c r="FC31">
        <v>31.536100000000001</v>
      </c>
      <c r="FD31">
        <v>30.0001</v>
      </c>
      <c r="FE31">
        <v>31.546600000000002</v>
      </c>
      <c r="FF31">
        <v>31.553899999999999</v>
      </c>
      <c r="FG31">
        <v>73.499399999999994</v>
      </c>
      <c r="FH31">
        <v>31.376999999999999</v>
      </c>
      <c r="FI31">
        <v>10.1096</v>
      </c>
      <c r="FJ31">
        <v>19.298500000000001</v>
      </c>
      <c r="FK31">
        <v>1800</v>
      </c>
      <c r="FL31">
        <v>17.168800000000001</v>
      </c>
      <c r="FM31">
        <v>101.157</v>
      </c>
      <c r="FN31">
        <v>101.64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2020-08-07T11:20:06Z</dcterms:created>
  <dcterms:modified xsi:type="dcterms:W3CDTF">2024-11-20T09:03:29Z</dcterms:modified>
</cp:coreProperties>
</file>