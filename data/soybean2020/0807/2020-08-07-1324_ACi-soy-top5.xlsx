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0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/>
  <c r="J31" i="1" s="1"/>
  <c r="X31" i="1"/>
  <c r="W31" i="1"/>
  <c r="V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AJ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/>
  <c r="AJ28" i="1" s="1"/>
  <c r="X28" i="1"/>
  <c r="W28" i="1"/>
  <c r="V28" i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 s="1"/>
  <c r="X27" i="1"/>
  <c r="W27" i="1"/>
  <c r="V27" i="1"/>
  <c r="O27" i="1"/>
  <c r="BU26" i="1"/>
  <c r="BT26" i="1"/>
  <c r="BS26" i="1" s="1"/>
  <c r="BR26" i="1"/>
  <c r="BI26" i="1"/>
  <c r="BH26" i="1"/>
  <c r="BG26" i="1"/>
  <c r="BF26" i="1"/>
  <c r="BE26" i="1"/>
  <c r="BB26" i="1"/>
  <c r="AZ26" i="1"/>
  <c r="AU26" i="1"/>
  <c r="AO26" i="1"/>
  <c r="AP26" i="1" s="1"/>
  <c r="AK26" i="1"/>
  <c r="AI26" i="1"/>
  <c r="H26" i="1" s="1"/>
  <c r="X26" i="1"/>
  <c r="V26" i="1" s="1"/>
  <c r="W26" i="1"/>
  <c r="O26" i="1"/>
  <c r="BU25" i="1"/>
  <c r="BT25" i="1"/>
  <c r="BS25" i="1"/>
  <c r="R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M25" i="1" s="1"/>
  <c r="X25" i="1"/>
  <c r="V25" i="1" s="1"/>
  <c r="W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I24" i="1" s="1"/>
  <c r="AX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P23" i="1"/>
  <c r="AO23" i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M22" i="1" s="1"/>
  <c r="X22" i="1"/>
  <c r="W22" i="1"/>
  <c r="V22" i="1"/>
  <c r="O22" i="1"/>
  <c r="I22" i="1"/>
  <c r="AX22" i="1" s="1"/>
  <c r="BU21" i="1"/>
  <c r="BT21" i="1"/>
  <c r="BS21" i="1" s="1"/>
  <c r="BR21" i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H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J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H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 s="1"/>
  <c r="X17" i="1"/>
  <c r="W17" i="1"/>
  <c r="V17" i="1"/>
  <c r="O17" i="1"/>
  <c r="R18" i="1" l="1"/>
  <c r="AW18" i="1"/>
  <c r="AY18" i="1" s="1"/>
  <c r="J27" i="1"/>
  <c r="M27" i="1"/>
  <c r="I27" i="1"/>
  <c r="AX27" i="1" s="1"/>
  <c r="H27" i="1"/>
  <c r="AJ27" i="1"/>
  <c r="R20" i="1"/>
  <c r="AW20" i="1"/>
  <c r="AY20" i="1" s="1"/>
  <c r="Z26" i="1"/>
  <c r="R28" i="1"/>
  <c r="AW28" i="1"/>
  <c r="AY28" i="1" s="1"/>
  <c r="Z21" i="1"/>
  <c r="R27" i="1"/>
  <c r="AW27" i="1"/>
  <c r="AY27" i="1" s="1"/>
  <c r="AY29" i="1"/>
  <c r="AW30" i="1"/>
  <c r="AY30" i="1" s="1"/>
  <c r="R30" i="1"/>
  <c r="BA22" i="1"/>
  <c r="I18" i="1"/>
  <c r="AX18" i="1" s="1"/>
  <c r="BA18" i="1" s="1"/>
  <c r="M18" i="1"/>
  <c r="H18" i="1"/>
  <c r="AJ18" i="1"/>
  <c r="J18" i="1"/>
  <c r="R31" i="1"/>
  <c r="AW31" i="1"/>
  <c r="Z19" i="1"/>
  <c r="AY22" i="1"/>
  <c r="AY26" i="1"/>
  <c r="AW19" i="1"/>
  <c r="AY19" i="1" s="1"/>
  <c r="R19" i="1"/>
  <c r="R23" i="1"/>
  <c r="AW23" i="1"/>
  <c r="AY23" i="1" s="1"/>
  <c r="AY25" i="1"/>
  <c r="AY17" i="1"/>
  <c r="R22" i="1"/>
  <c r="AW22" i="1"/>
  <c r="AW26" i="1"/>
  <c r="R26" i="1"/>
  <c r="AW21" i="1"/>
  <c r="R21" i="1"/>
  <c r="R17" i="1"/>
  <c r="AW17" i="1"/>
  <c r="AW29" i="1"/>
  <c r="R29" i="1"/>
  <c r="AY31" i="1"/>
  <c r="AW24" i="1"/>
  <c r="AY24" i="1" s="1"/>
  <c r="R24" i="1"/>
  <c r="M17" i="1"/>
  <c r="J17" i="1"/>
  <c r="I17" i="1"/>
  <c r="AX17" i="1" s="1"/>
  <c r="BA17" i="1" s="1"/>
  <c r="H17" i="1"/>
  <c r="AJ17" i="1"/>
  <c r="AY21" i="1"/>
  <c r="AJ22" i="1"/>
  <c r="H22" i="1"/>
  <c r="J22" i="1"/>
  <c r="AJ21" i="1"/>
  <c r="AJ31" i="1"/>
  <c r="J26" i="1"/>
  <c r="J21" i="1"/>
  <c r="M26" i="1"/>
  <c r="I30" i="1"/>
  <c r="AX30" i="1" s="1"/>
  <c r="M21" i="1"/>
  <c r="I25" i="1"/>
  <c r="AX25" i="1" s="1"/>
  <c r="BA25" i="1" s="1"/>
  <c r="AJ24" i="1"/>
  <c r="H29" i="1"/>
  <c r="I29" i="1"/>
  <c r="AX29" i="1" s="1"/>
  <c r="BA29" i="1" s="1"/>
  <c r="M20" i="1"/>
  <c r="J29" i="1"/>
  <c r="I19" i="1"/>
  <c r="AX19" i="1" s="1"/>
  <c r="J24" i="1"/>
  <c r="AJ23" i="1"/>
  <c r="H28" i="1"/>
  <c r="M29" i="1"/>
  <c r="H31" i="1"/>
  <c r="AJ25" i="1"/>
  <c r="M31" i="1"/>
  <c r="AJ20" i="1"/>
  <c r="I20" i="1"/>
  <c r="AX20" i="1" s="1"/>
  <c r="BA20" i="1" s="1"/>
  <c r="AW25" i="1"/>
  <c r="J19" i="1"/>
  <c r="H23" i="1"/>
  <c r="M24" i="1"/>
  <c r="I28" i="1"/>
  <c r="AX28" i="1" s="1"/>
  <c r="AJ26" i="1"/>
  <c r="I26" i="1"/>
  <c r="AX26" i="1" s="1"/>
  <c r="BA26" i="1" s="1"/>
  <c r="I21" i="1"/>
  <c r="AX21" i="1" s="1"/>
  <c r="BA21" i="1" s="1"/>
  <c r="AJ30" i="1"/>
  <c r="H30" i="1"/>
  <c r="H20" i="1"/>
  <c r="J25" i="1"/>
  <c r="AJ19" i="1"/>
  <c r="H24" i="1"/>
  <c r="M19" i="1"/>
  <c r="I23" i="1"/>
  <c r="AX23" i="1" s="1"/>
  <c r="J28" i="1"/>
  <c r="I31" i="1"/>
  <c r="AX31" i="1" s="1"/>
  <c r="BA31" i="1" s="1"/>
  <c r="H25" i="1"/>
  <c r="J30" i="1"/>
  <c r="Z24" i="1" l="1"/>
  <c r="S30" i="1"/>
  <c r="T30" i="1" s="1"/>
  <c r="S23" i="1"/>
  <c r="T23" i="1" s="1"/>
  <c r="Z31" i="1"/>
  <c r="S19" i="1"/>
  <c r="T19" i="1" s="1"/>
  <c r="Z25" i="1"/>
  <c r="P25" i="1"/>
  <c r="N25" i="1" s="1"/>
  <c r="Q25" i="1" s="1"/>
  <c r="K25" i="1" s="1"/>
  <c r="L25" i="1" s="1"/>
  <c r="S24" i="1"/>
  <c r="T24" i="1" s="1"/>
  <c r="Z20" i="1"/>
  <c r="P30" i="1"/>
  <c r="N30" i="1" s="1"/>
  <c r="Q30" i="1" s="1"/>
  <c r="K30" i="1" s="1"/>
  <c r="L30" i="1" s="1"/>
  <c r="Z30" i="1"/>
  <c r="S29" i="1"/>
  <c r="T29" i="1" s="1"/>
  <c r="P29" i="1" s="1"/>
  <c r="N29" i="1" s="1"/>
  <c r="Q29" i="1" s="1"/>
  <c r="K29" i="1" s="1"/>
  <c r="L29" i="1" s="1"/>
  <c r="S20" i="1"/>
  <c r="T20" i="1" s="1"/>
  <c r="P20" i="1" s="1"/>
  <c r="N20" i="1" s="1"/>
  <c r="Q20" i="1" s="1"/>
  <c r="K20" i="1" s="1"/>
  <c r="L20" i="1" s="1"/>
  <c r="Z22" i="1"/>
  <c r="P22" i="1"/>
  <c r="N22" i="1" s="1"/>
  <c r="Q22" i="1" s="1"/>
  <c r="K22" i="1" s="1"/>
  <c r="L22" i="1" s="1"/>
  <c r="Z17" i="1"/>
  <c r="Z28" i="1"/>
  <c r="S27" i="1"/>
  <c r="T27" i="1" s="1"/>
  <c r="BA23" i="1"/>
  <c r="BA19" i="1"/>
  <c r="S28" i="1"/>
  <c r="T28" i="1" s="1"/>
  <c r="Z29" i="1"/>
  <c r="S31" i="1"/>
  <c r="T31" i="1" s="1"/>
  <c r="Z18" i="1"/>
  <c r="P18" i="1"/>
  <c r="N18" i="1" s="1"/>
  <c r="Q18" i="1" s="1"/>
  <c r="K18" i="1" s="1"/>
  <c r="L18" i="1" s="1"/>
  <c r="P27" i="1"/>
  <c r="N27" i="1" s="1"/>
  <c r="Q27" i="1" s="1"/>
  <c r="K27" i="1" s="1"/>
  <c r="L27" i="1" s="1"/>
  <c r="Z27" i="1"/>
  <c r="BA30" i="1"/>
  <c r="S17" i="1"/>
  <c r="T17" i="1" s="1"/>
  <c r="BA27" i="1"/>
  <c r="S21" i="1"/>
  <c r="T21" i="1" s="1"/>
  <c r="BA28" i="1"/>
  <c r="S26" i="1"/>
  <c r="T26" i="1" s="1"/>
  <c r="Z23" i="1"/>
  <c r="BA24" i="1"/>
  <c r="S25" i="1"/>
  <c r="T25" i="1" s="1"/>
  <c r="S22" i="1"/>
  <c r="T22" i="1" s="1"/>
  <c r="S18" i="1"/>
  <c r="T18" i="1" s="1"/>
  <c r="AB21" i="1" l="1"/>
  <c r="U21" i="1"/>
  <c r="Y21" i="1" s="1"/>
  <c r="AA21" i="1"/>
  <c r="P21" i="1"/>
  <c r="N21" i="1" s="1"/>
  <c r="Q21" i="1" s="1"/>
  <c r="K21" i="1" s="1"/>
  <c r="L21" i="1" s="1"/>
  <c r="U31" i="1"/>
  <c r="Y31" i="1" s="1"/>
  <c r="AB31" i="1"/>
  <c r="AA31" i="1"/>
  <c r="AB28" i="1"/>
  <c r="U28" i="1"/>
  <c r="Y28" i="1" s="1"/>
  <c r="AA28" i="1"/>
  <c r="AB25" i="1"/>
  <c r="AA25" i="1"/>
  <c r="U25" i="1"/>
  <c r="Y25" i="1" s="1"/>
  <c r="U30" i="1"/>
  <c r="Y30" i="1" s="1"/>
  <c r="AA30" i="1"/>
  <c r="AB30" i="1"/>
  <c r="AC30" i="1" s="1"/>
  <c r="AB17" i="1"/>
  <c r="U17" i="1"/>
  <c r="Y17" i="1" s="1"/>
  <c r="AA17" i="1"/>
  <c r="AA20" i="1"/>
  <c r="AB20" i="1"/>
  <c r="AC20" i="1" s="1"/>
  <c r="U20" i="1"/>
  <c r="Y20" i="1" s="1"/>
  <c r="AB24" i="1"/>
  <c r="AA24" i="1"/>
  <c r="U24" i="1"/>
  <c r="Y24" i="1" s="1"/>
  <c r="AB18" i="1"/>
  <c r="U18" i="1"/>
  <c r="Y18" i="1" s="1"/>
  <c r="AA18" i="1"/>
  <c r="AB19" i="1"/>
  <c r="U19" i="1"/>
  <c r="Y19" i="1" s="1"/>
  <c r="AA19" i="1"/>
  <c r="P19" i="1"/>
  <c r="N19" i="1" s="1"/>
  <c r="Q19" i="1" s="1"/>
  <c r="K19" i="1" s="1"/>
  <c r="L19" i="1" s="1"/>
  <c r="P31" i="1"/>
  <c r="N31" i="1" s="1"/>
  <c r="Q31" i="1" s="1"/>
  <c r="K31" i="1" s="1"/>
  <c r="L31" i="1" s="1"/>
  <c r="U26" i="1"/>
  <c r="Y26" i="1" s="1"/>
  <c r="AB26" i="1"/>
  <c r="AA26" i="1"/>
  <c r="P26" i="1"/>
  <c r="N26" i="1" s="1"/>
  <c r="Q26" i="1" s="1"/>
  <c r="K26" i="1" s="1"/>
  <c r="L26" i="1" s="1"/>
  <c r="P17" i="1"/>
  <c r="N17" i="1" s="1"/>
  <c r="Q17" i="1" s="1"/>
  <c r="K17" i="1" s="1"/>
  <c r="L17" i="1" s="1"/>
  <c r="P24" i="1"/>
  <c r="N24" i="1" s="1"/>
  <c r="Q24" i="1" s="1"/>
  <c r="K24" i="1" s="1"/>
  <c r="L24" i="1" s="1"/>
  <c r="AA29" i="1"/>
  <c r="AB29" i="1"/>
  <c r="AC29" i="1" s="1"/>
  <c r="U29" i="1"/>
  <c r="Y29" i="1" s="1"/>
  <c r="AB22" i="1"/>
  <c r="U22" i="1"/>
  <c r="Y22" i="1" s="1"/>
  <c r="AA22" i="1"/>
  <c r="U27" i="1"/>
  <c r="Y27" i="1" s="1"/>
  <c r="AB27" i="1"/>
  <c r="AA27" i="1"/>
  <c r="AB23" i="1"/>
  <c r="U23" i="1"/>
  <c r="Y23" i="1" s="1"/>
  <c r="AA23" i="1"/>
  <c r="P23" i="1"/>
  <c r="N23" i="1" s="1"/>
  <c r="Q23" i="1" s="1"/>
  <c r="K23" i="1" s="1"/>
  <c r="L23" i="1" s="1"/>
  <c r="P28" i="1"/>
  <c r="N28" i="1" s="1"/>
  <c r="Q28" i="1" s="1"/>
  <c r="K28" i="1" s="1"/>
  <c r="L28" i="1" s="1"/>
  <c r="AC27" i="1" l="1"/>
  <c r="AC22" i="1"/>
  <c r="AC28" i="1"/>
  <c r="AC24" i="1"/>
  <c r="AC31" i="1"/>
  <c r="AC18" i="1"/>
  <c r="AC17" i="1"/>
  <c r="AC26" i="1"/>
  <c r="AC25" i="1"/>
  <c r="AC19" i="1"/>
  <c r="AC23" i="1"/>
  <c r="AC21" i="1"/>
</calcChain>
</file>

<file path=xl/sharedStrings.xml><?xml version="1.0" encoding="utf-8"?>
<sst xmlns="http://schemas.openxmlformats.org/spreadsheetml/2006/main" count="788" uniqueCount="360">
  <si>
    <t>File opened</t>
  </si>
  <si>
    <t>2020-08-07 13:24:28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</si>
  <si>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</si>
  <si>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</si>
  <si>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</si>
  <si>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</si>
  <si>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</si>
  <si>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</si>
  <si>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</si>
  <si>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</si>
  <si>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</si>
  <si>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</si>
  <si>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</si>
  <si>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{"co2aspanconc1": "1002", "chamberpressurezero": "2.59209", "co2azero": "0.869071", "h2oaspan1": "1.00223", "h2oazero": "1.00263", "ssb_ref": "36526.8", "h2obspan2a": "0.0975941", "tazero": "0.00774765", "co2aspan2b": "0.163711", "co2aspan2a": "0.164928", "h2oaspanconc2": "0", "h2oaspan2a": "0.0661155", "co2bspanconc1": "1002", "h2oaspan2b": "0.0662632", "h2obspan2b": "0.0963575", "co2aspanconc2": "0", "h2obspanconc1": "20", "co2aspan2": "0", "flowazero": "0.42932", "h2obspan1": "0.998578", "oxygen": "21", "co2bspan2a": "0.163389", "co2bspan1": "0.992131", "h2oaspan2": "0", "h2oaspanconc1": "12.19", "h2obzero": "1.01783", "tbzero": "0.197721", "co2aspan1": "0.992625", "h2obspan2": "0", "co2bzero": "0.880288", "flowmeterzero": "0.990908", "ssa_ref": "36614.9", "co2bspan2": "0", "h2obspanconc2": "0", "co2bspanconc2": "0", "co2bspan2b": "0.162103", "flowbzero": "0.22736"}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</si>
  <si>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</si>
  <si>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</si>
  <si>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</si>
  <si>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</si>
  <si>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</si>
  <si>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</si>
  <si>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</si>
  <si>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</si>
  <si>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</si>
  <si>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13:24:29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</si>
  <si>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</si>
  <si>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</si>
  <si>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</si>
  <si>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</si>
  <si>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</si>
  <si>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</si>
  <si>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</si>
  <si>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</si>
  <si>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</si>
  <si>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</si>
  <si>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</si>
  <si>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</si>
  <si>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</si>
  <si>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</si>
  <si>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</si>
  <si>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</si>
  <si>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</si>
  <si>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</si>
  <si>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</si>
  <si>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</si>
  <si>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</si>
  <si>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</si>
  <si>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</si>
  <si>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</si>
  <si>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</si>
  <si>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</si>
  <si>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</si>
  <si>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</si>
  <si>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</si>
  <si>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</si>
  <si>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</si>
  <si>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</si>
  <si>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</si>
  <si>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</si>
  <si>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</si>
  <si>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</si>
  <si>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</si>
  <si>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</si>
  <si>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</si>
  <si>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</si>
  <si>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</si>
  <si>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</si>
  <si>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</si>
  <si>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</si>
  <si>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</si>
  <si>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</si>
  <si>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</si>
  <si>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3.02491 76.925 386.185 618.874 847.247 1053.45 1228.52 1400.43</t>
  </si>
  <si>
    <t>Fs_true</t>
  </si>
  <si>
    <t>0.304308 100.02 403.273 601.289 800.851 1000.77 1199.91 1400.15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</si>
  <si>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</si>
  <si>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</si>
  <si>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</si>
  <si>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</si>
  <si>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</si>
  <si>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</si>
  <si>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</si>
  <si>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</si>
  <si>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</si>
  <si>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</si>
  <si>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</si>
  <si>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</si>
  <si>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</si>
  <si>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</si>
  <si>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</si>
  <si>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</si>
  <si>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</si>
  <si>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</si>
  <si>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</si>
  <si>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</si>
  <si>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</si>
  <si>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</si>
  <si>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</si>
  <si>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</si>
  <si>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</si>
  <si>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</si>
  <si>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</si>
  <si>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</si>
  <si>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</si>
  <si>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</si>
  <si>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</si>
  <si>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</si>
  <si>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</si>
  <si>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</si>
  <si>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</si>
  <si>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</si>
  <si>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</si>
  <si>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</si>
  <si>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</si>
  <si>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</si>
  <si>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</si>
  <si>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</si>
  <si>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</si>
  <si>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</si>
  <si>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</si>
  <si>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</si>
  <si>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</si>
  <si>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</si>
  <si>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</si>
  <si>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</si>
  <si>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</si>
  <si>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</si>
  <si>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</si>
  <si>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</si>
  <si>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</si>
  <si>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</si>
  <si>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</si>
  <si>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</si>
  <si>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</si>
  <si>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</si>
  <si>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</si>
  <si>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</si>
  <si>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</si>
  <si>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</si>
  <si>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</si>
  <si>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</si>
  <si>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</si>
  <si>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</si>
  <si>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</si>
  <si>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</si>
  <si>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</si>
  <si>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</si>
  <si>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</si>
  <si>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</si>
  <si>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</si>
  <si>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</si>
  <si>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</si>
  <si>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</si>
  <si>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</si>
  <si>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</si>
  <si>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</si>
  <si>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</si>
  <si>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</si>
  <si>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</si>
  <si>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</si>
  <si>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</si>
  <si>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</si>
  <si>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</si>
  <si>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</si>
  <si>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</si>
  <si>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</si>
  <si>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</si>
  <si>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</si>
  <si>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</si>
  <si>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</si>
  <si>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</si>
  <si>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</si>
  <si>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</si>
  <si>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</si>
  <si>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</si>
  <si>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</si>
  <si>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</si>
  <si>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</si>
  <si>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</si>
  <si>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</si>
  <si>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</si>
  <si>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</si>
  <si>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</si>
  <si>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</si>
  <si>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</si>
  <si>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</si>
  <si>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</si>
  <si>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</si>
  <si>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</si>
  <si>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</si>
  <si>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</si>
  <si>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</si>
  <si>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</si>
  <si>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</si>
  <si>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</si>
  <si>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</si>
  <si>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</si>
  <si>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</si>
  <si>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</si>
  <si>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</si>
  <si>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</si>
  <si>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</si>
  <si>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</si>
  <si>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</si>
  <si>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</si>
  <si>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</si>
  <si>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</si>
  <si>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</si>
  <si>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</si>
  <si>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</si>
  <si>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</si>
  <si>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</si>
  <si>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</si>
  <si>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</si>
  <si>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</si>
  <si>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</si>
  <si>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</si>
  <si>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</si>
  <si>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</si>
  <si>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</si>
  <si>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</si>
  <si>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</si>
  <si>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</si>
  <si>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</si>
  <si>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</si>
  <si>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</si>
  <si>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</si>
  <si>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</si>
  <si>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</si>
  <si>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</si>
  <si>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</si>
  <si>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</si>
  <si>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</si>
  <si>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</si>
  <si>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</si>
  <si>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</si>
  <si>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</si>
  <si>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</si>
  <si>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</si>
  <si>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</si>
  <si>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</si>
  <si>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</si>
  <si>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</si>
  <si>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</si>
  <si>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</si>
  <si>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</si>
  <si>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</si>
  <si>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</si>
  <si>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</si>
  <si>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</si>
  <si>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</si>
  <si>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</si>
  <si>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</si>
  <si>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</si>
  <si>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</si>
  <si>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</si>
  <si>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</si>
  <si>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</si>
  <si>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</si>
  <si>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</si>
  <si>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</si>
  <si>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</si>
  <si>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</si>
  <si>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</si>
  <si>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</si>
  <si>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</si>
  <si>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</si>
  <si>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</si>
  <si>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</si>
  <si>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</si>
  <si>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</si>
  <si>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</si>
  <si>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</si>
  <si>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</si>
  <si>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</si>
  <si>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</si>
  <si>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</si>
  <si>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</si>
  <si>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20200807 13:30:18</t>
  </si>
  <si>
    <t>13:30:18</t>
  </si>
  <si>
    <t>MPF-5819-20200807-13_30_19</t>
  </si>
  <si>
    <t>DARK-5820-20200807-13_30_27</t>
  </si>
  <si>
    <t>0: Broadleaf</t>
  </si>
  <si>
    <t>13:30:49</t>
  </si>
  <si>
    <t>0/2</t>
  </si>
  <si>
    <t>5</t>
  </si>
  <si>
    <t>11111111</t>
  </si>
  <si>
    <t>oooooooo</t>
  </si>
  <si>
    <t>off</t>
  </si>
  <si>
    <t>20200807 13:32:21</t>
  </si>
  <si>
    <t>13:32:21</t>
  </si>
  <si>
    <t>MPF-5821-20200807-13_32_23</t>
  </si>
  <si>
    <t>DARK-5822-20200807-13_32_30</t>
  </si>
  <si>
    <t>13:32:53</t>
  </si>
  <si>
    <t>2/2</t>
  </si>
  <si>
    <t>20200807 13:34:29</t>
  </si>
  <si>
    <t>13:34:29</t>
  </si>
  <si>
    <t>MPF-5823-20200807-13_34_31</t>
  </si>
  <si>
    <t>DARK-5824-20200807-13_34_39</t>
  </si>
  <si>
    <t>13:34:54</t>
  </si>
  <si>
    <t>20200807 13:36:41</t>
  </si>
  <si>
    <t>13:36:41</t>
  </si>
  <si>
    <t>MPF-5825-20200807-13_36_42</t>
  </si>
  <si>
    <t>DARK-5826-20200807-13_36_50</t>
  </si>
  <si>
    <t>13:37:04</t>
  </si>
  <si>
    <t>20200807 13:38:36</t>
  </si>
  <si>
    <t>13:38:36</t>
  </si>
  <si>
    <t>MPF-5827-20200807-13_38_37</t>
  </si>
  <si>
    <t>DARK-5828-20200807-13_38_45</t>
  </si>
  <si>
    <t>13:38:57</t>
  </si>
  <si>
    <t>20200807 13:40:28</t>
  </si>
  <si>
    <t>13:40:28</t>
  </si>
  <si>
    <t>MPF-5829-20200807-13_40_30</t>
  </si>
  <si>
    <t>DARK-5830-20200807-13_40_38</t>
  </si>
  <si>
    <t>13:40:56</t>
  </si>
  <si>
    <t>20200807 13:42:28</t>
  </si>
  <si>
    <t>13:42:28</t>
  </si>
  <si>
    <t>MPF-5831-20200807-13_42_29</t>
  </si>
  <si>
    <t>DARK-5832-20200807-13_42_37</t>
  </si>
  <si>
    <t>13:42:53</t>
  </si>
  <si>
    <t>20200807 13:44:31</t>
  </si>
  <si>
    <t>13:44:31</t>
  </si>
  <si>
    <t>MPF-5833-20200807-13_44_33</t>
  </si>
  <si>
    <t>DARK-5834-20200807-13_44_41</t>
  </si>
  <si>
    <t>13:44:55</t>
  </si>
  <si>
    <t>20200807 13:46:56</t>
  </si>
  <si>
    <t>13:46:56</t>
  </si>
  <si>
    <t>MPF-5835-20200807-13_46_58</t>
  </si>
  <si>
    <t>DARK-5836-20200807-13_47_06</t>
  </si>
  <si>
    <t>13:47:20</t>
  </si>
  <si>
    <t>1/2</t>
  </si>
  <si>
    <t>20200807 13:48:53</t>
  </si>
  <si>
    <t>13:48:53</t>
  </si>
  <si>
    <t>MPF-5837-20200807-13_48_54</t>
  </si>
  <si>
    <t>DARK-5838-20200807-13_49_02</t>
  </si>
  <si>
    <t>13:49:19</t>
  </si>
  <si>
    <t>20200807 13:51:04</t>
  </si>
  <si>
    <t>13:51:04</t>
  </si>
  <si>
    <t>MPF-5839-20200807-13_51_06</t>
  </si>
  <si>
    <t>DARK-5840-20200807-13_51_14</t>
  </si>
  <si>
    <t>13:51:38</t>
  </si>
  <si>
    <t>20200807 13:53:10</t>
  </si>
  <si>
    <t>13:53:10</t>
  </si>
  <si>
    <t>MPF-5841-20200807-13_53_12</t>
  </si>
  <si>
    <t>DARK-5842-20200807-13_53_19</t>
  </si>
  <si>
    <t>13:53:51</t>
  </si>
  <si>
    <t>20200807 13:55:37</t>
  </si>
  <si>
    <t>13:55:37</t>
  </si>
  <si>
    <t>MPF-5843-20200807-13_55_39</t>
  </si>
  <si>
    <t>DARK-5844-20200807-13_55_47</t>
  </si>
  <si>
    <t>13:56:16</t>
  </si>
  <si>
    <t>20200807 13:58:17</t>
  </si>
  <si>
    <t>13:58:17</t>
  </si>
  <si>
    <t>MPF-5845-20200807-13_58_19</t>
  </si>
  <si>
    <t>DARK-5846-20200807-13_58_27</t>
  </si>
  <si>
    <t>13:58:57</t>
  </si>
  <si>
    <t>20200807 14:00:29</t>
  </si>
  <si>
    <t>14:00:29</t>
  </si>
  <si>
    <t>MPF-5847-20200807-14_00_30</t>
  </si>
  <si>
    <t>DARK-5848-20200807-14_00_38</t>
  </si>
  <si>
    <t>14:01:09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</si>
</sst>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1596825018.0999999</v>
      </c>
      <c r="C17">
        <v>0</v>
      </c>
      <c r="D17" t="s">
        <v>277</v>
      </c>
      <c r="E17" t="s">
        <v>278</v>
      </c>
      <c r="G17">
        <v>1596825010.10323</v>
      </c>
      <c r="H17">
        <f t="shared" ref="H17:H31" si="0">CC17*AI17*(CA17-CB17)/(100*$B$5*(1000-AI17*CA17))</f>
        <v>5.6452343441461229E-3</v>
      </c>
      <c r="I17">
        <f t="shared" ref="I17:I31" si="1">CC17*AI17*(BZ17-BY17*(1000-AI17*CB17)/(1000-AI17*CA17))/(100*$B$5)</f>
        <v>29.481643749069505</v>
      </c>
      <c r="J17">
        <f t="shared" ref="J17:J31" si="2">BY17 - IF(AI17&gt;1, I17*$B$5*100/(AK17*CI17), 0)</f>
        <v>387.31332258064498</v>
      </c>
      <c r="K17">
        <f t="shared" ref="K17:K31" si="3">((Q17-H17/2)*J17-I17)/(Q17+H17/2)</f>
        <v>235.04512459278945</v>
      </c>
      <c r="L17">
        <f t="shared" ref="L17:L31" si="4">K17*(CD17+CE17)/1000</f>
        <v>23.490460733849098</v>
      </c>
      <c r="M17">
        <f t="shared" ref="M17:M31" si="5">(BY17 - IF(AI17&gt;1, I17*$B$5*100/(AK17*CI17), 0))*(CD17+CE17)/1000</f>
        <v>38.7081774682187</v>
      </c>
      <c r="N17">
        <f t="shared" ref="N17:N31" si="6">2/((1/P17-1/O17)+SIGN(P17)*SQRT((1/P17-1/O17)*(1/P17-1/O17) + 4*BV17/((BV17+1)*(BV17+1))*(2*1/P17*1/O17-1/O17*1/O17)))</f>
        <v>0.34402102222776776</v>
      </c>
      <c r="O17">
        <f t="shared" ref="O17:O31" si="7">AF17+AE17*$B$5+AD17*$B$5*$B$5</f>
        <v>3.3923840808440557</v>
      </c>
      <c r="P17">
        <f t="shared" ref="P17:P31" si="8">H17*(1000-(1000*0.61365*EXP(17.502*T17/(240.97+T17))/(CD17+CE17)+CA17)/2)/(1000*0.61365*EXP(17.502*T17/(240.97+T17))/(CD17+CE17)-CA17)</f>
        <v>0.32574792856078005</v>
      </c>
      <c r="Q17">
        <f t="shared" ref="Q17:Q31" si="9">1/((BV17+1)/(N17/1.6)+1/(O17/1.37)) + BV17/((BV17+1)/(N17/1.6) + BV17/(O17/1.37))</f>
        <v>0.20515330057125547</v>
      </c>
      <c r="R17">
        <f t="shared" ref="R17:R31" si="10">(BS17*BU17)</f>
        <v>353.33945146061592</v>
      </c>
      <c r="S17">
        <f t="shared" ref="S17:S31" si="11">(CF17+(R17+2*0.95*0.0000000567*(((CF17+$B$7)+273)^4-(CF17+273)^4)-44100*H17)/(1.84*29.3*O17+8*0.95*0.0000000567*(CF17+273)^3))</f>
        <v>27.271204323559743</v>
      </c>
      <c r="T17">
        <f t="shared" ref="T17:T31" si="12">($C$7*CG17+$D$7*CH17+$E$7*S17)</f>
        <v>27.192003225806499</v>
      </c>
      <c r="U17">
        <f t="shared" ref="U17:U31" si="13">0.61365*EXP(17.502*T17/(240.97+T17))</f>
        <v>3.6197204558473941</v>
      </c>
      <c r="V17">
        <f t="shared" ref="V17:V31" si="14">(W17/X17*100)</f>
        <v>54.93866505146331</v>
      </c>
      <c r="W17">
        <f t="shared" ref="W17:W31" si="15">CA17*(CD17+CE17)/1000</f>
        <v>1.9358890700337625</v>
      </c>
      <c r="X17">
        <f t="shared" ref="X17:X31" si="16">0.61365*EXP(17.502*CF17/(240.97+CF17))</f>
        <v>3.5237279031449624</v>
      </c>
      <c r="Y17">
        <f t="shared" ref="Y17:Y31" si="17">(U17-CA17*(CD17+CE17)/1000)</f>
        <v>1.6838313858136316</v>
      </c>
      <c r="Z17">
        <f t="shared" ref="Z17:Z31" si="18">(-H17*44100)</f>
        <v>-248.95483457684401</v>
      </c>
      <c r="AA17">
        <f t="shared" ref="AA17:AA31" si="19">2*29.3*O17*0.92*(CF17-T17)</f>
        <v>-83.671681365745343</v>
      </c>
      <c r="AB17">
        <f t="shared" ref="AB17:AB31" si="20">2*0.95*0.0000000567*(((CF17+$B$7)+273)^4-(T17+273)^4)</f>
        <v>-5.3209491933218196</v>
      </c>
      <c r="AC17">
        <f t="shared" ref="AC17:AC31" si="21">R17+AB17+Z17+AA17</f>
        <v>15.391986324704732</v>
      </c>
      <c r="AD17">
        <v>-4.13297463606851E-2</v>
      </c>
      <c r="AE17">
        <v>4.6396260974508198E-2</v>
      </c>
      <c r="AF17">
        <v>3.4649105443377799</v>
      </c>
      <c r="AG17">
        <v>144</v>
      </c>
      <c r="AH17">
        <v>29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52750.210437135625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286.38972000000001</v>
      </c>
      <c r="AT17">
        <v>386</v>
      </c>
      <c r="AU17">
        <f t="shared" ref="AU17:AU31" si="27">1-AS17/AT17</f>
        <v>0.25805772020725382</v>
      </c>
      <c r="AV17">
        <v>0.5</v>
      </c>
      <c r="AW17">
        <f t="shared" ref="AW17:AW31" si="28">BS17</f>
        <v>1849.1910577734939</v>
      </c>
      <c r="AX17">
        <f t="shared" ref="AX17:AX31" si="29">I17</f>
        <v>29.481643749069505</v>
      </c>
      <c r="AY17">
        <f t="shared" ref="AY17:AY31" si="30">AU17*AV17*AW17</f>
        <v>238.599014298334</v>
      </c>
      <c r="AZ17">
        <f t="shared" ref="AZ17:AZ31" si="31">BE17/AT17</f>
        <v>0.51300518134715034</v>
      </c>
      <c r="BA17">
        <f t="shared" ref="BA17:BA31" si="32">(AX17-AQ17)/AW17</f>
        <v>1.6483771982853262E-2</v>
      </c>
      <c r="BB17">
        <f t="shared" ref="BB17:BB31" si="33">(AN17-AT17)/AT17</f>
        <v>-1</v>
      </c>
      <c r="BC17" t="s">
        <v>280</v>
      </c>
      <c r="BD17">
        <v>187.98</v>
      </c>
      <c r="BE17">
        <f t="shared" ref="BE17:BE31" si="34">AT17-BD17</f>
        <v>198.02</v>
      </c>
      <c r="BF17">
        <f t="shared" ref="BF17:BF31" si="35">(AT17-AS17)/(AT17-BD17)</f>
        <v>0.50303141096858894</v>
      </c>
      <c r="BG17">
        <f t="shared" ref="BG17:BG31" si="36">(AN17-AT17)/(AN17-BD17)</f>
        <v>2.0534099372273649</v>
      </c>
      <c r="BH17">
        <f t="shared" ref="BH17:BH31" si="37">(AT17-AS17)/(AT17-AM17)</f>
        <v>0.25805772020725387</v>
      </c>
      <c r="BI17" t="e">
        <f t="shared" ref="BI17:BI31" si="38">(AN17-AT17)/(AN17-AM17)</f>
        <v>#DIV/0!</v>
      </c>
      <c r="BJ17">
        <v>5819</v>
      </c>
      <c r="BK17">
        <v>300</v>
      </c>
      <c r="BL17">
        <v>300</v>
      </c>
      <c r="BM17">
        <v>300</v>
      </c>
      <c r="BN17">
        <v>9870.2000000000007</v>
      </c>
      <c r="BO17">
        <v>357.40300000000002</v>
      </c>
      <c r="BP17">
        <v>-6.4015799999999996E-3</v>
      </c>
      <c r="BQ17">
        <v>1.5105299999999999</v>
      </c>
      <c r="BR17">
        <f t="shared" ref="BR17:BR31" si="39">$B$11*CJ17+$C$11*CK17+$F$11*CL17</f>
        <v>2200.0064516129</v>
      </c>
      <c r="BS17">
        <f t="shared" ref="BS17:BS31" si="40">BR17*BT17</f>
        <v>1849.1910577734939</v>
      </c>
      <c r="BT17">
        <f t="shared" ref="BT17:BT31" si="41">($B$11*$D$9+$C$11*$D$9+$F$11*((CY17+CQ17)/MAX(CY17+CQ17+CZ17, 0.1)*$I$9+CZ17/MAX(CY17+CQ17+CZ17, 0.1)*$J$9))/($B$11+$C$11+$F$11)</f>
        <v>0.84053892497351024</v>
      </c>
      <c r="BU17">
        <f t="shared" ref="BU17:BU31" si="42">($B$11*$K$9+$C$11*$K$9+$F$11*((CY17+CQ17)/MAX(CY17+CQ17+CZ17, 0.1)*$P$9+CZ17/MAX(CY17+CQ17+CZ17, 0.1)*$Q$9))/($B$11+$C$11+$F$11)</f>
        <v>0.19107784994702057</v>
      </c>
      <c r="BV17">
        <v>0.5</v>
      </c>
      <c r="BW17" t="s">
        <v>281</v>
      </c>
      <c r="BX17">
        <v>1596825010.10323</v>
      </c>
      <c r="BY17">
        <v>387.31332258064498</v>
      </c>
      <c r="BZ17">
        <v>399.97867741935499</v>
      </c>
      <c r="CA17">
        <v>19.370470967741898</v>
      </c>
      <c r="CB17">
        <v>17.156448387096798</v>
      </c>
      <c r="CC17">
        <v>500.07470967741898</v>
      </c>
      <c r="CD17">
        <v>99.740222580645096</v>
      </c>
      <c r="CE17">
        <v>0.19999432258064501</v>
      </c>
      <c r="CF17">
        <v>26.734506451612901</v>
      </c>
      <c r="CG17">
        <v>27.192003225806499</v>
      </c>
      <c r="CH17">
        <v>999.9</v>
      </c>
      <c r="CI17">
        <v>9992.8283870967698</v>
      </c>
      <c r="CJ17">
        <v>0</v>
      </c>
      <c r="CK17">
        <v>402.28741935483902</v>
      </c>
      <c r="CL17">
        <v>2200.0064516129</v>
      </c>
      <c r="CM17">
        <v>0.98199364516128995</v>
      </c>
      <c r="CN17">
        <v>1.8006022580645199E-2</v>
      </c>
      <c r="CO17">
        <v>0</v>
      </c>
      <c r="CP17">
        <v>286.51745161290302</v>
      </c>
      <c r="CQ17">
        <v>5.00054</v>
      </c>
      <c r="CR17">
        <v>9369.8412903225799</v>
      </c>
      <c r="CS17">
        <v>20590.545161290302</v>
      </c>
      <c r="CT17">
        <v>48.9856451612903</v>
      </c>
      <c r="CU17">
        <v>51.375</v>
      </c>
      <c r="CV17">
        <v>49.600548387096801</v>
      </c>
      <c r="CW17">
        <v>49.951354838709698</v>
      </c>
      <c r="CX17">
        <v>50.421193548387102</v>
      </c>
      <c r="CY17">
        <v>2155.4851612903199</v>
      </c>
      <c r="CZ17">
        <v>39.521290322580597</v>
      </c>
      <c r="DA17">
        <v>0</v>
      </c>
      <c r="DB17">
        <v>396.299999952316</v>
      </c>
      <c r="DC17">
        <v>286.38972000000001</v>
      </c>
      <c r="DD17">
        <v>-13.636384601041</v>
      </c>
      <c r="DE17">
        <v>-292.52384612801302</v>
      </c>
      <c r="DF17">
        <v>9366.7312000000002</v>
      </c>
      <c r="DG17">
        <v>15</v>
      </c>
      <c r="DH17">
        <v>1596825049.5999999</v>
      </c>
      <c r="DI17" t="s">
        <v>282</v>
      </c>
      <c r="DJ17">
        <v>60</v>
      </c>
      <c r="DK17">
        <v>-0.379</v>
      </c>
      <c r="DL17">
        <v>0.12</v>
      </c>
      <c r="DM17">
        <v>400</v>
      </c>
      <c r="DN17">
        <v>17</v>
      </c>
      <c r="DO17">
        <v>0.37</v>
      </c>
      <c r="DP17">
        <v>0.04</v>
      </c>
      <c r="DQ17">
        <v>387.600134615385</v>
      </c>
      <c r="DR17">
        <v>1.39103379274841</v>
      </c>
      <c r="DS17">
        <v>0.17617113935102</v>
      </c>
      <c r="DT17">
        <v>0</v>
      </c>
      <c r="DU17">
        <v>19.392669230769201</v>
      </c>
      <c r="DV17">
        <v>-0.25737004070733299</v>
      </c>
      <c r="DW17">
        <v>3.51104221786371E-2</v>
      </c>
      <c r="DX17">
        <v>0</v>
      </c>
      <c r="DY17">
        <v>0</v>
      </c>
      <c r="DZ17">
        <v>2</v>
      </c>
      <c r="EA17" t="s">
        <v>283</v>
      </c>
      <c r="EB17">
        <v>1.8666100000000001</v>
      </c>
      <c r="EC17">
        <v>1.8631599999999999</v>
      </c>
      <c r="ED17">
        <v>1.86887</v>
      </c>
      <c r="EE17">
        <v>1.8667499999999999</v>
      </c>
      <c r="EF17">
        <v>1.87148</v>
      </c>
      <c r="EG17">
        <v>1.86388</v>
      </c>
      <c r="EH17">
        <v>1.8655299999999999</v>
      </c>
      <c r="EI17">
        <v>1.8653900000000001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-0.379</v>
      </c>
      <c r="EX17">
        <v>0.12</v>
      </c>
      <c r="EY17">
        <v>2</v>
      </c>
      <c r="EZ17">
        <v>337.96199999999999</v>
      </c>
      <c r="FA17">
        <v>491.54199999999997</v>
      </c>
      <c r="FB17">
        <v>19.424600000000002</v>
      </c>
      <c r="FC17">
        <v>33.403799999999997</v>
      </c>
      <c r="FD17">
        <v>30.000900000000001</v>
      </c>
      <c r="FE17">
        <v>33.348199999999999</v>
      </c>
      <c r="FF17">
        <v>33.353000000000002</v>
      </c>
      <c r="FG17">
        <v>22.1433</v>
      </c>
      <c r="FH17">
        <v>43.432699999999997</v>
      </c>
      <c r="FI17">
        <v>0</v>
      </c>
      <c r="FJ17">
        <v>19.242699999999999</v>
      </c>
      <c r="FK17">
        <v>400</v>
      </c>
      <c r="FL17">
        <v>17.228200000000001</v>
      </c>
      <c r="FM17">
        <v>100.81699999999999</v>
      </c>
      <c r="FN17">
        <v>101.38800000000001</v>
      </c>
    </row>
    <row r="18" spans="1:170" x14ac:dyDescent="0.25">
      <c r="A18">
        <v>2</v>
      </c>
      <c r="B18">
        <v>1596825141.5999999</v>
      </c>
      <c r="C18">
        <v>123.5</v>
      </c>
      <c r="D18" t="s">
        <v>288</v>
      </c>
      <c r="E18" t="s">
        <v>289</v>
      </c>
      <c r="G18">
        <v>1596825133.66452</v>
      </c>
      <c r="H18">
        <f t="shared" si="0"/>
        <v>4.7582957354680364E-3</v>
      </c>
      <c r="I18">
        <f t="shared" si="1"/>
        <v>18.007489650883855</v>
      </c>
      <c r="J18">
        <f t="shared" si="2"/>
        <v>292.251709677419</v>
      </c>
      <c r="K18">
        <f t="shared" si="3"/>
        <v>180.6507966556338</v>
      </c>
      <c r="L18">
        <f t="shared" si="4"/>
        <v>18.054973238328721</v>
      </c>
      <c r="M18">
        <f t="shared" si="5"/>
        <v>29.208821077828652</v>
      </c>
      <c r="N18">
        <f t="shared" si="6"/>
        <v>0.28523579396085286</v>
      </c>
      <c r="O18">
        <f t="shared" si="7"/>
        <v>3.3928675028754371</v>
      </c>
      <c r="P18">
        <f t="shared" si="8"/>
        <v>0.27255206324046077</v>
      </c>
      <c r="Q18">
        <f t="shared" si="9"/>
        <v>0.17143761751068654</v>
      </c>
      <c r="R18">
        <f t="shared" si="10"/>
        <v>353.33841891773244</v>
      </c>
      <c r="S18">
        <f t="shared" si="11"/>
        <v>26.498672947351757</v>
      </c>
      <c r="T18">
        <f t="shared" si="12"/>
        <v>26.858751612903198</v>
      </c>
      <c r="U18">
        <f t="shared" si="13"/>
        <v>3.5495747503083357</v>
      </c>
      <c r="V18">
        <f t="shared" si="14"/>
        <v>55.66621382625889</v>
      </c>
      <c r="W18">
        <f t="shared" si="15"/>
        <v>1.8518714634674092</v>
      </c>
      <c r="X18">
        <f t="shared" si="16"/>
        <v>3.3267422664083606</v>
      </c>
      <c r="Y18">
        <f t="shared" si="17"/>
        <v>1.6977032868409265</v>
      </c>
      <c r="Z18">
        <f t="shared" si="18"/>
        <v>-209.8408419341404</v>
      </c>
      <c r="AA18">
        <f t="shared" si="19"/>
        <v>-200.8798309104408</v>
      </c>
      <c r="AB18">
        <f t="shared" si="20"/>
        <v>-12.689492512733533</v>
      </c>
      <c r="AC18">
        <f t="shared" si="21"/>
        <v>-70.071746439582284</v>
      </c>
      <c r="AD18">
        <v>-4.1337232949677297E-2</v>
      </c>
      <c r="AE18">
        <v>4.6404665326513203E-2</v>
      </c>
      <c r="AF18">
        <v>3.4654071040211201</v>
      </c>
      <c r="AG18">
        <v>144</v>
      </c>
      <c r="AH18">
        <v>29</v>
      </c>
      <c r="AI18">
        <f t="shared" si="22"/>
        <v>1</v>
      </c>
      <c r="AJ18">
        <f t="shared" si="23"/>
        <v>0</v>
      </c>
      <c r="AK18">
        <f t="shared" si="24"/>
        <v>52931.455096238169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268.53964000000002</v>
      </c>
      <c r="AT18">
        <v>346.899</v>
      </c>
      <c r="AU18">
        <f t="shared" si="27"/>
        <v>0.22588522884182427</v>
      </c>
      <c r="AV18">
        <v>0.5</v>
      </c>
      <c r="AW18">
        <f t="shared" si="28"/>
        <v>1849.1858803541436</v>
      </c>
      <c r="AX18">
        <f t="shared" si="29"/>
        <v>18.007489650883855</v>
      </c>
      <c r="AY18">
        <f t="shared" si="30"/>
        <v>208.851887877433</v>
      </c>
      <c r="AZ18">
        <f t="shared" si="31"/>
        <v>0.46618468199677715</v>
      </c>
      <c r="BA18">
        <f t="shared" si="32"/>
        <v>1.027884208549314E-2</v>
      </c>
      <c r="BB18">
        <f t="shared" si="33"/>
        <v>-1</v>
      </c>
      <c r="BC18" t="s">
        <v>291</v>
      </c>
      <c r="BD18">
        <v>185.18</v>
      </c>
      <c r="BE18">
        <f t="shared" si="34"/>
        <v>161.71899999999999</v>
      </c>
      <c r="BF18">
        <f t="shared" si="35"/>
        <v>0.48454022100062444</v>
      </c>
      <c r="BG18">
        <f t="shared" si="36"/>
        <v>1.8733070525974727</v>
      </c>
      <c r="BH18">
        <f t="shared" si="37"/>
        <v>0.22588522884182421</v>
      </c>
      <c r="BI18" t="e">
        <f t="shared" si="38"/>
        <v>#DIV/0!</v>
      </c>
      <c r="BJ18">
        <v>5821</v>
      </c>
      <c r="BK18">
        <v>300</v>
      </c>
      <c r="BL18">
        <v>300</v>
      </c>
      <c r="BM18">
        <v>300</v>
      </c>
      <c r="BN18">
        <v>9869.6200000000008</v>
      </c>
      <c r="BO18">
        <v>325.95299999999997</v>
      </c>
      <c r="BP18">
        <v>-6.4011399999999996E-3</v>
      </c>
      <c r="BQ18">
        <v>1.97021</v>
      </c>
      <c r="BR18">
        <f t="shared" si="39"/>
        <v>2200.0003225806399</v>
      </c>
      <c r="BS18">
        <f t="shared" si="40"/>
        <v>1849.1858803541436</v>
      </c>
      <c r="BT18">
        <f t="shared" si="41"/>
        <v>0.84053891327843777</v>
      </c>
      <c r="BU18">
        <f t="shared" si="42"/>
        <v>0.19107782655687564</v>
      </c>
      <c r="BV18">
        <v>0.5</v>
      </c>
      <c r="BW18" t="s">
        <v>281</v>
      </c>
      <c r="BX18">
        <v>1596825133.66452</v>
      </c>
      <c r="BY18">
        <v>292.251709677419</v>
      </c>
      <c r="BZ18">
        <v>300.009935483871</v>
      </c>
      <c r="CA18">
        <v>18.529080645161301</v>
      </c>
      <c r="CB18">
        <v>16.661274193548401</v>
      </c>
      <c r="CC18">
        <v>500.065612903226</v>
      </c>
      <c r="CD18">
        <v>99.744041935483907</v>
      </c>
      <c r="CE18">
        <v>0.20001351612903201</v>
      </c>
      <c r="CF18">
        <v>25.760545161290299</v>
      </c>
      <c r="CG18">
        <v>26.858751612903198</v>
      </c>
      <c r="CH18">
        <v>999.9</v>
      </c>
      <c r="CI18">
        <v>9994.2558064516106</v>
      </c>
      <c r="CJ18">
        <v>0</v>
      </c>
      <c r="CK18">
        <v>403.05054838709702</v>
      </c>
      <c r="CL18">
        <v>2200.0003225806399</v>
      </c>
      <c r="CM18">
        <v>0.98199467741935498</v>
      </c>
      <c r="CN18">
        <v>1.8004938709677398E-2</v>
      </c>
      <c r="CO18">
        <v>0</v>
      </c>
      <c r="CP18">
        <v>268.58641935483899</v>
      </c>
      <c r="CQ18">
        <v>5.00054</v>
      </c>
      <c r="CR18">
        <v>8977.3432258064495</v>
      </c>
      <c r="CS18">
        <v>20590.509677419399</v>
      </c>
      <c r="CT18">
        <v>49.0843548387097</v>
      </c>
      <c r="CU18">
        <v>51.566064516129003</v>
      </c>
      <c r="CV18">
        <v>49.7093548387097</v>
      </c>
      <c r="CW18">
        <v>50.108741935483899</v>
      </c>
      <c r="CX18">
        <v>50.433193548387102</v>
      </c>
      <c r="CY18">
        <v>2155.48</v>
      </c>
      <c r="CZ18">
        <v>39.5203225806452</v>
      </c>
      <c r="DA18">
        <v>0</v>
      </c>
      <c r="DB18">
        <v>122.59999990463299</v>
      </c>
      <c r="DC18">
        <v>268.53964000000002</v>
      </c>
      <c r="DD18">
        <v>-3.9342307860759198</v>
      </c>
      <c r="DE18">
        <v>-63.370769425765801</v>
      </c>
      <c r="DF18">
        <v>8976.92</v>
      </c>
      <c r="DG18">
        <v>15</v>
      </c>
      <c r="DH18">
        <v>1596825173.7</v>
      </c>
      <c r="DI18" t="s">
        <v>292</v>
      </c>
      <c r="DJ18">
        <v>61</v>
      </c>
      <c r="DK18">
        <v>-0.45500000000000002</v>
      </c>
      <c r="DL18">
        <v>0.112</v>
      </c>
      <c r="DM18">
        <v>300</v>
      </c>
      <c r="DN18">
        <v>17</v>
      </c>
      <c r="DO18">
        <v>0.46</v>
      </c>
      <c r="DP18">
        <v>0.05</v>
      </c>
      <c r="DQ18">
        <v>292.31221153846099</v>
      </c>
      <c r="DR18">
        <v>0.231459254549928</v>
      </c>
      <c r="DS18">
        <v>3.4262188476099902E-2</v>
      </c>
      <c r="DT18">
        <v>1</v>
      </c>
      <c r="DU18">
        <v>18.542530769230801</v>
      </c>
      <c r="DV18">
        <v>-7.7492245331453893E-2</v>
      </c>
      <c r="DW18">
        <v>1.4054981849611001E-2</v>
      </c>
      <c r="DX18">
        <v>1</v>
      </c>
      <c r="DY18">
        <v>2</v>
      </c>
      <c r="DZ18">
        <v>2</v>
      </c>
      <c r="EA18" t="s">
        <v>293</v>
      </c>
      <c r="EB18">
        <v>1.86676</v>
      </c>
      <c r="EC18">
        <v>1.8632500000000001</v>
      </c>
      <c r="ED18">
        <v>1.8689</v>
      </c>
      <c r="EE18">
        <v>1.8668400000000001</v>
      </c>
      <c r="EF18">
        <v>1.87151</v>
      </c>
      <c r="EG18">
        <v>1.8640099999999999</v>
      </c>
      <c r="EH18">
        <v>1.8655999999999999</v>
      </c>
      <c r="EI18">
        <v>1.86551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-0.45500000000000002</v>
      </c>
      <c r="EX18">
        <v>0.112</v>
      </c>
      <c r="EY18">
        <v>2</v>
      </c>
      <c r="EZ18">
        <v>337.64400000000001</v>
      </c>
      <c r="FA18">
        <v>488.90600000000001</v>
      </c>
      <c r="FB18">
        <v>19.4358</v>
      </c>
      <c r="FC18">
        <v>33.627299999999998</v>
      </c>
      <c r="FD18">
        <v>29.9999</v>
      </c>
      <c r="FE18">
        <v>33.484200000000001</v>
      </c>
      <c r="FF18">
        <v>33.475099999999998</v>
      </c>
      <c r="FG18">
        <v>17.647600000000001</v>
      </c>
      <c r="FH18">
        <v>47.597499999999997</v>
      </c>
      <c r="FI18">
        <v>0</v>
      </c>
      <c r="FJ18">
        <v>19.5487</v>
      </c>
      <c r="FK18">
        <v>300</v>
      </c>
      <c r="FL18">
        <v>16.501799999999999</v>
      </c>
      <c r="FM18">
        <v>100.794</v>
      </c>
      <c r="FN18">
        <v>101.35899999999999</v>
      </c>
    </row>
    <row r="19" spans="1:170" x14ac:dyDescent="0.25">
      <c r="A19">
        <v>3</v>
      </c>
      <c r="B19">
        <v>1596825269.7</v>
      </c>
      <c r="C19">
        <v>251.60000014305101</v>
      </c>
      <c r="D19" t="s">
        <v>294</v>
      </c>
      <c r="E19" t="s">
        <v>295</v>
      </c>
      <c r="G19">
        <v>1596825261.64516</v>
      </c>
      <c r="H19">
        <f t="shared" si="0"/>
        <v>4.1074322702216821E-3</v>
      </c>
      <c r="I19">
        <f t="shared" si="1"/>
        <v>10.847768548781847</v>
      </c>
      <c r="J19">
        <f t="shared" si="2"/>
        <v>195.33864516129</v>
      </c>
      <c r="K19">
        <f t="shared" si="3"/>
        <v>116.1180794249191</v>
      </c>
      <c r="L19">
        <f t="shared" si="4"/>
        <v>11.605105723065579</v>
      </c>
      <c r="M19">
        <f t="shared" si="5"/>
        <v>19.522589764868929</v>
      </c>
      <c r="N19">
        <f t="shared" si="6"/>
        <v>0.23978236213338822</v>
      </c>
      <c r="O19">
        <f t="shared" si="7"/>
        <v>3.395354892586798</v>
      </c>
      <c r="P19">
        <f t="shared" si="8"/>
        <v>0.23075647700288798</v>
      </c>
      <c r="Q19">
        <f t="shared" si="9"/>
        <v>0.14500543063124507</v>
      </c>
      <c r="R19">
        <f t="shared" si="10"/>
        <v>353.33733430008556</v>
      </c>
      <c r="S19">
        <f t="shared" si="11"/>
        <v>26.924354198075338</v>
      </c>
      <c r="T19">
        <f t="shared" si="12"/>
        <v>27.013238709677399</v>
      </c>
      <c r="U19">
        <f t="shared" si="13"/>
        <v>3.5819435850612051</v>
      </c>
      <c r="V19">
        <f t="shared" si="14"/>
        <v>54.73903526420262</v>
      </c>
      <c r="W19">
        <f t="shared" si="15"/>
        <v>1.851341129866559</v>
      </c>
      <c r="X19">
        <f t="shared" si="16"/>
        <v>3.3821223208098266</v>
      </c>
      <c r="Y19">
        <f t="shared" si="17"/>
        <v>1.7306024551946462</v>
      </c>
      <c r="Z19">
        <f t="shared" si="18"/>
        <v>-181.13776311677617</v>
      </c>
      <c r="AA19">
        <f t="shared" si="19"/>
        <v>-178.2715772644973</v>
      </c>
      <c r="AB19">
        <f t="shared" si="20"/>
        <v>-11.277533816696831</v>
      </c>
      <c r="AC19">
        <f t="shared" si="21"/>
        <v>-17.349539897884767</v>
      </c>
      <c r="AD19">
        <v>-4.1375761901752801E-2</v>
      </c>
      <c r="AE19">
        <v>4.6447917450539597E-2</v>
      </c>
      <c r="AF19">
        <v>3.4679621052927301</v>
      </c>
      <c r="AG19">
        <v>145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52929.343061514548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264.30455999999998</v>
      </c>
      <c r="AT19">
        <v>331.35</v>
      </c>
      <c r="AU19">
        <f t="shared" si="27"/>
        <v>0.20234024445450438</v>
      </c>
      <c r="AV19">
        <v>0.5</v>
      </c>
      <c r="AW19">
        <f t="shared" si="28"/>
        <v>1849.1806751193965</v>
      </c>
      <c r="AX19">
        <f t="shared" si="29"/>
        <v>10.847768548781847</v>
      </c>
      <c r="AY19">
        <f t="shared" si="30"/>
        <v>187.08183492210208</v>
      </c>
      <c r="AZ19">
        <f t="shared" si="31"/>
        <v>0.42725215029425084</v>
      </c>
      <c r="BA19">
        <f t="shared" si="32"/>
        <v>6.4070367531917178E-3</v>
      </c>
      <c r="BB19">
        <f t="shared" si="33"/>
        <v>-1</v>
      </c>
      <c r="BC19" t="s">
        <v>297</v>
      </c>
      <c r="BD19">
        <v>189.78</v>
      </c>
      <c r="BE19">
        <f t="shared" si="34"/>
        <v>141.57000000000002</v>
      </c>
      <c r="BF19">
        <f t="shared" si="35"/>
        <v>0.47358508158508184</v>
      </c>
      <c r="BG19">
        <f t="shared" si="36"/>
        <v>1.7459690167562443</v>
      </c>
      <c r="BH19">
        <f t="shared" si="37"/>
        <v>0.20234024445450441</v>
      </c>
      <c r="BI19" t="e">
        <f t="shared" si="38"/>
        <v>#DIV/0!</v>
      </c>
      <c r="BJ19">
        <v>5823</v>
      </c>
      <c r="BK19">
        <v>300</v>
      </c>
      <c r="BL19">
        <v>300</v>
      </c>
      <c r="BM19">
        <v>300</v>
      </c>
      <c r="BN19">
        <v>9870.2900000000009</v>
      </c>
      <c r="BO19">
        <v>313.81200000000001</v>
      </c>
      <c r="BP19">
        <v>-6.4015799999999996E-3</v>
      </c>
      <c r="BQ19">
        <v>1.6141700000000001</v>
      </c>
      <c r="BR19">
        <f t="shared" si="39"/>
        <v>2199.9941935483898</v>
      </c>
      <c r="BS19">
        <f t="shared" si="40"/>
        <v>1849.1806751193965</v>
      </c>
      <c r="BT19">
        <f t="shared" si="41"/>
        <v>0.8405388889399007</v>
      </c>
      <c r="BU19">
        <f t="shared" si="42"/>
        <v>0.19107777787980157</v>
      </c>
      <c r="BV19">
        <v>0.5</v>
      </c>
      <c r="BW19" t="s">
        <v>281</v>
      </c>
      <c r="BX19">
        <v>1596825261.64516</v>
      </c>
      <c r="BY19">
        <v>195.33864516129</v>
      </c>
      <c r="BZ19">
        <v>199.99799999999999</v>
      </c>
      <c r="CA19">
        <v>18.524103225806499</v>
      </c>
      <c r="CB19">
        <v>16.911803225806398</v>
      </c>
      <c r="CC19">
        <v>500.07390322580602</v>
      </c>
      <c r="CD19">
        <v>99.742277419354807</v>
      </c>
      <c r="CE19">
        <v>0.20000358064516099</v>
      </c>
      <c r="CF19">
        <v>26.039345161290299</v>
      </c>
      <c r="CG19">
        <v>27.013238709677399</v>
      </c>
      <c r="CH19">
        <v>999.9</v>
      </c>
      <c r="CI19">
        <v>10003.748064516099</v>
      </c>
      <c r="CJ19">
        <v>0</v>
      </c>
      <c r="CK19">
        <v>412.17132258064498</v>
      </c>
      <c r="CL19">
        <v>2199.9941935483898</v>
      </c>
      <c r="CM19">
        <v>0.98199474193548397</v>
      </c>
      <c r="CN19">
        <v>1.8005025806451601E-2</v>
      </c>
      <c r="CO19">
        <v>0</v>
      </c>
      <c r="CP19">
        <v>264.33222580645202</v>
      </c>
      <c r="CQ19">
        <v>5.00054</v>
      </c>
      <c r="CR19">
        <v>8894.5790322580706</v>
      </c>
      <c r="CS19">
        <v>20590.435483870999</v>
      </c>
      <c r="CT19">
        <v>48.880935483870999</v>
      </c>
      <c r="CU19">
        <v>51.495935483871001</v>
      </c>
      <c r="CV19">
        <v>49.561999999999998</v>
      </c>
      <c r="CW19">
        <v>49.987806451612897</v>
      </c>
      <c r="CX19">
        <v>50.265999999999998</v>
      </c>
      <c r="CY19">
        <v>2155.4735483871</v>
      </c>
      <c r="CZ19">
        <v>39.518387096774198</v>
      </c>
      <c r="DA19">
        <v>0</v>
      </c>
      <c r="DB19">
        <v>127.39999985694899</v>
      </c>
      <c r="DC19">
        <v>264.30455999999998</v>
      </c>
      <c r="DD19">
        <v>-2.7078461557300701</v>
      </c>
      <c r="DE19">
        <v>-29.353076952354598</v>
      </c>
      <c r="DF19">
        <v>8894.1028000000006</v>
      </c>
      <c r="DG19">
        <v>15</v>
      </c>
      <c r="DH19">
        <v>1596825294.2</v>
      </c>
      <c r="DI19" t="s">
        <v>298</v>
      </c>
      <c r="DJ19">
        <v>62</v>
      </c>
      <c r="DK19">
        <v>-0.41199999999999998</v>
      </c>
      <c r="DL19">
        <v>0.11600000000000001</v>
      </c>
      <c r="DM19">
        <v>200</v>
      </c>
      <c r="DN19">
        <v>17</v>
      </c>
      <c r="DO19">
        <v>0.25</v>
      </c>
      <c r="DP19">
        <v>0.06</v>
      </c>
      <c r="DQ19">
        <v>195.28382692307699</v>
      </c>
      <c r="DR19">
        <v>0.11441317401081499</v>
      </c>
      <c r="DS19">
        <v>1.9174022042905501E-2</v>
      </c>
      <c r="DT19">
        <v>1</v>
      </c>
      <c r="DU19">
        <v>18.5017307692308</v>
      </c>
      <c r="DV19">
        <v>0.18728763921377001</v>
      </c>
      <c r="DW19">
        <v>2.46761917213703E-2</v>
      </c>
      <c r="DX19">
        <v>1</v>
      </c>
      <c r="DY19">
        <v>2</v>
      </c>
      <c r="DZ19">
        <v>2</v>
      </c>
      <c r="EA19" t="s">
        <v>293</v>
      </c>
      <c r="EB19">
        <v>1.8667499999999999</v>
      </c>
      <c r="EC19">
        <v>1.8632500000000001</v>
      </c>
      <c r="ED19">
        <v>1.8689100000000001</v>
      </c>
      <c r="EE19">
        <v>1.8668499999999999</v>
      </c>
      <c r="EF19">
        <v>1.8715299999999999</v>
      </c>
      <c r="EG19">
        <v>1.8640099999999999</v>
      </c>
      <c r="EH19">
        <v>1.86557</v>
      </c>
      <c r="EI19">
        <v>1.86554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-0.41199999999999998</v>
      </c>
      <c r="EX19">
        <v>0.11600000000000001</v>
      </c>
      <c r="EY19">
        <v>2</v>
      </c>
      <c r="EZ19">
        <v>337.1</v>
      </c>
      <c r="FA19">
        <v>488.97</v>
      </c>
      <c r="FB19">
        <v>20.068000000000001</v>
      </c>
      <c r="FC19">
        <v>33.741599999999998</v>
      </c>
      <c r="FD19">
        <v>30.0002</v>
      </c>
      <c r="FE19">
        <v>33.623100000000001</v>
      </c>
      <c r="FF19">
        <v>33.611600000000003</v>
      </c>
      <c r="FG19">
        <v>12.991400000000001</v>
      </c>
      <c r="FH19">
        <v>44.994399999999999</v>
      </c>
      <c r="FI19">
        <v>0</v>
      </c>
      <c r="FJ19">
        <v>20.064399999999999</v>
      </c>
      <c r="FK19">
        <v>200</v>
      </c>
      <c r="FL19">
        <v>17.003900000000002</v>
      </c>
      <c r="FM19">
        <v>100.761</v>
      </c>
      <c r="FN19">
        <v>101.322</v>
      </c>
    </row>
    <row r="20" spans="1:170" x14ac:dyDescent="0.25">
      <c r="A20">
        <v>4</v>
      </c>
      <c r="B20">
        <v>1596825401.2</v>
      </c>
      <c r="C20">
        <v>383.10000014305098</v>
      </c>
      <c r="D20" t="s">
        <v>299</v>
      </c>
      <c r="E20" t="s">
        <v>300</v>
      </c>
      <c r="G20">
        <v>1596825393.2</v>
      </c>
      <c r="H20">
        <f t="shared" si="0"/>
        <v>4.4584874269577301E-3</v>
      </c>
      <c r="I20">
        <f t="shared" si="1"/>
        <v>3.8546306220790956</v>
      </c>
      <c r="J20">
        <f t="shared" si="2"/>
        <v>98.304890322580604</v>
      </c>
      <c r="K20">
        <f t="shared" si="3"/>
        <v>71.925775905165352</v>
      </c>
      <c r="L20">
        <f t="shared" si="4"/>
        <v>7.1883193711258047</v>
      </c>
      <c r="M20">
        <f t="shared" si="5"/>
        <v>9.8246690910074133</v>
      </c>
      <c r="N20">
        <f t="shared" si="6"/>
        <v>0.26637481607970603</v>
      </c>
      <c r="O20">
        <f t="shared" si="7"/>
        <v>3.3946208319623823</v>
      </c>
      <c r="P20">
        <f t="shared" si="8"/>
        <v>0.2552834265633816</v>
      </c>
      <c r="Q20">
        <f t="shared" si="9"/>
        <v>0.1605101747393497</v>
      </c>
      <c r="R20">
        <f t="shared" si="10"/>
        <v>353.34104745480954</v>
      </c>
      <c r="S20">
        <f t="shared" si="11"/>
        <v>26.820382538108305</v>
      </c>
      <c r="T20">
        <f t="shared" si="12"/>
        <v>26.968864516128999</v>
      </c>
      <c r="U20">
        <f t="shared" si="13"/>
        <v>3.5726198337211845</v>
      </c>
      <c r="V20">
        <f t="shared" si="14"/>
        <v>55.511522808240201</v>
      </c>
      <c r="W20">
        <f t="shared" si="15"/>
        <v>1.8747371844019334</v>
      </c>
      <c r="X20">
        <f t="shared" si="16"/>
        <v>3.3772036679268416</v>
      </c>
      <c r="Y20">
        <f t="shared" si="17"/>
        <v>1.6978826493192511</v>
      </c>
      <c r="Z20">
        <f t="shared" si="18"/>
        <v>-196.61929552883589</v>
      </c>
      <c r="AA20">
        <f t="shared" si="19"/>
        <v>-174.61414479559966</v>
      </c>
      <c r="AB20">
        <f t="shared" si="20"/>
        <v>-11.044734693194014</v>
      </c>
      <c r="AC20">
        <f t="shared" si="21"/>
        <v>-28.937127562820024</v>
      </c>
      <c r="AD20">
        <v>-4.1364390187354799E-2</v>
      </c>
      <c r="AE20">
        <v>4.6435151704910901E-2</v>
      </c>
      <c r="AF20">
        <v>3.4672080893019799</v>
      </c>
      <c r="AG20">
        <v>145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52919.712663162281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263.35748000000001</v>
      </c>
      <c r="AT20">
        <v>318.84399999999999</v>
      </c>
      <c r="AU20">
        <f t="shared" si="27"/>
        <v>0.17402403683305934</v>
      </c>
      <c r="AV20">
        <v>0.5</v>
      </c>
      <c r="AW20">
        <f t="shared" si="28"/>
        <v>1849.1994577734947</v>
      </c>
      <c r="AX20">
        <f t="shared" si="29"/>
        <v>3.8546306220790956</v>
      </c>
      <c r="AY20">
        <f t="shared" si="30"/>
        <v>160.902577275624</v>
      </c>
      <c r="AZ20">
        <f t="shared" si="31"/>
        <v>0.39663283612048528</v>
      </c>
      <c r="BA20">
        <f t="shared" si="32"/>
        <v>2.625260677895857E-3</v>
      </c>
      <c r="BB20">
        <f t="shared" si="33"/>
        <v>-1</v>
      </c>
      <c r="BC20" t="s">
        <v>302</v>
      </c>
      <c r="BD20">
        <v>192.38</v>
      </c>
      <c r="BE20">
        <f t="shared" si="34"/>
        <v>126.464</v>
      </c>
      <c r="BF20">
        <f t="shared" si="35"/>
        <v>0.43875347925101205</v>
      </c>
      <c r="BG20">
        <f t="shared" si="36"/>
        <v>1.6573656305229234</v>
      </c>
      <c r="BH20">
        <f t="shared" si="37"/>
        <v>0.17402403683305939</v>
      </c>
      <c r="BI20" t="e">
        <f t="shared" si="38"/>
        <v>#DIV/0!</v>
      </c>
      <c r="BJ20">
        <v>5825</v>
      </c>
      <c r="BK20">
        <v>300</v>
      </c>
      <c r="BL20">
        <v>300</v>
      </c>
      <c r="BM20">
        <v>300</v>
      </c>
      <c r="BN20">
        <v>9869.98</v>
      </c>
      <c r="BO20">
        <v>304.68</v>
      </c>
      <c r="BP20">
        <v>-6.4012399999999999E-3</v>
      </c>
      <c r="BQ20">
        <v>1.33331</v>
      </c>
      <c r="BR20">
        <f t="shared" si="39"/>
        <v>2200.0164516128998</v>
      </c>
      <c r="BS20">
        <f t="shared" si="40"/>
        <v>1849.1994577734947</v>
      </c>
      <c r="BT20">
        <f t="shared" si="41"/>
        <v>0.84053892252387008</v>
      </c>
      <c r="BU20">
        <f t="shared" si="42"/>
        <v>0.19107784504774047</v>
      </c>
      <c r="BV20">
        <v>0.5</v>
      </c>
      <c r="BW20" t="s">
        <v>281</v>
      </c>
      <c r="BX20">
        <v>1596825393.2</v>
      </c>
      <c r="BY20">
        <v>98.304890322580604</v>
      </c>
      <c r="BZ20">
        <v>100.021809677419</v>
      </c>
      <c r="CA20">
        <v>18.758477419354801</v>
      </c>
      <c r="CB20">
        <v>17.008790322580602</v>
      </c>
      <c r="CC20">
        <v>500.072612903226</v>
      </c>
      <c r="CD20">
        <v>99.740803225806403</v>
      </c>
      <c r="CE20">
        <v>0.19999380645161299</v>
      </c>
      <c r="CF20">
        <v>26.0147451612903</v>
      </c>
      <c r="CG20">
        <v>26.968864516128999</v>
      </c>
      <c r="CH20">
        <v>999.9</v>
      </c>
      <c r="CI20">
        <v>10001.1464516129</v>
      </c>
      <c r="CJ20">
        <v>0</v>
      </c>
      <c r="CK20">
        <v>414.19419354838698</v>
      </c>
      <c r="CL20">
        <v>2200.0164516128998</v>
      </c>
      <c r="CM20">
        <v>0.98199396774193504</v>
      </c>
      <c r="CN20">
        <v>1.8005683870967699E-2</v>
      </c>
      <c r="CO20">
        <v>0</v>
      </c>
      <c r="CP20">
        <v>263.422967741935</v>
      </c>
      <c r="CQ20">
        <v>5.00054</v>
      </c>
      <c r="CR20">
        <v>8871.3261290322607</v>
      </c>
      <c r="CS20">
        <v>20590.664516129</v>
      </c>
      <c r="CT20">
        <v>49.013870967741902</v>
      </c>
      <c r="CU20">
        <v>51.622935483870997</v>
      </c>
      <c r="CV20">
        <v>49.679000000000002</v>
      </c>
      <c r="CW20">
        <v>50.207451612903199</v>
      </c>
      <c r="CX20">
        <v>50.3768064516129</v>
      </c>
      <c r="CY20">
        <v>2155.4951612903201</v>
      </c>
      <c r="CZ20">
        <v>39.521290322580597</v>
      </c>
      <c r="DA20">
        <v>0</v>
      </c>
      <c r="DB20">
        <v>130.799999952316</v>
      </c>
      <c r="DC20">
        <v>263.35748000000001</v>
      </c>
      <c r="DD20">
        <v>-1.74638461050034</v>
      </c>
      <c r="DE20">
        <v>2.3423076455605698</v>
      </c>
      <c r="DF20">
        <v>8871.1124</v>
      </c>
      <c r="DG20">
        <v>15</v>
      </c>
      <c r="DH20">
        <v>1596825424.7</v>
      </c>
      <c r="DI20" t="s">
        <v>303</v>
      </c>
      <c r="DJ20">
        <v>63</v>
      </c>
      <c r="DK20">
        <v>-0.30399999999999999</v>
      </c>
      <c r="DL20">
        <v>0.115</v>
      </c>
      <c r="DM20">
        <v>100</v>
      </c>
      <c r="DN20">
        <v>17</v>
      </c>
      <c r="DO20">
        <v>0.37</v>
      </c>
      <c r="DP20">
        <v>0.05</v>
      </c>
      <c r="DQ20">
        <v>98.203721153846104</v>
      </c>
      <c r="DR20">
        <v>-4.9615128489693197E-2</v>
      </c>
      <c r="DS20">
        <v>1.3657434387660299E-2</v>
      </c>
      <c r="DT20">
        <v>1</v>
      </c>
      <c r="DU20">
        <v>18.740175000000001</v>
      </c>
      <c r="DV20">
        <v>0.17969725945530299</v>
      </c>
      <c r="DW20">
        <v>2.9096912835186801E-2</v>
      </c>
      <c r="DX20">
        <v>1</v>
      </c>
      <c r="DY20">
        <v>2</v>
      </c>
      <c r="DZ20">
        <v>2</v>
      </c>
      <c r="EA20" t="s">
        <v>293</v>
      </c>
      <c r="EB20">
        <v>1.8667499999999999</v>
      </c>
      <c r="EC20">
        <v>1.8632500000000001</v>
      </c>
      <c r="ED20">
        <v>1.8689100000000001</v>
      </c>
      <c r="EE20">
        <v>1.8668800000000001</v>
      </c>
      <c r="EF20">
        <v>1.8715200000000001</v>
      </c>
      <c r="EG20">
        <v>1.8640099999999999</v>
      </c>
      <c r="EH20">
        <v>1.86557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-0.30399999999999999</v>
      </c>
      <c r="EX20">
        <v>0.115</v>
      </c>
      <c r="EY20">
        <v>2</v>
      </c>
      <c r="EZ20">
        <v>336.774</v>
      </c>
      <c r="FA20">
        <v>489.10599999999999</v>
      </c>
      <c r="FB20">
        <v>20.1267</v>
      </c>
      <c r="FC20">
        <v>33.814900000000002</v>
      </c>
      <c r="FD20">
        <v>30.000599999999999</v>
      </c>
      <c r="FE20">
        <v>33.726999999999997</v>
      </c>
      <c r="FF20">
        <v>33.721800000000002</v>
      </c>
      <c r="FG20">
        <v>8.1396599999999992</v>
      </c>
      <c r="FH20">
        <v>45.710099999999997</v>
      </c>
      <c r="FI20">
        <v>0</v>
      </c>
      <c r="FJ20">
        <v>20.127099999999999</v>
      </c>
      <c r="FK20">
        <v>100</v>
      </c>
      <c r="FL20">
        <v>16.7879</v>
      </c>
      <c r="FM20">
        <v>100.74299999999999</v>
      </c>
      <c r="FN20">
        <v>101.304</v>
      </c>
    </row>
    <row r="21" spans="1:170" x14ac:dyDescent="0.25">
      <c r="A21">
        <v>5</v>
      </c>
      <c r="B21">
        <v>1596825516.2</v>
      </c>
      <c r="C21">
        <v>498.10000014305098</v>
      </c>
      <c r="D21" t="s">
        <v>304</v>
      </c>
      <c r="E21" t="s">
        <v>305</v>
      </c>
      <c r="G21">
        <v>1596825508.2</v>
      </c>
      <c r="H21">
        <f t="shared" si="0"/>
        <v>4.6930176940418646E-3</v>
      </c>
      <c r="I21">
        <f t="shared" si="1"/>
        <v>0.18258413812240401</v>
      </c>
      <c r="J21">
        <f t="shared" si="2"/>
        <v>49.8094580645161</v>
      </c>
      <c r="K21">
        <f t="shared" si="3"/>
        <v>47.368199221710228</v>
      </c>
      <c r="L21">
        <f t="shared" si="4"/>
        <v>4.7338141501693114</v>
      </c>
      <c r="M21">
        <f t="shared" si="5"/>
        <v>4.9777851231887746</v>
      </c>
      <c r="N21">
        <f t="shared" si="6"/>
        <v>0.27963296474471194</v>
      </c>
      <c r="O21">
        <f t="shared" si="7"/>
        <v>3.3931839211459334</v>
      </c>
      <c r="P21">
        <f t="shared" si="8"/>
        <v>0.26743225611319432</v>
      </c>
      <c r="Q21">
        <f t="shared" si="9"/>
        <v>0.16819698242459322</v>
      </c>
      <c r="R21">
        <f t="shared" si="10"/>
        <v>353.33874593746691</v>
      </c>
      <c r="S21">
        <f t="shared" si="11"/>
        <v>26.988565051054007</v>
      </c>
      <c r="T21">
        <f t="shared" si="12"/>
        <v>27.019074193548398</v>
      </c>
      <c r="U21">
        <f t="shared" si="13"/>
        <v>3.5831712955561947</v>
      </c>
      <c r="V21">
        <f t="shared" si="14"/>
        <v>54.866910356126773</v>
      </c>
      <c r="W21">
        <f t="shared" si="15"/>
        <v>1.8773531213684878</v>
      </c>
      <c r="X21">
        <f t="shared" si="16"/>
        <v>3.4216490580261936</v>
      </c>
      <c r="Y21">
        <f t="shared" si="17"/>
        <v>1.705818174187707</v>
      </c>
      <c r="Z21">
        <f t="shared" si="18"/>
        <v>-206.96208030724623</v>
      </c>
      <c r="AA21">
        <f t="shared" si="19"/>
        <v>-143.26748420009193</v>
      </c>
      <c r="AB21">
        <f t="shared" si="20"/>
        <v>-9.0781458070945646</v>
      </c>
      <c r="AC21">
        <f t="shared" si="21"/>
        <v>-5.9689643769658289</v>
      </c>
      <c r="AD21">
        <v>-4.1342133470094501E-2</v>
      </c>
      <c r="AE21">
        <v>4.6410166589990698E-2</v>
      </c>
      <c r="AF21">
        <v>3.4657321218463299</v>
      </c>
      <c r="AG21">
        <v>145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52853.217094159569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262.8374</v>
      </c>
      <c r="AT21">
        <v>314.839</v>
      </c>
      <c r="AU21">
        <f t="shared" si="27"/>
        <v>0.16516886408608844</v>
      </c>
      <c r="AV21">
        <v>0.5</v>
      </c>
      <c r="AW21">
        <f t="shared" si="28"/>
        <v>1849.1875158380203</v>
      </c>
      <c r="AX21">
        <f t="shared" si="29"/>
        <v>0.18258413812240401</v>
      </c>
      <c r="AY21">
        <f t="shared" si="30"/>
        <v>152.71410073657074</v>
      </c>
      <c r="AZ21">
        <f t="shared" si="31"/>
        <v>0.3814616359472619</v>
      </c>
      <c r="BA21">
        <f t="shared" si="32"/>
        <v>6.3951553208841402E-4</v>
      </c>
      <c r="BB21">
        <f t="shared" si="33"/>
        <v>-1</v>
      </c>
      <c r="BC21" t="s">
        <v>307</v>
      </c>
      <c r="BD21">
        <v>194.74</v>
      </c>
      <c r="BE21">
        <f t="shared" si="34"/>
        <v>120.09899999999999</v>
      </c>
      <c r="BF21">
        <f t="shared" si="35"/>
        <v>0.43298945037011133</v>
      </c>
      <c r="BG21">
        <f t="shared" si="36"/>
        <v>1.6167145938173975</v>
      </c>
      <c r="BH21">
        <f t="shared" si="37"/>
        <v>0.16516886408608844</v>
      </c>
      <c r="BI21" t="e">
        <f t="shared" si="38"/>
        <v>#DIV/0!</v>
      </c>
      <c r="BJ21">
        <v>5827</v>
      </c>
      <c r="BK21">
        <v>300</v>
      </c>
      <c r="BL21">
        <v>300</v>
      </c>
      <c r="BM21">
        <v>300</v>
      </c>
      <c r="BN21">
        <v>9869.86</v>
      </c>
      <c r="BO21">
        <v>299.41800000000001</v>
      </c>
      <c r="BP21">
        <v>-6.4011399999999996E-3</v>
      </c>
      <c r="BQ21">
        <v>0.49035600000000001</v>
      </c>
      <c r="BR21">
        <f t="shared" si="39"/>
        <v>2200.00225806452</v>
      </c>
      <c r="BS21">
        <f t="shared" si="40"/>
        <v>1849.1875158380203</v>
      </c>
      <c r="BT21">
        <f t="shared" si="41"/>
        <v>0.84053891720314255</v>
      </c>
      <c r="BU21">
        <f t="shared" si="42"/>
        <v>0.19107783440628509</v>
      </c>
      <c r="BV21">
        <v>0.5</v>
      </c>
      <c r="BW21" t="s">
        <v>281</v>
      </c>
      <c r="BX21">
        <v>1596825508.2</v>
      </c>
      <c r="BY21">
        <v>49.8094580645161</v>
      </c>
      <c r="BZ21">
        <v>49.975970967741901</v>
      </c>
      <c r="CA21">
        <v>18.785451612903199</v>
      </c>
      <c r="CB21">
        <v>16.943767741935499</v>
      </c>
      <c r="CC21">
        <v>500.07032258064498</v>
      </c>
      <c r="CD21">
        <v>99.736558064516103</v>
      </c>
      <c r="CE21">
        <v>0.19998645161290299</v>
      </c>
      <c r="CF21">
        <v>26.235906451612902</v>
      </c>
      <c r="CG21">
        <v>27.019074193548398</v>
      </c>
      <c r="CH21">
        <v>999.9</v>
      </c>
      <c r="CI21">
        <v>9996.1906451612904</v>
      </c>
      <c r="CJ21">
        <v>0</v>
      </c>
      <c r="CK21">
        <v>415.81558064516099</v>
      </c>
      <c r="CL21">
        <v>2200.00225806452</v>
      </c>
      <c r="CM21">
        <v>0.98199403225806503</v>
      </c>
      <c r="CN21">
        <v>1.8005616129032301E-2</v>
      </c>
      <c r="CO21">
        <v>0</v>
      </c>
      <c r="CP21">
        <v>262.83529032258099</v>
      </c>
      <c r="CQ21">
        <v>5.00054</v>
      </c>
      <c r="CR21">
        <v>8858.8845161290301</v>
      </c>
      <c r="CS21">
        <v>20590.516129032301</v>
      </c>
      <c r="CT21">
        <v>48.995709677419299</v>
      </c>
      <c r="CU21">
        <v>51.634935483870997</v>
      </c>
      <c r="CV21">
        <v>49.693096774193499</v>
      </c>
      <c r="CW21">
        <v>50.154935483871</v>
      </c>
      <c r="CX21">
        <v>50.362677419354803</v>
      </c>
      <c r="CY21">
        <v>2155.4816129032301</v>
      </c>
      <c r="CZ21">
        <v>39.520645161290297</v>
      </c>
      <c r="DA21">
        <v>0</v>
      </c>
      <c r="DB21">
        <v>114.299999952316</v>
      </c>
      <c r="DC21">
        <v>262.8374</v>
      </c>
      <c r="DD21">
        <v>-0.56453846171658395</v>
      </c>
      <c r="DE21">
        <v>-7.6438460839347302</v>
      </c>
      <c r="DF21">
        <v>8858.3935999999994</v>
      </c>
      <c r="DG21">
        <v>15</v>
      </c>
      <c r="DH21">
        <v>1596825537.2</v>
      </c>
      <c r="DI21" t="s">
        <v>308</v>
      </c>
      <c r="DJ21">
        <v>64</v>
      </c>
      <c r="DK21">
        <v>-0.312</v>
      </c>
      <c r="DL21">
        <v>0.114</v>
      </c>
      <c r="DM21">
        <v>50</v>
      </c>
      <c r="DN21">
        <v>17</v>
      </c>
      <c r="DO21">
        <v>0.49</v>
      </c>
      <c r="DP21">
        <v>0.04</v>
      </c>
      <c r="DQ21">
        <v>49.825332692307697</v>
      </c>
      <c r="DR21">
        <v>-8.4395970289436698E-2</v>
      </c>
      <c r="DS21">
        <v>1.33726143976558E-2</v>
      </c>
      <c r="DT21">
        <v>1</v>
      </c>
      <c r="DU21">
        <v>18.773321153846201</v>
      </c>
      <c r="DV21">
        <v>0.147855715871268</v>
      </c>
      <c r="DW21">
        <v>1.8767805254031499E-2</v>
      </c>
      <c r="DX21">
        <v>1</v>
      </c>
      <c r="DY21">
        <v>2</v>
      </c>
      <c r="DZ21">
        <v>2</v>
      </c>
      <c r="EA21" t="s">
        <v>293</v>
      </c>
      <c r="EB21">
        <v>1.86676</v>
      </c>
      <c r="EC21">
        <v>1.8632500000000001</v>
      </c>
      <c r="ED21">
        <v>1.8689100000000001</v>
      </c>
      <c r="EE21">
        <v>1.8668400000000001</v>
      </c>
      <c r="EF21">
        <v>1.87151</v>
      </c>
      <c r="EG21">
        <v>1.86402</v>
      </c>
      <c r="EH21">
        <v>1.8655900000000001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-0.312</v>
      </c>
      <c r="EX21">
        <v>0.114</v>
      </c>
      <c r="EY21">
        <v>2</v>
      </c>
      <c r="EZ21">
        <v>337.02800000000002</v>
      </c>
      <c r="FA21">
        <v>489.22300000000001</v>
      </c>
      <c r="FB21">
        <v>20.3353</v>
      </c>
      <c r="FC21">
        <v>33.826599999999999</v>
      </c>
      <c r="FD21">
        <v>30.0001</v>
      </c>
      <c r="FE21">
        <v>33.782499999999999</v>
      </c>
      <c r="FF21">
        <v>33.7819</v>
      </c>
      <c r="FG21">
        <v>5.6936900000000001</v>
      </c>
      <c r="FH21">
        <v>44.910200000000003</v>
      </c>
      <c r="FI21">
        <v>0</v>
      </c>
      <c r="FJ21">
        <v>20.323599999999999</v>
      </c>
      <c r="FK21">
        <v>50</v>
      </c>
      <c r="FL21">
        <v>16.9696</v>
      </c>
      <c r="FM21">
        <v>100.736</v>
      </c>
      <c r="FN21">
        <v>101.29900000000001</v>
      </c>
    </row>
    <row r="22" spans="1:170" x14ac:dyDescent="0.25">
      <c r="A22">
        <v>6</v>
      </c>
      <c r="B22">
        <v>1596825628.7</v>
      </c>
      <c r="C22">
        <v>610.60000014305103</v>
      </c>
      <c r="D22" t="s">
        <v>309</v>
      </c>
      <c r="E22" t="s">
        <v>310</v>
      </c>
      <c r="G22">
        <v>1596825620.7</v>
      </c>
      <c r="H22">
        <f t="shared" si="0"/>
        <v>5.4048932632317533E-3</v>
      </c>
      <c r="I22">
        <f t="shared" si="1"/>
        <v>28.443625687500372</v>
      </c>
      <c r="J22">
        <f t="shared" si="2"/>
        <v>387.84322580645198</v>
      </c>
      <c r="K22">
        <f t="shared" si="3"/>
        <v>235.39228133338423</v>
      </c>
      <c r="L22">
        <f t="shared" si="4"/>
        <v>23.52330617664914</v>
      </c>
      <c r="M22">
        <f t="shared" si="5"/>
        <v>38.758088827318446</v>
      </c>
      <c r="N22">
        <f t="shared" si="6"/>
        <v>0.33081133872210211</v>
      </c>
      <c r="O22">
        <f t="shared" si="7"/>
        <v>3.3927208357034382</v>
      </c>
      <c r="P22">
        <f t="shared" si="8"/>
        <v>0.31387909534546565</v>
      </c>
      <c r="Q22">
        <f t="shared" si="9"/>
        <v>0.19762348136712443</v>
      </c>
      <c r="R22">
        <f t="shared" si="10"/>
        <v>353.33745343240724</v>
      </c>
      <c r="S22">
        <f t="shared" si="11"/>
        <v>26.992606605817858</v>
      </c>
      <c r="T22">
        <f t="shared" si="12"/>
        <v>26.963677419354799</v>
      </c>
      <c r="U22">
        <f t="shared" si="13"/>
        <v>3.5715313232125863</v>
      </c>
      <c r="V22">
        <f t="shared" si="14"/>
        <v>54.925957916164037</v>
      </c>
      <c r="W22">
        <f t="shared" si="15"/>
        <v>1.8978196376340315</v>
      </c>
      <c r="X22">
        <f t="shared" si="16"/>
        <v>3.4552326616328823</v>
      </c>
      <c r="Y22">
        <f t="shared" si="17"/>
        <v>1.6737116855785548</v>
      </c>
      <c r="Z22">
        <f t="shared" si="18"/>
        <v>-238.35579290852033</v>
      </c>
      <c r="AA22">
        <f t="shared" si="19"/>
        <v>-102.8523241649052</v>
      </c>
      <c r="AB22">
        <f t="shared" si="20"/>
        <v>-6.5217148661914743</v>
      </c>
      <c r="AC22">
        <f t="shared" si="21"/>
        <v>5.6076214927902441</v>
      </c>
      <c r="AD22">
        <v>-4.1334961515296698E-2</v>
      </c>
      <c r="AE22">
        <v>4.6402115442432501E-2</v>
      </c>
      <c r="AF22">
        <v>3.4652564508797599</v>
      </c>
      <c r="AG22">
        <v>144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52815.128396659609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254.05260000000001</v>
      </c>
      <c r="AT22">
        <v>342.13499999999999</v>
      </c>
      <c r="AU22">
        <f t="shared" si="27"/>
        <v>0.25744925248805295</v>
      </c>
      <c r="AV22">
        <v>0.5</v>
      </c>
      <c r="AW22">
        <f t="shared" si="28"/>
        <v>1849.1812256892883</v>
      </c>
      <c r="AX22">
        <f t="shared" si="29"/>
        <v>28.443625687500372</v>
      </c>
      <c r="AY22">
        <f t="shared" si="30"/>
        <v>238.03516213432439</v>
      </c>
      <c r="AZ22">
        <f t="shared" si="31"/>
        <v>0.48552471977435802</v>
      </c>
      <c r="BA22">
        <f t="shared" si="32"/>
        <v>1.5922520344930045E-2</v>
      </c>
      <c r="BB22">
        <f t="shared" si="33"/>
        <v>-1</v>
      </c>
      <c r="BC22" t="s">
        <v>312</v>
      </c>
      <c r="BD22">
        <v>176.02</v>
      </c>
      <c r="BE22">
        <f t="shared" si="34"/>
        <v>166.11499999999998</v>
      </c>
      <c r="BF22">
        <f t="shared" si="35"/>
        <v>0.53024952593083097</v>
      </c>
      <c r="BG22">
        <f t="shared" si="36"/>
        <v>1.943727985456198</v>
      </c>
      <c r="BH22">
        <f t="shared" si="37"/>
        <v>0.25744925248805289</v>
      </c>
      <c r="BI22" t="e">
        <f t="shared" si="38"/>
        <v>#DIV/0!</v>
      </c>
      <c r="BJ22">
        <v>5829</v>
      </c>
      <c r="BK22">
        <v>300</v>
      </c>
      <c r="BL22">
        <v>300</v>
      </c>
      <c r="BM22">
        <v>300</v>
      </c>
      <c r="BN22">
        <v>9870.11</v>
      </c>
      <c r="BO22">
        <v>314.85599999999999</v>
      </c>
      <c r="BP22">
        <v>-6.4013500000000001E-3</v>
      </c>
      <c r="BQ22">
        <v>0.555176</v>
      </c>
      <c r="BR22">
        <f t="shared" si="39"/>
        <v>2199.9948387096802</v>
      </c>
      <c r="BS22">
        <f t="shared" si="40"/>
        <v>1849.1812256892883</v>
      </c>
      <c r="BT22">
        <f t="shared" si="41"/>
        <v>0.84053889270660853</v>
      </c>
      <c r="BU22">
        <f t="shared" si="42"/>
        <v>0.19107778541321691</v>
      </c>
      <c r="BV22">
        <v>0.5</v>
      </c>
      <c r="BW22" t="s">
        <v>281</v>
      </c>
      <c r="BX22">
        <v>1596825620.7</v>
      </c>
      <c r="BY22">
        <v>387.84322580645198</v>
      </c>
      <c r="BZ22">
        <v>400.05745161290298</v>
      </c>
      <c r="CA22">
        <v>18.991041935483899</v>
      </c>
      <c r="CB22">
        <v>16.8704419354839</v>
      </c>
      <c r="CC22">
        <v>500.07061290322599</v>
      </c>
      <c r="CD22">
        <v>99.732354838709696</v>
      </c>
      <c r="CE22">
        <v>0.20000506451612901</v>
      </c>
      <c r="CF22">
        <v>26.401361290322601</v>
      </c>
      <c r="CG22">
        <v>26.963677419354799</v>
      </c>
      <c r="CH22">
        <v>999.9</v>
      </c>
      <c r="CI22">
        <v>9994.8777419354792</v>
      </c>
      <c r="CJ22">
        <v>0</v>
      </c>
      <c r="CK22">
        <v>420.26651612903203</v>
      </c>
      <c r="CL22">
        <v>2199.9948387096802</v>
      </c>
      <c r="CM22">
        <v>0.98199470967741898</v>
      </c>
      <c r="CN22">
        <v>1.8005012903225801E-2</v>
      </c>
      <c r="CO22">
        <v>0</v>
      </c>
      <c r="CP22">
        <v>254.04325806451601</v>
      </c>
      <c r="CQ22">
        <v>5.00054</v>
      </c>
      <c r="CR22">
        <v>8683.2906451612907</v>
      </c>
      <c r="CS22">
        <v>20590.4580645161</v>
      </c>
      <c r="CT22">
        <v>49.046193548387102</v>
      </c>
      <c r="CU22">
        <v>51.652999999999999</v>
      </c>
      <c r="CV22">
        <v>49.717483870967698</v>
      </c>
      <c r="CW22">
        <v>50.140903225806397</v>
      </c>
      <c r="CX22">
        <v>50.437258064516101</v>
      </c>
      <c r="CY22">
        <v>2155.47580645161</v>
      </c>
      <c r="CZ22">
        <v>39.518709677419402</v>
      </c>
      <c r="DA22">
        <v>0</v>
      </c>
      <c r="DB22">
        <v>112</v>
      </c>
      <c r="DC22">
        <v>254.05260000000001</v>
      </c>
      <c r="DD22">
        <v>0.500307693939255</v>
      </c>
      <c r="DE22">
        <v>-60.668461606906099</v>
      </c>
      <c r="DF22">
        <v>8681.9555999999993</v>
      </c>
      <c r="DG22">
        <v>15</v>
      </c>
      <c r="DH22">
        <v>1596825656.7</v>
      </c>
      <c r="DI22" t="s">
        <v>313</v>
      </c>
      <c r="DJ22">
        <v>65</v>
      </c>
      <c r="DK22">
        <v>-0.3</v>
      </c>
      <c r="DL22">
        <v>0.113</v>
      </c>
      <c r="DM22">
        <v>400</v>
      </c>
      <c r="DN22">
        <v>17</v>
      </c>
      <c r="DO22">
        <v>0.17</v>
      </c>
      <c r="DP22">
        <v>0.04</v>
      </c>
      <c r="DQ22">
        <v>387.84663461538503</v>
      </c>
      <c r="DR22">
        <v>-0.19597199692648301</v>
      </c>
      <c r="DS22">
        <v>3.0096657651226801E-2</v>
      </c>
      <c r="DT22">
        <v>1</v>
      </c>
      <c r="DU22">
        <v>18.985523076923101</v>
      </c>
      <c r="DV22">
        <v>5.98053444890271E-2</v>
      </c>
      <c r="DW22">
        <v>8.3086983009145101E-3</v>
      </c>
      <c r="DX22">
        <v>1</v>
      </c>
      <c r="DY22">
        <v>2</v>
      </c>
      <c r="DZ22">
        <v>2</v>
      </c>
      <c r="EA22" t="s">
        <v>293</v>
      </c>
      <c r="EB22">
        <v>1.86676</v>
      </c>
      <c r="EC22">
        <v>1.8632500000000001</v>
      </c>
      <c r="ED22">
        <v>1.86894</v>
      </c>
      <c r="EE22">
        <v>1.86687</v>
      </c>
      <c r="EF22">
        <v>1.8715599999999999</v>
      </c>
      <c r="EG22">
        <v>1.8640099999999999</v>
      </c>
      <c r="EH22">
        <v>1.8656299999999999</v>
      </c>
      <c r="EI22">
        <v>1.86555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</v>
      </c>
      <c r="EX22">
        <v>0.113</v>
      </c>
      <c r="EY22">
        <v>2</v>
      </c>
      <c r="EZ22">
        <v>337.84800000000001</v>
      </c>
      <c r="FA22">
        <v>490.51299999999998</v>
      </c>
      <c r="FB22">
        <v>20.9101</v>
      </c>
      <c r="FC22">
        <v>33.814300000000003</v>
      </c>
      <c r="FD22">
        <v>29.9998</v>
      </c>
      <c r="FE22">
        <v>33.806800000000003</v>
      </c>
      <c r="FF22">
        <v>33.811999999999998</v>
      </c>
      <c r="FG22">
        <v>22.135000000000002</v>
      </c>
      <c r="FH22">
        <v>46.817700000000002</v>
      </c>
      <c r="FI22">
        <v>0</v>
      </c>
      <c r="FJ22">
        <v>20.918299999999999</v>
      </c>
      <c r="FK22">
        <v>400</v>
      </c>
      <c r="FL22">
        <v>16.812799999999999</v>
      </c>
      <c r="FM22">
        <v>100.739</v>
      </c>
      <c r="FN22">
        <v>101.30200000000001</v>
      </c>
    </row>
    <row r="23" spans="1:170" x14ac:dyDescent="0.25">
      <c r="A23">
        <v>7</v>
      </c>
      <c r="B23">
        <v>1596825748.2</v>
      </c>
      <c r="C23">
        <v>730.10000014305103</v>
      </c>
      <c r="D23" t="s">
        <v>314</v>
      </c>
      <c r="E23" t="s">
        <v>315</v>
      </c>
      <c r="G23">
        <v>1596825740.2</v>
      </c>
      <c r="H23">
        <f t="shared" si="0"/>
        <v>5.4981406181115839E-3</v>
      </c>
      <c r="I23">
        <f t="shared" si="1"/>
        <v>29.80780447470357</v>
      </c>
      <c r="J23">
        <f t="shared" si="2"/>
        <v>387.23899999999998</v>
      </c>
      <c r="K23">
        <f t="shared" si="3"/>
        <v>231.57808981587567</v>
      </c>
      <c r="L23">
        <f t="shared" si="4"/>
        <v>23.141638003099903</v>
      </c>
      <c r="M23">
        <f t="shared" si="5"/>
        <v>38.696859300495291</v>
      </c>
      <c r="N23">
        <f t="shared" si="6"/>
        <v>0.33920477743807953</v>
      </c>
      <c r="O23">
        <f t="shared" si="7"/>
        <v>3.3960826975064973</v>
      </c>
      <c r="P23">
        <f t="shared" si="8"/>
        <v>0.32144381955135687</v>
      </c>
      <c r="Q23">
        <f t="shared" si="9"/>
        <v>0.20242060852517282</v>
      </c>
      <c r="R23">
        <f t="shared" si="10"/>
        <v>353.33953740639214</v>
      </c>
      <c r="S23">
        <f t="shared" si="11"/>
        <v>27.133966489519235</v>
      </c>
      <c r="T23">
        <f t="shared" si="12"/>
        <v>27.012935483871001</v>
      </c>
      <c r="U23">
        <f t="shared" si="13"/>
        <v>3.5818798003020547</v>
      </c>
      <c r="V23">
        <f t="shared" si="14"/>
        <v>55.026795429239073</v>
      </c>
      <c r="W23">
        <f t="shared" si="15"/>
        <v>1.9196734039627246</v>
      </c>
      <c r="X23">
        <f t="shared" si="16"/>
        <v>3.4886156625844245</v>
      </c>
      <c r="Y23">
        <f t="shared" si="17"/>
        <v>1.6622063963393301</v>
      </c>
      <c r="Z23">
        <f t="shared" si="18"/>
        <v>-242.46800125872085</v>
      </c>
      <c r="AA23">
        <f t="shared" si="19"/>
        <v>-82.114509035712814</v>
      </c>
      <c r="AB23">
        <f t="shared" si="20"/>
        <v>-5.2071348134793043</v>
      </c>
      <c r="AC23">
        <f t="shared" si="21"/>
        <v>23.549892298479193</v>
      </c>
      <c r="AD23">
        <v>-4.1387037802565703E-2</v>
      </c>
      <c r="AE23">
        <v>4.64605756370252E-2</v>
      </c>
      <c r="AF23">
        <v>3.4687096974427098</v>
      </c>
      <c r="AG23">
        <v>144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52850.110709540015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255.05248</v>
      </c>
      <c r="AT23">
        <v>348.63400000000001</v>
      </c>
      <c r="AU23">
        <f t="shared" si="27"/>
        <v>0.26842338957187195</v>
      </c>
      <c r="AV23">
        <v>0.5</v>
      </c>
      <c r="AW23">
        <f t="shared" si="28"/>
        <v>1849.1920775531241</v>
      </c>
      <c r="AX23">
        <f t="shared" si="29"/>
        <v>29.80780447470357</v>
      </c>
      <c r="AY23">
        <f t="shared" si="30"/>
        <v>248.18320271313075</v>
      </c>
      <c r="AZ23">
        <f t="shared" si="31"/>
        <v>0.48329767033622661</v>
      </c>
      <c r="BA23">
        <f t="shared" si="32"/>
        <v>1.6660143015250678E-2</v>
      </c>
      <c r="BB23">
        <f t="shared" si="33"/>
        <v>-1</v>
      </c>
      <c r="BC23" t="s">
        <v>317</v>
      </c>
      <c r="BD23">
        <v>180.14</v>
      </c>
      <c r="BE23">
        <f t="shared" si="34"/>
        <v>168.49400000000003</v>
      </c>
      <c r="BF23">
        <f t="shared" si="35"/>
        <v>0.55539971749735895</v>
      </c>
      <c r="BG23">
        <f t="shared" si="36"/>
        <v>1.9353502831131344</v>
      </c>
      <c r="BH23">
        <f t="shared" si="37"/>
        <v>0.26842338957187195</v>
      </c>
      <c r="BI23" t="e">
        <f t="shared" si="38"/>
        <v>#DIV/0!</v>
      </c>
      <c r="BJ23">
        <v>5831</v>
      </c>
      <c r="BK23">
        <v>300</v>
      </c>
      <c r="BL23">
        <v>300</v>
      </c>
      <c r="BM23">
        <v>300</v>
      </c>
      <c r="BN23">
        <v>9870.33</v>
      </c>
      <c r="BO23">
        <v>320.13200000000001</v>
      </c>
      <c r="BP23">
        <v>-6.4015900000000004E-3</v>
      </c>
      <c r="BQ23">
        <v>0.44775399999999999</v>
      </c>
      <c r="BR23">
        <f t="shared" si="39"/>
        <v>2200.0077419354802</v>
      </c>
      <c r="BS23">
        <f t="shared" si="40"/>
        <v>1849.1920775531241</v>
      </c>
      <c r="BT23">
        <f t="shared" si="41"/>
        <v>0.84053889552510286</v>
      </c>
      <c r="BU23">
        <f t="shared" si="42"/>
        <v>0.19107779105020598</v>
      </c>
      <c r="BV23">
        <v>0.5</v>
      </c>
      <c r="BW23" t="s">
        <v>281</v>
      </c>
      <c r="BX23">
        <v>1596825740.2</v>
      </c>
      <c r="BY23">
        <v>387.23899999999998</v>
      </c>
      <c r="BZ23">
        <v>400.01183870967702</v>
      </c>
      <c r="CA23">
        <v>19.210148387096801</v>
      </c>
      <c r="CB23">
        <v>17.053464516129001</v>
      </c>
      <c r="CC23">
        <v>500.07519354838701</v>
      </c>
      <c r="CD23">
        <v>99.730180645161298</v>
      </c>
      <c r="CE23">
        <v>0.19998987096774201</v>
      </c>
      <c r="CF23">
        <v>26.564441935483899</v>
      </c>
      <c r="CG23">
        <v>27.012935483871001</v>
      </c>
      <c r="CH23">
        <v>999.9</v>
      </c>
      <c r="CI23">
        <v>10007.6880645161</v>
      </c>
      <c r="CJ23">
        <v>0</v>
      </c>
      <c r="CK23">
        <v>423.40148387096798</v>
      </c>
      <c r="CL23">
        <v>2200.0077419354802</v>
      </c>
      <c r="CM23">
        <v>0.98199448387096799</v>
      </c>
      <c r="CN23">
        <v>1.8005261290322601E-2</v>
      </c>
      <c r="CO23">
        <v>0</v>
      </c>
      <c r="CP23">
        <v>255.06535483870999</v>
      </c>
      <c r="CQ23">
        <v>5.00054</v>
      </c>
      <c r="CR23">
        <v>8717.9451612903194</v>
      </c>
      <c r="CS23">
        <v>20590.5709677419</v>
      </c>
      <c r="CT23">
        <v>48.999870967741899</v>
      </c>
      <c r="CU23">
        <v>51.5741935483871</v>
      </c>
      <c r="CV23">
        <v>49.658999999999999</v>
      </c>
      <c r="CW23">
        <v>50.090451612903202</v>
      </c>
      <c r="CX23">
        <v>50.409064516129</v>
      </c>
      <c r="CY23">
        <v>2155.4819354838701</v>
      </c>
      <c r="CZ23">
        <v>39.519032258064499</v>
      </c>
      <c r="DA23">
        <v>0</v>
      </c>
      <c r="DB23">
        <v>119</v>
      </c>
      <c r="DC23">
        <v>255.05248</v>
      </c>
      <c r="DD23">
        <v>-0.336461537921868</v>
      </c>
      <c r="DE23">
        <v>8.1153847573529792</v>
      </c>
      <c r="DF23">
        <v>8718.4791999999998</v>
      </c>
      <c r="DG23">
        <v>15</v>
      </c>
      <c r="DH23">
        <v>1596825773.7</v>
      </c>
      <c r="DI23" t="s">
        <v>318</v>
      </c>
      <c r="DJ23">
        <v>66</v>
      </c>
      <c r="DK23">
        <v>-0.32200000000000001</v>
      </c>
      <c r="DL23">
        <v>0.115</v>
      </c>
      <c r="DM23">
        <v>400</v>
      </c>
      <c r="DN23">
        <v>17</v>
      </c>
      <c r="DO23">
        <v>0.28999999999999998</v>
      </c>
      <c r="DP23">
        <v>0.05</v>
      </c>
      <c r="DQ23">
        <v>387.26634615384597</v>
      </c>
      <c r="DR23">
        <v>-5.2679928284721497E-2</v>
      </c>
      <c r="DS23">
        <v>1.33400562439472E-2</v>
      </c>
      <c r="DT23">
        <v>1</v>
      </c>
      <c r="DU23">
        <v>19.202596153846201</v>
      </c>
      <c r="DV23">
        <v>5.6847605224971301E-2</v>
      </c>
      <c r="DW23">
        <v>7.3760777970841096E-3</v>
      </c>
      <c r="DX23">
        <v>1</v>
      </c>
      <c r="DY23">
        <v>2</v>
      </c>
      <c r="DZ23">
        <v>2</v>
      </c>
      <c r="EA23" t="s">
        <v>293</v>
      </c>
      <c r="EB23">
        <v>1.86676</v>
      </c>
      <c r="EC23">
        <v>1.8632500000000001</v>
      </c>
      <c r="ED23">
        <v>1.8689199999999999</v>
      </c>
      <c r="EE23">
        <v>1.86683</v>
      </c>
      <c r="EF23">
        <v>1.87151</v>
      </c>
      <c r="EG23">
        <v>1.8640099999999999</v>
      </c>
      <c r="EH23">
        <v>1.86557</v>
      </c>
      <c r="EI23">
        <v>1.8655299999999999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-0.32200000000000001</v>
      </c>
      <c r="EX23">
        <v>0.115</v>
      </c>
      <c r="EY23">
        <v>2</v>
      </c>
      <c r="EZ23">
        <v>337.70600000000002</v>
      </c>
      <c r="FA23">
        <v>491.04</v>
      </c>
      <c r="FB23">
        <v>20.459800000000001</v>
      </c>
      <c r="FC23">
        <v>33.773400000000002</v>
      </c>
      <c r="FD23">
        <v>29.999600000000001</v>
      </c>
      <c r="FE23">
        <v>33.800699999999999</v>
      </c>
      <c r="FF23">
        <v>33.811999999999998</v>
      </c>
      <c r="FG23">
        <v>22.136600000000001</v>
      </c>
      <c r="FH23">
        <v>44.786000000000001</v>
      </c>
      <c r="FI23">
        <v>0</v>
      </c>
      <c r="FJ23">
        <v>20.471</v>
      </c>
      <c r="FK23">
        <v>400</v>
      </c>
      <c r="FL23">
        <v>17.079599999999999</v>
      </c>
      <c r="FM23">
        <v>100.742</v>
      </c>
      <c r="FN23">
        <v>101.309</v>
      </c>
    </row>
    <row r="24" spans="1:170" x14ac:dyDescent="0.25">
      <c r="A24">
        <v>8</v>
      </c>
      <c r="B24">
        <v>1596825871.7</v>
      </c>
      <c r="C24">
        <v>853.60000014305103</v>
      </c>
      <c r="D24" t="s">
        <v>319</v>
      </c>
      <c r="E24" t="s">
        <v>320</v>
      </c>
      <c r="G24">
        <v>1596825863.7</v>
      </c>
      <c r="H24">
        <f t="shared" si="0"/>
        <v>5.2209486056940457E-3</v>
      </c>
      <c r="I24">
        <f t="shared" si="1"/>
        <v>35.947032604345708</v>
      </c>
      <c r="J24">
        <f t="shared" si="2"/>
        <v>484.595741935484</v>
      </c>
      <c r="K24">
        <f t="shared" si="3"/>
        <v>284.69705271886409</v>
      </c>
      <c r="L24">
        <f t="shared" si="4"/>
        <v>28.450436020245689</v>
      </c>
      <c r="M24">
        <f t="shared" si="5"/>
        <v>48.426775127993629</v>
      </c>
      <c r="N24">
        <f t="shared" si="6"/>
        <v>0.31725891189382149</v>
      </c>
      <c r="O24">
        <f t="shared" si="7"/>
        <v>3.3938072636143071</v>
      </c>
      <c r="P24">
        <f t="shared" si="8"/>
        <v>0.30165515988261049</v>
      </c>
      <c r="Q24">
        <f t="shared" si="9"/>
        <v>0.18987243900847245</v>
      </c>
      <c r="R24">
        <f t="shared" si="10"/>
        <v>353.34037816692307</v>
      </c>
      <c r="S24">
        <f t="shared" si="11"/>
        <v>27.117089571291842</v>
      </c>
      <c r="T24">
        <f t="shared" si="12"/>
        <v>27.018422580645201</v>
      </c>
      <c r="U24">
        <f t="shared" si="13"/>
        <v>3.5830341863952531</v>
      </c>
      <c r="V24">
        <f t="shared" si="14"/>
        <v>54.746402174096453</v>
      </c>
      <c r="W24">
        <f t="shared" si="15"/>
        <v>1.9008954420217374</v>
      </c>
      <c r="X24">
        <f t="shared" si="16"/>
        <v>3.4721833153104553</v>
      </c>
      <c r="Y24">
        <f t="shared" si="17"/>
        <v>1.6821387443735156</v>
      </c>
      <c r="Z24">
        <f t="shared" si="18"/>
        <v>-230.24383351110743</v>
      </c>
      <c r="AA24">
        <f t="shared" si="19"/>
        <v>-97.719690076748748</v>
      </c>
      <c r="AB24">
        <f t="shared" si="20"/>
        <v>-6.1985489465697858</v>
      </c>
      <c r="AC24">
        <f t="shared" si="21"/>
        <v>19.178305632497143</v>
      </c>
      <c r="AD24">
        <v>-4.1351788075077799E-2</v>
      </c>
      <c r="AE24">
        <v>4.6421004729874198E-2</v>
      </c>
      <c r="AF24">
        <v>3.46637240645487</v>
      </c>
      <c r="AG24">
        <v>144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52821.110757046481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260.46091999999999</v>
      </c>
      <c r="AT24">
        <v>367.91500000000002</v>
      </c>
      <c r="AU24">
        <f t="shared" si="27"/>
        <v>0.29206224263756586</v>
      </c>
      <c r="AV24">
        <v>0.5</v>
      </c>
      <c r="AW24">
        <f t="shared" si="28"/>
        <v>1849.1959351928556</v>
      </c>
      <c r="AX24">
        <f t="shared" si="29"/>
        <v>35.947032604345708</v>
      </c>
      <c r="AY24">
        <f t="shared" si="30"/>
        <v>270.04015595434817</v>
      </c>
      <c r="AZ24">
        <f t="shared" si="31"/>
        <v>0.52570566571082999</v>
      </c>
      <c r="BA24">
        <f t="shared" si="32"/>
        <v>1.9980052898230301E-2</v>
      </c>
      <c r="BB24">
        <f t="shared" si="33"/>
        <v>-1</v>
      </c>
      <c r="BC24" t="s">
        <v>322</v>
      </c>
      <c r="BD24">
        <v>174.5</v>
      </c>
      <c r="BE24">
        <f t="shared" si="34"/>
        <v>193.41500000000002</v>
      </c>
      <c r="BF24">
        <f t="shared" si="35"/>
        <v>0.55556228834371701</v>
      </c>
      <c r="BG24">
        <f t="shared" si="36"/>
        <v>2.1083954154727795</v>
      </c>
      <c r="BH24">
        <f t="shared" si="37"/>
        <v>0.29206224263756581</v>
      </c>
      <c r="BI24" t="e">
        <f t="shared" si="38"/>
        <v>#DIV/0!</v>
      </c>
      <c r="BJ24">
        <v>5833</v>
      </c>
      <c r="BK24">
        <v>300</v>
      </c>
      <c r="BL24">
        <v>300</v>
      </c>
      <c r="BM24">
        <v>300</v>
      </c>
      <c r="BN24">
        <v>9869.9699999999993</v>
      </c>
      <c r="BO24">
        <v>335.48</v>
      </c>
      <c r="BP24">
        <v>-6.4014600000000003E-3</v>
      </c>
      <c r="BQ24">
        <v>0.13442999999999999</v>
      </c>
      <c r="BR24">
        <f t="shared" si="39"/>
        <v>2200.0122580645202</v>
      </c>
      <c r="BS24">
        <f t="shared" si="40"/>
        <v>1849.1959351928556</v>
      </c>
      <c r="BT24">
        <f t="shared" si="41"/>
        <v>0.84053892355113591</v>
      </c>
      <c r="BU24">
        <f t="shared" si="42"/>
        <v>0.19107784710227185</v>
      </c>
      <c r="BV24">
        <v>0.5</v>
      </c>
      <c r="BW24" t="s">
        <v>281</v>
      </c>
      <c r="BX24">
        <v>1596825863.7</v>
      </c>
      <c r="BY24">
        <v>484.595741935484</v>
      </c>
      <c r="BZ24">
        <v>499.98441935483902</v>
      </c>
      <c r="CA24">
        <v>19.021829032258101</v>
      </c>
      <c r="CB24">
        <v>16.9734612903226</v>
      </c>
      <c r="CC24">
        <v>500.070032258065</v>
      </c>
      <c r="CD24">
        <v>99.732303225806405</v>
      </c>
      <c r="CE24">
        <v>0.20001341935483899</v>
      </c>
      <c r="CF24">
        <v>26.484338709677399</v>
      </c>
      <c r="CG24">
        <v>27.018422580645201</v>
      </c>
      <c r="CH24">
        <v>999.9</v>
      </c>
      <c r="CI24">
        <v>9998.9516129032309</v>
      </c>
      <c r="CJ24">
        <v>0</v>
      </c>
      <c r="CK24">
        <v>424.01090322580598</v>
      </c>
      <c r="CL24">
        <v>2200.0122580645202</v>
      </c>
      <c r="CM24">
        <v>0.98199390322580604</v>
      </c>
      <c r="CN24">
        <v>1.8005751612903201E-2</v>
      </c>
      <c r="CO24">
        <v>0</v>
      </c>
      <c r="CP24">
        <v>260.43900000000002</v>
      </c>
      <c r="CQ24">
        <v>5.00054</v>
      </c>
      <c r="CR24">
        <v>8858.6506451612895</v>
      </c>
      <c r="CS24">
        <v>20590.622580645198</v>
      </c>
      <c r="CT24">
        <v>49.015999999999998</v>
      </c>
      <c r="CU24">
        <v>51.620935483871001</v>
      </c>
      <c r="CV24">
        <v>49.686999999999998</v>
      </c>
      <c r="CW24">
        <v>50.120935483871001</v>
      </c>
      <c r="CX24">
        <v>50.393000000000001</v>
      </c>
      <c r="CY24">
        <v>2155.49096774194</v>
      </c>
      <c r="CZ24">
        <v>39.521290322580597</v>
      </c>
      <c r="DA24">
        <v>0</v>
      </c>
      <c r="DB24">
        <v>122.59999990463299</v>
      </c>
      <c r="DC24">
        <v>260.46091999999999</v>
      </c>
      <c r="DD24">
        <v>-0.65853846081561696</v>
      </c>
      <c r="DE24">
        <v>-0.720769232665048</v>
      </c>
      <c r="DF24">
        <v>8858.9403999999995</v>
      </c>
      <c r="DG24">
        <v>15</v>
      </c>
      <c r="DH24">
        <v>1596825895.2</v>
      </c>
      <c r="DI24" t="s">
        <v>323</v>
      </c>
      <c r="DJ24">
        <v>67</v>
      </c>
      <c r="DK24">
        <v>-0.307</v>
      </c>
      <c r="DL24">
        <v>0.114</v>
      </c>
      <c r="DM24">
        <v>500</v>
      </c>
      <c r="DN24">
        <v>17</v>
      </c>
      <c r="DO24">
        <v>0.23</v>
      </c>
      <c r="DP24">
        <v>0.06</v>
      </c>
      <c r="DQ24">
        <v>484.557134615385</v>
      </c>
      <c r="DR24">
        <v>0.243826517544869</v>
      </c>
      <c r="DS24">
        <v>3.8417758737213502E-2</v>
      </c>
      <c r="DT24">
        <v>1</v>
      </c>
      <c r="DU24">
        <v>19.027875000000002</v>
      </c>
      <c r="DV24">
        <v>-5.3327926235789802E-2</v>
      </c>
      <c r="DW24">
        <v>6.8398682792082397E-3</v>
      </c>
      <c r="DX24">
        <v>1</v>
      </c>
      <c r="DY24">
        <v>2</v>
      </c>
      <c r="DZ24">
        <v>2</v>
      </c>
      <c r="EA24" t="s">
        <v>293</v>
      </c>
      <c r="EB24">
        <v>1.86676</v>
      </c>
      <c r="EC24">
        <v>1.8632500000000001</v>
      </c>
      <c r="ED24">
        <v>1.8689100000000001</v>
      </c>
      <c r="EE24">
        <v>1.8668800000000001</v>
      </c>
      <c r="EF24">
        <v>1.8714999999999999</v>
      </c>
      <c r="EG24">
        <v>1.8640099999999999</v>
      </c>
      <c r="EH24">
        <v>1.86557</v>
      </c>
      <c r="EI24">
        <v>1.86554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-0.307</v>
      </c>
      <c r="EX24">
        <v>0.114</v>
      </c>
      <c r="EY24">
        <v>2</v>
      </c>
      <c r="EZ24">
        <v>337.952</v>
      </c>
      <c r="FA24">
        <v>491.48700000000002</v>
      </c>
      <c r="FB24">
        <v>20.334499999999998</v>
      </c>
      <c r="FC24">
        <v>33.759599999999999</v>
      </c>
      <c r="FD24">
        <v>30</v>
      </c>
      <c r="FE24">
        <v>33.794600000000003</v>
      </c>
      <c r="FF24">
        <v>33.808999999999997</v>
      </c>
      <c r="FG24">
        <v>26.4376</v>
      </c>
      <c r="FH24">
        <v>44.732100000000003</v>
      </c>
      <c r="FI24">
        <v>0</v>
      </c>
      <c r="FJ24">
        <v>20.326499999999999</v>
      </c>
      <c r="FK24">
        <v>500</v>
      </c>
      <c r="FL24">
        <v>17.149699999999999</v>
      </c>
      <c r="FM24">
        <v>100.744</v>
      </c>
      <c r="FN24">
        <v>101.315</v>
      </c>
    </row>
    <row r="25" spans="1:170" x14ac:dyDescent="0.25">
      <c r="A25">
        <v>9</v>
      </c>
      <c r="B25">
        <v>1596826016.7</v>
      </c>
      <c r="C25">
        <v>998.60000014305103</v>
      </c>
      <c r="D25" t="s">
        <v>324</v>
      </c>
      <c r="E25" t="s">
        <v>325</v>
      </c>
      <c r="G25">
        <v>1596826008.7</v>
      </c>
      <c r="H25">
        <f t="shared" si="0"/>
        <v>4.9795186435547586E-3</v>
      </c>
      <c r="I25">
        <f t="shared" si="1"/>
        <v>40.564689190240557</v>
      </c>
      <c r="J25">
        <f t="shared" si="2"/>
        <v>582.65477419354795</v>
      </c>
      <c r="K25">
        <f t="shared" si="3"/>
        <v>347.52899454032547</v>
      </c>
      <c r="L25">
        <f t="shared" si="4"/>
        <v>34.728633006565907</v>
      </c>
      <c r="M25">
        <f t="shared" si="5"/>
        <v>58.22479315504512</v>
      </c>
      <c r="N25">
        <f t="shared" si="6"/>
        <v>0.30419937839069272</v>
      </c>
      <c r="O25">
        <f t="shared" si="7"/>
        <v>3.3933376196430745</v>
      </c>
      <c r="P25">
        <f t="shared" si="8"/>
        <v>0.28982063899436833</v>
      </c>
      <c r="Q25">
        <f t="shared" si="9"/>
        <v>0.18237312370704159</v>
      </c>
      <c r="R25">
        <f t="shared" si="10"/>
        <v>353.33556919749998</v>
      </c>
      <c r="S25">
        <f t="shared" si="11"/>
        <v>26.971591106868257</v>
      </c>
      <c r="T25">
        <f t="shared" si="12"/>
        <v>26.974103225806498</v>
      </c>
      <c r="U25">
        <f t="shared" si="13"/>
        <v>3.5737194691027989</v>
      </c>
      <c r="V25">
        <f t="shared" si="14"/>
        <v>55.483225636258318</v>
      </c>
      <c r="W25">
        <f t="shared" si="15"/>
        <v>1.9038371232983029</v>
      </c>
      <c r="X25">
        <f t="shared" si="16"/>
        <v>3.4313742603568897</v>
      </c>
      <c r="Y25">
        <f t="shared" si="17"/>
        <v>1.669882345804496</v>
      </c>
      <c r="Z25">
        <f t="shared" si="18"/>
        <v>-219.59677218076484</v>
      </c>
      <c r="AA25">
        <f t="shared" si="19"/>
        <v>-126.25509202043538</v>
      </c>
      <c r="AB25">
        <f t="shared" si="20"/>
        <v>-7.9999135990300188</v>
      </c>
      <c r="AC25">
        <f t="shared" si="21"/>
        <v>-0.51620860273028768</v>
      </c>
      <c r="AD25">
        <v>-4.1344513946322999E-2</v>
      </c>
      <c r="AE25">
        <v>4.6412838883098301E-2</v>
      </c>
      <c r="AF25">
        <v>3.46588999766217</v>
      </c>
      <c r="AG25">
        <v>144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52847.511029741363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265.15836000000002</v>
      </c>
      <c r="AT25">
        <v>385.09199999999998</v>
      </c>
      <c r="AU25">
        <f t="shared" si="27"/>
        <v>0.31144152566140038</v>
      </c>
      <c r="AV25">
        <v>0.5</v>
      </c>
      <c r="AW25">
        <f t="shared" si="28"/>
        <v>1849.1709674509211</v>
      </c>
      <c r="AX25">
        <f t="shared" si="29"/>
        <v>40.564689190240557</v>
      </c>
      <c r="AY25">
        <f t="shared" si="30"/>
        <v>287.9543136558413</v>
      </c>
      <c r="AZ25">
        <f t="shared" si="31"/>
        <v>0.54094086607875513</v>
      </c>
      <c r="BA25">
        <f t="shared" si="32"/>
        <v>2.2477472295348334E-2</v>
      </c>
      <c r="BB25">
        <f t="shared" si="33"/>
        <v>-1</v>
      </c>
      <c r="BC25" t="s">
        <v>327</v>
      </c>
      <c r="BD25">
        <v>176.78</v>
      </c>
      <c r="BE25">
        <f t="shared" si="34"/>
        <v>208.31199999999998</v>
      </c>
      <c r="BF25">
        <f t="shared" si="35"/>
        <v>0.57574042781980861</v>
      </c>
      <c r="BG25">
        <f t="shared" si="36"/>
        <v>2.1783685937323227</v>
      </c>
      <c r="BH25">
        <f t="shared" si="37"/>
        <v>0.31144152566140032</v>
      </c>
      <c r="BI25" t="e">
        <f t="shared" si="38"/>
        <v>#DIV/0!</v>
      </c>
      <c r="BJ25">
        <v>5835</v>
      </c>
      <c r="BK25">
        <v>300</v>
      </c>
      <c r="BL25">
        <v>300</v>
      </c>
      <c r="BM25">
        <v>300</v>
      </c>
      <c r="BN25">
        <v>9869.5300000000007</v>
      </c>
      <c r="BO25">
        <v>346.87200000000001</v>
      </c>
      <c r="BP25">
        <v>-6.4010300000000003E-3</v>
      </c>
      <c r="BQ25">
        <v>0.34942600000000001</v>
      </c>
      <c r="BR25">
        <f t="shared" si="39"/>
        <v>2199.9825806451599</v>
      </c>
      <c r="BS25">
        <f t="shared" si="40"/>
        <v>1849.1709674509211</v>
      </c>
      <c r="BT25">
        <f t="shared" si="41"/>
        <v>0.84053891322568519</v>
      </c>
      <c r="BU25">
        <f t="shared" si="42"/>
        <v>0.1910778264513705</v>
      </c>
      <c r="BV25">
        <v>0.5</v>
      </c>
      <c r="BW25" t="s">
        <v>281</v>
      </c>
      <c r="BX25">
        <v>1596826008.7</v>
      </c>
      <c r="BY25">
        <v>582.65477419354795</v>
      </c>
      <c r="BZ25">
        <v>600.03912903225796</v>
      </c>
      <c r="CA25">
        <v>19.051674193548401</v>
      </c>
      <c r="CB25">
        <v>17.098045161290301</v>
      </c>
      <c r="CC25">
        <v>500.059161290323</v>
      </c>
      <c r="CD25">
        <v>99.730187096774202</v>
      </c>
      <c r="CE25">
        <v>0.19998722580645201</v>
      </c>
      <c r="CF25">
        <v>26.283964516129</v>
      </c>
      <c r="CG25">
        <v>26.974103225806498</v>
      </c>
      <c r="CH25">
        <v>999.9</v>
      </c>
      <c r="CI25">
        <v>9997.4048387096791</v>
      </c>
      <c r="CJ25">
        <v>0</v>
      </c>
      <c r="CK25">
        <v>423.87461290322602</v>
      </c>
      <c r="CL25">
        <v>2199.9825806451599</v>
      </c>
      <c r="CM25">
        <v>0.98199519354838705</v>
      </c>
      <c r="CN25">
        <v>1.8004458064516098E-2</v>
      </c>
      <c r="CO25">
        <v>0</v>
      </c>
      <c r="CP25">
        <v>265.18122580645201</v>
      </c>
      <c r="CQ25">
        <v>5.00054</v>
      </c>
      <c r="CR25">
        <v>8978.57096774194</v>
      </c>
      <c r="CS25">
        <v>20590.341935483899</v>
      </c>
      <c r="CT25">
        <v>49.249806451612898</v>
      </c>
      <c r="CU25">
        <v>51.832322580645098</v>
      </c>
      <c r="CV25">
        <v>49.899000000000001</v>
      </c>
      <c r="CW25">
        <v>50.354612903225799</v>
      </c>
      <c r="CX25">
        <v>50.578258064516099</v>
      </c>
      <c r="CY25">
        <v>2155.46258064516</v>
      </c>
      <c r="CZ25">
        <v>39.520000000000003</v>
      </c>
      <c r="DA25">
        <v>0</v>
      </c>
      <c r="DB25">
        <v>144.200000047684</v>
      </c>
      <c r="DC25">
        <v>265.15836000000002</v>
      </c>
      <c r="DD25">
        <v>-1.98846153619973</v>
      </c>
      <c r="DE25">
        <v>-45.452307720371202</v>
      </c>
      <c r="DF25">
        <v>8978.1427999999996</v>
      </c>
      <c r="DG25">
        <v>15</v>
      </c>
      <c r="DH25">
        <v>1596826040.2</v>
      </c>
      <c r="DI25" t="s">
        <v>328</v>
      </c>
      <c r="DJ25">
        <v>68</v>
      </c>
      <c r="DK25">
        <v>-0.26100000000000001</v>
      </c>
      <c r="DL25">
        <v>0.114</v>
      </c>
      <c r="DM25">
        <v>600</v>
      </c>
      <c r="DN25">
        <v>17</v>
      </c>
      <c r="DO25">
        <v>0.28000000000000003</v>
      </c>
      <c r="DP25">
        <v>0.04</v>
      </c>
      <c r="DQ25">
        <v>582.56759615384601</v>
      </c>
      <c r="DR25">
        <v>0.50206266541454603</v>
      </c>
      <c r="DS25">
        <v>7.0583627327766602E-2</v>
      </c>
      <c r="DT25">
        <v>0</v>
      </c>
      <c r="DU25">
        <v>19.053898076923101</v>
      </c>
      <c r="DV25">
        <v>-5.3084094595756602E-2</v>
      </c>
      <c r="DW25">
        <v>3.7521714176770901E-2</v>
      </c>
      <c r="DX25">
        <v>1</v>
      </c>
      <c r="DY25">
        <v>1</v>
      </c>
      <c r="DZ25">
        <v>2</v>
      </c>
      <c r="EA25" t="s">
        <v>329</v>
      </c>
      <c r="EB25">
        <v>1.86676</v>
      </c>
      <c r="EC25">
        <v>1.8632500000000001</v>
      </c>
      <c r="ED25">
        <v>1.8689100000000001</v>
      </c>
      <c r="EE25">
        <v>1.86683</v>
      </c>
      <c r="EF25">
        <v>1.8714900000000001</v>
      </c>
      <c r="EG25">
        <v>1.8640099999999999</v>
      </c>
      <c r="EH25">
        <v>1.8655999999999999</v>
      </c>
      <c r="EI25">
        <v>1.86554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-0.26100000000000001</v>
      </c>
      <c r="EX25">
        <v>0.114</v>
      </c>
      <c r="EY25">
        <v>2</v>
      </c>
      <c r="EZ25">
        <v>338.23500000000001</v>
      </c>
      <c r="FA25">
        <v>491.34199999999998</v>
      </c>
      <c r="FB25">
        <v>20.285699999999999</v>
      </c>
      <c r="FC25">
        <v>33.816099999999999</v>
      </c>
      <c r="FD25">
        <v>30.001100000000001</v>
      </c>
      <c r="FE25">
        <v>33.827599999999997</v>
      </c>
      <c r="FF25">
        <v>33.838500000000003</v>
      </c>
      <c r="FG25">
        <v>30.6</v>
      </c>
      <c r="FH25">
        <v>44.919800000000002</v>
      </c>
      <c r="FI25">
        <v>0</v>
      </c>
      <c r="FJ25">
        <v>20.2789</v>
      </c>
      <c r="FK25">
        <v>600</v>
      </c>
      <c r="FL25">
        <v>17.001799999999999</v>
      </c>
      <c r="FM25">
        <v>100.74</v>
      </c>
      <c r="FN25">
        <v>101.307</v>
      </c>
    </row>
    <row r="26" spans="1:170" x14ac:dyDescent="0.25">
      <c r="A26">
        <v>10</v>
      </c>
      <c r="B26">
        <v>1596826133.2</v>
      </c>
      <c r="C26">
        <v>1115.10000014305</v>
      </c>
      <c r="D26" t="s">
        <v>330</v>
      </c>
      <c r="E26" t="s">
        <v>331</v>
      </c>
      <c r="G26">
        <v>1596826125.2</v>
      </c>
      <c r="H26">
        <f t="shared" si="0"/>
        <v>4.3540992259542312E-3</v>
      </c>
      <c r="I26">
        <f t="shared" si="1"/>
        <v>44.954252042470841</v>
      </c>
      <c r="J26">
        <f t="shared" si="2"/>
        <v>680.82564516129003</v>
      </c>
      <c r="K26">
        <f t="shared" si="3"/>
        <v>382.56234469502431</v>
      </c>
      <c r="L26">
        <f t="shared" si="4"/>
        <v>38.229221816387849</v>
      </c>
      <c r="M26">
        <f t="shared" si="5"/>
        <v>68.034491549096884</v>
      </c>
      <c r="N26">
        <f t="shared" si="6"/>
        <v>0.26289590391800138</v>
      </c>
      <c r="O26">
        <f t="shared" si="7"/>
        <v>3.3908906616514938</v>
      </c>
      <c r="P26">
        <f t="shared" si="8"/>
        <v>0.25207464848859429</v>
      </c>
      <c r="Q26">
        <f t="shared" si="9"/>
        <v>0.15848178565830068</v>
      </c>
      <c r="R26">
        <f t="shared" si="10"/>
        <v>353.33912189713215</v>
      </c>
      <c r="S26">
        <f t="shared" si="11"/>
        <v>27.085089655545698</v>
      </c>
      <c r="T26">
        <f t="shared" si="12"/>
        <v>26.9769516129032</v>
      </c>
      <c r="U26">
        <f t="shared" si="13"/>
        <v>3.5743174859721134</v>
      </c>
      <c r="V26">
        <f t="shared" si="14"/>
        <v>55.333808011417851</v>
      </c>
      <c r="W26">
        <f t="shared" si="15"/>
        <v>1.8954716331888648</v>
      </c>
      <c r="X26">
        <f t="shared" si="16"/>
        <v>3.4255217584116817</v>
      </c>
      <c r="Y26">
        <f t="shared" si="17"/>
        <v>1.6788458527832486</v>
      </c>
      <c r="Z26">
        <f t="shared" si="18"/>
        <v>-192.0157758645816</v>
      </c>
      <c r="AA26">
        <f t="shared" si="19"/>
        <v>-131.96914110025313</v>
      </c>
      <c r="AB26">
        <f t="shared" si="20"/>
        <v>-8.3669171412890506</v>
      </c>
      <c r="AC26">
        <f t="shared" si="21"/>
        <v>20.987287791008384</v>
      </c>
      <c r="AD26">
        <v>-4.13066213360158E-2</v>
      </c>
      <c r="AE26">
        <v>4.6370301108453603E-2</v>
      </c>
      <c r="AF26">
        <v>3.46337654477865</v>
      </c>
      <c r="AG26">
        <v>145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52806.128534197596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332</v>
      </c>
      <c r="AS26">
        <v>270.65512000000001</v>
      </c>
      <c r="AT26">
        <v>395.69200000000001</v>
      </c>
      <c r="AU26">
        <f t="shared" si="27"/>
        <v>0.3159954712250943</v>
      </c>
      <c r="AV26">
        <v>0.5</v>
      </c>
      <c r="AW26">
        <f t="shared" si="28"/>
        <v>1849.1896643989621</v>
      </c>
      <c r="AX26">
        <f t="shared" si="29"/>
        <v>44.954252042470841</v>
      </c>
      <c r="AY26">
        <f t="shared" si="30"/>
        <v>292.167779693162</v>
      </c>
      <c r="AZ26">
        <f t="shared" si="31"/>
        <v>0.54221970623616356</v>
      </c>
      <c r="BA26">
        <f t="shared" si="32"/>
        <v>2.4851021464803204E-2</v>
      </c>
      <c r="BB26">
        <f t="shared" si="33"/>
        <v>-1</v>
      </c>
      <c r="BC26" t="s">
        <v>333</v>
      </c>
      <c r="BD26">
        <v>181.14</v>
      </c>
      <c r="BE26">
        <f t="shared" si="34"/>
        <v>214.55200000000002</v>
      </c>
      <c r="BF26">
        <f t="shared" si="35"/>
        <v>0.58278123718259434</v>
      </c>
      <c r="BG26">
        <f t="shared" si="36"/>
        <v>2.1844540134702441</v>
      </c>
      <c r="BH26">
        <f t="shared" si="37"/>
        <v>0.31599547122509425</v>
      </c>
      <c r="BI26" t="e">
        <f t="shared" si="38"/>
        <v>#DIV/0!</v>
      </c>
      <c r="BJ26">
        <v>5837</v>
      </c>
      <c r="BK26">
        <v>300</v>
      </c>
      <c r="BL26">
        <v>300</v>
      </c>
      <c r="BM26">
        <v>300</v>
      </c>
      <c r="BN26">
        <v>9869.36</v>
      </c>
      <c r="BO26">
        <v>359.63499999999999</v>
      </c>
      <c r="BP26">
        <v>-6.4010400000000002E-3</v>
      </c>
      <c r="BQ26">
        <v>0.73953199999999997</v>
      </c>
      <c r="BR26">
        <f t="shared" si="39"/>
        <v>2200.0048387096799</v>
      </c>
      <c r="BS26">
        <f t="shared" si="40"/>
        <v>1849.1896643989621</v>
      </c>
      <c r="BT26">
        <f t="shared" si="41"/>
        <v>0.84053890785236929</v>
      </c>
      <c r="BU26">
        <f t="shared" si="42"/>
        <v>0.1910778157047385</v>
      </c>
      <c r="BV26">
        <v>0.5</v>
      </c>
      <c r="BW26" t="s">
        <v>281</v>
      </c>
      <c r="BX26">
        <v>1596826125.2</v>
      </c>
      <c r="BY26">
        <v>680.82564516129003</v>
      </c>
      <c r="BZ26">
        <v>699.99048387096798</v>
      </c>
      <c r="CA26">
        <v>18.968109677419399</v>
      </c>
      <c r="CB26">
        <v>17.2597387096774</v>
      </c>
      <c r="CC26">
        <v>500.06822580645201</v>
      </c>
      <c r="CD26">
        <v>99.729348387096806</v>
      </c>
      <c r="CE26">
        <v>0.20004180645161301</v>
      </c>
      <c r="CF26">
        <v>26.255058064516099</v>
      </c>
      <c r="CG26">
        <v>26.9769516129032</v>
      </c>
      <c r="CH26">
        <v>999.9</v>
      </c>
      <c r="CI26">
        <v>9988.3261290322607</v>
      </c>
      <c r="CJ26">
        <v>0</v>
      </c>
      <c r="CK26">
        <v>424.248032258065</v>
      </c>
      <c r="CL26">
        <v>2200.0048387096799</v>
      </c>
      <c r="CM26">
        <v>0.98199538709677403</v>
      </c>
      <c r="CN26">
        <v>1.8004316129032302E-2</v>
      </c>
      <c r="CO26">
        <v>0</v>
      </c>
      <c r="CP26">
        <v>270.63158064516102</v>
      </c>
      <c r="CQ26">
        <v>5.00054</v>
      </c>
      <c r="CR26">
        <v>9089.1248387096803</v>
      </c>
      <c r="CS26">
        <v>20590.558064516099</v>
      </c>
      <c r="CT26">
        <v>49.281967741935503</v>
      </c>
      <c r="CU26">
        <v>51.912999999999997</v>
      </c>
      <c r="CV26">
        <v>49.971483870967703</v>
      </c>
      <c r="CW26">
        <v>50.433129032258002</v>
      </c>
      <c r="CX26">
        <v>50.646935483870998</v>
      </c>
      <c r="CY26">
        <v>2155.48451612903</v>
      </c>
      <c r="CZ26">
        <v>39.520000000000003</v>
      </c>
      <c r="DA26">
        <v>0</v>
      </c>
      <c r="DB26">
        <v>115.799999952316</v>
      </c>
      <c r="DC26">
        <v>270.65512000000001</v>
      </c>
      <c r="DD26">
        <v>-1.0231538355983001</v>
      </c>
      <c r="DE26">
        <v>-23.666153732391699</v>
      </c>
      <c r="DF26">
        <v>9089.2124000000003</v>
      </c>
      <c r="DG26">
        <v>15</v>
      </c>
      <c r="DH26">
        <v>1596826159.7</v>
      </c>
      <c r="DI26" t="s">
        <v>334</v>
      </c>
      <c r="DJ26">
        <v>69</v>
      </c>
      <c r="DK26">
        <v>-0.221</v>
      </c>
      <c r="DL26">
        <v>0.115</v>
      </c>
      <c r="DM26">
        <v>700</v>
      </c>
      <c r="DN26">
        <v>17</v>
      </c>
      <c r="DO26">
        <v>0.15</v>
      </c>
      <c r="DP26">
        <v>0.06</v>
      </c>
      <c r="DQ26">
        <v>680.76313461538496</v>
      </c>
      <c r="DR26">
        <v>0.27079142832762698</v>
      </c>
      <c r="DS26">
        <v>4.0923018182434601E-2</v>
      </c>
      <c r="DT26">
        <v>1</v>
      </c>
      <c r="DU26">
        <v>18.956855769230799</v>
      </c>
      <c r="DV26">
        <v>0.107005720140046</v>
      </c>
      <c r="DW26">
        <v>1.4069599161388099E-2</v>
      </c>
      <c r="DX26">
        <v>1</v>
      </c>
      <c r="DY26">
        <v>2</v>
      </c>
      <c r="DZ26">
        <v>2</v>
      </c>
      <c r="EA26" t="s">
        <v>293</v>
      </c>
      <c r="EB26">
        <v>1.86676</v>
      </c>
      <c r="EC26">
        <v>1.8632500000000001</v>
      </c>
      <c r="ED26">
        <v>1.86894</v>
      </c>
      <c r="EE26">
        <v>1.8668899999999999</v>
      </c>
      <c r="EF26">
        <v>1.87157</v>
      </c>
      <c r="EG26">
        <v>1.8640099999999999</v>
      </c>
      <c r="EH26">
        <v>1.86564</v>
      </c>
      <c r="EI26">
        <v>1.86554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-0.221</v>
      </c>
      <c r="EX26">
        <v>0.115</v>
      </c>
      <c r="EY26">
        <v>2</v>
      </c>
      <c r="EZ26">
        <v>337.53699999999998</v>
      </c>
      <c r="FA26">
        <v>491.30900000000003</v>
      </c>
      <c r="FB26">
        <v>20.278500000000001</v>
      </c>
      <c r="FC26">
        <v>33.898000000000003</v>
      </c>
      <c r="FD26">
        <v>29.997199999999999</v>
      </c>
      <c r="FE26">
        <v>33.889099999999999</v>
      </c>
      <c r="FF26">
        <v>33.896299999999997</v>
      </c>
      <c r="FG26">
        <v>34.655900000000003</v>
      </c>
      <c r="FH26">
        <v>44.152999999999999</v>
      </c>
      <c r="FI26">
        <v>0</v>
      </c>
      <c r="FJ26">
        <v>20.350200000000001</v>
      </c>
      <c r="FK26">
        <v>700</v>
      </c>
      <c r="FL26">
        <v>17.0867</v>
      </c>
      <c r="FM26">
        <v>100.723</v>
      </c>
      <c r="FN26">
        <v>101.286</v>
      </c>
    </row>
    <row r="27" spans="1:170" x14ac:dyDescent="0.25">
      <c r="A27">
        <v>11</v>
      </c>
      <c r="B27">
        <v>1596826264.7</v>
      </c>
      <c r="C27">
        <v>1246.60000014305</v>
      </c>
      <c r="D27" t="s">
        <v>335</v>
      </c>
      <c r="E27" t="s">
        <v>336</v>
      </c>
      <c r="G27">
        <v>1596826256.7</v>
      </c>
      <c r="H27">
        <f t="shared" si="0"/>
        <v>4.0148652534992358E-3</v>
      </c>
      <c r="I27">
        <f t="shared" si="1"/>
        <v>47.198030849996769</v>
      </c>
      <c r="J27">
        <f t="shared" si="2"/>
        <v>779.90812903225799</v>
      </c>
      <c r="K27">
        <f t="shared" si="3"/>
        <v>436.11898772144832</v>
      </c>
      <c r="L27">
        <f t="shared" si="4"/>
        <v>43.579654610223102</v>
      </c>
      <c r="M27">
        <f t="shared" si="5"/>
        <v>77.93315092403067</v>
      </c>
      <c r="N27">
        <f t="shared" si="6"/>
        <v>0.23872900180301956</v>
      </c>
      <c r="O27">
        <f t="shared" si="7"/>
        <v>3.3948775308265411</v>
      </c>
      <c r="P27">
        <f t="shared" si="8"/>
        <v>0.22977944445532456</v>
      </c>
      <c r="Q27">
        <f t="shared" si="9"/>
        <v>0.14438828163657202</v>
      </c>
      <c r="R27">
        <f t="shared" si="10"/>
        <v>353.33932750640901</v>
      </c>
      <c r="S27">
        <f t="shared" si="11"/>
        <v>27.173509344524575</v>
      </c>
      <c r="T27">
        <f t="shared" si="12"/>
        <v>27.033609677419399</v>
      </c>
      <c r="U27">
        <f t="shared" si="13"/>
        <v>3.5862309708918962</v>
      </c>
      <c r="V27">
        <f t="shared" si="14"/>
        <v>55.07747486220488</v>
      </c>
      <c r="W27">
        <f t="shared" si="15"/>
        <v>1.8880791576559373</v>
      </c>
      <c r="X27">
        <f t="shared" si="16"/>
        <v>3.4280423392314412</v>
      </c>
      <c r="Y27">
        <f t="shared" si="17"/>
        <v>1.698151813235959</v>
      </c>
      <c r="Z27">
        <f t="shared" si="18"/>
        <v>-177.05555767931631</v>
      </c>
      <c r="AA27">
        <f t="shared" si="19"/>
        <v>-140.2145843422083</v>
      </c>
      <c r="AB27">
        <f t="shared" si="20"/>
        <v>-8.8823172557403893</v>
      </c>
      <c r="AC27">
        <f t="shared" si="21"/>
        <v>27.186868229144039</v>
      </c>
      <c r="AD27">
        <v>-4.1368366716487401E-2</v>
      </c>
      <c r="AE27">
        <v>4.6439615707225303E-2</v>
      </c>
      <c r="AF27">
        <v>3.4674717662780399</v>
      </c>
      <c r="AG27">
        <v>144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52879.571076322551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271.54888</v>
      </c>
      <c r="AT27">
        <v>401.83800000000002</v>
      </c>
      <c r="AU27">
        <f t="shared" si="27"/>
        <v>0.32423294959660365</v>
      </c>
      <c r="AV27">
        <v>0.5</v>
      </c>
      <c r="AW27">
        <f t="shared" si="28"/>
        <v>1849.1907480960886</v>
      </c>
      <c r="AX27">
        <f t="shared" si="29"/>
        <v>47.198030849996769</v>
      </c>
      <c r="AY27">
        <f t="shared" si="30"/>
        <v>299.78428531097245</v>
      </c>
      <c r="AZ27">
        <f t="shared" si="31"/>
        <v>0.55414868678422646</v>
      </c>
      <c r="BA27">
        <f t="shared" si="32"/>
        <v>2.6064391085463229E-2</v>
      </c>
      <c r="BB27">
        <f t="shared" si="33"/>
        <v>-1</v>
      </c>
      <c r="BC27" t="s">
        <v>338</v>
      </c>
      <c r="BD27">
        <v>179.16</v>
      </c>
      <c r="BE27">
        <f t="shared" si="34"/>
        <v>222.67800000000003</v>
      </c>
      <c r="BF27">
        <f t="shared" si="35"/>
        <v>0.58510099785340275</v>
      </c>
      <c r="BG27">
        <f t="shared" si="36"/>
        <v>2.2429002009377097</v>
      </c>
      <c r="BH27">
        <f t="shared" si="37"/>
        <v>0.32423294959660365</v>
      </c>
      <c r="BI27" t="e">
        <f t="shared" si="38"/>
        <v>#DIV/0!</v>
      </c>
      <c r="BJ27">
        <v>5839</v>
      </c>
      <c r="BK27">
        <v>300</v>
      </c>
      <c r="BL27">
        <v>300</v>
      </c>
      <c r="BM27">
        <v>300</v>
      </c>
      <c r="BN27">
        <v>9869.25</v>
      </c>
      <c r="BO27">
        <v>362.02199999999999</v>
      </c>
      <c r="BP27">
        <v>-6.4008199999999998E-3</v>
      </c>
      <c r="BQ27">
        <v>0.92895499999999998</v>
      </c>
      <c r="BR27">
        <f t="shared" si="39"/>
        <v>2200.0061290322601</v>
      </c>
      <c r="BS27">
        <f t="shared" si="40"/>
        <v>1849.1907480960886</v>
      </c>
      <c r="BT27">
        <f t="shared" si="41"/>
        <v>0.84053890745727677</v>
      </c>
      <c r="BU27">
        <f t="shared" si="42"/>
        <v>0.19107781491455345</v>
      </c>
      <c r="BV27">
        <v>0.5</v>
      </c>
      <c r="BW27" t="s">
        <v>281</v>
      </c>
      <c r="BX27">
        <v>1596826256.7</v>
      </c>
      <c r="BY27">
        <v>779.90812903225799</v>
      </c>
      <c r="BZ27">
        <v>800.03729032258104</v>
      </c>
      <c r="CA27">
        <v>18.894761290322599</v>
      </c>
      <c r="CB27">
        <v>17.319358064516098</v>
      </c>
      <c r="CC27">
        <v>500.06312903225802</v>
      </c>
      <c r="CD27">
        <v>99.726080645161304</v>
      </c>
      <c r="CE27">
        <v>0.19998503225806399</v>
      </c>
      <c r="CF27">
        <v>26.2675129032258</v>
      </c>
      <c r="CG27">
        <v>27.033609677419399</v>
      </c>
      <c r="CH27">
        <v>999.9</v>
      </c>
      <c r="CI27">
        <v>10003.584516129</v>
      </c>
      <c r="CJ27">
        <v>0</v>
      </c>
      <c r="CK27">
        <v>420.47370967741898</v>
      </c>
      <c r="CL27">
        <v>2200.0061290322601</v>
      </c>
      <c r="CM27">
        <v>0.98199548387096802</v>
      </c>
      <c r="CN27">
        <v>1.8004245161290299E-2</v>
      </c>
      <c r="CO27">
        <v>0</v>
      </c>
      <c r="CP27">
        <v>271.60045161290299</v>
      </c>
      <c r="CQ27">
        <v>5.00054</v>
      </c>
      <c r="CR27">
        <v>9108.0474193548398</v>
      </c>
      <c r="CS27">
        <v>20590.567741935502</v>
      </c>
      <c r="CT27">
        <v>49.3223870967742</v>
      </c>
      <c r="CU27">
        <v>51.941129032257997</v>
      </c>
      <c r="CV27">
        <v>49.991677419354801</v>
      </c>
      <c r="CW27">
        <v>50.4694516129032</v>
      </c>
      <c r="CX27">
        <v>50.669129032258098</v>
      </c>
      <c r="CY27">
        <v>2155.4861290322601</v>
      </c>
      <c r="CZ27">
        <v>39.520000000000003</v>
      </c>
      <c r="DA27">
        <v>0</v>
      </c>
      <c r="DB27">
        <v>131.09999990463299</v>
      </c>
      <c r="DC27">
        <v>271.54888</v>
      </c>
      <c r="DD27">
        <v>-2.4651538371393502</v>
      </c>
      <c r="DE27">
        <v>-89.799230721486595</v>
      </c>
      <c r="DF27">
        <v>9106.4467999999997</v>
      </c>
      <c r="DG27">
        <v>15</v>
      </c>
      <c r="DH27">
        <v>1596826298.7</v>
      </c>
      <c r="DI27" t="s">
        <v>339</v>
      </c>
      <c r="DJ27">
        <v>70</v>
      </c>
      <c r="DK27">
        <v>-0.34799999999999998</v>
      </c>
      <c r="DL27">
        <v>0.12</v>
      </c>
      <c r="DM27">
        <v>800</v>
      </c>
      <c r="DN27">
        <v>17</v>
      </c>
      <c r="DO27">
        <v>0.23</v>
      </c>
      <c r="DP27">
        <v>0.05</v>
      </c>
      <c r="DQ27">
        <v>780.01526923076904</v>
      </c>
      <c r="DR27">
        <v>0.25900756738130198</v>
      </c>
      <c r="DS27">
        <v>9.7385260965172193E-2</v>
      </c>
      <c r="DT27">
        <v>1</v>
      </c>
      <c r="DU27">
        <v>18.89695</v>
      </c>
      <c r="DV27">
        <v>-7.4841460516205396E-2</v>
      </c>
      <c r="DW27">
        <v>9.4267316303570797E-3</v>
      </c>
      <c r="DX27">
        <v>1</v>
      </c>
      <c r="DY27">
        <v>2</v>
      </c>
      <c r="DZ27">
        <v>2</v>
      </c>
      <c r="EA27" t="s">
        <v>293</v>
      </c>
      <c r="EB27">
        <v>1.8667499999999999</v>
      </c>
      <c r="EC27">
        <v>1.8632500000000001</v>
      </c>
      <c r="ED27">
        <v>1.8689100000000001</v>
      </c>
      <c r="EE27">
        <v>1.8668100000000001</v>
      </c>
      <c r="EF27">
        <v>1.8714900000000001</v>
      </c>
      <c r="EG27">
        <v>1.86399</v>
      </c>
      <c r="EH27">
        <v>1.86557</v>
      </c>
      <c r="EI27">
        <v>1.8655299999999999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-0.34799999999999998</v>
      </c>
      <c r="EX27">
        <v>0.12</v>
      </c>
      <c r="EY27">
        <v>2</v>
      </c>
      <c r="EZ27">
        <v>337.71600000000001</v>
      </c>
      <c r="FA27">
        <v>491.70100000000002</v>
      </c>
      <c r="FB27">
        <v>19.840199999999999</v>
      </c>
      <c r="FC27">
        <v>33.8996</v>
      </c>
      <c r="FD27">
        <v>30.0001</v>
      </c>
      <c r="FE27">
        <v>33.910400000000003</v>
      </c>
      <c r="FF27">
        <v>33.919800000000002</v>
      </c>
      <c r="FG27">
        <v>38.603000000000002</v>
      </c>
      <c r="FH27">
        <v>43.241799999999998</v>
      </c>
      <c r="FI27">
        <v>0</v>
      </c>
      <c r="FJ27">
        <v>19.828900000000001</v>
      </c>
      <c r="FK27">
        <v>800</v>
      </c>
      <c r="FL27">
        <v>17.3537</v>
      </c>
      <c r="FM27">
        <v>100.71899999999999</v>
      </c>
      <c r="FN27">
        <v>101.28400000000001</v>
      </c>
    </row>
    <row r="28" spans="1:170" x14ac:dyDescent="0.25">
      <c r="A28">
        <v>12</v>
      </c>
      <c r="B28">
        <v>1596826390.7</v>
      </c>
      <c r="C28">
        <v>1372.60000014305</v>
      </c>
      <c r="D28" t="s">
        <v>340</v>
      </c>
      <c r="E28" t="s">
        <v>341</v>
      </c>
      <c r="G28">
        <v>1596826382.7032299</v>
      </c>
      <c r="H28">
        <f t="shared" si="0"/>
        <v>3.8840973266229205E-3</v>
      </c>
      <c r="I28">
        <f t="shared" si="1"/>
        <v>52.317962102900921</v>
      </c>
      <c r="J28">
        <f t="shared" si="2"/>
        <v>977.56835483870998</v>
      </c>
      <c r="K28">
        <f t="shared" si="3"/>
        <v>581.47697695240413</v>
      </c>
      <c r="L28">
        <f t="shared" si="4"/>
        <v>58.104968985028371</v>
      </c>
      <c r="M28">
        <f t="shared" si="5"/>
        <v>97.68500076538345</v>
      </c>
      <c r="N28">
        <f t="shared" si="6"/>
        <v>0.23077919583739423</v>
      </c>
      <c r="O28">
        <f t="shared" si="7"/>
        <v>3.3946440274216227</v>
      </c>
      <c r="P28">
        <f t="shared" si="8"/>
        <v>0.22240396403333768</v>
      </c>
      <c r="Q28">
        <f t="shared" si="9"/>
        <v>0.1397296358756748</v>
      </c>
      <c r="R28">
        <f t="shared" si="10"/>
        <v>353.33505436066355</v>
      </c>
      <c r="S28">
        <f t="shared" si="11"/>
        <v>27.050900105100997</v>
      </c>
      <c r="T28">
        <f t="shared" si="12"/>
        <v>26.961283870967701</v>
      </c>
      <c r="U28">
        <f t="shared" si="13"/>
        <v>3.5710291355172084</v>
      </c>
      <c r="V28">
        <f t="shared" si="14"/>
        <v>55.144648565567564</v>
      </c>
      <c r="W28">
        <f t="shared" si="15"/>
        <v>1.8734384566866042</v>
      </c>
      <c r="X28">
        <f t="shared" si="16"/>
        <v>3.3973168846276467</v>
      </c>
      <c r="Y28">
        <f t="shared" si="17"/>
        <v>1.6975906788306041</v>
      </c>
      <c r="Z28">
        <f t="shared" si="18"/>
        <v>-171.2886921040708</v>
      </c>
      <c r="AA28">
        <f t="shared" si="19"/>
        <v>-154.85416919386452</v>
      </c>
      <c r="AB28">
        <f t="shared" si="20"/>
        <v>-9.7993538536340488</v>
      </c>
      <c r="AC28">
        <f t="shared" si="21"/>
        <v>17.392839209094177</v>
      </c>
      <c r="AD28">
        <v>-4.1364749503266997E-2</v>
      </c>
      <c r="AE28">
        <v>4.6435555068500202E-2</v>
      </c>
      <c r="AF28">
        <v>3.46723191529769</v>
      </c>
      <c r="AG28">
        <v>144</v>
      </c>
      <c r="AH28">
        <v>29</v>
      </c>
      <c r="AI28">
        <f t="shared" si="22"/>
        <v>1</v>
      </c>
      <c r="AJ28">
        <f t="shared" si="23"/>
        <v>0</v>
      </c>
      <c r="AK28">
        <f t="shared" si="24"/>
        <v>52902.081225806432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271.50619999999998</v>
      </c>
      <c r="AT28">
        <v>398.029</v>
      </c>
      <c r="AU28">
        <f t="shared" si="27"/>
        <v>0.31787332078818387</v>
      </c>
      <c r="AV28">
        <v>0.5</v>
      </c>
      <c r="AW28">
        <f t="shared" si="28"/>
        <v>1849.1682577735028</v>
      </c>
      <c r="AX28">
        <f t="shared" si="29"/>
        <v>52.317962102900921</v>
      </c>
      <c r="AY28">
        <f t="shared" si="30"/>
        <v>293.90062739728188</v>
      </c>
      <c r="AZ28">
        <f t="shared" si="31"/>
        <v>0.55259541390200206</v>
      </c>
      <c r="BA28">
        <f t="shared" si="32"/>
        <v>2.8833483312707624E-2</v>
      </c>
      <c r="BB28">
        <f t="shared" si="33"/>
        <v>-1</v>
      </c>
      <c r="BC28" t="s">
        <v>343</v>
      </c>
      <c r="BD28">
        <v>178.08</v>
      </c>
      <c r="BE28">
        <f t="shared" si="34"/>
        <v>219.94899999999998</v>
      </c>
      <c r="BF28">
        <f t="shared" si="35"/>
        <v>0.57523698675602086</v>
      </c>
      <c r="BG28">
        <f t="shared" si="36"/>
        <v>2.2351134321653188</v>
      </c>
      <c r="BH28">
        <f t="shared" si="37"/>
        <v>0.31787332078818381</v>
      </c>
      <c r="BI28" t="e">
        <f t="shared" si="38"/>
        <v>#DIV/0!</v>
      </c>
      <c r="BJ28">
        <v>5841</v>
      </c>
      <c r="BK28">
        <v>300</v>
      </c>
      <c r="BL28">
        <v>300</v>
      </c>
      <c r="BM28">
        <v>300</v>
      </c>
      <c r="BN28">
        <v>9869.69</v>
      </c>
      <c r="BO28">
        <v>361.50400000000002</v>
      </c>
      <c r="BP28">
        <v>-6.4011600000000004E-3</v>
      </c>
      <c r="BQ28">
        <v>1.2539400000000001</v>
      </c>
      <c r="BR28">
        <f t="shared" si="39"/>
        <v>2199.9793548387102</v>
      </c>
      <c r="BS28">
        <f t="shared" si="40"/>
        <v>1849.1682577735028</v>
      </c>
      <c r="BT28">
        <f t="shared" si="41"/>
        <v>0.84053891401588776</v>
      </c>
      <c r="BU28">
        <f t="shared" si="42"/>
        <v>0.19107782803177564</v>
      </c>
      <c r="BV28">
        <v>0.5</v>
      </c>
      <c r="BW28" t="s">
        <v>281</v>
      </c>
      <c r="BX28">
        <v>1596826382.7032299</v>
      </c>
      <c r="BY28">
        <v>977.56835483870998</v>
      </c>
      <c r="BZ28">
        <v>1000.01093548387</v>
      </c>
      <c r="CA28">
        <v>18.748161290322599</v>
      </c>
      <c r="CB28">
        <v>17.223880645161302</v>
      </c>
      <c r="CC28">
        <v>500.07558064516098</v>
      </c>
      <c r="CD28">
        <v>99.726525806451605</v>
      </c>
      <c r="CE28">
        <v>0.19999112903225799</v>
      </c>
      <c r="CF28">
        <v>26.115141935483901</v>
      </c>
      <c r="CG28">
        <v>26.961283870967701</v>
      </c>
      <c r="CH28">
        <v>999.9</v>
      </c>
      <c r="CI28">
        <v>10002.665161290301</v>
      </c>
      <c r="CJ28">
        <v>0</v>
      </c>
      <c r="CK28">
        <v>419.68254838709697</v>
      </c>
      <c r="CL28">
        <v>2199.9793548387102</v>
      </c>
      <c r="CM28">
        <v>0.98199448387096799</v>
      </c>
      <c r="CN28">
        <v>1.8005141935483901E-2</v>
      </c>
      <c r="CO28">
        <v>0</v>
      </c>
      <c r="CP28">
        <v>271.59161290322601</v>
      </c>
      <c r="CQ28">
        <v>5.00054</v>
      </c>
      <c r="CR28">
        <v>9106.4148387096793</v>
      </c>
      <c r="CS28">
        <v>20590.3032258065</v>
      </c>
      <c r="CT28">
        <v>49.207387096774198</v>
      </c>
      <c r="CU28">
        <v>51.820129032258002</v>
      </c>
      <c r="CV28">
        <v>49.898935483871</v>
      </c>
      <c r="CW28">
        <v>50.348580645161299</v>
      </c>
      <c r="CX28">
        <v>50.570258064516104</v>
      </c>
      <c r="CY28">
        <v>2155.4593548387102</v>
      </c>
      <c r="CZ28">
        <v>39.520000000000003</v>
      </c>
      <c r="DA28">
        <v>0</v>
      </c>
      <c r="DB28">
        <v>125.59999990463299</v>
      </c>
      <c r="DC28">
        <v>271.50619999999998</v>
      </c>
      <c r="DD28">
        <v>-5.4020769062026899</v>
      </c>
      <c r="DE28">
        <v>-110.671538389888</v>
      </c>
      <c r="DF28">
        <v>9104.4171999999999</v>
      </c>
      <c r="DG28">
        <v>15</v>
      </c>
      <c r="DH28">
        <v>1596826431.2</v>
      </c>
      <c r="DI28" t="s">
        <v>344</v>
      </c>
      <c r="DJ28">
        <v>71</v>
      </c>
      <c r="DK28">
        <v>-0.34799999999999998</v>
      </c>
      <c r="DL28">
        <v>0.11799999999999999</v>
      </c>
      <c r="DM28">
        <v>800</v>
      </c>
      <c r="DN28">
        <v>17</v>
      </c>
      <c r="DO28">
        <v>0.23</v>
      </c>
      <c r="DP28">
        <v>0.05</v>
      </c>
      <c r="DQ28">
        <v>977.54840384615397</v>
      </c>
      <c r="DR28">
        <v>0.28562217225261799</v>
      </c>
      <c r="DS28">
        <v>4.2871570109670298E-2</v>
      </c>
      <c r="DT28">
        <v>1</v>
      </c>
      <c r="DU28">
        <v>18.754367307692299</v>
      </c>
      <c r="DV28">
        <v>-4.5004901040110401E-2</v>
      </c>
      <c r="DW28">
        <v>5.6555867938038297E-3</v>
      </c>
      <c r="DX28">
        <v>1</v>
      </c>
      <c r="DY28">
        <v>2</v>
      </c>
      <c r="DZ28">
        <v>2</v>
      </c>
      <c r="EA28" t="s">
        <v>293</v>
      </c>
      <c r="EB28">
        <v>1.86676</v>
      </c>
      <c r="EC28">
        <v>1.8632500000000001</v>
      </c>
      <c r="ED28">
        <v>1.8689100000000001</v>
      </c>
      <c r="EE28">
        <v>1.8669</v>
      </c>
      <c r="EF28">
        <v>1.87151</v>
      </c>
      <c r="EG28">
        <v>1.8640099999999999</v>
      </c>
      <c r="EH28">
        <v>1.86565</v>
      </c>
      <c r="EI28">
        <v>1.8655200000000001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-0.34799999999999998</v>
      </c>
      <c r="EX28">
        <v>0.11799999999999999</v>
      </c>
      <c r="EY28">
        <v>2</v>
      </c>
      <c r="EZ28">
        <v>337.74200000000002</v>
      </c>
      <c r="FA28">
        <v>492.31700000000001</v>
      </c>
      <c r="FB28">
        <v>20.3613</v>
      </c>
      <c r="FC28">
        <v>33.890500000000003</v>
      </c>
      <c r="FD28">
        <v>29.999700000000001</v>
      </c>
      <c r="FE28">
        <v>33.913499999999999</v>
      </c>
      <c r="FF28">
        <v>33.921199999999999</v>
      </c>
      <c r="FG28">
        <v>46.2044</v>
      </c>
      <c r="FH28">
        <v>43.593800000000002</v>
      </c>
      <c r="FI28">
        <v>0</v>
      </c>
      <c r="FJ28">
        <v>20.373000000000001</v>
      </c>
      <c r="FK28">
        <v>1000</v>
      </c>
      <c r="FL28">
        <v>17.249600000000001</v>
      </c>
      <c r="FM28">
        <v>100.72499999999999</v>
      </c>
      <c r="FN28">
        <v>101.292</v>
      </c>
    </row>
    <row r="29" spans="1:170" x14ac:dyDescent="0.25">
      <c r="A29">
        <v>13</v>
      </c>
      <c r="B29">
        <v>1596826537.8</v>
      </c>
      <c r="C29">
        <v>1519.7000000476801</v>
      </c>
      <c r="D29" t="s">
        <v>345</v>
      </c>
      <c r="E29" t="s">
        <v>346</v>
      </c>
      <c r="G29">
        <v>1596826529.7612901</v>
      </c>
      <c r="H29">
        <f t="shared" si="0"/>
        <v>3.6995587602396849E-3</v>
      </c>
      <c r="I29">
        <f t="shared" si="1"/>
        <v>51.540059070788629</v>
      </c>
      <c r="J29">
        <f t="shared" si="2"/>
        <v>1177.7093870967699</v>
      </c>
      <c r="K29">
        <f t="shared" si="3"/>
        <v>764.17644211851359</v>
      </c>
      <c r="L29">
        <f t="shared" si="4"/>
        <v>76.360642811982601</v>
      </c>
      <c r="M29">
        <f t="shared" si="5"/>
        <v>117.68309108705597</v>
      </c>
      <c r="N29">
        <f t="shared" si="6"/>
        <v>0.21987335265835481</v>
      </c>
      <c r="O29">
        <f t="shared" si="7"/>
        <v>3.3919644517549541</v>
      </c>
      <c r="P29">
        <f t="shared" si="8"/>
        <v>0.21225114147295404</v>
      </c>
      <c r="Q29">
        <f t="shared" si="9"/>
        <v>0.13331977562057806</v>
      </c>
      <c r="R29">
        <f t="shared" si="10"/>
        <v>353.33788596326514</v>
      </c>
      <c r="S29">
        <f t="shared" si="11"/>
        <v>26.888875975153827</v>
      </c>
      <c r="T29">
        <f t="shared" si="12"/>
        <v>26.975770967741902</v>
      </c>
      <c r="U29">
        <f t="shared" si="13"/>
        <v>3.574069599750954</v>
      </c>
      <c r="V29">
        <f t="shared" si="14"/>
        <v>56.008905293395358</v>
      </c>
      <c r="W29">
        <f t="shared" si="15"/>
        <v>1.8798912221372985</v>
      </c>
      <c r="X29">
        <f t="shared" si="16"/>
        <v>3.3564148634752513</v>
      </c>
      <c r="Y29">
        <f t="shared" si="17"/>
        <v>1.6941783776136554</v>
      </c>
      <c r="Z29">
        <f t="shared" si="18"/>
        <v>-163.15054132657011</v>
      </c>
      <c r="AA29">
        <f t="shared" si="19"/>
        <v>-194.81709952447292</v>
      </c>
      <c r="AB29">
        <f t="shared" si="20"/>
        <v>-12.326258936793337</v>
      </c>
      <c r="AC29">
        <f t="shared" si="21"/>
        <v>-16.956013824571244</v>
      </c>
      <c r="AD29">
        <v>-4.1323248101000798E-2</v>
      </c>
      <c r="AE29">
        <v>4.6388966108733803E-2</v>
      </c>
      <c r="AF29">
        <v>3.46447951194149</v>
      </c>
      <c r="AG29">
        <v>144</v>
      </c>
      <c r="AH29">
        <v>29</v>
      </c>
      <c r="AI29">
        <f t="shared" si="22"/>
        <v>1</v>
      </c>
      <c r="AJ29">
        <f t="shared" si="23"/>
        <v>0</v>
      </c>
      <c r="AK29">
        <f t="shared" si="24"/>
        <v>52887.341911010699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265.61496</v>
      </c>
      <c r="AT29">
        <v>388.95</v>
      </c>
      <c r="AU29">
        <f t="shared" si="27"/>
        <v>0.31709741612032394</v>
      </c>
      <c r="AV29">
        <v>0.5</v>
      </c>
      <c r="AW29">
        <f t="shared" si="28"/>
        <v>1849.1831609993085</v>
      </c>
      <c r="AX29">
        <f t="shared" si="29"/>
        <v>51.540059070788629</v>
      </c>
      <c r="AY29">
        <f t="shared" si="30"/>
        <v>293.18560114304682</v>
      </c>
      <c r="AZ29">
        <f t="shared" si="31"/>
        <v>0.54076359429232546</v>
      </c>
      <c r="BA29">
        <f t="shared" si="32"/>
        <v>2.8412577065862799E-2</v>
      </c>
      <c r="BB29">
        <f t="shared" si="33"/>
        <v>-1</v>
      </c>
      <c r="BC29" t="s">
        <v>348</v>
      </c>
      <c r="BD29">
        <v>178.62</v>
      </c>
      <c r="BE29">
        <f t="shared" si="34"/>
        <v>210.32999999999998</v>
      </c>
      <c r="BF29">
        <f t="shared" si="35"/>
        <v>0.58638824704036518</v>
      </c>
      <c r="BG29">
        <f t="shared" si="36"/>
        <v>2.1775277124622101</v>
      </c>
      <c r="BH29">
        <f t="shared" si="37"/>
        <v>0.31709741612032394</v>
      </c>
      <c r="BI29" t="e">
        <f t="shared" si="38"/>
        <v>#DIV/0!</v>
      </c>
      <c r="BJ29">
        <v>5843</v>
      </c>
      <c r="BK29">
        <v>300</v>
      </c>
      <c r="BL29">
        <v>300</v>
      </c>
      <c r="BM29">
        <v>300</v>
      </c>
      <c r="BN29">
        <v>9868.9599999999991</v>
      </c>
      <c r="BO29">
        <v>351.786</v>
      </c>
      <c r="BP29">
        <v>-6.4006100000000002E-3</v>
      </c>
      <c r="BQ29">
        <v>1.1337900000000001</v>
      </c>
      <c r="BR29">
        <f t="shared" si="39"/>
        <v>2199.9970967741901</v>
      </c>
      <c r="BS29">
        <f t="shared" si="40"/>
        <v>1849.1831609993085</v>
      </c>
      <c r="BT29">
        <f t="shared" si="41"/>
        <v>0.84053890966980238</v>
      </c>
      <c r="BU29">
        <f t="shared" si="42"/>
        <v>0.19107781933960477</v>
      </c>
      <c r="BV29">
        <v>0.5</v>
      </c>
      <c r="BW29" t="s">
        <v>281</v>
      </c>
      <c r="BX29">
        <v>1596826529.7612901</v>
      </c>
      <c r="BY29">
        <v>1177.7093870967699</v>
      </c>
      <c r="BZ29">
        <v>1200.06548387097</v>
      </c>
      <c r="CA29">
        <v>18.812945161290301</v>
      </c>
      <c r="CB29">
        <v>17.361138709677402</v>
      </c>
      <c r="CC29">
        <v>500.06103225806498</v>
      </c>
      <c r="CD29">
        <v>99.725403225806502</v>
      </c>
      <c r="CE29">
        <v>0.200004838709677</v>
      </c>
      <c r="CF29">
        <v>25.910425806451599</v>
      </c>
      <c r="CG29">
        <v>26.975770967741902</v>
      </c>
      <c r="CH29">
        <v>999.9</v>
      </c>
      <c r="CI29">
        <v>9992.7419354838694</v>
      </c>
      <c r="CJ29">
        <v>0</v>
      </c>
      <c r="CK29">
        <v>412.856870967742</v>
      </c>
      <c r="CL29">
        <v>2199.9970967741901</v>
      </c>
      <c r="CM29">
        <v>0.98199616129032297</v>
      </c>
      <c r="CN29">
        <v>1.8003748387096799E-2</v>
      </c>
      <c r="CO29">
        <v>0</v>
      </c>
      <c r="CP29">
        <v>265.68038709677398</v>
      </c>
      <c r="CQ29">
        <v>5.00054</v>
      </c>
      <c r="CR29">
        <v>8937.0296774193503</v>
      </c>
      <c r="CS29">
        <v>20590.461290322601</v>
      </c>
      <c r="CT29">
        <v>49.320258064516104</v>
      </c>
      <c r="CU29">
        <v>51.961387096774203</v>
      </c>
      <c r="CV29">
        <v>50.015999999999998</v>
      </c>
      <c r="CW29">
        <v>50.499935483870999</v>
      </c>
      <c r="CX29">
        <v>50.656999999999996</v>
      </c>
      <c r="CY29">
        <v>2155.4770967741902</v>
      </c>
      <c r="CZ29">
        <v>39.520000000000003</v>
      </c>
      <c r="DA29">
        <v>0</v>
      </c>
      <c r="DB29">
        <v>146.5</v>
      </c>
      <c r="DC29">
        <v>265.61496</v>
      </c>
      <c r="DD29">
        <v>-2.44230768417632</v>
      </c>
      <c r="DE29">
        <v>-70.909999845417005</v>
      </c>
      <c r="DF29">
        <v>8936.0668000000005</v>
      </c>
      <c r="DG29">
        <v>15</v>
      </c>
      <c r="DH29">
        <v>1596826576.2</v>
      </c>
      <c r="DI29" t="s">
        <v>349</v>
      </c>
      <c r="DJ29">
        <v>72</v>
      </c>
      <c r="DK29">
        <v>-8.6999999999999994E-2</v>
      </c>
      <c r="DL29">
        <v>0.11799999999999999</v>
      </c>
      <c r="DM29">
        <v>1200</v>
      </c>
      <c r="DN29">
        <v>17</v>
      </c>
      <c r="DO29">
        <v>0.39</v>
      </c>
      <c r="DP29">
        <v>0.06</v>
      </c>
      <c r="DQ29">
        <v>1177.4888461538501</v>
      </c>
      <c r="DR29">
        <v>-0.148022586282374</v>
      </c>
      <c r="DS29">
        <v>8.2919187863692498E-2</v>
      </c>
      <c r="DT29">
        <v>1</v>
      </c>
      <c r="DU29">
        <v>18.786194230769201</v>
      </c>
      <c r="DV29">
        <v>0.17447679921468101</v>
      </c>
      <c r="DW29">
        <v>4.7326088160359402E-2</v>
      </c>
      <c r="DX29">
        <v>1</v>
      </c>
      <c r="DY29">
        <v>2</v>
      </c>
      <c r="DZ29">
        <v>2</v>
      </c>
      <c r="EA29" t="s">
        <v>293</v>
      </c>
      <c r="EB29">
        <v>1.86676</v>
      </c>
      <c r="EC29">
        <v>1.8632500000000001</v>
      </c>
      <c r="ED29">
        <v>1.8689</v>
      </c>
      <c r="EE29">
        <v>1.8668</v>
      </c>
      <c r="EF29">
        <v>1.87151</v>
      </c>
      <c r="EG29">
        <v>1.8640099999999999</v>
      </c>
      <c r="EH29">
        <v>1.86557</v>
      </c>
      <c r="EI29">
        <v>1.8654900000000001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-8.6999999999999994E-2</v>
      </c>
      <c r="EX29">
        <v>0.11799999999999999</v>
      </c>
      <c r="EY29">
        <v>2</v>
      </c>
      <c r="EZ29">
        <v>337.68900000000002</v>
      </c>
      <c r="FA29">
        <v>492.42899999999997</v>
      </c>
      <c r="FB29">
        <v>19.788799999999998</v>
      </c>
      <c r="FC29">
        <v>33.945999999999998</v>
      </c>
      <c r="FD29">
        <v>30.002300000000002</v>
      </c>
      <c r="FE29">
        <v>33.944099999999999</v>
      </c>
      <c r="FF29">
        <v>33.954700000000003</v>
      </c>
      <c r="FG29">
        <v>53.485900000000001</v>
      </c>
      <c r="FH29">
        <v>43.821399999999997</v>
      </c>
      <c r="FI29">
        <v>0</v>
      </c>
      <c r="FJ29">
        <v>19.727499999999999</v>
      </c>
      <c r="FK29">
        <v>1200</v>
      </c>
      <c r="FL29">
        <v>17.160299999999999</v>
      </c>
      <c r="FM29">
        <v>100.724</v>
      </c>
      <c r="FN29">
        <v>101.28700000000001</v>
      </c>
    </row>
    <row r="30" spans="1:170" x14ac:dyDescent="0.25">
      <c r="A30">
        <v>14</v>
      </c>
      <c r="B30">
        <v>1596826697.7</v>
      </c>
      <c r="C30">
        <v>1679.60000014305</v>
      </c>
      <c r="D30" t="s">
        <v>350</v>
      </c>
      <c r="E30" t="s">
        <v>351</v>
      </c>
      <c r="G30">
        <v>1596826689.74839</v>
      </c>
      <c r="H30">
        <f t="shared" si="0"/>
        <v>2.6928299179650676E-3</v>
      </c>
      <c r="I30">
        <f t="shared" si="1"/>
        <v>52.117557353127559</v>
      </c>
      <c r="J30">
        <f t="shared" si="2"/>
        <v>1577.48806451613</v>
      </c>
      <c r="K30">
        <f t="shared" si="3"/>
        <v>986.72889147545857</v>
      </c>
      <c r="L30">
        <f t="shared" si="4"/>
        <v>98.595031527173774</v>
      </c>
      <c r="M30">
        <f t="shared" si="5"/>
        <v>157.6243351120894</v>
      </c>
      <c r="N30">
        <f t="shared" si="6"/>
        <v>0.15374225631603575</v>
      </c>
      <c r="O30">
        <f t="shared" si="7"/>
        <v>3.3941525657641876</v>
      </c>
      <c r="P30">
        <f t="shared" si="8"/>
        <v>0.14997563300477557</v>
      </c>
      <c r="Q30">
        <f t="shared" si="9"/>
        <v>9.4065500726343398E-2</v>
      </c>
      <c r="R30">
        <f t="shared" si="10"/>
        <v>353.33736055204463</v>
      </c>
      <c r="S30">
        <f t="shared" si="11"/>
        <v>27.051503939593307</v>
      </c>
      <c r="T30">
        <f t="shared" si="12"/>
        <v>27.045487096774199</v>
      </c>
      <c r="U30">
        <f t="shared" si="13"/>
        <v>3.5887328246180794</v>
      </c>
      <c r="V30">
        <f t="shared" si="14"/>
        <v>55.133994204339288</v>
      </c>
      <c r="W30">
        <f t="shared" si="15"/>
        <v>1.8434052843611595</v>
      </c>
      <c r="X30">
        <f t="shared" si="16"/>
        <v>3.343500341239698</v>
      </c>
      <c r="Y30">
        <f t="shared" si="17"/>
        <v>1.7453275402569199</v>
      </c>
      <c r="Z30">
        <f t="shared" si="18"/>
        <v>-118.75379938225947</v>
      </c>
      <c r="AA30">
        <f t="shared" si="19"/>
        <v>-219.6104067215274</v>
      </c>
      <c r="AB30">
        <f t="shared" si="20"/>
        <v>-13.886330433603348</v>
      </c>
      <c r="AC30">
        <f t="shared" si="21"/>
        <v>1.086824014654411</v>
      </c>
      <c r="AD30">
        <v>-4.1357136612698797E-2</v>
      </c>
      <c r="AE30">
        <v>4.6427008931911498E-2</v>
      </c>
      <c r="AF30">
        <v>3.4667270943511599</v>
      </c>
      <c r="AG30">
        <v>145</v>
      </c>
      <c r="AH30">
        <v>29</v>
      </c>
      <c r="AI30">
        <f t="shared" si="22"/>
        <v>1</v>
      </c>
      <c r="AJ30">
        <f t="shared" si="23"/>
        <v>0</v>
      </c>
      <c r="AK30">
        <f t="shared" si="24"/>
        <v>52940.378416470601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260.32492000000002</v>
      </c>
      <c r="AT30">
        <v>372.822</v>
      </c>
      <c r="AU30">
        <f t="shared" si="27"/>
        <v>0.30174474682288055</v>
      </c>
      <c r="AV30">
        <v>0.5</v>
      </c>
      <c r="AW30">
        <f t="shared" si="28"/>
        <v>1849.1828803542164</v>
      </c>
      <c r="AX30">
        <f t="shared" si="29"/>
        <v>52.117557353127559</v>
      </c>
      <c r="AY30">
        <f t="shared" si="30"/>
        <v>278.99061003084404</v>
      </c>
      <c r="AZ30">
        <f t="shared" si="31"/>
        <v>0.53897570422346319</v>
      </c>
      <c r="BA30">
        <f t="shared" si="32"/>
        <v>2.8724880549917668E-2</v>
      </c>
      <c r="BB30">
        <f t="shared" si="33"/>
        <v>-1</v>
      </c>
      <c r="BC30" t="s">
        <v>353</v>
      </c>
      <c r="BD30">
        <v>171.88</v>
      </c>
      <c r="BE30">
        <f t="shared" si="34"/>
        <v>200.94200000000001</v>
      </c>
      <c r="BF30">
        <f t="shared" si="35"/>
        <v>0.5598485135014083</v>
      </c>
      <c r="BG30">
        <f t="shared" si="36"/>
        <v>2.1690830812194557</v>
      </c>
      <c r="BH30">
        <f t="shared" si="37"/>
        <v>0.30174474682288055</v>
      </c>
      <c r="BI30" t="e">
        <f t="shared" si="38"/>
        <v>#DIV/0!</v>
      </c>
      <c r="BJ30">
        <v>5845</v>
      </c>
      <c r="BK30">
        <v>300</v>
      </c>
      <c r="BL30">
        <v>300</v>
      </c>
      <c r="BM30">
        <v>300</v>
      </c>
      <c r="BN30">
        <v>9868.35</v>
      </c>
      <c r="BO30">
        <v>338.64</v>
      </c>
      <c r="BP30">
        <v>-6.4002399999999997E-3</v>
      </c>
      <c r="BQ30">
        <v>0.96881099999999998</v>
      </c>
      <c r="BR30">
        <f t="shared" si="39"/>
        <v>2199.9970967741901</v>
      </c>
      <c r="BS30">
        <f t="shared" si="40"/>
        <v>1849.1828803542164</v>
      </c>
      <c r="BT30">
        <f t="shared" si="41"/>
        <v>0.84053878210368305</v>
      </c>
      <c r="BU30">
        <f t="shared" si="42"/>
        <v>0.19107756420736591</v>
      </c>
      <c r="BV30">
        <v>0.5</v>
      </c>
      <c r="BW30" t="s">
        <v>281</v>
      </c>
      <c r="BX30">
        <v>1596826689.74839</v>
      </c>
      <c r="BY30">
        <v>1577.48806451613</v>
      </c>
      <c r="BZ30">
        <v>1600.03096774194</v>
      </c>
      <c r="CA30">
        <v>18.448609677419402</v>
      </c>
      <c r="CB30">
        <v>17.391503225806499</v>
      </c>
      <c r="CC30">
        <v>500.07280645161302</v>
      </c>
      <c r="CD30">
        <v>99.721090322580693</v>
      </c>
      <c r="CE30">
        <v>0.200004903225806</v>
      </c>
      <c r="CF30">
        <v>25.845335483871001</v>
      </c>
      <c r="CG30">
        <v>27.045487096774199</v>
      </c>
      <c r="CH30">
        <v>999.9</v>
      </c>
      <c r="CI30">
        <v>10001.3693548387</v>
      </c>
      <c r="CJ30">
        <v>0</v>
      </c>
      <c r="CK30">
        <v>413.53080645161299</v>
      </c>
      <c r="CL30">
        <v>2199.9970967741901</v>
      </c>
      <c r="CM30">
        <v>0.98199819354838702</v>
      </c>
      <c r="CN30">
        <v>1.8002196774193499E-2</v>
      </c>
      <c r="CO30">
        <v>0</v>
      </c>
      <c r="CP30">
        <v>260.34416129032297</v>
      </c>
      <c r="CQ30">
        <v>5.00054</v>
      </c>
      <c r="CR30">
        <v>8801.6122580645206</v>
      </c>
      <c r="CS30">
        <v>20590.483870967699</v>
      </c>
      <c r="CT30">
        <v>49.467483870967698</v>
      </c>
      <c r="CU30">
        <v>52.078258064516099</v>
      </c>
      <c r="CV30">
        <v>50.140999999999998</v>
      </c>
      <c r="CW30">
        <v>50.707322580645098</v>
      </c>
      <c r="CX30">
        <v>50.749870967741899</v>
      </c>
      <c r="CY30">
        <v>2155.4864516129001</v>
      </c>
      <c r="CZ30">
        <v>39.510645161290299</v>
      </c>
      <c r="DA30">
        <v>0</v>
      </c>
      <c r="DB30">
        <v>159.19999980926499</v>
      </c>
      <c r="DC30">
        <v>260.32492000000002</v>
      </c>
      <c r="DD30">
        <v>-2.5781538443880301</v>
      </c>
      <c r="DE30">
        <v>-73.018461655295098</v>
      </c>
      <c r="DF30">
        <v>8800.7024000000001</v>
      </c>
      <c r="DG30">
        <v>15</v>
      </c>
      <c r="DH30">
        <v>1596826737.8</v>
      </c>
      <c r="DI30" t="s">
        <v>354</v>
      </c>
      <c r="DJ30">
        <v>73</v>
      </c>
      <c r="DK30">
        <v>-8.6999999999999994E-2</v>
      </c>
      <c r="DL30">
        <v>0.121</v>
      </c>
      <c r="DM30">
        <v>1200</v>
      </c>
      <c r="DN30">
        <v>17</v>
      </c>
      <c r="DO30">
        <v>0.39</v>
      </c>
      <c r="DP30">
        <v>0.08</v>
      </c>
      <c r="DQ30">
        <v>1577.4251923076899</v>
      </c>
      <c r="DR30">
        <v>0.71845923042179305</v>
      </c>
      <c r="DS30">
        <v>9.9932484604782906E-2</v>
      </c>
      <c r="DT30">
        <v>0</v>
      </c>
      <c r="DU30">
        <v>18.4864480769231</v>
      </c>
      <c r="DV30">
        <v>-0.41953632624792803</v>
      </c>
      <c r="DW30">
        <v>5.2841262615150701E-2</v>
      </c>
      <c r="DX30">
        <v>0</v>
      </c>
      <c r="DY30">
        <v>0</v>
      </c>
      <c r="DZ30">
        <v>2</v>
      </c>
      <c r="EA30" t="s">
        <v>283</v>
      </c>
      <c r="EB30">
        <v>1.8667100000000001</v>
      </c>
      <c r="EC30">
        <v>1.8632500000000001</v>
      </c>
      <c r="ED30">
        <v>1.8689</v>
      </c>
      <c r="EE30">
        <v>1.86677</v>
      </c>
      <c r="EF30">
        <v>1.8714900000000001</v>
      </c>
      <c r="EG30">
        <v>1.8639399999999999</v>
      </c>
      <c r="EH30">
        <v>1.86554</v>
      </c>
      <c r="EI30">
        <v>1.8654500000000001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-8.6999999999999994E-2</v>
      </c>
      <c r="EX30">
        <v>0.121</v>
      </c>
      <c r="EY30">
        <v>2</v>
      </c>
      <c r="EZ30">
        <v>337.35300000000001</v>
      </c>
      <c r="FA30">
        <v>492.33699999999999</v>
      </c>
      <c r="FB30">
        <v>19.3995</v>
      </c>
      <c r="FC30">
        <v>34.118699999999997</v>
      </c>
      <c r="FD30">
        <v>30.0014</v>
      </c>
      <c r="FE30">
        <v>34.0672</v>
      </c>
      <c r="FF30">
        <v>34.07</v>
      </c>
      <c r="FG30">
        <v>67.252499999999998</v>
      </c>
      <c r="FH30">
        <v>42.976300000000002</v>
      </c>
      <c r="FI30">
        <v>0</v>
      </c>
      <c r="FJ30">
        <v>19.340399999999999</v>
      </c>
      <c r="FK30">
        <v>1600</v>
      </c>
      <c r="FL30">
        <v>17.386099999999999</v>
      </c>
      <c r="FM30">
        <v>100.688</v>
      </c>
      <c r="FN30">
        <v>101.246</v>
      </c>
    </row>
    <row r="31" spans="1:170" x14ac:dyDescent="0.25">
      <c r="A31">
        <v>15</v>
      </c>
      <c r="B31">
        <v>1596826829.3</v>
      </c>
      <c r="C31">
        <v>1811.2000000476801</v>
      </c>
      <c r="D31" t="s">
        <v>355</v>
      </c>
      <c r="E31" t="s">
        <v>356</v>
      </c>
      <c r="G31">
        <v>1596826821.3</v>
      </c>
      <c r="H31">
        <f t="shared" si="0"/>
        <v>2.6090187760195063E-3</v>
      </c>
      <c r="I31">
        <f t="shared" si="1"/>
        <v>51.890253619344946</v>
      </c>
      <c r="J31">
        <f t="shared" si="2"/>
        <v>1777.4182580645199</v>
      </c>
      <c r="K31">
        <f t="shared" si="3"/>
        <v>1164.8088015594592</v>
      </c>
      <c r="L31">
        <f t="shared" si="4"/>
        <v>116.38679907508667</v>
      </c>
      <c r="M31">
        <f t="shared" si="5"/>
        <v>177.5982645364532</v>
      </c>
      <c r="N31">
        <f t="shared" si="6"/>
        <v>0.14857593196077473</v>
      </c>
      <c r="O31">
        <f t="shared" si="7"/>
        <v>3.3943426437239346</v>
      </c>
      <c r="P31">
        <f t="shared" si="8"/>
        <v>0.1450552706857397</v>
      </c>
      <c r="Q31">
        <f t="shared" si="9"/>
        <v>9.0968913144455169E-2</v>
      </c>
      <c r="R31">
        <f t="shared" si="10"/>
        <v>353.3365005778532</v>
      </c>
      <c r="S31">
        <f t="shared" si="11"/>
        <v>26.855099065748831</v>
      </c>
      <c r="T31">
        <f t="shared" si="12"/>
        <v>27.029203225806398</v>
      </c>
      <c r="U31">
        <f t="shared" si="13"/>
        <v>3.5853031853734301</v>
      </c>
      <c r="V31">
        <f t="shared" si="14"/>
        <v>55.645303942791635</v>
      </c>
      <c r="W31">
        <f t="shared" si="15"/>
        <v>1.8368809666920369</v>
      </c>
      <c r="X31">
        <f t="shared" si="16"/>
        <v>3.3010529847775034</v>
      </c>
      <c r="Y31">
        <f t="shared" si="17"/>
        <v>1.7484222186813931</v>
      </c>
      <c r="Z31">
        <f t="shared" si="18"/>
        <v>-115.05772802246022</v>
      </c>
      <c r="AA31">
        <f t="shared" si="19"/>
        <v>-256.07782997207482</v>
      </c>
      <c r="AB31">
        <f t="shared" si="20"/>
        <v>-16.172551147895717</v>
      </c>
      <c r="AC31">
        <f t="shared" si="21"/>
        <v>-33.971608564577565</v>
      </c>
      <c r="AD31">
        <v>-4.1360080919082699E-2</v>
      </c>
      <c r="AE31">
        <v>4.6430314173762803E-2</v>
      </c>
      <c r="AF31">
        <v>3.4669223390527399</v>
      </c>
      <c r="AG31">
        <v>145</v>
      </c>
      <c r="AH31">
        <v>29</v>
      </c>
      <c r="AI31">
        <f t="shared" si="22"/>
        <v>1</v>
      </c>
      <c r="AJ31">
        <f t="shared" si="23"/>
        <v>0</v>
      </c>
      <c r="AK31">
        <f t="shared" si="24"/>
        <v>52982.158176934652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257.68828000000002</v>
      </c>
      <c r="AT31">
        <v>363.92099999999999</v>
      </c>
      <c r="AU31">
        <f t="shared" si="27"/>
        <v>0.29191148628411101</v>
      </c>
      <c r="AV31">
        <v>0.5</v>
      </c>
      <c r="AW31">
        <f t="shared" si="28"/>
        <v>1849.1785255155123</v>
      </c>
      <c r="AX31">
        <f t="shared" si="29"/>
        <v>51.890253619344946</v>
      </c>
      <c r="AY31">
        <f t="shared" si="30"/>
        <v>269.89822589394703</v>
      </c>
      <c r="AZ31">
        <f t="shared" si="31"/>
        <v>0.52451218808477662</v>
      </c>
      <c r="BA31">
        <f t="shared" si="32"/>
        <v>2.8602026732167597E-2</v>
      </c>
      <c r="BB31">
        <f t="shared" si="33"/>
        <v>-1</v>
      </c>
      <c r="BC31" t="s">
        <v>358</v>
      </c>
      <c r="BD31">
        <v>173.04</v>
      </c>
      <c r="BE31">
        <f t="shared" si="34"/>
        <v>190.881</v>
      </c>
      <c r="BF31">
        <f t="shared" si="35"/>
        <v>0.55653899549981389</v>
      </c>
      <c r="BG31">
        <f t="shared" si="36"/>
        <v>2.1031033287101248</v>
      </c>
      <c r="BH31">
        <f t="shared" si="37"/>
        <v>0.29191148628411107</v>
      </c>
      <c r="BI31" t="e">
        <f t="shared" si="38"/>
        <v>#DIV/0!</v>
      </c>
      <c r="BJ31">
        <v>5847</v>
      </c>
      <c r="BK31">
        <v>300</v>
      </c>
      <c r="BL31">
        <v>300</v>
      </c>
      <c r="BM31">
        <v>300</v>
      </c>
      <c r="BN31">
        <v>9867.16</v>
      </c>
      <c r="BO31">
        <v>333.30200000000002</v>
      </c>
      <c r="BP31">
        <v>-6.39932E-3</v>
      </c>
      <c r="BQ31">
        <v>1.0234399999999999</v>
      </c>
      <c r="BR31">
        <f t="shared" si="39"/>
        <v>2199.9919354838698</v>
      </c>
      <c r="BS31">
        <f t="shared" si="40"/>
        <v>1849.1785255155123</v>
      </c>
      <c r="BT31">
        <f t="shared" si="41"/>
        <v>0.84053877457000814</v>
      </c>
      <c r="BU31">
        <f t="shared" si="42"/>
        <v>0.19107754914001632</v>
      </c>
      <c r="BV31">
        <v>0.5</v>
      </c>
      <c r="BW31" t="s">
        <v>281</v>
      </c>
      <c r="BX31">
        <v>1596826821.3</v>
      </c>
      <c r="BY31">
        <v>1777.4182580645199</v>
      </c>
      <c r="BZ31">
        <v>1800.0258064516099</v>
      </c>
      <c r="CA31">
        <v>18.383658064516101</v>
      </c>
      <c r="CB31">
        <v>17.3593935483871</v>
      </c>
      <c r="CC31">
        <v>500.07696774193602</v>
      </c>
      <c r="CD31">
        <v>99.719235483871003</v>
      </c>
      <c r="CE31">
        <v>0.19999496774193501</v>
      </c>
      <c r="CF31">
        <v>25.629838709677401</v>
      </c>
      <c r="CG31">
        <v>27.029203225806398</v>
      </c>
      <c r="CH31">
        <v>999.9</v>
      </c>
      <c r="CI31">
        <v>10002.267419354799</v>
      </c>
      <c r="CJ31">
        <v>0</v>
      </c>
      <c r="CK31">
        <v>413.89464516128999</v>
      </c>
      <c r="CL31">
        <v>2199.9919354838698</v>
      </c>
      <c r="CM31">
        <v>0.98200012903225797</v>
      </c>
      <c r="CN31">
        <v>1.8000164516129E-2</v>
      </c>
      <c r="CO31">
        <v>0</v>
      </c>
      <c r="CP31">
        <v>257.69832258064503</v>
      </c>
      <c r="CQ31">
        <v>5.00054</v>
      </c>
      <c r="CR31">
        <v>8719.37161290322</v>
      </c>
      <c r="CS31">
        <v>20590.470967741901</v>
      </c>
      <c r="CT31">
        <v>49.767741935483798</v>
      </c>
      <c r="CU31">
        <v>52.378806451612903</v>
      </c>
      <c r="CV31">
        <v>50.420999999999999</v>
      </c>
      <c r="CW31">
        <v>50.993709677419297</v>
      </c>
      <c r="CX31">
        <v>50.989580645161297</v>
      </c>
      <c r="CY31">
        <v>2155.4819354838701</v>
      </c>
      <c r="CZ31">
        <v>39.51</v>
      </c>
      <c r="DA31">
        <v>0</v>
      </c>
      <c r="DB31">
        <v>131</v>
      </c>
      <c r="DC31">
        <v>257.68828000000002</v>
      </c>
      <c r="DD31">
        <v>-1.0486153882504501</v>
      </c>
      <c r="DE31">
        <v>55.083076925388198</v>
      </c>
      <c r="DF31">
        <v>8719.8071999999993</v>
      </c>
      <c r="DG31">
        <v>15</v>
      </c>
      <c r="DH31">
        <v>1596826869.8</v>
      </c>
      <c r="DI31" t="s">
        <v>359</v>
      </c>
      <c r="DJ31">
        <v>74</v>
      </c>
      <c r="DK31">
        <v>-0.13100000000000001</v>
      </c>
      <c r="DL31">
        <v>0.11700000000000001</v>
      </c>
      <c r="DM31">
        <v>1800</v>
      </c>
      <c r="DN31">
        <v>17</v>
      </c>
      <c r="DO31">
        <v>0.2</v>
      </c>
      <c r="DP31">
        <v>0.1</v>
      </c>
      <c r="DQ31">
        <v>1777.4353846153799</v>
      </c>
      <c r="DR31">
        <v>0.24086058225978699</v>
      </c>
      <c r="DS31">
        <v>6.5028441660964498E-2</v>
      </c>
      <c r="DT31">
        <v>1</v>
      </c>
      <c r="DU31">
        <v>18.389801923076899</v>
      </c>
      <c r="DV31">
        <v>-9.2187313241712296E-2</v>
      </c>
      <c r="DW31">
        <v>3.8920903471926199E-2</v>
      </c>
      <c r="DX31">
        <v>1</v>
      </c>
      <c r="DY31">
        <v>2</v>
      </c>
      <c r="DZ31">
        <v>2</v>
      </c>
      <c r="EA31" t="s">
        <v>293</v>
      </c>
      <c r="EB31">
        <v>1.8667</v>
      </c>
      <c r="EC31">
        <v>1.8632500000000001</v>
      </c>
      <c r="ED31">
        <v>1.8689</v>
      </c>
      <c r="EE31">
        <v>1.8667800000000001</v>
      </c>
      <c r="EF31">
        <v>1.8714900000000001</v>
      </c>
      <c r="EG31">
        <v>1.86398</v>
      </c>
      <c r="EH31">
        <v>1.86555</v>
      </c>
      <c r="EI31">
        <v>1.8654599999999999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-0.13100000000000001</v>
      </c>
      <c r="EX31">
        <v>0.11700000000000001</v>
      </c>
      <c r="EY31">
        <v>2</v>
      </c>
      <c r="EZ31">
        <v>336.52</v>
      </c>
      <c r="FA31">
        <v>491.60300000000001</v>
      </c>
      <c r="FB31">
        <v>19.148499999999999</v>
      </c>
      <c r="FC31">
        <v>34.367600000000003</v>
      </c>
      <c r="FD31">
        <v>30.001999999999999</v>
      </c>
      <c r="FE31">
        <v>34.253999999999998</v>
      </c>
      <c r="FF31">
        <v>34.2485</v>
      </c>
      <c r="FG31">
        <v>73.744100000000003</v>
      </c>
      <c r="FH31">
        <v>44.0764</v>
      </c>
      <c r="FI31">
        <v>0</v>
      </c>
      <c r="FJ31">
        <v>19.105399999999999</v>
      </c>
      <c r="FK31">
        <v>1800</v>
      </c>
      <c r="FL31">
        <v>17.223800000000001</v>
      </c>
      <c r="FM31">
        <v>100.648</v>
      </c>
      <c r="FN31">
        <v>101.193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2020-08-07T14:02:04Z</dcterms:created>
  <dcterms:modified xsi:type="dcterms:W3CDTF">2024-11-20T09:04:01Z</dcterms:modified>
</cp:coreProperties>
</file>