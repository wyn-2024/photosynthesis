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807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1" i="1" l="1"/>
  <c r="BT31" i="1"/>
  <c r="BS31" i="1"/>
  <c r="BR31" i="1"/>
  <c r="BI31" i="1"/>
  <c r="BH31" i="1"/>
  <c r="BG31" i="1"/>
  <c r="BF31" i="1"/>
  <c r="BE31" i="1"/>
  <c r="BB31" i="1"/>
  <c r="AZ31" i="1"/>
  <c r="AY31" i="1"/>
  <c r="AW31" i="1"/>
  <c r="AU31" i="1"/>
  <c r="AO31" i="1"/>
  <c r="AP31" i="1" s="1"/>
  <c r="AK31" i="1"/>
  <c r="AI31" i="1"/>
  <c r="X31" i="1"/>
  <c r="W31" i="1"/>
  <c r="V31" i="1"/>
  <c r="R31" i="1"/>
  <c r="O31" i="1"/>
  <c r="BU30" i="1"/>
  <c r="BT30" i="1"/>
  <c r="BR30" i="1"/>
  <c r="BS30" i="1" s="1"/>
  <c r="R30" i="1" s="1"/>
  <c r="BI30" i="1"/>
  <c r="BH30" i="1"/>
  <c r="BG30" i="1"/>
  <c r="BF30" i="1"/>
  <c r="BE30" i="1"/>
  <c r="BB30" i="1"/>
  <c r="AZ30" i="1"/>
  <c r="AX30" i="1"/>
  <c r="AW30" i="1"/>
  <c r="AU30" i="1"/>
  <c r="AY30" i="1" s="1"/>
  <c r="AO30" i="1"/>
  <c r="AP30" i="1" s="1"/>
  <c r="AK30" i="1"/>
  <c r="AI30" i="1"/>
  <c r="H30" i="1" s="1"/>
  <c r="Z30" i="1"/>
  <c r="X30" i="1"/>
  <c r="W30" i="1"/>
  <c r="V30" i="1"/>
  <c r="O30" i="1"/>
  <c r="M30" i="1"/>
  <c r="J30" i="1"/>
  <c r="I30" i="1"/>
  <c r="BU29" i="1"/>
  <c r="BT29" i="1"/>
  <c r="BR29" i="1"/>
  <c r="BS29" i="1" s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/>
  <c r="AJ29" i="1" s="1"/>
  <c r="X29" i="1"/>
  <c r="W29" i="1"/>
  <c r="V29" i="1"/>
  <c r="O29" i="1"/>
  <c r="BU28" i="1"/>
  <c r="BT28" i="1"/>
  <c r="BR28" i="1"/>
  <c r="BS28" i="1" s="1"/>
  <c r="BI28" i="1"/>
  <c r="BH28" i="1"/>
  <c r="BG28" i="1"/>
  <c r="BF28" i="1"/>
  <c r="BE28" i="1"/>
  <c r="BB28" i="1"/>
  <c r="AZ28" i="1"/>
  <c r="AU28" i="1"/>
  <c r="AO28" i="1"/>
  <c r="AP28" i="1" s="1"/>
  <c r="AK28" i="1"/>
  <c r="AI28" i="1"/>
  <c r="J28" i="1" s="1"/>
  <c r="X28" i="1"/>
  <c r="W28" i="1"/>
  <c r="O28" i="1"/>
  <c r="M28" i="1"/>
  <c r="BU27" i="1"/>
  <c r="BT27" i="1"/>
  <c r="BR27" i="1"/>
  <c r="BS27" i="1" s="1"/>
  <c r="BI27" i="1"/>
  <c r="BH27" i="1"/>
  <c r="BG27" i="1"/>
  <c r="BF27" i="1"/>
  <c r="BE27" i="1"/>
  <c r="AZ27" i="1" s="1"/>
  <c r="BB27" i="1"/>
  <c r="AW27" i="1"/>
  <c r="AU27" i="1"/>
  <c r="AY27" i="1" s="1"/>
  <c r="AP27" i="1"/>
  <c r="AO27" i="1"/>
  <c r="AK27" i="1"/>
  <c r="AI27" i="1" s="1"/>
  <c r="AJ27" i="1"/>
  <c r="X27" i="1"/>
  <c r="W27" i="1"/>
  <c r="V27" i="1"/>
  <c r="R27" i="1"/>
  <c r="O27" i="1"/>
  <c r="J27" i="1"/>
  <c r="BU26" i="1"/>
  <c r="BT26" i="1"/>
  <c r="BR26" i="1"/>
  <c r="BS26" i="1" s="1"/>
  <c r="BI26" i="1"/>
  <c r="BH26" i="1"/>
  <c r="BG26" i="1"/>
  <c r="BF26" i="1"/>
  <c r="BE26" i="1"/>
  <c r="BB26" i="1"/>
  <c r="AZ26" i="1"/>
  <c r="AU26" i="1"/>
  <c r="AO26" i="1"/>
  <c r="AP26" i="1" s="1"/>
  <c r="AK26" i="1"/>
  <c r="AI26" i="1"/>
  <c r="X26" i="1"/>
  <c r="W26" i="1"/>
  <c r="V26" i="1"/>
  <c r="O26" i="1"/>
  <c r="M26" i="1"/>
  <c r="BU25" i="1"/>
  <c r="BT25" i="1"/>
  <c r="BS25" i="1"/>
  <c r="R25" i="1" s="1"/>
  <c r="BR25" i="1"/>
  <c r="BI25" i="1"/>
  <c r="BH25" i="1"/>
  <c r="BG25" i="1"/>
  <c r="BF25" i="1"/>
  <c r="BE25" i="1"/>
  <c r="BB25" i="1"/>
  <c r="AZ25" i="1"/>
  <c r="AU25" i="1"/>
  <c r="AO25" i="1"/>
  <c r="AP25" i="1" s="1"/>
  <c r="AK25" i="1"/>
  <c r="AI25" i="1" s="1"/>
  <c r="AJ25" i="1" s="1"/>
  <c r="X25" i="1"/>
  <c r="V25" i="1" s="1"/>
  <c r="W25" i="1"/>
  <c r="O25" i="1"/>
  <c r="M25" i="1"/>
  <c r="J25" i="1"/>
  <c r="I25" i="1"/>
  <c r="AX25" i="1" s="1"/>
  <c r="H25" i="1"/>
  <c r="BU24" i="1"/>
  <c r="BT24" i="1"/>
  <c r="BR24" i="1"/>
  <c r="BS24" i="1" s="1"/>
  <c r="BI24" i="1"/>
  <c r="BH24" i="1"/>
  <c r="BG24" i="1"/>
  <c r="BF24" i="1"/>
  <c r="BE24" i="1"/>
  <c r="AZ24" i="1" s="1"/>
  <c r="BB24" i="1"/>
  <c r="AU24" i="1"/>
  <c r="AO24" i="1"/>
  <c r="AP24" i="1" s="1"/>
  <c r="AK24" i="1"/>
  <c r="AI24" i="1"/>
  <c r="X24" i="1"/>
  <c r="W24" i="1"/>
  <c r="V24" i="1"/>
  <c r="O24" i="1"/>
  <c r="BU23" i="1"/>
  <c r="BT23" i="1"/>
  <c r="BR23" i="1"/>
  <c r="BS23" i="1" s="1"/>
  <c r="BI23" i="1"/>
  <c r="BH23" i="1"/>
  <c r="BG23" i="1"/>
  <c r="BF23" i="1"/>
  <c r="BE23" i="1"/>
  <c r="BB23" i="1"/>
  <c r="AZ23" i="1"/>
  <c r="AU23" i="1"/>
  <c r="AO23" i="1"/>
  <c r="AP23" i="1" s="1"/>
  <c r="AK23" i="1"/>
  <c r="AI23" i="1"/>
  <c r="J23" i="1" s="1"/>
  <c r="X23" i="1"/>
  <c r="W23" i="1"/>
  <c r="V23" i="1"/>
  <c r="O23" i="1"/>
  <c r="M23" i="1"/>
  <c r="BU22" i="1"/>
  <c r="BT22" i="1"/>
  <c r="BR22" i="1"/>
  <c r="BS22" i="1" s="1"/>
  <c r="AW22" i="1" s="1"/>
  <c r="BI22" i="1"/>
  <c r="BH22" i="1"/>
  <c r="BG22" i="1"/>
  <c r="BF22" i="1"/>
  <c r="BE22" i="1"/>
  <c r="AZ22" i="1" s="1"/>
  <c r="BB22" i="1"/>
  <c r="AU22" i="1"/>
  <c r="AY22" i="1" s="1"/>
  <c r="AO22" i="1"/>
  <c r="AP22" i="1" s="1"/>
  <c r="AK22" i="1"/>
  <c r="AI22" i="1"/>
  <c r="X22" i="1"/>
  <c r="W22" i="1"/>
  <c r="V22" i="1"/>
  <c r="R22" i="1"/>
  <c r="O22" i="1"/>
  <c r="BU21" i="1"/>
  <c r="BT21" i="1"/>
  <c r="BR21" i="1"/>
  <c r="BS21" i="1" s="1"/>
  <c r="R21" i="1" s="1"/>
  <c r="BI21" i="1"/>
  <c r="BH21" i="1"/>
  <c r="BG21" i="1"/>
  <c r="BF21" i="1"/>
  <c r="BE21" i="1"/>
  <c r="BB21" i="1"/>
  <c r="AZ21" i="1"/>
  <c r="AW21" i="1"/>
  <c r="AY21" i="1" s="1"/>
  <c r="AU21" i="1"/>
  <c r="AO21" i="1"/>
  <c r="AP21" i="1" s="1"/>
  <c r="AK21" i="1"/>
  <c r="AI21" i="1"/>
  <c r="M21" i="1" s="1"/>
  <c r="X21" i="1"/>
  <c r="W21" i="1"/>
  <c r="V21" i="1"/>
  <c r="O21" i="1"/>
  <c r="BU20" i="1"/>
  <c r="BT20" i="1"/>
  <c r="BR20" i="1"/>
  <c r="BS20" i="1" s="1"/>
  <c r="BI20" i="1"/>
  <c r="BH20" i="1"/>
  <c r="BG20" i="1"/>
  <c r="BF20" i="1"/>
  <c r="BE20" i="1"/>
  <c r="BB20" i="1"/>
  <c r="AZ20" i="1"/>
  <c r="AU20" i="1"/>
  <c r="AO20" i="1"/>
  <c r="AP20" i="1" s="1"/>
  <c r="AK20" i="1"/>
  <c r="AI20" i="1" s="1"/>
  <c r="M20" i="1" s="1"/>
  <c r="AJ20" i="1"/>
  <c r="X20" i="1"/>
  <c r="W20" i="1"/>
  <c r="V20" i="1" s="1"/>
  <c r="O20" i="1"/>
  <c r="J20" i="1"/>
  <c r="I20" i="1"/>
  <c r="AX20" i="1" s="1"/>
  <c r="H20" i="1"/>
  <c r="BU19" i="1"/>
  <c r="BT19" i="1"/>
  <c r="BR19" i="1"/>
  <c r="BS19" i="1" s="1"/>
  <c r="AW19" i="1" s="1"/>
  <c r="BI19" i="1"/>
  <c r="BH19" i="1"/>
  <c r="BG19" i="1"/>
  <c r="BF19" i="1"/>
  <c r="BE19" i="1"/>
  <c r="AZ19" i="1" s="1"/>
  <c r="BB19" i="1"/>
  <c r="AU19" i="1"/>
  <c r="AO19" i="1"/>
  <c r="AP19" i="1" s="1"/>
  <c r="AK19" i="1"/>
  <c r="AI19" i="1"/>
  <c r="AJ19" i="1" s="1"/>
  <c r="X19" i="1"/>
  <c r="W19" i="1"/>
  <c r="V19" i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X18" i="1"/>
  <c r="AU18" i="1"/>
  <c r="AP18" i="1"/>
  <c r="AO18" i="1"/>
  <c r="AK18" i="1"/>
  <c r="AI18" i="1"/>
  <c r="I18" i="1" s="1"/>
  <c r="X18" i="1"/>
  <c r="W18" i="1"/>
  <c r="V18" i="1"/>
  <c r="O18" i="1"/>
  <c r="M18" i="1"/>
  <c r="J18" i="1"/>
  <c r="BU17" i="1"/>
  <c r="BT17" i="1"/>
  <c r="BR17" i="1"/>
  <c r="BS17" i="1" s="1"/>
  <c r="AW17" i="1" s="1"/>
  <c r="BI17" i="1"/>
  <c r="BH17" i="1"/>
  <c r="BG17" i="1"/>
  <c r="BF17" i="1"/>
  <c r="BE17" i="1"/>
  <c r="AZ17" i="1" s="1"/>
  <c r="BB17" i="1"/>
  <c r="AU17" i="1"/>
  <c r="AY17" i="1" s="1"/>
  <c r="AP17" i="1"/>
  <c r="AO17" i="1"/>
  <c r="AK17" i="1"/>
  <c r="AI17" i="1"/>
  <c r="X17" i="1"/>
  <c r="W17" i="1"/>
  <c r="V17" i="1"/>
  <c r="R17" i="1"/>
  <c r="O17" i="1"/>
  <c r="R28" i="1" l="1"/>
  <c r="AW28" i="1"/>
  <c r="AY28" i="1" s="1"/>
  <c r="R23" i="1"/>
  <c r="AW23" i="1"/>
  <c r="R18" i="1"/>
  <c r="AW18" i="1"/>
  <c r="AY18" i="1" s="1"/>
  <c r="S17" i="1"/>
  <c r="T17" i="1" s="1"/>
  <c r="AA17" i="1" s="1"/>
  <c r="R20" i="1"/>
  <c r="AW20" i="1"/>
  <c r="BA20" i="1" s="1"/>
  <c r="AY23" i="1"/>
  <c r="M31" i="1"/>
  <c r="J31" i="1"/>
  <c r="I31" i="1"/>
  <c r="AX31" i="1" s="1"/>
  <c r="BA31" i="1" s="1"/>
  <c r="H31" i="1"/>
  <c r="M22" i="1"/>
  <c r="H22" i="1"/>
  <c r="AJ22" i="1"/>
  <c r="M17" i="1"/>
  <c r="AJ17" i="1"/>
  <c r="Z20" i="1"/>
  <c r="R26" i="1"/>
  <c r="AW26" i="1"/>
  <c r="AY26" i="1" s="1"/>
  <c r="BA30" i="1"/>
  <c r="R19" i="1"/>
  <c r="AY29" i="1"/>
  <c r="M24" i="1"/>
  <c r="J24" i="1"/>
  <c r="I24" i="1"/>
  <c r="AX24" i="1" s="1"/>
  <c r="BA24" i="1" s="1"/>
  <c r="H24" i="1"/>
  <c r="BA18" i="1"/>
  <c r="J26" i="1"/>
  <c r="I26" i="1"/>
  <c r="AX26" i="1" s="1"/>
  <c r="BA26" i="1" s="1"/>
  <c r="H26" i="1"/>
  <c r="H17" i="1"/>
  <c r="AJ26" i="1"/>
  <c r="V28" i="1"/>
  <c r="AW24" i="1"/>
  <c r="R24" i="1"/>
  <c r="AJ24" i="1"/>
  <c r="M19" i="1"/>
  <c r="J19" i="1"/>
  <c r="H19" i="1"/>
  <c r="I19" i="1"/>
  <c r="AX19" i="1" s="1"/>
  <c r="BA19" i="1" s="1"/>
  <c r="AY24" i="1"/>
  <c r="J21" i="1"/>
  <c r="H21" i="1"/>
  <c r="AJ21" i="1"/>
  <c r="I21" i="1"/>
  <c r="AX21" i="1" s="1"/>
  <c r="BA21" i="1" s="1"/>
  <c r="J29" i="1"/>
  <c r="I29" i="1"/>
  <c r="AX29" i="1" s="1"/>
  <c r="BA29" i="1" s="1"/>
  <c r="M29" i="1"/>
  <c r="S25" i="1"/>
  <c r="T25" i="1" s="1"/>
  <c r="H29" i="1"/>
  <c r="J17" i="1"/>
  <c r="AY19" i="1"/>
  <c r="AJ31" i="1"/>
  <c r="AW29" i="1"/>
  <c r="R29" i="1"/>
  <c r="Z25" i="1"/>
  <c r="S30" i="1"/>
  <c r="T30" i="1" s="1"/>
  <c r="I17" i="1"/>
  <c r="AX17" i="1" s="1"/>
  <c r="BA17" i="1" s="1"/>
  <c r="I22" i="1"/>
  <c r="AX22" i="1" s="1"/>
  <c r="BA22" i="1" s="1"/>
  <c r="AW25" i="1"/>
  <c r="AY25" i="1" s="1"/>
  <c r="J22" i="1"/>
  <c r="AY20" i="1"/>
  <c r="M27" i="1"/>
  <c r="I27" i="1"/>
  <c r="AX27" i="1" s="1"/>
  <c r="BA27" i="1" s="1"/>
  <c r="H27" i="1"/>
  <c r="S27" i="1" s="1"/>
  <c r="T27" i="1" s="1"/>
  <c r="AJ30" i="1"/>
  <c r="H28" i="1"/>
  <c r="AJ18" i="1"/>
  <c r="H18" i="1"/>
  <c r="AJ28" i="1"/>
  <c r="AJ23" i="1"/>
  <c r="H23" i="1"/>
  <c r="I28" i="1"/>
  <c r="AX28" i="1" s="1"/>
  <c r="BA28" i="1" s="1"/>
  <c r="I23" i="1"/>
  <c r="AX23" i="1" s="1"/>
  <c r="BA23" i="1" s="1"/>
  <c r="AB27" i="1" l="1"/>
  <c r="U27" i="1"/>
  <c r="Y27" i="1" s="1"/>
  <c r="AA27" i="1"/>
  <c r="Z29" i="1"/>
  <c r="Z22" i="1"/>
  <c r="AB25" i="1"/>
  <c r="AA25" i="1"/>
  <c r="U25" i="1"/>
  <c r="Y25" i="1" s="1"/>
  <c r="Z24" i="1"/>
  <c r="U30" i="1"/>
  <c r="Y30" i="1" s="1"/>
  <c r="AB30" i="1"/>
  <c r="AA30" i="1"/>
  <c r="Z19" i="1"/>
  <c r="P19" i="1"/>
  <c r="N19" i="1" s="1"/>
  <c r="Q19" i="1" s="1"/>
  <c r="K19" i="1" s="1"/>
  <c r="L19" i="1" s="1"/>
  <c r="S29" i="1"/>
  <c r="T29" i="1" s="1"/>
  <c r="S23" i="1"/>
  <c r="T23" i="1" s="1"/>
  <c r="P23" i="1" s="1"/>
  <c r="N23" i="1" s="1"/>
  <c r="Q23" i="1" s="1"/>
  <c r="K23" i="1" s="1"/>
  <c r="L23" i="1" s="1"/>
  <c r="Z27" i="1"/>
  <c r="P27" i="1"/>
  <c r="N27" i="1" s="1"/>
  <c r="Q27" i="1" s="1"/>
  <c r="K27" i="1" s="1"/>
  <c r="L27" i="1" s="1"/>
  <c r="Z31" i="1"/>
  <c r="AB17" i="1"/>
  <c r="U17" i="1"/>
  <c r="Y17" i="1" s="1"/>
  <c r="Z23" i="1"/>
  <c r="BA25" i="1"/>
  <c r="Z21" i="1"/>
  <c r="S19" i="1"/>
  <c r="T19" i="1" s="1"/>
  <c r="P30" i="1"/>
  <c r="N30" i="1" s="1"/>
  <c r="Q30" i="1" s="1"/>
  <c r="K30" i="1" s="1"/>
  <c r="L30" i="1" s="1"/>
  <c r="S20" i="1"/>
  <c r="T20" i="1" s="1"/>
  <c r="S21" i="1"/>
  <c r="T21" i="1" s="1"/>
  <c r="S31" i="1"/>
  <c r="T31" i="1" s="1"/>
  <c r="S18" i="1"/>
  <c r="T18" i="1" s="1"/>
  <c r="S24" i="1"/>
  <c r="T24" i="1" s="1"/>
  <c r="P25" i="1"/>
  <c r="N25" i="1" s="1"/>
  <c r="Q25" i="1" s="1"/>
  <c r="K25" i="1" s="1"/>
  <c r="L25" i="1" s="1"/>
  <c r="S26" i="1"/>
  <c r="T26" i="1" s="1"/>
  <c r="S22" i="1"/>
  <c r="T22" i="1" s="1"/>
  <c r="P18" i="1"/>
  <c r="N18" i="1" s="1"/>
  <c r="Q18" i="1" s="1"/>
  <c r="K18" i="1" s="1"/>
  <c r="L18" i="1" s="1"/>
  <c r="Z18" i="1"/>
  <c r="Z17" i="1"/>
  <c r="P17" i="1"/>
  <c r="N17" i="1" s="1"/>
  <c r="Q17" i="1" s="1"/>
  <c r="K17" i="1" s="1"/>
  <c r="L17" i="1" s="1"/>
  <c r="Z28" i="1"/>
  <c r="Z26" i="1"/>
  <c r="S28" i="1"/>
  <c r="T28" i="1" s="1"/>
  <c r="P28" i="1" s="1"/>
  <c r="N28" i="1" s="1"/>
  <c r="Q28" i="1" s="1"/>
  <c r="K28" i="1" s="1"/>
  <c r="L28" i="1" s="1"/>
  <c r="AB22" i="1" l="1"/>
  <c r="U22" i="1"/>
  <c r="Y22" i="1" s="1"/>
  <c r="AA22" i="1"/>
  <c r="U26" i="1"/>
  <c r="Y26" i="1" s="1"/>
  <c r="AB26" i="1"/>
  <c r="AA26" i="1"/>
  <c r="U24" i="1"/>
  <c r="Y24" i="1" s="1"/>
  <c r="AB24" i="1"/>
  <c r="AC24" i="1" s="1"/>
  <c r="AA24" i="1"/>
  <c r="U29" i="1"/>
  <c r="Y29" i="1" s="1"/>
  <c r="AB29" i="1"/>
  <c r="AA29" i="1"/>
  <c r="U31" i="1"/>
  <c r="Y31" i="1" s="1"/>
  <c r="AB31" i="1"/>
  <c r="AA31" i="1"/>
  <c r="AC30" i="1"/>
  <c r="AB20" i="1"/>
  <c r="AC20" i="1" s="1"/>
  <c r="AA20" i="1"/>
  <c r="U20" i="1"/>
  <c r="Y20" i="1" s="1"/>
  <c r="P20" i="1"/>
  <c r="N20" i="1" s="1"/>
  <c r="Q20" i="1" s="1"/>
  <c r="K20" i="1" s="1"/>
  <c r="L20" i="1" s="1"/>
  <c r="P24" i="1"/>
  <c r="N24" i="1" s="1"/>
  <c r="Q24" i="1" s="1"/>
  <c r="K24" i="1" s="1"/>
  <c r="L24" i="1" s="1"/>
  <c r="U19" i="1"/>
  <c r="Y19" i="1" s="1"/>
  <c r="AB19" i="1"/>
  <c r="AC19" i="1" s="1"/>
  <c r="AA19" i="1"/>
  <c r="AC25" i="1"/>
  <c r="P22" i="1"/>
  <c r="N22" i="1" s="1"/>
  <c r="Q22" i="1" s="1"/>
  <c r="K22" i="1" s="1"/>
  <c r="L22" i="1" s="1"/>
  <c r="P29" i="1"/>
  <c r="N29" i="1" s="1"/>
  <c r="Q29" i="1" s="1"/>
  <c r="K29" i="1" s="1"/>
  <c r="L29" i="1" s="1"/>
  <c r="U21" i="1"/>
  <c r="Y21" i="1" s="1"/>
  <c r="AB21" i="1"/>
  <c r="AA21" i="1"/>
  <c r="AB28" i="1"/>
  <c r="U28" i="1"/>
  <c r="Y28" i="1" s="1"/>
  <c r="AA28" i="1"/>
  <c r="P21" i="1"/>
  <c r="N21" i="1" s="1"/>
  <c r="Q21" i="1" s="1"/>
  <c r="K21" i="1" s="1"/>
  <c r="L21" i="1" s="1"/>
  <c r="P26" i="1"/>
  <c r="N26" i="1" s="1"/>
  <c r="Q26" i="1" s="1"/>
  <c r="K26" i="1" s="1"/>
  <c r="L26" i="1" s="1"/>
  <c r="AB23" i="1"/>
  <c r="U23" i="1"/>
  <c r="Y23" i="1" s="1"/>
  <c r="AA23" i="1"/>
  <c r="AB18" i="1"/>
  <c r="U18" i="1"/>
  <c r="Y18" i="1" s="1"/>
  <c r="AA18" i="1"/>
  <c r="AC17" i="1"/>
  <c r="P31" i="1"/>
  <c r="N31" i="1" s="1"/>
  <c r="Q31" i="1" s="1"/>
  <c r="K31" i="1" s="1"/>
  <c r="L31" i="1" s="1"/>
  <c r="AC27" i="1"/>
  <c r="AC23" i="1" l="1"/>
  <c r="AC18" i="1"/>
  <c r="AC31" i="1"/>
  <c r="AC29" i="1"/>
  <c r="AC28" i="1"/>
  <c r="AC21" i="1"/>
  <c r="AC26" i="1"/>
  <c r="AC22" i="1"/>
</calcChain>
</file>

<file path=xl/sharedStrings.xml><?xml version="1.0" encoding="utf-8"?>
<sst xmlns="http://schemas.openxmlformats.org/spreadsheetml/2006/main" count="788" uniqueCount="360">
  <si>
    <t>File opened</t>
  </si>
  <si>
    <t>2020-08-07 12:34:16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</si>
  <si>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</si>
  <si>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</si>
  <si>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</si>
  <si>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</si>
  <si>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</si>
  <si>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</si>
  <si>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</si>
  <si>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</si>
  <si>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</si>
  <si>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</si>
  <si>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</si>
  <si>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{"co2aspanconc1": "1002", "chamberpressurezero": "2.59209", "co2azero": "0.869071", "h2oaspan1": "1.00223", "h2oazero": "1.00263", "ssb_ref": "36526.8", "h2obspan2a": "0.0975941", "tazero": "0.00774765", "co2aspan2b": "0.163711", "co2aspan2a": "0.164928", "h2oaspanconc2": "0", "h2oaspan2a": "0.0661155", "co2bspanconc1": "1002", "h2oaspan2b": "0.0662632", "h2obspan2b": "0.0963575", "co2aspanconc2": "0", "h2obspanconc1": "20", "co2aspan2": "0", "flowazero": "0.42932", "h2obspan1": "0.998578", "oxygen": "21", "co2bspan2a": "0.163389", "co2bspan1": "0.992131", "h2oaspan2": "0", "h2oaspanconc1": "12.19", "h2obzero": "1.01783", "tbzero": "0.197721", "co2aspan1": "0.992625", "h2obspan2": "0", "co2bzero": "0.880288", "flowmeterzero": "0.990908", "ssa_ref": "36614.9", "co2bspan2": "0", "h2obspanconc2": "0", "co2bspanconc2": "0", "co2bspan2b": "0.162103", "flowbzero": "0.22736"}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</si>
  <si>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</si>
  <si>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</si>
  <si>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</si>
  <si>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</si>
  <si>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</si>
  <si>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</si>
  <si>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</si>
  <si>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</si>
  <si>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</si>
  <si>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12:34:16</t>
  </si>
  <si>
    <t>Stability Definition:	CO2_s (Meas): Slp&lt;0.3	H2O_s (Meas): Slp&lt;0.2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</si>
  <si>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</si>
  <si>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</si>
  <si>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</si>
  <si>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</si>
  <si>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</si>
  <si>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</si>
  <si>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</si>
  <si>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</si>
  <si>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</si>
  <si>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</si>
  <si>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</si>
  <si>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</si>
  <si>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</si>
  <si>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</si>
  <si>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</si>
  <si>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</si>
  <si>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</si>
  <si>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</si>
  <si>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</si>
  <si>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</si>
  <si>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</si>
  <si>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</si>
  <si>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</si>
  <si>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</si>
  <si>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</si>
  <si>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</si>
  <si>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</si>
  <si>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</si>
  <si>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</si>
  <si>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</si>
  <si>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</si>
  <si>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</si>
  <si>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</si>
  <si>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</si>
  <si>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</si>
  <si>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</si>
  <si>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</si>
  <si>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</si>
  <si>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</si>
  <si>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</si>
  <si>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</si>
  <si>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</si>
  <si>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</si>
  <si>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</si>
  <si>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</si>
  <si>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</si>
  <si>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3.02491 76.925 386.185 618.874 847.247 1053.45 1228.52 1400.43</t>
  </si>
  <si>
    <t>Fs_true</t>
  </si>
  <si>
    <t>0.304308 100.02 403.273 601.289 800.851 1000.77 1199.91 1400.15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</si>
  <si>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</si>
  <si>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</si>
  <si>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</si>
  <si>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</si>
  <si>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</si>
  <si>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</si>
  <si>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</si>
  <si>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</si>
  <si>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</si>
  <si>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</si>
  <si>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</si>
  <si>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</si>
  <si>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</si>
  <si>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</si>
  <si>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</si>
  <si>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</si>
  <si>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</si>
  <si>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</si>
  <si>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</si>
  <si>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</si>
  <si>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</si>
  <si>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</si>
  <si>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</si>
  <si>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</si>
  <si>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</si>
  <si>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</si>
  <si>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</si>
  <si>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</si>
  <si>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</si>
  <si>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</si>
  <si>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</si>
  <si>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</si>
  <si>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</si>
  <si>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</si>
  <si>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</si>
  <si>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</si>
  <si>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</si>
  <si>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</si>
  <si>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</si>
  <si>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</si>
  <si>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</si>
  <si>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</si>
  <si>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</si>
  <si>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</si>
  <si>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</si>
  <si>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</si>
  <si>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</si>
  <si>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</si>
  <si>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</si>
  <si>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</si>
  <si>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</si>
  <si>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</si>
  <si>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</si>
  <si>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</si>
  <si>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</si>
  <si>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</si>
  <si>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</si>
  <si>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</si>
  <si>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</si>
  <si>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</si>
  <si>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</si>
  <si>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</si>
  <si>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</si>
  <si>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</si>
  <si>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</si>
  <si>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</si>
  <si>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</si>
  <si>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</si>
  <si>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</si>
  <si>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</si>
  <si>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</si>
  <si>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</si>
  <si>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</si>
  <si>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</si>
  <si>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</si>
  <si>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</si>
  <si>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</si>
  <si>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</si>
  <si>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</si>
  <si>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</si>
  <si>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</si>
  <si>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</si>
  <si>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</si>
  <si>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</si>
  <si>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</si>
  <si>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</si>
  <si>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</si>
  <si>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</si>
  <si>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</si>
  <si>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</si>
  <si>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</si>
  <si>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</si>
  <si>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</si>
  <si>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</si>
  <si>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</si>
  <si>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</si>
  <si>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</si>
  <si>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</si>
  <si>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</si>
  <si>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</si>
  <si>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</si>
  <si>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</si>
  <si>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</si>
  <si>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</si>
  <si>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</si>
  <si>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</si>
  <si>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</si>
  <si>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</si>
  <si>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</si>
  <si>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</si>
  <si>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</si>
  <si>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</si>
  <si>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</si>
  <si>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</si>
  <si>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</si>
  <si>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</si>
  <si>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</si>
  <si>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</si>
  <si>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</si>
  <si>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</si>
  <si>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</si>
  <si>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</si>
  <si>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</si>
  <si>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</si>
  <si>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</si>
  <si>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</si>
  <si>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</si>
  <si>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</si>
  <si>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</si>
  <si>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</si>
  <si>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</si>
  <si>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</si>
  <si>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</si>
  <si>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</si>
  <si>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</si>
  <si>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</si>
  <si>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</si>
  <si>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</si>
  <si>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</si>
  <si>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</si>
  <si>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</si>
  <si>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</si>
  <si>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</si>
  <si>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</si>
  <si>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</si>
  <si>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</si>
  <si>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</si>
  <si>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</si>
  <si>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</si>
  <si>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</si>
  <si>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</si>
  <si>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</si>
  <si>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</si>
  <si>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</si>
  <si>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</si>
  <si>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</si>
  <si>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</si>
  <si>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</si>
  <si>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</si>
  <si>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</si>
  <si>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</si>
  <si>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</si>
  <si>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</si>
  <si>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</si>
  <si>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</si>
  <si>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</si>
  <si>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</si>
  <si>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</si>
  <si>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</si>
  <si>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</si>
  <si>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</si>
  <si>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</si>
  <si>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</si>
  <si>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</si>
  <si>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</si>
  <si>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</si>
  <si>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</si>
  <si>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</si>
  <si>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</si>
  <si>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</si>
  <si>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</si>
  <si>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</si>
  <si>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</si>
  <si>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</si>
  <si>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</si>
  <si>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</si>
  <si>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</si>
  <si>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</si>
  <si>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</si>
  <si>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</si>
  <si>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</si>
  <si>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</si>
  <si>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</si>
  <si>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</si>
  <si>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</si>
  <si>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</si>
  <si>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</si>
  <si>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</si>
  <si>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</si>
  <si>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</si>
  <si>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</si>
  <si>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</si>
  <si>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</si>
  <si>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20200807 12:52:13</t>
  </si>
  <si>
    <t>12:52:13</t>
  </si>
  <si>
    <t>MPF-5789-20200807-12_52_15</t>
  </si>
  <si>
    <t>DARK-5790-20200807-12_52_23</t>
  </si>
  <si>
    <t>0: Broadleaf</t>
  </si>
  <si>
    <t>12:52:38</t>
  </si>
  <si>
    <t>2/2</t>
  </si>
  <si>
    <t>5</t>
  </si>
  <si>
    <t>11111111</t>
  </si>
  <si>
    <t>oooooooo</t>
  </si>
  <si>
    <t>off</t>
  </si>
  <si>
    <t>20200807 12:54:10</t>
  </si>
  <si>
    <t>12:54:10</t>
  </si>
  <si>
    <t>MPF-5791-20200807-12_54_12</t>
  </si>
  <si>
    <t>DARK-5792-20200807-12_54_20</t>
  </si>
  <si>
    <t>12:54:34</t>
  </si>
  <si>
    <t>20200807 12:56:05</t>
  </si>
  <si>
    <t>12:56:05</t>
  </si>
  <si>
    <t>MPF-5793-20200807-12_56_07</t>
  </si>
  <si>
    <t>DARK-5794-20200807-12_56_15</t>
  </si>
  <si>
    <t>12:56:29</t>
  </si>
  <si>
    <t>20200807 12:58:05</t>
  </si>
  <si>
    <t>12:58:05</t>
  </si>
  <si>
    <t>MPF-5795-20200807-12_58_07</t>
  </si>
  <si>
    <t>DARK-5796-20200807-12_58_14</t>
  </si>
  <si>
    <t>12:58:28</t>
  </si>
  <si>
    <t>20200807 13:00:00</t>
  </si>
  <si>
    <t>13:00:00</t>
  </si>
  <si>
    <t>MPF-5797-20200807-13_00_02</t>
  </si>
  <si>
    <t>DARK-5798-20200807-13_00_09</t>
  </si>
  <si>
    <t>13:00:24</t>
  </si>
  <si>
    <t>20200807 13:01:55</t>
  </si>
  <si>
    <t>13:01:55</t>
  </si>
  <si>
    <t>MPF-5799-20200807-13_01_57</t>
  </si>
  <si>
    <t>DARK-5800-20200807-13_02_05</t>
  </si>
  <si>
    <t>13:02:21</t>
  </si>
  <si>
    <t>20200807 13:03:54</t>
  </si>
  <si>
    <t>13:03:54</t>
  </si>
  <si>
    <t>MPF-5801-20200807-13_03_55</t>
  </si>
  <si>
    <t>DARK-5802-20200807-13_04_03</t>
  </si>
  <si>
    <t>13:04:18</t>
  </si>
  <si>
    <t>20200807 13:06:19</t>
  </si>
  <si>
    <t>13:06:19</t>
  </si>
  <si>
    <t>MPF-5803-20200807-13_06_21</t>
  </si>
  <si>
    <t>DARK-5804-20200807-13_06_29</t>
  </si>
  <si>
    <t>13:06:44</t>
  </si>
  <si>
    <t>1/2</t>
  </si>
  <si>
    <t>20200807 13:08:30</t>
  </si>
  <si>
    <t>13:08:30</t>
  </si>
  <si>
    <t>MPF-5805-20200807-13_08_32</t>
  </si>
  <si>
    <t>DARK-5806-20200807-13_08_40</t>
  </si>
  <si>
    <t>13:08:58</t>
  </si>
  <si>
    <t>20200807 13:10:59</t>
  </si>
  <si>
    <t>13:10:59</t>
  </si>
  <si>
    <t>MPF-5807-20200807-13_11_01</t>
  </si>
  <si>
    <t>DARK-5808-20200807-13_11_08</t>
  </si>
  <si>
    <t>13:11:22</t>
  </si>
  <si>
    <t>0/2</t>
  </si>
  <si>
    <t>20200807 13:13:24</t>
  </si>
  <si>
    <t>13:13:24</t>
  </si>
  <si>
    <t>MPF-5809-20200807-13_13_25</t>
  </si>
  <si>
    <t>DARK-5810-20200807-13_13_33</t>
  </si>
  <si>
    <t>13:13:55</t>
  </si>
  <si>
    <t>20200807 13:15:56</t>
  </si>
  <si>
    <t>13:15:56</t>
  </si>
  <si>
    <t>MPF-5811-20200807-13_15_58</t>
  </si>
  <si>
    <t>DARK-5812-20200807-13_16_05</t>
  </si>
  <si>
    <t>13:16:29</t>
  </si>
  <si>
    <t>20200807 13:18:31</t>
  </si>
  <si>
    <t>13:18:31</t>
  </si>
  <si>
    <t>MPF-5813-20200807-13_18_32</t>
  </si>
  <si>
    <t>DARK-5814-20200807-13_18_40</t>
  </si>
  <si>
    <t>13:19:03</t>
  </si>
  <si>
    <t>20200807 13:21:05</t>
  </si>
  <si>
    <t>13:21:05</t>
  </si>
  <si>
    <t>MPF-5815-20200807-13_21_06</t>
  </si>
  <si>
    <t>DARK-5816-20200807-13_21_14</t>
  </si>
  <si>
    <t>13:21:39</t>
  </si>
  <si>
    <t>20200807 13:23:41</t>
  </si>
  <si>
    <t>13:23:41</t>
  </si>
  <si>
    <t>MPF-5817-20200807-13_23_42</t>
  </si>
  <si>
    <t>DARK-5818-20200807-13_23_50</t>
  </si>
  <si>
    <t>13:24:01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</si>
</sst>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1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1596822733.9000001</v>
      </c>
      <c r="C17">
        <v>0</v>
      </c>
      <c r="D17" t="s">
        <v>277</v>
      </c>
      <c r="E17" t="s">
        <v>278</v>
      </c>
      <c r="G17">
        <v>1596822725.9000001</v>
      </c>
      <c r="H17">
        <f t="shared" ref="H17:H31" si="0">CC17*AI17*(CA17-CB17)/(100*$B$5*(1000-AI17*CA17))</f>
        <v>5.1026344993496241E-3</v>
      </c>
      <c r="I17">
        <f t="shared" ref="I17:I31" si="1">CC17*AI17*(BZ17-BY17*(1000-AI17*CB17)/(1000-AI17*CA17))/(100*$B$5)</f>
        <v>29.081404588209772</v>
      </c>
      <c r="J17">
        <f t="shared" ref="J17:J31" si="2">BY17 - IF(AI17&gt;1, I17*$B$5*100/(AK17*CI17), 0)</f>
        <v>387.57135483871002</v>
      </c>
      <c r="K17">
        <f t="shared" ref="K17:K31" si="3">((Q17-H17/2)*J17-I17)/(Q17+H17/2)</f>
        <v>219.22778295695716</v>
      </c>
      <c r="L17">
        <f t="shared" ref="L17:L31" si="4">K17*(CD17+CE17)/1000</f>
        <v>21.90757602287707</v>
      </c>
      <c r="M17">
        <f t="shared" ref="M17:M31" si="5">(BY17 - IF(AI17&gt;1, I17*$B$5*100/(AK17*CI17), 0))*(CD17+CE17)/1000</f>
        <v>38.730259485795031</v>
      </c>
      <c r="N17">
        <f t="shared" ref="N17:N31" si="6">2/((1/P17-1/O17)+SIGN(P17)*SQRT((1/P17-1/O17)*(1/P17-1/O17) + 4*BV17/((BV17+1)*(BV17+1))*(2*1/P17*1/O17-1/O17*1/O17)))</f>
        <v>0.30346042319635025</v>
      </c>
      <c r="O17">
        <f t="shared" ref="O17:O31" si="7">AF17+AE17*$B$5+AD17*$B$5*$B$5</f>
        <v>3.3926652631668675</v>
      </c>
      <c r="P17">
        <f t="shared" ref="P17:P31" si="8">H17*(1000-(1000*0.61365*EXP(17.502*T17/(240.97+T17))/(CD17+CE17)+CA17)/2)/(1000*0.61365*EXP(17.502*T17/(240.97+T17))/(CD17+CE17)-CA17)</f>
        <v>0.28914699801484761</v>
      </c>
      <c r="Q17">
        <f t="shared" ref="Q17:Q31" si="9">1/((BV17+1)/(N17/1.6)+1/(O17/1.37)) + BV17/((BV17+1)/(N17/1.6) + BV17/(O17/1.37))</f>
        <v>0.18194660688957173</v>
      </c>
      <c r="R17">
        <f t="shared" ref="R17:R31" si="10">(BS17*BU17)</f>
        <v>353.33916248097631</v>
      </c>
      <c r="S17">
        <f t="shared" ref="S17:S31" si="11">(CF17+(R17+2*0.95*0.0000000567*(((CF17+$B$7)+273)^4-(CF17+273)^4)-44100*H17)/(1.84*29.3*O17+8*0.95*0.0000000567*(CF17+273)^3))</f>
        <v>26.928264952855919</v>
      </c>
      <c r="T17">
        <f t="shared" ref="T17:T31" si="12">($C$7*CG17+$D$7*CH17+$E$7*S17)</f>
        <v>27.046009677419399</v>
      </c>
      <c r="U17">
        <f t="shared" ref="U17:U31" si="13">0.61365*EXP(17.502*T17/(240.97+T17))</f>
        <v>3.5888429357279876</v>
      </c>
      <c r="V17">
        <f t="shared" ref="V17:V31" si="14">(W17/X17*100)</f>
        <v>54.650604858579541</v>
      </c>
      <c r="W17">
        <f t="shared" ref="W17:W31" si="15">CA17*(CD17+CE17)/1000</f>
        <v>1.8735447342089522</v>
      </c>
      <c r="X17">
        <f t="shared" ref="X17:X31" si="16">0.61365*EXP(17.502*CF17/(240.97+CF17))</f>
        <v>3.4282232356936597</v>
      </c>
      <c r="Y17">
        <f t="shared" ref="Y17:Y31" si="17">(U17-CA17*(CD17+CE17)/1000)</f>
        <v>1.7152982015190354</v>
      </c>
      <c r="Z17">
        <f t="shared" ref="Z17:Z31" si="18">(-H17*44100)</f>
        <v>-225.02618142131843</v>
      </c>
      <c r="AA17">
        <f t="shared" ref="AA17:AA31" si="19">2*29.3*O17*0.92*(CF17-T17)</f>
        <v>-142.22780547105185</v>
      </c>
      <c r="AB17">
        <f t="shared" ref="AB17:AB31" si="20">2*0.95*0.0000000567*(((CF17+$B$7)+273)^4-(T17+273)^4)</f>
        <v>-9.0163263406295542</v>
      </c>
      <c r="AC17">
        <f t="shared" ref="AC17:AC31" si="21">R17+AB17+Z17+AA17</f>
        <v>-22.931150752023541</v>
      </c>
      <c r="AD17">
        <v>-4.1334100875039199E-2</v>
      </c>
      <c r="AE17">
        <v>4.64011492983471E-2</v>
      </c>
      <c r="AF17">
        <v>3.4651993680703299</v>
      </c>
      <c r="AG17">
        <v>137</v>
      </c>
      <c r="AH17">
        <v>27</v>
      </c>
      <c r="AI17">
        <f t="shared" ref="AI17:AI31" si="22">IF(AG17*$H$13&gt;=AK17,1,(AK17/(AK17-AG17*$H$13)))</f>
        <v>1</v>
      </c>
      <c r="AJ17">
        <f t="shared" ref="AJ17:AJ31" si="23">(AI17-1)*100</f>
        <v>0</v>
      </c>
      <c r="AK17">
        <f t="shared" ref="AK17:AK31" si="24">MAX(0,($B$13+$C$13*CI17)/(1+$D$13*CI17)*CD17/(CF17+273)*$E$13)</f>
        <v>52837.500900668609</v>
      </c>
      <c r="AL17">
        <v>0</v>
      </c>
      <c r="AM17">
        <v>0</v>
      </c>
      <c r="AN17">
        <v>0</v>
      </c>
      <c r="AO17">
        <f t="shared" ref="AO17:AO31" si="25">AN17-AM17</f>
        <v>0</v>
      </c>
      <c r="AP17" t="e">
        <f t="shared" ref="AP17:AP31" si="26">AO17/AN17</f>
        <v>#DIV/0!</v>
      </c>
      <c r="AQ17">
        <v>-1</v>
      </c>
      <c r="AR17" t="s">
        <v>279</v>
      </c>
      <c r="AS17">
        <v>257.38583999999997</v>
      </c>
      <c r="AT17">
        <v>365.49</v>
      </c>
      <c r="AU17">
        <f t="shared" ref="AU17:AU31" si="27">1-AS17/AT17</f>
        <v>0.29577870803578765</v>
      </c>
      <c r="AV17">
        <v>0.5</v>
      </c>
      <c r="AW17">
        <f t="shared" ref="AW17:AW31" si="28">BS17</f>
        <v>1849.1923642251847</v>
      </c>
      <c r="AX17">
        <f t="shared" ref="AX17:AX31" si="29">I17</f>
        <v>29.081404588209772</v>
      </c>
      <c r="AY17">
        <f t="shared" ref="AY17:AY31" si="30">AU17*AV17*AW17</f>
        <v>273.4758642000844</v>
      </c>
      <c r="AZ17">
        <f t="shared" ref="AZ17:AZ31" si="31">BE17/AT17</f>
        <v>0.5077293496402091</v>
      </c>
      <c r="BA17">
        <f t="shared" ref="BA17:BA31" si="32">(AX17-AQ17)/AW17</f>
        <v>1.6267320355724018E-2</v>
      </c>
      <c r="BB17">
        <f t="shared" ref="BB17:BB31" si="33">(AN17-AT17)/AT17</f>
        <v>-1</v>
      </c>
      <c r="BC17" t="s">
        <v>280</v>
      </c>
      <c r="BD17">
        <v>179.92</v>
      </c>
      <c r="BE17">
        <f t="shared" ref="BE17:BE31" si="34">AT17-BD17</f>
        <v>185.57000000000002</v>
      </c>
      <c r="BF17">
        <f t="shared" ref="BF17:BF31" si="35">(AT17-AS17)/(AT17-BD17)</f>
        <v>0.58255192110793785</v>
      </c>
      <c r="BG17">
        <f t="shared" ref="BG17:BG31" si="36">(AN17-AT17)/(AN17-BD17)</f>
        <v>2.0314028457092044</v>
      </c>
      <c r="BH17">
        <f t="shared" ref="BH17:BH31" si="37">(AT17-AS17)/(AT17-AM17)</f>
        <v>0.29577870803578765</v>
      </c>
      <c r="BI17" t="e">
        <f t="shared" ref="BI17:BI31" si="38">(AN17-AT17)/(AN17-AM17)</f>
        <v>#DIV/0!</v>
      </c>
      <c r="BJ17">
        <v>5789</v>
      </c>
      <c r="BK17">
        <v>300</v>
      </c>
      <c r="BL17">
        <v>300</v>
      </c>
      <c r="BM17">
        <v>300</v>
      </c>
      <c r="BN17">
        <v>9867.9500000000007</v>
      </c>
      <c r="BO17">
        <v>331.26799999999997</v>
      </c>
      <c r="BP17">
        <v>-6.4002900000000003E-3</v>
      </c>
      <c r="BQ17">
        <v>0.42962600000000001</v>
      </c>
      <c r="BR17">
        <f t="shared" ref="BR17:BR31" si="39">$B$11*CJ17+$C$11*CK17+$F$11*CL17</f>
        <v>2200.0083870967701</v>
      </c>
      <c r="BS17">
        <f t="shared" ref="BS17:BS31" si="40">BR17*BT17</f>
        <v>1849.1923642251847</v>
      </c>
      <c r="BT17">
        <f t="shared" ref="BT17:BT31" si="41">($B$11*$D$9+$C$11*$D$9+$F$11*((CY17+CQ17)/MAX(CY17+CQ17+CZ17, 0.1)*$I$9+CZ17/MAX(CY17+CQ17+CZ17, 0.1)*$J$9))/($B$11+$C$11+$F$11)</f>
        <v>0.84053877933868337</v>
      </c>
      <c r="BU17">
        <f t="shared" ref="BU17:BU31" si="42">($B$11*$K$9+$C$11*$K$9+$F$11*((CY17+CQ17)/MAX(CY17+CQ17+CZ17, 0.1)*$P$9+CZ17/MAX(CY17+CQ17+CZ17, 0.1)*$Q$9))/($B$11+$C$11+$F$11)</f>
        <v>0.19107755867736675</v>
      </c>
      <c r="BV17">
        <v>0.5</v>
      </c>
      <c r="BW17" t="s">
        <v>281</v>
      </c>
      <c r="BX17">
        <v>1596822725.9000001</v>
      </c>
      <c r="BY17">
        <v>387.57135483871002</v>
      </c>
      <c r="BZ17">
        <v>399.99312903225803</v>
      </c>
      <c r="CA17">
        <v>18.748448387096801</v>
      </c>
      <c r="CB17">
        <v>16.745958064516099</v>
      </c>
      <c r="CC17">
        <v>500.07412903225799</v>
      </c>
      <c r="CD17">
        <v>99.7306806451613</v>
      </c>
      <c r="CE17">
        <v>0.19997470967741901</v>
      </c>
      <c r="CF17">
        <v>26.268406451612901</v>
      </c>
      <c r="CG17">
        <v>27.046009677419399</v>
      </c>
      <c r="CH17">
        <v>999.9</v>
      </c>
      <c r="CI17">
        <v>9994.8374193548407</v>
      </c>
      <c r="CJ17">
        <v>0</v>
      </c>
      <c r="CK17">
        <v>345.36777419354797</v>
      </c>
      <c r="CL17">
        <v>2200.0083870967701</v>
      </c>
      <c r="CM17">
        <v>0.98199967741935501</v>
      </c>
      <c r="CN17">
        <v>1.80006387096774E-2</v>
      </c>
      <c r="CO17">
        <v>0</v>
      </c>
      <c r="CP17">
        <v>257.41019354838699</v>
      </c>
      <c r="CQ17">
        <v>5.00054</v>
      </c>
      <c r="CR17">
        <v>8337.8722580645208</v>
      </c>
      <c r="CS17">
        <v>20590.619354838698</v>
      </c>
      <c r="CT17">
        <v>48.909064516129</v>
      </c>
      <c r="CU17">
        <v>51.201225806451603</v>
      </c>
      <c r="CV17">
        <v>49.377000000000002</v>
      </c>
      <c r="CW17">
        <v>49.929064516129003</v>
      </c>
      <c r="CX17">
        <v>50.158999999999999</v>
      </c>
      <c r="CY17">
        <v>2155.49774193548</v>
      </c>
      <c r="CZ17">
        <v>39.510645161290299</v>
      </c>
      <c r="DA17">
        <v>0</v>
      </c>
      <c r="DB17">
        <v>2220.2000000476801</v>
      </c>
      <c r="DC17">
        <v>257.38583999999997</v>
      </c>
      <c r="DD17">
        <v>-0.65292308266101196</v>
      </c>
      <c r="DE17">
        <v>-23.399230731295098</v>
      </c>
      <c r="DF17">
        <v>8337.3667999999998</v>
      </c>
      <c r="DG17">
        <v>15</v>
      </c>
      <c r="DH17">
        <v>1596822758.9000001</v>
      </c>
      <c r="DI17" t="s">
        <v>282</v>
      </c>
      <c r="DJ17">
        <v>45</v>
      </c>
      <c r="DK17">
        <v>-0.27500000000000002</v>
      </c>
      <c r="DL17">
        <v>0.113</v>
      </c>
      <c r="DM17">
        <v>400</v>
      </c>
      <c r="DN17">
        <v>17</v>
      </c>
      <c r="DO17">
        <v>0.36</v>
      </c>
      <c r="DP17">
        <v>0.04</v>
      </c>
      <c r="DQ17">
        <v>387.99898076923103</v>
      </c>
      <c r="DR17">
        <v>-0.26155041406982699</v>
      </c>
      <c r="DS17">
        <v>3.5319688551973302E-2</v>
      </c>
      <c r="DT17">
        <v>1</v>
      </c>
      <c r="DU17">
        <v>18.764542307692299</v>
      </c>
      <c r="DV17">
        <v>-1.2594211559798899E-2</v>
      </c>
      <c r="DW17">
        <v>1.7507521629555199E-3</v>
      </c>
      <c r="DX17">
        <v>1</v>
      </c>
      <c r="DY17">
        <v>2</v>
      </c>
      <c r="DZ17">
        <v>2</v>
      </c>
      <c r="EA17" t="s">
        <v>283</v>
      </c>
      <c r="EB17">
        <v>1.8667499999999999</v>
      </c>
      <c r="EC17">
        <v>1.8632500000000001</v>
      </c>
      <c r="ED17">
        <v>1.8689</v>
      </c>
      <c r="EE17">
        <v>1.8668</v>
      </c>
      <c r="EF17">
        <v>1.87151</v>
      </c>
      <c r="EG17">
        <v>1.8640099999999999</v>
      </c>
      <c r="EH17">
        <v>1.86554</v>
      </c>
      <c r="EI17">
        <v>1.8655200000000001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-0.27500000000000002</v>
      </c>
      <c r="EX17">
        <v>0.113</v>
      </c>
      <c r="EY17">
        <v>2</v>
      </c>
      <c r="EZ17">
        <v>345.214</v>
      </c>
      <c r="FA17">
        <v>496.60300000000001</v>
      </c>
      <c r="FB17">
        <v>20.555599999999998</v>
      </c>
      <c r="FC17">
        <v>32.722900000000003</v>
      </c>
      <c r="FD17">
        <v>30.000599999999999</v>
      </c>
      <c r="FE17">
        <v>32.790599999999998</v>
      </c>
      <c r="FF17">
        <v>32.810400000000001</v>
      </c>
      <c r="FG17">
        <v>22.111499999999999</v>
      </c>
      <c r="FH17">
        <v>44.091299999999997</v>
      </c>
      <c r="FI17">
        <v>0</v>
      </c>
      <c r="FJ17">
        <v>20.505600000000001</v>
      </c>
      <c r="FK17">
        <v>400</v>
      </c>
      <c r="FL17">
        <v>16.816800000000001</v>
      </c>
      <c r="FM17">
        <v>100.929</v>
      </c>
      <c r="FN17">
        <v>101.492</v>
      </c>
    </row>
    <row r="18" spans="1:170" x14ac:dyDescent="0.25">
      <c r="A18">
        <v>2</v>
      </c>
      <c r="B18">
        <v>1596822850.9000001</v>
      </c>
      <c r="C18">
        <v>117</v>
      </c>
      <c r="D18" t="s">
        <v>288</v>
      </c>
      <c r="E18" t="s">
        <v>289</v>
      </c>
      <c r="G18">
        <v>1596822842.9000001</v>
      </c>
      <c r="H18">
        <f t="shared" si="0"/>
        <v>5.1575306856271805E-3</v>
      </c>
      <c r="I18">
        <f t="shared" si="1"/>
        <v>21.756248790674057</v>
      </c>
      <c r="J18">
        <f t="shared" si="2"/>
        <v>290.74087096774201</v>
      </c>
      <c r="K18">
        <f t="shared" si="3"/>
        <v>168.10253167382982</v>
      </c>
      <c r="L18">
        <f t="shared" si="4"/>
        <v>16.798421769576052</v>
      </c>
      <c r="M18">
        <f t="shared" si="5"/>
        <v>29.053624163415009</v>
      </c>
      <c r="N18">
        <f t="shared" si="6"/>
        <v>0.31233543405320191</v>
      </c>
      <c r="O18">
        <f t="shared" si="7"/>
        <v>3.3943959910608386</v>
      </c>
      <c r="P18">
        <f t="shared" si="8"/>
        <v>0.29720230397059427</v>
      </c>
      <c r="Q18">
        <f t="shared" si="9"/>
        <v>0.18704997464299103</v>
      </c>
      <c r="R18">
        <f t="shared" si="10"/>
        <v>353.33655206153776</v>
      </c>
      <c r="S18">
        <f t="shared" si="11"/>
        <v>26.845160297758142</v>
      </c>
      <c r="T18">
        <f t="shared" si="12"/>
        <v>27.011419354838701</v>
      </c>
      <c r="U18">
        <f t="shared" si="13"/>
        <v>3.5815608913783601</v>
      </c>
      <c r="V18">
        <f t="shared" si="14"/>
        <v>55.504914825554295</v>
      </c>
      <c r="W18">
        <f t="shared" si="15"/>
        <v>1.8949405242945991</v>
      </c>
      <c r="X18">
        <f t="shared" si="16"/>
        <v>3.4140049223572078</v>
      </c>
      <c r="Y18">
        <f t="shared" si="17"/>
        <v>1.686620367083761</v>
      </c>
      <c r="Z18">
        <f t="shared" si="18"/>
        <v>-227.44710323615865</v>
      </c>
      <c r="AA18">
        <f t="shared" si="19"/>
        <v>-148.84581073862344</v>
      </c>
      <c r="AB18">
        <f t="shared" si="20"/>
        <v>-9.4261019236692398</v>
      </c>
      <c r="AC18">
        <f t="shared" si="21"/>
        <v>-32.382463836913587</v>
      </c>
      <c r="AD18">
        <v>-4.13609072823721E-2</v>
      </c>
      <c r="AE18">
        <v>4.6431241838948499E-2</v>
      </c>
      <c r="AF18">
        <v>3.4669771365124298</v>
      </c>
      <c r="AG18">
        <v>136</v>
      </c>
      <c r="AH18">
        <v>27</v>
      </c>
      <c r="AI18">
        <f t="shared" si="22"/>
        <v>1</v>
      </c>
      <c r="AJ18">
        <f t="shared" si="23"/>
        <v>0</v>
      </c>
      <c r="AK18">
        <f t="shared" si="24"/>
        <v>52882.777643917936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251.23176000000001</v>
      </c>
      <c r="AT18">
        <v>341.73700000000002</v>
      </c>
      <c r="AU18">
        <f t="shared" si="27"/>
        <v>0.26483886731609396</v>
      </c>
      <c r="AV18">
        <v>0.5</v>
      </c>
      <c r="AW18">
        <f t="shared" si="28"/>
        <v>1849.1787964832581</v>
      </c>
      <c r="AX18">
        <f t="shared" si="29"/>
        <v>21.756248790674057</v>
      </c>
      <c r="AY18">
        <f t="shared" si="30"/>
        <v>244.86720896278194</v>
      </c>
      <c r="AZ18">
        <f t="shared" si="31"/>
        <v>0.47714177861923057</v>
      </c>
      <c r="BA18">
        <f t="shared" si="32"/>
        <v>1.2306137640098171E-2</v>
      </c>
      <c r="BB18">
        <f t="shared" si="33"/>
        <v>-1</v>
      </c>
      <c r="BC18" t="s">
        <v>291</v>
      </c>
      <c r="BD18">
        <v>178.68</v>
      </c>
      <c r="BE18">
        <f t="shared" si="34"/>
        <v>163.05700000000002</v>
      </c>
      <c r="BF18">
        <f t="shared" si="35"/>
        <v>0.55505277295669619</v>
      </c>
      <c r="BG18">
        <f t="shared" si="36"/>
        <v>1.9125643608685921</v>
      </c>
      <c r="BH18">
        <f t="shared" si="37"/>
        <v>0.26483886731609396</v>
      </c>
      <c r="BI18" t="e">
        <f t="shared" si="38"/>
        <v>#DIV/0!</v>
      </c>
      <c r="BJ18">
        <v>5791</v>
      </c>
      <c r="BK18">
        <v>300</v>
      </c>
      <c r="BL18">
        <v>300</v>
      </c>
      <c r="BM18">
        <v>300</v>
      </c>
      <c r="BN18">
        <v>9866.73</v>
      </c>
      <c r="BO18">
        <v>315.19099999999997</v>
      </c>
      <c r="BP18">
        <v>-6.3993000000000001E-3</v>
      </c>
      <c r="BQ18">
        <v>0.982483</v>
      </c>
      <c r="BR18">
        <f t="shared" si="39"/>
        <v>2199.9922580645198</v>
      </c>
      <c r="BS18">
        <f t="shared" si="40"/>
        <v>1849.1787964832581</v>
      </c>
      <c r="BT18">
        <f t="shared" si="41"/>
        <v>0.84053877449100856</v>
      </c>
      <c r="BU18">
        <f t="shared" si="42"/>
        <v>0.1910775489820174</v>
      </c>
      <c r="BV18">
        <v>0.5</v>
      </c>
      <c r="BW18" t="s">
        <v>281</v>
      </c>
      <c r="BX18">
        <v>1596822842.9000001</v>
      </c>
      <c r="BY18">
        <v>290.74087096774201</v>
      </c>
      <c r="BZ18">
        <v>300.04174193548403</v>
      </c>
      <c r="CA18">
        <v>18.962751612903201</v>
      </c>
      <c r="CB18">
        <v>16.939170967741902</v>
      </c>
      <c r="CC18">
        <v>500.07690322580601</v>
      </c>
      <c r="CD18">
        <v>99.729606451612895</v>
      </c>
      <c r="CE18">
        <v>0.20001151612903201</v>
      </c>
      <c r="CF18">
        <v>26.198048387096801</v>
      </c>
      <c r="CG18">
        <v>27.011419354838701</v>
      </c>
      <c r="CH18">
        <v>999.9</v>
      </c>
      <c r="CI18">
        <v>10001.4270967742</v>
      </c>
      <c r="CJ18">
        <v>0</v>
      </c>
      <c r="CK18">
        <v>345.31632258064502</v>
      </c>
      <c r="CL18">
        <v>2199.9922580645198</v>
      </c>
      <c r="CM18">
        <v>0.98200141935483898</v>
      </c>
      <c r="CN18">
        <v>1.7998809677419399E-2</v>
      </c>
      <c r="CO18">
        <v>0</v>
      </c>
      <c r="CP18">
        <v>251.25345161290301</v>
      </c>
      <c r="CQ18">
        <v>5.00054</v>
      </c>
      <c r="CR18">
        <v>8214.9106451612897</v>
      </c>
      <c r="CS18">
        <v>20590.483870967699</v>
      </c>
      <c r="CT18">
        <v>49.215483870967702</v>
      </c>
      <c r="CU18">
        <v>51.586387096774203</v>
      </c>
      <c r="CV18">
        <v>49.709387096774201</v>
      </c>
      <c r="CW18">
        <v>50.318258064516101</v>
      </c>
      <c r="CX18">
        <v>50.485774193548401</v>
      </c>
      <c r="CY18">
        <v>2155.48225806452</v>
      </c>
      <c r="CZ18">
        <v>39.51</v>
      </c>
      <c r="DA18">
        <v>0</v>
      </c>
      <c r="DB18">
        <v>116</v>
      </c>
      <c r="DC18">
        <v>251.23176000000001</v>
      </c>
      <c r="DD18">
        <v>-1.3421538566320701</v>
      </c>
      <c r="DE18">
        <v>-6.2376922472512097</v>
      </c>
      <c r="DF18">
        <v>8214.7656000000006</v>
      </c>
      <c r="DG18">
        <v>15</v>
      </c>
      <c r="DH18">
        <v>1596822874.4000001</v>
      </c>
      <c r="DI18" t="s">
        <v>292</v>
      </c>
      <c r="DJ18">
        <v>46</v>
      </c>
      <c r="DK18">
        <v>-0.35599999999999998</v>
      </c>
      <c r="DL18">
        <v>0.11799999999999999</v>
      </c>
      <c r="DM18">
        <v>300</v>
      </c>
      <c r="DN18">
        <v>17</v>
      </c>
      <c r="DO18">
        <v>0.33</v>
      </c>
      <c r="DP18">
        <v>0.05</v>
      </c>
      <c r="DQ18">
        <v>290.81517307692297</v>
      </c>
      <c r="DR18">
        <v>3.4756253735199E-2</v>
      </c>
      <c r="DS18">
        <v>1.8111536011240902E-2</v>
      </c>
      <c r="DT18">
        <v>1</v>
      </c>
      <c r="DU18">
        <v>18.963617307692299</v>
      </c>
      <c r="DV18">
        <v>-9.6895927601811399E-2</v>
      </c>
      <c r="DW18">
        <v>1.85493906301929E-2</v>
      </c>
      <c r="DX18">
        <v>1</v>
      </c>
      <c r="DY18">
        <v>2</v>
      </c>
      <c r="DZ18">
        <v>2</v>
      </c>
      <c r="EA18" t="s">
        <v>283</v>
      </c>
      <c r="EB18">
        <v>1.8667</v>
      </c>
      <c r="EC18">
        <v>1.8632500000000001</v>
      </c>
      <c r="ED18">
        <v>1.8689</v>
      </c>
      <c r="EE18">
        <v>1.8667800000000001</v>
      </c>
      <c r="EF18">
        <v>1.8714900000000001</v>
      </c>
      <c r="EG18">
        <v>1.8640099999999999</v>
      </c>
      <c r="EH18">
        <v>1.86554</v>
      </c>
      <c r="EI18">
        <v>1.86544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-0.35599999999999998</v>
      </c>
      <c r="EX18">
        <v>0.11799999999999999</v>
      </c>
      <c r="EY18">
        <v>2</v>
      </c>
      <c r="EZ18">
        <v>345.90300000000002</v>
      </c>
      <c r="FA18">
        <v>495.63299999999998</v>
      </c>
      <c r="FB18">
        <v>19.656500000000001</v>
      </c>
      <c r="FC18">
        <v>32.809399999999997</v>
      </c>
      <c r="FD18">
        <v>30.0002</v>
      </c>
      <c r="FE18">
        <v>32.840200000000003</v>
      </c>
      <c r="FF18">
        <v>32.856200000000001</v>
      </c>
      <c r="FG18">
        <v>17.638400000000001</v>
      </c>
      <c r="FH18">
        <v>42.943199999999997</v>
      </c>
      <c r="FI18">
        <v>0</v>
      </c>
      <c r="FJ18">
        <v>19.672799999999999</v>
      </c>
      <c r="FK18">
        <v>300</v>
      </c>
      <c r="FL18">
        <v>16.849299999999999</v>
      </c>
      <c r="FM18">
        <v>100.913</v>
      </c>
      <c r="FN18">
        <v>101.473</v>
      </c>
    </row>
    <row r="19" spans="1:170" x14ac:dyDescent="0.25">
      <c r="A19">
        <v>3</v>
      </c>
      <c r="B19">
        <v>1596822965.9000001</v>
      </c>
      <c r="C19">
        <v>232</v>
      </c>
      <c r="D19" t="s">
        <v>293</v>
      </c>
      <c r="E19" t="s">
        <v>294</v>
      </c>
      <c r="G19">
        <v>1596822957.9000001</v>
      </c>
      <c r="H19">
        <f t="shared" si="0"/>
        <v>5.6483802881479566E-3</v>
      </c>
      <c r="I19">
        <f t="shared" si="1"/>
        <v>13.765617595114779</v>
      </c>
      <c r="J19">
        <f t="shared" si="2"/>
        <v>194.04841935483901</v>
      </c>
      <c r="K19">
        <f t="shared" si="3"/>
        <v>122.06518375091463</v>
      </c>
      <c r="L19">
        <f t="shared" si="4"/>
        <v>12.198263752478585</v>
      </c>
      <c r="M19">
        <f t="shared" si="5"/>
        <v>19.39171946746167</v>
      </c>
      <c r="N19">
        <f t="shared" si="6"/>
        <v>0.34134796035846005</v>
      </c>
      <c r="O19">
        <f t="shared" si="7"/>
        <v>3.394043087761637</v>
      </c>
      <c r="P19">
        <f t="shared" si="8"/>
        <v>0.32335805177224214</v>
      </c>
      <c r="Q19">
        <f t="shared" si="9"/>
        <v>0.20363606045814672</v>
      </c>
      <c r="R19">
        <f t="shared" si="10"/>
        <v>353.34067075623909</v>
      </c>
      <c r="S19">
        <f t="shared" si="11"/>
        <v>26.685527968418405</v>
      </c>
      <c r="T19">
        <f t="shared" si="12"/>
        <v>26.983570967741901</v>
      </c>
      <c r="U19">
        <f t="shared" si="13"/>
        <v>3.5757075522621946</v>
      </c>
      <c r="V19">
        <f t="shared" si="14"/>
        <v>55.158527791373182</v>
      </c>
      <c r="W19">
        <f t="shared" si="15"/>
        <v>1.8777306211551645</v>
      </c>
      <c r="X19">
        <f t="shared" si="16"/>
        <v>3.4042435437314964</v>
      </c>
      <c r="Y19">
        <f t="shared" si="17"/>
        <v>1.6979769311070301</v>
      </c>
      <c r="Z19">
        <f t="shared" si="18"/>
        <v>-249.09357070732489</v>
      </c>
      <c r="AA19">
        <f t="shared" si="19"/>
        <v>-152.60030683461193</v>
      </c>
      <c r="AB19">
        <f t="shared" si="20"/>
        <v>-9.6611807093554596</v>
      </c>
      <c r="AC19">
        <f t="shared" si="21"/>
        <v>-58.014387495053171</v>
      </c>
      <c r="AD19">
        <v>-4.1355440832928698E-2</v>
      </c>
      <c r="AE19">
        <v>4.6425105270561103E-2</v>
      </c>
      <c r="AF19">
        <v>3.4666146405522298</v>
      </c>
      <c r="AG19">
        <v>137</v>
      </c>
      <c r="AH19">
        <v>27</v>
      </c>
      <c r="AI19">
        <f t="shared" si="22"/>
        <v>1</v>
      </c>
      <c r="AJ19">
        <f t="shared" si="23"/>
        <v>0</v>
      </c>
      <c r="AK19">
        <f t="shared" si="24"/>
        <v>52884.698223010389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295</v>
      </c>
      <c r="AS19">
        <v>249.1302</v>
      </c>
      <c r="AT19">
        <v>323.50299999999999</v>
      </c>
      <c r="AU19">
        <f t="shared" si="27"/>
        <v>0.22989833170016971</v>
      </c>
      <c r="AV19">
        <v>0.5</v>
      </c>
      <c r="AW19">
        <f t="shared" si="28"/>
        <v>1849.200473902614</v>
      </c>
      <c r="AX19">
        <f t="shared" si="29"/>
        <v>13.765617595114779</v>
      </c>
      <c r="AY19">
        <f t="shared" si="30"/>
        <v>212.56405196468708</v>
      </c>
      <c r="AZ19">
        <f t="shared" si="31"/>
        <v>0.44198353647415939</v>
      </c>
      <c r="BA19">
        <f t="shared" si="32"/>
        <v>7.9848657857808838E-3</v>
      </c>
      <c r="BB19">
        <f t="shared" si="33"/>
        <v>-1</v>
      </c>
      <c r="BC19" t="s">
        <v>296</v>
      </c>
      <c r="BD19">
        <v>180.52</v>
      </c>
      <c r="BE19">
        <f t="shared" si="34"/>
        <v>142.98299999999998</v>
      </c>
      <c r="BF19">
        <f t="shared" si="35"/>
        <v>0.52015134666358931</v>
      </c>
      <c r="BG19">
        <f t="shared" si="36"/>
        <v>1.7920618214048303</v>
      </c>
      <c r="BH19">
        <f t="shared" si="37"/>
        <v>0.22989833170016966</v>
      </c>
      <c r="BI19" t="e">
        <f t="shared" si="38"/>
        <v>#DIV/0!</v>
      </c>
      <c r="BJ19">
        <v>5793</v>
      </c>
      <c r="BK19">
        <v>300</v>
      </c>
      <c r="BL19">
        <v>300</v>
      </c>
      <c r="BM19">
        <v>300</v>
      </c>
      <c r="BN19">
        <v>9866.36</v>
      </c>
      <c r="BO19">
        <v>303.92099999999999</v>
      </c>
      <c r="BP19">
        <v>-6.3988600000000001E-3</v>
      </c>
      <c r="BQ19">
        <v>1.5806899999999999</v>
      </c>
      <c r="BR19">
        <f t="shared" si="39"/>
        <v>2200.0180645161299</v>
      </c>
      <c r="BS19">
        <f t="shared" si="40"/>
        <v>1849.200473902614</v>
      </c>
      <c r="BT19">
        <f t="shared" si="41"/>
        <v>0.8405387681711266</v>
      </c>
      <c r="BU19">
        <f t="shared" si="42"/>
        <v>0.1910775363422535</v>
      </c>
      <c r="BV19">
        <v>0.5</v>
      </c>
      <c r="BW19" t="s">
        <v>281</v>
      </c>
      <c r="BX19">
        <v>1596822957.9000001</v>
      </c>
      <c r="BY19">
        <v>194.04841935483901</v>
      </c>
      <c r="BZ19">
        <v>199.99219354838701</v>
      </c>
      <c r="CA19">
        <v>18.790012903225801</v>
      </c>
      <c r="CB19">
        <v>16.5734483870968</v>
      </c>
      <c r="CC19">
        <v>500.07541935483903</v>
      </c>
      <c r="CD19">
        <v>99.732374193548395</v>
      </c>
      <c r="CE19">
        <v>0.200001096774194</v>
      </c>
      <c r="CF19">
        <v>26.149596774193601</v>
      </c>
      <c r="CG19">
        <v>26.983570967741901</v>
      </c>
      <c r="CH19">
        <v>999.9</v>
      </c>
      <c r="CI19">
        <v>9999.8277419354908</v>
      </c>
      <c r="CJ19">
        <v>0</v>
      </c>
      <c r="CK19">
        <v>344.46083870967698</v>
      </c>
      <c r="CL19">
        <v>2200.0180645161299</v>
      </c>
      <c r="CM19">
        <v>0.98200167741935496</v>
      </c>
      <c r="CN19">
        <v>1.7998538709677402E-2</v>
      </c>
      <c r="CO19">
        <v>0</v>
      </c>
      <c r="CP19">
        <v>249.157451612903</v>
      </c>
      <c r="CQ19">
        <v>5.00054</v>
      </c>
      <c r="CR19">
        <v>8180.2822580645197</v>
      </c>
      <c r="CS19">
        <v>20590.7193548387</v>
      </c>
      <c r="CT19">
        <v>49.322290322580599</v>
      </c>
      <c r="CU19">
        <v>51.77</v>
      </c>
      <c r="CV19">
        <v>49.878935483870997</v>
      </c>
      <c r="CW19">
        <v>50.455354838709702</v>
      </c>
      <c r="CX19">
        <v>50.594387096774199</v>
      </c>
      <c r="CY19">
        <v>2155.5080645161302</v>
      </c>
      <c r="CZ19">
        <v>39.51</v>
      </c>
      <c r="DA19">
        <v>0</v>
      </c>
      <c r="DB19">
        <v>114.200000047684</v>
      </c>
      <c r="DC19">
        <v>249.1302</v>
      </c>
      <c r="DD19">
        <v>-1.9277692320186</v>
      </c>
      <c r="DE19">
        <v>-28.608461388705301</v>
      </c>
      <c r="DF19">
        <v>8179.9948000000004</v>
      </c>
      <c r="DG19">
        <v>15</v>
      </c>
      <c r="DH19">
        <v>1596822989.9000001</v>
      </c>
      <c r="DI19" t="s">
        <v>297</v>
      </c>
      <c r="DJ19">
        <v>47</v>
      </c>
      <c r="DK19">
        <v>-0.30599999999999999</v>
      </c>
      <c r="DL19">
        <v>0.111</v>
      </c>
      <c r="DM19">
        <v>200</v>
      </c>
      <c r="DN19">
        <v>17</v>
      </c>
      <c r="DO19">
        <v>0.47</v>
      </c>
      <c r="DP19">
        <v>0.04</v>
      </c>
      <c r="DQ19">
        <v>194.00028846153799</v>
      </c>
      <c r="DR19">
        <v>-2.0669341757048001E-2</v>
      </c>
      <c r="DS19">
        <v>7.5786556004362599E-3</v>
      </c>
      <c r="DT19">
        <v>1</v>
      </c>
      <c r="DU19">
        <v>18.780019230769199</v>
      </c>
      <c r="DV19">
        <v>0.19475181422353099</v>
      </c>
      <c r="DW19">
        <v>2.44554857654408E-2</v>
      </c>
      <c r="DX19">
        <v>1</v>
      </c>
      <c r="DY19">
        <v>2</v>
      </c>
      <c r="DZ19">
        <v>2</v>
      </c>
      <c r="EA19" t="s">
        <v>283</v>
      </c>
      <c r="EB19">
        <v>1.8667499999999999</v>
      </c>
      <c r="EC19">
        <v>1.8632500000000001</v>
      </c>
      <c r="ED19">
        <v>1.8689</v>
      </c>
      <c r="EE19">
        <v>1.8668100000000001</v>
      </c>
      <c r="EF19">
        <v>1.87151</v>
      </c>
      <c r="EG19">
        <v>1.8640099999999999</v>
      </c>
      <c r="EH19">
        <v>1.8655600000000001</v>
      </c>
      <c r="EI19">
        <v>1.8655200000000001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-0.30599999999999999</v>
      </c>
      <c r="EX19">
        <v>0.111</v>
      </c>
      <c r="EY19">
        <v>2</v>
      </c>
      <c r="EZ19">
        <v>345.62099999999998</v>
      </c>
      <c r="FA19">
        <v>494.45299999999997</v>
      </c>
      <c r="FB19">
        <v>20.663399999999999</v>
      </c>
      <c r="FC19">
        <v>32.909599999999998</v>
      </c>
      <c r="FD19">
        <v>30.000699999999998</v>
      </c>
      <c r="FE19">
        <v>32.909700000000001</v>
      </c>
      <c r="FF19">
        <v>32.917700000000004</v>
      </c>
      <c r="FG19">
        <v>12.9811</v>
      </c>
      <c r="FH19">
        <v>45.257300000000001</v>
      </c>
      <c r="FI19">
        <v>0</v>
      </c>
      <c r="FJ19">
        <v>20.513999999999999</v>
      </c>
      <c r="FK19">
        <v>200</v>
      </c>
      <c r="FL19">
        <v>16.508800000000001</v>
      </c>
      <c r="FM19">
        <v>100.895</v>
      </c>
      <c r="FN19">
        <v>101.456</v>
      </c>
    </row>
    <row r="20" spans="1:170" x14ac:dyDescent="0.25">
      <c r="A20">
        <v>4</v>
      </c>
      <c r="B20">
        <v>1596823085.4000001</v>
      </c>
      <c r="C20">
        <v>351.5</v>
      </c>
      <c r="D20" t="s">
        <v>298</v>
      </c>
      <c r="E20" t="s">
        <v>299</v>
      </c>
      <c r="G20">
        <v>1596823077.4000001</v>
      </c>
      <c r="H20">
        <f t="shared" si="0"/>
        <v>5.8556692559303056E-3</v>
      </c>
      <c r="I20">
        <f t="shared" si="1"/>
        <v>5.2383265700303632</v>
      </c>
      <c r="J20">
        <f t="shared" si="2"/>
        <v>97.678270967741994</v>
      </c>
      <c r="K20">
        <f t="shared" si="3"/>
        <v>70.806885521532024</v>
      </c>
      <c r="L20">
        <f t="shared" si="4"/>
        <v>7.0758003302884322</v>
      </c>
      <c r="M20">
        <f t="shared" si="5"/>
        <v>9.7610837828105854</v>
      </c>
      <c r="N20">
        <f t="shared" si="6"/>
        <v>0.35835465520378934</v>
      </c>
      <c r="O20">
        <f t="shared" si="7"/>
        <v>3.3935176870912827</v>
      </c>
      <c r="P20">
        <f t="shared" si="8"/>
        <v>0.33858036468674746</v>
      </c>
      <c r="Q20">
        <f t="shared" si="9"/>
        <v>0.21329838973026211</v>
      </c>
      <c r="R20">
        <f t="shared" si="10"/>
        <v>353.34046482150416</v>
      </c>
      <c r="S20">
        <f t="shared" si="11"/>
        <v>26.835741615879577</v>
      </c>
      <c r="T20">
        <f t="shared" si="12"/>
        <v>27.0164677419355</v>
      </c>
      <c r="U20">
        <f t="shared" si="13"/>
        <v>3.5826228863902334</v>
      </c>
      <c r="V20">
        <f t="shared" si="14"/>
        <v>55.217669564616045</v>
      </c>
      <c r="W20">
        <f t="shared" si="15"/>
        <v>1.9017655455892004</v>
      </c>
      <c r="X20">
        <f t="shared" si="16"/>
        <v>3.4441249704747916</v>
      </c>
      <c r="Y20">
        <f t="shared" si="17"/>
        <v>1.680857340801033</v>
      </c>
      <c r="Z20">
        <f t="shared" si="18"/>
        <v>-258.23501418652648</v>
      </c>
      <c r="AA20">
        <f t="shared" si="19"/>
        <v>-122.51778139393976</v>
      </c>
      <c r="AB20">
        <f t="shared" si="20"/>
        <v>-7.7667821913137098</v>
      </c>
      <c r="AC20">
        <f t="shared" si="21"/>
        <v>-35.179112950275808</v>
      </c>
      <c r="AD20">
        <v>-4.1347302885725301E-2</v>
      </c>
      <c r="AE20">
        <v>4.6415969711901997E-2</v>
      </c>
      <c r="AF20">
        <v>3.4660749592103799</v>
      </c>
      <c r="AG20">
        <v>136</v>
      </c>
      <c r="AH20">
        <v>27</v>
      </c>
      <c r="AI20">
        <f t="shared" si="22"/>
        <v>1</v>
      </c>
      <c r="AJ20">
        <f t="shared" si="23"/>
        <v>0</v>
      </c>
      <c r="AK20">
        <f t="shared" si="24"/>
        <v>52839.854276660102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300</v>
      </c>
      <c r="AS20">
        <v>250.32975999999999</v>
      </c>
      <c r="AT20">
        <v>313.12900000000002</v>
      </c>
      <c r="AU20">
        <f t="shared" si="27"/>
        <v>0.20055389312392025</v>
      </c>
      <c r="AV20">
        <v>0.5</v>
      </c>
      <c r="AW20">
        <f t="shared" si="28"/>
        <v>1849.1993900316468</v>
      </c>
      <c r="AX20">
        <f t="shared" si="29"/>
        <v>5.2383265700303632</v>
      </c>
      <c r="AY20">
        <f t="shared" si="30"/>
        <v>185.43206841661271</v>
      </c>
      <c r="AZ20">
        <f t="shared" si="31"/>
        <v>0.40784788377952863</v>
      </c>
      <c r="BA20">
        <f t="shared" si="32"/>
        <v>3.3735283515984732E-3</v>
      </c>
      <c r="BB20">
        <f t="shared" si="33"/>
        <v>-1</v>
      </c>
      <c r="BC20" t="s">
        <v>301</v>
      </c>
      <c r="BD20">
        <v>185.42</v>
      </c>
      <c r="BE20">
        <f t="shared" si="34"/>
        <v>127.70900000000003</v>
      </c>
      <c r="BF20">
        <f t="shared" si="35"/>
        <v>0.49173699582644925</v>
      </c>
      <c r="BG20">
        <f t="shared" si="36"/>
        <v>1.6887552583324348</v>
      </c>
      <c r="BH20">
        <f t="shared" si="37"/>
        <v>0.20055389312392025</v>
      </c>
      <c r="BI20" t="e">
        <f t="shared" si="38"/>
        <v>#DIV/0!</v>
      </c>
      <c r="BJ20">
        <v>5795</v>
      </c>
      <c r="BK20">
        <v>300</v>
      </c>
      <c r="BL20">
        <v>300</v>
      </c>
      <c r="BM20">
        <v>300</v>
      </c>
      <c r="BN20">
        <v>9865.9500000000007</v>
      </c>
      <c r="BO20">
        <v>295.83600000000001</v>
      </c>
      <c r="BP20">
        <v>-6.3984899999999997E-3</v>
      </c>
      <c r="BQ20">
        <v>1.19617</v>
      </c>
      <c r="BR20">
        <f t="shared" si="39"/>
        <v>2200.0167741935502</v>
      </c>
      <c r="BS20">
        <f t="shared" si="40"/>
        <v>1849.1993900316468</v>
      </c>
      <c r="BT20">
        <f t="shared" si="41"/>
        <v>0.84053876848711717</v>
      </c>
      <c r="BU20">
        <f t="shared" si="42"/>
        <v>0.19107753697423466</v>
      </c>
      <c r="BV20">
        <v>0.5</v>
      </c>
      <c r="BW20" t="s">
        <v>281</v>
      </c>
      <c r="BX20">
        <v>1596823077.4000001</v>
      </c>
      <c r="BY20">
        <v>97.678270967741994</v>
      </c>
      <c r="BZ20">
        <v>100.00201935483901</v>
      </c>
      <c r="CA20">
        <v>19.030793548387098</v>
      </c>
      <c r="CB20">
        <v>16.733467741935499</v>
      </c>
      <c r="CC20">
        <v>500.07980645161302</v>
      </c>
      <c r="CD20">
        <v>99.730954838709707</v>
      </c>
      <c r="CE20">
        <v>0.200009193548387</v>
      </c>
      <c r="CF20">
        <v>26.346793548387101</v>
      </c>
      <c r="CG20">
        <v>27.0164677419355</v>
      </c>
      <c r="CH20">
        <v>999.9</v>
      </c>
      <c r="CI20">
        <v>9998.0022580645109</v>
      </c>
      <c r="CJ20">
        <v>0</v>
      </c>
      <c r="CK20">
        <v>346.17345161290302</v>
      </c>
      <c r="CL20">
        <v>2200.0167741935502</v>
      </c>
      <c r="CM20">
        <v>0.98200219354838703</v>
      </c>
      <c r="CN20">
        <v>1.79979967741935E-2</v>
      </c>
      <c r="CO20">
        <v>0</v>
      </c>
      <c r="CP20">
        <v>250.320774193548</v>
      </c>
      <c r="CQ20">
        <v>5.00054</v>
      </c>
      <c r="CR20">
        <v>8223.5403225806403</v>
      </c>
      <c r="CS20">
        <v>20590.7096774194</v>
      </c>
      <c r="CT20">
        <v>49.406999999999996</v>
      </c>
      <c r="CU20">
        <v>51.850612903225802</v>
      </c>
      <c r="CV20">
        <v>49.955290322580602</v>
      </c>
      <c r="CW20">
        <v>50.526000000000003</v>
      </c>
      <c r="CX20">
        <v>50.681258064516101</v>
      </c>
      <c r="CY20">
        <v>2155.50677419355</v>
      </c>
      <c r="CZ20">
        <v>39.51</v>
      </c>
      <c r="DA20">
        <v>0</v>
      </c>
      <c r="DB20">
        <v>118.90000009536701</v>
      </c>
      <c r="DC20">
        <v>250.32975999999999</v>
      </c>
      <c r="DD20">
        <v>-0.95830770706533297</v>
      </c>
      <c r="DE20">
        <v>-8.9323076755583699</v>
      </c>
      <c r="DF20">
        <v>8223.3996000000006</v>
      </c>
      <c r="DG20">
        <v>15</v>
      </c>
      <c r="DH20">
        <v>1596823108.9000001</v>
      </c>
      <c r="DI20" t="s">
        <v>302</v>
      </c>
      <c r="DJ20">
        <v>48</v>
      </c>
      <c r="DK20">
        <v>-0.30599999999999999</v>
      </c>
      <c r="DL20">
        <v>0.113</v>
      </c>
      <c r="DM20">
        <v>100</v>
      </c>
      <c r="DN20">
        <v>17</v>
      </c>
      <c r="DO20">
        <v>0.64</v>
      </c>
      <c r="DP20">
        <v>0.04</v>
      </c>
      <c r="DQ20">
        <v>97.683351923076899</v>
      </c>
      <c r="DR20">
        <v>-5.8378724494114999E-2</v>
      </c>
      <c r="DS20">
        <v>1.16567327917686E-2</v>
      </c>
      <c r="DT20">
        <v>1</v>
      </c>
      <c r="DU20">
        <v>19.009911538461498</v>
      </c>
      <c r="DV20">
        <v>0.19583676257149801</v>
      </c>
      <c r="DW20">
        <v>2.4616853622031198E-2</v>
      </c>
      <c r="DX20">
        <v>1</v>
      </c>
      <c r="DY20">
        <v>2</v>
      </c>
      <c r="DZ20">
        <v>2</v>
      </c>
      <c r="EA20" t="s">
        <v>283</v>
      </c>
      <c r="EB20">
        <v>1.8667400000000001</v>
      </c>
      <c r="EC20">
        <v>1.8632500000000001</v>
      </c>
      <c r="ED20">
        <v>1.8689</v>
      </c>
      <c r="EE20">
        <v>1.8668199999999999</v>
      </c>
      <c r="EF20">
        <v>1.8714900000000001</v>
      </c>
      <c r="EG20">
        <v>1.8640099999999999</v>
      </c>
      <c r="EH20">
        <v>1.86555</v>
      </c>
      <c r="EI20">
        <v>1.86551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-0.30599999999999999</v>
      </c>
      <c r="EX20">
        <v>0.113</v>
      </c>
      <c r="EY20">
        <v>2</v>
      </c>
      <c r="EZ20">
        <v>345.827</v>
      </c>
      <c r="FA20">
        <v>494.358</v>
      </c>
      <c r="FB20">
        <v>20.1873</v>
      </c>
      <c r="FC20">
        <v>32.930799999999998</v>
      </c>
      <c r="FD20">
        <v>30.0001</v>
      </c>
      <c r="FE20">
        <v>32.943800000000003</v>
      </c>
      <c r="FF20">
        <v>32.952599999999997</v>
      </c>
      <c r="FG20">
        <v>8.1479499999999998</v>
      </c>
      <c r="FH20">
        <v>43.891500000000001</v>
      </c>
      <c r="FI20">
        <v>0</v>
      </c>
      <c r="FJ20">
        <v>20.193999999999999</v>
      </c>
      <c r="FK20">
        <v>100</v>
      </c>
      <c r="FL20">
        <v>16.772300000000001</v>
      </c>
      <c r="FM20">
        <v>100.886</v>
      </c>
      <c r="FN20">
        <v>101.45</v>
      </c>
    </row>
    <row r="21" spans="1:170" x14ac:dyDescent="0.25">
      <c r="A21">
        <v>5</v>
      </c>
      <c r="B21">
        <v>1596823200.4000001</v>
      </c>
      <c r="C21">
        <v>466.5</v>
      </c>
      <c r="D21" t="s">
        <v>303</v>
      </c>
      <c r="E21" t="s">
        <v>304</v>
      </c>
      <c r="G21">
        <v>1596823192.4000001</v>
      </c>
      <c r="H21">
        <f t="shared" si="0"/>
        <v>6.5949046546474139E-3</v>
      </c>
      <c r="I21">
        <f t="shared" si="1"/>
        <v>0.57800551749856555</v>
      </c>
      <c r="J21">
        <f t="shared" si="2"/>
        <v>49.615216129032298</v>
      </c>
      <c r="K21">
        <f t="shared" si="3"/>
        <v>45.892070496732224</v>
      </c>
      <c r="L21">
        <f t="shared" si="4"/>
        <v>4.5858378167001845</v>
      </c>
      <c r="M21">
        <f t="shared" si="5"/>
        <v>4.9578790397890309</v>
      </c>
      <c r="N21">
        <f t="shared" si="6"/>
        <v>0.40545423238391592</v>
      </c>
      <c r="O21">
        <f t="shared" si="7"/>
        <v>3.3926946494293291</v>
      </c>
      <c r="P21">
        <f t="shared" si="8"/>
        <v>0.38033019536826562</v>
      </c>
      <c r="Q21">
        <f t="shared" si="9"/>
        <v>0.23983382071128651</v>
      </c>
      <c r="R21">
        <f t="shared" si="10"/>
        <v>353.33928537099558</v>
      </c>
      <c r="S21">
        <f t="shared" si="11"/>
        <v>26.71446918322637</v>
      </c>
      <c r="T21">
        <f t="shared" si="12"/>
        <v>27.010709677419399</v>
      </c>
      <c r="U21">
        <f t="shared" si="13"/>
        <v>3.581411623377218</v>
      </c>
      <c r="V21">
        <f t="shared" si="14"/>
        <v>54.905394618603665</v>
      </c>
      <c r="W21">
        <f t="shared" si="15"/>
        <v>1.8961807395649426</v>
      </c>
      <c r="X21">
        <f t="shared" si="16"/>
        <v>3.4535417744223942</v>
      </c>
      <c r="Y21">
        <f t="shared" si="17"/>
        <v>1.6852308838122754</v>
      </c>
      <c r="Z21">
        <f t="shared" si="18"/>
        <v>-290.83529526995096</v>
      </c>
      <c r="AA21">
        <f t="shared" si="19"/>
        <v>-112.97159506742761</v>
      </c>
      <c r="AB21">
        <f t="shared" si="20"/>
        <v>-7.16480851981198</v>
      </c>
      <c r="AC21">
        <f t="shared" si="21"/>
        <v>-57.632413486194963</v>
      </c>
      <c r="AD21">
        <v>-4.1334555973150902E-2</v>
      </c>
      <c r="AE21">
        <v>4.6401660185846301E-2</v>
      </c>
      <c r="AF21">
        <v>3.4652295529502402</v>
      </c>
      <c r="AG21">
        <v>137</v>
      </c>
      <c r="AH21">
        <v>27</v>
      </c>
      <c r="AI21">
        <f t="shared" si="22"/>
        <v>1</v>
      </c>
      <c r="AJ21">
        <f t="shared" si="23"/>
        <v>0</v>
      </c>
      <c r="AK21">
        <f t="shared" si="24"/>
        <v>52815.969752205747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305</v>
      </c>
      <c r="AS21">
        <v>251.29056</v>
      </c>
      <c r="AT21">
        <v>305.59699999999998</v>
      </c>
      <c r="AU21">
        <f t="shared" si="27"/>
        <v>0.17770606386842802</v>
      </c>
      <c r="AV21">
        <v>0.5</v>
      </c>
      <c r="AW21">
        <f t="shared" si="28"/>
        <v>1849.1958384188185</v>
      </c>
      <c r="AX21">
        <f t="shared" si="29"/>
        <v>0.57800551749856555</v>
      </c>
      <c r="AY21">
        <f t="shared" si="30"/>
        <v>164.30665688364294</v>
      </c>
      <c r="AZ21">
        <f t="shared" si="31"/>
        <v>0.38736309584190942</v>
      </c>
      <c r="BA21">
        <f t="shared" si="32"/>
        <v>8.5334688988261069E-4</v>
      </c>
      <c r="BB21">
        <f t="shared" si="33"/>
        <v>-1</v>
      </c>
      <c r="BC21" t="s">
        <v>306</v>
      </c>
      <c r="BD21">
        <v>187.22</v>
      </c>
      <c r="BE21">
        <f t="shared" si="34"/>
        <v>118.37699999999998</v>
      </c>
      <c r="BF21">
        <f t="shared" si="35"/>
        <v>0.45875837367056094</v>
      </c>
      <c r="BG21">
        <f t="shared" si="36"/>
        <v>1.6322882170708257</v>
      </c>
      <c r="BH21">
        <f t="shared" si="37"/>
        <v>0.17770606386842797</v>
      </c>
      <c r="BI21" t="e">
        <f t="shared" si="38"/>
        <v>#DIV/0!</v>
      </c>
      <c r="BJ21">
        <v>5797</v>
      </c>
      <c r="BK21">
        <v>300</v>
      </c>
      <c r="BL21">
        <v>300</v>
      </c>
      <c r="BM21">
        <v>300</v>
      </c>
      <c r="BN21">
        <v>9865.2099999999991</v>
      </c>
      <c r="BO21">
        <v>290.67899999999997</v>
      </c>
      <c r="BP21">
        <v>-6.3979199999999996E-3</v>
      </c>
      <c r="BQ21">
        <v>0.81948900000000002</v>
      </c>
      <c r="BR21">
        <f t="shared" si="39"/>
        <v>2200.0129032258101</v>
      </c>
      <c r="BS21">
        <f t="shared" si="40"/>
        <v>1849.1958384188185</v>
      </c>
      <c r="BT21">
        <f t="shared" si="41"/>
        <v>0.84053863307228815</v>
      </c>
      <c r="BU21">
        <f t="shared" si="42"/>
        <v>0.19107726614457635</v>
      </c>
      <c r="BV21">
        <v>0.5</v>
      </c>
      <c r="BW21" t="s">
        <v>281</v>
      </c>
      <c r="BX21">
        <v>1596823192.4000001</v>
      </c>
      <c r="BY21">
        <v>49.615216129032298</v>
      </c>
      <c r="BZ21">
        <v>49.9772483870968</v>
      </c>
      <c r="CA21">
        <v>18.975738709677401</v>
      </c>
      <c r="CB21">
        <v>16.388212903225799</v>
      </c>
      <c r="CC21">
        <v>500.073193548387</v>
      </c>
      <c r="CD21">
        <v>99.726554838709703</v>
      </c>
      <c r="CE21">
        <v>0.20002870967741901</v>
      </c>
      <c r="CF21">
        <v>26.393064516129002</v>
      </c>
      <c r="CG21">
        <v>27.010709677419399</v>
      </c>
      <c r="CH21">
        <v>999.9</v>
      </c>
      <c r="CI21">
        <v>9995.3609677419408</v>
      </c>
      <c r="CJ21">
        <v>0</v>
      </c>
      <c r="CK21">
        <v>346.62132258064503</v>
      </c>
      <c r="CL21">
        <v>2200.0129032258101</v>
      </c>
      <c r="CM21">
        <v>0.982003870967742</v>
      </c>
      <c r="CN21">
        <v>1.7996235483871002E-2</v>
      </c>
      <c r="CO21">
        <v>0</v>
      </c>
      <c r="CP21">
        <v>251.315483870968</v>
      </c>
      <c r="CQ21">
        <v>5.00054</v>
      </c>
      <c r="CR21">
        <v>8258.1280645161296</v>
      </c>
      <c r="CS21">
        <v>20590.670967741898</v>
      </c>
      <c r="CT21">
        <v>49.564290322580597</v>
      </c>
      <c r="CU21">
        <v>52.003935483870997</v>
      </c>
      <c r="CV21">
        <v>50.086387096774203</v>
      </c>
      <c r="CW21">
        <v>50.729612903225799</v>
      </c>
      <c r="CX21">
        <v>50.808258064516103</v>
      </c>
      <c r="CY21">
        <v>2155.5129032258101</v>
      </c>
      <c r="CZ21">
        <v>39.5</v>
      </c>
      <c r="DA21">
        <v>0</v>
      </c>
      <c r="DB21">
        <v>114.10000014305101</v>
      </c>
      <c r="DC21">
        <v>251.29056</v>
      </c>
      <c r="DD21">
        <v>-1.4372307787941501</v>
      </c>
      <c r="DE21">
        <v>15.393846036550601</v>
      </c>
      <c r="DF21">
        <v>8258.1859999999997</v>
      </c>
      <c r="DG21">
        <v>15</v>
      </c>
      <c r="DH21">
        <v>1596823224.4000001</v>
      </c>
      <c r="DI21" t="s">
        <v>307</v>
      </c>
      <c r="DJ21">
        <v>49</v>
      </c>
      <c r="DK21">
        <v>-0.34200000000000003</v>
      </c>
      <c r="DL21">
        <v>0.108</v>
      </c>
      <c r="DM21">
        <v>50</v>
      </c>
      <c r="DN21">
        <v>16</v>
      </c>
      <c r="DO21">
        <v>0.32</v>
      </c>
      <c r="DP21">
        <v>0.03</v>
      </c>
      <c r="DQ21">
        <v>49.662730769230798</v>
      </c>
      <c r="DR21">
        <v>-0.120708955861034</v>
      </c>
      <c r="DS21">
        <v>1.6469873878149199E-2</v>
      </c>
      <c r="DT21">
        <v>1</v>
      </c>
      <c r="DU21">
        <v>18.9650307692308</v>
      </c>
      <c r="DV21">
        <v>0.15598873047043199</v>
      </c>
      <c r="DW21">
        <v>2.04697576031414E-2</v>
      </c>
      <c r="DX21">
        <v>1</v>
      </c>
      <c r="DY21">
        <v>2</v>
      </c>
      <c r="DZ21">
        <v>2</v>
      </c>
      <c r="EA21" t="s">
        <v>283</v>
      </c>
      <c r="EB21">
        <v>1.8667499999999999</v>
      </c>
      <c r="EC21">
        <v>1.8632500000000001</v>
      </c>
      <c r="ED21">
        <v>1.8689</v>
      </c>
      <c r="EE21">
        <v>1.8668199999999999</v>
      </c>
      <c r="EF21">
        <v>1.8714900000000001</v>
      </c>
      <c r="EG21">
        <v>1.8640099999999999</v>
      </c>
      <c r="EH21">
        <v>1.86554</v>
      </c>
      <c r="EI21">
        <v>1.8655200000000001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-0.34200000000000003</v>
      </c>
      <c r="EX21">
        <v>0.108</v>
      </c>
      <c r="EY21">
        <v>2</v>
      </c>
      <c r="EZ21">
        <v>345.61500000000001</v>
      </c>
      <c r="FA21">
        <v>493.80599999999998</v>
      </c>
      <c r="FB21">
        <v>20.7209</v>
      </c>
      <c r="FC21">
        <v>32.959400000000002</v>
      </c>
      <c r="FD21">
        <v>30.000699999999998</v>
      </c>
      <c r="FE21">
        <v>32.973799999999997</v>
      </c>
      <c r="FF21">
        <v>32.984699999999997</v>
      </c>
      <c r="FG21">
        <v>5.7030700000000003</v>
      </c>
      <c r="FH21">
        <v>46.493699999999997</v>
      </c>
      <c r="FI21">
        <v>0</v>
      </c>
      <c r="FJ21">
        <v>20.7302</v>
      </c>
      <c r="FK21">
        <v>50</v>
      </c>
      <c r="FL21">
        <v>16.406199999999998</v>
      </c>
      <c r="FM21">
        <v>100.884</v>
      </c>
      <c r="FN21">
        <v>101.449</v>
      </c>
    </row>
    <row r="22" spans="1:170" x14ac:dyDescent="0.25">
      <c r="A22">
        <v>6</v>
      </c>
      <c r="B22">
        <v>1596823315.9000001</v>
      </c>
      <c r="C22">
        <v>582</v>
      </c>
      <c r="D22" t="s">
        <v>308</v>
      </c>
      <c r="E22" t="s">
        <v>309</v>
      </c>
      <c r="G22">
        <v>1596823307.9000001</v>
      </c>
      <c r="H22">
        <f t="shared" si="0"/>
        <v>7.1037869026997196E-3</v>
      </c>
      <c r="I22">
        <f t="shared" si="1"/>
        <v>33.063850036380025</v>
      </c>
      <c r="J22">
        <f t="shared" si="2"/>
        <v>385.67841935483898</v>
      </c>
      <c r="K22">
        <f t="shared" si="3"/>
        <v>251.18935778042101</v>
      </c>
      <c r="L22">
        <f t="shared" si="4"/>
        <v>25.099677187215661</v>
      </c>
      <c r="M22">
        <f t="shared" si="5"/>
        <v>38.538272120366827</v>
      </c>
      <c r="N22">
        <f t="shared" si="6"/>
        <v>0.44643680026433114</v>
      </c>
      <c r="O22">
        <f t="shared" si="7"/>
        <v>3.3943922300301339</v>
      </c>
      <c r="P22">
        <f t="shared" si="8"/>
        <v>0.41619437718439445</v>
      </c>
      <c r="Q22">
        <f t="shared" si="9"/>
        <v>0.2626677300727191</v>
      </c>
      <c r="R22">
        <f t="shared" si="10"/>
        <v>353.33712370686004</v>
      </c>
      <c r="S22">
        <f t="shared" si="11"/>
        <v>26.853353985977883</v>
      </c>
      <c r="T22">
        <f t="shared" si="12"/>
        <v>27.003958064516102</v>
      </c>
      <c r="U22">
        <f t="shared" si="13"/>
        <v>3.5799918134553033</v>
      </c>
      <c r="V22">
        <f t="shared" si="14"/>
        <v>54.80772252452779</v>
      </c>
      <c r="W22">
        <f t="shared" si="15"/>
        <v>1.9214070246807009</v>
      </c>
      <c r="X22">
        <f t="shared" si="16"/>
        <v>3.5057231648711995</v>
      </c>
      <c r="Y22">
        <f t="shared" si="17"/>
        <v>1.6585847887746024</v>
      </c>
      <c r="Z22">
        <f t="shared" si="18"/>
        <v>-313.27700240905762</v>
      </c>
      <c r="AA22">
        <f t="shared" si="19"/>
        <v>-65.233643088343726</v>
      </c>
      <c r="AB22">
        <f t="shared" si="20"/>
        <v>-4.1402602098469563</v>
      </c>
      <c r="AC22">
        <f t="shared" si="21"/>
        <v>-29.31378200038823</v>
      </c>
      <c r="AD22">
        <v>-4.1360849022894802E-2</v>
      </c>
      <c r="AE22">
        <v>4.6431176437581503E-2</v>
      </c>
      <c r="AF22">
        <v>3.4669732732465501</v>
      </c>
      <c r="AG22">
        <v>137</v>
      </c>
      <c r="AH22">
        <v>27</v>
      </c>
      <c r="AI22">
        <f t="shared" si="22"/>
        <v>1</v>
      </c>
      <c r="AJ22">
        <f t="shared" si="23"/>
        <v>0</v>
      </c>
      <c r="AK22">
        <f t="shared" si="24"/>
        <v>52803.251962168455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310</v>
      </c>
      <c r="AS22">
        <v>250.31155999999999</v>
      </c>
      <c r="AT22">
        <v>349.69400000000002</v>
      </c>
      <c r="AU22">
        <f t="shared" si="27"/>
        <v>0.28419829908434235</v>
      </c>
      <c r="AV22">
        <v>0.5</v>
      </c>
      <c r="AW22">
        <f t="shared" si="28"/>
        <v>1849.1844581211601</v>
      </c>
      <c r="AX22">
        <f t="shared" si="29"/>
        <v>33.063850036380025</v>
      </c>
      <c r="AY22">
        <f t="shared" si="30"/>
        <v>262.76753884561748</v>
      </c>
      <c r="AZ22">
        <f t="shared" si="31"/>
        <v>0.4999628246409718</v>
      </c>
      <c r="BA22">
        <f t="shared" si="32"/>
        <v>1.8421012510017609E-2</v>
      </c>
      <c r="BB22">
        <f t="shared" si="33"/>
        <v>-1</v>
      </c>
      <c r="BC22" t="s">
        <v>311</v>
      </c>
      <c r="BD22">
        <v>174.86</v>
      </c>
      <c r="BE22">
        <f t="shared" si="34"/>
        <v>174.834</v>
      </c>
      <c r="BF22">
        <f t="shared" si="35"/>
        <v>0.56843886200624605</v>
      </c>
      <c r="BG22">
        <f t="shared" si="36"/>
        <v>1.9998513096191237</v>
      </c>
      <c r="BH22">
        <f t="shared" si="37"/>
        <v>0.28419829908434241</v>
      </c>
      <c r="BI22" t="e">
        <f t="shared" si="38"/>
        <v>#DIV/0!</v>
      </c>
      <c r="BJ22">
        <v>5799</v>
      </c>
      <c r="BK22">
        <v>300</v>
      </c>
      <c r="BL22">
        <v>300</v>
      </c>
      <c r="BM22">
        <v>300</v>
      </c>
      <c r="BN22">
        <v>9864.65</v>
      </c>
      <c r="BO22">
        <v>318.33300000000003</v>
      </c>
      <c r="BP22">
        <v>-6.3976600000000003E-3</v>
      </c>
      <c r="BQ22">
        <v>0.27359</v>
      </c>
      <c r="BR22">
        <f t="shared" si="39"/>
        <v>2199.9993548387101</v>
      </c>
      <c r="BS22">
        <f t="shared" si="40"/>
        <v>1849.1844581211601</v>
      </c>
      <c r="BT22">
        <f t="shared" si="41"/>
        <v>0.8405386365473414</v>
      </c>
      <c r="BU22">
        <f t="shared" si="42"/>
        <v>0.19107727309468286</v>
      </c>
      <c r="BV22">
        <v>0.5</v>
      </c>
      <c r="BW22" t="s">
        <v>281</v>
      </c>
      <c r="BX22">
        <v>1596823307.9000001</v>
      </c>
      <c r="BY22">
        <v>385.67841935483898</v>
      </c>
      <c r="BZ22">
        <v>399.99780645161297</v>
      </c>
      <c r="CA22">
        <v>19.228812903225801</v>
      </c>
      <c r="CB22">
        <v>16.442338709677401</v>
      </c>
      <c r="CC22">
        <v>500.07206451612899</v>
      </c>
      <c r="CD22">
        <v>99.723332258064502</v>
      </c>
      <c r="CE22">
        <v>0.199998129032258</v>
      </c>
      <c r="CF22">
        <v>26.647487096774199</v>
      </c>
      <c r="CG22">
        <v>27.003958064516102</v>
      </c>
      <c r="CH22">
        <v>999.9</v>
      </c>
      <c r="CI22">
        <v>10002.042258064501</v>
      </c>
      <c r="CJ22">
        <v>0</v>
      </c>
      <c r="CK22">
        <v>345.88287096774201</v>
      </c>
      <c r="CL22">
        <v>2199.9993548387101</v>
      </c>
      <c r="CM22">
        <v>0.98200445161290295</v>
      </c>
      <c r="CN22">
        <v>1.7995625806451601E-2</v>
      </c>
      <c r="CO22">
        <v>0</v>
      </c>
      <c r="CP22">
        <v>250.35022580645199</v>
      </c>
      <c r="CQ22">
        <v>5.00054</v>
      </c>
      <c r="CR22">
        <v>8268.2538709677392</v>
      </c>
      <c r="CS22">
        <v>20590.548387096798</v>
      </c>
      <c r="CT22">
        <v>49.713419354838699</v>
      </c>
      <c r="CU22">
        <v>52.128999999999998</v>
      </c>
      <c r="CV22">
        <v>50.237806451612897</v>
      </c>
      <c r="CW22">
        <v>50.8708064516129</v>
      </c>
      <c r="CX22">
        <v>50.963419354838699</v>
      </c>
      <c r="CY22">
        <v>2155.4987096774198</v>
      </c>
      <c r="CZ22">
        <v>39.5</v>
      </c>
      <c r="DA22">
        <v>0</v>
      </c>
      <c r="DB22">
        <v>114.799999952316</v>
      </c>
      <c r="DC22">
        <v>250.31155999999999</v>
      </c>
      <c r="DD22">
        <v>0.247923078965055</v>
      </c>
      <c r="DE22">
        <v>15.713076946671199</v>
      </c>
      <c r="DF22">
        <v>8268.5144</v>
      </c>
      <c r="DG22">
        <v>15</v>
      </c>
      <c r="DH22">
        <v>1596823341.9000001</v>
      </c>
      <c r="DI22" t="s">
        <v>312</v>
      </c>
      <c r="DJ22">
        <v>50</v>
      </c>
      <c r="DK22">
        <v>-0.22500000000000001</v>
      </c>
      <c r="DL22">
        <v>0.107</v>
      </c>
      <c r="DM22">
        <v>400</v>
      </c>
      <c r="DN22">
        <v>16</v>
      </c>
      <c r="DO22">
        <v>0.27</v>
      </c>
      <c r="DP22">
        <v>0.03</v>
      </c>
      <c r="DQ22">
        <v>385.56486538461502</v>
      </c>
      <c r="DR22">
        <v>-4.4892422656638E-3</v>
      </c>
      <c r="DS22">
        <v>1.6063610148590202E-2</v>
      </c>
      <c r="DT22">
        <v>1</v>
      </c>
      <c r="DU22">
        <v>19.2175461538462</v>
      </c>
      <c r="DV22">
        <v>0.127811817730272</v>
      </c>
      <c r="DW22">
        <v>1.6006879068537899E-2</v>
      </c>
      <c r="DX22">
        <v>1</v>
      </c>
      <c r="DY22">
        <v>2</v>
      </c>
      <c r="DZ22">
        <v>2</v>
      </c>
      <c r="EA22" t="s">
        <v>283</v>
      </c>
      <c r="EB22">
        <v>1.86676</v>
      </c>
      <c r="EC22">
        <v>1.8632500000000001</v>
      </c>
      <c r="ED22">
        <v>1.8689199999999999</v>
      </c>
      <c r="EE22">
        <v>1.86687</v>
      </c>
      <c r="EF22">
        <v>1.8715200000000001</v>
      </c>
      <c r="EG22">
        <v>1.8640099999999999</v>
      </c>
      <c r="EH22">
        <v>1.86557</v>
      </c>
      <c r="EI22">
        <v>1.86554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-0.22500000000000001</v>
      </c>
      <c r="EX22">
        <v>0.107</v>
      </c>
      <c r="EY22">
        <v>2</v>
      </c>
      <c r="EZ22">
        <v>345.41399999999999</v>
      </c>
      <c r="FA22">
        <v>494.07799999999997</v>
      </c>
      <c r="FB22">
        <v>21.114699999999999</v>
      </c>
      <c r="FC22">
        <v>33.002400000000002</v>
      </c>
      <c r="FD22">
        <v>30.0001</v>
      </c>
      <c r="FE22">
        <v>33.014600000000002</v>
      </c>
      <c r="FF22">
        <v>33.025500000000001</v>
      </c>
      <c r="FG22">
        <v>22.1082</v>
      </c>
      <c r="FH22">
        <v>46.752400000000002</v>
      </c>
      <c r="FI22">
        <v>0</v>
      </c>
      <c r="FJ22">
        <v>21.207799999999999</v>
      </c>
      <c r="FK22">
        <v>400</v>
      </c>
      <c r="FL22">
        <v>16.409099999999999</v>
      </c>
      <c r="FM22">
        <v>100.876</v>
      </c>
      <c r="FN22">
        <v>101.44199999999999</v>
      </c>
    </row>
    <row r="23" spans="1:170" x14ac:dyDescent="0.25">
      <c r="A23">
        <v>7</v>
      </c>
      <c r="B23">
        <v>1596823434</v>
      </c>
      <c r="C23">
        <v>700.09999990463302</v>
      </c>
      <c r="D23" t="s">
        <v>313</v>
      </c>
      <c r="E23" t="s">
        <v>314</v>
      </c>
      <c r="G23">
        <v>1596823425.9000001</v>
      </c>
      <c r="H23">
        <f t="shared" si="0"/>
        <v>7.0849906272426565E-3</v>
      </c>
      <c r="I23">
        <f t="shared" si="1"/>
        <v>34.568594493733379</v>
      </c>
      <c r="J23">
        <f t="shared" si="2"/>
        <v>385.10077419354798</v>
      </c>
      <c r="K23">
        <f t="shared" si="3"/>
        <v>244.15886341538092</v>
      </c>
      <c r="L23">
        <f t="shared" si="4"/>
        <v>24.396248407870832</v>
      </c>
      <c r="M23">
        <f t="shared" si="5"/>
        <v>38.479103391408259</v>
      </c>
      <c r="N23">
        <f t="shared" si="6"/>
        <v>0.4435858387803106</v>
      </c>
      <c r="O23">
        <f t="shared" si="7"/>
        <v>3.3936874151438241</v>
      </c>
      <c r="P23">
        <f t="shared" si="8"/>
        <v>0.41370882934737796</v>
      </c>
      <c r="Q23">
        <f t="shared" si="9"/>
        <v>0.2610844681177284</v>
      </c>
      <c r="R23">
        <f t="shared" si="10"/>
        <v>353.33613341914793</v>
      </c>
      <c r="S23">
        <f t="shared" si="11"/>
        <v>26.962936483330317</v>
      </c>
      <c r="T23">
        <f t="shared" si="12"/>
        <v>27.1059612903226</v>
      </c>
      <c r="U23">
        <f t="shared" si="13"/>
        <v>3.6014947195052751</v>
      </c>
      <c r="V23">
        <f t="shared" si="14"/>
        <v>54.932312382615656</v>
      </c>
      <c r="W23">
        <f t="shared" si="15"/>
        <v>1.9377485825935286</v>
      </c>
      <c r="X23">
        <f t="shared" si="16"/>
        <v>3.5275205039552726</v>
      </c>
      <c r="Y23">
        <f t="shared" si="17"/>
        <v>1.6637461369117466</v>
      </c>
      <c r="Z23">
        <f t="shared" si="18"/>
        <v>-312.44808666140113</v>
      </c>
      <c r="AA23">
        <f t="shared" si="19"/>
        <v>-64.616918536126192</v>
      </c>
      <c r="AB23">
        <f t="shared" si="20"/>
        <v>-4.1062252377731348</v>
      </c>
      <c r="AC23">
        <f t="shared" si="21"/>
        <v>-27.835097016152517</v>
      </c>
      <c r="AD23">
        <v>-4.13499317465802E-2</v>
      </c>
      <c r="AE23">
        <v>4.6418920838512498E-2</v>
      </c>
      <c r="AF23">
        <v>3.4662493004531201</v>
      </c>
      <c r="AG23">
        <v>136</v>
      </c>
      <c r="AH23">
        <v>27</v>
      </c>
      <c r="AI23">
        <f t="shared" si="22"/>
        <v>1</v>
      </c>
      <c r="AJ23">
        <f t="shared" si="23"/>
        <v>0</v>
      </c>
      <c r="AK23">
        <f t="shared" si="24"/>
        <v>52771.259108210419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315</v>
      </c>
      <c r="AS23">
        <v>251.32339999999999</v>
      </c>
      <c r="AT23">
        <v>359.7</v>
      </c>
      <c r="AU23">
        <f t="shared" si="27"/>
        <v>0.30129719210453154</v>
      </c>
      <c r="AV23">
        <v>0.5</v>
      </c>
      <c r="AW23">
        <f t="shared" si="28"/>
        <v>1849.1746773791606</v>
      </c>
      <c r="AX23">
        <f t="shared" si="29"/>
        <v>34.568594493733379</v>
      </c>
      <c r="AY23">
        <f t="shared" si="30"/>
        <v>278.57556900257202</v>
      </c>
      <c r="AZ23">
        <f t="shared" si="31"/>
        <v>0.51320544898526554</v>
      </c>
      <c r="BA23">
        <f t="shared" si="32"/>
        <v>1.9234848350911243E-2</v>
      </c>
      <c r="BB23">
        <f t="shared" si="33"/>
        <v>-1</v>
      </c>
      <c r="BC23" t="s">
        <v>316</v>
      </c>
      <c r="BD23">
        <v>175.1</v>
      </c>
      <c r="BE23">
        <f t="shared" si="34"/>
        <v>184.6</v>
      </c>
      <c r="BF23">
        <f t="shared" si="35"/>
        <v>0.58708884073672807</v>
      </c>
      <c r="BG23">
        <f t="shared" si="36"/>
        <v>2.0542547115933751</v>
      </c>
      <c r="BH23">
        <f t="shared" si="37"/>
        <v>0.30129719210453154</v>
      </c>
      <c r="BI23" t="e">
        <f t="shared" si="38"/>
        <v>#DIV/0!</v>
      </c>
      <c r="BJ23">
        <v>5801</v>
      </c>
      <c r="BK23">
        <v>300</v>
      </c>
      <c r="BL23">
        <v>300</v>
      </c>
      <c r="BM23">
        <v>300</v>
      </c>
      <c r="BN23">
        <v>9863.6299999999992</v>
      </c>
      <c r="BO23">
        <v>322.892</v>
      </c>
      <c r="BP23">
        <v>-6.3970099999999998E-3</v>
      </c>
      <c r="BQ23">
        <v>-0.431427</v>
      </c>
      <c r="BR23">
        <f t="shared" si="39"/>
        <v>2199.9870967741899</v>
      </c>
      <c r="BS23">
        <f t="shared" si="40"/>
        <v>1849.1746773791606</v>
      </c>
      <c r="BT23">
        <f t="shared" si="41"/>
        <v>0.84053887411002515</v>
      </c>
      <c r="BU23">
        <f t="shared" si="42"/>
        <v>0.19107774822005028</v>
      </c>
      <c r="BV23">
        <v>0.5</v>
      </c>
      <c r="BW23" t="s">
        <v>281</v>
      </c>
      <c r="BX23">
        <v>1596823425.9000001</v>
      </c>
      <c r="BY23">
        <v>385.10077419354798</v>
      </c>
      <c r="BZ23">
        <v>400.01745161290302</v>
      </c>
      <c r="CA23">
        <v>19.3930838709677</v>
      </c>
      <c r="CB23">
        <v>16.614445161290298</v>
      </c>
      <c r="CC23">
        <v>500.07154838709698</v>
      </c>
      <c r="CD23">
        <v>99.719603225806495</v>
      </c>
      <c r="CE23">
        <v>0.19996580645161299</v>
      </c>
      <c r="CF23">
        <v>26.752787096774199</v>
      </c>
      <c r="CG23">
        <v>27.1059612903226</v>
      </c>
      <c r="CH23">
        <v>999.9</v>
      </c>
      <c r="CI23">
        <v>9999.7761290322596</v>
      </c>
      <c r="CJ23">
        <v>0</v>
      </c>
      <c r="CK23">
        <v>345.54477419354799</v>
      </c>
      <c r="CL23">
        <v>2199.9870967741899</v>
      </c>
      <c r="CM23">
        <v>0.98199525806451604</v>
      </c>
      <c r="CN23">
        <v>1.8004438709677401E-2</v>
      </c>
      <c r="CO23">
        <v>0</v>
      </c>
      <c r="CP23">
        <v>251.33893548387101</v>
      </c>
      <c r="CQ23">
        <v>5.00054</v>
      </c>
      <c r="CR23">
        <v>8300.0006451612899</v>
      </c>
      <c r="CS23">
        <v>20590.390322580599</v>
      </c>
      <c r="CT23">
        <v>49.902999999999999</v>
      </c>
      <c r="CU23">
        <v>52.306096774193499</v>
      </c>
      <c r="CV23">
        <v>50.429000000000002</v>
      </c>
      <c r="CW23">
        <v>51.133000000000003</v>
      </c>
      <c r="CX23">
        <v>51.155000000000001</v>
      </c>
      <c r="CY23">
        <v>2155.4635483871002</v>
      </c>
      <c r="CZ23">
        <v>39.517096774193497</v>
      </c>
      <c r="DA23">
        <v>0</v>
      </c>
      <c r="DB23">
        <v>117.60000014305101</v>
      </c>
      <c r="DC23">
        <v>251.32339999999999</v>
      </c>
      <c r="DD23">
        <v>1.3563846069224501</v>
      </c>
      <c r="DE23">
        <v>-0.70923076943388197</v>
      </c>
      <c r="DF23">
        <v>8300.1548000000003</v>
      </c>
      <c r="DG23">
        <v>15</v>
      </c>
      <c r="DH23">
        <v>1596823458.4000001</v>
      </c>
      <c r="DI23" t="s">
        <v>317</v>
      </c>
      <c r="DJ23">
        <v>51</v>
      </c>
      <c r="DK23">
        <v>-0.315</v>
      </c>
      <c r="DL23">
        <v>0.11</v>
      </c>
      <c r="DM23">
        <v>400</v>
      </c>
      <c r="DN23">
        <v>17</v>
      </c>
      <c r="DO23">
        <v>0.16</v>
      </c>
      <c r="DP23">
        <v>0.04</v>
      </c>
      <c r="DQ23">
        <v>385.192269230769</v>
      </c>
      <c r="DR23">
        <v>3.4997011867247699E-2</v>
      </c>
      <c r="DS23">
        <v>2.0858604002826801E-2</v>
      </c>
      <c r="DT23">
        <v>1</v>
      </c>
      <c r="DU23">
        <v>19.3882634615385</v>
      </c>
      <c r="DV23">
        <v>-5.9651669085557402E-3</v>
      </c>
      <c r="DW23">
        <v>9.9788050164443896E-3</v>
      </c>
      <c r="DX23">
        <v>1</v>
      </c>
      <c r="DY23">
        <v>2</v>
      </c>
      <c r="DZ23">
        <v>2</v>
      </c>
      <c r="EA23" t="s">
        <v>283</v>
      </c>
      <c r="EB23">
        <v>1.8666700000000001</v>
      </c>
      <c r="EC23">
        <v>1.8632200000000001</v>
      </c>
      <c r="ED23">
        <v>1.8689</v>
      </c>
      <c r="EE23">
        <v>1.86676</v>
      </c>
      <c r="EF23">
        <v>1.8714900000000001</v>
      </c>
      <c r="EG23">
        <v>1.86395</v>
      </c>
      <c r="EH23">
        <v>1.86554</v>
      </c>
      <c r="EI23">
        <v>1.8654200000000001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-0.315</v>
      </c>
      <c r="EX23">
        <v>0.11</v>
      </c>
      <c r="EY23">
        <v>2</v>
      </c>
      <c r="EZ23">
        <v>345.79500000000002</v>
      </c>
      <c r="FA23">
        <v>493.93200000000002</v>
      </c>
      <c r="FB23">
        <v>20.408899999999999</v>
      </c>
      <c r="FC23">
        <v>33.043399999999998</v>
      </c>
      <c r="FD23">
        <v>30.001300000000001</v>
      </c>
      <c r="FE23">
        <v>33.051900000000003</v>
      </c>
      <c r="FF23">
        <v>33.063499999999998</v>
      </c>
      <c r="FG23">
        <v>22.105499999999999</v>
      </c>
      <c r="FH23">
        <v>46.095300000000002</v>
      </c>
      <c r="FI23">
        <v>0</v>
      </c>
      <c r="FJ23">
        <v>20.293800000000001</v>
      </c>
      <c r="FK23">
        <v>400</v>
      </c>
      <c r="FL23">
        <v>16.6936</v>
      </c>
      <c r="FM23">
        <v>100.873</v>
      </c>
      <c r="FN23">
        <v>101.438</v>
      </c>
    </row>
    <row r="24" spans="1:170" x14ac:dyDescent="0.25">
      <c r="A24">
        <v>8</v>
      </c>
      <c r="B24">
        <v>1596823579.9000001</v>
      </c>
      <c r="C24">
        <v>846</v>
      </c>
      <c r="D24" t="s">
        <v>318</v>
      </c>
      <c r="E24" t="s">
        <v>319</v>
      </c>
      <c r="G24">
        <v>1596823571.9000001</v>
      </c>
      <c r="H24">
        <f t="shared" si="0"/>
        <v>5.6412160759699223E-3</v>
      </c>
      <c r="I24">
        <f t="shared" si="1"/>
        <v>37.432649751173194</v>
      </c>
      <c r="J24">
        <f t="shared" si="2"/>
        <v>483.96232258064498</v>
      </c>
      <c r="K24">
        <f t="shared" si="3"/>
        <v>291.38276903783662</v>
      </c>
      <c r="L24">
        <f t="shared" si="4"/>
        <v>29.116092815042965</v>
      </c>
      <c r="M24">
        <f t="shared" si="5"/>
        <v>48.35938634865559</v>
      </c>
      <c r="N24">
        <f t="shared" si="6"/>
        <v>0.34503592622591472</v>
      </c>
      <c r="O24">
        <f t="shared" si="7"/>
        <v>3.392476559313474</v>
      </c>
      <c r="P24">
        <f t="shared" si="8"/>
        <v>0.32665842270323808</v>
      </c>
      <c r="Q24">
        <f t="shared" si="9"/>
        <v>0.20573105306320827</v>
      </c>
      <c r="R24">
        <f t="shared" si="10"/>
        <v>353.3377343814235</v>
      </c>
      <c r="S24">
        <f t="shared" si="11"/>
        <v>26.848602849588978</v>
      </c>
      <c r="T24">
        <f t="shared" si="12"/>
        <v>27.014996774193499</v>
      </c>
      <c r="U24">
        <f t="shared" si="13"/>
        <v>3.5823134204916771</v>
      </c>
      <c r="V24">
        <f t="shared" si="14"/>
        <v>55.401464760504723</v>
      </c>
      <c r="W24">
        <f t="shared" si="15"/>
        <v>1.904055071734323</v>
      </c>
      <c r="X24">
        <f t="shared" si="16"/>
        <v>3.4368316432884445</v>
      </c>
      <c r="Y24">
        <f t="shared" si="17"/>
        <v>1.6782583487573541</v>
      </c>
      <c r="Z24">
        <f t="shared" si="18"/>
        <v>-248.77762895027357</v>
      </c>
      <c r="AA24">
        <f t="shared" si="19"/>
        <v>-128.77945761319432</v>
      </c>
      <c r="AB24">
        <f t="shared" si="20"/>
        <v>-8.1647077851522099</v>
      </c>
      <c r="AC24">
        <f t="shared" si="21"/>
        <v>-32.384059967196578</v>
      </c>
      <c r="AD24">
        <v>-4.1331178505372899E-2</v>
      </c>
      <c r="AE24">
        <v>4.6397868682382999E-2</v>
      </c>
      <c r="AF24">
        <v>3.4650055359701999</v>
      </c>
      <c r="AG24">
        <v>137</v>
      </c>
      <c r="AH24">
        <v>27</v>
      </c>
      <c r="AI24">
        <f t="shared" si="22"/>
        <v>1</v>
      </c>
      <c r="AJ24">
        <f t="shared" si="23"/>
        <v>0</v>
      </c>
      <c r="AK24">
        <f t="shared" si="24"/>
        <v>52826.272907391423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320</v>
      </c>
      <c r="AS24">
        <v>255.34335999999999</v>
      </c>
      <c r="AT24">
        <v>367.99200000000002</v>
      </c>
      <c r="AU24">
        <f t="shared" si="27"/>
        <v>0.30611708950194572</v>
      </c>
      <c r="AV24">
        <v>0.5</v>
      </c>
      <c r="AW24">
        <f t="shared" si="28"/>
        <v>1849.1821061605917</v>
      </c>
      <c r="AX24">
        <f t="shared" si="29"/>
        <v>37.432649751173194</v>
      </c>
      <c r="AY24">
        <f t="shared" si="30"/>
        <v>283.03312214847915</v>
      </c>
      <c r="AZ24">
        <f t="shared" si="31"/>
        <v>0.51564164438357352</v>
      </c>
      <c r="BA24">
        <f t="shared" si="32"/>
        <v>2.0783593797027322E-2</v>
      </c>
      <c r="BB24">
        <f t="shared" si="33"/>
        <v>-1</v>
      </c>
      <c r="BC24" t="s">
        <v>321</v>
      </c>
      <c r="BD24">
        <v>178.24</v>
      </c>
      <c r="BE24">
        <f t="shared" si="34"/>
        <v>189.75200000000001</v>
      </c>
      <c r="BF24">
        <f t="shared" si="35"/>
        <v>0.59366246469075434</v>
      </c>
      <c r="BG24">
        <f t="shared" si="36"/>
        <v>2.0645870736086174</v>
      </c>
      <c r="BH24">
        <f t="shared" si="37"/>
        <v>0.30611708950194577</v>
      </c>
      <c r="BI24" t="e">
        <f t="shared" si="38"/>
        <v>#DIV/0!</v>
      </c>
      <c r="BJ24">
        <v>5803</v>
      </c>
      <c r="BK24">
        <v>300</v>
      </c>
      <c r="BL24">
        <v>300</v>
      </c>
      <c r="BM24">
        <v>300</v>
      </c>
      <c r="BN24">
        <v>9863.06</v>
      </c>
      <c r="BO24">
        <v>332.84399999999999</v>
      </c>
      <c r="BP24">
        <v>-6.3963800000000001E-3</v>
      </c>
      <c r="BQ24">
        <v>-6.7596400000000001E-2</v>
      </c>
      <c r="BR24">
        <f t="shared" si="39"/>
        <v>2199.99580645161</v>
      </c>
      <c r="BS24">
        <f t="shared" si="40"/>
        <v>1849.1821061605917</v>
      </c>
      <c r="BT24">
        <f t="shared" si="41"/>
        <v>0.84053892318238177</v>
      </c>
      <c r="BU24">
        <f t="shared" si="42"/>
        <v>0.1910778463647636</v>
      </c>
      <c r="BV24">
        <v>0.5</v>
      </c>
      <c r="BW24" t="s">
        <v>281</v>
      </c>
      <c r="BX24">
        <v>1596823571.9000001</v>
      </c>
      <c r="BY24">
        <v>483.96232258064498</v>
      </c>
      <c r="BZ24">
        <v>500.02512903225801</v>
      </c>
      <c r="CA24">
        <v>19.0550580645161</v>
      </c>
      <c r="CB24">
        <v>16.841887096774201</v>
      </c>
      <c r="CC24">
        <v>500.07183870967702</v>
      </c>
      <c r="CD24">
        <v>99.723867741935507</v>
      </c>
      <c r="CE24">
        <v>0.199998419354839</v>
      </c>
      <c r="CF24">
        <v>26.310880645161301</v>
      </c>
      <c r="CG24">
        <v>27.014996774193499</v>
      </c>
      <c r="CH24">
        <v>999.9</v>
      </c>
      <c r="CI24">
        <v>9994.8135483870992</v>
      </c>
      <c r="CJ24">
        <v>0</v>
      </c>
      <c r="CK24">
        <v>349.73216129032301</v>
      </c>
      <c r="CL24">
        <v>2199.99580645161</v>
      </c>
      <c r="CM24">
        <v>0.98199364516128995</v>
      </c>
      <c r="CN24">
        <v>1.8005922580645199E-2</v>
      </c>
      <c r="CO24">
        <v>0</v>
      </c>
      <c r="CP24">
        <v>255.39167741935501</v>
      </c>
      <c r="CQ24">
        <v>5.00054</v>
      </c>
      <c r="CR24">
        <v>8423.2948387096803</v>
      </c>
      <c r="CS24">
        <v>20590.438709677401</v>
      </c>
      <c r="CT24">
        <v>50.110774193548401</v>
      </c>
      <c r="CU24">
        <v>52.536000000000001</v>
      </c>
      <c r="CV24">
        <v>50.664999999999999</v>
      </c>
      <c r="CW24">
        <v>51.300129032258099</v>
      </c>
      <c r="CX24">
        <v>51.352451612903202</v>
      </c>
      <c r="CY24">
        <v>2155.4748387096802</v>
      </c>
      <c r="CZ24">
        <v>39.5209677419355</v>
      </c>
      <c r="DA24">
        <v>0</v>
      </c>
      <c r="DB24">
        <v>145.39999985694899</v>
      </c>
      <c r="DC24">
        <v>255.34335999999999</v>
      </c>
      <c r="DD24">
        <v>-2.8853846114772099</v>
      </c>
      <c r="DE24">
        <v>-52.971538542578301</v>
      </c>
      <c r="DF24">
        <v>8422.5596000000005</v>
      </c>
      <c r="DG24">
        <v>15</v>
      </c>
      <c r="DH24">
        <v>1596823604.4000001</v>
      </c>
      <c r="DI24" t="s">
        <v>322</v>
      </c>
      <c r="DJ24">
        <v>52</v>
      </c>
      <c r="DK24">
        <v>-0.33300000000000002</v>
      </c>
      <c r="DL24">
        <v>0.112</v>
      </c>
      <c r="DM24">
        <v>500</v>
      </c>
      <c r="DN24">
        <v>17</v>
      </c>
      <c r="DO24">
        <v>0.2</v>
      </c>
      <c r="DP24">
        <v>0.05</v>
      </c>
      <c r="DQ24">
        <v>483.88755769230801</v>
      </c>
      <c r="DR24">
        <v>1.06152309399806</v>
      </c>
      <c r="DS24">
        <v>0.13647335798912399</v>
      </c>
      <c r="DT24">
        <v>0</v>
      </c>
      <c r="DU24">
        <v>19.053071153846201</v>
      </c>
      <c r="DV24">
        <v>-3.3967898915727102E-2</v>
      </c>
      <c r="DW24">
        <v>1.9377835639030099E-2</v>
      </c>
      <c r="DX24">
        <v>1</v>
      </c>
      <c r="DY24">
        <v>1</v>
      </c>
      <c r="DZ24">
        <v>2</v>
      </c>
      <c r="EA24" t="s">
        <v>323</v>
      </c>
      <c r="EB24">
        <v>1.8667499999999999</v>
      </c>
      <c r="EC24">
        <v>1.8632500000000001</v>
      </c>
      <c r="ED24">
        <v>1.8689</v>
      </c>
      <c r="EE24">
        <v>1.8668199999999999</v>
      </c>
      <c r="EF24">
        <v>1.8714900000000001</v>
      </c>
      <c r="EG24">
        <v>1.8640000000000001</v>
      </c>
      <c r="EH24">
        <v>1.86554</v>
      </c>
      <c r="EI24">
        <v>1.86548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-0.33300000000000002</v>
      </c>
      <c r="EX24">
        <v>0.112</v>
      </c>
      <c r="EY24">
        <v>2</v>
      </c>
      <c r="EZ24">
        <v>345.09399999999999</v>
      </c>
      <c r="FA24">
        <v>493.21800000000002</v>
      </c>
      <c r="FB24">
        <v>20.318999999999999</v>
      </c>
      <c r="FC24">
        <v>33.1755</v>
      </c>
      <c r="FD24">
        <v>30.0014</v>
      </c>
      <c r="FE24">
        <v>33.142600000000002</v>
      </c>
      <c r="FF24">
        <v>33.148299999999999</v>
      </c>
      <c r="FG24">
        <v>26.401800000000001</v>
      </c>
      <c r="FH24">
        <v>45.364699999999999</v>
      </c>
      <c r="FI24">
        <v>0</v>
      </c>
      <c r="FJ24">
        <v>20.280799999999999</v>
      </c>
      <c r="FK24">
        <v>500</v>
      </c>
      <c r="FL24">
        <v>16.8352</v>
      </c>
      <c r="FM24">
        <v>100.85599999999999</v>
      </c>
      <c r="FN24">
        <v>101.416</v>
      </c>
    </row>
    <row r="25" spans="1:170" x14ac:dyDescent="0.25">
      <c r="A25">
        <v>9</v>
      </c>
      <c r="B25">
        <v>1596823710.9000001</v>
      </c>
      <c r="C25">
        <v>977</v>
      </c>
      <c r="D25" t="s">
        <v>324</v>
      </c>
      <c r="E25" t="s">
        <v>325</v>
      </c>
      <c r="G25">
        <v>1596823702.9258101</v>
      </c>
      <c r="H25">
        <f t="shared" si="0"/>
        <v>4.484501147113731E-3</v>
      </c>
      <c r="I25">
        <f t="shared" si="1"/>
        <v>39.759774596032194</v>
      </c>
      <c r="J25">
        <f t="shared" si="2"/>
        <v>583.08945161290296</v>
      </c>
      <c r="K25">
        <f t="shared" si="3"/>
        <v>326.16063971967276</v>
      </c>
      <c r="L25">
        <f t="shared" si="4"/>
        <v>32.591921550893936</v>
      </c>
      <c r="M25">
        <f t="shared" si="5"/>
        <v>58.265784861272607</v>
      </c>
      <c r="N25">
        <f t="shared" si="6"/>
        <v>0.27012058911041092</v>
      </c>
      <c r="O25">
        <f t="shared" si="7"/>
        <v>3.3945529607012053</v>
      </c>
      <c r="P25">
        <f t="shared" si="8"/>
        <v>0.25872202935548744</v>
      </c>
      <c r="Q25">
        <f t="shared" si="9"/>
        <v>0.16268530114169982</v>
      </c>
      <c r="R25">
        <f t="shared" si="10"/>
        <v>353.33774114142182</v>
      </c>
      <c r="S25">
        <f t="shared" si="11"/>
        <v>26.854535233835307</v>
      </c>
      <c r="T25">
        <f t="shared" si="12"/>
        <v>26.966154838709699</v>
      </c>
      <c r="U25">
        <f t="shared" si="13"/>
        <v>3.5720511727070923</v>
      </c>
      <c r="V25">
        <f t="shared" si="14"/>
        <v>55.751806648230328</v>
      </c>
      <c r="W25">
        <f t="shared" si="15"/>
        <v>1.8873206794792536</v>
      </c>
      <c r="X25">
        <f t="shared" si="16"/>
        <v>3.3852188708205042</v>
      </c>
      <c r="Y25">
        <f t="shared" si="17"/>
        <v>1.6847304932278386</v>
      </c>
      <c r="Z25">
        <f t="shared" si="18"/>
        <v>-197.76650058771554</v>
      </c>
      <c r="AA25">
        <f t="shared" si="19"/>
        <v>-166.78149011606752</v>
      </c>
      <c r="AB25">
        <f t="shared" si="20"/>
        <v>-10.55148454759347</v>
      </c>
      <c r="AC25">
        <f t="shared" si="21"/>
        <v>-21.761734109954716</v>
      </c>
      <c r="AD25">
        <v>-4.1363338814492501E-2</v>
      </c>
      <c r="AE25">
        <v>4.64339714467676E-2</v>
      </c>
      <c r="AF25">
        <v>3.46713837306564</v>
      </c>
      <c r="AG25">
        <v>138</v>
      </c>
      <c r="AH25">
        <v>28</v>
      </c>
      <c r="AI25">
        <f t="shared" si="22"/>
        <v>1</v>
      </c>
      <c r="AJ25">
        <f t="shared" si="23"/>
        <v>0</v>
      </c>
      <c r="AK25">
        <f t="shared" si="24"/>
        <v>52911.010433176147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326</v>
      </c>
      <c r="AS25">
        <v>258.93707999999998</v>
      </c>
      <c r="AT25">
        <v>376.96</v>
      </c>
      <c r="AU25">
        <f t="shared" si="27"/>
        <v>0.31309136247877756</v>
      </c>
      <c r="AV25">
        <v>0.5</v>
      </c>
      <c r="AW25">
        <f t="shared" si="28"/>
        <v>1849.1835705797562</v>
      </c>
      <c r="AX25">
        <f t="shared" si="29"/>
        <v>39.759774596032194</v>
      </c>
      <c r="AY25">
        <f t="shared" si="30"/>
        <v>289.48170179309329</v>
      </c>
      <c r="AZ25">
        <f t="shared" si="31"/>
        <v>0.52419354838709675</v>
      </c>
      <c r="BA25">
        <f t="shared" si="32"/>
        <v>2.2042038034792395E-2</v>
      </c>
      <c r="BB25">
        <f t="shared" si="33"/>
        <v>-1</v>
      </c>
      <c r="BC25" t="s">
        <v>327</v>
      </c>
      <c r="BD25">
        <v>179.36</v>
      </c>
      <c r="BE25">
        <f t="shared" si="34"/>
        <v>197.59999999999997</v>
      </c>
      <c r="BF25">
        <f t="shared" si="35"/>
        <v>0.5972819838056681</v>
      </c>
      <c r="BG25">
        <f t="shared" si="36"/>
        <v>2.101694915254237</v>
      </c>
      <c r="BH25">
        <f t="shared" si="37"/>
        <v>0.31309136247877761</v>
      </c>
      <c r="BI25" t="e">
        <f t="shared" si="38"/>
        <v>#DIV/0!</v>
      </c>
      <c r="BJ25">
        <v>5805</v>
      </c>
      <c r="BK25">
        <v>300</v>
      </c>
      <c r="BL25">
        <v>300</v>
      </c>
      <c r="BM25">
        <v>300</v>
      </c>
      <c r="BN25">
        <v>9863.3799999999992</v>
      </c>
      <c r="BO25">
        <v>342.44200000000001</v>
      </c>
      <c r="BP25">
        <v>-6.3965599999999999E-3</v>
      </c>
      <c r="BQ25">
        <v>0.65264900000000003</v>
      </c>
      <c r="BR25">
        <f t="shared" si="39"/>
        <v>2199.99774193548</v>
      </c>
      <c r="BS25">
        <f t="shared" si="40"/>
        <v>1849.1835705797562</v>
      </c>
      <c r="BT25">
        <f t="shared" si="41"/>
        <v>0.84053884935032253</v>
      </c>
      <c r="BU25">
        <f t="shared" si="42"/>
        <v>0.19107769870064514</v>
      </c>
      <c r="BV25">
        <v>0.5</v>
      </c>
      <c r="BW25" t="s">
        <v>281</v>
      </c>
      <c r="BX25">
        <v>1596823702.9258101</v>
      </c>
      <c r="BY25">
        <v>583.08945161290296</v>
      </c>
      <c r="BZ25">
        <v>600.03690322580599</v>
      </c>
      <c r="CA25">
        <v>18.887187096774198</v>
      </c>
      <c r="CB25">
        <v>17.127516129032301</v>
      </c>
      <c r="CC25">
        <v>500.07093548387098</v>
      </c>
      <c r="CD25">
        <v>99.725990322580699</v>
      </c>
      <c r="CE25">
        <v>0.19998964516129</v>
      </c>
      <c r="CF25">
        <v>26.0548161290323</v>
      </c>
      <c r="CG25">
        <v>26.966154838709699</v>
      </c>
      <c r="CH25">
        <v>999.9</v>
      </c>
      <c r="CI25">
        <v>10002.377741935499</v>
      </c>
      <c r="CJ25">
        <v>0</v>
      </c>
      <c r="CK25">
        <v>352.97493548387098</v>
      </c>
      <c r="CL25">
        <v>2199.99774193548</v>
      </c>
      <c r="CM25">
        <v>0.98199622580645096</v>
      </c>
      <c r="CN25">
        <v>1.8003506451612899E-2</v>
      </c>
      <c r="CO25">
        <v>0</v>
      </c>
      <c r="CP25">
        <v>258.91825806451601</v>
      </c>
      <c r="CQ25">
        <v>5.00054</v>
      </c>
      <c r="CR25">
        <v>8525.9596774193506</v>
      </c>
      <c r="CS25">
        <v>20590.493548387101</v>
      </c>
      <c r="CT25">
        <v>50.104612903225799</v>
      </c>
      <c r="CU25">
        <v>52.53</v>
      </c>
      <c r="CV25">
        <v>50.651000000000003</v>
      </c>
      <c r="CW25">
        <v>51.239677419354798</v>
      </c>
      <c r="CX25">
        <v>51.342483870967698</v>
      </c>
      <c r="CY25">
        <v>2155.4764516128998</v>
      </c>
      <c r="CZ25">
        <v>39.515483870967699</v>
      </c>
      <c r="DA25">
        <v>0</v>
      </c>
      <c r="DB25">
        <v>130.40000009536701</v>
      </c>
      <c r="DC25">
        <v>258.93707999999998</v>
      </c>
      <c r="DD25">
        <v>-0.84784615189595902</v>
      </c>
      <c r="DE25">
        <v>2.4261537946161802</v>
      </c>
      <c r="DF25">
        <v>8525.8755999999994</v>
      </c>
      <c r="DG25">
        <v>15</v>
      </c>
      <c r="DH25">
        <v>1596823738</v>
      </c>
      <c r="DI25" t="s">
        <v>328</v>
      </c>
      <c r="DJ25">
        <v>53</v>
      </c>
      <c r="DK25">
        <v>-0.26700000000000002</v>
      </c>
      <c r="DL25">
        <v>0.11700000000000001</v>
      </c>
      <c r="DM25">
        <v>600</v>
      </c>
      <c r="DN25">
        <v>17</v>
      </c>
      <c r="DO25">
        <v>0.26</v>
      </c>
      <c r="DP25">
        <v>0.06</v>
      </c>
      <c r="DQ25">
        <v>582.99586538461494</v>
      </c>
      <c r="DR25">
        <v>0.26992804108242502</v>
      </c>
      <c r="DS25">
        <v>5.2509716626898302E-2</v>
      </c>
      <c r="DT25">
        <v>1</v>
      </c>
      <c r="DU25">
        <v>18.868113461538499</v>
      </c>
      <c r="DV25">
        <v>0.172780481209211</v>
      </c>
      <c r="DW25">
        <v>2.5986468585712401E-2</v>
      </c>
      <c r="DX25">
        <v>1</v>
      </c>
      <c r="DY25">
        <v>2</v>
      </c>
      <c r="DZ25">
        <v>2</v>
      </c>
      <c r="EA25" t="s">
        <v>283</v>
      </c>
      <c r="EB25">
        <v>1.86676</v>
      </c>
      <c r="EC25">
        <v>1.8632500000000001</v>
      </c>
      <c r="ED25">
        <v>1.8689100000000001</v>
      </c>
      <c r="EE25">
        <v>1.8668199999999999</v>
      </c>
      <c r="EF25">
        <v>1.8715200000000001</v>
      </c>
      <c r="EG25">
        <v>1.8640000000000001</v>
      </c>
      <c r="EH25">
        <v>1.8655600000000001</v>
      </c>
      <c r="EI25">
        <v>1.8655299999999999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-0.26700000000000002</v>
      </c>
      <c r="EX25">
        <v>0.11700000000000001</v>
      </c>
      <c r="EY25">
        <v>2</v>
      </c>
      <c r="EZ25">
        <v>344.59300000000002</v>
      </c>
      <c r="FA25">
        <v>492.834</v>
      </c>
      <c r="FB25">
        <v>20.029900000000001</v>
      </c>
      <c r="FC25">
        <v>33.2423</v>
      </c>
      <c r="FD25">
        <v>29.9986</v>
      </c>
      <c r="FE25">
        <v>33.200299999999999</v>
      </c>
      <c r="FF25">
        <v>33.201300000000003</v>
      </c>
      <c r="FG25">
        <v>30.563600000000001</v>
      </c>
      <c r="FH25">
        <v>45.226999999999997</v>
      </c>
      <c r="FI25">
        <v>0</v>
      </c>
      <c r="FJ25">
        <v>20.008500000000002</v>
      </c>
      <c r="FK25">
        <v>600</v>
      </c>
      <c r="FL25">
        <v>16.833100000000002</v>
      </c>
      <c r="FM25">
        <v>100.848</v>
      </c>
      <c r="FN25">
        <v>101.41200000000001</v>
      </c>
    </row>
    <row r="26" spans="1:170" x14ac:dyDescent="0.25">
      <c r="A26">
        <v>10</v>
      </c>
      <c r="B26">
        <v>1596823859.4000001</v>
      </c>
      <c r="C26">
        <v>1125.5</v>
      </c>
      <c r="D26" t="s">
        <v>329</v>
      </c>
      <c r="E26" t="s">
        <v>330</v>
      </c>
      <c r="G26">
        <v>1596823851.43871</v>
      </c>
      <c r="H26">
        <f t="shared" si="0"/>
        <v>4.2050333053512213E-3</v>
      </c>
      <c r="I26">
        <f t="shared" si="1"/>
        <v>41.832279546835522</v>
      </c>
      <c r="J26">
        <f t="shared" si="2"/>
        <v>682.20590322580699</v>
      </c>
      <c r="K26">
        <f t="shared" si="3"/>
        <v>389.39664303012205</v>
      </c>
      <c r="L26">
        <f t="shared" si="4"/>
        <v>38.910799573421428</v>
      </c>
      <c r="M26">
        <f t="shared" si="5"/>
        <v>68.170020577632172</v>
      </c>
      <c r="N26">
        <f t="shared" si="6"/>
        <v>0.24929342154803386</v>
      </c>
      <c r="O26">
        <f t="shared" si="7"/>
        <v>3.3926067492618031</v>
      </c>
      <c r="P26">
        <f t="shared" si="8"/>
        <v>0.23954538943624287</v>
      </c>
      <c r="Q26">
        <f t="shared" si="9"/>
        <v>0.15055993009212171</v>
      </c>
      <c r="R26">
        <f t="shared" si="10"/>
        <v>353.33892498520788</v>
      </c>
      <c r="S26">
        <f t="shared" si="11"/>
        <v>26.854220504474608</v>
      </c>
      <c r="T26">
        <f t="shared" si="12"/>
        <v>26.989435483870999</v>
      </c>
      <c r="U26">
        <f t="shared" si="13"/>
        <v>3.5769394964529573</v>
      </c>
      <c r="V26">
        <f t="shared" si="14"/>
        <v>55.46903257250657</v>
      </c>
      <c r="W26">
        <f t="shared" si="15"/>
        <v>1.8706323313578652</v>
      </c>
      <c r="X26">
        <f t="shared" si="16"/>
        <v>3.3723904034429673</v>
      </c>
      <c r="Y26">
        <f t="shared" si="17"/>
        <v>1.7063071650950921</v>
      </c>
      <c r="Z26">
        <f t="shared" si="18"/>
        <v>-185.44196876598886</v>
      </c>
      <c r="AA26">
        <f t="shared" si="19"/>
        <v>-182.68155239383245</v>
      </c>
      <c r="AB26">
        <f t="shared" si="20"/>
        <v>-11.561674358352754</v>
      </c>
      <c r="AC26">
        <f t="shared" si="21"/>
        <v>-26.346270532966201</v>
      </c>
      <c r="AD26">
        <v>-4.1333194689296901E-2</v>
      </c>
      <c r="AE26">
        <v>4.6400132025465203E-2</v>
      </c>
      <c r="AF26">
        <v>3.46513926396806</v>
      </c>
      <c r="AG26">
        <v>137</v>
      </c>
      <c r="AH26">
        <v>27</v>
      </c>
      <c r="AI26">
        <f t="shared" si="22"/>
        <v>1</v>
      </c>
      <c r="AJ26">
        <f t="shared" si="23"/>
        <v>0</v>
      </c>
      <c r="AK26">
        <f t="shared" si="24"/>
        <v>52885.371741583338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262.03228000000001</v>
      </c>
      <c r="AT26">
        <v>387.78300000000002</v>
      </c>
      <c r="AU26">
        <f t="shared" si="27"/>
        <v>0.32428115724516027</v>
      </c>
      <c r="AV26">
        <v>0.5</v>
      </c>
      <c r="AW26">
        <f t="shared" si="28"/>
        <v>1849.1939416446214</v>
      </c>
      <c r="AX26">
        <f t="shared" si="29"/>
        <v>41.832279546835522</v>
      </c>
      <c r="AY26">
        <f t="shared" si="30"/>
        <v>299.8293756836286</v>
      </c>
      <c r="AZ26">
        <f t="shared" si="31"/>
        <v>0.53334725864723309</v>
      </c>
      <c r="BA26">
        <f t="shared" si="32"/>
        <v>2.316267568383968E-2</v>
      </c>
      <c r="BB26">
        <f t="shared" si="33"/>
        <v>-1</v>
      </c>
      <c r="BC26" t="s">
        <v>332</v>
      </c>
      <c r="BD26">
        <v>180.96</v>
      </c>
      <c r="BE26">
        <f t="shared" si="34"/>
        <v>206.82300000000001</v>
      </c>
      <c r="BF26">
        <f t="shared" si="35"/>
        <v>0.60801129468192605</v>
      </c>
      <c r="BG26">
        <f t="shared" si="36"/>
        <v>2.1429210875331566</v>
      </c>
      <c r="BH26">
        <f t="shared" si="37"/>
        <v>0.32428115724516032</v>
      </c>
      <c r="BI26" t="e">
        <f t="shared" si="38"/>
        <v>#DIV/0!</v>
      </c>
      <c r="BJ26">
        <v>5807</v>
      </c>
      <c r="BK26">
        <v>300</v>
      </c>
      <c r="BL26">
        <v>300</v>
      </c>
      <c r="BM26">
        <v>300</v>
      </c>
      <c r="BN26">
        <v>9863.86</v>
      </c>
      <c r="BO26">
        <v>349.40499999999997</v>
      </c>
      <c r="BP26">
        <v>-6.3970800000000003E-3</v>
      </c>
      <c r="BQ26">
        <v>0.21612500000000001</v>
      </c>
      <c r="BR26">
        <f t="shared" si="39"/>
        <v>2200.0106451612901</v>
      </c>
      <c r="BS26">
        <f t="shared" si="40"/>
        <v>1849.1939416446214</v>
      </c>
      <c r="BT26">
        <f t="shared" si="41"/>
        <v>0.84053863362513448</v>
      </c>
      <c r="BU26">
        <f t="shared" si="42"/>
        <v>0.19107726725026911</v>
      </c>
      <c r="BV26">
        <v>0.5</v>
      </c>
      <c r="BW26" t="s">
        <v>281</v>
      </c>
      <c r="BX26">
        <v>1596823851.43871</v>
      </c>
      <c r="BY26">
        <v>682.20590322580699</v>
      </c>
      <c r="BZ26">
        <v>700.08370967741905</v>
      </c>
      <c r="CA26">
        <v>18.720199999999998</v>
      </c>
      <c r="CB26">
        <v>17.069912903225799</v>
      </c>
      <c r="CC26">
        <v>500.07229032258101</v>
      </c>
      <c r="CD26">
        <v>99.7258967741936</v>
      </c>
      <c r="CE26">
        <v>0.19997641935483901</v>
      </c>
      <c r="CF26">
        <v>25.9906419354839</v>
      </c>
      <c r="CG26">
        <v>26.989435483870999</v>
      </c>
      <c r="CH26">
        <v>999.9</v>
      </c>
      <c r="CI26">
        <v>9995.0977419354804</v>
      </c>
      <c r="CJ26">
        <v>0</v>
      </c>
      <c r="CK26">
        <v>356.31009677419399</v>
      </c>
      <c r="CL26">
        <v>2200.0106451612901</v>
      </c>
      <c r="CM26">
        <v>0.98200554838709697</v>
      </c>
      <c r="CN26">
        <v>1.7994474193548399E-2</v>
      </c>
      <c r="CO26">
        <v>0</v>
      </c>
      <c r="CP26">
        <v>262.06712903225798</v>
      </c>
      <c r="CQ26">
        <v>5.00054</v>
      </c>
      <c r="CR26">
        <v>8582.4616129032202</v>
      </c>
      <c r="CS26">
        <v>20590.677419354801</v>
      </c>
      <c r="CT26">
        <v>49.961322580645103</v>
      </c>
      <c r="CU26">
        <v>52.3546774193548</v>
      </c>
      <c r="CV26">
        <v>50.509870967741897</v>
      </c>
      <c r="CW26">
        <v>51.0843548387097</v>
      </c>
      <c r="CX26">
        <v>51.2093548387097</v>
      </c>
      <c r="CY26">
        <v>2155.5106451612901</v>
      </c>
      <c r="CZ26">
        <v>39.5</v>
      </c>
      <c r="DA26">
        <v>0</v>
      </c>
      <c r="DB26">
        <v>147.90000009536701</v>
      </c>
      <c r="DC26">
        <v>262.03228000000001</v>
      </c>
      <c r="DD26">
        <v>-2.10730767812497</v>
      </c>
      <c r="DE26">
        <v>-30.845384625599099</v>
      </c>
      <c r="DF26">
        <v>8582.0436000000009</v>
      </c>
      <c r="DG26">
        <v>15</v>
      </c>
      <c r="DH26">
        <v>1596823882.4000001</v>
      </c>
      <c r="DI26" t="s">
        <v>333</v>
      </c>
      <c r="DJ26">
        <v>54</v>
      </c>
      <c r="DK26">
        <v>-0.26600000000000001</v>
      </c>
      <c r="DL26">
        <v>0.115</v>
      </c>
      <c r="DM26">
        <v>700</v>
      </c>
      <c r="DN26">
        <v>17</v>
      </c>
      <c r="DO26">
        <v>0.2</v>
      </c>
      <c r="DP26">
        <v>0.06</v>
      </c>
      <c r="DQ26">
        <v>682.11984615384597</v>
      </c>
      <c r="DR26">
        <v>0.80931352504043397</v>
      </c>
      <c r="DS26">
        <v>0.106044327562983</v>
      </c>
      <c r="DT26">
        <v>0</v>
      </c>
      <c r="DU26">
        <v>18.745951923076898</v>
      </c>
      <c r="DV26">
        <v>-0.217168552592687</v>
      </c>
      <c r="DW26">
        <v>4.3328754399823699E-2</v>
      </c>
      <c r="DX26">
        <v>0</v>
      </c>
      <c r="DY26">
        <v>0</v>
      </c>
      <c r="DZ26">
        <v>2</v>
      </c>
      <c r="EA26" t="s">
        <v>334</v>
      </c>
      <c r="EB26">
        <v>1.8667199999999999</v>
      </c>
      <c r="EC26">
        <v>1.86324</v>
      </c>
      <c r="ED26">
        <v>1.8689</v>
      </c>
      <c r="EE26">
        <v>1.8667899999999999</v>
      </c>
      <c r="EF26">
        <v>1.8714900000000001</v>
      </c>
      <c r="EG26">
        <v>1.86399</v>
      </c>
      <c r="EH26">
        <v>1.86555</v>
      </c>
      <c r="EI26">
        <v>1.8654599999999999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-0.26600000000000001</v>
      </c>
      <c r="EX26">
        <v>0.115</v>
      </c>
      <c r="EY26">
        <v>2</v>
      </c>
      <c r="EZ26">
        <v>344.82600000000002</v>
      </c>
      <c r="FA26">
        <v>492.80700000000002</v>
      </c>
      <c r="FB26">
        <v>20.089300000000001</v>
      </c>
      <c r="FC26">
        <v>33.249000000000002</v>
      </c>
      <c r="FD26">
        <v>30.000699999999998</v>
      </c>
      <c r="FE26">
        <v>33.226999999999997</v>
      </c>
      <c r="FF26">
        <v>33.228700000000003</v>
      </c>
      <c r="FG26">
        <v>34.599200000000003</v>
      </c>
      <c r="FH26">
        <v>45.636099999999999</v>
      </c>
      <c r="FI26">
        <v>0</v>
      </c>
      <c r="FJ26">
        <v>20.0809</v>
      </c>
      <c r="FK26">
        <v>700</v>
      </c>
      <c r="FL26">
        <v>16.933299999999999</v>
      </c>
      <c r="FM26">
        <v>100.84</v>
      </c>
      <c r="FN26">
        <v>101.407</v>
      </c>
    </row>
    <row r="27" spans="1:170" x14ac:dyDescent="0.25">
      <c r="A27">
        <v>11</v>
      </c>
      <c r="B27">
        <v>1596824004</v>
      </c>
      <c r="C27">
        <v>1270.0999999046301</v>
      </c>
      <c r="D27" t="s">
        <v>335</v>
      </c>
      <c r="E27" t="s">
        <v>336</v>
      </c>
      <c r="G27">
        <v>1596823996</v>
      </c>
      <c r="H27">
        <f t="shared" si="0"/>
        <v>2.9848389071785181E-3</v>
      </c>
      <c r="I27">
        <f t="shared" si="1"/>
        <v>41.305071584836121</v>
      </c>
      <c r="J27">
        <f t="shared" si="2"/>
        <v>782.58025806451599</v>
      </c>
      <c r="K27">
        <f t="shared" si="3"/>
        <v>376.01781015373069</v>
      </c>
      <c r="L27">
        <f t="shared" si="4"/>
        <v>37.57423079690345</v>
      </c>
      <c r="M27">
        <f t="shared" si="5"/>
        <v>78.200687413169447</v>
      </c>
      <c r="N27">
        <f t="shared" si="6"/>
        <v>0.17346308802123836</v>
      </c>
      <c r="O27">
        <f t="shared" si="7"/>
        <v>3.3979354243082627</v>
      </c>
      <c r="P27">
        <f t="shared" si="8"/>
        <v>0.16868952142038743</v>
      </c>
      <c r="Q27">
        <f t="shared" si="9"/>
        <v>0.10584889505136796</v>
      </c>
      <c r="R27">
        <f t="shared" si="10"/>
        <v>353.34038551825273</v>
      </c>
      <c r="S27">
        <f t="shared" si="11"/>
        <v>26.956153532799668</v>
      </c>
      <c r="T27">
        <f t="shared" si="12"/>
        <v>26.981158064516102</v>
      </c>
      <c r="U27">
        <f t="shared" si="13"/>
        <v>3.575200787290119</v>
      </c>
      <c r="V27">
        <f t="shared" si="14"/>
        <v>55.576186204467483</v>
      </c>
      <c r="W27">
        <f t="shared" si="15"/>
        <v>1.8551123731284278</v>
      </c>
      <c r="X27">
        <f t="shared" si="16"/>
        <v>3.337962713568325</v>
      </c>
      <c r="Y27">
        <f t="shared" si="17"/>
        <v>1.7200884141616912</v>
      </c>
      <c r="Z27">
        <f t="shared" si="18"/>
        <v>-131.63139580657264</v>
      </c>
      <c r="AA27">
        <f t="shared" si="19"/>
        <v>-213.19593381001872</v>
      </c>
      <c r="AB27">
        <f t="shared" si="20"/>
        <v>-13.459496191404448</v>
      </c>
      <c r="AC27">
        <f t="shared" si="21"/>
        <v>-4.9464402897430944</v>
      </c>
      <c r="AD27">
        <v>-4.1415747078495102E-2</v>
      </c>
      <c r="AE27">
        <v>4.6492804314326598E-2</v>
      </c>
      <c r="AF27">
        <v>3.47061280399359</v>
      </c>
      <c r="AG27">
        <v>137</v>
      </c>
      <c r="AH27">
        <v>27</v>
      </c>
      <c r="AI27">
        <f t="shared" si="22"/>
        <v>1</v>
      </c>
      <c r="AJ27">
        <f t="shared" si="23"/>
        <v>0</v>
      </c>
      <c r="AK27">
        <f t="shared" si="24"/>
        <v>53017.408405741582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337</v>
      </c>
      <c r="AS27">
        <v>261.1782</v>
      </c>
      <c r="AT27">
        <v>388.71499999999997</v>
      </c>
      <c r="AU27">
        <f t="shared" si="27"/>
        <v>0.32809847831959138</v>
      </c>
      <c r="AV27">
        <v>0.5</v>
      </c>
      <c r="AW27">
        <f t="shared" si="28"/>
        <v>1849.1971564598148</v>
      </c>
      <c r="AX27">
        <f t="shared" si="29"/>
        <v>41.305071584836121</v>
      </c>
      <c r="AY27">
        <f t="shared" si="30"/>
        <v>303.3593865736903</v>
      </c>
      <c r="AZ27">
        <f t="shared" si="31"/>
        <v>0.53570096343079121</v>
      </c>
      <c r="BA27">
        <f t="shared" si="32"/>
        <v>2.2877534413813846E-2</v>
      </c>
      <c r="BB27">
        <f t="shared" si="33"/>
        <v>-1</v>
      </c>
      <c r="BC27" t="s">
        <v>338</v>
      </c>
      <c r="BD27">
        <v>180.48</v>
      </c>
      <c r="BE27">
        <f t="shared" si="34"/>
        <v>208.23499999999999</v>
      </c>
      <c r="BF27">
        <f t="shared" si="35"/>
        <v>0.61246572382164377</v>
      </c>
      <c r="BG27">
        <f t="shared" si="36"/>
        <v>2.1537843528368796</v>
      </c>
      <c r="BH27">
        <f t="shared" si="37"/>
        <v>0.32809847831959144</v>
      </c>
      <c r="BI27" t="e">
        <f t="shared" si="38"/>
        <v>#DIV/0!</v>
      </c>
      <c r="BJ27">
        <v>5809</v>
      </c>
      <c r="BK27">
        <v>300</v>
      </c>
      <c r="BL27">
        <v>300</v>
      </c>
      <c r="BM27">
        <v>300</v>
      </c>
      <c r="BN27">
        <v>9863.43</v>
      </c>
      <c r="BO27">
        <v>348.35700000000003</v>
      </c>
      <c r="BP27">
        <v>-6.3967700000000004E-3</v>
      </c>
      <c r="BQ27">
        <v>0.56359899999999996</v>
      </c>
      <c r="BR27">
        <f t="shared" si="39"/>
        <v>2200.0138709677399</v>
      </c>
      <c r="BS27">
        <f t="shared" si="40"/>
        <v>1849.1971564598148</v>
      </c>
      <c r="BT27">
        <f t="shared" si="41"/>
        <v>0.84053886244198628</v>
      </c>
      <c r="BU27">
        <f t="shared" si="42"/>
        <v>0.19107772488397248</v>
      </c>
      <c r="BV27">
        <v>0.5</v>
      </c>
      <c r="BW27" t="s">
        <v>281</v>
      </c>
      <c r="BX27">
        <v>1596823996</v>
      </c>
      <c r="BY27">
        <v>782.58025806451599</v>
      </c>
      <c r="BZ27">
        <v>800.03419354838695</v>
      </c>
      <c r="CA27">
        <v>18.564725806451602</v>
      </c>
      <c r="CB27">
        <v>17.393119354838699</v>
      </c>
      <c r="CC27">
        <v>500.07</v>
      </c>
      <c r="CD27">
        <v>99.726767741935504</v>
      </c>
      <c r="CE27">
        <v>0.19996387096774201</v>
      </c>
      <c r="CF27">
        <v>25.8173580645161</v>
      </c>
      <c r="CG27">
        <v>26.981158064516102</v>
      </c>
      <c r="CH27">
        <v>999.9</v>
      </c>
      <c r="CI27">
        <v>10014.9729032258</v>
      </c>
      <c r="CJ27">
        <v>0</v>
      </c>
      <c r="CK27">
        <v>358.89629032258102</v>
      </c>
      <c r="CL27">
        <v>2200.0138709677399</v>
      </c>
      <c r="CM27">
        <v>0.98199593548387099</v>
      </c>
      <c r="CN27">
        <v>1.80037677419355E-2</v>
      </c>
      <c r="CO27">
        <v>0</v>
      </c>
      <c r="CP27">
        <v>261.233</v>
      </c>
      <c r="CQ27">
        <v>5.00054</v>
      </c>
      <c r="CR27">
        <v>8580.3703225806494</v>
      </c>
      <c r="CS27">
        <v>20590.635483870999</v>
      </c>
      <c r="CT27">
        <v>50.003935483870997</v>
      </c>
      <c r="CU27">
        <v>52.423000000000002</v>
      </c>
      <c r="CV27">
        <v>50.515999999999998</v>
      </c>
      <c r="CW27">
        <v>51.157064516128997</v>
      </c>
      <c r="CX27">
        <v>51.2195161290323</v>
      </c>
      <c r="CY27">
        <v>2155.4935483871</v>
      </c>
      <c r="CZ27">
        <v>39.5167741935484</v>
      </c>
      <c r="DA27">
        <v>0</v>
      </c>
      <c r="DB27">
        <v>143.89999985694899</v>
      </c>
      <c r="DC27">
        <v>261.1782</v>
      </c>
      <c r="DD27">
        <v>-1.8613076914011</v>
      </c>
      <c r="DE27">
        <v>-32.776923121484899</v>
      </c>
      <c r="DF27">
        <v>8580.1039999999994</v>
      </c>
      <c r="DG27">
        <v>15</v>
      </c>
      <c r="DH27">
        <v>1596824035</v>
      </c>
      <c r="DI27" t="s">
        <v>339</v>
      </c>
      <c r="DJ27">
        <v>55</v>
      </c>
      <c r="DK27">
        <v>-0.29499999999999998</v>
      </c>
      <c r="DL27">
        <v>0.121</v>
      </c>
      <c r="DM27">
        <v>800</v>
      </c>
      <c r="DN27">
        <v>17</v>
      </c>
      <c r="DO27">
        <v>0.12</v>
      </c>
      <c r="DP27">
        <v>7.0000000000000007E-2</v>
      </c>
      <c r="DQ27">
        <v>782.53255769230805</v>
      </c>
      <c r="DR27">
        <v>0.752850678732495</v>
      </c>
      <c r="DS27">
        <v>0.10007889454393799</v>
      </c>
      <c r="DT27">
        <v>0</v>
      </c>
      <c r="DU27">
        <v>18.566334615384601</v>
      </c>
      <c r="DV27">
        <v>-9.6960983522580299E-2</v>
      </c>
      <c r="DW27">
        <v>1.41889025516879E-2</v>
      </c>
      <c r="DX27">
        <v>1</v>
      </c>
      <c r="DY27">
        <v>1</v>
      </c>
      <c r="DZ27">
        <v>2</v>
      </c>
      <c r="EA27" t="s">
        <v>323</v>
      </c>
      <c r="EB27">
        <v>1.86676</v>
      </c>
      <c r="EC27">
        <v>1.8632500000000001</v>
      </c>
      <c r="ED27">
        <v>1.8689100000000001</v>
      </c>
      <c r="EE27">
        <v>1.86687</v>
      </c>
      <c r="EF27">
        <v>1.87155</v>
      </c>
      <c r="EG27">
        <v>1.8640099999999999</v>
      </c>
      <c r="EH27">
        <v>1.8655600000000001</v>
      </c>
      <c r="EI27">
        <v>1.86551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-0.29499999999999998</v>
      </c>
      <c r="EX27">
        <v>0.121</v>
      </c>
      <c r="EY27">
        <v>2</v>
      </c>
      <c r="EZ27">
        <v>344.93799999999999</v>
      </c>
      <c r="FA27">
        <v>492.88400000000001</v>
      </c>
      <c r="FB27">
        <v>19.5138</v>
      </c>
      <c r="FC27">
        <v>33.246000000000002</v>
      </c>
      <c r="FD27">
        <v>29.9925</v>
      </c>
      <c r="FE27">
        <v>33.236499999999999</v>
      </c>
      <c r="FF27">
        <v>33.243000000000002</v>
      </c>
      <c r="FG27">
        <v>38.546599999999998</v>
      </c>
      <c r="FH27">
        <v>43.820500000000003</v>
      </c>
      <c r="FI27">
        <v>0</v>
      </c>
      <c r="FJ27">
        <v>19.780999999999999</v>
      </c>
      <c r="FK27">
        <v>800</v>
      </c>
      <c r="FL27">
        <v>17.193899999999999</v>
      </c>
      <c r="FM27">
        <v>100.84699999999999</v>
      </c>
      <c r="FN27">
        <v>101.41</v>
      </c>
    </row>
    <row r="28" spans="1:170" x14ac:dyDescent="0.25">
      <c r="A28">
        <v>12</v>
      </c>
      <c r="B28">
        <v>1596824156.5999999</v>
      </c>
      <c r="C28">
        <v>1422.6999998092699</v>
      </c>
      <c r="D28" t="s">
        <v>340</v>
      </c>
      <c r="E28" t="s">
        <v>341</v>
      </c>
      <c r="G28">
        <v>1596824148.5999999</v>
      </c>
      <c r="H28">
        <f t="shared" si="0"/>
        <v>2.6417964426081542E-3</v>
      </c>
      <c r="I28">
        <f t="shared" si="1"/>
        <v>44.794432477612766</v>
      </c>
      <c r="J28">
        <f t="shared" si="2"/>
        <v>981.03703225806498</v>
      </c>
      <c r="K28">
        <f t="shared" si="3"/>
        <v>472.49797614988307</v>
      </c>
      <c r="L28">
        <f t="shared" si="4"/>
        <v>47.21618700492035</v>
      </c>
      <c r="M28">
        <f t="shared" si="5"/>
        <v>98.033918264139288</v>
      </c>
      <c r="N28">
        <f t="shared" si="6"/>
        <v>0.15006256318675501</v>
      </c>
      <c r="O28">
        <f t="shared" si="7"/>
        <v>3.393558457919057</v>
      </c>
      <c r="P28">
        <f t="shared" si="8"/>
        <v>0.14647120365717492</v>
      </c>
      <c r="Q28">
        <f t="shared" si="9"/>
        <v>9.1860012960114576E-2</v>
      </c>
      <c r="R28">
        <f t="shared" si="10"/>
        <v>353.33823396983996</v>
      </c>
      <c r="S28">
        <f t="shared" si="11"/>
        <v>27.002234743199121</v>
      </c>
      <c r="T28">
        <f t="shared" si="12"/>
        <v>27.040864516129002</v>
      </c>
      <c r="U28">
        <f t="shared" si="13"/>
        <v>3.5877589454934</v>
      </c>
      <c r="V28">
        <f t="shared" si="14"/>
        <v>55.060933639873632</v>
      </c>
      <c r="W28">
        <f t="shared" si="15"/>
        <v>1.8343103842235715</v>
      </c>
      <c r="X28">
        <f t="shared" si="16"/>
        <v>3.3314189625277506</v>
      </c>
      <c r="Y28">
        <f t="shared" si="17"/>
        <v>1.7534485612698285</v>
      </c>
      <c r="Z28">
        <f t="shared" si="18"/>
        <v>-116.50322311901959</v>
      </c>
      <c r="AA28">
        <f t="shared" si="19"/>
        <v>-229.90293877075405</v>
      </c>
      <c r="AB28">
        <f t="shared" si="20"/>
        <v>-14.534909409076533</v>
      </c>
      <c r="AC28">
        <f t="shared" si="21"/>
        <v>-7.6028373290102138</v>
      </c>
      <c r="AD28">
        <v>-4.1347934365980298E-2</v>
      </c>
      <c r="AE28">
        <v>4.6416678603808902E-2</v>
      </c>
      <c r="AF28">
        <v>3.4661168381753602</v>
      </c>
      <c r="AG28">
        <v>137</v>
      </c>
      <c r="AH28">
        <v>27</v>
      </c>
      <c r="AI28">
        <f t="shared" si="22"/>
        <v>1</v>
      </c>
      <c r="AJ28">
        <f t="shared" si="23"/>
        <v>0</v>
      </c>
      <c r="AK28">
        <f t="shared" si="24"/>
        <v>52940.070831257566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342</v>
      </c>
      <c r="AS28">
        <v>263.98856000000001</v>
      </c>
      <c r="AT28">
        <v>396.10599999999999</v>
      </c>
      <c r="AU28">
        <f t="shared" si="27"/>
        <v>0.33354061791540646</v>
      </c>
      <c r="AV28">
        <v>0.5</v>
      </c>
      <c r="AW28">
        <f t="shared" si="28"/>
        <v>1849.1845642251062</v>
      </c>
      <c r="AX28">
        <f t="shared" si="29"/>
        <v>44.794432477612766</v>
      </c>
      <c r="AY28">
        <f t="shared" si="30"/>
        <v>308.38908109563675</v>
      </c>
      <c r="AZ28">
        <f t="shared" si="31"/>
        <v>0.54815125244252805</v>
      </c>
      <c r="BA28">
        <f t="shared" si="32"/>
        <v>2.4764662956616636E-2</v>
      </c>
      <c r="BB28">
        <f t="shared" si="33"/>
        <v>-1</v>
      </c>
      <c r="BC28" t="s">
        <v>343</v>
      </c>
      <c r="BD28">
        <v>178.98</v>
      </c>
      <c r="BE28">
        <f t="shared" si="34"/>
        <v>217.126</v>
      </c>
      <c r="BF28">
        <f t="shared" si="35"/>
        <v>0.60848281642917013</v>
      </c>
      <c r="BG28">
        <f t="shared" si="36"/>
        <v>2.2131299586545983</v>
      </c>
      <c r="BH28">
        <f t="shared" si="37"/>
        <v>0.33354061791540646</v>
      </c>
      <c r="BI28" t="e">
        <f t="shared" si="38"/>
        <v>#DIV/0!</v>
      </c>
      <c r="BJ28">
        <v>5811</v>
      </c>
      <c r="BK28">
        <v>300</v>
      </c>
      <c r="BL28">
        <v>300</v>
      </c>
      <c r="BM28">
        <v>300</v>
      </c>
      <c r="BN28">
        <v>9862.9699999999993</v>
      </c>
      <c r="BO28">
        <v>354.423</v>
      </c>
      <c r="BP28">
        <v>-6.3964099999999999E-3</v>
      </c>
      <c r="BQ28">
        <v>0.44164999999999999</v>
      </c>
      <c r="BR28">
        <f t="shared" si="39"/>
        <v>2199.9987096774198</v>
      </c>
      <c r="BS28">
        <f t="shared" si="40"/>
        <v>1849.1845642251062</v>
      </c>
      <c r="BT28">
        <f t="shared" si="41"/>
        <v>0.84053893126884949</v>
      </c>
      <c r="BU28">
        <f t="shared" si="42"/>
        <v>0.19107786253769915</v>
      </c>
      <c r="BV28">
        <v>0.5</v>
      </c>
      <c r="BW28" t="s">
        <v>281</v>
      </c>
      <c r="BX28">
        <v>1596824148.5999999</v>
      </c>
      <c r="BY28">
        <v>981.03703225806498</v>
      </c>
      <c r="BZ28">
        <v>999.98938709677395</v>
      </c>
      <c r="CA28">
        <v>18.3561612903226</v>
      </c>
      <c r="CB28">
        <v>17.318954838709701</v>
      </c>
      <c r="CC28">
        <v>500.05535483871</v>
      </c>
      <c r="CD28">
        <v>99.728861290322598</v>
      </c>
      <c r="CE28">
        <v>0.200004838709677</v>
      </c>
      <c r="CF28">
        <v>25.784245161290301</v>
      </c>
      <c r="CG28">
        <v>27.040864516129002</v>
      </c>
      <c r="CH28">
        <v>999.9</v>
      </c>
      <c r="CI28">
        <v>9998.36483870968</v>
      </c>
      <c r="CJ28">
        <v>0</v>
      </c>
      <c r="CK28">
        <v>365.92348387096803</v>
      </c>
      <c r="CL28">
        <v>2199.9987096774198</v>
      </c>
      <c r="CM28">
        <v>0.98199383870967705</v>
      </c>
      <c r="CN28">
        <v>1.80057193548387E-2</v>
      </c>
      <c r="CO28">
        <v>0</v>
      </c>
      <c r="CP28">
        <v>264.07858064516103</v>
      </c>
      <c r="CQ28">
        <v>5.00054</v>
      </c>
      <c r="CR28">
        <v>8685.2448387096792</v>
      </c>
      <c r="CS28">
        <v>20590.4806451613</v>
      </c>
      <c r="CT28">
        <v>50.169032258064497</v>
      </c>
      <c r="CU28">
        <v>52.639000000000003</v>
      </c>
      <c r="CV28">
        <v>50.679000000000002</v>
      </c>
      <c r="CW28">
        <v>51.392935483871</v>
      </c>
      <c r="CX28">
        <v>51.350612903225802</v>
      </c>
      <c r="CY28">
        <v>2155.4770967741902</v>
      </c>
      <c r="CZ28">
        <v>39.521612903225801</v>
      </c>
      <c r="DA28">
        <v>0</v>
      </c>
      <c r="DB28">
        <v>152.10000014305101</v>
      </c>
      <c r="DC28">
        <v>263.98856000000001</v>
      </c>
      <c r="DD28">
        <v>-6.4117692235812598</v>
      </c>
      <c r="DE28">
        <v>-99.918461342173799</v>
      </c>
      <c r="DF28">
        <v>8684.5568000000003</v>
      </c>
      <c r="DG28">
        <v>15</v>
      </c>
      <c r="DH28">
        <v>1596824189.5999999</v>
      </c>
      <c r="DI28" t="s">
        <v>344</v>
      </c>
      <c r="DJ28">
        <v>56</v>
      </c>
      <c r="DK28">
        <v>-7.0000000000000001E-3</v>
      </c>
      <c r="DL28">
        <v>0.123</v>
      </c>
      <c r="DM28">
        <v>1000</v>
      </c>
      <c r="DN28">
        <v>17</v>
      </c>
      <c r="DO28">
        <v>0.2</v>
      </c>
      <c r="DP28">
        <v>0.09</v>
      </c>
      <c r="DQ28">
        <v>980.63582692307705</v>
      </c>
      <c r="DR28">
        <v>1.16418915114192</v>
      </c>
      <c r="DS28">
        <v>0.147181823861329</v>
      </c>
      <c r="DT28">
        <v>0</v>
      </c>
      <c r="DU28">
        <v>18.337074999999999</v>
      </c>
      <c r="DV28">
        <v>0.17110037097377701</v>
      </c>
      <c r="DW28">
        <v>2.4434519048957201E-2</v>
      </c>
      <c r="DX28">
        <v>1</v>
      </c>
      <c r="DY28">
        <v>1</v>
      </c>
      <c r="DZ28">
        <v>2</v>
      </c>
      <c r="EA28" t="s">
        <v>323</v>
      </c>
      <c r="EB28">
        <v>1.8667</v>
      </c>
      <c r="EC28">
        <v>1.8632500000000001</v>
      </c>
      <c r="ED28">
        <v>1.8689</v>
      </c>
      <c r="EE28">
        <v>1.8667899999999999</v>
      </c>
      <c r="EF28">
        <v>1.8714999999999999</v>
      </c>
      <c r="EG28">
        <v>1.86399</v>
      </c>
      <c r="EH28">
        <v>1.86554</v>
      </c>
      <c r="EI28">
        <v>1.8654500000000001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-7.0000000000000001E-3</v>
      </c>
      <c r="EX28">
        <v>0.123</v>
      </c>
      <c r="EY28">
        <v>2</v>
      </c>
      <c r="EZ28">
        <v>344.702</v>
      </c>
      <c r="FA28">
        <v>492.80399999999997</v>
      </c>
      <c r="FB28">
        <v>19.661200000000001</v>
      </c>
      <c r="FC28">
        <v>33.307299999999998</v>
      </c>
      <c r="FD28">
        <v>30.0015</v>
      </c>
      <c r="FE28">
        <v>33.289400000000001</v>
      </c>
      <c r="FF28">
        <v>33.296500000000002</v>
      </c>
      <c r="FG28">
        <v>46.150300000000001</v>
      </c>
      <c r="FH28">
        <v>43.170200000000001</v>
      </c>
      <c r="FI28">
        <v>0</v>
      </c>
      <c r="FJ28">
        <v>19.623200000000001</v>
      </c>
      <c r="FK28">
        <v>1000</v>
      </c>
      <c r="FL28">
        <v>17.363299999999999</v>
      </c>
      <c r="FM28">
        <v>100.833</v>
      </c>
      <c r="FN28">
        <v>101.39400000000001</v>
      </c>
    </row>
    <row r="29" spans="1:170" x14ac:dyDescent="0.25">
      <c r="A29">
        <v>13</v>
      </c>
      <c r="B29">
        <v>1596824311.0999999</v>
      </c>
      <c r="C29">
        <v>1577.1999998092699</v>
      </c>
      <c r="D29" t="s">
        <v>345</v>
      </c>
      <c r="E29" t="s">
        <v>346</v>
      </c>
      <c r="G29">
        <v>1596824303.0999999</v>
      </c>
      <c r="H29">
        <f t="shared" si="0"/>
        <v>2.2851313692580305E-3</v>
      </c>
      <c r="I29">
        <f t="shared" si="1"/>
        <v>44.29247502444818</v>
      </c>
      <c r="J29">
        <f t="shared" si="2"/>
        <v>1181.2019354838701</v>
      </c>
      <c r="K29">
        <f t="shared" si="3"/>
        <v>595.39464902972679</v>
      </c>
      <c r="L29">
        <f t="shared" si="4"/>
        <v>59.497973232733912</v>
      </c>
      <c r="M29">
        <f t="shared" si="5"/>
        <v>118.03787832893994</v>
      </c>
      <c r="N29">
        <f t="shared" si="6"/>
        <v>0.12879923343810359</v>
      </c>
      <c r="O29">
        <f t="shared" si="7"/>
        <v>3.3947171832881002</v>
      </c>
      <c r="P29">
        <f t="shared" si="8"/>
        <v>0.12614471681459793</v>
      </c>
      <c r="Q29">
        <f t="shared" si="9"/>
        <v>7.9074389118184207E-2</v>
      </c>
      <c r="R29">
        <f t="shared" si="10"/>
        <v>353.33687440722298</v>
      </c>
      <c r="S29">
        <f t="shared" si="11"/>
        <v>26.901360074858239</v>
      </c>
      <c r="T29">
        <f t="shared" si="12"/>
        <v>27.0040193548387</v>
      </c>
      <c r="U29">
        <f t="shared" si="13"/>
        <v>3.5800047001072337</v>
      </c>
      <c r="V29">
        <f t="shared" si="14"/>
        <v>55.181618766028663</v>
      </c>
      <c r="W29">
        <f t="shared" si="15"/>
        <v>1.8186501282418754</v>
      </c>
      <c r="X29">
        <f t="shared" si="16"/>
        <v>3.2957534934830277</v>
      </c>
      <c r="Y29">
        <f t="shared" si="17"/>
        <v>1.7613545718653583</v>
      </c>
      <c r="Z29">
        <f t="shared" si="18"/>
        <v>-100.77429338427915</v>
      </c>
      <c r="AA29">
        <f t="shared" si="19"/>
        <v>-256.45204545184072</v>
      </c>
      <c r="AB29">
        <f t="shared" si="20"/>
        <v>-16.190157442145896</v>
      </c>
      <c r="AC29">
        <f t="shared" si="21"/>
        <v>-20.079621871042775</v>
      </c>
      <c r="AD29">
        <v>-4.1365882752456902E-2</v>
      </c>
      <c r="AE29">
        <v>4.64368272399939E-2</v>
      </c>
      <c r="AF29">
        <v>3.4673070598179399</v>
      </c>
      <c r="AG29">
        <v>137</v>
      </c>
      <c r="AH29">
        <v>27</v>
      </c>
      <c r="AI29">
        <f t="shared" si="22"/>
        <v>1</v>
      </c>
      <c r="AJ29">
        <f t="shared" si="23"/>
        <v>0</v>
      </c>
      <c r="AK29">
        <f t="shared" si="24"/>
        <v>52994.331477222368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347</v>
      </c>
      <c r="AS29">
        <v>262.60359999999997</v>
      </c>
      <c r="AT29">
        <v>394.86599999999999</v>
      </c>
      <c r="AU29">
        <f t="shared" si="27"/>
        <v>0.33495514934180204</v>
      </c>
      <c r="AV29">
        <v>0.5</v>
      </c>
      <c r="AW29">
        <f t="shared" si="28"/>
        <v>1849.1777513218883</v>
      </c>
      <c r="AX29">
        <f t="shared" si="29"/>
        <v>44.29247502444818</v>
      </c>
      <c r="AY29">
        <f t="shared" si="30"/>
        <v>309.6958049267804</v>
      </c>
      <c r="AZ29">
        <f t="shared" si="31"/>
        <v>0.54764401087964021</v>
      </c>
      <c r="BA29">
        <f t="shared" si="32"/>
        <v>2.4493305195820558E-2</v>
      </c>
      <c r="BB29">
        <f t="shared" si="33"/>
        <v>-1</v>
      </c>
      <c r="BC29" t="s">
        <v>348</v>
      </c>
      <c r="BD29">
        <v>178.62</v>
      </c>
      <c r="BE29">
        <f t="shared" si="34"/>
        <v>216.24599999999998</v>
      </c>
      <c r="BF29">
        <f t="shared" si="35"/>
        <v>0.61162934805730518</v>
      </c>
      <c r="BG29">
        <f t="shared" si="36"/>
        <v>2.210648303661404</v>
      </c>
      <c r="BH29">
        <f t="shared" si="37"/>
        <v>0.33495514934180209</v>
      </c>
      <c r="BI29" t="e">
        <f t="shared" si="38"/>
        <v>#DIV/0!</v>
      </c>
      <c r="BJ29">
        <v>5813</v>
      </c>
      <c r="BK29">
        <v>300</v>
      </c>
      <c r="BL29">
        <v>300</v>
      </c>
      <c r="BM29">
        <v>300</v>
      </c>
      <c r="BN29">
        <v>9863</v>
      </c>
      <c r="BO29">
        <v>353.39299999999997</v>
      </c>
      <c r="BP29">
        <v>-6.3963900000000001E-3</v>
      </c>
      <c r="BQ29">
        <v>5.8898899999999997E-2</v>
      </c>
      <c r="BR29">
        <f t="shared" si="39"/>
        <v>2199.9906451612901</v>
      </c>
      <c r="BS29">
        <f t="shared" si="40"/>
        <v>1849.1777513218883</v>
      </c>
      <c r="BT29">
        <f t="shared" si="41"/>
        <v>0.84053891564903349</v>
      </c>
      <c r="BU29">
        <f t="shared" si="42"/>
        <v>0.19107783129806716</v>
      </c>
      <c r="BV29">
        <v>0.5</v>
      </c>
      <c r="BW29" t="s">
        <v>281</v>
      </c>
      <c r="BX29">
        <v>1596824303.0999999</v>
      </c>
      <c r="BY29">
        <v>1181.2019354838701</v>
      </c>
      <c r="BZ29">
        <v>1199.99580645161</v>
      </c>
      <c r="CA29">
        <v>18.199183870967701</v>
      </c>
      <c r="CB29">
        <v>17.3019</v>
      </c>
      <c r="CC29">
        <v>500.07448387096798</v>
      </c>
      <c r="CD29">
        <v>99.730309677419399</v>
      </c>
      <c r="CE29">
        <v>0.20000264516128999</v>
      </c>
      <c r="CF29">
        <v>25.602764516129</v>
      </c>
      <c r="CG29">
        <v>27.0040193548387</v>
      </c>
      <c r="CH29">
        <v>999.9</v>
      </c>
      <c r="CI29">
        <v>10002.5596774194</v>
      </c>
      <c r="CJ29">
        <v>0</v>
      </c>
      <c r="CK29">
        <v>369.34551612903198</v>
      </c>
      <c r="CL29">
        <v>2199.9906451612901</v>
      </c>
      <c r="CM29">
        <v>0.98199364516128995</v>
      </c>
      <c r="CN29">
        <v>1.8005922580645199E-2</v>
      </c>
      <c r="CO29">
        <v>0</v>
      </c>
      <c r="CP29">
        <v>262.64041935483903</v>
      </c>
      <c r="CQ29">
        <v>5.00054</v>
      </c>
      <c r="CR29">
        <v>8657.14</v>
      </c>
      <c r="CS29">
        <v>20590.400000000001</v>
      </c>
      <c r="CT29">
        <v>50.225677419354803</v>
      </c>
      <c r="CU29">
        <v>52.78</v>
      </c>
      <c r="CV29">
        <v>50.78</v>
      </c>
      <c r="CW29">
        <v>51.459419354838701</v>
      </c>
      <c r="CX29">
        <v>51.409064516129</v>
      </c>
      <c r="CY29">
        <v>2155.4703225806502</v>
      </c>
      <c r="CZ29">
        <v>39.5203225806452</v>
      </c>
      <c r="DA29">
        <v>0</v>
      </c>
      <c r="DB29">
        <v>153.799999952316</v>
      </c>
      <c r="DC29">
        <v>262.60359999999997</v>
      </c>
      <c r="DD29">
        <v>-2.7031538534244999</v>
      </c>
      <c r="DE29">
        <v>-67.304615426958804</v>
      </c>
      <c r="DF29">
        <v>8656.27</v>
      </c>
      <c r="DG29">
        <v>15</v>
      </c>
      <c r="DH29">
        <v>1596824343.5999999</v>
      </c>
      <c r="DI29" t="s">
        <v>349</v>
      </c>
      <c r="DJ29">
        <v>57</v>
      </c>
      <c r="DK29">
        <v>-6.7000000000000004E-2</v>
      </c>
      <c r="DL29">
        <v>0.121</v>
      </c>
      <c r="DM29">
        <v>1200</v>
      </c>
      <c r="DN29">
        <v>17</v>
      </c>
      <c r="DO29">
        <v>0.15</v>
      </c>
      <c r="DP29">
        <v>0.09</v>
      </c>
      <c r="DQ29">
        <v>1181.1698076923101</v>
      </c>
      <c r="DR29">
        <v>0.92087424229433501</v>
      </c>
      <c r="DS29">
        <v>0.116247256123367</v>
      </c>
      <c r="DT29">
        <v>0</v>
      </c>
      <c r="DU29">
        <v>18.235646153846201</v>
      </c>
      <c r="DV29">
        <v>-0.35307026380942602</v>
      </c>
      <c r="DW29">
        <v>4.50491887638838E-2</v>
      </c>
      <c r="DX29">
        <v>0</v>
      </c>
      <c r="DY29">
        <v>0</v>
      </c>
      <c r="DZ29">
        <v>2</v>
      </c>
      <c r="EA29" t="s">
        <v>334</v>
      </c>
      <c r="EB29">
        <v>1.8667400000000001</v>
      </c>
      <c r="EC29">
        <v>1.86324</v>
      </c>
      <c r="ED29">
        <v>1.8689100000000001</v>
      </c>
      <c r="EE29">
        <v>1.8668100000000001</v>
      </c>
      <c r="EF29">
        <v>1.8714999999999999</v>
      </c>
      <c r="EG29">
        <v>1.8640099999999999</v>
      </c>
      <c r="EH29">
        <v>1.86555</v>
      </c>
      <c r="EI29">
        <v>1.8655299999999999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-6.7000000000000004E-2</v>
      </c>
      <c r="EX29">
        <v>0.121</v>
      </c>
      <c r="EY29">
        <v>2</v>
      </c>
      <c r="EZ29">
        <v>344.96199999999999</v>
      </c>
      <c r="FA29">
        <v>492.48099999999999</v>
      </c>
      <c r="FB29">
        <v>19.411899999999999</v>
      </c>
      <c r="FC29">
        <v>33.4054</v>
      </c>
      <c r="FD29">
        <v>30.0002</v>
      </c>
      <c r="FE29">
        <v>33.366100000000003</v>
      </c>
      <c r="FF29">
        <v>33.369300000000003</v>
      </c>
      <c r="FG29">
        <v>53.438699999999997</v>
      </c>
      <c r="FH29">
        <v>44.444400000000002</v>
      </c>
      <c r="FI29">
        <v>0</v>
      </c>
      <c r="FJ29">
        <v>19.366499999999998</v>
      </c>
      <c r="FK29">
        <v>1200</v>
      </c>
      <c r="FL29">
        <v>17.252600000000001</v>
      </c>
      <c r="FM29">
        <v>100.816</v>
      </c>
      <c r="FN29">
        <v>101.374</v>
      </c>
    </row>
    <row r="30" spans="1:170" x14ac:dyDescent="0.25">
      <c r="A30">
        <v>14</v>
      </c>
      <c r="B30">
        <v>1596824465.0999999</v>
      </c>
      <c r="C30">
        <v>1731.1999998092699</v>
      </c>
      <c r="D30" t="s">
        <v>350</v>
      </c>
      <c r="E30" t="s">
        <v>351</v>
      </c>
      <c r="G30">
        <v>1596824457.0999999</v>
      </c>
      <c r="H30">
        <f t="shared" si="0"/>
        <v>2.0556752485538145E-3</v>
      </c>
      <c r="I30">
        <f t="shared" si="1"/>
        <v>48.160995192488315</v>
      </c>
      <c r="J30">
        <f t="shared" si="2"/>
        <v>1579.45216129032</v>
      </c>
      <c r="K30">
        <f t="shared" si="3"/>
        <v>866.57834606137737</v>
      </c>
      <c r="L30">
        <f t="shared" si="4"/>
        <v>86.599418979141873</v>
      </c>
      <c r="M30">
        <f t="shared" si="5"/>
        <v>157.83874602309052</v>
      </c>
      <c r="N30">
        <f t="shared" si="6"/>
        <v>0.11557664333453711</v>
      </c>
      <c r="O30">
        <f t="shared" si="7"/>
        <v>3.394925340220575</v>
      </c>
      <c r="P30">
        <f t="shared" si="8"/>
        <v>0.11343442169704324</v>
      </c>
      <c r="Q30">
        <f t="shared" si="9"/>
        <v>7.1085676448641888E-2</v>
      </c>
      <c r="R30">
        <f t="shared" si="10"/>
        <v>353.33912651328649</v>
      </c>
      <c r="S30">
        <f t="shared" si="11"/>
        <v>26.894137589178214</v>
      </c>
      <c r="T30">
        <f t="shared" si="12"/>
        <v>27.0034387096774</v>
      </c>
      <c r="U30">
        <f t="shared" si="13"/>
        <v>3.5798826176616481</v>
      </c>
      <c r="V30">
        <f t="shared" si="14"/>
        <v>55.350053395311981</v>
      </c>
      <c r="W30">
        <f t="shared" si="15"/>
        <v>1.8177983205044397</v>
      </c>
      <c r="X30">
        <f t="shared" si="16"/>
        <v>3.2841853060586259</v>
      </c>
      <c r="Y30">
        <f t="shared" si="17"/>
        <v>1.7620842971572084</v>
      </c>
      <c r="Z30">
        <f t="shared" si="18"/>
        <v>-90.655278461223219</v>
      </c>
      <c r="AA30">
        <f t="shared" si="19"/>
        <v>-267.20261191452573</v>
      </c>
      <c r="AB30">
        <f t="shared" si="20"/>
        <v>-16.862772763471803</v>
      </c>
      <c r="AC30">
        <f t="shared" si="21"/>
        <v>-21.381536625934274</v>
      </c>
      <c r="AD30">
        <v>-4.1369107348123699E-2</v>
      </c>
      <c r="AE30">
        <v>4.644044713112E-2</v>
      </c>
      <c r="AF30">
        <v>3.46752087535083</v>
      </c>
      <c r="AG30">
        <v>138</v>
      </c>
      <c r="AH30">
        <v>28</v>
      </c>
      <c r="AI30">
        <f t="shared" si="22"/>
        <v>1</v>
      </c>
      <c r="AJ30">
        <f t="shared" si="23"/>
        <v>0</v>
      </c>
      <c r="AK30">
        <f t="shared" si="24"/>
        <v>53008.858818234352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352</v>
      </c>
      <c r="AS30">
        <v>263.67563999999999</v>
      </c>
      <c r="AT30">
        <v>392.81599999999997</v>
      </c>
      <c r="AU30">
        <f t="shared" si="27"/>
        <v>0.32875534601441891</v>
      </c>
      <c r="AV30">
        <v>0.5</v>
      </c>
      <c r="AW30">
        <f t="shared" si="28"/>
        <v>1849.189910332708</v>
      </c>
      <c r="AX30">
        <f t="shared" si="29"/>
        <v>48.160995192488315</v>
      </c>
      <c r="AY30">
        <f t="shared" si="30"/>
        <v>303.96553440890085</v>
      </c>
      <c r="AZ30">
        <f t="shared" si="31"/>
        <v>0.55047655899963333</v>
      </c>
      <c r="BA30">
        <f t="shared" si="32"/>
        <v>2.6585152188962152E-2</v>
      </c>
      <c r="BB30">
        <f t="shared" si="33"/>
        <v>-1</v>
      </c>
      <c r="BC30" t="s">
        <v>353</v>
      </c>
      <c r="BD30">
        <v>176.58</v>
      </c>
      <c r="BE30">
        <f t="shared" si="34"/>
        <v>216.23599999999996</v>
      </c>
      <c r="BF30">
        <f t="shared" si="35"/>
        <v>0.59721951941397367</v>
      </c>
      <c r="BG30">
        <f t="shared" si="36"/>
        <v>2.2245780949144862</v>
      </c>
      <c r="BH30">
        <f t="shared" si="37"/>
        <v>0.32875534601441897</v>
      </c>
      <c r="BI30" t="e">
        <f t="shared" si="38"/>
        <v>#DIV/0!</v>
      </c>
      <c r="BJ30">
        <v>5815</v>
      </c>
      <c r="BK30">
        <v>300</v>
      </c>
      <c r="BL30">
        <v>300</v>
      </c>
      <c r="BM30">
        <v>300</v>
      </c>
      <c r="BN30">
        <v>9863.3799999999992</v>
      </c>
      <c r="BO30">
        <v>355.3</v>
      </c>
      <c r="BP30">
        <v>-6.39654E-3</v>
      </c>
      <c r="BQ30">
        <v>1.19153</v>
      </c>
      <c r="BR30">
        <f t="shared" si="39"/>
        <v>2200.0051612903198</v>
      </c>
      <c r="BS30">
        <f t="shared" si="40"/>
        <v>1849.189910332708</v>
      </c>
      <c r="BT30">
        <f t="shared" si="41"/>
        <v>0.84053889639429025</v>
      </c>
      <c r="BU30">
        <f t="shared" si="42"/>
        <v>0.19107779278858025</v>
      </c>
      <c r="BV30">
        <v>0.5</v>
      </c>
      <c r="BW30" t="s">
        <v>281</v>
      </c>
      <c r="BX30">
        <v>1596824457.0999999</v>
      </c>
      <c r="BY30">
        <v>1579.45216129032</v>
      </c>
      <c r="BZ30">
        <v>1600.01225806452</v>
      </c>
      <c r="CA30">
        <v>18.190245161290299</v>
      </c>
      <c r="CB30">
        <v>17.383051612903198</v>
      </c>
      <c r="CC30">
        <v>500.07387096774198</v>
      </c>
      <c r="CD30">
        <v>99.732622580645199</v>
      </c>
      <c r="CE30">
        <v>0.19996790322580599</v>
      </c>
      <c r="CF30">
        <v>25.543532258064499</v>
      </c>
      <c r="CG30">
        <v>27.0034387096774</v>
      </c>
      <c r="CH30">
        <v>999.9</v>
      </c>
      <c r="CI30">
        <v>10003.107419354799</v>
      </c>
      <c r="CJ30">
        <v>0</v>
      </c>
      <c r="CK30">
        <v>367.692322580645</v>
      </c>
      <c r="CL30">
        <v>2200.0051612903198</v>
      </c>
      <c r="CM30">
        <v>0.98199396774193504</v>
      </c>
      <c r="CN30">
        <v>1.8005664516129002E-2</v>
      </c>
      <c r="CO30">
        <v>0</v>
      </c>
      <c r="CP30">
        <v>263.76312903225801</v>
      </c>
      <c r="CQ30">
        <v>5.00054</v>
      </c>
      <c r="CR30">
        <v>8664.4293548387104</v>
      </c>
      <c r="CS30">
        <v>20590.538709677399</v>
      </c>
      <c r="CT30">
        <v>50.171064516129</v>
      </c>
      <c r="CU30">
        <v>52.762</v>
      </c>
      <c r="CV30">
        <v>50.757935483871002</v>
      </c>
      <c r="CW30">
        <v>51.366677419354801</v>
      </c>
      <c r="CX30">
        <v>51.3828064516129</v>
      </c>
      <c r="CY30">
        <v>2155.4783870967699</v>
      </c>
      <c r="CZ30">
        <v>39.519032258064499</v>
      </c>
      <c r="DA30">
        <v>0</v>
      </c>
      <c r="DB30">
        <v>153.59999990463299</v>
      </c>
      <c r="DC30">
        <v>263.67563999999999</v>
      </c>
      <c r="DD30">
        <v>-4.9558461499718698</v>
      </c>
      <c r="DE30">
        <v>-111.519230720598</v>
      </c>
      <c r="DF30">
        <v>8662.4040000000005</v>
      </c>
      <c r="DG30">
        <v>15</v>
      </c>
      <c r="DH30">
        <v>1596824499.5999999</v>
      </c>
      <c r="DI30" t="s">
        <v>354</v>
      </c>
      <c r="DJ30">
        <v>58</v>
      </c>
      <c r="DK30">
        <v>-0.27</v>
      </c>
      <c r="DL30">
        <v>0.122</v>
      </c>
      <c r="DM30">
        <v>1600</v>
      </c>
      <c r="DN30">
        <v>17</v>
      </c>
      <c r="DO30">
        <v>0.17</v>
      </c>
      <c r="DP30">
        <v>0.1</v>
      </c>
      <c r="DQ30">
        <v>1579.5640384615399</v>
      </c>
      <c r="DR30">
        <v>0.98787671817670297</v>
      </c>
      <c r="DS30">
        <v>0.12734356338698999</v>
      </c>
      <c r="DT30">
        <v>0</v>
      </c>
      <c r="DU30">
        <v>18.228301923076899</v>
      </c>
      <c r="DV30">
        <v>-0.426936395458068</v>
      </c>
      <c r="DW30">
        <v>5.40007816552565E-2</v>
      </c>
      <c r="DX30">
        <v>0</v>
      </c>
      <c r="DY30">
        <v>0</v>
      </c>
      <c r="DZ30">
        <v>2</v>
      </c>
      <c r="EA30" t="s">
        <v>334</v>
      </c>
      <c r="EB30">
        <v>1.8667499999999999</v>
      </c>
      <c r="EC30">
        <v>1.8632500000000001</v>
      </c>
      <c r="ED30">
        <v>1.8689100000000001</v>
      </c>
      <c r="EE30">
        <v>1.8667800000000001</v>
      </c>
      <c r="EF30">
        <v>1.8714900000000001</v>
      </c>
      <c r="EG30">
        <v>1.8640099999999999</v>
      </c>
      <c r="EH30">
        <v>1.86555</v>
      </c>
      <c r="EI30">
        <v>1.86548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-0.27</v>
      </c>
      <c r="EX30">
        <v>0.122</v>
      </c>
      <c r="EY30">
        <v>2</v>
      </c>
      <c r="EZ30">
        <v>343.99200000000002</v>
      </c>
      <c r="FA30">
        <v>493.53100000000001</v>
      </c>
      <c r="FB30">
        <v>19.4207</v>
      </c>
      <c r="FC30">
        <v>33.439900000000002</v>
      </c>
      <c r="FD30">
        <v>30.000900000000001</v>
      </c>
      <c r="FE30">
        <v>33.408700000000003</v>
      </c>
      <c r="FF30">
        <v>33.411099999999998</v>
      </c>
      <c r="FG30">
        <v>67.211299999999994</v>
      </c>
      <c r="FH30">
        <v>43.885800000000003</v>
      </c>
      <c r="FI30">
        <v>0</v>
      </c>
      <c r="FJ30">
        <v>19.3965</v>
      </c>
      <c r="FK30">
        <v>1600</v>
      </c>
      <c r="FL30">
        <v>17.324200000000001</v>
      </c>
      <c r="FM30">
        <v>100.81</v>
      </c>
      <c r="FN30">
        <v>101.372</v>
      </c>
    </row>
    <row r="31" spans="1:170" x14ac:dyDescent="0.25">
      <c r="A31">
        <v>15</v>
      </c>
      <c r="B31">
        <v>1596824621.0999999</v>
      </c>
      <c r="C31">
        <v>1887.1999998092699</v>
      </c>
      <c r="D31" t="s">
        <v>355</v>
      </c>
      <c r="E31" t="s">
        <v>356</v>
      </c>
      <c r="G31">
        <v>1596824613.0999999</v>
      </c>
      <c r="H31">
        <f t="shared" si="0"/>
        <v>1.8261501262281524E-3</v>
      </c>
      <c r="I31">
        <f t="shared" si="1"/>
        <v>47.821089986676881</v>
      </c>
      <c r="J31">
        <f t="shared" si="2"/>
        <v>1779.588</v>
      </c>
      <c r="K31">
        <f t="shared" si="3"/>
        <v>981.79291068420423</v>
      </c>
      <c r="L31">
        <f t="shared" si="4"/>
        <v>98.117569643626567</v>
      </c>
      <c r="M31">
        <f t="shared" si="5"/>
        <v>177.84692436338585</v>
      </c>
      <c r="N31">
        <f t="shared" si="6"/>
        <v>0.1024111831316927</v>
      </c>
      <c r="O31">
        <f t="shared" si="7"/>
        <v>3.3928502399386624</v>
      </c>
      <c r="P31">
        <f t="shared" si="8"/>
        <v>0.10072436049838879</v>
      </c>
      <c r="Q31">
        <f t="shared" si="9"/>
        <v>6.3101965291810086E-2</v>
      </c>
      <c r="R31">
        <f t="shared" si="10"/>
        <v>353.33774086047868</v>
      </c>
      <c r="S31">
        <f t="shared" si="11"/>
        <v>26.881848042663279</v>
      </c>
      <c r="T31">
        <f t="shared" si="12"/>
        <v>26.972893548387098</v>
      </c>
      <c r="U31">
        <f t="shared" si="13"/>
        <v>3.5734655246025135</v>
      </c>
      <c r="V31">
        <f t="shared" si="14"/>
        <v>55.338400906500617</v>
      </c>
      <c r="W31">
        <f t="shared" si="15"/>
        <v>1.8103930972329429</v>
      </c>
      <c r="X31">
        <f t="shared" si="16"/>
        <v>3.271495141848733</v>
      </c>
      <c r="Y31">
        <f t="shared" si="17"/>
        <v>1.7630724273695706</v>
      </c>
      <c r="Z31">
        <f t="shared" si="18"/>
        <v>-80.533220566661527</v>
      </c>
      <c r="AA31">
        <f t="shared" si="19"/>
        <v>-273.37582956398006</v>
      </c>
      <c r="AB31">
        <f t="shared" si="20"/>
        <v>-17.254630508451644</v>
      </c>
      <c r="AC31">
        <f t="shared" si="21"/>
        <v>-17.825939778614583</v>
      </c>
      <c r="AD31">
        <v>-4.1336965596288203E-2</v>
      </c>
      <c r="AE31">
        <v>4.6404365198912501E-2</v>
      </c>
      <c r="AF31">
        <v>3.4653893719259901</v>
      </c>
      <c r="AG31">
        <v>138</v>
      </c>
      <c r="AH31">
        <v>28</v>
      </c>
      <c r="AI31">
        <f t="shared" si="22"/>
        <v>1</v>
      </c>
      <c r="AJ31">
        <f t="shared" si="23"/>
        <v>0</v>
      </c>
      <c r="AK31">
        <f t="shared" si="24"/>
        <v>52981.022105919561</v>
      </c>
      <c r="AL31">
        <v>0</v>
      </c>
      <c r="AM31">
        <v>0</v>
      </c>
      <c r="AN31">
        <v>0</v>
      </c>
      <c r="AO31">
        <f t="shared" si="25"/>
        <v>0</v>
      </c>
      <c r="AP31" t="e">
        <f t="shared" si="26"/>
        <v>#DIV/0!</v>
      </c>
      <c r="AQ31">
        <v>-1</v>
      </c>
      <c r="AR31" t="s">
        <v>357</v>
      </c>
      <c r="AS31">
        <v>262.86104</v>
      </c>
      <c r="AT31">
        <v>397.00700000000001</v>
      </c>
      <c r="AU31">
        <f t="shared" si="27"/>
        <v>0.33789318576246763</v>
      </c>
      <c r="AV31">
        <v>0.5</v>
      </c>
      <c r="AW31">
        <f t="shared" si="28"/>
        <v>1849.1877093865548</v>
      </c>
      <c r="AX31">
        <f t="shared" si="29"/>
        <v>47.821089986676881</v>
      </c>
      <c r="AY31">
        <f t="shared" si="30"/>
        <v>312.41396309871158</v>
      </c>
      <c r="AZ31">
        <f t="shared" si="31"/>
        <v>0.55224970844342802</v>
      </c>
      <c r="BA31">
        <f t="shared" si="32"/>
        <v>2.640137057955716E-2</v>
      </c>
      <c r="BB31">
        <f t="shared" si="33"/>
        <v>-1</v>
      </c>
      <c r="BC31" t="s">
        <v>358</v>
      </c>
      <c r="BD31">
        <v>177.76</v>
      </c>
      <c r="BE31">
        <f t="shared" si="34"/>
        <v>219.24700000000001</v>
      </c>
      <c r="BF31">
        <f t="shared" si="35"/>
        <v>0.61184855437018515</v>
      </c>
      <c r="BG31">
        <f t="shared" si="36"/>
        <v>2.2333877137713771</v>
      </c>
      <c r="BH31">
        <f t="shared" si="37"/>
        <v>0.33789318576246768</v>
      </c>
      <c r="BI31" t="e">
        <f t="shared" si="38"/>
        <v>#DIV/0!</v>
      </c>
      <c r="BJ31">
        <v>5817</v>
      </c>
      <c r="BK31">
        <v>300</v>
      </c>
      <c r="BL31">
        <v>300</v>
      </c>
      <c r="BM31">
        <v>300</v>
      </c>
      <c r="BN31">
        <v>9863.84</v>
      </c>
      <c r="BO31">
        <v>354.60399999999998</v>
      </c>
      <c r="BP31">
        <v>-6.3970099999999998E-3</v>
      </c>
      <c r="BQ31">
        <v>0.37796000000000002</v>
      </c>
      <c r="BR31">
        <f t="shared" si="39"/>
        <v>2200.0032258064498</v>
      </c>
      <c r="BS31">
        <f t="shared" si="40"/>
        <v>1849.1877093865548</v>
      </c>
      <c r="BT31">
        <f t="shared" si="41"/>
        <v>0.84053863544163787</v>
      </c>
      <c r="BU31">
        <f t="shared" si="42"/>
        <v>0.19107727088327561</v>
      </c>
      <c r="BV31">
        <v>0.5</v>
      </c>
      <c r="BW31" t="s">
        <v>281</v>
      </c>
      <c r="BX31">
        <v>1596824613.0999999</v>
      </c>
      <c r="BY31">
        <v>1779.588</v>
      </c>
      <c r="BZ31">
        <v>1800.0135483870999</v>
      </c>
      <c r="CA31">
        <v>18.1153193548387</v>
      </c>
      <c r="CB31">
        <v>17.3981903225806</v>
      </c>
      <c r="CC31">
        <v>500.06867741935503</v>
      </c>
      <c r="CD31">
        <v>99.737158064516095</v>
      </c>
      <c r="CE31">
        <v>0.199975903225806</v>
      </c>
      <c r="CF31">
        <v>25.478345161290299</v>
      </c>
      <c r="CG31">
        <v>26.972893548387098</v>
      </c>
      <c r="CH31">
        <v>999.9</v>
      </c>
      <c r="CI31">
        <v>9994.8809677419395</v>
      </c>
      <c r="CJ31">
        <v>0</v>
      </c>
      <c r="CK31">
        <v>363.86806451612898</v>
      </c>
      <c r="CL31">
        <v>2200.0032258064498</v>
      </c>
      <c r="CM31">
        <v>0.98200535483870999</v>
      </c>
      <c r="CN31">
        <v>1.7994677419354801E-2</v>
      </c>
      <c r="CO31">
        <v>0</v>
      </c>
      <c r="CP31">
        <v>262.876451612903</v>
      </c>
      <c r="CQ31">
        <v>5.00054</v>
      </c>
      <c r="CR31">
        <v>8613.3790322580699</v>
      </c>
      <c r="CS31">
        <v>20590.5741935484</v>
      </c>
      <c r="CT31">
        <v>50.003999999999998</v>
      </c>
      <c r="CU31">
        <v>52.5843548387097</v>
      </c>
      <c r="CV31">
        <v>50.602645161290297</v>
      </c>
      <c r="CW31">
        <v>51.167000000000002</v>
      </c>
      <c r="CX31">
        <v>51.237806451612897</v>
      </c>
      <c r="CY31">
        <v>2155.5032258064498</v>
      </c>
      <c r="CZ31">
        <v>39.5</v>
      </c>
      <c r="DA31">
        <v>0</v>
      </c>
      <c r="DB31">
        <v>155.5</v>
      </c>
      <c r="DC31">
        <v>262.86104</v>
      </c>
      <c r="DD31">
        <v>-2.3406153781808801</v>
      </c>
      <c r="DE31">
        <v>-43.1584614154023</v>
      </c>
      <c r="DF31">
        <v>8612.7991999999995</v>
      </c>
      <c r="DG31">
        <v>15</v>
      </c>
      <c r="DH31">
        <v>1596824641.0999999</v>
      </c>
      <c r="DI31" t="s">
        <v>359</v>
      </c>
      <c r="DJ31">
        <v>59</v>
      </c>
      <c r="DK31">
        <v>3.7999999999999999E-2</v>
      </c>
      <c r="DL31">
        <v>0.121</v>
      </c>
      <c r="DM31">
        <v>1800</v>
      </c>
      <c r="DN31">
        <v>17</v>
      </c>
      <c r="DO31">
        <v>0.12</v>
      </c>
      <c r="DP31">
        <v>0.09</v>
      </c>
      <c r="DQ31">
        <v>1779.2682692307701</v>
      </c>
      <c r="DR31">
        <v>0.203312558695322</v>
      </c>
      <c r="DS31">
        <v>4.1497041314612897E-2</v>
      </c>
      <c r="DT31">
        <v>1</v>
      </c>
      <c r="DU31">
        <v>18.1580634615385</v>
      </c>
      <c r="DV31">
        <v>-0.44797250917780101</v>
      </c>
      <c r="DW31">
        <v>5.6558788437839097E-2</v>
      </c>
      <c r="DX31">
        <v>0</v>
      </c>
      <c r="DY31">
        <v>1</v>
      </c>
      <c r="DZ31">
        <v>2</v>
      </c>
      <c r="EA31" t="s">
        <v>323</v>
      </c>
      <c r="EB31">
        <v>1.86676</v>
      </c>
      <c r="EC31">
        <v>1.8632599999999999</v>
      </c>
      <c r="ED31">
        <v>1.8689199999999999</v>
      </c>
      <c r="EE31">
        <v>1.8668400000000001</v>
      </c>
      <c r="EF31">
        <v>1.8715200000000001</v>
      </c>
      <c r="EG31">
        <v>1.8640099999999999</v>
      </c>
      <c r="EH31">
        <v>1.8655600000000001</v>
      </c>
      <c r="EI31">
        <v>1.8654999999999999</v>
      </c>
      <c r="EJ31" t="s">
        <v>284</v>
      </c>
      <c r="EK31" t="s">
        <v>19</v>
      </c>
      <c r="EL31" t="s">
        <v>19</v>
      </c>
      <c r="EM31" t="s">
        <v>19</v>
      </c>
      <c r="EN31" t="s">
        <v>285</v>
      </c>
      <c r="EO31" t="s">
        <v>286</v>
      </c>
      <c r="EP31" t="s">
        <v>287</v>
      </c>
      <c r="EQ31" t="s">
        <v>287</v>
      </c>
      <c r="ER31" t="s">
        <v>287</v>
      </c>
      <c r="ES31" t="s">
        <v>287</v>
      </c>
      <c r="ET31">
        <v>0</v>
      </c>
      <c r="EU31">
        <v>100</v>
      </c>
      <c r="EV31">
        <v>100</v>
      </c>
      <c r="EW31">
        <v>3.7999999999999999E-2</v>
      </c>
      <c r="EX31">
        <v>0.121</v>
      </c>
      <c r="EY31">
        <v>2</v>
      </c>
      <c r="EZ31">
        <v>344.31900000000002</v>
      </c>
      <c r="FA31">
        <v>494.54599999999999</v>
      </c>
      <c r="FB31">
        <v>19.4359</v>
      </c>
      <c r="FC31">
        <v>33.396599999999999</v>
      </c>
      <c r="FD31">
        <v>29.9999</v>
      </c>
      <c r="FE31">
        <v>33.396799999999999</v>
      </c>
      <c r="FF31">
        <v>33.4009</v>
      </c>
      <c r="FG31">
        <v>73.706699999999998</v>
      </c>
      <c r="FH31">
        <v>43.6937</v>
      </c>
      <c r="FI31">
        <v>0</v>
      </c>
      <c r="FJ31">
        <v>19.445399999999999</v>
      </c>
      <c r="FK31">
        <v>1800</v>
      </c>
      <c r="FL31">
        <v>17.409300000000002</v>
      </c>
      <c r="FM31">
        <v>100.81699999999999</v>
      </c>
      <c r="FN31">
        <v>101.383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2020-08-07T13:24:14Z</dcterms:created>
  <dcterms:modified xsi:type="dcterms:W3CDTF">2024-11-20T09:03:51Z</dcterms:modified>
</cp:coreProperties>
</file>