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07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AZ31" i="1" s="1"/>
  <c r="BB31" i="1"/>
  <c r="AU31" i="1"/>
  <c r="AO31" i="1"/>
  <c r="AP31" i="1" s="1"/>
  <c r="AK31" i="1"/>
  <c r="AI31" i="1"/>
  <c r="I31" i="1" s="1"/>
  <c r="AX31" i="1" s="1"/>
  <c r="X31" i="1"/>
  <c r="W31" i="1"/>
  <c r="V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J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X27" i="1"/>
  <c r="W27" i="1"/>
  <c r="V27" i="1"/>
  <c r="O27" i="1"/>
  <c r="BU26" i="1"/>
  <c r="R26" i="1" s="1"/>
  <c r="BT26" i="1"/>
  <c r="BS26" i="1"/>
  <c r="BR26" i="1"/>
  <c r="BI26" i="1"/>
  <c r="BH26" i="1"/>
  <c r="BG26" i="1"/>
  <c r="BF26" i="1"/>
  <c r="BE26" i="1"/>
  <c r="BB26" i="1"/>
  <c r="AZ26" i="1"/>
  <c r="AW26" i="1"/>
  <c r="AU26" i="1"/>
  <c r="AY26" i="1" s="1"/>
  <c r="AO26" i="1"/>
  <c r="AP26" i="1" s="1"/>
  <c r="AK26" i="1"/>
  <c r="AI26" i="1"/>
  <c r="I26" i="1" s="1"/>
  <c r="AX26" i="1" s="1"/>
  <c r="BA26" i="1" s="1"/>
  <c r="X26" i="1"/>
  <c r="W26" i="1"/>
  <c r="V26" i="1" s="1"/>
  <c r="O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P25" i="1"/>
  <c r="AO25" i="1"/>
  <c r="AK25" i="1"/>
  <c r="AI25" i="1"/>
  <c r="J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I24" i="1" s="1"/>
  <c r="AX24" i="1" s="1"/>
  <c r="X24" i="1"/>
  <c r="W24" i="1"/>
  <c r="V24" i="1"/>
  <c r="O24" i="1"/>
  <c r="BU23" i="1"/>
  <c r="BT23" i="1"/>
  <c r="BS23" i="1"/>
  <c r="BR23" i="1"/>
  <c r="BI23" i="1"/>
  <c r="BH23" i="1"/>
  <c r="BG23" i="1"/>
  <c r="BF23" i="1"/>
  <c r="BE23" i="1"/>
  <c r="BB23" i="1"/>
  <c r="AZ23" i="1"/>
  <c r="AW23" i="1"/>
  <c r="AU23" i="1"/>
  <c r="AY23" i="1" s="1"/>
  <c r="AO23" i="1"/>
  <c r="AP23" i="1" s="1"/>
  <c r="AK23" i="1"/>
  <c r="AI23" i="1" s="1"/>
  <c r="X23" i="1"/>
  <c r="W23" i="1"/>
  <c r="V23" i="1"/>
  <c r="R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M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J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/>
  <c r="M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 s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/>
  <c r="I17" i="1" s="1"/>
  <c r="AX17" i="1" s="1"/>
  <c r="X17" i="1"/>
  <c r="W17" i="1"/>
  <c r="V17" i="1"/>
  <c r="O17" i="1"/>
  <c r="R30" i="1" l="1"/>
  <c r="AW30" i="1"/>
  <c r="BA24" i="1"/>
  <c r="AW22" i="1"/>
  <c r="R22" i="1"/>
  <c r="J28" i="1"/>
  <c r="M28" i="1"/>
  <c r="I28" i="1"/>
  <c r="AX28" i="1" s="1"/>
  <c r="H28" i="1"/>
  <c r="AJ28" i="1"/>
  <c r="BA31" i="1"/>
  <c r="R21" i="1"/>
  <c r="AW21" i="1"/>
  <c r="AY21" i="1" s="1"/>
  <c r="AW29" i="1"/>
  <c r="AY29" i="1" s="1"/>
  <c r="R29" i="1"/>
  <c r="I27" i="1"/>
  <c r="AX27" i="1" s="1"/>
  <c r="BA27" i="1" s="1"/>
  <c r="H27" i="1"/>
  <c r="AJ27" i="1"/>
  <c r="J27" i="1"/>
  <c r="M27" i="1"/>
  <c r="R20" i="1"/>
  <c r="AW20" i="1"/>
  <c r="I18" i="1"/>
  <c r="AX18" i="1" s="1"/>
  <c r="H18" i="1"/>
  <c r="AJ18" i="1"/>
  <c r="M18" i="1"/>
  <c r="J18" i="1"/>
  <c r="AY22" i="1"/>
  <c r="AY30" i="1"/>
  <c r="R31" i="1"/>
  <c r="AW31" i="1"/>
  <c r="AY20" i="1"/>
  <c r="J23" i="1"/>
  <c r="I23" i="1"/>
  <c r="AX23" i="1" s="1"/>
  <c r="BA23" i="1" s="1"/>
  <c r="H23" i="1"/>
  <c r="S23" i="1" s="1"/>
  <c r="T23" i="1" s="1"/>
  <c r="M23" i="1"/>
  <c r="AJ23" i="1"/>
  <c r="AY31" i="1"/>
  <c r="AW24" i="1"/>
  <c r="AY24" i="1" s="1"/>
  <c r="R24" i="1"/>
  <c r="AW18" i="1"/>
  <c r="AY18" i="1" s="1"/>
  <c r="R18" i="1"/>
  <c r="AW25" i="1"/>
  <c r="AY25" i="1" s="1"/>
  <c r="R25" i="1"/>
  <c r="R17" i="1"/>
  <c r="AW17" i="1"/>
  <c r="BA17" i="1" s="1"/>
  <c r="AW28" i="1"/>
  <c r="AY28" i="1" s="1"/>
  <c r="R28" i="1"/>
  <c r="AW19" i="1"/>
  <c r="AY19" i="1" s="1"/>
  <c r="R19" i="1"/>
  <c r="R27" i="1"/>
  <c r="AW27" i="1"/>
  <c r="AY27" i="1" s="1"/>
  <c r="AJ17" i="1"/>
  <c r="H17" i="1"/>
  <c r="J31" i="1"/>
  <c r="AJ22" i="1"/>
  <c r="J17" i="1"/>
  <c r="H31" i="1"/>
  <c r="M17" i="1"/>
  <c r="AJ25" i="1"/>
  <c r="H30" i="1"/>
  <c r="M31" i="1"/>
  <c r="I22" i="1"/>
  <c r="AX22" i="1" s="1"/>
  <c r="BA22" i="1" s="1"/>
  <c r="J26" i="1"/>
  <c r="M26" i="1"/>
  <c r="I30" i="1"/>
  <c r="AX30" i="1" s="1"/>
  <c r="BA30" i="1" s="1"/>
  <c r="H20" i="1"/>
  <c r="M21" i="1"/>
  <c r="I25" i="1"/>
  <c r="AX25" i="1" s="1"/>
  <c r="BA25" i="1" s="1"/>
  <c r="J30" i="1"/>
  <c r="H22" i="1"/>
  <c r="H26" i="1"/>
  <c r="AJ30" i="1"/>
  <c r="I20" i="1"/>
  <c r="AX20" i="1" s="1"/>
  <c r="BA20" i="1" s="1"/>
  <c r="H29" i="1"/>
  <c r="I19" i="1"/>
  <c r="AX19" i="1" s="1"/>
  <c r="BA19" i="1" s="1"/>
  <c r="J24" i="1"/>
  <c r="H25" i="1"/>
  <c r="J20" i="1"/>
  <c r="H24" i="1"/>
  <c r="J19" i="1"/>
  <c r="J22" i="1"/>
  <c r="AJ26" i="1"/>
  <c r="AJ20" i="1"/>
  <c r="AJ29" i="1"/>
  <c r="M25" i="1"/>
  <c r="I29" i="1"/>
  <c r="AX29" i="1" s="1"/>
  <c r="M29" i="1"/>
  <c r="AJ31" i="1"/>
  <c r="H21" i="1"/>
  <c r="AJ24" i="1"/>
  <c r="M24" i="1"/>
  <c r="I21" i="1"/>
  <c r="AX21" i="1" s="1"/>
  <c r="AJ19" i="1"/>
  <c r="H19" i="1"/>
  <c r="AJ21" i="1"/>
  <c r="AB23" i="1" l="1"/>
  <c r="U23" i="1"/>
  <c r="Y23" i="1" s="1"/>
  <c r="AA23" i="1"/>
  <c r="Z17" i="1"/>
  <c r="Z27" i="1"/>
  <c r="S27" i="1"/>
  <c r="T27" i="1" s="1"/>
  <c r="S21" i="1"/>
  <c r="T21" i="1" s="1"/>
  <c r="P21" i="1"/>
  <c r="N21" i="1" s="1"/>
  <c r="Q21" i="1" s="1"/>
  <c r="K21" i="1" s="1"/>
  <c r="L21" i="1" s="1"/>
  <c r="Z21" i="1"/>
  <c r="BA29" i="1"/>
  <c r="Z25" i="1"/>
  <c r="P29" i="1"/>
  <c r="N29" i="1" s="1"/>
  <c r="Q29" i="1" s="1"/>
  <c r="K29" i="1" s="1"/>
  <c r="L29" i="1" s="1"/>
  <c r="Z29" i="1"/>
  <c r="S19" i="1"/>
  <c r="T19" i="1" s="1"/>
  <c r="Z22" i="1"/>
  <c r="P22" i="1"/>
  <c r="N22" i="1" s="1"/>
  <c r="Q22" i="1" s="1"/>
  <c r="K22" i="1" s="1"/>
  <c r="L22" i="1" s="1"/>
  <c r="BA21" i="1"/>
  <c r="AY17" i="1"/>
  <c r="BA28" i="1"/>
  <c r="S31" i="1"/>
  <c r="T31" i="1" s="1"/>
  <c r="S22" i="1"/>
  <c r="T22" i="1" s="1"/>
  <c r="Z18" i="1"/>
  <c r="BA18" i="1"/>
  <c r="Z26" i="1"/>
  <c r="S26" i="1"/>
  <c r="T26" i="1" s="1"/>
  <c r="S17" i="1"/>
  <c r="T17" i="1" s="1"/>
  <c r="P17" i="1" s="1"/>
  <c r="N17" i="1" s="1"/>
  <c r="Q17" i="1" s="1"/>
  <c r="K17" i="1" s="1"/>
  <c r="L17" i="1" s="1"/>
  <c r="Z28" i="1"/>
  <c r="P28" i="1"/>
  <c r="N28" i="1" s="1"/>
  <c r="Q28" i="1" s="1"/>
  <c r="K28" i="1" s="1"/>
  <c r="L28" i="1" s="1"/>
  <c r="S25" i="1"/>
  <c r="T25" i="1" s="1"/>
  <c r="S18" i="1"/>
  <c r="T18" i="1" s="1"/>
  <c r="Z30" i="1"/>
  <c r="Z31" i="1"/>
  <c r="P31" i="1"/>
  <c r="N31" i="1" s="1"/>
  <c r="Q31" i="1" s="1"/>
  <c r="K31" i="1" s="1"/>
  <c r="L31" i="1" s="1"/>
  <c r="S24" i="1"/>
  <c r="T24" i="1" s="1"/>
  <c r="Z23" i="1"/>
  <c r="P23" i="1"/>
  <c r="N23" i="1" s="1"/>
  <c r="Q23" i="1" s="1"/>
  <c r="K23" i="1" s="1"/>
  <c r="L23" i="1" s="1"/>
  <c r="S29" i="1"/>
  <c r="T29" i="1" s="1"/>
  <c r="Z19" i="1"/>
  <c r="S28" i="1"/>
  <c r="T28" i="1" s="1"/>
  <c r="Z20" i="1"/>
  <c r="Z24" i="1"/>
  <c r="P24" i="1"/>
  <c r="N24" i="1" s="1"/>
  <c r="Q24" i="1" s="1"/>
  <c r="K24" i="1" s="1"/>
  <c r="L24" i="1" s="1"/>
  <c r="S20" i="1"/>
  <c r="T20" i="1" s="1"/>
  <c r="P20" i="1" s="1"/>
  <c r="N20" i="1" s="1"/>
  <c r="Q20" i="1" s="1"/>
  <c r="K20" i="1" s="1"/>
  <c r="L20" i="1" s="1"/>
  <c r="S30" i="1"/>
  <c r="T30" i="1" s="1"/>
  <c r="AA25" i="1" l="1"/>
  <c r="AB25" i="1"/>
  <c r="AC25" i="1" s="1"/>
  <c r="U25" i="1"/>
  <c r="Y25" i="1" s="1"/>
  <c r="U30" i="1"/>
  <c r="Y30" i="1" s="1"/>
  <c r="AB30" i="1"/>
  <c r="AC30" i="1" s="1"/>
  <c r="AA30" i="1"/>
  <c r="U21" i="1"/>
  <c r="Y21" i="1" s="1"/>
  <c r="AA21" i="1"/>
  <c r="AB21" i="1"/>
  <c r="AC21" i="1" s="1"/>
  <c r="U22" i="1"/>
  <c r="Y22" i="1" s="1"/>
  <c r="AB22" i="1"/>
  <c r="AA22" i="1"/>
  <c r="P25" i="1"/>
  <c r="N25" i="1" s="1"/>
  <c r="Q25" i="1" s="1"/>
  <c r="K25" i="1" s="1"/>
  <c r="L25" i="1" s="1"/>
  <c r="AB17" i="1"/>
  <c r="U17" i="1"/>
  <c r="Y17" i="1" s="1"/>
  <c r="AA17" i="1"/>
  <c r="U26" i="1"/>
  <c r="Y26" i="1" s="1"/>
  <c r="AA26" i="1"/>
  <c r="AB26" i="1"/>
  <c r="AC26" i="1" s="1"/>
  <c r="P26" i="1"/>
  <c r="N26" i="1" s="1"/>
  <c r="Q26" i="1" s="1"/>
  <c r="K26" i="1" s="1"/>
  <c r="L26" i="1" s="1"/>
  <c r="U29" i="1"/>
  <c r="Y29" i="1" s="1"/>
  <c r="AB29" i="1"/>
  <c r="AC29" i="1" s="1"/>
  <c r="AA29" i="1"/>
  <c r="AB19" i="1"/>
  <c r="AC19" i="1" s="1"/>
  <c r="U19" i="1"/>
  <c r="Y19" i="1" s="1"/>
  <c r="AA19" i="1"/>
  <c r="U18" i="1"/>
  <c r="Y18" i="1" s="1"/>
  <c r="AB18" i="1"/>
  <c r="AA18" i="1"/>
  <c r="AA20" i="1"/>
  <c r="U20" i="1"/>
  <c r="Y20" i="1" s="1"/>
  <c r="AB20" i="1"/>
  <c r="AC20" i="1" s="1"/>
  <c r="AB28" i="1"/>
  <c r="U28" i="1"/>
  <c r="Y28" i="1" s="1"/>
  <c r="AA28" i="1"/>
  <c r="P18" i="1"/>
  <c r="N18" i="1" s="1"/>
  <c r="Q18" i="1" s="1"/>
  <c r="K18" i="1" s="1"/>
  <c r="L18" i="1" s="1"/>
  <c r="AB31" i="1"/>
  <c r="U31" i="1"/>
  <c r="Y31" i="1" s="1"/>
  <c r="AA31" i="1"/>
  <c r="P30" i="1"/>
  <c r="N30" i="1" s="1"/>
  <c r="Q30" i="1" s="1"/>
  <c r="K30" i="1" s="1"/>
  <c r="L30" i="1" s="1"/>
  <c r="AB27" i="1"/>
  <c r="U27" i="1"/>
  <c r="Y27" i="1" s="1"/>
  <c r="AA27" i="1"/>
  <c r="P19" i="1"/>
  <c r="N19" i="1" s="1"/>
  <c r="Q19" i="1" s="1"/>
  <c r="K19" i="1" s="1"/>
  <c r="L19" i="1" s="1"/>
  <c r="P27" i="1"/>
  <c r="N27" i="1" s="1"/>
  <c r="Q27" i="1" s="1"/>
  <c r="K27" i="1" s="1"/>
  <c r="L27" i="1" s="1"/>
  <c r="U24" i="1"/>
  <c r="Y24" i="1" s="1"/>
  <c r="AB24" i="1"/>
  <c r="AA24" i="1"/>
  <c r="AC23" i="1"/>
  <c r="AC24" i="1" l="1"/>
  <c r="AC17" i="1"/>
  <c r="AC22" i="1"/>
  <c r="AC28" i="1"/>
  <c r="AC27" i="1"/>
  <c r="AC31" i="1"/>
  <c r="AC18" i="1"/>
</calcChain>
</file>

<file path=xl/sharedStrings.xml><?xml version="1.0" encoding="utf-8"?>
<sst xmlns="http://schemas.openxmlformats.org/spreadsheetml/2006/main" count="788" uniqueCount="360">
  <si>
    <t>File opened</t>
  </si>
  <si>
    <t>2020-08-07 11:20:20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</si>
  <si>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</si>
  <si>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</si>
  <si>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</si>
  <si>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</si>
  <si>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</si>
  <si>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</si>
  <si>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</si>
  <si>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</si>
  <si>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</si>
  <si>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</si>
  <si>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</si>
  <si>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{"co2aspanconc1": "1002", "chamberpressurezero": "2.59209", "co2azero": "0.869071", "h2oaspan1": "1.00223", "h2oazero": "1.00263", "ssb_ref": "36526.8", "h2obspan2a": "0.0975941", "tazero": "0.00774765", "co2aspan2b": "0.163711", "co2aspan2a": "0.164928", "h2oaspanconc2": "0", "h2oaspan2a": "0.0661155", "co2bspanconc1": "1002", "h2oaspan2b": "0.0662632", "h2obspan2b": "0.0963575", "co2aspanconc2": "0", "h2obspanconc1": "20", "co2aspan2": "0", "flowazero": "0.42932", "h2obspan1": "0.998578", "oxygen": "21", "co2bspan2a": "0.163389", "co2bspan1": "0.992131", "h2oaspan2": "0", "h2oaspanconc1": "12.19", "h2obzero": "1.01783", "tbzero": "0.197721", "co2aspan1": "0.992625", "h2obspan2": "0", "co2bzero": "0.880288", "flowmeterzero": "0.990908", "ssa_ref": "36614.9", "co2bspan2": "0", "h2obspanconc2": "0", "co2bspanconc2": "0", "co2bspan2b": "0.162103", "flowbzero": "0.22736"}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</si>
  <si>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</si>
  <si>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</si>
  <si>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</si>
  <si>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</si>
  <si>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</si>
  <si>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</si>
  <si>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</si>
  <si>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</si>
  <si>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</si>
  <si>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11:20:20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</si>
  <si>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</si>
  <si>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</si>
  <si>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</si>
  <si>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</si>
  <si>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</si>
  <si>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</si>
  <si>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</si>
  <si>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</si>
  <si>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</si>
  <si>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</si>
  <si>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</si>
  <si>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</si>
  <si>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</si>
  <si>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</si>
  <si>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</si>
  <si>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</si>
  <si>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</si>
  <si>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</si>
  <si>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</si>
  <si>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</si>
  <si>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</si>
  <si>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</si>
  <si>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</si>
  <si>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</si>
  <si>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</si>
  <si>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</si>
  <si>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</si>
  <si>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</si>
  <si>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</si>
  <si>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</si>
  <si>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</si>
  <si>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</si>
  <si>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</si>
  <si>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</si>
  <si>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</si>
  <si>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</si>
  <si>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</si>
  <si>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</si>
  <si>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</si>
  <si>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</si>
  <si>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</si>
  <si>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</si>
  <si>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</si>
  <si>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</si>
  <si>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</si>
  <si>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</si>
  <si>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</si>
  <si>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3.02491 76.925 386.185 618.874 847.247 1053.45 1228.52 1400.43</t>
  </si>
  <si>
    <t>Fs_true</t>
  </si>
  <si>
    <t>0.304308 100.02 403.273 601.289 800.851 1000.77 1199.91 1400.15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</si>
  <si>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</si>
  <si>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</si>
  <si>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</si>
  <si>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</si>
  <si>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</si>
  <si>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</si>
  <si>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</si>
  <si>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</si>
  <si>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</si>
  <si>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</si>
  <si>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</si>
  <si>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</si>
  <si>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</si>
  <si>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</si>
  <si>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</si>
  <si>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</si>
  <si>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</si>
  <si>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</si>
  <si>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</si>
  <si>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</si>
  <si>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</si>
  <si>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</si>
  <si>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</si>
  <si>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</si>
  <si>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</si>
  <si>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</si>
  <si>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</si>
  <si>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</si>
  <si>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</si>
  <si>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</si>
  <si>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</si>
  <si>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</si>
  <si>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</si>
  <si>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</si>
  <si>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</si>
  <si>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</si>
  <si>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</si>
  <si>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</si>
  <si>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</si>
  <si>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</si>
  <si>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</si>
  <si>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</si>
  <si>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</si>
  <si>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</si>
  <si>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</si>
  <si>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</si>
  <si>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</si>
  <si>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</si>
  <si>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</si>
  <si>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</si>
  <si>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</si>
  <si>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</si>
  <si>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</si>
  <si>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</si>
  <si>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</si>
  <si>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</si>
  <si>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</si>
  <si>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</si>
  <si>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</si>
  <si>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</si>
  <si>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</si>
  <si>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</si>
  <si>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</si>
  <si>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</si>
  <si>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</si>
  <si>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</si>
  <si>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</si>
  <si>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</si>
  <si>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</si>
  <si>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</si>
  <si>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</si>
  <si>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</si>
  <si>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</si>
  <si>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</si>
  <si>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</si>
  <si>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</si>
  <si>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</si>
  <si>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</si>
  <si>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</si>
  <si>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</si>
  <si>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</si>
  <si>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</si>
  <si>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</si>
  <si>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</si>
  <si>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</si>
  <si>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</si>
  <si>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</si>
  <si>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</si>
  <si>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</si>
  <si>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</si>
  <si>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</si>
  <si>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</si>
  <si>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</si>
  <si>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</si>
  <si>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</si>
  <si>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</si>
  <si>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</si>
  <si>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</si>
  <si>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</si>
  <si>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</si>
  <si>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</si>
  <si>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</si>
  <si>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</si>
  <si>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</si>
  <si>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</si>
  <si>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</si>
  <si>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</si>
  <si>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</si>
  <si>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</si>
  <si>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</si>
  <si>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</si>
  <si>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</si>
  <si>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</si>
  <si>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</si>
  <si>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</si>
  <si>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</si>
  <si>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</si>
  <si>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</si>
  <si>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</si>
  <si>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</si>
  <si>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</si>
  <si>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</si>
  <si>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</si>
  <si>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</si>
  <si>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</si>
  <si>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</si>
  <si>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</si>
  <si>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</si>
  <si>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</si>
  <si>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</si>
  <si>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</si>
  <si>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</si>
  <si>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</si>
  <si>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</si>
  <si>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</si>
  <si>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</si>
  <si>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</si>
  <si>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</si>
  <si>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</si>
  <si>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</si>
  <si>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</si>
  <si>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</si>
  <si>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</si>
  <si>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</si>
  <si>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</si>
  <si>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</si>
  <si>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</si>
  <si>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</si>
  <si>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</si>
  <si>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</si>
  <si>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</si>
  <si>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</si>
  <si>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</si>
  <si>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</si>
  <si>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</si>
  <si>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</si>
  <si>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</si>
  <si>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</si>
  <si>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</si>
  <si>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</si>
  <si>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</si>
  <si>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</si>
  <si>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</si>
  <si>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</si>
  <si>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</si>
  <si>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</si>
  <si>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</si>
  <si>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</si>
  <si>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</si>
  <si>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</si>
  <si>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</si>
  <si>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</si>
  <si>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</si>
  <si>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</si>
  <si>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</si>
  <si>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</si>
  <si>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</si>
  <si>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</si>
  <si>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</si>
  <si>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</si>
  <si>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</si>
  <si>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</si>
  <si>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</si>
  <si>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</si>
  <si>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</si>
  <si>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</si>
  <si>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</si>
  <si>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</si>
  <si>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</si>
  <si>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</si>
  <si>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</si>
  <si>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</si>
  <si>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</si>
  <si>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</si>
  <si>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</si>
  <si>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</si>
  <si>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</si>
  <si>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</si>
  <si>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</si>
  <si>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</si>
  <si>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</si>
  <si>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</si>
  <si>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</si>
  <si>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20200807 11:43:19</t>
  </si>
  <si>
    <t>11:43:19</t>
  </si>
  <si>
    <t>MPF-5759-20200807-11_43_20</t>
  </si>
  <si>
    <t>DARK-5760-20200807-11_43_28</t>
  </si>
  <si>
    <t>0: Broadleaf</t>
  </si>
  <si>
    <t>11:43:45</t>
  </si>
  <si>
    <t>2/2</t>
  </si>
  <si>
    <t>5</t>
  </si>
  <si>
    <t>11111111</t>
  </si>
  <si>
    <t>oooooooo</t>
  </si>
  <si>
    <t>off</t>
  </si>
  <si>
    <t>20200807 11:45:26</t>
  </si>
  <si>
    <t>11:45:26</t>
  </si>
  <si>
    <t>MPF-5761-20200807-11_45_27</t>
  </si>
  <si>
    <t>DARK-5762-20200807-11_45_35</t>
  </si>
  <si>
    <t>11:45:54</t>
  </si>
  <si>
    <t>20200807 11:47:25</t>
  </si>
  <si>
    <t>11:47:25</t>
  </si>
  <si>
    <t>MPF-5763-20200807-11_47_27</t>
  </si>
  <si>
    <t>DARK-5764-20200807-11_47_34</t>
  </si>
  <si>
    <t>11:47:51</t>
  </si>
  <si>
    <t>20200807 11:49:22</t>
  </si>
  <si>
    <t>11:49:22</t>
  </si>
  <si>
    <t>MPF-5765-20200807-11_49_24</t>
  </si>
  <si>
    <t>DARK-5766-20200807-11_49_31</t>
  </si>
  <si>
    <t>11:49:48</t>
  </si>
  <si>
    <t>1/2</t>
  </si>
  <si>
    <t>20200807 11:51:19</t>
  </si>
  <si>
    <t>11:51:19</t>
  </si>
  <si>
    <t>MPF-5767-20200807-11_51_21</t>
  </si>
  <si>
    <t>DARK-5768-20200807-11_51_28</t>
  </si>
  <si>
    <t>11:51:48</t>
  </si>
  <si>
    <t>20200807 11:53:20</t>
  </si>
  <si>
    <t>11:53:20</t>
  </si>
  <si>
    <t>MPF-5769-20200807-11_53_21</t>
  </si>
  <si>
    <t>DARK-5770-20200807-11_53_29</t>
  </si>
  <si>
    <t>11:53:51</t>
  </si>
  <si>
    <t>20200807 11:55:22</t>
  </si>
  <si>
    <t>11:55:22</t>
  </si>
  <si>
    <t>MPF-5771-20200807-11_55_24</t>
  </si>
  <si>
    <t>DARK-5772-20200807-11_55_31</t>
  </si>
  <si>
    <t>11:55:49</t>
  </si>
  <si>
    <t>20200807 11:57:51</t>
  </si>
  <si>
    <t>11:57:51</t>
  </si>
  <si>
    <t>MPF-5773-20200807-11_57_52</t>
  </si>
  <si>
    <t>DARK-5774-20200807-11_58_00</t>
  </si>
  <si>
    <t>11:58:18</t>
  </si>
  <si>
    <t>20200807 12:00:20</t>
  </si>
  <si>
    <t>12:00:20</t>
  </si>
  <si>
    <t>MPF-5775-20200807-12_00_21</t>
  </si>
  <si>
    <t>DARK-5776-20200807-12_00_29</t>
  </si>
  <si>
    <t>12:00:44</t>
  </si>
  <si>
    <t>20200807 12:02:46</t>
  </si>
  <si>
    <t>12:02:46</t>
  </si>
  <si>
    <t>MPF-5777-20200807-12_02_47</t>
  </si>
  <si>
    <t>DARK-5778-20200807-12_02_55</t>
  </si>
  <si>
    <t>12:03:12</t>
  </si>
  <si>
    <t>0/2</t>
  </si>
  <si>
    <t>20200807 12:05:14</t>
  </si>
  <si>
    <t>12:05:14</t>
  </si>
  <si>
    <t>MPF-5779-20200807-12_05_15</t>
  </si>
  <si>
    <t>DARK-5780-20200807-12_05_23</t>
  </si>
  <si>
    <t>12:05:38</t>
  </si>
  <si>
    <t>20200807 12:07:39</t>
  </si>
  <si>
    <t>12:07:39</t>
  </si>
  <si>
    <t>MPF-5781-20200807-12_07_41</t>
  </si>
  <si>
    <t>DARK-5782-20200807-12_07_48</t>
  </si>
  <si>
    <t>12:08:09</t>
  </si>
  <si>
    <t>20200807 12:10:11</t>
  </si>
  <si>
    <t>12:10:11</t>
  </si>
  <si>
    <t>MPF-5783-20200807-12_10_12</t>
  </si>
  <si>
    <t>DARK-5784-20200807-12_10_20</t>
  </si>
  <si>
    <t>12:10:44</t>
  </si>
  <si>
    <t>20200807 12:12:45</t>
  </si>
  <si>
    <t>12:12:45</t>
  </si>
  <si>
    <t>MPF-5785-20200807-12_12_47</t>
  </si>
  <si>
    <t>DARK-5786-20200807-12_12_55</t>
  </si>
  <si>
    <t>12:13:15</t>
  </si>
  <si>
    <t>20200807 12:15:13</t>
  </si>
  <si>
    <t>12:15:13</t>
  </si>
  <si>
    <t>MPF-5787-20200807-12_15_14</t>
  </si>
  <si>
    <t>DARK-5788-20200807-12_15_22</t>
  </si>
  <si>
    <t>12:15:41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</si>
</sst>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1596818599</v>
      </c>
      <c r="C17">
        <v>0</v>
      </c>
      <c r="D17" t="s">
        <v>277</v>
      </c>
      <c r="E17" t="s">
        <v>278</v>
      </c>
      <c r="G17">
        <v>1596818591</v>
      </c>
      <c r="H17">
        <f t="shared" ref="H17:H31" si="0">CC17*AI17*(CA17-CB17)/(100*$B$5*(1000-AI17*CA17))</f>
        <v>5.7256374963550877E-3</v>
      </c>
      <c r="I17">
        <f t="shared" ref="I17:I31" si="1">CC17*AI17*(BZ17-BY17*(1000-AI17*CB17)/(1000-AI17*CA17))/(100*$B$5)</f>
        <v>30.363721071021619</v>
      </c>
      <c r="J17">
        <f t="shared" ref="J17:J31" si="2">BY17 - IF(AI17&gt;1, I17*$B$5*100/(AK17*CI17), 0)</f>
        <v>386.98280645161299</v>
      </c>
      <c r="K17">
        <f t="shared" ref="K17:K31" si="3">((Q17-H17/2)*J17-I17)/(Q17+H17/2)</f>
        <v>233.6717809046277</v>
      </c>
      <c r="L17">
        <f t="shared" ref="L17:L31" si="4">K17*(CD17+CE17)/1000</f>
        <v>23.355172871055618</v>
      </c>
      <c r="M17">
        <f t="shared" ref="M17:M31" si="5">(BY17 - IF(AI17&gt;1, I17*$B$5*100/(AK17*CI17), 0))*(CD17+CE17)/1000</f>
        <v>38.678398854213917</v>
      </c>
      <c r="N17">
        <f t="shared" ref="N17:N31" si="6">2/((1/P17-1/O17)+SIGN(P17)*SQRT((1/P17-1/O17)*(1/P17-1/O17) + 4*BV17/((BV17+1)*(BV17+1))*(2*1/P17*1/O17-1/O17*1/O17)))</f>
        <v>0.35190340990297286</v>
      </c>
      <c r="O17">
        <f t="shared" ref="O17:O31" si="7">AF17+AE17*$B$5+AD17*$B$5*$B$5</f>
        <v>3.3952668459167215</v>
      </c>
      <c r="P17">
        <f t="shared" ref="P17:P31" si="8">H17*(1000-(1000*0.61365*EXP(17.502*T17/(240.97+T17))/(CD17+CE17)+CA17)/2)/(1000*0.61365*EXP(17.502*T17/(240.97+T17))/(CD17+CE17)-CA17)</f>
        <v>0.33282358162181913</v>
      </c>
      <c r="Q17">
        <f t="shared" ref="Q17:Q31" si="9">1/((BV17+1)/(N17/1.6)+1/(O17/1.37)) + BV17/((BV17+1)/(N17/1.6) + BV17/(O17/1.37))</f>
        <v>0.20964273472945577</v>
      </c>
      <c r="R17">
        <f t="shared" ref="R17:R31" si="10">(BS17*BU17)</f>
        <v>353.34015124534744</v>
      </c>
      <c r="S17">
        <f t="shared" ref="S17:S31" si="11">(CF17+(R17+2*0.95*0.0000000567*(((CF17+$B$7)+273)^4-(CF17+273)^4)-44100*H17)/(1.84*29.3*O17+8*0.95*0.0000000567*(CF17+273)^3))</f>
        <v>27.004101248002058</v>
      </c>
      <c r="T17">
        <f t="shared" ref="T17:T31" si="12">($C$7*CG17+$D$7*CH17+$E$7*S17)</f>
        <v>27.026367741935498</v>
      </c>
      <c r="U17">
        <f t="shared" ref="U17:U31" si="13">0.61365*EXP(17.502*T17/(240.97+T17))</f>
        <v>3.5847062804515097</v>
      </c>
      <c r="V17">
        <f t="shared" ref="V17:V31" si="14">(W17/X17*100)</f>
        <v>55.076863389208441</v>
      </c>
      <c r="W17">
        <f t="shared" ref="W17:W31" si="15">CA17*(CD17+CE17)/1000</f>
        <v>1.9125533451010113</v>
      </c>
      <c r="X17">
        <f t="shared" ref="X17:X31" si="16">0.61365*EXP(17.502*CF17/(240.97+CF17))</f>
        <v>3.4725168199679106</v>
      </c>
      <c r="Y17">
        <f t="shared" ref="Y17:Y31" si="17">(U17-CA17*(CD17+CE17)/1000)</f>
        <v>1.6721529353504985</v>
      </c>
      <c r="Z17">
        <f t="shared" ref="Z17:Z31" si="18">(-H17*44100)</f>
        <v>-252.50061358925936</v>
      </c>
      <c r="AA17">
        <f t="shared" ref="AA17:AA31" si="19">2*29.3*O17*0.92*(CF17-T17)</f>
        <v>-98.917856396892134</v>
      </c>
      <c r="AB17">
        <f t="shared" ref="AB17:AB31" si="20">2*0.95*0.0000000567*(((CF17+$B$7)+273)^4-(T17+273)^4)</f>
        <v>-6.2721542153458021</v>
      </c>
      <c r="AC17">
        <f t="shared" ref="AC17:AC31" si="21">R17+AB17+Z17+AA17</f>
        <v>-4.3504729561498294</v>
      </c>
      <c r="AD17">
        <v>-4.1374397866427701E-2</v>
      </c>
      <c r="AE17">
        <v>4.6446386201391E-2</v>
      </c>
      <c r="AF17">
        <v>3.4678716649796502</v>
      </c>
      <c r="AG17">
        <v>142</v>
      </c>
      <c r="AH17">
        <v>28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52848.876594314992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263.40776</v>
      </c>
      <c r="AT17">
        <v>372.22</v>
      </c>
      <c r="AU17">
        <f t="shared" ref="AU17:AU31" si="27">1-AS17/AT17</f>
        <v>0.29233313631723179</v>
      </c>
      <c r="AV17">
        <v>0.5</v>
      </c>
      <c r="AW17">
        <f t="shared" ref="AW17:AW31" si="28">BS17</f>
        <v>1849.1950835799578</v>
      </c>
      <c r="AX17">
        <f t="shared" ref="AX17:AX31" si="29">I17</f>
        <v>30.363721071021619</v>
      </c>
      <c r="AY17">
        <f t="shared" ref="AY17:AY31" si="30">AU17*AV17*AW17</f>
        <v>270.29049922266734</v>
      </c>
      <c r="AZ17">
        <f t="shared" ref="AZ17:AZ31" si="31">BE17/AT17</f>
        <v>0.51560904841222932</v>
      </c>
      <c r="BA17">
        <f t="shared" ref="BA17:BA31" si="32">(AX17-AQ17)/AW17</f>
        <v>1.6960742189679023E-2</v>
      </c>
      <c r="BB17">
        <f t="shared" ref="BB17:BB31" si="33">(AN17-AT17)/AT17</f>
        <v>-1</v>
      </c>
      <c r="BC17" t="s">
        <v>280</v>
      </c>
      <c r="BD17">
        <v>180.3</v>
      </c>
      <c r="BE17">
        <f t="shared" ref="BE17:BE31" si="34">AT17-BD17</f>
        <v>191.92000000000002</v>
      </c>
      <c r="BF17">
        <f t="shared" ref="BF17:BF31" si="35">(AT17-AS17)/(AT17-BD17)</f>
        <v>0.56696665277198843</v>
      </c>
      <c r="BG17">
        <f t="shared" ref="BG17:BG31" si="36">(AN17-AT17)/(AN17-BD17)</f>
        <v>2.0644481419855798</v>
      </c>
      <c r="BH17">
        <f t="shared" ref="BH17:BH31" si="37">(AT17-AS17)/(AT17-AM17)</f>
        <v>0.29233313631723179</v>
      </c>
      <c r="BI17" t="e">
        <f t="shared" ref="BI17:BI31" si="38">(AN17-AT17)/(AN17-AM17)</f>
        <v>#DIV/0!</v>
      </c>
      <c r="BJ17">
        <v>5759</v>
      </c>
      <c r="BK17">
        <v>300</v>
      </c>
      <c r="BL17">
        <v>300</v>
      </c>
      <c r="BM17">
        <v>300</v>
      </c>
      <c r="BN17">
        <v>9869.9</v>
      </c>
      <c r="BO17">
        <v>338.91300000000001</v>
      </c>
      <c r="BP17">
        <v>-6.4013300000000002E-3</v>
      </c>
      <c r="BQ17">
        <v>0.91671800000000003</v>
      </c>
      <c r="BR17">
        <f t="shared" ref="BR17:BR31" si="39">$B$11*CJ17+$C$11*CK17+$F$11*CL17</f>
        <v>2200.01129032258</v>
      </c>
      <c r="BS17">
        <f t="shared" ref="BS17:BS31" si="40">BR17*BT17</f>
        <v>1849.1950835799578</v>
      </c>
      <c r="BT17">
        <f t="shared" ref="BT17:BT31" si="41">($B$11*$D$9+$C$11*$D$9+$F$11*((CY17+CQ17)/MAX(CY17+CQ17+CZ17, 0.1)*$I$9+CZ17/MAX(CY17+CQ17+CZ17, 0.1)*$J$9))/($B$11+$C$11+$F$11)</f>
        <v>0.84053890619298444</v>
      </c>
      <c r="BU17">
        <f t="shared" ref="BU17:BU31" si="42">($B$11*$K$9+$C$11*$K$9+$F$11*((CY17+CQ17)/MAX(CY17+CQ17+CZ17, 0.1)*$P$9+CZ17/MAX(CY17+CQ17+CZ17, 0.1)*$Q$9))/($B$11+$C$11+$F$11)</f>
        <v>0.19107781238596899</v>
      </c>
      <c r="BV17">
        <v>0.5</v>
      </c>
      <c r="BW17" t="s">
        <v>281</v>
      </c>
      <c r="BX17">
        <v>1596818591</v>
      </c>
      <c r="BY17">
        <v>386.98280645161299</v>
      </c>
      <c r="BZ17">
        <v>400.012612903226</v>
      </c>
      <c r="CA17">
        <v>19.135364516128998</v>
      </c>
      <c r="CB17">
        <v>16.889274193548399</v>
      </c>
      <c r="CC17">
        <v>500.07564516129003</v>
      </c>
      <c r="CD17">
        <v>99.748632258064504</v>
      </c>
      <c r="CE17">
        <v>0.199991322580645</v>
      </c>
      <c r="CF17">
        <v>26.4859677419355</v>
      </c>
      <c r="CG17">
        <v>27.026367741935498</v>
      </c>
      <c r="CH17">
        <v>999.9</v>
      </c>
      <c r="CI17">
        <v>10002.780967741901</v>
      </c>
      <c r="CJ17">
        <v>0</v>
      </c>
      <c r="CK17">
        <v>320.23822580645202</v>
      </c>
      <c r="CL17">
        <v>2200.01129032258</v>
      </c>
      <c r="CM17">
        <v>0.98199493548387096</v>
      </c>
      <c r="CN17">
        <v>1.8004667741935501E-2</v>
      </c>
      <c r="CO17">
        <v>0</v>
      </c>
      <c r="CP17">
        <v>263.43261290322602</v>
      </c>
      <c r="CQ17">
        <v>5.00054</v>
      </c>
      <c r="CR17">
        <v>8247.5677419354797</v>
      </c>
      <c r="CS17">
        <v>20590.6161290323</v>
      </c>
      <c r="CT17">
        <v>49.035967741935501</v>
      </c>
      <c r="CU17">
        <v>51.158999999999999</v>
      </c>
      <c r="CV17">
        <v>49.513935483871002</v>
      </c>
      <c r="CW17">
        <v>49.812064516128999</v>
      </c>
      <c r="CX17">
        <v>50.362741935483903</v>
      </c>
      <c r="CY17">
        <v>2155.49129032258</v>
      </c>
      <c r="CZ17">
        <v>39.520000000000003</v>
      </c>
      <c r="DA17">
        <v>0</v>
      </c>
      <c r="DB17">
        <v>1456.5999999046301</v>
      </c>
      <c r="DC17">
        <v>263.40776</v>
      </c>
      <c r="DD17">
        <v>0.16876924723512199</v>
      </c>
      <c r="DE17">
        <v>-12.357692360438</v>
      </c>
      <c r="DF17">
        <v>8247.39</v>
      </c>
      <c r="DG17">
        <v>15</v>
      </c>
      <c r="DH17">
        <v>1596818625.5</v>
      </c>
      <c r="DI17" t="s">
        <v>282</v>
      </c>
      <c r="DJ17">
        <v>30</v>
      </c>
      <c r="DK17">
        <v>-0.309</v>
      </c>
      <c r="DL17">
        <v>0.11600000000000001</v>
      </c>
      <c r="DM17">
        <v>400</v>
      </c>
      <c r="DN17">
        <v>17</v>
      </c>
      <c r="DO17">
        <v>0.11</v>
      </c>
      <c r="DP17">
        <v>0.04</v>
      </c>
      <c r="DQ17">
        <v>387.40411538461501</v>
      </c>
      <c r="DR17">
        <v>6.9625202766142702E-2</v>
      </c>
      <c r="DS17">
        <v>1.8867609450867399E-2</v>
      </c>
      <c r="DT17">
        <v>1</v>
      </c>
      <c r="DU17">
        <v>19.1530019230769</v>
      </c>
      <c r="DV17">
        <v>-0.101354563305714</v>
      </c>
      <c r="DW17">
        <v>1.2703459407466901E-2</v>
      </c>
      <c r="DX17">
        <v>1</v>
      </c>
      <c r="DY17">
        <v>2</v>
      </c>
      <c r="DZ17">
        <v>2</v>
      </c>
      <c r="EA17" t="s">
        <v>283</v>
      </c>
      <c r="EB17">
        <v>1.86676</v>
      </c>
      <c r="EC17">
        <v>1.8632500000000001</v>
      </c>
      <c r="ED17">
        <v>1.86894</v>
      </c>
      <c r="EE17">
        <v>1.8668800000000001</v>
      </c>
      <c r="EF17">
        <v>1.8715299999999999</v>
      </c>
      <c r="EG17">
        <v>1.86402</v>
      </c>
      <c r="EH17">
        <v>1.8656200000000001</v>
      </c>
      <c r="EI17">
        <v>1.86554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-0.309</v>
      </c>
      <c r="EX17">
        <v>0.11600000000000001</v>
      </c>
      <c r="EY17">
        <v>2</v>
      </c>
      <c r="EZ17">
        <v>340.18</v>
      </c>
      <c r="FA17">
        <v>505.88</v>
      </c>
      <c r="FB17">
        <v>20.234500000000001</v>
      </c>
      <c r="FC17">
        <v>32.524000000000001</v>
      </c>
      <c r="FD17">
        <v>30.000900000000001</v>
      </c>
      <c r="FE17">
        <v>32.4895</v>
      </c>
      <c r="FF17">
        <v>32.491399999999999</v>
      </c>
      <c r="FG17">
        <v>22.118400000000001</v>
      </c>
      <c r="FH17">
        <v>35.438699999999997</v>
      </c>
      <c r="FI17">
        <v>0</v>
      </c>
      <c r="FJ17">
        <v>20.196999999999999</v>
      </c>
      <c r="FK17">
        <v>400</v>
      </c>
      <c r="FL17">
        <v>16.8399</v>
      </c>
      <c r="FM17">
        <v>100.95699999999999</v>
      </c>
      <c r="FN17">
        <v>101.444</v>
      </c>
    </row>
    <row r="18" spans="1:170" x14ac:dyDescent="0.25">
      <c r="A18">
        <v>2</v>
      </c>
      <c r="B18">
        <v>1596818726</v>
      </c>
      <c r="C18">
        <v>127</v>
      </c>
      <c r="D18" t="s">
        <v>288</v>
      </c>
      <c r="E18" t="s">
        <v>289</v>
      </c>
      <c r="G18">
        <v>1596818718</v>
      </c>
      <c r="H18">
        <f t="shared" si="0"/>
        <v>5.9970633796097269E-3</v>
      </c>
      <c r="I18">
        <f t="shared" si="1"/>
        <v>22.459380107813455</v>
      </c>
      <c r="J18">
        <f t="shared" si="2"/>
        <v>290.359806451613</v>
      </c>
      <c r="K18">
        <f t="shared" si="3"/>
        <v>182.41474936624365</v>
      </c>
      <c r="L18">
        <f t="shared" si="4"/>
        <v>18.232356994220769</v>
      </c>
      <c r="M18">
        <f t="shared" si="5"/>
        <v>29.021467103900278</v>
      </c>
      <c r="N18">
        <f t="shared" si="6"/>
        <v>0.37232836604065034</v>
      </c>
      <c r="O18">
        <f t="shared" si="7"/>
        <v>3.3902956249657734</v>
      </c>
      <c r="P18">
        <f t="shared" si="8"/>
        <v>0.35101204627762572</v>
      </c>
      <c r="Q18">
        <f t="shared" si="9"/>
        <v>0.22119595135035552</v>
      </c>
      <c r="R18">
        <f t="shared" si="10"/>
        <v>353.3371267381192</v>
      </c>
      <c r="S18">
        <f t="shared" si="11"/>
        <v>26.856283849882846</v>
      </c>
      <c r="T18">
        <f t="shared" si="12"/>
        <v>26.998538709677401</v>
      </c>
      <c r="U18">
        <f t="shared" si="13"/>
        <v>3.5788525221949592</v>
      </c>
      <c r="V18">
        <f t="shared" si="14"/>
        <v>55.522277997646555</v>
      </c>
      <c r="W18">
        <f t="shared" si="15"/>
        <v>1.9181584771228768</v>
      </c>
      <c r="X18">
        <f t="shared" si="16"/>
        <v>3.4547546431797751</v>
      </c>
      <c r="Y18">
        <f t="shared" si="17"/>
        <v>1.6606940450720824</v>
      </c>
      <c r="Z18">
        <f t="shared" si="18"/>
        <v>-264.47049504078893</v>
      </c>
      <c r="AA18">
        <f t="shared" si="19"/>
        <v>-109.57930906754461</v>
      </c>
      <c r="AB18">
        <f t="shared" si="20"/>
        <v>-6.9543660221694283</v>
      </c>
      <c r="AC18">
        <f t="shared" si="21"/>
        <v>-27.667043392383789</v>
      </c>
      <c r="AD18">
        <v>-4.1297408699587201E-2</v>
      </c>
      <c r="AE18">
        <v>4.6359959116991201E-2</v>
      </c>
      <c r="AF18">
        <v>3.4627653415301398</v>
      </c>
      <c r="AG18">
        <v>142</v>
      </c>
      <c r="AH18">
        <v>28</v>
      </c>
      <c r="AI18">
        <f t="shared" si="22"/>
        <v>1</v>
      </c>
      <c r="AJ18">
        <f t="shared" si="23"/>
        <v>0</v>
      </c>
      <c r="AK18">
        <f t="shared" si="24"/>
        <v>52769.886718217713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256.76659999999998</v>
      </c>
      <c r="AT18">
        <v>347.56599999999997</v>
      </c>
      <c r="AU18">
        <f t="shared" si="27"/>
        <v>0.26124361991679279</v>
      </c>
      <c r="AV18">
        <v>0.5</v>
      </c>
      <c r="AW18">
        <f t="shared" si="28"/>
        <v>1849.179590379254</v>
      </c>
      <c r="AX18">
        <f t="shared" si="29"/>
        <v>22.459380107813455</v>
      </c>
      <c r="AY18">
        <f t="shared" si="30"/>
        <v>241.5431850334642</v>
      </c>
      <c r="AZ18">
        <f t="shared" si="31"/>
        <v>0.47612827491756954</v>
      </c>
      <c r="BA18">
        <f t="shared" si="32"/>
        <v>1.2686371961850443E-2</v>
      </c>
      <c r="BB18">
        <f t="shared" si="33"/>
        <v>-1</v>
      </c>
      <c r="BC18" t="s">
        <v>291</v>
      </c>
      <c r="BD18">
        <v>182.08</v>
      </c>
      <c r="BE18">
        <f t="shared" si="34"/>
        <v>165.48599999999996</v>
      </c>
      <c r="BF18">
        <f t="shared" si="35"/>
        <v>0.54868327230098024</v>
      </c>
      <c r="BG18">
        <f t="shared" si="36"/>
        <v>1.9088642355008785</v>
      </c>
      <c r="BH18">
        <f t="shared" si="37"/>
        <v>0.26124361991679279</v>
      </c>
      <c r="BI18" t="e">
        <f t="shared" si="38"/>
        <v>#DIV/0!</v>
      </c>
      <c r="BJ18">
        <v>5761</v>
      </c>
      <c r="BK18">
        <v>300</v>
      </c>
      <c r="BL18">
        <v>300</v>
      </c>
      <c r="BM18">
        <v>300</v>
      </c>
      <c r="BN18">
        <v>9870.51</v>
      </c>
      <c r="BO18">
        <v>321.72300000000001</v>
      </c>
      <c r="BP18">
        <v>-6.40181E-3</v>
      </c>
      <c r="BQ18">
        <v>1.2615400000000001</v>
      </c>
      <c r="BR18">
        <f t="shared" si="39"/>
        <v>2199.9929032258101</v>
      </c>
      <c r="BS18">
        <f t="shared" si="40"/>
        <v>1849.179590379254</v>
      </c>
      <c r="BT18">
        <f t="shared" si="41"/>
        <v>0.84053888886088457</v>
      </c>
      <c r="BU18">
        <f t="shared" si="42"/>
        <v>0.19107777772176912</v>
      </c>
      <c r="BV18">
        <v>0.5</v>
      </c>
      <c r="BW18" t="s">
        <v>281</v>
      </c>
      <c r="BX18">
        <v>1596818718</v>
      </c>
      <c r="BY18">
        <v>290.359806451613</v>
      </c>
      <c r="BZ18">
        <v>300.03861290322601</v>
      </c>
      <c r="CA18">
        <v>19.191177419354801</v>
      </c>
      <c r="CB18">
        <v>16.838745161290301</v>
      </c>
      <c r="CC18">
        <v>500.07583870967699</v>
      </c>
      <c r="CD18">
        <v>99.750009677419399</v>
      </c>
      <c r="CE18">
        <v>0.20000564516128999</v>
      </c>
      <c r="CF18">
        <v>26.399016129032301</v>
      </c>
      <c r="CG18">
        <v>26.998538709677401</v>
      </c>
      <c r="CH18">
        <v>999.9</v>
      </c>
      <c r="CI18">
        <v>9984.0300000000007</v>
      </c>
      <c r="CJ18">
        <v>0</v>
      </c>
      <c r="CK18">
        <v>330.66387096774201</v>
      </c>
      <c r="CL18">
        <v>2199.9929032258101</v>
      </c>
      <c r="CM18">
        <v>0.98199477419354797</v>
      </c>
      <c r="CN18">
        <v>1.8004945161290298E-2</v>
      </c>
      <c r="CO18">
        <v>0</v>
      </c>
      <c r="CP18">
        <v>256.74054838709702</v>
      </c>
      <c r="CQ18">
        <v>5.00054</v>
      </c>
      <c r="CR18">
        <v>8121.9777419354896</v>
      </c>
      <c r="CS18">
        <v>20590.4258064516</v>
      </c>
      <c r="CT18">
        <v>48.937129032257999</v>
      </c>
      <c r="CU18">
        <v>51.082322580645098</v>
      </c>
      <c r="CV18">
        <v>49.417000000000002</v>
      </c>
      <c r="CW18">
        <v>49.717548387096798</v>
      </c>
      <c r="CX18">
        <v>50.2901290322581</v>
      </c>
      <c r="CY18">
        <v>2155.4738709677399</v>
      </c>
      <c r="CZ18">
        <v>39.518387096774198</v>
      </c>
      <c r="DA18">
        <v>0</v>
      </c>
      <c r="DB18">
        <v>126.299999952316</v>
      </c>
      <c r="DC18">
        <v>256.76659999999998</v>
      </c>
      <c r="DD18">
        <v>-1.3290000156225601</v>
      </c>
      <c r="DE18">
        <v>-20.183077012034001</v>
      </c>
      <c r="DF18">
        <v>8122.0295999999998</v>
      </c>
      <c r="DG18">
        <v>15</v>
      </c>
      <c r="DH18">
        <v>1596818754</v>
      </c>
      <c r="DI18" t="s">
        <v>292</v>
      </c>
      <c r="DJ18">
        <v>31</v>
      </c>
      <c r="DK18">
        <v>-0.41399999999999998</v>
      </c>
      <c r="DL18">
        <v>0.112</v>
      </c>
      <c r="DM18">
        <v>300</v>
      </c>
      <c r="DN18">
        <v>17</v>
      </c>
      <c r="DO18">
        <v>0.22</v>
      </c>
      <c r="DP18">
        <v>0.04</v>
      </c>
      <c r="DQ18">
        <v>290.46138461538499</v>
      </c>
      <c r="DR18">
        <v>5.0815333390663901E-2</v>
      </c>
      <c r="DS18">
        <v>1.1374995936015601E-2</v>
      </c>
      <c r="DT18">
        <v>1</v>
      </c>
      <c r="DU18">
        <v>19.173276923076902</v>
      </c>
      <c r="DV18">
        <v>0.166188679245279</v>
      </c>
      <c r="DW18">
        <v>3.6590081755036398E-2</v>
      </c>
      <c r="DX18">
        <v>1</v>
      </c>
      <c r="DY18">
        <v>2</v>
      </c>
      <c r="DZ18">
        <v>2</v>
      </c>
      <c r="EA18" t="s">
        <v>283</v>
      </c>
      <c r="EB18">
        <v>1.8667499999999999</v>
      </c>
      <c r="EC18">
        <v>1.8632500000000001</v>
      </c>
      <c r="ED18">
        <v>1.8689100000000001</v>
      </c>
      <c r="EE18">
        <v>1.86683</v>
      </c>
      <c r="EF18">
        <v>1.87151</v>
      </c>
      <c r="EG18">
        <v>1.8640099999999999</v>
      </c>
      <c r="EH18">
        <v>1.8656299999999999</v>
      </c>
      <c r="EI18">
        <v>1.86554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-0.41399999999999998</v>
      </c>
      <c r="EX18">
        <v>0.112</v>
      </c>
      <c r="EY18">
        <v>2</v>
      </c>
      <c r="EZ18">
        <v>339.78199999999998</v>
      </c>
      <c r="FA18">
        <v>504.79300000000001</v>
      </c>
      <c r="FB18">
        <v>20.264199999999999</v>
      </c>
      <c r="FC18">
        <v>32.644500000000001</v>
      </c>
      <c r="FD18">
        <v>30.001000000000001</v>
      </c>
      <c r="FE18">
        <v>32.607599999999998</v>
      </c>
      <c r="FF18">
        <v>32.6066</v>
      </c>
      <c r="FG18">
        <v>17.6495</v>
      </c>
      <c r="FH18">
        <v>36.631700000000002</v>
      </c>
      <c r="FI18">
        <v>0</v>
      </c>
      <c r="FJ18">
        <v>20.2363</v>
      </c>
      <c r="FK18">
        <v>300</v>
      </c>
      <c r="FL18">
        <v>16.669499999999999</v>
      </c>
      <c r="FM18">
        <v>100.93899999999999</v>
      </c>
      <c r="FN18">
        <v>101.426</v>
      </c>
    </row>
    <row r="19" spans="1:170" x14ac:dyDescent="0.25">
      <c r="A19">
        <v>3</v>
      </c>
      <c r="B19">
        <v>1596818845.5</v>
      </c>
      <c r="C19">
        <v>246.5</v>
      </c>
      <c r="D19" t="s">
        <v>293</v>
      </c>
      <c r="E19" t="s">
        <v>294</v>
      </c>
      <c r="G19">
        <v>1596818837.5</v>
      </c>
      <c r="H19">
        <f t="shared" si="0"/>
        <v>5.659933082230892E-3</v>
      </c>
      <c r="I19">
        <f t="shared" si="1"/>
        <v>13.872350291485965</v>
      </c>
      <c r="J19">
        <f t="shared" si="2"/>
        <v>193.98770967741899</v>
      </c>
      <c r="K19">
        <f t="shared" si="3"/>
        <v>122.26695742176422</v>
      </c>
      <c r="L19">
        <f t="shared" si="4"/>
        <v>12.220211333810031</v>
      </c>
      <c r="M19">
        <f t="shared" si="5"/>
        <v>19.388482860847493</v>
      </c>
      <c r="N19">
        <f t="shared" si="6"/>
        <v>0.34531860011416787</v>
      </c>
      <c r="O19">
        <f t="shared" si="7"/>
        <v>3.3955881320683359</v>
      </c>
      <c r="P19">
        <f t="shared" si="8"/>
        <v>0.32692773741656461</v>
      </c>
      <c r="Q19">
        <f t="shared" si="9"/>
        <v>0.20590052325732452</v>
      </c>
      <c r="R19">
        <f t="shared" si="10"/>
        <v>353.34427313471161</v>
      </c>
      <c r="S19">
        <f t="shared" si="11"/>
        <v>26.960952641492497</v>
      </c>
      <c r="T19">
        <f t="shared" si="12"/>
        <v>27.015138709677402</v>
      </c>
      <c r="U19">
        <f t="shared" si="13"/>
        <v>3.5823432802190904</v>
      </c>
      <c r="V19">
        <f t="shared" si="14"/>
        <v>54.887438425702783</v>
      </c>
      <c r="W19">
        <f t="shared" si="15"/>
        <v>1.8994643456677329</v>
      </c>
      <c r="X19">
        <f t="shared" si="16"/>
        <v>3.4606540223933071</v>
      </c>
      <c r="Y19">
        <f t="shared" si="17"/>
        <v>1.6828789345513575</v>
      </c>
      <c r="Z19">
        <f t="shared" si="18"/>
        <v>-249.60304892638234</v>
      </c>
      <c r="AA19">
        <f t="shared" si="19"/>
        <v>-107.49456269922773</v>
      </c>
      <c r="AB19">
        <f t="shared" si="20"/>
        <v>-6.8129778243682875</v>
      </c>
      <c r="AC19">
        <f t="shared" si="21"/>
        <v>-10.566316315266718</v>
      </c>
      <c r="AD19">
        <v>-4.1379375368263499E-2</v>
      </c>
      <c r="AE19">
        <v>4.64519738832549E-2</v>
      </c>
      <c r="AF19">
        <v>3.4682016857748801</v>
      </c>
      <c r="AG19">
        <v>142</v>
      </c>
      <c r="AH19">
        <v>28</v>
      </c>
      <c r="AI19">
        <f t="shared" si="22"/>
        <v>1</v>
      </c>
      <c r="AJ19">
        <f t="shared" si="23"/>
        <v>0</v>
      </c>
      <c r="AK19">
        <f t="shared" si="24"/>
        <v>52865.180624554414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255.17856</v>
      </c>
      <c r="AT19">
        <v>333.75299999999999</v>
      </c>
      <c r="AU19">
        <f t="shared" si="27"/>
        <v>0.23542691751085376</v>
      </c>
      <c r="AV19">
        <v>0.5</v>
      </c>
      <c r="AW19">
        <f t="shared" si="28"/>
        <v>1849.2165192376699</v>
      </c>
      <c r="AX19">
        <f t="shared" si="29"/>
        <v>13.872350291485965</v>
      </c>
      <c r="AY19">
        <f t="shared" si="30"/>
        <v>217.67767246713751</v>
      </c>
      <c r="AZ19">
        <f t="shared" si="31"/>
        <v>0.44839447136055705</v>
      </c>
      <c r="BA19">
        <f t="shared" si="32"/>
        <v>8.0425142955228499E-3</v>
      </c>
      <c r="BB19">
        <f t="shared" si="33"/>
        <v>-1</v>
      </c>
      <c r="BC19" t="s">
        <v>296</v>
      </c>
      <c r="BD19">
        <v>184.1</v>
      </c>
      <c r="BE19">
        <f t="shared" si="34"/>
        <v>149.65299999999999</v>
      </c>
      <c r="BF19">
        <f t="shared" si="35"/>
        <v>0.52504420225454873</v>
      </c>
      <c r="BG19">
        <f t="shared" si="36"/>
        <v>1.8128897338403041</v>
      </c>
      <c r="BH19">
        <f t="shared" si="37"/>
        <v>0.23542691751085379</v>
      </c>
      <c r="BI19" t="e">
        <f t="shared" si="38"/>
        <v>#DIV/0!</v>
      </c>
      <c r="BJ19">
        <v>5763</v>
      </c>
      <c r="BK19">
        <v>300</v>
      </c>
      <c r="BL19">
        <v>300</v>
      </c>
      <c r="BM19">
        <v>300</v>
      </c>
      <c r="BN19">
        <v>9870.52</v>
      </c>
      <c r="BO19">
        <v>309.685</v>
      </c>
      <c r="BP19">
        <v>-6.4019000000000003E-3</v>
      </c>
      <c r="BQ19">
        <v>1.95218</v>
      </c>
      <c r="BR19">
        <f t="shared" si="39"/>
        <v>2200.0367741935502</v>
      </c>
      <c r="BS19">
        <f t="shared" si="40"/>
        <v>1849.2165192376699</v>
      </c>
      <c r="BT19">
        <f t="shared" si="41"/>
        <v>0.84053891322590391</v>
      </c>
      <c r="BU19">
        <f t="shared" si="42"/>
        <v>0.19107782645180782</v>
      </c>
      <c r="BV19">
        <v>0.5</v>
      </c>
      <c r="BW19" t="s">
        <v>281</v>
      </c>
      <c r="BX19">
        <v>1596818837.5</v>
      </c>
      <c r="BY19">
        <v>193.98770967741899</v>
      </c>
      <c r="BZ19">
        <v>199.97487096774199</v>
      </c>
      <c r="CA19">
        <v>19.0047225806452</v>
      </c>
      <c r="CB19">
        <v>16.784132258064499</v>
      </c>
      <c r="CC19">
        <v>500.08032258064497</v>
      </c>
      <c r="CD19">
        <v>99.746938709677394</v>
      </c>
      <c r="CE19">
        <v>0.200026451612903</v>
      </c>
      <c r="CF19">
        <v>26.427938709677399</v>
      </c>
      <c r="CG19">
        <v>27.015138709677402</v>
      </c>
      <c r="CH19">
        <v>999.9</v>
      </c>
      <c r="CI19">
        <v>10004.1541935484</v>
      </c>
      <c r="CJ19">
        <v>0</v>
      </c>
      <c r="CK19">
        <v>332.72729032258098</v>
      </c>
      <c r="CL19">
        <v>2200.0367741935502</v>
      </c>
      <c r="CM19">
        <v>0.98199406451612903</v>
      </c>
      <c r="CN19">
        <v>1.80056129032258E-2</v>
      </c>
      <c r="CO19">
        <v>0</v>
      </c>
      <c r="CP19">
        <v>255.21538709677401</v>
      </c>
      <c r="CQ19">
        <v>5.00054</v>
      </c>
      <c r="CR19">
        <v>8086.34967741935</v>
      </c>
      <c r="CS19">
        <v>20590.858064516098</v>
      </c>
      <c r="CT19">
        <v>48.866806451612902</v>
      </c>
      <c r="CU19">
        <v>51.008000000000003</v>
      </c>
      <c r="CV19">
        <v>49.3342903225806</v>
      </c>
      <c r="CW19">
        <v>49.655000000000001</v>
      </c>
      <c r="CX19">
        <v>50.225548387096801</v>
      </c>
      <c r="CY19">
        <v>2155.51548387097</v>
      </c>
      <c r="CZ19">
        <v>39.5209677419355</v>
      </c>
      <c r="DA19">
        <v>0</v>
      </c>
      <c r="DB19">
        <v>118.799999952316</v>
      </c>
      <c r="DC19">
        <v>255.17856</v>
      </c>
      <c r="DD19">
        <v>-0.86676922920643895</v>
      </c>
      <c r="DE19">
        <v>-51.116153968714499</v>
      </c>
      <c r="DF19">
        <v>8085.8208000000004</v>
      </c>
      <c r="DG19">
        <v>15</v>
      </c>
      <c r="DH19">
        <v>1596818871</v>
      </c>
      <c r="DI19" t="s">
        <v>297</v>
      </c>
      <c r="DJ19">
        <v>32</v>
      </c>
      <c r="DK19">
        <v>-0.375</v>
      </c>
      <c r="DL19">
        <v>0.11600000000000001</v>
      </c>
      <c r="DM19">
        <v>200</v>
      </c>
      <c r="DN19">
        <v>17</v>
      </c>
      <c r="DO19">
        <v>0.17</v>
      </c>
      <c r="DP19">
        <v>0.04</v>
      </c>
      <c r="DQ19">
        <v>193.954884615385</v>
      </c>
      <c r="DR19">
        <v>-4.9176129087423699E-2</v>
      </c>
      <c r="DS19">
        <v>1.5177987408586301E-2</v>
      </c>
      <c r="DT19">
        <v>1</v>
      </c>
      <c r="DU19">
        <v>18.997717307692302</v>
      </c>
      <c r="DV19">
        <v>3.1594126184583002E-2</v>
      </c>
      <c r="DW19">
        <v>4.0203195985591203E-3</v>
      </c>
      <c r="DX19">
        <v>1</v>
      </c>
      <c r="DY19">
        <v>2</v>
      </c>
      <c r="DZ19">
        <v>2</v>
      </c>
      <c r="EA19" t="s">
        <v>283</v>
      </c>
      <c r="EB19">
        <v>1.8667499999999999</v>
      </c>
      <c r="EC19">
        <v>1.8632500000000001</v>
      </c>
      <c r="ED19">
        <v>1.8689</v>
      </c>
      <c r="EE19">
        <v>1.86687</v>
      </c>
      <c r="EF19">
        <v>1.8714999999999999</v>
      </c>
      <c r="EG19">
        <v>1.8640099999999999</v>
      </c>
      <c r="EH19">
        <v>1.86557</v>
      </c>
      <c r="EI19">
        <v>1.86554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-0.375</v>
      </c>
      <c r="EX19">
        <v>0.11600000000000001</v>
      </c>
      <c r="EY19">
        <v>2</v>
      </c>
      <c r="EZ19">
        <v>340.02499999999998</v>
      </c>
      <c r="FA19">
        <v>504.36500000000001</v>
      </c>
      <c r="FB19">
        <v>19.806100000000001</v>
      </c>
      <c r="FC19">
        <v>32.690899999999999</v>
      </c>
      <c r="FD19">
        <v>30.0001</v>
      </c>
      <c r="FE19">
        <v>32.677399999999999</v>
      </c>
      <c r="FF19">
        <v>32.679400000000001</v>
      </c>
      <c r="FG19">
        <v>13.0045</v>
      </c>
      <c r="FH19">
        <v>36.695500000000003</v>
      </c>
      <c r="FI19">
        <v>0</v>
      </c>
      <c r="FJ19">
        <v>19.804600000000001</v>
      </c>
      <c r="FK19">
        <v>200</v>
      </c>
      <c r="FL19">
        <v>16.7986</v>
      </c>
      <c r="FM19">
        <v>100.93</v>
      </c>
      <c r="FN19">
        <v>101.41800000000001</v>
      </c>
    </row>
    <row r="20" spans="1:170" x14ac:dyDescent="0.25">
      <c r="A20">
        <v>4</v>
      </c>
      <c r="B20">
        <v>1596818962.5</v>
      </c>
      <c r="C20">
        <v>363.5</v>
      </c>
      <c r="D20" t="s">
        <v>298</v>
      </c>
      <c r="E20" t="s">
        <v>299</v>
      </c>
      <c r="G20">
        <v>1596818954.5</v>
      </c>
      <c r="H20">
        <f t="shared" si="0"/>
        <v>5.8439832679173234E-3</v>
      </c>
      <c r="I20">
        <f t="shared" si="1"/>
        <v>4.9853012841469422</v>
      </c>
      <c r="J20">
        <f t="shared" si="2"/>
        <v>97.774735483870998</v>
      </c>
      <c r="K20">
        <f t="shared" si="3"/>
        <v>72.135147403749713</v>
      </c>
      <c r="L20">
        <f t="shared" si="4"/>
        <v>7.2095511094881131</v>
      </c>
      <c r="M20">
        <f t="shared" si="5"/>
        <v>9.7721010916102511</v>
      </c>
      <c r="N20">
        <f t="shared" si="6"/>
        <v>0.35923681878807479</v>
      </c>
      <c r="O20">
        <f t="shared" si="7"/>
        <v>3.3944490440288657</v>
      </c>
      <c r="P20">
        <f t="shared" si="8"/>
        <v>0.33937307711344311</v>
      </c>
      <c r="Q20">
        <f t="shared" si="9"/>
        <v>0.21380127182002431</v>
      </c>
      <c r="R20">
        <f t="shared" si="10"/>
        <v>353.33799179984254</v>
      </c>
      <c r="S20">
        <f t="shared" si="11"/>
        <v>26.844994707592818</v>
      </c>
      <c r="T20">
        <f t="shared" si="12"/>
        <v>26.9790903225806</v>
      </c>
      <c r="U20">
        <f t="shared" si="13"/>
        <v>3.574766563983673</v>
      </c>
      <c r="V20">
        <f t="shared" si="14"/>
        <v>55.169526068771077</v>
      </c>
      <c r="W20">
        <f t="shared" si="15"/>
        <v>1.9008639847804329</v>
      </c>
      <c r="X20">
        <f t="shared" si="16"/>
        <v>3.4454963097035272</v>
      </c>
      <c r="Y20">
        <f t="shared" si="17"/>
        <v>1.67390257920324</v>
      </c>
      <c r="Z20">
        <f t="shared" si="18"/>
        <v>-257.71966211515394</v>
      </c>
      <c r="AA20">
        <f t="shared" si="19"/>
        <v>-114.47690654759064</v>
      </c>
      <c r="AB20">
        <f t="shared" si="20"/>
        <v>-7.2539415603138844</v>
      </c>
      <c r="AC20">
        <f t="shared" si="21"/>
        <v>-26.112518423215917</v>
      </c>
      <c r="AD20">
        <v>-4.1361729091632403E-2</v>
      </c>
      <c r="AE20">
        <v>4.6432164391837803E-2</v>
      </c>
      <c r="AF20">
        <v>3.4670316316117198</v>
      </c>
      <c r="AG20">
        <v>142</v>
      </c>
      <c r="AH20">
        <v>28</v>
      </c>
      <c r="AI20">
        <f t="shared" si="22"/>
        <v>1</v>
      </c>
      <c r="AJ20">
        <f t="shared" si="23"/>
        <v>0</v>
      </c>
      <c r="AK20">
        <f t="shared" si="24"/>
        <v>52856.651624652521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256.96519999999998</v>
      </c>
      <c r="AT20">
        <v>318.20999999999998</v>
      </c>
      <c r="AU20">
        <f t="shared" si="27"/>
        <v>0.19246661010024824</v>
      </c>
      <c r="AV20">
        <v>0.5</v>
      </c>
      <c r="AW20">
        <f t="shared" si="28"/>
        <v>1849.1834609993052</v>
      </c>
      <c r="AX20">
        <f t="shared" si="29"/>
        <v>4.9853012841469422</v>
      </c>
      <c r="AY20">
        <f t="shared" si="30"/>
        <v>177.95303609599043</v>
      </c>
      <c r="AZ20">
        <f t="shared" si="31"/>
        <v>0.40071022280883695</v>
      </c>
      <c r="BA20">
        <f t="shared" si="32"/>
        <v>3.2367265933216081E-3</v>
      </c>
      <c r="BB20">
        <f t="shared" si="33"/>
        <v>-1</v>
      </c>
      <c r="BC20" t="s">
        <v>301</v>
      </c>
      <c r="BD20">
        <v>190.7</v>
      </c>
      <c r="BE20">
        <f t="shared" si="34"/>
        <v>127.50999999999999</v>
      </c>
      <c r="BF20">
        <f t="shared" si="35"/>
        <v>0.48031370088620501</v>
      </c>
      <c r="BG20">
        <f t="shared" si="36"/>
        <v>1.6686418458311485</v>
      </c>
      <c r="BH20">
        <f t="shared" si="37"/>
        <v>0.19246661010024826</v>
      </c>
      <c r="BI20" t="e">
        <f t="shared" si="38"/>
        <v>#DIV/0!</v>
      </c>
      <c r="BJ20">
        <v>5765</v>
      </c>
      <c r="BK20">
        <v>300</v>
      </c>
      <c r="BL20">
        <v>300</v>
      </c>
      <c r="BM20">
        <v>300</v>
      </c>
      <c r="BN20">
        <v>9870.44</v>
      </c>
      <c r="BO20">
        <v>302.72399999999999</v>
      </c>
      <c r="BP20">
        <v>-6.4017600000000003E-3</v>
      </c>
      <c r="BQ20">
        <v>1.2900400000000001</v>
      </c>
      <c r="BR20">
        <f t="shared" si="39"/>
        <v>2199.9974193548401</v>
      </c>
      <c r="BS20">
        <f t="shared" si="40"/>
        <v>1849.1834609993052</v>
      </c>
      <c r="BT20">
        <f t="shared" si="41"/>
        <v>0.84053892278727638</v>
      </c>
      <c r="BU20">
        <f t="shared" si="42"/>
        <v>0.19107784557455293</v>
      </c>
      <c r="BV20">
        <v>0.5</v>
      </c>
      <c r="BW20" t="s">
        <v>281</v>
      </c>
      <c r="BX20">
        <v>1596818954.5</v>
      </c>
      <c r="BY20">
        <v>97.774735483870998</v>
      </c>
      <c r="BZ20">
        <v>99.997061290322605</v>
      </c>
      <c r="CA20">
        <v>19.019090322580599</v>
      </c>
      <c r="CB20">
        <v>16.726319354838701</v>
      </c>
      <c r="CC20">
        <v>500.07925806451601</v>
      </c>
      <c r="CD20">
        <v>99.745070967741896</v>
      </c>
      <c r="CE20">
        <v>0.19998174193548399</v>
      </c>
      <c r="CF20">
        <v>26.353538709677402</v>
      </c>
      <c r="CG20">
        <v>26.9790903225806</v>
      </c>
      <c r="CH20">
        <v>999.9</v>
      </c>
      <c r="CI20">
        <v>10000.0751612903</v>
      </c>
      <c r="CJ20">
        <v>0</v>
      </c>
      <c r="CK20">
        <v>329.76161290322602</v>
      </c>
      <c r="CL20">
        <v>2199.9974193548401</v>
      </c>
      <c r="CM20">
        <v>0.98199377419354805</v>
      </c>
      <c r="CN20">
        <v>1.8005887096774201E-2</v>
      </c>
      <c r="CO20">
        <v>0</v>
      </c>
      <c r="CP20">
        <v>256.96093548387103</v>
      </c>
      <c r="CQ20">
        <v>5.00054</v>
      </c>
      <c r="CR20">
        <v>8104.3196774193502</v>
      </c>
      <c r="CS20">
        <v>20590.4806451613</v>
      </c>
      <c r="CT20">
        <v>48.909064516129</v>
      </c>
      <c r="CU20">
        <v>51.062064516128999</v>
      </c>
      <c r="CV20">
        <v>49.390999999999998</v>
      </c>
      <c r="CW20">
        <v>49.77</v>
      </c>
      <c r="CX20">
        <v>50.262</v>
      </c>
      <c r="CY20">
        <v>2155.4764516128998</v>
      </c>
      <c r="CZ20">
        <v>39.5209677419355</v>
      </c>
      <c r="DA20">
        <v>0</v>
      </c>
      <c r="DB20">
        <v>116.60000014305101</v>
      </c>
      <c r="DC20">
        <v>256.96519999999998</v>
      </c>
      <c r="DD20">
        <v>-0.15461538377595199</v>
      </c>
      <c r="DE20">
        <v>33.133076847597998</v>
      </c>
      <c r="DF20">
        <v>8104.9971999999998</v>
      </c>
      <c r="DG20">
        <v>15</v>
      </c>
      <c r="DH20">
        <v>1596818988</v>
      </c>
      <c r="DI20" t="s">
        <v>302</v>
      </c>
      <c r="DJ20">
        <v>33</v>
      </c>
      <c r="DK20">
        <v>-0.29899999999999999</v>
      </c>
      <c r="DL20">
        <v>0.114</v>
      </c>
      <c r="DM20">
        <v>100</v>
      </c>
      <c r="DN20">
        <v>17</v>
      </c>
      <c r="DO20">
        <v>0.27</v>
      </c>
      <c r="DP20">
        <v>0.04</v>
      </c>
      <c r="DQ20">
        <v>97.689376923076907</v>
      </c>
      <c r="DR20">
        <v>8.9408349696917799E-2</v>
      </c>
      <c r="DS20">
        <v>2.1364434999321402E-2</v>
      </c>
      <c r="DT20">
        <v>1</v>
      </c>
      <c r="DU20">
        <v>19.0048903846154</v>
      </c>
      <c r="DV20">
        <v>0.21275181422351799</v>
      </c>
      <c r="DW20">
        <v>2.8529352358683299E-2</v>
      </c>
      <c r="DX20">
        <v>0</v>
      </c>
      <c r="DY20">
        <v>1</v>
      </c>
      <c r="DZ20">
        <v>2</v>
      </c>
      <c r="EA20" t="s">
        <v>303</v>
      </c>
      <c r="EB20">
        <v>1.8667499999999999</v>
      </c>
      <c r="EC20">
        <v>1.8632500000000001</v>
      </c>
      <c r="ED20">
        <v>1.8689100000000001</v>
      </c>
      <c r="EE20">
        <v>1.8668899999999999</v>
      </c>
      <c r="EF20">
        <v>1.87151</v>
      </c>
      <c r="EG20">
        <v>1.8640300000000001</v>
      </c>
      <c r="EH20">
        <v>1.8656200000000001</v>
      </c>
      <c r="EI20">
        <v>1.86554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-0.29899999999999999</v>
      </c>
      <c r="EX20">
        <v>0.114</v>
      </c>
      <c r="EY20">
        <v>2</v>
      </c>
      <c r="EZ20">
        <v>339.69900000000001</v>
      </c>
      <c r="FA20">
        <v>503.416</v>
      </c>
      <c r="FB20">
        <v>20.0685</v>
      </c>
      <c r="FC20">
        <v>32.780799999999999</v>
      </c>
      <c r="FD20">
        <v>29.9999</v>
      </c>
      <c r="FE20">
        <v>32.762099999999997</v>
      </c>
      <c r="FF20">
        <v>32.765700000000002</v>
      </c>
      <c r="FG20">
        <v>8.1749200000000002</v>
      </c>
      <c r="FH20">
        <v>37.530799999999999</v>
      </c>
      <c r="FI20">
        <v>0</v>
      </c>
      <c r="FJ20">
        <v>20.064499999999999</v>
      </c>
      <c r="FK20">
        <v>100</v>
      </c>
      <c r="FL20">
        <v>16.620200000000001</v>
      </c>
      <c r="FM20">
        <v>100.914</v>
      </c>
      <c r="FN20">
        <v>101.40600000000001</v>
      </c>
    </row>
    <row r="21" spans="1:170" x14ac:dyDescent="0.25">
      <c r="A21">
        <v>5</v>
      </c>
      <c r="B21">
        <v>1596819079.5</v>
      </c>
      <c r="C21">
        <v>480.5</v>
      </c>
      <c r="D21" t="s">
        <v>304</v>
      </c>
      <c r="E21" t="s">
        <v>305</v>
      </c>
      <c r="G21">
        <v>1596819071.5</v>
      </c>
      <c r="H21">
        <f t="shared" si="0"/>
        <v>6.3574851499380363E-3</v>
      </c>
      <c r="I21">
        <f t="shared" si="1"/>
        <v>0.4342375442187143</v>
      </c>
      <c r="J21">
        <f t="shared" si="2"/>
        <v>49.687709677419399</v>
      </c>
      <c r="K21">
        <f t="shared" si="3"/>
        <v>46.505328978233578</v>
      </c>
      <c r="L21">
        <f t="shared" si="4"/>
        <v>4.64808018577064</v>
      </c>
      <c r="M21">
        <f t="shared" si="5"/>
        <v>4.9661504154939431</v>
      </c>
      <c r="N21">
        <f t="shared" si="6"/>
        <v>0.39244019464042373</v>
      </c>
      <c r="O21">
        <f t="shared" si="7"/>
        <v>3.3925873226402272</v>
      </c>
      <c r="P21">
        <f t="shared" si="8"/>
        <v>0.36885207253010083</v>
      </c>
      <c r="Q21">
        <f t="shared" si="9"/>
        <v>0.2325336034744066</v>
      </c>
      <c r="R21">
        <f t="shared" si="10"/>
        <v>353.33763141405626</v>
      </c>
      <c r="S21">
        <f t="shared" si="11"/>
        <v>26.842871885474707</v>
      </c>
      <c r="T21">
        <f t="shared" si="12"/>
        <v>27.011593548387101</v>
      </c>
      <c r="U21">
        <f t="shared" si="13"/>
        <v>3.5815975307178087</v>
      </c>
      <c r="V21">
        <f t="shared" si="14"/>
        <v>54.953638000075919</v>
      </c>
      <c r="W21">
        <f t="shared" si="15"/>
        <v>1.9062134787377198</v>
      </c>
      <c r="X21">
        <f t="shared" si="16"/>
        <v>3.4687666697063553</v>
      </c>
      <c r="Y21">
        <f t="shared" si="17"/>
        <v>1.6753840519800889</v>
      </c>
      <c r="Z21">
        <f t="shared" si="18"/>
        <v>-280.3650951122674</v>
      </c>
      <c r="AA21">
        <f t="shared" si="19"/>
        <v>-99.489385193061707</v>
      </c>
      <c r="AB21">
        <f t="shared" si="20"/>
        <v>-6.312330433408361</v>
      </c>
      <c r="AC21">
        <f t="shared" si="21"/>
        <v>-32.829179324681206</v>
      </c>
      <c r="AD21">
        <v>-4.1332893837110703E-2</v>
      </c>
      <c r="AE21">
        <v>4.6399794292530001E-2</v>
      </c>
      <c r="AF21">
        <v>3.4651193094036099</v>
      </c>
      <c r="AG21">
        <v>143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52801.22622267664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258.13335999999998</v>
      </c>
      <c r="AT21">
        <v>309.88600000000002</v>
      </c>
      <c r="AU21">
        <f t="shared" si="27"/>
        <v>0.16700541489450971</v>
      </c>
      <c r="AV21">
        <v>0.5</v>
      </c>
      <c r="AW21">
        <f t="shared" si="28"/>
        <v>1849.1815642251081</v>
      </c>
      <c r="AX21">
        <f t="shared" si="29"/>
        <v>0.4342375442187143</v>
      </c>
      <c r="AY21">
        <f t="shared" si="30"/>
        <v>154.41166717434632</v>
      </c>
      <c r="AZ21">
        <f t="shared" si="31"/>
        <v>0.39190541037671922</v>
      </c>
      <c r="BA21">
        <f t="shared" si="32"/>
        <v>7.7560666403232595E-4</v>
      </c>
      <c r="BB21">
        <f t="shared" si="33"/>
        <v>-1</v>
      </c>
      <c r="BC21" t="s">
        <v>307</v>
      </c>
      <c r="BD21">
        <v>188.44</v>
      </c>
      <c r="BE21">
        <f t="shared" si="34"/>
        <v>121.44600000000003</v>
      </c>
      <c r="BF21">
        <f t="shared" si="35"/>
        <v>0.42613704856479451</v>
      </c>
      <c r="BG21">
        <f t="shared" si="36"/>
        <v>1.6444810019104226</v>
      </c>
      <c r="BH21">
        <f t="shared" si="37"/>
        <v>0.16700541489450971</v>
      </c>
      <c r="BI21" t="e">
        <f t="shared" si="38"/>
        <v>#DIV/0!</v>
      </c>
      <c r="BJ21">
        <v>5767</v>
      </c>
      <c r="BK21">
        <v>300</v>
      </c>
      <c r="BL21">
        <v>300</v>
      </c>
      <c r="BM21">
        <v>300</v>
      </c>
      <c r="BN21">
        <v>9870.49</v>
      </c>
      <c r="BO21">
        <v>297.76400000000001</v>
      </c>
      <c r="BP21">
        <v>-6.4017199999999996E-3</v>
      </c>
      <c r="BQ21">
        <v>1.44238</v>
      </c>
      <c r="BR21">
        <f t="shared" si="39"/>
        <v>2199.9951612903201</v>
      </c>
      <c r="BS21">
        <f t="shared" si="40"/>
        <v>1849.1815642251081</v>
      </c>
      <c r="BT21">
        <f t="shared" si="41"/>
        <v>0.84053892334042402</v>
      </c>
      <c r="BU21">
        <f t="shared" si="42"/>
        <v>0.19107784668084821</v>
      </c>
      <c r="BV21">
        <v>0.5</v>
      </c>
      <c r="BW21" t="s">
        <v>281</v>
      </c>
      <c r="BX21">
        <v>1596819071.5</v>
      </c>
      <c r="BY21">
        <v>49.687709677419399</v>
      </c>
      <c r="BZ21">
        <v>49.987712903225798</v>
      </c>
      <c r="CA21">
        <v>19.072193548387101</v>
      </c>
      <c r="CB21">
        <v>16.578093548387098</v>
      </c>
      <c r="CC21">
        <v>500.07890322580602</v>
      </c>
      <c r="CD21">
        <v>99.747248387096803</v>
      </c>
      <c r="CE21">
        <v>0.20001116129032301</v>
      </c>
      <c r="CF21">
        <v>26.467641935483901</v>
      </c>
      <c r="CG21">
        <v>27.011593548387101</v>
      </c>
      <c r="CH21">
        <v>999.9</v>
      </c>
      <c r="CI21">
        <v>9992.8854838709703</v>
      </c>
      <c r="CJ21">
        <v>0</v>
      </c>
      <c r="CK21">
        <v>338.55200000000002</v>
      </c>
      <c r="CL21">
        <v>2199.9951612903201</v>
      </c>
      <c r="CM21">
        <v>0.98199358064516096</v>
      </c>
      <c r="CN21">
        <v>1.80060903225806E-2</v>
      </c>
      <c r="CO21">
        <v>0</v>
      </c>
      <c r="CP21">
        <v>258.12929032258103</v>
      </c>
      <c r="CQ21">
        <v>5.00054</v>
      </c>
      <c r="CR21">
        <v>8166.7625806451597</v>
      </c>
      <c r="CS21">
        <v>20590.435483870999</v>
      </c>
      <c r="CT21">
        <v>48.878935483870997</v>
      </c>
      <c r="CU21">
        <v>51.05</v>
      </c>
      <c r="CV21">
        <v>49.342483870967698</v>
      </c>
      <c r="CW21">
        <v>49.7195161290323</v>
      </c>
      <c r="CX21">
        <v>50.213354838709698</v>
      </c>
      <c r="CY21">
        <v>2155.4741935483898</v>
      </c>
      <c r="CZ21">
        <v>39.5209677419355</v>
      </c>
      <c r="DA21">
        <v>0</v>
      </c>
      <c r="DB21">
        <v>116.5</v>
      </c>
      <c r="DC21">
        <v>258.13335999999998</v>
      </c>
      <c r="DD21">
        <v>0.134153846007769</v>
      </c>
      <c r="DE21">
        <v>-1.7292307222419201</v>
      </c>
      <c r="DF21">
        <v>8166.6772000000001</v>
      </c>
      <c r="DG21">
        <v>15</v>
      </c>
      <c r="DH21">
        <v>1596819108.5</v>
      </c>
      <c r="DI21" t="s">
        <v>308</v>
      </c>
      <c r="DJ21">
        <v>34</v>
      </c>
      <c r="DK21">
        <v>-0.29299999999999998</v>
      </c>
      <c r="DL21">
        <v>0.113</v>
      </c>
      <c r="DM21">
        <v>50</v>
      </c>
      <c r="DN21">
        <v>17</v>
      </c>
      <c r="DO21">
        <v>0.44</v>
      </c>
      <c r="DP21">
        <v>0.03</v>
      </c>
      <c r="DQ21">
        <v>49.689530769230799</v>
      </c>
      <c r="DR21">
        <v>-0.123492529667891</v>
      </c>
      <c r="DS21">
        <v>1.7681145308160499E-2</v>
      </c>
      <c r="DT21">
        <v>1</v>
      </c>
      <c r="DU21">
        <v>19.063773076923098</v>
      </c>
      <c r="DV21">
        <v>0.109173055579267</v>
      </c>
      <c r="DW21">
        <v>1.36835543541624E-2</v>
      </c>
      <c r="DX21">
        <v>1</v>
      </c>
      <c r="DY21">
        <v>2</v>
      </c>
      <c r="DZ21">
        <v>2</v>
      </c>
      <c r="EA21" t="s">
        <v>283</v>
      </c>
      <c r="EB21">
        <v>1.86676</v>
      </c>
      <c r="EC21">
        <v>1.8632500000000001</v>
      </c>
      <c r="ED21">
        <v>1.86894</v>
      </c>
      <c r="EE21">
        <v>1.86686</v>
      </c>
      <c r="EF21">
        <v>1.87151</v>
      </c>
      <c r="EG21">
        <v>1.8640099999999999</v>
      </c>
      <c r="EH21">
        <v>1.8655900000000001</v>
      </c>
      <c r="EI21">
        <v>1.86554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-0.29299999999999998</v>
      </c>
      <c r="EX21">
        <v>0.113</v>
      </c>
      <c r="EY21">
        <v>2</v>
      </c>
      <c r="EZ21">
        <v>339.351</v>
      </c>
      <c r="FA21">
        <v>502.86700000000002</v>
      </c>
      <c r="FB21">
        <v>20.236799999999999</v>
      </c>
      <c r="FC21">
        <v>32.844000000000001</v>
      </c>
      <c r="FD21">
        <v>30.000399999999999</v>
      </c>
      <c r="FE21">
        <v>32.835000000000001</v>
      </c>
      <c r="FF21">
        <v>32.838000000000001</v>
      </c>
      <c r="FG21">
        <v>5.7378299999999998</v>
      </c>
      <c r="FH21">
        <v>38.508600000000001</v>
      </c>
      <c r="FI21">
        <v>0</v>
      </c>
      <c r="FJ21">
        <v>20.229399999999998</v>
      </c>
      <c r="FK21">
        <v>50</v>
      </c>
      <c r="FL21">
        <v>16.543399999999998</v>
      </c>
      <c r="FM21">
        <v>100.9</v>
      </c>
      <c r="FN21">
        <v>101.39400000000001</v>
      </c>
    </row>
    <row r="22" spans="1:170" x14ac:dyDescent="0.25">
      <c r="A22">
        <v>6</v>
      </c>
      <c r="B22">
        <v>1596819200</v>
      </c>
      <c r="C22">
        <v>601</v>
      </c>
      <c r="D22" t="s">
        <v>309</v>
      </c>
      <c r="E22" t="s">
        <v>310</v>
      </c>
      <c r="G22">
        <v>1596819192.0032301</v>
      </c>
      <c r="H22">
        <f t="shared" si="0"/>
        <v>6.9803587362941878E-3</v>
      </c>
      <c r="I22">
        <f t="shared" si="1"/>
        <v>32.243692340458139</v>
      </c>
      <c r="J22">
        <f t="shared" si="2"/>
        <v>386.016903225806</v>
      </c>
      <c r="K22">
        <f t="shared" si="3"/>
        <v>252.33261036227407</v>
      </c>
      <c r="L22">
        <f t="shared" si="4"/>
        <v>25.220694335007099</v>
      </c>
      <c r="M22">
        <f t="shared" si="5"/>
        <v>38.582465858957519</v>
      </c>
      <c r="N22">
        <f t="shared" si="6"/>
        <v>0.43775096944847597</v>
      </c>
      <c r="O22">
        <f t="shared" si="7"/>
        <v>3.3963646747287743</v>
      </c>
      <c r="P22">
        <f t="shared" si="8"/>
        <v>0.40864843996871741</v>
      </c>
      <c r="Q22">
        <f t="shared" si="9"/>
        <v>0.25785861527980303</v>
      </c>
      <c r="R22">
        <f t="shared" si="10"/>
        <v>353.33790695010669</v>
      </c>
      <c r="S22">
        <f t="shared" si="11"/>
        <v>26.894203938193129</v>
      </c>
      <c r="T22">
        <f t="shared" si="12"/>
        <v>26.996903225806399</v>
      </c>
      <c r="U22">
        <f t="shared" si="13"/>
        <v>3.5785087625428305</v>
      </c>
      <c r="V22">
        <f t="shared" si="14"/>
        <v>54.672875288392696</v>
      </c>
      <c r="W22">
        <f t="shared" si="15"/>
        <v>1.9181477939616698</v>
      </c>
      <c r="X22">
        <f t="shared" si="16"/>
        <v>3.508408481982475</v>
      </c>
      <c r="Y22">
        <f t="shared" si="17"/>
        <v>1.6603609685811607</v>
      </c>
      <c r="Z22">
        <f t="shared" si="18"/>
        <v>-307.83382027057371</v>
      </c>
      <c r="AA22">
        <f t="shared" si="19"/>
        <v>-61.598821515252695</v>
      </c>
      <c r="AB22">
        <f t="shared" si="20"/>
        <v>-3.9074103634352704</v>
      </c>
      <c r="AC22">
        <f t="shared" si="21"/>
        <v>-20.002145199154967</v>
      </c>
      <c r="AD22">
        <v>-4.1391406776696497E-2</v>
      </c>
      <c r="AE22">
        <v>4.6465480193230199E-2</v>
      </c>
      <c r="AF22">
        <v>3.4689993414490998</v>
      </c>
      <c r="AG22">
        <v>143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52838.954911160225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255.76787999999999</v>
      </c>
      <c r="AT22">
        <v>352.012</v>
      </c>
      <c r="AU22">
        <f t="shared" si="27"/>
        <v>0.2734114746088202</v>
      </c>
      <c r="AV22">
        <v>0.5</v>
      </c>
      <c r="AW22">
        <f t="shared" si="28"/>
        <v>1849.1829287412386</v>
      </c>
      <c r="AX22">
        <f t="shared" si="29"/>
        <v>32.243692340458139</v>
      </c>
      <c r="AY22">
        <f t="shared" si="30"/>
        <v>252.79391568429946</v>
      </c>
      <c r="AZ22">
        <f t="shared" si="31"/>
        <v>0.4970057838937309</v>
      </c>
      <c r="BA22">
        <f t="shared" si="32"/>
        <v>1.7977503373929331E-2</v>
      </c>
      <c r="BB22">
        <f t="shared" si="33"/>
        <v>-1</v>
      </c>
      <c r="BC22" t="s">
        <v>312</v>
      </c>
      <c r="BD22">
        <v>177.06</v>
      </c>
      <c r="BE22">
        <f t="shared" si="34"/>
        <v>174.952</v>
      </c>
      <c r="BF22">
        <f t="shared" si="35"/>
        <v>0.55011728931364035</v>
      </c>
      <c r="BG22">
        <f t="shared" si="36"/>
        <v>1.9880944312662374</v>
      </c>
      <c r="BH22">
        <f t="shared" si="37"/>
        <v>0.2734114746088202</v>
      </c>
      <c r="BI22" t="e">
        <f t="shared" si="38"/>
        <v>#DIV/0!</v>
      </c>
      <c r="BJ22">
        <v>5769</v>
      </c>
      <c r="BK22">
        <v>300</v>
      </c>
      <c r="BL22">
        <v>300</v>
      </c>
      <c r="BM22">
        <v>300</v>
      </c>
      <c r="BN22">
        <v>9870.3799999999992</v>
      </c>
      <c r="BO22">
        <v>321.964</v>
      </c>
      <c r="BP22">
        <v>-6.4018E-3</v>
      </c>
      <c r="BQ22">
        <v>0.73654200000000003</v>
      </c>
      <c r="BR22">
        <f t="shared" si="39"/>
        <v>2199.9967741935502</v>
      </c>
      <c r="BS22">
        <f t="shared" si="40"/>
        <v>1849.1829287412386</v>
      </c>
      <c r="BT22">
        <f t="shared" si="41"/>
        <v>0.84053892734415081</v>
      </c>
      <c r="BU22">
        <f t="shared" si="42"/>
        <v>0.19107785468830177</v>
      </c>
      <c r="BV22">
        <v>0.5</v>
      </c>
      <c r="BW22" t="s">
        <v>281</v>
      </c>
      <c r="BX22">
        <v>1596819192.0032301</v>
      </c>
      <c r="BY22">
        <v>386.016903225806</v>
      </c>
      <c r="BZ22">
        <v>399.990064516129</v>
      </c>
      <c r="CA22">
        <v>19.191035483871001</v>
      </c>
      <c r="CB22">
        <v>16.452893548387099</v>
      </c>
      <c r="CC22">
        <v>500.07622580645199</v>
      </c>
      <c r="CD22">
        <v>99.750212903225801</v>
      </c>
      <c r="CE22">
        <v>0.199984967741935</v>
      </c>
      <c r="CF22">
        <v>26.6604903225806</v>
      </c>
      <c r="CG22">
        <v>26.996903225806399</v>
      </c>
      <c r="CH22">
        <v>999.9</v>
      </c>
      <c r="CI22">
        <v>10006.734516129</v>
      </c>
      <c r="CJ22">
        <v>0</v>
      </c>
      <c r="CK22">
        <v>342.49158064516098</v>
      </c>
      <c r="CL22">
        <v>2199.9967741935502</v>
      </c>
      <c r="CM22">
        <v>0.98199383870967705</v>
      </c>
      <c r="CN22">
        <v>1.8005819354838699E-2</v>
      </c>
      <c r="CO22">
        <v>0</v>
      </c>
      <c r="CP22">
        <v>255.743032258065</v>
      </c>
      <c r="CQ22">
        <v>5.00054</v>
      </c>
      <c r="CR22">
        <v>8147.3412903225799</v>
      </c>
      <c r="CS22">
        <v>20590.4774193548</v>
      </c>
      <c r="CT22">
        <v>48.901000000000003</v>
      </c>
      <c r="CU22">
        <v>51.033999999999999</v>
      </c>
      <c r="CV22">
        <v>49.346548387096803</v>
      </c>
      <c r="CW22">
        <v>49.753870967741904</v>
      </c>
      <c r="CX22">
        <v>50.247741935483901</v>
      </c>
      <c r="CY22">
        <v>2155.47548387097</v>
      </c>
      <c r="CZ22">
        <v>39.521290322580597</v>
      </c>
      <c r="DA22">
        <v>0</v>
      </c>
      <c r="DB22">
        <v>120.200000047684</v>
      </c>
      <c r="DC22">
        <v>255.76787999999999</v>
      </c>
      <c r="DD22">
        <v>-0.59576924174290802</v>
      </c>
      <c r="DE22">
        <v>5.70769237852054</v>
      </c>
      <c r="DF22">
        <v>8147.2736000000004</v>
      </c>
      <c r="DG22">
        <v>15</v>
      </c>
      <c r="DH22">
        <v>1596819231</v>
      </c>
      <c r="DI22" t="s">
        <v>313</v>
      </c>
      <c r="DJ22">
        <v>35</v>
      </c>
      <c r="DK22">
        <v>-0.34100000000000003</v>
      </c>
      <c r="DL22">
        <v>0.107</v>
      </c>
      <c r="DM22">
        <v>400</v>
      </c>
      <c r="DN22">
        <v>16</v>
      </c>
      <c r="DO22">
        <v>0.2</v>
      </c>
      <c r="DP22">
        <v>0.03</v>
      </c>
      <c r="DQ22">
        <v>386.07803846153797</v>
      </c>
      <c r="DR22">
        <v>-0.124415097968205</v>
      </c>
      <c r="DS22">
        <v>2.1076747612971999E-2</v>
      </c>
      <c r="DT22">
        <v>1</v>
      </c>
      <c r="DU22">
        <v>19.192109615384599</v>
      </c>
      <c r="DV22">
        <v>5.91023847977191E-2</v>
      </c>
      <c r="DW22">
        <v>7.8470293157882395E-3</v>
      </c>
      <c r="DX22">
        <v>1</v>
      </c>
      <c r="DY22">
        <v>2</v>
      </c>
      <c r="DZ22">
        <v>2</v>
      </c>
      <c r="EA22" t="s">
        <v>283</v>
      </c>
      <c r="EB22">
        <v>1.8667499999999999</v>
      </c>
      <c r="EC22">
        <v>1.8632500000000001</v>
      </c>
      <c r="ED22">
        <v>1.86894</v>
      </c>
      <c r="EE22">
        <v>1.8668899999999999</v>
      </c>
      <c r="EF22">
        <v>1.8715599999999999</v>
      </c>
      <c r="EG22">
        <v>1.8640099999999999</v>
      </c>
      <c r="EH22">
        <v>1.8655999999999999</v>
      </c>
      <c r="EI22">
        <v>1.86554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-0.34100000000000003</v>
      </c>
      <c r="EX22">
        <v>0.107</v>
      </c>
      <c r="EY22">
        <v>2</v>
      </c>
      <c r="EZ22">
        <v>339.37299999999999</v>
      </c>
      <c r="FA22">
        <v>503.346</v>
      </c>
      <c r="FB22">
        <v>20.838799999999999</v>
      </c>
      <c r="FC22">
        <v>32.8934</v>
      </c>
      <c r="FD22">
        <v>30.000399999999999</v>
      </c>
      <c r="FE22">
        <v>32.896799999999999</v>
      </c>
      <c r="FF22">
        <v>32.900700000000001</v>
      </c>
      <c r="FG22">
        <v>22.113900000000001</v>
      </c>
      <c r="FH22">
        <v>39.698900000000002</v>
      </c>
      <c r="FI22">
        <v>0</v>
      </c>
      <c r="FJ22">
        <v>20.833500000000001</v>
      </c>
      <c r="FK22">
        <v>400</v>
      </c>
      <c r="FL22">
        <v>16.527000000000001</v>
      </c>
      <c r="FM22">
        <v>100.895</v>
      </c>
      <c r="FN22">
        <v>101.39</v>
      </c>
    </row>
    <row r="23" spans="1:170" x14ac:dyDescent="0.25">
      <c r="A23">
        <v>7</v>
      </c>
      <c r="B23">
        <v>1596819322.5</v>
      </c>
      <c r="C23">
        <v>723.5</v>
      </c>
      <c r="D23" t="s">
        <v>314</v>
      </c>
      <c r="E23" t="s">
        <v>315</v>
      </c>
      <c r="G23">
        <v>1596819314.5</v>
      </c>
      <c r="H23">
        <f t="shared" si="0"/>
        <v>6.7348754518471434E-3</v>
      </c>
      <c r="I23">
        <f t="shared" si="1"/>
        <v>33.260858435318148</v>
      </c>
      <c r="J23">
        <f t="shared" si="2"/>
        <v>385.678258064516</v>
      </c>
      <c r="K23">
        <f t="shared" si="3"/>
        <v>244.41204048274693</v>
      </c>
      <c r="L23">
        <f t="shared" si="4"/>
        <v>24.429309681134789</v>
      </c>
      <c r="M23">
        <f t="shared" si="5"/>
        <v>38.549056686934257</v>
      </c>
      <c r="N23">
        <f t="shared" si="6"/>
        <v>0.42448048200734806</v>
      </c>
      <c r="O23">
        <f t="shared" si="7"/>
        <v>3.3942821795694851</v>
      </c>
      <c r="P23">
        <f t="shared" si="8"/>
        <v>0.39704076800106547</v>
      </c>
      <c r="Q23">
        <f t="shared" si="9"/>
        <v>0.25046786756999506</v>
      </c>
      <c r="R23">
        <f t="shared" si="10"/>
        <v>353.33505436066355</v>
      </c>
      <c r="S23">
        <f t="shared" si="11"/>
        <v>27.013544470696441</v>
      </c>
      <c r="T23">
        <f t="shared" si="12"/>
        <v>27.0435709677419</v>
      </c>
      <c r="U23">
        <f t="shared" si="13"/>
        <v>3.5883291091116081</v>
      </c>
      <c r="V23">
        <f t="shared" si="14"/>
        <v>55.082633859973775</v>
      </c>
      <c r="W23">
        <f t="shared" si="15"/>
        <v>1.9397723199931254</v>
      </c>
      <c r="X23">
        <f t="shared" si="16"/>
        <v>3.5215678410081912</v>
      </c>
      <c r="Y23">
        <f t="shared" si="17"/>
        <v>1.6485567891184827</v>
      </c>
      <c r="Z23">
        <f t="shared" si="18"/>
        <v>-297.00800742645902</v>
      </c>
      <c r="AA23">
        <f t="shared" si="19"/>
        <v>-58.463165313749556</v>
      </c>
      <c r="AB23">
        <f t="shared" si="20"/>
        <v>-3.712828204926705</v>
      </c>
      <c r="AC23">
        <f t="shared" si="21"/>
        <v>-5.8489465844717472</v>
      </c>
      <c r="AD23">
        <v>-4.1359144321640597E-2</v>
      </c>
      <c r="AE23">
        <v>4.6429262761083598E-2</v>
      </c>
      <c r="AF23">
        <v>3.4668602313338801</v>
      </c>
      <c r="AG23">
        <v>143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52788.276401645962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256.39139999999998</v>
      </c>
      <c r="AT23">
        <v>362.52199999999999</v>
      </c>
      <c r="AU23">
        <f t="shared" si="27"/>
        <v>0.29275630168651834</v>
      </c>
      <c r="AV23">
        <v>0.5</v>
      </c>
      <c r="AW23">
        <f t="shared" si="28"/>
        <v>1849.1682577735028</v>
      </c>
      <c r="AX23">
        <f t="shared" si="29"/>
        <v>33.260858435318148</v>
      </c>
      <c r="AY23">
        <f t="shared" si="30"/>
        <v>270.67783017093655</v>
      </c>
      <c r="AZ23">
        <f t="shared" si="31"/>
        <v>0.51931193141381771</v>
      </c>
      <c r="BA23">
        <f t="shared" si="32"/>
        <v>1.8527712819692271E-2</v>
      </c>
      <c r="BB23">
        <f t="shared" si="33"/>
        <v>-1</v>
      </c>
      <c r="BC23" t="s">
        <v>317</v>
      </c>
      <c r="BD23">
        <v>174.26</v>
      </c>
      <c r="BE23">
        <f t="shared" si="34"/>
        <v>188.262</v>
      </c>
      <c r="BF23">
        <f t="shared" si="35"/>
        <v>0.56373883205320252</v>
      </c>
      <c r="BG23">
        <f t="shared" si="36"/>
        <v>2.0803511993572821</v>
      </c>
      <c r="BH23">
        <f t="shared" si="37"/>
        <v>0.29275630168651839</v>
      </c>
      <c r="BI23" t="e">
        <f t="shared" si="38"/>
        <v>#DIV/0!</v>
      </c>
      <c r="BJ23">
        <v>5771</v>
      </c>
      <c r="BK23">
        <v>300</v>
      </c>
      <c r="BL23">
        <v>300</v>
      </c>
      <c r="BM23">
        <v>300</v>
      </c>
      <c r="BN23">
        <v>9869.5400000000009</v>
      </c>
      <c r="BO23">
        <v>327.178</v>
      </c>
      <c r="BP23">
        <v>-6.4011800000000002E-3</v>
      </c>
      <c r="BQ23">
        <v>0.46496599999999999</v>
      </c>
      <c r="BR23">
        <f t="shared" si="39"/>
        <v>2199.9793548387102</v>
      </c>
      <c r="BS23">
        <f t="shared" si="40"/>
        <v>1849.1682577735028</v>
      </c>
      <c r="BT23">
        <f t="shared" si="41"/>
        <v>0.84053891401588776</v>
      </c>
      <c r="BU23">
        <f t="shared" si="42"/>
        <v>0.19107782803177564</v>
      </c>
      <c r="BV23">
        <v>0.5</v>
      </c>
      <c r="BW23" t="s">
        <v>281</v>
      </c>
      <c r="BX23">
        <v>1596819314.5</v>
      </c>
      <c r="BY23">
        <v>385.678258064516</v>
      </c>
      <c r="BZ23">
        <v>400.01935483871</v>
      </c>
      <c r="CA23">
        <v>19.407167741935499</v>
      </c>
      <c r="CB23">
        <v>16.7659129032258</v>
      </c>
      <c r="CC23">
        <v>500.07825806451598</v>
      </c>
      <c r="CD23">
        <v>99.751341935483893</v>
      </c>
      <c r="CE23">
        <v>0.19999283870967699</v>
      </c>
      <c r="CF23">
        <v>26.724087096774198</v>
      </c>
      <c r="CG23">
        <v>27.0435709677419</v>
      </c>
      <c r="CH23">
        <v>999.9</v>
      </c>
      <c r="CI23">
        <v>9998.8216129032298</v>
      </c>
      <c r="CJ23">
        <v>0</v>
      </c>
      <c r="CK23">
        <v>344.01048387096802</v>
      </c>
      <c r="CL23">
        <v>2199.9793548387102</v>
      </c>
      <c r="CM23">
        <v>0.98199558064516201</v>
      </c>
      <c r="CN23">
        <v>1.8004174193548401E-2</v>
      </c>
      <c r="CO23">
        <v>0</v>
      </c>
      <c r="CP23">
        <v>256.364709677419</v>
      </c>
      <c r="CQ23">
        <v>5.00054</v>
      </c>
      <c r="CR23">
        <v>8169.5341935483902</v>
      </c>
      <c r="CS23">
        <v>20590.325806451601</v>
      </c>
      <c r="CT23">
        <v>49.106612903225802</v>
      </c>
      <c r="CU23">
        <v>51.241741935483901</v>
      </c>
      <c r="CV23">
        <v>49.53</v>
      </c>
      <c r="CW23">
        <v>49.971483870967703</v>
      </c>
      <c r="CX23">
        <v>50.455483870967697</v>
      </c>
      <c r="CY23">
        <v>2155.4593548387102</v>
      </c>
      <c r="CZ23">
        <v>39.520000000000003</v>
      </c>
      <c r="DA23">
        <v>0</v>
      </c>
      <c r="DB23">
        <v>122</v>
      </c>
      <c r="DC23">
        <v>256.39139999999998</v>
      </c>
      <c r="DD23">
        <v>0.488153849467371</v>
      </c>
      <c r="DE23">
        <v>12.386153653481401</v>
      </c>
      <c r="DF23">
        <v>8170.2443999999996</v>
      </c>
      <c r="DG23">
        <v>15</v>
      </c>
      <c r="DH23">
        <v>1596819349.5</v>
      </c>
      <c r="DI23" t="s">
        <v>318</v>
      </c>
      <c r="DJ23">
        <v>36</v>
      </c>
      <c r="DK23">
        <v>-0.35799999999999998</v>
      </c>
      <c r="DL23">
        <v>0.114</v>
      </c>
      <c r="DM23">
        <v>400</v>
      </c>
      <c r="DN23">
        <v>17</v>
      </c>
      <c r="DO23">
        <v>0.23</v>
      </c>
      <c r="DP23">
        <v>0.03</v>
      </c>
      <c r="DQ23">
        <v>385.70388461538499</v>
      </c>
      <c r="DR23">
        <v>-5.9308460684676503E-2</v>
      </c>
      <c r="DS23">
        <v>1.71191007201742E-2</v>
      </c>
      <c r="DT23">
        <v>1</v>
      </c>
      <c r="DU23">
        <v>19.3983538461538</v>
      </c>
      <c r="DV23">
        <v>1.5803978485438901E-2</v>
      </c>
      <c r="DW23">
        <v>5.2695592261467802E-3</v>
      </c>
      <c r="DX23">
        <v>1</v>
      </c>
      <c r="DY23">
        <v>2</v>
      </c>
      <c r="DZ23">
        <v>2</v>
      </c>
      <c r="EA23" t="s">
        <v>283</v>
      </c>
      <c r="EB23">
        <v>1.8666700000000001</v>
      </c>
      <c r="EC23">
        <v>1.8632500000000001</v>
      </c>
      <c r="ED23">
        <v>1.8689</v>
      </c>
      <c r="EE23">
        <v>1.8667800000000001</v>
      </c>
      <c r="EF23">
        <v>1.8714900000000001</v>
      </c>
      <c r="EG23">
        <v>1.8640000000000001</v>
      </c>
      <c r="EH23">
        <v>1.86554</v>
      </c>
      <c r="EI23">
        <v>1.8655200000000001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-0.35799999999999998</v>
      </c>
      <c r="EX23">
        <v>0.114</v>
      </c>
      <c r="EY23">
        <v>2</v>
      </c>
      <c r="EZ23">
        <v>339.012</v>
      </c>
      <c r="FA23">
        <v>502.82299999999998</v>
      </c>
      <c r="FB23">
        <v>19.663699999999999</v>
      </c>
      <c r="FC23">
        <v>32.995199999999997</v>
      </c>
      <c r="FD23">
        <v>30.000599999999999</v>
      </c>
      <c r="FE23">
        <v>32.986600000000003</v>
      </c>
      <c r="FF23">
        <v>32.992800000000003</v>
      </c>
      <c r="FG23">
        <v>22.114000000000001</v>
      </c>
      <c r="FH23">
        <v>38.008800000000001</v>
      </c>
      <c r="FI23">
        <v>0</v>
      </c>
      <c r="FJ23">
        <v>19.662199999999999</v>
      </c>
      <c r="FK23">
        <v>400</v>
      </c>
      <c r="FL23">
        <v>16.7834</v>
      </c>
      <c r="FM23">
        <v>100.876</v>
      </c>
      <c r="FN23">
        <v>101.36499999999999</v>
      </c>
    </row>
    <row r="24" spans="1:170" x14ac:dyDescent="0.25">
      <c r="A24">
        <v>8</v>
      </c>
      <c r="B24">
        <v>1596819471</v>
      </c>
      <c r="C24">
        <v>872</v>
      </c>
      <c r="D24" t="s">
        <v>319</v>
      </c>
      <c r="E24" t="s">
        <v>320</v>
      </c>
      <c r="G24">
        <v>1596819463</v>
      </c>
      <c r="H24">
        <f t="shared" si="0"/>
        <v>5.7819053598677532E-3</v>
      </c>
      <c r="I24">
        <f t="shared" si="1"/>
        <v>37.302628314550347</v>
      </c>
      <c r="J24">
        <f t="shared" si="2"/>
        <v>483.956677419355</v>
      </c>
      <c r="K24">
        <f t="shared" si="3"/>
        <v>297.56110888363827</v>
      </c>
      <c r="L24">
        <f t="shared" si="4"/>
        <v>29.741534915037636</v>
      </c>
      <c r="M24">
        <f t="shared" si="5"/>
        <v>48.371961217761147</v>
      </c>
      <c r="N24">
        <f t="shared" si="6"/>
        <v>0.35649158300336664</v>
      </c>
      <c r="O24">
        <f t="shared" si="7"/>
        <v>3.395369341901886</v>
      </c>
      <c r="P24">
        <f t="shared" si="8"/>
        <v>0.33692638634043393</v>
      </c>
      <c r="Q24">
        <f t="shared" si="9"/>
        <v>0.21224731662919444</v>
      </c>
      <c r="R24">
        <f t="shared" si="10"/>
        <v>353.33737112642859</v>
      </c>
      <c r="S24">
        <f t="shared" si="11"/>
        <v>26.954862636286915</v>
      </c>
      <c r="T24">
        <f t="shared" si="12"/>
        <v>27.011548387096799</v>
      </c>
      <c r="U24">
        <f t="shared" si="13"/>
        <v>3.5815880315983919</v>
      </c>
      <c r="V24">
        <f t="shared" si="14"/>
        <v>55.222895631641933</v>
      </c>
      <c r="W24">
        <f t="shared" si="15"/>
        <v>1.9135047946524038</v>
      </c>
      <c r="X24">
        <f t="shared" si="16"/>
        <v>3.4650569709640378</v>
      </c>
      <c r="Y24">
        <f t="shared" si="17"/>
        <v>1.6680832369459881</v>
      </c>
      <c r="Z24">
        <f t="shared" si="18"/>
        <v>-254.98202637016792</v>
      </c>
      <c r="AA24">
        <f t="shared" si="19"/>
        <v>-102.88419520327044</v>
      </c>
      <c r="AB24">
        <f t="shared" si="20"/>
        <v>-6.5217799915128003</v>
      </c>
      <c r="AC24">
        <f t="shared" si="21"/>
        <v>-11.05063043852256</v>
      </c>
      <c r="AD24">
        <v>-4.1375985754745902E-2</v>
      </c>
      <c r="AE24">
        <v>4.6448168745134903E-2</v>
      </c>
      <c r="AF24">
        <v>3.4679769474305999</v>
      </c>
      <c r="AG24">
        <v>143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52857.310062889686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262.02816000000001</v>
      </c>
      <c r="AT24">
        <v>375.25299999999999</v>
      </c>
      <c r="AU24">
        <f t="shared" si="27"/>
        <v>0.30172933993865469</v>
      </c>
      <c r="AV24">
        <v>0.5</v>
      </c>
      <c r="AW24">
        <f t="shared" si="28"/>
        <v>1849.1804513218899</v>
      </c>
      <c r="AX24">
        <f t="shared" si="29"/>
        <v>37.302628314550347</v>
      </c>
      <c r="AY24">
        <f t="shared" si="30"/>
        <v>278.97599850240874</v>
      </c>
      <c r="AZ24">
        <f t="shared" si="31"/>
        <v>0.51504718150154694</v>
      </c>
      <c r="BA24">
        <f t="shared" si="32"/>
        <v>2.0713299390099894E-2</v>
      </c>
      <c r="BB24">
        <f t="shared" si="33"/>
        <v>-1</v>
      </c>
      <c r="BC24" t="s">
        <v>322</v>
      </c>
      <c r="BD24">
        <v>181.98</v>
      </c>
      <c r="BE24">
        <f t="shared" si="34"/>
        <v>193.273</v>
      </c>
      <c r="BF24">
        <f t="shared" si="35"/>
        <v>0.5858285430453295</v>
      </c>
      <c r="BG24">
        <f t="shared" si="36"/>
        <v>2.0620562699197715</v>
      </c>
      <c r="BH24">
        <f t="shared" si="37"/>
        <v>0.30172933993865464</v>
      </c>
      <c r="BI24" t="e">
        <f t="shared" si="38"/>
        <v>#DIV/0!</v>
      </c>
      <c r="BJ24">
        <v>5773</v>
      </c>
      <c r="BK24">
        <v>300</v>
      </c>
      <c r="BL24">
        <v>300</v>
      </c>
      <c r="BM24">
        <v>300</v>
      </c>
      <c r="BN24">
        <v>9869.58</v>
      </c>
      <c r="BO24">
        <v>340.13200000000001</v>
      </c>
      <c r="BP24">
        <v>-6.40108E-3</v>
      </c>
      <c r="BQ24">
        <v>0.57601899999999995</v>
      </c>
      <c r="BR24">
        <f t="shared" si="39"/>
        <v>2199.9938709677399</v>
      </c>
      <c r="BS24">
        <f t="shared" si="40"/>
        <v>1849.1804513218899</v>
      </c>
      <c r="BT24">
        <f t="shared" si="41"/>
        <v>0.84053891045999451</v>
      </c>
      <c r="BU24">
        <f t="shared" si="42"/>
        <v>0.19107782091998904</v>
      </c>
      <c r="BV24">
        <v>0.5</v>
      </c>
      <c r="BW24" t="s">
        <v>281</v>
      </c>
      <c r="BX24">
        <v>1596819463</v>
      </c>
      <c r="BY24">
        <v>483.956677419355</v>
      </c>
      <c r="BZ24">
        <v>499.994483870968</v>
      </c>
      <c r="CA24">
        <v>19.144425806451601</v>
      </c>
      <c r="CB24">
        <v>16.876296774193499</v>
      </c>
      <c r="CC24">
        <v>500.07861290322597</v>
      </c>
      <c r="CD24">
        <v>99.751000000000005</v>
      </c>
      <c r="CE24">
        <v>0.20001519354838701</v>
      </c>
      <c r="CF24">
        <v>26.449496774193499</v>
      </c>
      <c r="CG24">
        <v>27.011548387096799</v>
      </c>
      <c r="CH24">
        <v>999.9</v>
      </c>
      <c r="CI24">
        <v>10002.927419354801</v>
      </c>
      <c r="CJ24">
        <v>0</v>
      </c>
      <c r="CK24">
        <v>347.25419354838698</v>
      </c>
      <c r="CL24">
        <v>2199.9938709677399</v>
      </c>
      <c r="CM24">
        <v>0.98199509677419405</v>
      </c>
      <c r="CN24">
        <v>1.8004529032258101E-2</v>
      </c>
      <c r="CO24">
        <v>0</v>
      </c>
      <c r="CP24">
        <v>262.07041935483898</v>
      </c>
      <c r="CQ24">
        <v>5.00054</v>
      </c>
      <c r="CR24">
        <v>8302.0451612903198</v>
      </c>
      <c r="CS24">
        <v>20590.445161290299</v>
      </c>
      <c r="CT24">
        <v>49.205322580645202</v>
      </c>
      <c r="CU24">
        <v>51.418999999999997</v>
      </c>
      <c r="CV24">
        <v>49.667064516129003</v>
      </c>
      <c r="CW24">
        <v>50.1106451612903</v>
      </c>
      <c r="CX24">
        <v>50.554129032257997</v>
      </c>
      <c r="CY24">
        <v>2155.4738709677399</v>
      </c>
      <c r="CZ24">
        <v>39.520000000000003</v>
      </c>
      <c r="DA24">
        <v>0</v>
      </c>
      <c r="DB24">
        <v>147.799999952316</v>
      </c>
      <c r="DC24">
        <v>262.02816000000001</v>
      </c>
      <c r="DD24">
        <v>-0.763307689419776</v>
      </c>
      <c r="DE24">
        <v>-29.6484615027545</v>
      </c>
      <c r="DF24">
        <v>8300.3392000000003</v>
      </c>
      <c r="DG24">
        <v>15</v>
      </c>
      <c r="DH24">
        <v>1596819498.5</v>
      </c>
      <c r="DI24" t="s">
        <v>323</v>
      </c>
      <c r="DJ24">
        <v>37</v>
      </c>
      <c r="DK24">
        <v>-0.312</v>
      </c>
      <c r="DL24">
        <v>0.114</v>
      </c>
      <c r="DM24">
        <v>500</v>
      </c>
      <c r="DN24">
        <v>17</v>
      </c>
      <c r="DO24">
        <v>0.19</v>
      </c>
      <c r="DP24">
        <v>0.04</v>
      </c>
      <c r="DQ24">
        <v>483.85061538461503</v>
      </c>
      <c r="DR24">
        <v>0.60390335524636296</v>
      </c>
      <c r="DS24">
        <v>7.7773871884645102E-2</v>
      </c>
      <c r="DT24">
        <v>0</v>
      </c>
      <c r="DU24">
        <v>19.1624442307692</v>
      </c>
      <c r="DV24">
        <v>-0.18664338768889399</v>
      </c>
      <c r="DW24">
        <v>2.34093046380935E-2</v>
      </c>
      <c r="DX24">
        <v>1</v>
      </c>
      <c r="DY24">
        <v>1</v>
      </c>
      <c r="DZ24">
        <v>2</v>
      </c>
      <c r="EA24" t="s">
        <v>303</v>
      </c>
      <c r="EB24">
        <v>1.86676</v>
      </c>
      <c r="EC24">
        <v>1.8632500000000001</v>
      </c>
      <c r="ED24">
        <v>1.8689</v>
      </c>
      <c r="EE24">
        <v>1.8668400000000001</v>
      </c>
      <c r="EF24">
        <v>1.8714900000000001</v>
      </c>
      <c r="EG24">
        <v>1.8640099999999999</v>
      </c>
      <c r="EH24">
        <v>1.86557</v>
      </c>
      <c r="EI24">
        <v>1.86554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-0.312</v>
      </c>
      <c r="EX24">
        <v>0.114</v>
      </c>
      <c r="EY24">
        <v>2</v>
      </c>
      <c r="EZ24">
        <v>338.81299999999999</v>
      </c>
      <c r="FA24">
        <v>501.666</v>
      </c>
      <c r="FB24">
        <v>19.731999999999999</v>
      </c>
      <c r="FC24">
        <v>33.179099999999998</v>
      </c>
      <c r="FD24">
        <v>30.000399999999999</v>
      </c>
      <c r="FE24">
        <v>33.134300000000003</v>
      </c>
      <c r="FF24">
        <v>33.133499999999998</v>
      </c>
      <c r="FG24">
        <v>26.4068</v>
      </c>
      <c r="FH24">
        <v>38.194600000000001</v>
      </c>
      <c r="FI24">
        <v>0</v>
      </c>
      <c r="FJ24">
        <v>19.728200000000001</v>
      </c>
      <c r="FK24">
        <v>500</v>
      </c>
      <c r="FL24">
        <v>16.819600000000001</v>
      </c>
      <c r="FM24">
        <v>100.854</v>
      </c>
      <c r="FN24">
        <v>101.34099999999999</v>
      </c>
    </row>
    <row r="25" spans="1:170" x14ac:dyDescent="0.25">
      <c r="A25">
        <v>9</v>
      </c>
      <c r="B25">
        <v>1596819620</v>
      </c>
      <c r="C25">
        <v>1021</v>
      </c>
      <c r="D25" t="s">
        <v>324</v>
      </c>
      <c r="E25" t="s">
        <v>325</v>
      </c>
      <c r="G25">
        <v>1596819612.0483899</v>
      </c>
      <c r="H25">
        <f t="shared" si="0"/>
        <v>4.4612266174902816E-3</v>
      </c>
      <c r="I25">
        <f t="shared" si="1"/>
        <v>38.252054700698451</v>
      </c>
      <c r="J25">
        <f t="shared" si="2"/>
        <v>583.64693548387095</v>
      </c>
      <c r="K25">
        <f t="shared" si="3"/>
        <v>333.49737272228214</v>
      </c>
      <c r="L25">
        <f t="shared" si="4"/>
        <v>33.334821935730567</v>
      </c>
      <c r="M25">
        <f t="shared" si="5"/>
        <v>58.338590522844491</v>
      </c>
      <c r="N25">
        <f t="shared" si="6"/>
        <v>0.2673751120079747</v>
      </c>
      <c r="O25">
        <f t="shared" si="7"/>
        <v>3.3968173007601612</v>
      </c>
      <c r="P25">
        <f t="shared" si="8"/>
        <v>0.25620904358573254</v>
      </c>
      <c r="Q25">
        <f t="shared" si="9"/>
        <v>0.16109502073777282</v>
      </c>
      <c r="R25">
        <f t="shared" si="10"/>
        <v>353.33937964100704</v>
      </c>
      <c r="S25">
        <f t="shared" si="11"/>
        <v>27.007350738243179</v>
      </c>
      <c r="T25">
        <f t="shared" si="12"/>
        <v>27.0132935483871</v>
      </c>
      <c r="U25">
        <f t="shared" si="13"/>
        <v>3.5819551207086318</v>
      </c>
      <c r="V25">
        <f t="shared" si="14"/>
        <v>55.318535848983387</v>
      </c>
      <c r="W25">
        <f t="shared" si="15"/>
        <v>1.8891215054534587</v>
      </c>
      <c r="X25">
        <f t="shared" si="16"/>
        <v>3.4149882610968922</v>
      </c>
      <c r="Y25">
        <f t="shared" si="17"/>
        <v>1.6928336152551731</v>
      </c>
      <c r="Z25">
        <f t="shared" si="18"/>
        <v>-196.74009383132142</v>
      </c>
      <c r="AA25">
        <f t="shared" si="19"/>
        <v>-148.40259862916292</v>
      </c>
      <c r="AB25">
        <f t="shared" si="20"/>
        <v>-9.3916522993114793</v>
      </c>
      <c r="AC25">
        <f t="shared" si="21"/>
        <v>-1.1949651187887866</v>
      </c>
      <c r="AD25">
        <v>-4.1398420137911299E-2</v>
      </c>
      <c r="AE25">
        <v>4.6473353305598E-2</v>
      </c>
      <c r="AF25">
        <v>3.4694642747006101</v>
      </c>
      <c r="AG25">
        <v>143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52928.469872015259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263.28167999999999</v>
      </c>
      <c r="AT25">
        <v>381.44799999999998</v>
      </c>
      <c r="AU25">
        <f t="shared" si="27"/>
        <v>0.3097835615863761</v>
      </c>
      <c r="AV25">
        <v>0.5</v>
      </c>
      <c r="AW25">
        <f t="shared" si="28"/>
        <v>1849.1910194115083</v>
      </c>
      <c r="AX25">
        <f t="shared" si="29"/>
        <v>38.252054700698451</v>
      </c>
      <c r="AY25">
        <f t="shared" si="30"/>
        <v>286.42449002341931</v>
      </c>
      <c r="AZ25">
        <f t="shared" si="31"/>
        <v>0.51673622616975312</v>
      </c>
      <c r="BA25">
        <f t="shared" si="32"/>
        <v>2.1226608981256105E-2</v>
      </c>
      <c r="BB25">
        <f t="shared" si="33"/>
        <v>-1</v>
      </c>
      <c r="BC25" t="s">
        <v>327</v>
      </c>
      <c r="BD25">
        <v>184.34</v>
      </c>
      <c r="BE25">
        <f t="shared" si="34"/>
        <v>197.10799999999998</v>
      </c>
      <c r="BF25">
        <f t="shared" si="35"/>
        <v>0.59950037542869894</v>
      </c>
      <c r="BG25">
        <f t="shared" si="36"/>
        <v>2.0692633177823585</v>
      </c>
      <c r="BH25">
        <f t="shared" si="37"/>
        <v>0.3097835615863761</v>
      </c>
      <c r="BI25" t="e">
        <f t="shared" si="38"/>
        <v>#DIV/0!</v>
      </c>
      <c r="BJ25">
        <v>5775</v>
      </c>
      <c r="BK25">
        <v>300</v>
      </c>
      <c r="BL25">
        <v>300</v>
      </c>
      <c r="BM25">
        <v>300</v>
      </c>
      <c r="BN25">
        <v>9869.64</v>
      </c>
      <c r="BO25">
        <v>343.37900000000002</v>
      </c>
      <c r="BP25">
        <v>-6.4013000000000004E-3</v>
      </c>
      <c r="BQ25">
        <v>0.37487799999999999</v>
      </c>
      <c r="BR25">
        <f t="shared" si="39"/>
        <v>2200.0064516129</v>
      </c>
      <c r="BS25">
        <f t="shared" si="40"/>
        <v>1849.1910194115083</v>
      </c>
      <c r="BT25">
        <f t="shared" si="41"/>
        <v>0.84053890753629523</v>
      </c>
      <c r="BU25">
        <f t="shared" si="42"/>
        <v>0.19107781507259036</v>
      </c>
      <c r="BV25">
        <v>0.5</v>
      </c>
      <c r="BW25" t="s">
        <v>281</v>
      </c>
      <c r="BX25">
        <v>1596819612.0483899</v>
      </c>
      <c r="BY25">
        <v>583.64693548387095</v>
      </c>
      <c r="BZ25">
        <v>599.98674193548402</v>
      </c>
      <c r="CA25">
        <v>18.899667741935499</v>
      </c>
      <c r="CB25">
        <v>17.149174193548401</v>
      </c>
      <c r="CC25">
        <v>500.07735483870999</v>
      </c>
      <c r="CD25">
        <v>99.755277419354798</v>
      </c>
      <c r="CE25">
        <v>0.19999858064516099</v>
      </c>
      <c r="CF25">
        <v>26.2029225806452</v>
      </c>
      <c r="CG25">
        <v>27.0132935483871</v>
      </c>
      <c r="CH25">
        <v>999.9</v>
      </c>
      <c r="CI25">
        <v>10007.921935483901</v>
      </c>
      <c r="CJ25">
        <v>0</v>
      </c>
      <c r="CK25">
        <v>353.07216129032298</v>
      </c>
      <c r="CL25">
        <v>2200.0064516129</v>
      </c>
      <c r="CM25">
        <v>0.98199529032258104</v>
      </c>
      <c r="CN25">
        <v>1.80043870967742E-2</v>
      </c>
      <c r="CO25">
        <v>0</v>
      </c>
      <c r="CP25">
        <v>263.30348387096802</v>
      </c>
      <c r="CQ25">
        <v>5.00054</v>
      </c>
      <c r="CR25">
        <v>8359.6796774193608</v>
      </c>
      <c r="CS25">
        <v>20590.564516129001</v>
      </c>
      <c r="CT25">
        <v>49.1651290322581</v>
      </c>
      <c r="CU25">
        <v>51.417000000000002</v>
      </c>
      <c r="CV25">
        <v>49.674999999999997</v>
      </c>
      <c r="CW25">
        <v>50.037999999999997</v>
      </c>
      <c r="CX25">
        <v>50.503999999999998</v>
      </c>
      <c r="CY25">
        <v>2155.4858064516102</v>
      </c>
      <c r="CZ25">
        <v>39.520000000000003</v>
      </c>
      <c r="DA25">
        <v>0</v>
      </c>
      <c r="DB25">
        <v>148.200000047684</v>
      </c>
      <c r="DC25">
        <v>263.28167999999999</v>
      </c>
      <c r="DD25">
        <v>-2.2663846205979601</v>
      </c>
      <c r="DE25">
        <v>-60.526153752413101</v>
      </c>
      <c r="DF25">
        <v>8359.0203999999994</v>
      </c>
      <c r="DG25">
        <v>15</v>
      </c>
      <c r="DH25">
        <v>1596819644.5</v>
      </c>
      <c r="DI25" t="s">
        <v>328</v>
      </c>
      <c r="DJ25">
        <v>38</v>
      </c>
      <c r="DK25">
        <v>-0.27400000000000002</v>
      </c>
      <c r="DL25">
        <v>0.11700000000000001</v>
      </c>
      <c r="DM25">
        <v>600</v>
      </c>
      <c r="DN25">
        <v>17</v>
      </c>
      <c r="DO25">
        <v>0.28999999999999998</v>
      </c>
      <c r="DP25">
        <v>0.05</v>
      </c>
      <c r="DQ25">
        <v>583.50896153846099</v>
      </c>
      <c r="DR25">
        <v>0.94656806130257698</v>
      </c>
      <c r="DS25">
        <v>0.12170850446525899</v>
      </c>
      <c r="DT25">
        <v>0</v>
      </c>
      <c r="DU25">
        <v>18.8901826923077</v>
      </c>
      <c r="DV25">
        <v>7.9874728088033503E-2</v>
      </c>
      <c r="DW25">
        <v>1.7630739339986799E-2</v>
      </c>
      <c r="DX25">
        <v>1</v>
      </c>
      <c r="DY25">
        <v>1</v>
      </c>
      <c r="DZ25">
        <v>2</v>
      </c>
      <c r="EA25" t="s">
        <v>303</v>
      </c>
      <c r="EB25">
        <v>1.8667400000000001</v>
      </c>
      <c r="EC25">
        <v>1.8632500000000001</v>
      </c>
      <c r="ED25">
        <v>1.8689</v>
      </c>
      <c r="EE25">
        <v>1.8668499999999999</v>
      </c>
      <c r="EF25">
        <v>1.87151</v>
      </c>
      <c r="EG25">
        <v>1.8640099999999999</v>
      </c>
      <c r="EH25">
        <v>1.8655999999999999</v>
      </c>
      <c r="EI25">
        <v>1.86554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-0.27400000000000002</v>
      </c>
      <c r="EX25">
        <v>0.11700000000000001</v>
      </c>
      <c r="EY25">
        <v>2</v>
      </c>
      <c r="EZ25">
        <v>338.67599999999999</v>
      </c>
      <c r="FA25">
        <v>501.16300000000001</v>
      </c>
      <c r="FB25">
        <v>19.6873</v>
      </c>
      <c r="FC25">
        <v>33.293900000000001</v>
      </c>
      <c r="FD25">
        <v>30.001200000000001</v>
      </c>
      <c r="FE25">
        <v>33.255699999999997</v>
      </c>
      <c r="FF25">
        <v>33.254300000000001</v>
      </c>
      <c r="FG25">
        <v>30.560700000000001</v>
      </c>
      <c r="FH25">
        <v>37.558100000000003</v>
      </c>
      <c r="FI25">
        <v>0</v>
      </c>
      <c r="FJ25">
        <v>19.617799999999999</v>
      </c>
      <c r="FK25">
        <v>600</v>
      </c>
      <c r="FL25">
        <v>17.020199999999999</v>
      </c>
      <c r="FM25">
        <v>100.833</v>
      </c>
      <c r="FN25">
        <v>101.322</v>
      </c>
    </row>
    <row r="26" spans="1:170" x14ac:dyDescent="0.25">
      <c r="A26">
        <v>10</v>
      </c>
      <c r="B26">
        <v>1596819766.0999999</v>
      </c>
      <c r="C26">
        <v>1167.0999999046301</v>
      </c>
      <c r="D26" t="s">
        <v>329</v>
      </c>
      <c r="E26" t="s">
        <v>330</v>
      </c>
      <c r="G26">
        <v>1596819758.0483899</v>
      </c>
      <c r="H26">
        <f t="shared" si="0"/>
        <v>4.0460463879976169E-3</v>
      </c>
      <c r="I26">
        <f t="shared" si="1"/>
        <v>39.087620864048596</v>
      </c>
      <c r="J26">
        <f t="shared" si="2"/>
        <v>683.30803225806403</v>
      </c>
      <c r="K26">
        <f t="shared" si="3"/>
        <v>397.79676266722112</v>
      </c>
      <c r="L26">
        <f t="shared" si="4"/>
        <v>39.763132771949223</v>
      </c>
      <c r="M26">
        <f t="shared" si="5"/>
        <v>68.302385943613999</v>
      </c>
      <c r="N26">
        <f t="shared" si="6"/>
        <v>0.23903093921488289</v>
      </c>
      <c r="O26">
        <f t="shared" si="7"/>
        <v>3.3943189691517128</v>
      </c>
      <c r="P26">
        <f t="shared" si="8"/>
        <v>0.23005777010438438</v>
      </c>
      <c r="Q26">
        <f t="shared" si="9"/>
        <v>0.1445642443413013</v>
      </c>
      <c r="R26">
        <f t="shared" si="10"/>
        <v>353.33731964274574</v>
      </c>
      <c r="S26">
        <f t="shared" si="11"/>
        <v>26.899887869536794</v>
      </c>
      <c r="T26">
        <f t="shared" si="12"/>
        <v>26.9801</v>
      </c>
      <c r="U26">
        <f t="shared" si="13"/>
        <v>3.5749785892691777</v>
      </c>
      <c r="V26">
        <f t="shared" si="14"/>
        <v>55.264307885813061</v>
      </c>
      <c r="W26">
        <f t="shared" si="15"/>
        <v>1.8648363908494983</v>
      </c>
      <c r="X26">
        <f t="shared" si="16"/>
        <v>3.3743956310872787</v>
      </c>
      <c r="Y26">
        <f t="shared" si="17"/>
        <v>1.7101421984196794</v>
      </c>
      <c r="Z26">
        <f t="shared" si="18"/>
        <v>-178.4306457106949</v>
      </c>
      <c r="AA26">
        <f t="shared" si="19"/>
        <v>-179.22719828471682</v>
      </c>
      <c r="AB26">
        <f t="shared" si="20"/>
        <v>-11.337370076933741</v>
      </c>
      <c r="AC26">
        <f t="shared" si="21"/>
        <v>-15.657894429599708</v>
      </c>
      <c r="AD26">
        <v>-4.1359714196050598E-2</v>
      </c>
      <c r="AE26">
        <v>4.64299024950326E-2</v>
      </c>
      <c r="AF26">
        <v>3.46689802094585</v>
      </c>
      <c r="AG26">
        <v>143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52916.844752984514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264.32335999999998</v>
      </c>
      <c r="AT26">
        <v>387.16199999999998</v>
      </c>
      <c r="AU26">
        <f t="shared" si="27"/>
        <v>0.31727969170528103</v>
      </c>
      <c r="AV26">
        <v>0.5</v>
      </c>
      <c r="AW26">
        <f t="shared" si="28"/>
        <v>1849.1801803541523</v>
      </c>
      <c r="AX26">
        <f t="shared" si="29"/>
        <v>39.087620864048596</v>
      </c>
      <c r="AY26">
        <f t="shared" si="30"/>
        <v>293.35365876514072</v>
      </c>
      <c r="AZ26">
        <f t="shared" si="31"/>
        <v>0.52769125069092515</v>
      </c>
      <c r="BA26">
        <f t="shared" si="32"/>
        <v>2.1678591026414243E-2</v>
      </c>
      <c r="BB26">
        <f t="shared" si="33"/>
        <v>-1</v>
      </c>
      <c r="BC26" t="s">
        <v>332</v>
      </c>
      <c r="BD26">
        <v>182.86</v>
      </c>
      <c r="BE26">
        <f t="shared" si="34"/>
        <v>204.30199999999996</v>
      </c>
      <c r="BF26">
        <f t="shared" si="35"/>
        <v>0.60126009534904223</v>
      </c>
      <c r="BG26">
        <f t="shared" si="36"/>
        <v>2.1172591053264789</v>
      </c>
      <c r="BH26">
        <f t="shared" si="37"/>
        <v>0.31727969170528103</v>
      </c>
      <c r="BI26" t="e">
        <f t="shared" si="38"/>
        <v>#DIV/0!</v>
      </c>
      <c r="BJ26">
        <v>5777</v>
      </c>
      <c r="BK26">
        <v>300</v>
      </c>
      <c r="BL26">
        <v>300</v>
      </c>
      <c r="BM26">
        <v>300</v>
      </c>
      <c r="BN26">
        <v>9869.39</v>
      </c>
      <c r="BO26">
        <v>347.22899999999998</v>
      </c>
      <c r="BP26">
        <v>-6.4010999999999998E-3</v>
      </c>
      <c r="BQ26">
        <v>0.63565099999999997</v>
      </c>
      <c r="BR26">
        <f t="shared" si="39"/>
        <v>2199.9935483871</v>
      </c>
      <c r="BS26">
        <f t="shared" si="40"/>
        <v>1849.1801803541523</v>
      </c>
      <c r="BT26">
        <f t="shared" si="41"/>
        <v>0.84053891053901386</v>
      </c>
      <c r="BU26">
        <f t="shared" si="42"/>
        <v>0.19107782107802773</v>
      </c>
      <c r="BV26">
        <v>0.5</v>
      </c>
      <c r="BW26" t="s">
        <v>281</v>
      </c>
      <c r="BX26">
        <v>1596819758.0483899</v>
      </c>
      <c r="BY26">
        <v>683.30803225806403</v>
      </c>
      <c r="BZ26">
        <v>700.04648387096802</v>
      </c>
      <c r="CA26">
        <v>18.656122580645199</v>
      </c>
      <c r="CB26">
        <v>17.068132258064502</v>
      </c>
      <c r="CC26">
        <v>500.07393548387103</v>
      </c>
      <c r="CD26">
        <v>99.758425806451598</v>
      </c>
      <c r="CE26">
        <v>0.19998638709677399</v>
      </c>
      <c r="CF26">
        <v>26.0006870967742</v>
      </c>
      <c r="CG26">
        <v>26.9801</v>
      </c>
      <c r="CH26">
        <v>999.9</v>
      </c>
      <c r="CI26">
        <v>9998.2493548387101</v>
      </c>
      <c r="CJ26">
        <v>0</v>
      </c>
      <c r="CK26">
        <v>354.67409677419403</v>
      </c>
      <c r="CL26">
        <v>2199.9935483871</v>
      </c>
      <c r="CM26">
        <v>0.98199606451612897</v>
      </c>
      <c r="CN26">
        <v>1.8003819354838701E-2</v>
      </c>
      <c r="CO26">
        <v>0</v>
      </c>
      <c r="CP26">
        <v>264.37251612903202</v>
      </c>
      <c r="CQ26">
        <v>5.00054</v>
      </c>
      <c r="CR26">
        <v>8392.5993548387105</v>
      </c>
      <c r="CS26">
        <v>20590.4580645161</v>
      </c>
      <c r="CT26">
        <v>49.241870967741903</v>
      </c>
      <c r="CU26">
        <v>51.521999999999998</v>
      </c>
      <c r="CV26">
        <v>49.77</v>
      </c>
      <c r="CW26">
        <v>50.167000000000002</v>
      </c>
      <c r="CX26">
        <v>50.532064516128997</v>
      </c>
      <c r="CY26">
        <v>2155.4735483871</v>
      </c>
      <c r="CZ26">
        <v>39.520000000000003</v>
      </c>
      <c r="DA26">
        <v>0</v>
      </c>
      <c r="DB26">
        <v>145.5</v>
      </c>
      <c r="DC26">
        <v>264.32335999999998</v>
      </c>
      <c r="DD26">
        <v>-3.4223846349296698</v>
      </c>
      <c r="DE26">
        <v>-28.6100000024751</v>
      </c>
      <c r="DF26">
        <v>8392.1651999999995</v>
      </c>
      <c r="DG26">
        <v>15</v>
      </c>
      <c r="DH26">
        <v>1596819792.5999999</v>
      </c>
      <c r="DI26" t="s">
        <v>333</v>
      </c>
      <c r="DJ26">
        <v>39</v>
      </c>
      <c r="DK26">
        <v>-0.23100000000000001</v>
      </c>
      <c r="DL26">
        <v>0.115</v>
      </c>
      <c r="DM26">
        <v>700</v>
      </c>
      <c r="DN26">
        <v>17</v>
      </c>
      <c r="DO26">
        <v>0.22</v>
      </c>
      <c r="DP26">
        <v>0.05</v>
      </c>
      <c r="DQ26">
        <v>683.18767307692303</v>
      </c>
      <c r="DR26">
        <v>0.96496689416671</v>
      </c>
      <c r="DS26">
        <v>0.12371209149813001</v>
      </c>
      <c r="DT26">
        <v>0</v>
      </c>
      <c r="DU26">
        <v>18.714490384615399</v>
      </c>
      <c r="DV26">
        <v>-0.62321966175729904</v>
      </c>
      <c r="DW26">
        <v>7.8295911229365703E-2</v>
      </c>
      <c r="DX26">
        <v>0</v>
      </c>
      <c r="DY26">
        <v>0</v>
      </c>
      <c r="DZ26">
        <v>2</v>
      </c>
      <c r="EA26" t="s">
        <v>334</v>
      </c>
      <c r="EB26">
        <v>1.86676</v>
      </c>
      <c r="EC26">
        <v>1.8632500000000001</v>
      </c>
      <c r="ED26">
        <v>1.8689100000000001</v>
      </c>
      <c r="EE26">
        <v>1.86683</v>
      </c>
      <c r="EF26">
        <v>1.8715200000000001</v>
      </c>
      <c r="EG26">
        <v>1.8640099999999999</v>
      </c>
      <c r="EH26">
        <v>1.86558</v>
      </c>
      <c r="EI26">
        <v>1.86554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-0.23100000000000001</v>
      </c>
      <c r="EX26">
        <v>0.115</v>
      </c>
      <c r="EY26">
        <v>2</v>
      </c>
      <c r="EZ26">
        <v>338.60199999999998</v>
      </c>
      <c r="FA26">
        <v>500.63600000000002</v>
      </c>
      <c r="FB26">
        <v>19.4541</v>
      </c>
      <c r="FC26">
        <v>33.426000000000002</v>
      </c>
      <c r="FD26">
        <v>30.000699999999998</v>
      </c>
      <c r="FE26">
        <v>33.381700000000002</v>
      </c>
      <c r="FF26">
        <v>33.379300000000001</v>
      </c>
      <c r="FG26">
        <v>34.583799999999997</v>
      </c>
      <c r="FH26">
        <v>38.5625</v>
      </c>
      <c r="FI26">
        <v>0</v>
      </c>
      <c r="FJ26">
        <v>19.461600000000001</v>
      </c>
      <c r="FK26">
        <v>700</v>
      </c>
      <c r="FL26">
        <v>17.041599999999999</v>
      </c>
      <c r="FM26">
        <v>100.80800000000001</v>
      </c>
      <c r="FN26">
        <v>101.294</v>
      </c>
    </row>
    <row r="27" spans="1:170" x14ac:dyDescent="0.25">
      <c r="A27">
        <v>11</v>
      </c>
      <c r="B27">
        <v>1596819914.0999999</v>
      </c>
      <c r="C27">
        <v>1315.0999999046301</v>
      </c>
      <c r="D27" t="s">
        <v>335</v>
      </c>
      <c r="E27" t="s">
        <v>336</v>
      </c>
      <c r="G27">
        <v>1596819906.0999999</v>
      </c>
      <c r="H27">
        <f t="shared" si="0"/>
        <v>3.1544089910536524E-3</v>
      </c>
      <c r="I27">
        <f t="shared" si="1"/>
        <v>39.522568878719738</v>
      </c>
      <c r="J27">
        <f t="shared" si="2"/>
        <v>783.22529032258103</v>
      </c>
      <c r="K27">
        <f t="shared" si="3"/>
        <v>412.17189121591372</v>
      </c>
      <c r="L27">
        <f t="shared" si="4"/>
        <v>41.200072447292968</v>
      </c>
      <c r="M27">
        <f t="shared" si="5"/>
        <v>78.290003252401604</v>
      </c>
      <c r="N27">
        <f t="shared" si="6"/>
        <v>0.18312521017327518</v>
      </c>
      <c r="O27">
        <f t="shared" si="7"/>
        <v>3.3950848608142437</v>
      </c>
      <c r="P27">
        <f t="shared" si="8"/>
        <v>0.17780949133353274</v>
      </c>
      <c r="Q27">
        <f t="shared" si="9"/>
        <v>0.11159567541241883</v>
      </c>
      <c r="R27">
        <f t="shared" si="10"/>
        <v>353.33726848452079</v>
      </c>
      <c r="S27">
        <f t="shared" si="11"/>
        <v>27.033324460193597</v>
      </c>
      <c r="T27">
        <f t="shared" si="12"/>
        <v>27.017419354838701</v>
      </c>
      <c r="U27">
        <f t="shared" si="13"/>
        <v>3.5828231015413197</v>
      </c>
      <c r="V27">
        <f t="shared" si="14"/>
        <v>55.278958026459946</v>
      </c>
      <c r="W27">
        <f t="shared" si="15"/>
        <v>1.8577804384827914</v>
      </c>
      <c r="X27">
        <f t="shared" si="16"/>
        <v>3.360737077557689</v>
      </c>
      <c r="Y27">
        <f t="shared" si="17"/>
        <v>1.7250426630585283</v>
      </c>
      <c r="Z27">
        <f t="shared" si="18"/>
        <v>-139.10943650546608</v>
      </c>
      <c r="AA27">
        <f t="shared" si="19"/>
        <v>-198.64109434162725</v>
      </c>
      <c r="AB27">
        <f t="shared" si="20"/>
        <v>-12.560644014655681</v>
      </c>
      <c r="AC27">
        <f t="shared" si="21"/>
        <v>3.0260936227717821</v>
      </c>
      <c r="AD27">
        <v>-4.13715785701598E-2</v>
      </c>
      <c r="AE27">
        <v>4.6443221294346401E-2</v>
      </c>
      <c r="AF27">
        <v>3.4676847325061901</v>
      </c>
      <c r="AG27">
        <v>144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52943.539059766896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264.26504</v>
      </c>
      <c r="AT27">
        <v>385.24599999999998</v>
      </c>
      <c r="AU27">
        <f t="shared" si="27"/>
        <v>0.31403560322495239</v>
      </c>
      <c r="AV27">
        <v>0.5</v>
      </c>
      <c r="AW27">
        <f t="shared" si="28"/>
        <v>1849.1799095602482</v>
      </c>
      <c r="AX27">
        <f t="shared" si="29"/>
        <v>39.522568878719738</v>
      </c>
      <c r="AY27">
        <f t="shared" si="30"/>
        <v>290.35416418510772</v>
      </c>
      <c r="AZ27">
        <f t="shared" si="31"/>
        <v>0.52212352626633374</v>
      </c>
      <c r="BA27">
        <f t="shared" si="32"/>
        <v>2.1913805503303557E-2</v>
      </c>
      <c r="BB27">
        <f t="shared" si="33"/>
        <v>-1</v>
      </c>
      <c r="BC27" t="s">
        <v>338</v>
      </c>
      <c r="BD27">
        <v>184.1</v>
      </c>
      <c r="BE27">
        <f t="shared" si="34"/>
        <v>201.14599999999999</v>
      </c>
      <c r="BF27">
        <f t="shared" si="35"/>
        <v>0.60145844312091712</v>
      </c>
      <c r="BG27">
        <f t="shared" si="36"/>
        <v>2.0925909831613252</v>
      </c>
      <c r="BH27">
        <f t="shared" si="37"/>
        <v>0.31403560322495233</v>
      </c>
      <c r="BI27" t="e">
        <f t="shared" si="38"/>
        <v>#DIV/0!</v>
      </c>
      <c r="BJ27">
        <v>5779</v>
      </c>
      <c r="BK27">
        <v>300</v>
      </c>
      <c r="BL27">
        <v>300</v>
      </c>
      <c r="BM27">
        <v>300</v>
      </c>
      <c r="BN27">
        <v>9869.4</v>
      </c>
      <c r="BO27">
        <v>349.24400000000003</v>
      </c>
      <c r="BP27">
        <v>-6.4009999999999996E-3</v>
      </c>
      <c r="BQ27">
        <v>1.48837</v>
      </c>
      <c r="BR27">
        <f t="shared" si="39"/>
        <v>2199.99322580645</v>
      </c>
      <c r="BS27">
        <f t="shared" si="40"/>
        <v>1849.1799095602482</v>
      </c>
      <c r="BT27">
        <f t="shared" si="41"/>
        <v>0.84053891069705255</v>
      </c>
      <c r="BU27">
        <f t="shared" si="42"/>
        <v>0.19107782139410523</v>
      </c>
      <c r="BV27">
        <v>0.5</v>
      </c>
      <c r="BW27" t="s">
        <v>281</v>
      </c>
      <c r="BX27">
        <v>1596819906.0999999</v>
      </c>
      <c r="BY27">
        <v>783.22529032258103</v>
      </c>
      <c r="BZ27">
        <v>800.019935483871</v>
      </c>
      <c r="CA27">
        <v>18.5855225806452</v>
      </c>
      <c r="CB27">
        <v>17.347403225806499</v>
      </c>
      <c r="CC27">
        <v>500.078225806452</v>
      </c>
      <c r="CD27">
        <v>99.758487096774203</v>
      </c>
      <c r="CE27">
        <v>0.199984903225806</v>
      </c>
      <c r="CF27">
        <v>25.9321612903226</v>
      </c>
      <c r="CG27">
        <v>27.017419354838701</v>
      </c>
      <c r="CH27">
        <v>999.9</v>
      </c>
      <c r="CI27">
        <v>10001.1112903226</v>
      </c>
      <c r="CJ27">
        <v>0</v>
      </c>
      <c r="CK27">
        <v>355.14383870967703</v>
      </c>
      <c r="CL27">
        <v>2199.99322580645</v>
      </c>
      <c r="CM27">
        <v>0.98199548387096802</v>
      </c>
      <c r="CN27">
        <v>1.8004245161290299E-2</v>
      </c>
      <c r="CO27">
        <v>0</v>
      </c>
      <c r="CP27">
        <v>264.27261290322599</v>
      </c>
      <c r="CQ27">
        <v>5.00054</v>
      </c>
      <c r="CR27">
        <v>8400.7925806451603</v>
      </c>
      <c r="CS27">
        <v>20590.4483870968</v>
      </c>
      <c r="CT27">
        <v>49.3020322580645</v>
      </c>
      <c r="CU27">
        <v>51.656999999999996</v>
      </c>
      <c r="CV27">
        <v>49.848580645161299</v>
      </c>
      <c r="CW27">
        <v>50.221612903225797</v>
      </c>
      <c r="CX27">
        <v>50.598451612903197</v>
      </c>
      <c r="CY27">
        <v>2155.4729032258101</v>
      </c>
      <c r="CZ27">
        <v>39.520000000000003</v>
      </c>
      <c r="DA27">
        <v>0</v>
      </c>
      <c r="DB27">
        <v>147.299999952316</v>
      </c>
      <c r="DC27">
        <v>264.26504</v>
      </c>
      <c r="DD27">
        <v>-1.4963846024663301</v>
      </c>
      <c r="DE27">
        <v>-5.3069229004152403</v>
      </c>
      <c r="DF27">
        <v>8400.6304</v>
      </c>
      <c r="DG27">
        <v>15</v>
      </c>
      <c r="DH27">
        <v>1596819938.0999999</v>
      </c>
      <c r="DI27" t="s">
        <v>339</v>
      </c>
      <c r="DJ27">
        <v>40</v>
      </c>
      <c r="DK27">
        <v>-0.29699999999999999</v>
      </c>
      <c r="DL27">
        <v>0.122</v>
      </c>
      <c r="DM27">
        <v>800</v>
      </c>
      <c r="DN27">
        <v>17</v>
      </c>
      <c r="DO27">
        <v>0.25</v>
      </c>
      <c r="DP27">
        <v>0.09</v>
      </c>
      <c r="DQ27">
        <v>783.24374999999998</v>
      </c>
      <c r="DR27">
        <v>0.58459660206604602</v>
      </c>
      <c r="DS27">
        <v>7.5521488281867596E-2</v>
      </c>
      <c r="DT27">
        <v>0</v>
      </c>
      <c r="DU27">
        <v>18.565769230769199</v>
      </c>
      <c r="DV27">
        <v>0.117137539486024</v>
      </c>
      <c r="DW27">
        <v>2.49988271914253E-2</v>
      </c>
      <c r="DX27">
        <v>1</v>
      </c>
      <c r="DY27">
        <v>1</v>
      </c>
      <c r="DZ27">
        <v>2</v>
      </c>
      <c r="EA27" t="s">
        <v>303</v>
      </c>
      <c r="EB27">
        <v>1.8667499999999999</v>
      </c>
      <c r="EC27">
        <v>1.8632500000000001</v>
      </c>
      <c r="ED27">
        <v>1.8689</v>
      </c>
      <c r="EE27">
        <v>1.8667899999999999</v>
      </c>
      <c r="EF27">
        <v>1.8715200000000001</v>
      </c>
      <c r="EG27">
        <v>1.8640099999999999</v>
      </c>
      <c r="EH27">
        <v>1.86557</v>
      </c>
      <c r="EI27">
        <v>1.86554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-0.29699999999999999</v>
      </c>
      <c r="EX27">
        <v>0.122</v>
      </c>
      <c r="EY27">
        <v>2</v>
      </c>
      <c r="EZ27">
        <v>338.17200000000003</v>
      </c>
      <c r="FA27">
        <v>500.32600000000002</v>
      </c>
      <c r="FB27">
        <v>19.424299999999999</v>
      </c>
      <c r="FC27">
        <v>33.558700000000002</v>
      </c>
      <c r="FD27">
        <v>30.0014</v>
      </c>
      <c r="FE27">
        <v>33.516100000000002</v>
      </c>
      <c r="FF27">
        <v>33.512999999999998</v>
      </c>
      <c r="FG27">
        <v>38.541600000000003</v>
      </c>
      <c r="FH27">
        <v>37.077399999999997</v>
      </c>
      <c r="FI27">
        <v>0</v>
      </c>
      <c r="FJ27">
        <v>19.404</v>
      </c>
      <c r="FK27">
        <v>800</v>
      </c>
      <c r="FL27">
        <v>17.397600000000001</v>
      </c>
      <c r="FM27">
        <v>100.78400000000001</v>
      </c>
      <c r="FN27">
        <v>101.268</v>
      </c>
    </row>
    <row r="28" spans="1:170" x14ac:dyDescent="0.25">
      <c r="A28">
        <v>12</v>
      </c>
      <c r="B28">
        <v>1596820059.5999999</v>
      </c>
      <c r="C28">
        <v>1460.5999999046301</v>
      </c>
      <c r="D28" t="s">
        <v>340</v>
      </c>
      <c r="E28" t="s">
        <v>341</v>
      </c>
      <c r="G28">
        <v>1596820051.5999999</v>
      </c>
      <c r="H28">
        <f t="shared" si="0"/>
        <v>2.6196133359237413E-3</v>
      </c>
      <c r="I28">
        <f t="shared" si="1"/>
        <v>43.636880033197812</v>
      </c>
      <c r="J28">
        <f t="shared" si="2"/>
        <v>981.551774193548</v>
      </c>
      <c r="K28">
        <f t="shared" si="3"/>
        <v>485.21962472161704</v>
      </c>
      <c r="L28">
        <f t="shared" si="4"/>
        <v>48.502768138594739</v>
      </c>
      <c r="M28">
        <f t="shared" si="5"/>
        <v>98.11634916260833</v>
      </c>
      <c r="N28">
        <f t="shared" si="6"/>
        <v>0.1499435627867704</v>
      </c>
      <c r="O28">
        <f t="shared" si="7"/>
        <v>3.3950220230826411</v>
      </c>
      <c r="P28">
        <f t="shared" si="8"/>
        <v>0.1463593296012079</v>
      </c>
      <c r="Q28">
        <f t="shared" si="9"/>
        <v>9.1789474126034026E-2</v>
      </c>
      <c r="R28">
        <f t="shared" si="10"/>
        <v>353.33901860430711</v>
      </c>
      <c r="S28">
        <f t="shared" si="11"/>
        <v>27.044759075320218</v>
      </c>
      <c r="T28">
        <f t="shared" si="12"/>
        <v>26.9970903225806</v>
      </c>
      <c r="U28">
        <f t="shared" si="13"/>
        <v>3.5785480866444952</v>
      </c>
      <c r="V28">
        <f t="shared" si="14"/>
        <v>55.043902941355483</v>
      </c>
      <c r="W28">
        <f t="shared" si="15"/>
        <v>1.8378784901735958</v>
      </c>
      <c r="X28">
        <f t="shared" si="16"/>
        <v>3.3389320014819739</v>
      </c>
      <c r="Y28">
        <f t="shared" si="17"/>
        <v>1.7406695964708994</v>
      </c>
      <c r="Z28">
        <f t="shared" si="18"/>
        <v>-115.52494811423699</v>
      </c>
      <c r="AA28">
        <f t="shared" si="19"/>
        <v>-215.03239987379115</v>
      </c>
      <c r="AB28">
        <f t="shared" si="20"/>
        <v>-13.588504781703374</v>
      </c>
      <c r="AC28">
        <f t="shared" si="21"/>
        <v>9.1931658345756091</v>
      </c>
      <c r="AD28">
        <v>-4.1370605109728301E-2</v>
      </c>
      <c r="AE28">
        <v>4.6442128499732303E-2</v>
      </c>
      <c r="AF28">
        <v>3.4676201865220899</v>
      </c>
      <c r="AG28">
        <v>143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52961.857974838771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267.31587999999999</v>
      </c>
      <c r="AT28">
        <v>392.226</v>
      </c>
      <c r="AU28">
        <f t="shared" si="27"/>
        <v>0.31846466068032209</v>
      </c>
      <c r="AV28">
        <v>0.5</v>
      </c>
      <c r="AW28">
        <f t="shared" si="28"/>
        <v>1849.1891222896375</v>
      </c>
      <c r="AX28">
        <f t="shared" si="29"/>
        <v>43.636880033197812</v>
      </c>
      <c r="AY28">
        <f t="shared" si="30"/>
        <v>294.45069318185602</v>
      </c>
      <c r="AZ28">
        <f t="shared" si="31"/>
        <v>0.53480901317097795</v>
      </c>
      <c r="BA28">
        <f t="shared" si="32"/>
        <v>2.4138623516197801E-2</v>
      </c>
      <c r="BB28">
        <f t="shared" si="33"/>
        <v>-1</v>
      </c>
      <c r="BC28" t="s">
        <v>343</v>
      </c>
      <c r="BD28">
        <v>182.46</v>
      </c>
      <c r="BE28">
        <f t="shared" si="34"/>
        <v>209.76599999999999</v>
      </c>
      <c r="BF28">
        <f t="shared" si="35"/>
        <v>0.59547362298942641</v>
      </c>
      <c r="BG28">
        <f t="shared" si="36"/>
        <v>2.1496547188424859</v>
      </c>
      <c r="BH28">
        <f t="shared" si="37"/>
        <v>0.31846466068032209</v>
      </c>
      <c r="BI28" t="e">
        <f t="shared" si="38"/>
        <v>#DIV/0!</v>
      </c>
      <c r="BJ28">
        <v>5781</v>
      </c>
      <c r="BK28">
        <v>300</v>
      </c>
      <c r="BL28">
        <v>300</v>
      </c>
      <c r="BM28">
        <v>300</v>
      </c>
      <c r="BN28">
        <v>9869.74</v>
      </c>
      <c r="BO28">
        <v>355.11500000000001</v>
      </c>
      <c r="BP28">
        <v>-6.4012899999999996E-3</v>
      </c>
      <c r="BQ28">
        <v>0.95333900000000005</v>
      </c>
      <c r="BR28">
        <f t="shared" si="39"/>
        <v>2200.00419354839</v>
      </c>
      <c r="BS28">
        <f t="shared" si="40"/>
        <v>1849.1891222896375</v>
      </c>
      <c r="BT28">
        <f t="shared" si="41"/>
        <v>0.84053890793138786</v>
      </c>
      <c r="BU28">
        <f t="shared" si="42"/>
        <v>0.19107781586277567</v>
      </c>
      <c r="BV28">
        <v>0.5</v>
      </c>
      <c r="BW28" t="s">
        <v>281</v>
      </c>
      <c r="BX28">
        <v>1596820051.5999999</v>
      </c>
      <c r="BY28">
        <v>981.551774193548</v>
      </c>
      <c r="BZ28">
        <v>1000.03216129032</v>
      </c>
      <c r="CA28">
        <v>18.386058064516099</v>
      </c>
      <c r="CB28">
        <v>17.357638709677399</v>
      </c>
      <c r="CC28">
        <v>500.07790322580598</v>
      </c>
      <c r="CD28">
        <v>99.760429032258102</v>
      </c>
      <c r="CE28">
        <v>0.200012935483871</v>
      </c>
      <c r="CF28">
        <v>25.822258064516099</v>
      </c>
      <c r="CG28">
        <v>26.9970903225806</v>
      </c>
      <c r="CH28">
        <v>999.9</v>
      </c>
      <c r="CI28">
        <v>10000.6812903226</v>
      </c>
      <c r="CJ28">
        <v>0</v>
      </c>
      <c r="CK28">
        <v>361.41361290322601</v>
      </c>
      <c r="CL28">
        <v>2200.00419354839</v>
      </c>
      <c r="CM28">
        <v>0.98199499999999995</v>
      </c>
      <c r="CN28">
        <v>1.8004599999999999E-2</v>
      </c>
      <c r="CO28">
        <v>0</v>
      </c>
      <c r="CP28">
        <v>267.36696774193501</v>
      </c>
      <c r="CQ28">
        <v>5.00054</v>
      </c>
      <c r="CR28">
        <v>8487.1954838709698</v>
      </c>
      <c r="CS28">
        <v>20590.548387096798</v>
      </c>
      <c r="CT28">
        <v>49.263806451612901</v>
      </c>
      <c r="CU28">
        <v>51.612806451612897</v>
      </c>
      <c r="CV28">
        <v>49.820129032258002</v>
      </c>
      <c r="CW28">
        <v>50.142935483871</v>
      </c>
      <c r="CX28">
        <v>50.558064516129001</v>
      </c>
      <c r="CY28">
        <v>2155.4841935483901</v>
      </c>
      <c r="CZ28">
        <v>39.520000000000003</v>
      </c>
      <c r="DA28">
        <v>0</v>
      </c>
      <c r="DB28">
        <v>144.799999952316</v>
      </c>
      <c r="DC28">
        <v>267.31587999999999</v>
      </c>
      <c r="DD28">
        <v>-2.2206153866655201</v>
      </c>
      <c r="DE28">
        <v>-69.653846224502999</v>
      </c>
      <c r="DF28">
        <v>8486.1044000000002</v>
      </c>
      <c r="DG28">
        <v>15</v>
      </c>
      <c r="DH28">
        <v>1596820089.5999999</v>
      </c>
      <c r="DI28" t="s">
        <v>344</v>
      </c>
      <c r="DJ28">
        <v>41</v>
      </c>
      <c r="DK28">
        <v>6.0000000000000001E-3</v>
      </c>
      <c r="DL28">
        <v>0.121</v>
      </c>
      <c r="DM28">
        <v>1000</v>
      </c>
      <c r="DN28">
        <v>17</v>
      </c>
      <c r="DO28">
        <v>0.1</v>
      </c>
      <c r="DP28">
        <v>0.08</v>
      </c>
      <c r="DQ28">
        <v>981.14194230769203</v>
      </c>
      <c r="DR28">
        <v>1.1003312558693901</v>
      </c>
      <c r="DS28">
        <v>0.145876582907705</v>
      </c>
      <c r="DT28">
        <v>0</v>
      </c>
      <c r="DU28">
        <v>18.436126923076898</v>
      </c>
      <c r="DV28">
        <v>-0.49950550670195698</v>
      </c>
      <c r="DW28">
        <v>6.3024025075255397E-2</v>
      </c>
      <c r="DX28">
        <v>0</v>
      </c>
      <c r="DY28">
        <v>0</v>
      </c>
      <c r="DZ28">
        <v>2</v>
      </c>
      <c r="EA28" t="s">
        <v>334</v>
      </c>
      <c r="EB28">
        <v>1.8667100000000001</v>
      </c>
      <c r="EC28">
        <v>1.8632299999999999</v>
      </c>
      <c r="ED28">
        <v>1.8689</v>
      </c>
      <c r="EE28">
        <v>1.8668100000000001</v>
      </c>
      <c r="EF28">
        <v>1.8714900000000001</v>
      </c>
      <c r="EG28">
        <v>1.8640000000000001</v>
      </c>
      <c r="EH28">
        <v>1.86555</v>
      </c>
      <c r="EI28">
        <v>1.8654999999999999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6.0000000000000001E-3</v>
      </c>
      <c r="EX28">
        <v>0.121</v>
      </c>
      <c r="EY28">
        <v>2</v>
      </c>
      <c r="EZ28">
        <v>339.428</v>
      </c>
      <c r="FA28">
        <v>500.41300000000001</v>
      </c>
      <c r="FB28">
        <v>18.873899999999999</v>
      </c>
      <c r="FC28">
        <v>33.600700000000003</v>
      </c>
      <c r="FD28">
        <v>29.998799999999999</v>
      </c>
      <c r="FE28">
        <v>33.578899999999997</v>
      </c>
      <c r="FF28">
        <v>33.577800000000003</v>
      </c>
      <c r="FG28">
        <v>46.120600000000003</v>
      </c>
      <c r="FH28">
        <v>37.768599999999999</v>
      </c>
      <c r="FI28">
        <v>0</v>
      </c>
      <c r="FJ28">
        <v>19.152999999999999</v>
      </c>
      <c r="FK28">
        <v>1000</v>
      </c>
      <c r="FL28">
        <v>17.3444</v>
      </c>
      <c r="FM28">
        <v>100.779</v>
      </c>
      <c r="FN28">
        <v>101.265</v>
      </c>
    </row>
    <row r="29" spans="1:170" x14ac:dyDescent="0.25">
      <c r="A29">
        <v>13</v>
      </c>
      <c r="B29">
        <v>1596820211.0999999</v>
      </c>
      <c r="C29">
        <v>1612.0999999046301</v>
      </c>
      <c r="D29" t="s">
        <v>345</v>
      </c>
      <c r="E29" t="s">
        <v>346</v>
      </c>
      <c r="G29">
        <v>1596820203.0999999</v>
      </c>
      <c r="H29">
        <f t="shared" si="0"/>
        <v>2.4700547440833767E-3</v>
      </c>
      <c r="I29">
        <f t="shared" si="1"/>
        <v>44.512898906204221</v>
      </c>
      <c r="J29">
        <f t="shared" si="2"/>
        <v>1181.1191612903201</v>
      </c>
      <c r="K29">
        <f t="shared" si="3"/>
        <v>642.40747438221638</v>
      </c>
      <c r="L29">
        <f t="shared" si="4"/>
        <v>64.215308226573072</v>
      </c>
      <c r="M29">
        <f t="shared" si="5"/>
        <v>118.0651440388487</v>
      </c>
      <c r="N29">
        <f t="shared" si="6"/>
        <v>0.14164823607513918</v>
      </c>
      <c r="O29">
        <f t="shared" si="7"/>
        <v>3.3931051630288156</v>
      </c>
      <c r="P29">
        <f t="shared" si="8"/>
        <v>0.13844328489100513</v>
      </c>
      <c r="Q29">
        <f t="shared" si="9"/>
        <v>8.6808965447382827E-2</v>
      </c>
      <c r="R29">
        <f t="shared" si="10"/>
        <v>353.33881266957246</v>
      </c>
      <c r="S29">
        <f t="shared" si="11"/>
        <v>26.86712132168061</v>
      </c>
      <c r="T29">
        <f t="shared" si="12"/>
        <v>26.982193548387102</v>
      </c>
      <c r="U29">
        <f t="shared" si="13"/>
        <v>3.5754182549524258</v>
      </c>
      <c r="V29">
        <f t="shared" si="14"/>
        <v>55.814109180576075</v>
      </c>
      <c r="W29">
        <f t="shared" si="15"/>
        <v>1.8402735471864564</v>
      </c>
      <c r="X29">
        <f t="shared" si="16"/>
        <v>3.2971475746976391</v>
      </c>
      <c r="Y29">
        <f t="shared" si="17"/>
        <v>1.7351447077659694</v>
      </c>
      <c r="Z29">
        <f t="shared" si="18"/>
        <v>-108.92941421407691</v>
      </c>
      <c r="AA29">
        <f t="shared" si="19"/>
        <v>-251.03417419301365</v>
      </c>
      <c r="AB29">
        <f t="shared" si="20"/>
        <v>-15.854477664256656</v>
      </c>
      <c r="AC29">
        <f t="shared" si="21"/>
        <v>-22.47925340177477</v>
      </c>
      <c r="AD29">
        <v>-4.1340913686356603E-2</v>
      </c>
      <c r="AE29">
        <v>4.6408797275885899E-2</v>
      </c>
      <c r="AF29">
        <v>3.4656512232224701</v>
      </c>
      <c r="AG29">
        <v>144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52963.037040296847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266.54512</v>
      </c>
      <c r="AT29">
        <v>392.90899999999999</v>
      </c>
      <c r="AU29">
        <f t="shared" si="27"/>
        <v>0.32161106006734386</v>
      </c>
      <c r="AV29">
        <v>0.5</v>
      </c>
      <c r="AW29">
        <f t="shared" si="28"/>
        <v>1849.1880384186697</v>
      </c>
      <c r="AX29">
        <f t="shared" si="29"/>
        <v>44.512898906204221</v>
      </c>
      <c r="AY29">
        <f t="shared" si="30"/>
        <v>297.35966264984029</v>
      </c>
      <c r="AZ29">
        <f t="shared" si="31"/>
        <v>0.53765375697680629</v>
      </c>
      <c r="BA29">
        <f t="shared" si="32"/>
        <v>2.4612369299730333E-2</v>
      </c>
      <c r="BB29">
        <f t="shared" si="33"/>
        <v>-1</v>
      </c>
      <c r="BC29" t="s">
        <v>348</v>
      </c>
      <c r="BD29">
        <v>181.66</v>
      </c>
      <c r="BE29">
        <f t="shared" si="34"/>
        <v>211.249</v>
      </c>
      <c r="BF29">
        <f t="shared" si="35"/>
        <v>0.59817504461559579</v>
      </c>
      <c r="BG29">
        <f t="shared" si="36"/>
        <v>2.1628812066497853</v>
      </c>
      <c r="BH29">
        <f t="shared" si="37"/>
        <v>0.32161106006734386</v>
      </c>
      <c r="BI29" t="e">
        <f t="shared" si="38"/>
        <v>#DIV/0!</v>
      </c>
      <c r="BJ29">
        <v>5783</v>
      </c>
      <c r="BK29">
        <v>300</v>
      </c>
      <c r="BL29">
        <v>300</v>
      </c>
      <c r="BM29">
        <v>300</v>
      </c>
      <c r="BN29">
        <v>9869.9</v>
      </c>
      <c r="BO29">
        <v>354.029</v>
      </c>
      <c r="BP29">
        <v>-6.4013100000000003E-3</v>
      </c>
      <c r="BQ29">
        <v>1.1617999999999999</v>
      </c>
      <c r="BR29">
        <f t="shared" si="39"/>
        <v>2200.0029032258099</v>
      </c>
      <c r="BS29">
        <f t="shared" si="40"/>
        <v>1849.1880384186697</v>
      </c>
      <c r="BT29">
        <f t="shared" si="41"/>
        <v>0.84053890824746236</v>
      </c>
      <c r="BU29">
        <f t="shared" si="42"/>
        <v>0.19107781649492475</v>
      </c>
      <c r="BV29">
        <v>0.5</v>
      </c>
      <c r="BW29" t="s">
        <v>281</v>
      </c>
      <c r="BX29">
        <v>1596820203.0999999</v>
      </c>
      <c r="BY29">
        <v>1181.1191612903201</v>
      </c>
      <c r="BZ29">
        <v>1200.08838709677</v>
      </c>
      <c r="CA29">
        <v>18.4100258064516</v>
      </c>
      <c r="CB29">
        <v>17.4403419354839</v>
      </c>
      <c r="CC29">
        <v>500.07658064516102</v>
      </c>
      <c r="CD29">
        <v>99.760390322580704</v>
      </c>
      <c r="CE29">
        <v>0.200009870967742</v>
      </c>
      <c r="CF29">
        <v>25.6098903225806</v>
      </c>
      <c r="CG29">
        <v>26.982193548387102</v>
      </c>
      <c r="CH29">
        <v>999.9</v>
      </c>
      <c r="CI29">
        <v>9993.5077419354802</v>
      </c>
      <c r="CJ29">
        <v>0</v>
      </c>
      <c r="CK29">
        <v>366.06129032258099</v>
      </c>
      <c r="CL29">
        <v>2200.0029032258099</v>
      </c>
      <c r="CM29">
        <v>0.98199461290322598</v>
      </c>
      <c r="CN29">
        <v>1.80050064516129E-2</v>
      </c>
      <c r="CO29">
        <v>0</v>
      </c>
      <c r="CP29">
        <v>266.543322580645</v>
      </c>
      <c r="CQ29">
        <v>5.00054</v>
      </c>
      <c r="CR29">
        <v>8482.1603225806393</v>
      </c>
      <c r="CS29">
        <v>20590.525806451598</v>
      </c>
      <c r="CT29">
        <v>49.243806451612897</v>
      </c>
      <c r="CU29">
        <v>51.612806451612897</v>
      </c>
      <c r="CV29">
        <v>49.816064516129003</v>
      </c>
      <c r="CW29">
        <v>50.151000000000003</v>
      </c>
      <c r="CX29">
        <v>50.542000000000002</v>
      </c>
      <c r="CY29">
        <v>2155.4829032258099</v>
      </c>
      <c r="CZ29">
        <v>39.520000000000003</v>
      </c>
      <c r="DA29">
        <v>0</v>
      </c>
      <c r="DB29">
        <v>150.60000014305101</v>
      </c>
      <c r="DC29">
        <v>266.54512</v>
      </c>
      <c r="DD29">
        <v>-0.97184613949861898</v>
      </c>
      <c r="DE29">
        <v>15.555384544244999</v>
      </c>
      <c r="DF29">
        <v>8481.9312000000009</v>
      </c>
      <c r="DG29">
        <v>15</v>
      </c>
      <c r="DH29">
        <v>1596820244.0999999</v>
      </c>
      <c r="DI29" t="s">
        <v>349</v>
      </c>
      <c r="DJ29">
        <v>42</v>
      </c>
      <c r="DK29">
        <v>-0.03</v>
      </c>
      <c r="DL29">
        <v>0.121</v>
      </c>
      <c r="DM29">
        <v>1200</v>
      </c>
      <c r="DN29">
        <v>17</v>
      </c>
      <c r="DO29">
        <v>0.19</v>
      </c>
      <c r="DP29">
        <v>0.08</v>
      </c>
      <c r="DQ29">
        <v>1181.17461538462</v>
      </c>
      <c r="DR29">
        <v>-0.202646631947345</v>
      </c>
      <c r="DS29">
        <v>3.9441365363978999E-2</v>
      </c>
      <c r="DT29">
        <v>1</v>
      </c>
      <c r="DU29">
        <v>18.358578846153801</v>
      </c>
      <c r="DV29">
        <v>0.49769469819857998</v>
      </c>
      <c r="DW29">
        <v>7.2366812241891995E-2</v>
      </c>
      <c r="DX29">
        <v>0</v>
      </c>
      <c r="DY29">
        <v>1</v>
      </c>
      <c r="DZ29">
        <v>2</v>
      </c>
      <c r="EA29" t="s">
        <v>303</v>
      </c>
      <c r="EB29">
        <v>1.8667499999999999</v>
      </c>
      <c r="EC29">
        <v>1.8632200000000001</v>
      </c>
      <c r="ED29">
        <v>1.8689</v>
      </c>
      <c r="EE29">
        <v>1.86677</v>
      </c>
      <c r="EF29">
        <v>1.87151</v>
      </c>
      <c r="EG29">
        <v>1.8640099999999999</v>
      </c>
      <c r="EH29">
        <v>1.86555</v>
      </c>
      <c r="EI29">
        <v>1.8655299999999999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-0.03</v>
      </c>
      <c r="EX29">
        <v>0.121</v>
      </c>
      <c r="EY29">
        <v>2</v>
      </c>
      <c r="EZ29">
        <v>338.483</v>
      </c>
      <c r="FA29">
        <v>500.49299999999999</v>
      </c>
      <c r="FB29">
        <v>19.160900000000002</v>
      </c>
      <c r="FC29">
        <v>33.625</v>
      </c>
      <c r="FD29">
        <v>30.0015</v>
      </c>
      <c r="FE29">
        <v>33.613</v>
      </c>
      <c r="FF29">
        <v>33.613700000000001</v>
      </c>
      <c r="FG29">
        <v>53.3889</v>
      </c>
      <c r="FH29">
        <v>38.874099999999999</v>
      </c>
      <c r="FI29">
        <v>0</v>
      </c>
      <c r="FJ29">
        <v>19.042400000000001</v>
      </c>
      <c r="FK29">
        <v>1200</v>
      </c>
      <c r="FL29">
        <v>17.2242</v>
      </c>
      <c r="FM29">
        <v>100.783</v>
      </c>
      <c r="FN29">
        <v>101.27200000000001</v>
      </c>
    </row>
    <row r="30" spans="1:170" x14ac:dyDescent="0.25">
      <c r="A30">
        <v>14</v>
      </c>
      <c r="B30">
        <v>1596820365.5999999</v>
      </c>
      <c r="C30">
        <v>1766.5999999046301</v>
      </c>
      <c r="D30" t="s">
        <v>350</v>
      </c>
      <c r="E30" t="s">
        <v>351</v>
      </c>
      <c r="G30">
        <v>1596820357.5999999</v>
      </c>
      <c r="H30">
        <f t="shared" si="0"/>
        <v>2.1862385222110579E-3</v>
      </c>
      <c r="I30">
        <f t="shared" si="1"/>
        <v>48.990259014048185</v>
      </c>
      <c r="J30">
        <f t="shared" si="2"/>
        <v>1579.1135483871001</v>
      </c>
      <c r="K30">
        <f t="shared" si="3"/>
        <v>880.28926339030158</v>
      </c>
      <c r="L30">
        <f t="shared" si="4"/>
        <v>87.993555265759298</v>
      </c>
      <c r="M30">
        <f t="shared" si="5"/>
        <v>157.84790417158734</v>
      </c>
      <c r="N30">
        <f t="shared" si="6"/>
        <v>0.12031418776053202</v>
      </c>
      <c r="O30">
        <f t="shared" si="7"/>
        <v>3.3937111724039419</v>
      </c>
      <c r="P30">
        <f t="shared" si="8"/>
        <v>0.11799383207697019</v>
      </c>
      <c r="Q30">
        <f t="shared" si="9"/>
        <v>7.3950892531812806E-2</v>
      </c>
      <c r="R30">
        <f t="shared" si="10"/>
        <v>353.33826432045873</v>
      </c>
      <c r="S30">
        <f t="shared" si="11"/>
        <v>26.956356804529293</v>
      </c>
      <c r="T30">
        <f t="shared" si="12"/>
        <v>27.2296709677419</v>
      </c>
      <c r="U30">
        <f t="shared" si="13"/>
        <v>3.6277246852303278</v>
      </c>
      <c r="V30">
        <f t="shared" si="14"/>
        <v>55.303441138581491</v>
      </c>
      <c r="W30">
        <f t="shared" si="15"/>
        <v>1.8261536766359809</v>
      </c>
      <c r="X30">
        <f t="shared" si="16"/>
        <v>3.3020615698396321</v>
      </c>
      <c r="Y30">
        <f t="shared" si="17"/>
        <v>1.8015710085943468</v>
      </c>
      <c r="Z30">
        <f t="shared" si="18"/>
        <v>-96.413118829507653</v>
      </c>
      <c r="AA30">
        <f t="shared" si="19"/>
        <v>-291.76616245589094</v>
      </c>
      <c r="AB30">
        <f t="shared" si="20"/>
        <v>-18.448896622483051</v>
      </c>
      <c r="AC30">
        <f t="shared" si="21"/>
        <v>-53.289913587422916</v>
      </c>
      <c r="AD30">
        <v>-4.1350299719545999E-2</v>
      </c>
      <c r="AE30">
        <v>4.6419333920402803E-2</v>
      </c>
      <c r="AF30">
        <v>3.46627370344132</v>
      </c>
      <c r="AG30">
        <v>143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52970.108079106067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264.31436000000002</v>
      </c>
      <c r="AT30">
        <v>387.01600000000002</v>
      </c>
      <c r="AU30">
        <f t="shared" si="27"/>
        <v>0.31704539347210448</v>
      </c>
      <c r="AV30">
        <v>0.5</v>
      </c>
      <c r="AW30">
        <f t="shared" si="28"/>
        <v>1849.1857977769928</v>
      </c>
      <c r="AX30">
        <f t="shared" si="29"/>
        <v>48.990259014048185</v>
      </c>
      <c r="AY30">
        <f t="shared" si="30"/>
        <v>293.13791942961706</v>
      </c>
      <c r="AZ30">
        <f t="shared" si="31"/>
        <v>0.53779688695041039</v>
      </c>
      <c r="BA30">
        <f t="shared" si="32"/>
        <v>2.7033659394390876E-2</v>
      </c>
      <c r="BB30">
        <f t="shared" si="33"/>
        <v>-1</v>
      </c>
      <c r="BC30" t="s">
        <v>353</v>
      </c>
      <c r="BD30">
        <v>178.88</v>
      </c>
      <c r="BE30">
        <f t="shared" si="34"/>
        <v>208.13600000000002</v>
      </c>
      <c r="BF30">
        <f t="shared" si="35"/>
        <v>0.58952627128416024</v>
      </c>
      <c r="BG30">
        <f t="shared" si="36"/>
        <v>2.1635509838998215</v>
      </c>
      <c r="BH30">
        <f t="shared" si="37"/>
        <v>0.31704539347210448</v>
      </c>
      <c r="BI30" t="e">
        <f t="shared" si="38"/>
        <v>#DIV/0!</v>
      </c>
      <c r="BJ30">
        <v>5785</v>
      </c>
      <c r="BK30">
        <v>300</v>
      </c>
      <c r="BL30">
        <v>300</v>
      </c>
      <c r="BM30">
        <v>300</v>
      </c>
      <c r="BN30">
        <v>9870.8700000000008</v>
      </c>
      <c r="BO30">
        <v>351.61900000000003</v>
      </c>
      <c r="BP30">
        <v>-6.4021199999999999E-3</v>
      </c>
      <c r="BQ30">
        <v>1.6646099999999999</v>
      </c>
      <c r="BR30">
        <f t="shared" si="39"/>
        <v>2200.0003225806399</v>
      </c>
      <c r="BS30">
        <f t="shared" si="40"/>
        <v>1849.1857977769928</v>
      </c>
      <c r="BT30">
        <f t="shared" si="41"/>
        <v>0.84053887574337471</v>
      </c>
      <c r="BU30">
        <f t="shared" si="42"/>
        <v>0.19107775148674944</v>
      </c>
      <c r="BV30">
        <v>0.5</v>
      </c>
      <c r="BW30" t="s">
        <v>281</v>
      </c>
      <c r="BX30">
        <v>1596820357.5999999</v>
      </c>
      <c r="BY30">
        <v>1579.1135483871001</v>
      </c>
      <c r="BZ30">
        <v>1600.0877419354799</v>
      </c>
      <c r="CA30">
        <v>18.268877419354801</v>
      </c>
      <c r="CB30">
        <v>17.410474193548399</v>
      </c>
      <c r="CC30">
        <v>500.06764516128999</v>
      </c>
      <c r="CD30">
        <v>99.759845161290301</v>
      </c>
      <c r="CE30">
        <v>0.19997364516128999</v>
      </c>
      <c r="CF30">
        <v>25.6349870967742</v>
      </c>
      <c r="CG30">
        <v>27.2296709677419</v>
      </c>
      <c r="CH30">
        <v>999.9</v>
      </c>
      <c r="CI30">
        <v>9995.8312903225797</v>
      </c>
      <c r="CJ30">
        <v>0</v>
      </c>
      <c r="CK30">
        <v>371.85412903225802</v>
      </c>
      <c r="CL30">
        <v>2200.0003225806399</v>
      </c>
      <c r="CM30">
        <v>0.98199483870967696</v>
      </c>
      <c r="CN30">
        <v>1.8004925806451601E-2</v>
      </c>
      <c r="CO30">
        <v>0</v>
      </c>
      <c r="CP30">
        <v>264.31909677419401</v>
      </c>
      <c r="CQ30">
        <v>5.00054</v>
      </c>
      <c r="CR30">
        <v>8446.1651612903206</v>
      </c>
      <c r="CS30">
        <v>20590.5</v>
      </c>
      <c r="CT30">
        <v>49.058064516129001</v>
      </c>
      <c r="CU30">
        <v>51.374935483870999</v>
      </c>
      <c r="CV30">
        <v>49.616870967741903</v>
      </c>
      <c r="CW30">
        <v>49.937258064516101</v>
      </c>
      <c r="CX30">
        <v>50.370935483871001</v>
      </c>
      <c r="CY30">
        <v>2155.4745161290298</v>
      </c>
      <c r="CZ30">
        <v>39.517419354838701</v>
      </c>
      <c r="DA30">
        <v>0</v>
      </c>
      <c r="DB30">
        <v>153.90000009536701</v>
      </c>
      <c r="DC30">
        <v>264.31436000000002</v>
      </c>
      <c r="DD30">
        <v>4.09984615955437</v>
      </c>
      <c r="DE30">
        <v>66.513077027949294</v>
      </c>
      <c r="DF30">
        <v>8446.2492000000002</v>
      </c>
      <c r="DG30">
        <v>15</v>
      </c>
      <c r="DH30">
        <v>1596820395.5999999</v>
      </c>
      <c r="DI30" t="s">
        <v>354</v>
      </c>
      <c r="DJ30">
        <v>43</v>
      </c>
      <c r="DK30">
        <v>-0.2</v>
      </c>
      <c r="DL30">
        <v>0.122</v>
      </c>
      <c r="DM30">
        <v>1600</v>
      </c>
      <c r="DN30">
        <v>17</v>
      </c>
      <c r="DO30">
        <v>0.16</v>
      </c>
      <c r="DP30">
        <v>0.1</v>
      </c>
      <c r="DQ30">
        <v>1579.1657692307699</v>
      </c>
      <c r="DR30">
        <v>1.2447707675233799</v>
      </c>
      <c r="DS30">
        <v>0.15760644942200799</v>
      </c>
      <c r="DT30">
        <v>0</v>
      </c>
      <c r="DU30">
        <v>18.2925519230769</v>
      </c>
      <c r="DV30">
        <v>-0.30170221121829799</v>
      </c>
      <c r="DW30">
        <v>4.7295415660036297E-2</v>
      </c>
      <c r="DX30">
        <v>0</v>
      </c>
      <c r="DY30">
        <v>0</v>
      </c>
      <c r="DZ30">
        <v>2</v>
      </c>
      <c r="EA30" t="s">
        <v>334</v>
      </c>
      <c r="EB30">
        <v>1.86663</v>
      </c>
      <c r="EC30">
        <v>1.86313</v>
      </c>
      <c r="ED30">
        <v>1.86883</v>
      </c>
      <c r="EE30">
        <v>1.86676</v>
      </c>
      <c r="EF30">
        <v>1.87147</v>
      </c>
      <c r="EG30">
        <v>1.86395</v>
      </c>
      <c r="EH30">
        <v>1.86554</v>
      </c>
      <c r="EI30">
        <v>1.8653999999999999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-0.2</v>
      </c>
      <c r="EX30">
        <v>0.122</v>
      </c>
      <c r="EY30">
        <v>2</v>
      </c>
      <c r="EZ30">
        <v>339.50400000000002</v>
      </c>
      <c r="FA30">
        <v>501.57400000000001</v>
      </c>
      <c r="FB30">
        <v>18.779499999999999</v>
      </c>
      <c r="FC30">
        <v>33.550800000000002</v>
      </c>
      <c r="FD30">
        <v>30.003299999999999</v>
      </c>
      <c r="FE30">
        <v>33.5824</v>
      </c>
      <c r="FF30">
        <v>33.586799999999997</v>
      </c>
      <c r="FG30">
        <v>67.109499999999997</v>
      </c>
      <c r="FH30">
        <v>38.658099999999997</v>
      </c>
      <c r="FI30">
        <v>0</v>
      </c>
      <c r="FJ30">
        <v>18.616299999999999</v>
      </c>
      <c r="FK30">
        <v>1600</v>
      </c>
      <c r="FL30">
        <v>17.406099999999999</v>
      </c>
      <c r="FM30">
        <v>100.788</v>
      </c>
      <c r="FN30">
        <v>101.28400000000001</v>
      </c>
    </row>
    <row r="31" spans="1:170" x14ac:dyDescent="0.25">
      <c r="A31">
        <v>15</v>
      </c>
      <c r="B31">
        <v>1596820513.0999999</v>
      </c>
      <c r="C31">
        <v>1914.0999999046301</v>
      </c>
      <c r="D31" t="s">
        <v>355</v>
      </c>
      <c r="E31" t="s">
        <v>356</v>
      </c>
      <c r="G31">
        <v>1596820505.0999999</v>
      </c>
      <c r="H31">
        <f t="shared" si="0"/>
        <v>1.626167425785017E-3</v>
      </c>
      <c r="I31">
        <f t="shared" si="1"/>
        <v>46.385567971004022</v>
      </c>
      <c r="J31">
        <f t="shared" si="2"/>
        <v>1780.2579677419401</v>
      </c>
      <c r="K31">
        <f t="shared" si="3"/>
        <v>912.35234197901048</v>
      </c>
      <c r="L31">
        <f t="shared" si="4"/>
        <v>91.19556667789999</v>
      </c>
      <c r="M31">
        <f t="shared" si="5"/>
        <v>177.94839420142341</v>
      </c>
      <c r="N31">
        <f t="shared" si="6"/>
        <v>9.0685988669172851E-2</v>
      </c>
      <c r="O31">
        <f t="shared" si="7"/>
        <v>3.3932648874969242</v>
      </c>
      <c r="P31">
        <f t="shared" si="8"/>
        <v>8.9360772448646833E-2</v>
      </c>
      <c r="Q31">
        <f t="shared" si="9"/>
        <v>5.5967934896498664E-2</v>
      </c>
      <c r="R31">
        <f t="shared" si="10"/>
        <v>353.33657207413972</v>
      </c>
      <c r="S31">
        <f t="shared" si="11"/>
        <v>27.06540322058202</v>
      </c>
      <c r="T31">
        <f t="shared" si="12"/>
        <v>27.046600000000002</v>
      </c>
      <c r="U31">
        <f t="shared" si="13"/>
        <v>3.5889673240475521</v>
      </c>
      <c r="V31">
        <f t="shared" si="14"/>
        <v>55.151948200289105</v>
      </c>
      <c r="W31">
        <f t="shared" si="15"/>
        <v>1.8191890262521844</v>
      </c>
      <c r="X31">
        <f t="shared" si="16"/>
        <v>3.2985036532991385</v>
      </c>
      <c r="Y31">
        <f t="shared" si="17"/>
        <v>1.7697782977953678</v>
      </c>
      <c r="Z31">
        <f t="shared" si="18"/>
        <v>-71.713983477119257</v>
      </c>
      <c r="AA31">
        <f t="shared" si="19"/>
        <v>-261.56077789013705</v>
      </c>
      <c r="AB31">
        <f t="shared" si="20"/>
        <v>-16.524438868382287</v>
      </c>
      <c r="AC31">
        <f t="shared" si="21"/>
        <v>3.5373718385011443</v>
      </c>
      <c r="AD31">
        <v>-4.13433874676623E-2</v>
      </c>
      <c r="AE31">
        <v>4.6411574312116698E-2</v>
      </c>
      <c r="AF31">
        <v>3.46581528874334</v>
      </c>
      <c r="AG31">
        <v>142</v>
      </c>
      <c r="AH31">
        <v>28</v>
      </c>
      <c r="AI31">
        <f t="shared" si="22"/>
        <v>1</v>
      </c>
      <c r="AJ31">
        <f t="shared" si="23"/>
        <v>0</v>
      </c>
      <c r="AK31">
        <f t="shared" si="24"/>
        <v>52964.764893415231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262.38440000000003</v>
      </c>
      <c r="AT31">
        <v>383.642</v>
      </c>
      <c r="AU31">
        <f t="shared" si="27"/>
        <v>0.31606966911860523</v>
      </c>
      <c r="AV31">
        <v>0.5</v>
      </c>
      <c r="AW31">
        <f t="shared" si="28"/>
        <v>1849.1763724922935</v>
      </c>
      <c r="AX31">
        <f t="shared" si="29"/>
        <v>46.385567971004022</v>
      </c>
      <c r="AY31">
        <f t="shared" si="30"/>
        <v>292.23428209779092</v>
      </c>
      <c r="AZ31">
        <f t="shared" si="31"/>
        <v>0.52872730305858062</v>
      </c>
      <c r="BA31">
        <f t="shared" si="32"/>
        <v>2.5625228980802103E-2</v>
      </c>
      <c r="BB31">
        <f t="shared" si="33"/>
        <v>-1</v>
      </c>
      <c r="BC31" t="s">
        <v>358</v>
      </c>
      <c r="BD31">
        <v>180.8</v>
      </c>
      <c r="BE31">
        <f t="shared" si="34"/>
        <v>202.84199999999998</v>
      </c>
      <c r="BF31">
        <f t="shared" si="35"/>
        <v>0.59779335640547804</v>
      </c>
      <c r="BG31">
        <f t="shared" si="36"/>
        <v>2.1219137168141593</v>
      </c>
      <c r="BH31">
        <f t="shared" si="37"/>
        <v>0.31606966911860529</v>
      </c>
      <c r="BI31" t="e">
        <f t="shared" si="38"/>
        <v>#DIV/0!</v>
      </c>
      <c r="BJ31">
        <v>5787</v>
      </c>
      <c r="BK31">
        <v>300</v>
      </c>
      <c r="BL31">
        <v>300</v>
      </c>
      <c r="BM31">
        <v>300</v>
      </c>
      <c r="BN31">
        <v>9871.0300000000007</v>
      </c>
      <c r="BO31">
        <v>346.10300000000001</v>
      </c>
      <c r="BP31">
        <v>-6.4022300000000001E-3</v>
      </c>
      <c r="BQ31">
        <v>0.88922100000000004</v>
      </c>
      <c r="BR31">
        <f t="shared" si="39"/>
        <v>2199.98903225806</v>
      </c>
      <c r="BS31">
        <f t="shared" si="40"/>
        <v>1849.1763724922935</v>
      </c>
      <c r="BT31">
        <f t="shared" si="41"/>
        <v>0.84053890513913432</v>
      </c>
      <c r="BU31">
        <f t="shared" si="42"/>
        <v>0.19107781027826878</v>
      </c>
      <c r="BV31">
        <v>0.5</v>
      </c>
      <c r="BW31" t="s">
        <v>281</v>
      </c>
      <c r="BX31">
        <v>1596820505.0999999</v>
      </c>
      <c r="BY31">
        <v>1780.2579677419401</v>
      </c>
      <c r="BZ31">
        <v>1799.9674193548401</v>
      </c>
      <c r="CA31">
        <v>18.199803225806502</v>
      </c>
      <c r="CB31">
        <v>17.561264516129</v>
      </c>
      <c r="CC31">
        <v>500.07038709677403</v>
      </c>
      <c r="CD31">
        <v>99.7565387096774</v>
      </c>
      <c r="CE31">
        <v>0.19998299999999999</v>
      </c>
      <c r="CF31">
        <v>25.6168193548387</v>
      </c>
      <c r="CG31">
        <v>27.046600000000002</v>
      </c>
      <c r="CH31">
        <v>999.9</v>
      </c>
      <c r="CI31">
        <v>9994.4916129032299</v>
      </c>
      <c r="CJ31">
        <v>0</v>
      </c>
      <c r="CK31">
        <v>375.51177419354798</v>
      </c>
      <c r="CL31">
        <v>2199.98903225806</v>
      </c>
      <c r="CM31">
        <v>0.98199351612903196</v>
      </c>
      <c r="CN31">
        <v>1.80062064516129E-2</v>
      </c>
      <c r="CO31">
        <v>0</v>
      </c>
      <c r="CP31">
        <v>262.35396774193498</v>
      </c>
      <c r="CQ31">
        <v>5.00054</v>
      </c>
      <c r="CR31">
        <v>8406.3709677419301</v>
      </c>
      <c r="CS31">
        <v>20590.3870967742</v>
      </c>
      <c r="CT31">
        <v>48.920999999999999</v>
      </c>
      <c r="CU31">
        <v>51.2458064516129</v>
      </c>
      <c r="CV31">
        <v>49.467516129032298</v>
      </c>
      <c r="CW31">
        <v>49.8708064516129</v>
      </c>
      <c r="CX31">
        <v>50.223516129032198</v>
      </c>
      <c r="CY31">
        <v>2155.46032258065</v>
      </c>
      <c r="CZ31">
        <v>39.519354838709702</v>
      </c>
      <c r="DA31">
        <v>0</v>
      </c>
      <c r="DB31">
        <v>146.799999952316</v>
      </c>
      <c r="DC31">
        <v>262.38440000000003</v>
      </c>
      <c r="DD31">
        <v>-0.128769236616086</v>
      </c>
      <c r="DE31">
        <v>2.0599999540935401</v>
      </c>
      <c r="DF31">
        <v>8406.4444000000003</v>
      </c>
      <c r="DG31">
        <v>15</v>
      </c>
      <c r="DH31">
        <v>1596820541.5999999</v>
      </c>
      <c r="DI31" t="s">
        <v>359</v>
      </c>
      <c r="DJ31">
        <v>44</v>
      </c>
      <c r="DK31">
        <v>0.127</v>
      </c>
      <c r="DL31">
        <v>0.128</v>
      </c>
      <c r="DM31">
        <v>1800</v>
      </c>
      <c r="DN31">
        <v>18</v>
      </c>
      <c r="DO31">
        <v>0.31</v>
      </c>
      <c r="DP31">
        <v>0.15</v>
      </c>
      <c r="DQ31">
        <v>1779.9186538461499</v>
      </c>
      <c r="DR31">
        <v>0.25976265687705302</v>
      </c>
      <c r="DS31">
        <v>6.4092146589420695E-2</v>
      </c>
      <c r="DT31">
        <v>1</v>
      </c>
      <c r="DU31">
        <v>18.194094230769199</v>
      </c>
      <c r="DV31">
        <v>1.4337915137009501E-3</v>
      </c>
      <c r="DW31">
        <v>2.6835262006964298E-3</v>
      </c>
      <c r="DX31">
        <v>1</v>
      </c>
      <c r="DY31">
        <v>2</v>
      </c>
      <c r="DZ31">
        <v>2</v>
      </c>
      <c r="EA31" t="s">
        <v>283</v>
      </c>
      <c r="EB31">
        <v>1.86676</v>
      </c>
      <c r="EC31">
        <v>1.8632</v>
      </c>
      <c r="ED31">
        <v>1.8689</v>
      </c>
      <c r="EE31">
        <v>1.86683</v>
      </c>
      <c r="EF31">
        <v>1.8714900000000001</v>
      </c>
      <c r="EG31">
        <v>1.8640099999999999</v>
      </c>
      <c r="EH31">
        <v>1.86557</v>
      </c>
      <c r="EI31">
        <v>1.86554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0.127</v>
      </c>
      <c r="EX31">
        <v>0.128</v>
      </c>
      <c r="EY31">
        <v>2</v>
      </c>
      <c r="EZ31">
        <v>339.64400000000001</v>
      </c>
      <c r="FA31">
        <v>502.35899999999998</v>
      </c>
      <c r="FB31">
        <v>19.352699999999999</v>
      </c>
      <c r="FC31">
        <v>33.444400000000002</v>
      </c>
      <c r="FD31">
        <v>29.9998</v>
      </c>
      <c r="FE31">
        <v>33.503100000000003</v>
      </c>
      <c r="FF31">
        <v>33.513800000000003</v>
      </c>
      <c r="FG31">
        <v>73.599500000000006</v>
      </c>
      <c r="FH31">
        <v>37.938800000000001</v>
      </c>
      <c r="FI31">
        <v>0</v>
      </c>
      <c r="FJ31">
        <v>19.351800000000001</v>
      </c>
      <c r="FK31">
        <v>1800</v>
      </c>
      <c r="FL31">
        <v>17.552</v>
      </c>
      <c r="FM31">
        <v>100.81399999999999</v>
      </c>
      <c r="FN31">
        <v>101.315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2020-08-07T12:34:02Z</dcterms:created>
  <dcterms:modified xsi:type="dcterms:W3CDTF">2024-11-20T09:03:39Z</dcterms:modified>
</cp:coreProperties>
</file>