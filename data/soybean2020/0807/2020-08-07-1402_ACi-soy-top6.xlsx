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07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R31" i="1"/>
  <c r="BS31" i="1" s="1"/>
  <c r="BI31" i="1"/>
  <c r="BH31" i="1"/>
  <c r="BG31" i="1"/>
  <c r="BF31" i="1"/>
  <c r="BE31" i="1"/>
  <c r="BB31" i="1"/>
  <c r="AZ31" i="1"/>
  <c r="AU31" i="1"/>
  <c r="AO31" i="1"/>
  <c r="AP31" i="1" s="1"/>
  <c r="AK31" i="1"/>
  <c r="AI31" i="1"/>
  <c r="I31" i="1" s="1"/>
  <c r="AX31" i="1" s="1"/>
  <c r="X31" i="1"/>
  <c r="W31" i="1"/>
  <c r="V31" i="1"/>
  <c r="O31" i="1"/>
  <c r="BU30" i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/>
  <c r="H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BB28" i="1"/>
  <c r="AZ28" i="1"/>
  <c r="AU28" i="1"/>
  <c r="AP28" i="1"/>
  <c r="AO28" i="1"/>
  <c r="AK28" i="1"/>
  <c r="AI28" i="1"/>
  <c r="J28" i="1" s="1"/>
  <c r="X28" i="1"/>
  <c r="W28" i="1"/>
  <c r="V28" i="1"/>
  <c r="O28" i="1"/>
  <c r="M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 s="1"/>
  <c r="X27" i="1"/>
  <c r="W27" i="1"/>
  <c r="V27" i="1"/>
  <c r="O27" i="1"/>
  <c r="BU26" i="1"/>
  <c r="BT26" i="1"/>
  <c r="BS26" i="1" s="1"/>
  <c r="BR26" i="1"/>
  <c r="BI26" i="1"/>
  <c r="BH26" i="1"/>
  <c r="BG26" i="1"/>
  <c r="BF26" i="1"/>
  <c r="BE26" i="1"/>
  <c r="BB26" i="1"/>
  <c r="AZ26" i="1"/>
  <c r="AU26" i="1"/>
  <c r="AO26" i="1"/>
  <c r="AP26" i="1" s="1"/>
  <c r="AK26" i="1"/>
  <c r="AI26" i="1"/>
  <c r="I26" i="1" s="1"/>
  <c r="AX26" i="1" s="1"/>
  <c r="X26" i="1"/>
  <c r="V26" i="1" s="1"/>
  <c r="W26" i="1"/>
  <c r="O26" i="1"/>
  <c r="BU25" i="1"/>
  <c r="BT25" i="1"/>
  <c r="BS25" i="1"/>
  <c r="R25" i="1" s="1"/>
  <c r="BR25" i="1"/>
  <c r="BI25" i="1"/>
  <c r="BH25" i="1"/>
  <c r="BG25" i="1"/>
  <c r="BF25" i="1"/>
  <c r="BE25" i="1"/>
  <c r="BB25" i="1"/>
  <c r="AZ25" i="1"/>
  <c r="AU25" i="1"/>
  <c r="AO25" i="1"/>
  <c r="AP25" i="1" s="1"/>
  <c r="AK25" i="1"/>
  <c r="AI25" i="1" s="1"/>
  <c r="X25" i="1"/>
  <c r="V25" i="1" s="1"/>
  <c r="W25" i="1"/>
  <c r="O25" i="1"/>
  <c r="BU24" i="1"/>
  <c r="BT24" i="1"/>
  <c r="BR24" i="1"/>
  <c r="BS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M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BB23" i="1"/>
  <c r="AZ23" i="1"/>
  <c r="AU23" i="1"/>
  <c r="AP23" i="1"/>
  <c r="AO23" i="1"/>
  <c r="AK23" i="1"/>
  <c r="AI23" i="1"/>
  <c r="J23" i="1" s="1"/>
  <c r="X23" i="1"/>
  <c r="W23" i="1"/>
  <c r="V23" i="1"/>
  <c r="O23" i="1"/>
  <c r="M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J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AJ21" i="1" s="1"/>
  <c r="X21" i="1"/>
  <c r="W21" i="1"/>
  <c r="V21" i="1" s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/>
  <c r="M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 s="1"/>
  <c r="X18" i="1"/>
  <c r="W18" i="1"/>
  <c r="V18" i="1"/>
  <c r="O18" i="1"/>
  <c r="J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O17" i="1"/>
  <c r="AP17" i="1" s="1"/>
  <c r="AK17" i="1"/>
  <c r="AI17" i="1" s="1"/>
  <c r="X17" i="1"/>
  <c r="W17" i="1"/>
  <c r="V17" i="1"/>
  <c r="O17" i="1"/>
  <c r="H17" i="1" l="1"/>
  <c r="J17" i="1"/>
  <c r="I17" i="1"/>
  <c r="AX17" i="1" s="1"/>
  <c r="M17" i="1"/>
  <c r="AJ17" i="1"/>
  <c r="AY17" i="1"/>
  <c r="R28" i="1"/>
  <c r="AW28" i="1"/>
  <c r="AY28" i="1" s="1"/>
  <c r="R23" i="1"/>
  <c r="AW23" i="1"/>
  <c r="AY23" i="1" s="1"/>
  <c r="AW30" i="1"/>
  <c r="AY30" i="1" s="1"/>
  <c r="R30" i="1"/>
  <c r="R26" i="1"/>
  <c r="AW26" i="1"/>
  <c r="BA26" i="1" s="1"/>
  <c r="R18" i="1"/>
  <c r="AW18" i="1"/>
  <c r="AY18" i="1" s="1"/>
  <c r="R17" i="1"/>
  <c r="AW17" i="1"/>
  <c r="S25" i="1"/>
  <c r="T25" i="1" s="1"/>
  <c r="AW29" i="1"/>
  <c r="R29" i="1"/>
  <c r="I18" i="1"/>
  <c r="AX18" i="1" s="1"/>
  <c r="H18" i="1"/>
  <c r="AJ18" i="1"/>
  <c r="M18" i="1"/>
  <c r="Z29" i="1"/>
  <c r="AY25" i="1"/>
  <c r="AY29" i="1"/>
  <c r="R22" i="1"/>
  <c r="AW22" i="1"/>
  <c r="AY22" i="1" s="1"/>
  <c r="R21" i="1"/>
  <c r="AW21" i="1"/>
  <c r="AY21" i="1" s="1"/>
  <c r="AY24" i="1"/>
  <c r="M27" i="1"/>
  <c r="J27" i="1"/>
  <c r="I27" i="1"/>
  <c r="AX27" i="1" s="1"/>
  <c r="H27" i="1"/>
  <c r="AJ27" i="1"/>
  <c r="R20" i="1"/>
  <c r="AW20" i="1"/>
  <c r="AY20" i="1" s="1"/>
  <c r="AW24" i="1"/>
  <c r="R24" i="1"/>
  <c r="M30" i="1"/>
  <c r="H30" i="1"/>
  <c r="J30" i="1"/>
  <c r="I30" i="1"/>
  <c r="AX30" i="1" s="1"/>
  <c r="AJ30" i="1"/>
  <c r="R27" i="1"/>
  <c r="AW27" i="1"/>
  <c r="AY27" i="1" s="1"/>
  <c r="R31" i="1"/>
  <c r="AW31" i="1"/>
  <c r="BA31" i="1" s="1"/>
  <c r="AW19" i="1"/>
  <c r="AY19" i="1" s="1"/>
  <c r="R19" i="1"/>
  <c r="J25" i="1"/>
  <c r="I25" i="1"/>
  <c r="AX25" i="1" s="1"/>
  <c r="H25" i="1"/>
  <c r="M25" i="1"/>
  <c r="AJ25" i="1"/>
  <c r="AJ22" i="1"/>
  <c r="H22" i="1"/>
  <c r="M22" i="1"/>
  <c r="J26" i="1"/>
  <c r="J21" i="1"/>
  <c r="I22" i="1"/>
  <c r="AX22" i="1" s="1"/>
  <c r="H31" i="1"/>
  <c r="M21" i="1"/>
  <c r="J31" i="1"/>
  <c r="J20" i="1"/>
  <c r="AJ24" i="1"/>
  <c r="H19" i="1"/>
  <c r="I24" i="1"/>
  <c r="AX24" i="1" s="1"/>
  <c r="BA24" i="1" s="1"/>
  <c r="J24" i="1"/>
  <c r="AJ23" i="1"/>
  <c r="H28" i="1"/>
  <c r="M29" i="1"/>
  <c r="AJ31" i="1"/>
  <c r="AJ26" i="1"/>
  <c r="H21" i="1"/>
  <c r="I21" i="1"/>
  <c r="AX21" i="1" s="1"/>
  <c r="M31" i="1"/>
  <c r="AW25" i="1"/>
  <c r="AJ19" i="1"/>
  <c r="H24" i="1"/>
  <c r="I29" i="1"/>
  <c r="AX29" i="1" s="1"/>
  <c r="BA29" i="1" s="1"/>
  <c r="J29" i="1"/>
  <c r="H23" i="1"/>
  <c r="I28" i="1"/>
  <c r="AX28" i="1" s="1"/>
  <c r="H26" i="1"/>
  <c r="M26" i="1"/>
  <c r="H20" i="1"/>
  <c r="AJ29" i="1"/>
  <c r="I19" i="1"/>
  <c r="AX19" i="1" s="1"/>
  <c r="J19" i="1"/>
  <c r="AJ28" i="1"/>
  <c r="I23" i="1"/>
  <c r="AX23" i="1" s="1"/>
  <c r="BA23" i="1" s="1"/>
  <c r="AJ20" i="1"/>
  <c r="I20" i="1"/>
  <c r="AX20" i="1" s="1"/>
  <c r="BA20" i="1" s="1"/>
  <c r="S21" i="1" l="1"/>
  <c r="T21" i="1" s="1"/>
  <c r="AY26" i="1"/>
  <c r="Z30" i="1"/>
  <c r="AA25" i="1"/>
  <c r="AB25" i="1"/>
  <c r="U25" i="1"/>
  <c r="Y25" i="1" s="1"/>
  <c r="S26" i="1"/>
  <c r="T26" i="1" s="1"/>
  <c r="BA30" i="1"/>
  <c r="AY31" i="1"/>
  <c r="P26" i="1"/>
  <c r="N26" i="1" s="1"/>
  <c r="Q26" i="1" s="1"/>
  <c r="K26" i="1" s="1"/>
  <c r="L26" i="1" s="1"/>
  <c r="Z26" i="1"/>
  <c r="BA28" i="1"/>
  <c r="Z23" i="1"/>
  <c r="P23" i="1"/>
  <c r="N23" i="1" s="1"/>
  <c r="Q23" i="1" s="1"/>
  <c r="K23" i="1" s="1"/>
  <c r="L23" i="1" s="1"/>
  <c r="Z24" i="1"/>
  <c r="P24" i="1"/>
  <c r="N24" i="1" s="1"/>
  <c r="Q24" i="1" s="1"/>
  <c r="K24" i="1" s="1"/>
  <c r="L24" i="1" s="1"/>
  <c r="BA17" i="1"/>
  <c r="S31" i="1"/>
  <c r="T31" i="1" s="1"/>
  <c r="P31" i="1" s="1"/>
  <c r="N31" i="1" s="1"/>
  <c r="Q31" i="1" s="1"/>
  <c r="K31" i="1" s="1"/>
  <c r="L31" i="1" s="1"/>
  <c r="S30" i="1"/>
  <c r="T30" i="1" s="1"/>
  <c r="P30" i="1" s="1"/>
  <c r="N30" i="1" s="1"/>
  <c r="Q30" i="1" s="1"/>
  <c r="K30" i="1" s="1"/>
  <c r="L30" i="1" s="1"/>
  <c r="S27" i="1"/>
  <c r="T27" i="1" s="1"/>
  <c r="S23" i="1"/>
  <c r="T23" i="1" s="1"/>
  <c r="Z20" i="1"/>
  <c r="Z31" i="1"/>
  <c r="BA22" i="1"/>
  <c r="S24" i="1"/>
  <c r="T24" i="1" s="1"/>
  <c r="S29" i="1"/>
  <c r="T29" i="1" s="1"/>
  <c r="Z22" i="1"/>
  <c r="P22" i="1"/>
  <c r="N22" i="1" s="1"/>
  <c r="Q22" i="1" s="1"/>
  <c r="K22" i="1" s="1"/>
  <c r="L22" i="1" s="1"/>
  <c r="S20" i="1"/>
  <c r="T20" i="1" s="1"/>
  <c r="P20" i="1" s="1"/>
  <c r="N20" i="1" s="1"/>
  <c r="Q20" i="1" s="1"/>
  <c r="K20" i="1" s="1"/>
  <c r="L20" i="1" s="1"/>
  <c r="P25" i="1"/>
  <c r="N25" i="1" s="1"/>
  <c r="Q25" i="1" s="1"/>
  <c r="K25" i="1" s="1"/>
  <c r="L25" i="1" s="1"/>
  <c r="Z25" i="1"/>
  <c r="Z27" i="1"/>
  <c r="P27" i="1"/>
  <c r="N27" i="1" s="1"/>
  <c r="Q27" i="1" s="1"/>
  <c r="K27" i="1" s="1"/>
  <c r="L27" i="1" s="1"/>
  <c r="S17" i="1"/>
  <c r="T17" i="1" s="1"/>
  <c r="P21" i="1"/>
  <c r="N21" i="1" s="1"/>
  <c r="Q21" i="1" s="1"/>
  <c r="K21" i="1" s="1"/>
  <c r="L21" i="1" s="1"/>
  <c r="Z21" i="1"/>
  <c r="S19" i="1"/>
  <c r="T19" i="1" s="1"/>
  <c r="S18" i="1"/>
  <c r="T18" i="1" s="1"/>
  <c r="Z28" i="1"/>
  <c r="S22" i="1"/>
  <c r="T22" i="1" s="1"/>
  <c r="Z19" i="1"/>
  <c r="P19" i="1"/>
  <c r="N19" i="1" s="1"/>
  <c r="Q19" i="1" s="1"/>
  <c r="K19" i="1" s="1"/>
  <c r="L19" i="1" s="1"/>
  <c r="BA19" i="1"/>
  <c r="S28" i="1"/>
  <c r="T28" i="1" s="1"/>
  <c r="Z18" i="1"/>
  <c r="P18" i="1"/>
  <c r="N18" i="1" s="1"/>
  <c r="Q18" i="1" s="1"/>
  <c r="K18" i="1" s="1"/>
  <c r="L18" i="1" s="1"/>
  <c r="BA18" i="1"/>
  <c r="BA21" i="1"/>
  <c r="BA25" i="1"/>
  <c r="BA27" i="1"/>
  <c r="Z17" i="1"/>
  <c r="P17" i="1"/>
  <c r="N17" i="1" s="1"/>
  <c r="Q17" i="1" s="1"/>
  <c r="K17" i="1" s="1"/>
  <c r="L17" i="1" s="1"/>
  <c r="AB17" i="1" l="1"/>
  <c r="U17" i="1"/>
  <c r="Y17" i="1" s="1"/>
  <c r="AA17" i="1"/>
  <c r="U26" i="1"/>
  <c r="Y26" i="1" s="1"/>
  <c r="AB26" i="1"/>
  <c r="AA26" i="1"/>
  <c r="AC25" i="1"/>
  <c r="AB23" i="1"/>
  <c r="U23" i="1"/>
  <c r="Y23" i="1" s="1"/>
  <c r="AA23" i="1"/>
  <c r="U30" i="1"/>
  <c r="Y30" i="1" s="1"/>
  <c r="AA30" i="1"/>
  <c r="AB30" i="1"/>
  <c r="AC30" i="1" s="1"/>
  <c r="AB29" i="1"/>
  <c r="AC29" i="1" s="1"/>
  <c r="AA29" i="1"/>
  <c r="U29" i="1"/>
  <c r="Y29" i="1" s="1"/>
  <c r="P29" i="1"/>
  <c r="N29" i="1" s="1"/>
  <c r="Q29" i="1" s="1"/>
  <c r="K29" i="1" s="1"/>
  <c r="L29" i="1" s="1"/>
  <c r="U24" i="1"/>
  <c r="Y24" i="1" s="1"/>
  <c r="AB24" i="1"/>
  <c r="AA24" i="1"/>
  <c r="AB19" i="1"/>
  <c r="AC19" i="1" s="1"/>
  <c r="U19" i="1"/>
  <c r="Y19" i="1" s="1"/>
  <c r="AA19" i="1"/>
  <c r="AA20" i="1"/>
  <c r="AB20" i="1"/>
  <c r="U20" i="1"/>
  <c r="Y20" i="1" s="1"/>
  <c r="AB28" i="1"/>
  <c r="U28" i="1"/>
  <c r="Y28" i="1" s="1"/>
  <c r="AA28" i="1"/>
  <c r="AB22" i="1"/>
  <c r="U22" i="1"/>
  <c r="Y22" i="1" s="1"/>
  <c r="AA22" i="1"/>
  <c r="P28" i="1"/>
  <c r="N28" i="1" s="1"/>
  <c r="Q28" i="1" s="1"/>
  <c r="K28" i="1" s="1"/>
  <c r="L28" i="1" s="1"/>
  <c r="U27" i="1"/>
  <c r="Y27" i="1" s="1"/>
  <c r="AB27" i="1"/>
  <c r="AA27" i="1"/>
  <c r="U31" i="1"/>
  <c r="Y31" i="1" s="1"/>
  <c r="AB31" i="1"/>
  <c r="AA31" i="1"/>
  <c r="AB18" i="1"/>
  <c r="U18" i="1"/>
  <c r="Y18" i="1" s="1"/>
  <c r="AA18" i="1"/>
  <c r="U21" i="1"/>
  <c r="Y21" i="1" s="1"/>
  <c r="AB21" i="1"/>
  <c r="AC21" i="1" s="1"/>
  <c r="AA21" i="1"/>
  <c r="AC24" i="1" l="1"/>
  <c r="AC18" i="1"/>
  <c r="AC22" i="1"/>
  <c r="AC28" i="1"/>
  <c r="AC31" i="1"/>
  <c r="AC27" i="1"/>
  <c r="AC26" i="1"/>
  <c r="AC23" i="1"/>
  <c r="AC20" i="1"/>
  <c r="AC17" i="1"/>
</calcChain>
</file>

<file path=xl/sharedStrings.xml><?xml version="1.0" encoding="utf-8"?>
<sst xmlns="http://schemas.openxmlformats.org/spreadsheetml/2006/main" count="788" uniqueCount="360">
  <si>
    <t>File opened</t>
  </si>
  <si>
    <t>2020-08-07 14:02:16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</si>
  <si>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</si>
  <si>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</si>
  <si>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</si>
  <si>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</si>
  <si>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</si>
  <si>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</si>
  <si>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</si>
  <si>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</si>
  <si>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</si>
  <si>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</si>
  <si>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</si>
  <si>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{"co2aspanconc1": "1002", "chamberpressurezero": "2.59209", "co2azero": "0.869071", "h2oaspan1": "1.00223", "h2oazero": "1.00263", "ssb_ref": "36526.8", "h2obspan2a": "0.0975941", "tazero": "0.00774765", "co2aspan2b": "0.163711", "co2aspan2a": "0.164928", "h2oaspanconc2": "0", "h2oaspan2a": "0.0661155", "co2bspanconc1": "1002", "h2oaspan2b": "0.0662632", "h2obspan2b": "0.0963575", "co2aspanconc2": "0", "h2obspanconc1": "20", "co2aspan2": "0", "flowazero": "0.42932", "h2obspan1": "0.998578", "oxygen": "21", "co2bspan2a": "0.163389", "co2bspan1": "0.992131", "h2oaspan2": "0", "h2oaspanconc1": "12.19", "h2obzero": "1.01783", "tbzero": "0.197721", "co2aspan1": "0.992625", "h2obspan2": "0", "co2bzero": "0.880288", "flowmeterzero": "0.990908", "ssa_ref": "36614.9", "co2bspan2": "0", "h2obspanconc2": "0", "co2bspanconc2": "0", "co2bspan2b": "0.162103", "flowbzero": "0.22736"}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</si>
  <si>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</si>
  <si>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</si>
  <si>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</si>
  <si>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</si>
  <si>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</si>
  <si>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</si>
  <si>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</si>
  <si>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</si>
  <si>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</si>
  <si>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14:02:16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</si>
  <si>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</si>
  <si>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</si>
  <si>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</si>
  <si>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</si>
  <si>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</si>
  <si>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</si>
  <si>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</si>
  <si>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</si>
  <si>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</si>
  <si>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</si>
  <si>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</si>
  <si>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</si>
  <si>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</si>
  <si>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</si>
  <si>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</si>
  <si>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</si>
  <si>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</si>
  <si>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</si>
  <si>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</si>
  <si>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</si>
  <si>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</si>
  <si>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</si>
  <si>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</si>
  <si>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</si>
  <si>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</si>
  <si>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</si>
  <si>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</si>
  <si>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</si>
  <si>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</si>
  <si>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</si>
  <si>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</si>
  <si>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</si>
  <si>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</si>
  <si>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</si>
  <si>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</si>
  <si>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</si>
  <si>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</si>
  <si>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</si>
  <si>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</si>
  <si>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</si>
  <si>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</si>
  <si>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</si>
  <si>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</si>
  <si>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</si>
  <si>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</si>
  <si>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</si>
  <si>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</si>
  <si>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3.02491 76.925 386.185 618.874 847.247 1053.45 1228.52 1400.43</t>
  </si>
  <si>
    <t>Fs_true</t>
  </si>
  <si>
    <t>0.304308 100.02 403.273 601.289 800.851 1000.77 1199.91 1400.15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</si>
  <si>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</si>
  <si>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</si>
  <si>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</si>
  <si>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</si>
  <si>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</si>
  <si>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</si>
  <si>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</si>
  <si>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</si>
  <si>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</si>
  <si>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</si>
  <si>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</si>
  <si>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</si>
  <si>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</si>
  <si>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</si>
  <si>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</si>
  <si>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</si>
  <si>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</si>
  <si>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</si>
  <si>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</si>
  <si>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</si>
  <si>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</si>
  <si>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</si>
  <si>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</si>
  <si>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</si>
  <si>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</si>
  <si>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</si>
  <si>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</si>
  <si>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</si>
  <si>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</si>
  <si>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</si>
  <si>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</si>
  <si>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</si>
  <si>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</si>
  <si>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</si>
  <si>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</si>
  <si>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</si>
  <si>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</si>
  <si>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</si>
  <si>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</si>
  <si>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</si>
  <si>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</si>
  <si>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</si>
  <si>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</si>
  <si>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</si>
  <si>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</si>
  <si>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</si>
  <si>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</si>
  <si>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</si>
  <si>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</si>
  <si>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</si>
  <si>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</si>
  <si>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</si>
  <si>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</si>
  <si>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</si>
  <si>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</si>
  <si>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</si>
  <si>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</si>
  <si>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</si>
  <si>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</si>
  <si>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</si>
  <si>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</si>
  <si>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</si>
  <si>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</si>
  <si>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</si>
  <si>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</si>
  <si>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</si>
  <si>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</si>
  <si>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</si>
  <si>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</si>
  <si>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</si>
  <si>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</si>
  <si>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</si>
  <si>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</si>
  <si>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</si>
  <si>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</si>
  <si>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</si>
  <si>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</si>
  <si>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</si>
  <si>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</si>
  <si>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</si>
  <si>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</si>
  <si>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</si>
  <si>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</si>
  <si>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</si>
  <si>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</si>
  <si>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</si>
  <si>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</si>
  <si>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</si>
  <si>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</si>
  <si>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</si>
  <si>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</si>
  <si>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</si>
  <si>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</si>
  <si>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</si>
  <si>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</si>
  <si>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</si>
  <si>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</si>
  <si>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</si>
  <si>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</si>
  <si>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</si>
  <si>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</si>
  <si>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</si>
  <si>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</si>
  <si>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</si>
  <si>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</si>
  <si>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</si>
  <si>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</si>
  <si>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</si>
  <si>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</si>
  <si>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</si>
  <si>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</si>
  <si>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</si>
  <si>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</si>
  <si>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</si>
  <si>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</si>
  <si>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</si>
  <si>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</si>
  <si>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</si>
  <si>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</si>
  <si>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</si>
  <si>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</si>
  <si>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</si>
  <si>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</si>
  <si>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</si>
  <si>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</si>
  <si>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</si>
  <si>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</si>
  <si>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</si>
  <si>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</si>
  <si>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</si>
  <si>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</si>
  <si>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</si>
  <si>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</si>
  <si>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</si>
  <si>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</si>
  <si>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</si>
  <si>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</si>
  <si>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</si>
  <si>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</si>
  <si>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</si>
  <si>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</si>
  <si>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</si>
  <si>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</si>
  <si>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</si>
  <si>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</si>
  <si>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</si>
  <si>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</si>
  <si>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</si>
  <si>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</si>
  <si>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</si>
  <si>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</si>
  <si>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</si>
  <si>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</si>
  <si>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</si>
  <si>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</si>
  <si>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</si>
  <si>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</si>
  <si>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</si>
  <si>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</si>
  <si>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</si>
  <si>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</si>
  <si>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</si>
  <si>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</si>
  <si>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</si>
  <si>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</si>
  <si>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</si>
  <si>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</si>
  <si>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</si>
  <si>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</si>
  <si>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</si>
  <si>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</si>
  <si>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</si>
  <si>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</si>
  <si>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</si>
  <si>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</si>
  <si>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</si>
  <si>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</si>
  <si>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</si>
  <si>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</si>
  <si>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</si>
  <si>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</si>
  <si>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</si>
  <si>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</si>
  <si>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</si>
  <si>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</si>
  <si>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</si>
  <si>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</si>
  <si>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</si>
  <si>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</si>
  <si>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</si>
  <si>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</si>
  <si>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</si>
  <si>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</si>
  <si>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</si>
  <si>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</si>
  <si>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</si>
  <si>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</si>
  <si>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</si>
  <si>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</si>
  <si>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</si>
  <si>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</si>
  <si>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</si>
  <si>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</si>
  <si>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20200807 14:22:16</t>
  </si>
  <si>
    <t>14:22:16</t>
  </si>
  <si>
    <t>MPF-5849-20200807-14_22_18</t>
  </si>
  <si>
    <t>DARK-5850-20200807-14_22_26</t>
  </si>
  <si>
    <t>0: Broadleaf</t>
  </si>
  <si>
    <t>14:22:41</t>
  </si>
  <si>
    <t>2/2</t>
  </si>
  <si>
    <t>5</t>
  </si>
  <si>
    <t>11111111</t>
  </si>
  <si>
    <t>oooooooo</t>
  </si>
  <si>
    <t>off</t>
  </si>
  <si>
    <t>20200807 14:24:13</t>
  </si>
  <si>
    <t>14:24:13</t>
  </si>
  <si>
    <t>MPF-5851-20200807-14_24_15</t>
  </si>
  <si>
    <t>DARK-5852-20200807-14_24_23</t>
  </si>
  <si>
    <t>14:24:39</t>
  </si>
  <si>
    <t>20200807 14:26:40</t>
  </si>
  <si>
    <t>14:26:40</t>
  </si>
  <si>
    <t>MPF-5853-20200807-14_26_41</t>
  </si>
  <si>
    <t>DARK-5854-20200807-14_26_49</t>
  </si>
  <si>
    <t>14:27:04</t>
  </si>
  <si>
    <t>20200807 14:28:36</t>
  </si>
  <si>
    <t>14:28:36</t>
  </si>
  <si>
    <t>MPF-5855-20200807-14_28_37</t>
  </si>
  <si>
    <t>DARK-5856-20200807-14_28_45</t>
  </si>
  <si>
    <t>14:29:00</t>
  </si>
  <si>
    <t>20200807 14:30:31</t>
  </si>
  <si>
    <t>14:30:31</t>
  </si>
  <si>
    <t>MPF-5857-20200807-14_30_33</t>
  </si>
  <si>
    <t>DARK-5858-20200807-14_30_40</t>
  </si>
  <si>
    <t>14:30:59</t>
  </si>
  <si>
    <t>20200807 14:32:31</t>
  </si>
  <si>
    <t>14:32:31</t>
  </si>
  <si>
    <t>MPF-5859-20200807-14_32_32</t>
  </si>
  <si>
    <t>DARK-5860-20200807-14_32_40</t>
  </si>
  <si>
    <t>14:32:55</t>
  </si>
  <si>
    <t>20200807 14:34:29</t>
  </si>
  <si>
    <t>14:34:29</t>
  </si>
  <si>
    <t>MPF-5861-20200807-14_34_31</t>
  </si>
  <si>
    <t>DARK-5862-20200807-14_34_38</t>
  </si>
  <si>
    <t>14:34:53</t>
  </si>
  <si>
    <t>20200807 14:36:55</t>
  </si>
  <si>
    <t>14:36:55</t>
  </si>
  <si>
    <t>MPF-5863-20200807-14_36_56</t>
  </si>
  <si>
    <t>DARK-5864-20200807-14_37_04</t>
  </si>
  <si>
    <t>14:37:16</t>
  </si>
  <si>
    <t>1/2</t>
  </si>
  <si>
    <t>20200807 14:38:48</t>
  </si>
  <si>
    <t>14:38:48</t>
  </si>
  <si>
    <t>MPF-5865-20200807-14_38_49</t>
  </si>
  <si>
    <t>DARK-5866-20200807-14_38_57</t>
  </si>
  <si>
    <t>14:39:15</t>
  </si>
  <si>
    <t>20200807 14:41:17</t>
  </si>
  <si>
    <t>14:41:17</t>
  </si>
  <si>
    <t>MPF-5867-20200807-14_41_18</t>
  </si>
  <si>
    <t>DARK-5868-20200807-14_41_26</t>
  </si>
  <si>
    <t>14:41:39</t>
  </si>
  <si>
    <t>0/2</t>
  </si>
  <si>
    <t>20200807 14:43:40</t>
  </si>
  <si>
    <t>14:43:40</t>
  </si>
  <si>
    <t>MPF-5869-20200807-14_43_42</t>
  </si>
  <si>
    <t>DARK-5870-20200807-14_43_49</t>
  </si>
  <si>
    <t>14:44:06</t>
  </si>
  <si>
    <t>20200807 14:46:08</t>
  </si>
  <si>
    <t>14:46:08</t>
  </si>
  <si>
    <t>MPF-5871-20200807-14_46_09</t>
  </si>
  <si>
    <t>DARK-5872-20200807-14_46_17</t>
  </si>
  <si>
    <t>14:46:44</t>
  </si>
  <si>
    <t>20200807 14:48:45</t>
  </si>
  <si>
    <t>14:48:45</t>
  </si>
  <si>
    <t>MPF-5873-20200807-14_48_47</t>
  </si>
  <si>
    <t>DARK-5874-20200807-14_48_54</t>
  </si>
  <si>
    <t>14:49:04</t>
  </si>
  <si>
    <t>20200807 14:51:05</t>
  </si>
  <si>
    <t>14:51:05</t>
  </si>
  <si>
    <t>MPF-5875-20200807-14_51_07</t>
  </si>
  <si>
    <t>DARK-5876-20200807-14_51_15</t>
  </si>
  <si>
    <t>14:51:27</t>
  </si>
  <si>
    <t>20200807 14:53:29</t>
  </si>
  <si>
    <t>14:53:29</t>
  </si>
  <si>
    <t>MPF-5877-20200807-14_53_30</t>
  </si>
  <si>
    <t>DARK-5878-20200807-14_53_38</t>
  </si>
  <si>
    <t>14:53:56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</si>
</sst>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1596828136.5</v>
      </c>
      <c r="C17">
        <v>0</v>
      </c>
      <c r="D17" t="s">
        <v>277</v>
      </c>
      <c r="E17" t="s">
        <v>278</v>
      </c>
      <c r="G17">
        <v>1596828128.5</v>
      </c>
      <c r="H17">
        <f t="shared" ref="H17:H31" si="0">CC17*AI17*(CA17-CB17)/(100*$B$5*(1000-AI17*CA17))</f>
        <v>4.4375520447966759E-3</v>
      </c>
      <c r="I17">
        <f t="shared" ref="I17:I31" si="1">CC17*AI17*(BZ17-BY17*(1000-AI17*CB17)/(1000-AI17*CA17))/(100*$B$5)</f>
        <v>26.636490903642429</v>
      </c>
      <c r="J17">
        <f t="shared" ref="J17:J31" si="2">BY17 - IF(AI17&gt;1, I17*$B$5*100/(AK17*CI17), 0)</f>
        <v>388.67348387096803</v>
      </c>
      <c r="K17">
        <f t="shared" ref="K17:K31" si="3">((Q17-H17/2)*J17-I17)/(Q17+H17/2)</f>
        <v>212.43515324772147</v>
      </c>
      <c r="L17">
        <f t="shared" ref="L17:L31" si="4">K17*(CD17+CE17)/1000</f>
        <v>21.226443912507715</v>
      </c>
      <c r="M17">
        <f t="shared" ref="M17:M31" si="5">(BY17 - IF(AI17&gt;1, I17*$B$5*100/(AK17*CI17), 0))*(CD17+CE17)/1000</f>
        <v>38.83611436025155</v>
      </c>
      <c r="N17">
        <f t="shared" ref="N17:N31" si="6">2/((1/P17-1/O17)+SIGN(P17)*SQRT((1/P17-1/O17)*(1/P17-1/O17) + 4*BV17/((BV17+1)*(BV17+1))*(2*1/P17*1/O17-1/O17*1/O17)))</f>
        <v>0.26327473289923603</v>
      </c>
      <c r="O17">
        <f t="shared" ref="O17:O31" si="7">AF17+AE17*$B$5+AD17*$B$5*$B$5</f>
        <v>3.3937306474942304</v>
      </c>
      <c r="P17">
        <f t="shared" ref="P17:P31" si="8">H17*(1000-(1000*0.61365*EXP(17.502*T17/(240.97+T17))/(CD17+CE17)+CA17)/2)/(1000*0.61365*EXP(17.502*T17/(240.97+T17))/(CD17+CE17)-CA17)</f>
        <v>0.2524316395329399</v>
      </c>
      <c r="Q17">
        <f t="shared" ref="Q17:Q31" si="9">1/((BV17+1)/(N17/1.6)+1/(O17/1.37)) + BV17/((BV17+1)/(N17/1.6) + BV17/(O17/1.37))</f>
        <v>0.15870677074405143</v>
      </c>
      <c r="R17">
        <f t="shared" ref="R17:R31" si="10">(BS17*BU17)</f>
        <v>353.33465183944668</v>
      </c>
      <c r="S17">
        <f t="shared" ref="S17:S31" si="11">(CF17+(R17+2*0.95*0.0000000567*(((CF17+$B$7)+273)^4-(CF17+273)^4)-44100*H17)/(1.84*29.3*O17+8*0.95*0.0000000567*(CF17+273)^3))</f>
        <v>26.891254177150604</v>
      </c>
      <c r="T17">
        <f t="shared" ref="T17:T31" si="12">($C$7*CG17+$D$7*CH17+$E$7*S17)</f>
        <v>27.0044838709677</v>
      </c>
      <c r="U17">
        <f t="shared" ref="U17:U31" si="13">0.61365*EXP(17.502*T17/(240.97+T17))</f>
        <v>3.5801023686803255</v>
      </c>
      <c r="V17">
        <f t="shared" ref="V17:V31" si="14">(W17/X17*100)</f>
        <v>55.200081459575358</v>
      </c>
      <c r="W17">
        <f t="shared" ref="W17:W31" si="15">CA17*(CD17+CE17)/1000</f>
        <v>1.8715103177525578</v>
      </c>
      <c r="X17">
        <f t="shared" ref="X17:X31" si="16">0.61365*EXP(17.502*CF17/(240.97+CF17))</f>
        <v>3.390412239016567</v>
      </c>
      <c r="Y17">
        <f t="shared" ref="Y17:Y31" si="17">(U17-CA17*(CD17+CE17)/1000)</f>
        <v>1.7085920509277677</v>
      </c>
      <c r="Z17">
        <f t="shared" ref="Z17:Z31" si="18">(-H17*44100)</f>
        <v>-195.69604517553341</v>
      </c>
      <c r="AA17">
        <f t="shared" ref="AA17:AA31" si="19">2*29.3*O17*0.92*(CF17-T17)</f>
        <v>-169.01159755798173</v>
      </c>
      <c r="AB17">
        <f t="shared" ref="AB17:AB31" si="20">2*0.95*0.0000000567*(((CF17+$B$7)+273)^4-(T17+273)^4)</f>
        <v>-10.698606253474983</v>
      </c>
      <c r="AC17">
        <f t="shared" ref="AC17:AC31" si="21">R17+AB17+Z17+AA17</f>
        <v>-22.071597147543429</v>
      </c>
      <c r="AD17">
        <v>-4.1350601367433903E-2</v>
      </c>
      <c r="AE17">
        <v>4.6419672546582802E-2</v>
      </c>
      <c r="AF17">
        <v>3.4662937078708</v>
      </c>
      <c r="AG17">
        <v>141</v>
      </c>
      <c r="AH17">
        <v>28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52890.660725653535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260.33879999999999</v>
      </c>
      <c r="AT17">
        <v>354.10199999999998</v>
      </c>
      <c r="AU17">
        <f t="shared" ref="AU17:AU31" si="27">1-AS17/AT17</f>
        <v>0.26479150075402003</v>
      </c>
      <c r="AV17">
        <v>0.5</v>
      </c>
      <c r="AW17">
        <f t="shared" ref="AW17:AW31" si="28">BS17</f>
        <v>1849.1714513220359</v>
      </c>
      <c r="AX17">
        <f t="shared" ref="AX17:AX31" si="29">I17</f>
        <v>26.636490903642429</v>
      </c>
      <c r="AY17">
        <f t="shared" ref="AY17:AY31" si="30">AU17*AV17*AW17</f>
        <v>244.82244187352558</v>
      </c>
      <c r="AZ17">
        <f t="shared" ref="AZ17:AZ31" si="31">BE17/AT17</f>
        <v>0.4796979401415411</v>
      </c>
      <c r="BA17">
        <f t="shared" ref="BA17:BA31" si="32">(AX17-AQ17)/AW17</f>
        <v>1.4945337212449476E-2</v>
      </c>
      <c r="BB17">
        <f t="shared" ref="BB17:BB31" si="33">(AN17-AT17)/AT17</f>
        <v>-1</v>
      </c>
      <c r="BC17" t="s">
        <v>280</v>
      </c>
      <c r="BD17">
        <v>184.24</v>
      </c>
      <c r="BE17">
        <f t="shared" ref="BE17:BE31" si="34">AT17-BD17</f>
        <v>169.86199999999997</v>
      </c>
      <c r="BF17">
        <f t="shared" ref="BF17:BF31" si="35">(AT17-AS17)/(AT17-BD17)</f>
        <v>0.55199632642968999</v>
      </c>
      <c r="BG17">
        <f t="shared" ref="BG17:BG31" si="36">(AN17-AT17)/(AN17-BD17)</f>
        <v>1.9219604863221882</v>
      </c>
      <c r="BH17">
        <f t="shared" ref="BH17:BH31" si="37">(AT17-AS17)/(AT17-AM17)</f>
        <v>0.26479150075402003</v>
      </c>
      <c r="BI17" t="e">
        <f t="shared" ref="BI17:BI31" si="38">(AN17-AT17)/(AN17-AM17)</f>
        <v>#DIV/0!</v>
      </c>
      <c r="BJ17">
        <v>5849</v>
      </c>
      <c r="BK17">
        <v>300</v>
      </c>
      <c r="BL17">
        <v>300</v>
      </c>
      <c r="BM17">
        <v>300</v>
      </c>
      <c r="BN17">
        <v>9878.6</v>
      </c>
      <c r="BO17">
        <v>326.274</v>
      </c>
      <c r="BP17">
        <v>-6.4080099999999996E-3</v>
      </c>
      <c r="BQ17">
        <v>1.556</v>
      </c>
      <c r="BR17">
        <f t="shared" ref="BR17:BR31" si="39">$B$11*CJ17+$C$11*CK17+$F$11*CL17</f>
        <v>2199.9838709677401</v>
      </c>
      <c r="BS17">
        <f t="shared" ref="BS17:BS31" si="40">BR17*BT17</f>
        <v>1849.1714513220359</v>
      </c>
      <c r="BT17">
        <f t="shared" ref="BT17:BT31" si="41">($B$11*$D$9+$C$11*$D$9+$F$11*((CY17+CQ17)/MAX(CY17+CQ17+CZ17, 0.1)*$I$9+CZ17/MAX(CY17+CQ17+CZ17, 0.1)*$J$9))/($B$11+$C$11+$F$11)</f>
        <v>0.84053864018039959</v>
      </c>
      <c r="BU17">
        <f t="shared" ref="BU17:BU31" si="42">($B$11*$K$9+$C$11*$K$9+$F$11*((CY17+CQ17)/MAX(CY17+CQ17+CZ17, 0.1)*$P$9+CZ17/MAX(CY17+CQ17+CZ17, 0.1)*$Q$9))/($B$11+$C$11+$F$11)</f>
        <v>0.19107728036079924</v>
      </c>
      <c r="BV17">
        <v>0.5</v>
      </c>
      <c r="BW17" t="s">
        <v>281</v>
      </c>
      <c r="BX17">
        <v>1596828128.5</v>
      </c>
      <c r="BY17">
        <v>388.67348387096803</v>
      </c>
      <c r="BZ17">
        <v>400.01632258064501</v>
      </c>
      <c r="CA17">
        <v>18.730154838709701</v>
      </c>
      <c r="CB17">
        <v>16.988635483871001</v>
      </c>
      <c r="CC17">
        <v>500.073225806452</v>
      </c>
      <c r="CD17">
        <v>99.719606451612904</v>
      </c>
      <c r="CE17">
        <v>0.20003296774193499</v>
      </c>
      <c r="CF17">
        <v>26.080735483870999</v>
      </c>
      <c r="CG17">
        <v>27.0044838709677</v>
      </c>
      <c r="CH17">
        <v>999.9</v>
      </c>
      <c r="CI17">
        <v>9999.9377419354805</v>
      </c>
      <c r="CJ17">
        <v>0</v>
      </c>
      <c r="CK17">
        <v>206.60067741935501</v>
      </c>
      <c r="CL17">
        <v>2199.9838709677401</v>
      </c>
      <c r="CM17">
        <v>0.98200600000000005</v>
      </c>
      <c r="CN17">
        <v>1.7994099999999999E-2</v>
      </c>
      <c r="CO17">
        <v>0</v>
      </c>
      <c r="CP17">
        <v>260.31912903225799</v>
      </c>
      <c r="CQ17">
        <v>5.00054</v>
      </c>
      <c r="CR17">
        <v>8538.3748387096803</v>
      </c>
      <c r="CS17">
        <v>20590.4290322581</v>
      </c>
      <c r="CT17">
        <v>47.223516129032298</v>
      </c>
      <c r="CU17">
        <v>49.433129032258002</v>
      </c>
      <c r="CV17">
        <v>47.733677419354798</v>
      </c>
      <c r="CW17">
        <v>48.146999999999998</v>
      </c>
      <c r="CX17">
        <v>48.655000000000001</v>
      </c>
      <c r="CY17">
        <v>2155.4838709677401</v>
      </c>
      <c r="CZ17">
        <v>39.5</v>
      </c>
      <c r="DA17">
        <v>0</v>
      </c>
      <c r="DB17">
        <v>1306.39999985695</v>
      </c>
      <c r="DC17">
        <v>260.33879999999999</v>
      </c>
      <c r="DD17">
        <v>0.285000016397503</v>
      </c>
      <c r="DE17">
        <v>-4.9838461254989896</v>
      </c>
      <c r="DF17">
        <v>8538.4240000000009</v>
      </c>
      <c r="DG17">
        <v>15</v>
      </c>
      <c r="DH17">
        <v>1596828161.5</v>
      </c>
      <c r="DI17" t="s">
        <v>282</v>
      </c>
      <c r="DJ17">
        <v>75</v>
      </c>
      <c r="DK17">
        <v>-0.30199999999999999</v>
      </c>
      <c r="DL17">
        <v>0.11899999999999999</v>
      </c>
      <c r="DM17">
        <v>400</v>
      </c>
      <c r="DN17">
        <v>17</v>
      </c>
      <c r="DO17">
        <v>0.18</v>
      </c>
      <c r="DP17">
        <v>0.05</v>
      </c>
      <c r="DQ17">
        <v>388.853269230769</v>
      </c>
      <c r="DR17">
        <v>-5.9851447110117903E-2</v>
      </c>
      <c r="DS17">
        <v>2.3801353698261401E-2</v>
      </c>
      <c r="DT17">
        <v>1</v>
      </c>
      <c r="DU17">
        <v>18.7253057692308</v>
      </c>
      <c r="DV17">
        <v>3.18799624348872E-2</v>
      </c>
      <c r="DW17">
        <v>4.6611493078233196E-3</v>
      </c>
      <c r="DX17">
        <v>1</v>
      </c>
      <c r="DY17">
        <v>2</v>
      </c>
      <c r="DZ17">
        <v>2</v>
      </c>
      <c r="EA17" t="s">
        <v>283</v>
      </c>
      <c r="EB17">
        <v>1.8667499999999999</v>
      </c>
      <c r="EC17">
        <v>1.8632500000000001</v>
      </c>
      <c r="ED17">
        <v>1.8689</v>
      </c>
      <c r="EE17">
        <v>1.8668400000000001</v>
      </c>
      <c r="EF17">
        <v>1.8714999999999999</v>
      </c>
      <c r="EG17">
        <v>1.8640099999999999</v>
      </c>
      <c r="EH17">
        <v>1.86557</v>
      </c>
      <c r="EI17">
        <v>1.8655299999999999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-0.30199999999999999</v>
      </c>
      <c r="EX17">
        <v>0.11899999999999999</v>
      </c>
      <c r="EY17">
        <v>2</v>
      </c>
      <c r="EZ17">
        <v>340.68599999999998</v>
      </c>
      <c r="FA17">
        <v>491.87700000000001</v>
      </c>
      <c r="FB17">
        <v>20.096299999999999</v>
      </c>
      <c r="FC17">
        <v>32.7849</v>
      </c>
      <c r="FD17">
        <v>30.000299999999999</v>
      </c>
      <c r="FE17">
        <v>32.8735</v>
      </c>
      <c r="FF17">
        <v>32.894500000000001</v>
      </c>
      <c r="FG17">
        <v>22.102699999999999</v>
      </c>
      <c r="FH17">
        <v>44.933799999999998</v>
      </c>
      <c r="FI17">
        <v>0</v>
      </c>
      <c r="FJ17">
        <v>20.098299999999998</v>
      </c>
      <c r="FK17">
        <v>400</v>
      </c>
      <c r="FL17">
        <v>16.944600000000001</v>
      </c>
      <c r="FM17">
        <v>100.89400000000001</v>
      </c>
      <c r="FN17">
        <v>101.51300000000001</v>
      </c>
    </row>
    <row r="18" spans="1:170" x14ac:dyDescent="0.25">
      <c r="A18">
        <v>2</v>
      </c>
      <c r="B18">
        <v>1596828253.5</v>
      </c>
      <c r="C18">
        <v>117</v>
      </c>
      <c r="D18" t="s">
        <v>288</v>
      </c>
      <c r="E18" t="s">
        <v>289</v>
      </c>
      <c r="G18">
        <v>1596828245.5</v>
      </c>
      <c r="H18">
        <f t="shared" si="0"/>
        <v>4.5424504721289964E-3</v>
      </c>
      <c r="I18">
        <f t="shared" si="1"/>
        <v>19.743988879227153</v>
      </c>
      <c r="J18">
        <f t="shared" si="2"/>
        <v>291.560838709677</v>
      </c>
      <c r="K18">
        <f t="shared" si="3"/>
        <v>163.6102307950656</v>
      </c>
      <c r="L18">
        <f t="shared" si="4"/>
        <v>16.347175077905579</v>
      </c>
      <c r="M18">
        <f t="shared" si="5"/>
        <v>29.131406105148198</v>
      </c>
      <c r="N18">
        <f t="shared" si="6"/>
        <v>0.26961052930712953</v>
      </c>
      <c r="O18">
        <f t="shared" si="7"/>
        <v>3.3944827685439596</v>
      </c>
      <c r="P18">
        <f t="shared" si="8"/>
        <v>0.25825377886078776</v>
      </c>
      <c r="Q18">
        <f t="shared" si="9"/>
        <v>0.16238910652834854</v>
      </c>
      <c r="R18">
        <f t="shared" si="10"/>
        <v>353.33479694224451</v>
      </c>
      <c r="S18">
        <f t="shared" si="11"/>
        <v>26.840798713250674</v>
      </c>
      <c r="T18">
        <f t="shared" si="12"/>
        <v>26.998835483871002</v>
      </c>
      <c r="U18">
        <f t="shared" si="13"/>
        <v>3.5789149037621417</v>
      </c>
      <c r="V18">
        <f t="shared" si="14"/>
        <v>55.224670262392685</v>
      </c>
      <c r="W18">
        <f t="shared" si="15"/>
        <v>1.8694096135188514</v>
      </c>
      <c r="X18">
        <f t="shared" si="16"/>
        <v>3.3850987332954641</v>
      </c>
      <c r="Y18">
        <f t="shared" si="17"/>
        <v>1.7095052902432903</v>
      </c>
      <c r="Z18">
        <f t="shared" si="18"/>
        <v>-200.32206582088875</v>
      </c>
      <c r="AA18">
        <f t="shared" si="19"/>
        <v>-172.868511150177</v>
      </c>
      <c r="AB18">
        <f t="shared" si="20"/>
        <v>-10.938567179268752</v>
      </c>
      <c r="AC18">
        <f t="shared" si="21"/>
        <v>-30.794347208090016</v>
      </c>
      <c r="AD18">
        <v>-4.1362251499328699E-2</v>
      </c>
      <c r="AE18">
        <v>4.6432750840242301E-2</v>
      </c>
      <c r="AF18">
        <v>3.4670662728607899</v>
      </c>
      <c r="AG18">
        <v>141</v>
      </c>
      <c r="AH18">
        <v>28</v>
      </c>
      <c r="AI18">
        <f t="shared" si="22"/>
        <v>1</v>
      </c>
      <c r="AJ18">
        <f t="shared" si="23"/>
        <v>0</v>
      </c>
      <c r="AK18">
        <f t="shared" si="24"/>
        <v>52909.552129954689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255.59971999999999</v>
      </c>
      <c r="AT18">
        <v>336.25400000000002</v>
      </c>
      <c r="AU18">
        <f t="shared" si="27"/>
        <v>0.23986117637262316</v>
      </c>
      <c r="AV18">
        <v>0.5</v>
      </c>
      <c r="AW18">
        <f t="shared" si="28"/>
        <v>1849.1669029347893</v>
      </c>
      <c r="AX18">
        <f t="shared" si="29"/>
        <v>19.743988879227153</v>
      </c>
      <c r="AY18">
        <f t="shared" si="30"/>
        <v>221.77167432362941</v>
      </c>
      <c r="AZ18">
        <f t="shared" si="31"/>
        <v>0.44613298280466551</v>
      </c>
      <c r="BA18">
        <f t="shared" si="32"/>
        <v>1.1218018690635568E-2</v>
      </c>
      <c r="BB18">
        <f t="shared" si="33"/>
        <v>-1</v>
      </c>
      <c r="BC18" t="s">
        <v>291</v>
      </c>
      <c r="BD18">
        <v>186.24</v>
      </c>
      <c r="BE18">
        <f t="shared" si="34"/>
        <v>150.01400000000001</v>
      </c>
      <c r="BF18">
        <f t="shared" si="35"/>
        <v>0.53764501979815238</v>
      </c>
      <c r="BG18">
        <f t="shared" si="36"/>
        <v>1.8054875429553265</v>
      </c>
      <c r="BH18">
        <f t="shared" si="37"/>
        <v>0.23986117637262314</v>
      </c>
      <c r="BI18" t="e">
        <f t="shared" si="38"/>
        <v>#DIV/0!</v>
      </c>
      <c r="BJ18">
        <v>5851</v>
      </c>
      <c r="BK18">
        <v>300</v>
      </c>
      <c r="BL18">
        <v>300</v>
      </c>
      <c r="BM18">
        <v>300</v>
      </c>
      <c r="BN18">
        <v>9877.2999999999993</v>
      </c>
      <c r="BO18">
        <v>312.22300000000001</v>
      </c>
      <c r="BP18">
        <v>-6.4069499999999998E-3</v>
      </c>
      <c r="BQ18">
        <v>1.2103299999999999</v>
      </c>
      <c r="BR18">
        <f t="shared" si="39"/>
        <v>2199.97774193548</v>
      </c>
      <c r="BS18">
        <f t="shared" si="40"/>
        <v>1849.1669029347893</v>
      </c>
      <c r="BT18">
        <f t="shared" si="41"/>
        <v>0.84053891441098993</v>
      </c>
      <c r="BU18">
        <f t="shared" si="42"/>
        <v>0.19107782882197996</v>
      </c>
      <c r="BV18">
        <v>0.5</v>
      </c>
      <c r="BW18" t="s">
        <v>281</v>
      </c>
      <c r="BX18">
        <v>1596828245.5</v>
      </c>
      <c r="BY18">
        <v>291.560838709677</v>
      </c>
      <c r="BZ18">
        <v>299.987032258064</v>
      </c>
      <c r="CA18">
        <v>18.709932258064502</v>
      </c>
      <c r="CB18">
        <v>16.927193548387098</v>
      </c>
      <c r="CC18">
        <v>500.06896774193598</v>
      </c>
      <c r="CD18">
        <v>99.715377419354894</v>
      </c>
      <c r="CE18">
        <v>0.19998238709677399</v>
      </c>
      <c r="CF18">
        <v>26.054216129032302</v>
      </c>
      <c r="CG18">
        <v>26.998835483871002</v>
      </c>
      <c r="CH18">
        <v>999.9</v>
      </c>
      <c r="CI18">
        <v>10003.1793548387</v>
      </c>
      <c r="CJ18">
        <v>0</v>
      </c>
      <c r="CK18">
        <v>203.99225806451599</v>
      </c>
      <c r="CL18">
        <v>2199.97774193548</v>
      </c>
      <c r="CM18">
        <v>0.98199499999999995</v>
      </c>
      <c r="CN18">
        <v>1.8004599999999999E-2</v>
      </c>
      <c r="CO18">
        <v>0</v>
      </c>
      <c r="CP18">
        <v>255.605677419355</v>
      </c>
      <c r="CQ18">
        <v>5.00054</v>
      </c>
      <c r="CR18">
        <v>8430.2006451612906</v>
      </c>
      <c r="CS18">
        <v>20590.293548387101</v>
      </c>
      <c r="CT18">
        <v>47.477612903225797</v>
      </c>
      <c r="CU18">
        <v>49.733741935483899</v>
      </c>
      <c r="CV18">
        <v>47.995870967741901</v>
      </c>
      <c r="CW18">
        <v>48.435225806451598</v>
      </c>
      <c r="CX18">
        <v>48.912999999999997</v>
      </c>
      <c r="CY18">
        <v>2155.45774193548</v>
      </c>
      <c r="CZ18">
        <v>39.520000000000003</v>
      </c>
      <c r="DA18">
        <v>0</v>
      </c>
      <c r="DB18">
        <v>116.10000014305101</v>
      </c>
      <c r="DC18">
        <v>255.59971999999999</v>
      </c>
      <c r="DD18">
        <v>-1.39084614356403</v>
      </c>
      <c r="DE18">
        <v>-15.8015383919148</v>
      </c>
      <c r="DF18">
        <v>8430.0624000000007</v>
      </c>
      <c r="DG18">
        <v>15</v>
      </c>
      <c r="DH18">
        <v>1596828279.5</v>
      </c>
      <c r="DI18" t="s">
        <v>292</v>
      </c>
      <c r="DJ18">
        <v>76</v>
      </c>
      <c r="DK18">
        <v>-0.35799999999999998</v>
      </c>
      <c r="DL18">
        <v>0.11799999999999999</v>
      </c>
      <c r="DM18">
        <v>300</v>
      </c>
      <c r="DN18">
        <v>17</v>
      </c>
      <c r="DO18">
        <v>0.44</v>
      </c>
      <c r="DP18">
        <v>0.05</v>
      </c>
      <c r="DQ18">
        <v>291.62757692307702</v>
      </c>
      <c r="DR18">
        <v>-0.133185349611528</v>
      </c>
      <c r="DS18">
        <v>2.24150929182226E-2</v>
      </c>
      <c r="DT18">
        <v>1</v>
      </c>
      <c r="DU18">
        <v>18.694032692307701</v>
      </c>
      <c r="DV18">
        <v>0.192405190813625</v>
      </c>
      <c r="DW18">
        <v>2.4235247067933501E-2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1.8632500000000001</v>
      </c>
      <c r="ED18">
        <v>1.8689100000000001</v>
      </c>
      <c r="EE18">
        <v>1.86686</v>
      </c>
      <c r="EF18">
        <v>1.8714900000000001</v>
      </c>
      <c r="EG18">
        <v>1.8640099999999999</v>
      </c>
      <c r="EH18">
        <v>1.8655600000000001</v>
      </c>
      <c r="EI18">
        <v>1.8655200000000001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-0.35799999999999998</v>
      </c>
      <c r="EX18">
        <v>0.11799999999999999</v>
      </c>
      <c r="EY18">
        <v>2</v>
      </c>
      <c r="EZ18">
        <v>341.02499999999998</v>
      </c>
      <c r="FA18">
        <v>491.10199999999998</v>
      </c>
      <c r="FB18">
        <v>20.2942</v>
      </c>
      <c r="FC18">
        <v>32.875399999999999</v>
      </c>
      <c r="FD18">
        <v>29.998100000000001</v>
      </c>
      <c r="FE18">
        <v>32.920299999999997</v>
      </c>
      <c r="FF18">
        <v>32.935899999999997</v>
      </c>
      <c r="FG18">
        <v>17.621700000000001</v>
      </c>
      <c r="FH18">
        <v>45.128100000000003</v>
      </c>
      <c r="FI18">
        <v>0</v>
      </c>
      <c r="FJ18">
        <v>20.340199999999999</v>
      </c>
      <c r="FK18">
        <v>300</v>
      </c>
      <c r="FL18">
        <v>16.936900000000001</v>
      </c>
      <c r="FM18">
        <v>100.879</v>
      </c>
      <c r="FN18">
        <v>101.494</v>
      </c>
    </row>
    <row r="19" spans="1:170" x14ac:dyDescent="0.25">
      <c r="A19">
        <v>3</v>
      </c>
      <c r="B19">
        <v>1596828400</v>
      </c>
      <c r="C19">
        <v>263.5</v>
      </c>
      <c r="D19" t="s">
        <v>293</v>
      </c>
      <c r="E19" t="s">
        <v>294</v>
      </c>
      <c r="G19">
        <v>1596828392</v>
      </c>
      <c r="H19">
        <f t="shared" si="0"/>
        <v>5.2879406334983827E-3</v>
      </c>
      <c r="I19">
        <f t="shared" si="1"/>
        <v>12.830406128746372</v>
      </c>
      <c r="J19">
        <f t="shared" si="2"/>
        <v>194.48706451612901</v>
      </c>
      <c r="K19">
        <f t="shared" si="3"/>
        <v>122.97460909136036</v>
      </c>
      <c r="L19">
        <f t="shared" si="4"/>
        <v>12.286659957980323</v>
      </c>
      <c r="M19">
        <f t="shared" si="5"/>
        <v>19.431624508439604</v>
      </c>
      <c r="N19">
        <f t="shared" si="6"/>
        <v>0.31949386945986524</v>
      </c>
      <c r="O19">
        <f t="shared" si="7"/>
        <v>3.393461486736971</v>
      </c>
      <c r="P19">
        <f t="shared" si="8"/>
        <v>0.3036738610825207</v>
      </c>
      <c r="Q19">
        <f t="shared" si="9"/>
        <v>0.19115223060478931</v>
      </c>
      <c r="R19">
        <f t="shared" si="10"/>
        <v>353.33824634905153</v>
      </c>
      <c r="S19">
        <f t="shared" si="11"/>
        <v>26.68200931392559</v>
      </c>
      <c r="T19">
        <f t="shared" si="12"/>
        <v>26.974790322580599</v>
      </c>
      <c r="U19">
        <f t="shared" si="13"/>
        <v>3.5738637165939333</v>
      </c>
      <c r="V19">
        <f t="shared" si="14"/>
        <v>55.550927498317861</v>
      </c>
      <c r="W19">
        <f t="shared" si="15"/>
        <v>1.8815691768749239</v>
      </c>
      <c r="X19">
        <f t="shared" si="16"/>
        <v>3.3871066813995134</v>
      </c>
      <c r="Y19">
        <f t="shared" si="17"/>
        <v>1.6922945397190094</v>
      </c>
      <c r="Z19">
        <f t="shared" si="18"/>
        <v>-233.19818193727869</v>
      </c>
      <c r="AA19">
        <f t="shared" si="19"/>
        <v>-166.58327554710715</v>
      </c>
      <c r="AB19">
        <f t="shared" si="20"/>
        <v>-10.543287770213045</v>
      </c>
      <c r="AC19">
        <f t="shared" si="21"/>
        <v>-56.986498905547364</v>
      </c>
      <c r="AD19">
        <v>-4.1346432430374599E-2</v>
      </c>
      <c r="AE19">
        <v>4.64149925495147E-2</v>
      </c>
      <c r="AF19">
        <v>3.46601723135944</v>
      </c>
      <c r="AG19">
        <v>142</v>
      </c>
      <c r="AH19">
        <v>28</v>
      </c>
      <c r="AI19">
        <f t="shared" si="22"/>
        <v>1</v>
      </c>
      <c r="AJ19">
        <f t="shared" si="23"/>
        <v>0</v>
      </c>
      <c r="AK19">
        <f t="shared" si="24"/>
        <v>52888.302435251062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254.3484</v>
      </c>
      <c r="AT19">
        <v>323.97000000000003</v>
      </c>
      <c r="AU19">
        <f t="shared" si="27"/>
        <v>0.21490137975738499</v>
      </c>
      <c r="AV19">
        <v>0.5</v>
      </c>
      <c r="AW19">
        <f t="shared" si="28"/>
        <v>1849.1850577735056</v>
      </c>
      <c r="AX19">
        <f t="shared" si="29"/>
        <v>12.830406128746372</v>
      </c>
      <c r="AY19">
        <f t="shared" si="30"/>
        <v>198.696210171133</v>
      </c>
      <c r="AZ19">
        <f t="shared" si="31"/>
        <v>0.4190820137667069</v>
      </c>
      <c r="BA19">
        <f t="shared" si="32"/>
        <v>7.4791898575033624E-3</v>
      </c>
      <c r="BB19">
        <f t="shared" si="33"/>
        <v>-1</v>
      </c>
      <c r="BC19" t="s">
        <v>296</v>
      </c>
      <c r="BD19">
        <v>188.2</v>
      </c>
      <c r="BE19">
        <f t="shared" si="34"/>
        <v>135.77000000000004</v>
      </c>
      <c r="BF19">
        <f t="shared" si="35"/>
        <v>0.51279074906091193</v>
      </c>
      <c r="BG19">
        <f t="shared" si="36"/>
        <v>1.7214133900106272</v>
      </c>
      <c r="BH19">
        <f t="shared" si="37"/>
        <v>0.21490137975738502</v>
      </c>
      <c r="BI19" t="e">
        <f t="shared" si="38"/>
        <v>#DIV/0!</v>
      </c>
      <c r="BJ19">
        <v>5853</v>
      </c>
      <c r="BK19">
        <v>300</v>
      </c>
      <c r="BL19">
        <v>300</v>
      </c>
      <c r="BM19">
        <v>300</v>
      </c>
      <c r="BN19">
        <v>9876.0300000000007</v>
      </c>
      <c r="BO19">
        <v>303.94200000000001</v>
      </c>
      <c r="BP19">
        <v>-6.4058600000000002E-3</v>
      </c>
      <c r="BQ19">
        <v>1.2826200000000001</v>
      </c>
      <c r="BR19">
        <f t="shared" si="39"/>
        <v>2199.9993548387101</v>
      </c>
      <c r="BS19">
        <f t="shared" si="40"/>
        <v>1849.1850577735056</v>
      </c>
      <c r="BT19">
        <f t="shared" si="41"/>
        <v>0.84053890911666929</v>
      </c>
      <c r="BU19">
        <f t="shared" si="42"/>
        <v>0.19107781823333853</v>
      </c>
      <c r="BV19">
        <v>0.5</v>
      </c>
      <c r="BW19" t="s">
        <v>281</v>
      </c>
      <c r="BX19">
        <v>1596828392</v>
      </c>
      <c r="BY19">
        <v>194.48706451612901</v>
      </c>
      <c r="BZ19">
        <v>200.02980645161301</v>
      </c>
      <c r="CA19">
        <v>18.832232258064501</v>
      </c>
      <c r="CB19">
        <v>16.757187096774199</v>
      </c>
      <c r="CC19">
        <v>500.07170967741899</v>
      </c>
      <c r="CD19">
        <v>99.712203225806505</v>
      </c>
      <c r="CE19">
        <v>0.199966032258065</v>
      </c>
      <c r="CF19">
        <v>26.064241935483899</v>
      </c>
      <c r="CG19">
        <v>26.974790322580599</v>
      </c>
      <c r="CH19">
        <v>999.9</v>
      </c>
      <c r="CI19">
        <v>9999.6719354838697</v>
      </c>
      <c r="CJ19">
        <v>0</v>
      </c>
      <c r="CK19">
        <v>208.771677419355</v>
      </c>
      <c r="CL19">
        <v>2199.9993548387101</v>
      </c>
      <c r="CM19">
        <v>0.98199741935483897</v>
      </c>
      <c r="CN19">
        <v>1.8002906451612899E-2</v>
      </c>
      <c r="CO19">
        <v>0</v>
      </c>
      <c r="CP19">
        <v>254.37703225806499</v>
      </c>
      <c r="CQ19">
        <v>5.00054</v>
      </c>
      <c r="CR19">
        <v>8398.9977419354891</v>
      </c>
      <c r="CS19">
        <v>20590.509677419399</v>
      </c>
      <c r="CT19">
        <v>47.794129032258098</v>
      </c>
      <c r="CU19">
        <v>50.0843548387097</v>
      </c>
      <c r="CV19">
        <v>48.316064516129003</v>
      </c>
      <c r="CW19">
        <v>48.784064516129</v>
      </c>
      <c r="CX19">
        <v>49.205354838709702</v>
      </c>
      <c r="CY19">
        <v>2155.4793548387102</v>
      </c>
      <c r="CZ19">
        <v>39.520000000000003</v>
      </c>
      <c r="DA19">
        <v>0</v>
      </c>
      <c r="DB19">
        <v>145.59999990463299</v>
      </c>
      <c r="DC19">
        <v>254.3484</v>
      </c>
      <c r="DD19">
        <v>-0.58676924661700602</v>
      </c>
      <c r="DE19">
        <v>-22.480000024822601</v>
      </c>
      <c r="DF19">
        <v>8398.7939999999999</v>
      </c>
      <c r="DG19">
        <v>15</v>
      </c>
      <c r="DH19">
        <v>1596828424.5</v>
      </c>
      <c r="DI19" t="s">
        <v>297</v>
      </c>
      <c r="DJ19">
        <v>77</v>
      </c>
      <c r="DK19">
        <v>-0.38700000000000001</v>
      </c>
      <c r="DL19">
        <v>0.111</v>
      </c>
      <c r="DM19">
        <v>200</v>
      </c>
      <c r="DN19">
        <v>17</v>
      </c>
      <c r="DO19">
        <v>0.46</v>
      </c>
      <c r="DP19">
        <v>0.05</v>
      </c>
      <c r="DQ19">
        <v>194.521942307692</v>
      </c>
      <c r="DR19">
        <v>-4.2296593528586203E-2</v>
      </c>
      <c r="DS19">
        <v>1.3696453024189001E-2</v>
      </c>
      <c r="DT19">
        <v>1</v>
      </c>
      <c r="DU19">
        <v>18.8222384615385</v>
      </c>
      <c r="DV19">
        <v>0.15208025271063799</v>
      </c>
      <c r="DW19">
        <v>3.2843118667188101E-2</v>
      </c>
      <c r="DX19">
        <v>1</v>
      </c>
      <c r="DY19">
        <v>2</v>
      </c>
      <c r="DZ19">
        <v>2</v>
      </c>
      <c r="EA19" t="s">
        <v>283</v>
      </c>
      <c r="EB19">
        <v>1.86676</v>
      </c>
      <c r="EC19">
        <v>1.8632500000000001</v>
      </c>
      <c r="ED19">
        <v>1.8689</v>
      </c>
      <c r="EE19">
        <v>1.8668499999999999</v>
      </c>
      <c r="EF19">
        <v>1.8714999999999999</v>
      </c>
      <c r="EG19">
        <v>1.8640000000000001</v>
      </c>
      <c r="EH19">
        <v>1.86555</v>
      </c>
      <c r="EI19">
        <v>1.86554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-0.38700000000000001</v>
      </c>
      <c r="EX19">
        <v>0.111</v>
      </c>
      <c r="EY19">
        <v>2</v>
      </c>
      <c r="EZ19">
        <v>340.25900000000001</v>
      </c>
      <c r="FA19">
        <v>489.83600000000001</v>
      </c>
      <c r="FB19">
        <v>20.426600000000001</v>
      </c>
      <c r="FC19">
        <v>33.01</v>
      </c>
      <c r="FD19">
        <v>30.000900000000001</v>
      </c>
      <c r="FE19">
        <v>33.017200000000003</v>
      </c>
      <c r="FF19">
        <v>33.0259</v>
      </c>
      <c r="FG19">
        <v>12.9558</v>
      </c>
      <c r="FH19">
        <v>47.414200000000001</v>
      </c>
      <c r="FI19">
        <v>0</v>
      </c>
      <c r="FJ19">
        <v>20.4145</v>
      </c>
      <c r="FK19">
        <v>200</v>
      </c>
      <c r="FL19">
        <v>16.566500000000001</v>
      </c>
      <c r="FM19">
        <v>100.855</v>
      </c>
      <c r="FN19">
        <v>101.46299999999999</v>
      </c>
    </row>
    <row r="20" spans="1:170" x14ac:dyDescent="0.25">
      <c r="A20">
        <v>4</v>
      </c>
      <c r="B20">
        <v>1596828516</v>
      </c>
      <c r="C20">
        <v>379.5</v>
      </c>
      <c r="D20" t="s">
        <v>298</v>
      </c>
      <c r="E20" t="s">
        <v>299</v>
      </c>
      <c r="G20">
        <v>1596828508</v>
      </c>
      <c r="H20">
        <f t="shared" si="0"/>
        <v>5.4565043169980771E-3</v>
      </c>
      <c r="I20">
        <f t="shared" si="1"/>
        <v>4.8536481358614898</v>
      </c>
      <c r="J20">
        <f t="shared" si="2"/>
        <v>97.843229032258094</v>
      </c>
      <c r="K20">
        <f t="shared" si="3"/>
        <v>70.815054666333864</v>
      </c>
      <c r="L20">
        <f t="shared" si="4"/>
        <v>7.0752825320269537</v>
      </c>
      <c r="M20">
        <f t="shared" si="5"/>
        <v>9.7757248442563025</v>
      </c>
      <c r="N20">
        <f t="shared" si="6"/>
        <v>0.32901308958335795</v>
      </c>
      <c r="O20">
        <f t="shared" si="7"/>
        <v>3.394940553025843</v>
      </c>
      <c r="P20">
        <f t="shared" si="8"/>
        <v>0.3122697774165164</v>
      </c>
      <c r="Q20">
        <f t="shared" si="9"/>
        <v>0.19660190105589515</v>
      </c>
      <c r="R20">
        <f t="shared" si="10"/>
        <v>353.34077659279876</v>
      </c>
      <c r="S20">
        <f t="shared" si="11"/>
        <v>26.824672260562391</v>
      </c>
      <c r="T20">
        <f t="shared" si="12"/>
        <v>27.011067741935499</v>
      </c>
      <c r="U20">
        <f t="shared" si="13"/>
        <v>3.5814869351899401</v>
      </c>
      <c r="V20">
        <f t="shared" si="14"/>
        <v>55.01271370217782</v>
      </c>
      <c r="W20">
        <f t="shared" si="15"/>
        <v>1.8833996195406419</v>
      </c>
      <c r="X20">
        <f t="shared" si="16"/>
        <v>3.4235715579071364</v>
      </c>
      <c r="Y20">
        <f t="shared" si="17"/>
        <v>1.6980873156492982</v>
      </c>
      <c r="Z20">
        <f t="shared" si="18"/>
        <v>-240.6318403796152</v>
      </c>
      <c r="AA20">
        <f t="shared" si="19"/>
        <v>-140.13571027678267</v>
      </c>
      <c r="AB20">
        <f t="shared" si="20"/>
        <v>-8.8751724431960639</v>
      </c>
      <c r="AC20">
        <f t="shared" si="21"/>
        <v>-36.301946506795161</v>
      </c>
      <c r="AD20">
        <v>-4.1369343015869101E-2</v>
      </c>
      <c r="AE20">
        <v>4.6440711688809803E-2</v>
      </c>
      <c r="AF20">
        <v>3.4675365017117001</v>
      </c>
      <c r="AG20">
        <v>142</v>
      </c>
      <c r="AH20">
        <v>28</v>
      </c>
      <c r="AI20">
        <f t="shared" si="22"/>
        <v>1</v>
      </c>
      <c r="AJ20">
        <f t="shared" si="23"/>
        <v>0</v>
      </c>
      <c r="AK20">
        <f t="shared" si="24"/>
        <v>52884.369712155858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256.27444000000003</v>
      </c>
      <c r="AT20">
        <v>312.69099999999997</v>
      </c>
      <c r="AU20">
        <f t="shared" si="27"/>
        <v>0.1804227176349813</v>
      </c>
      <c r="AV20">
        <v>0.5</v>
      </c>
      <c r="AW20">
        <f t="shared" si="28"/>
        <v>1849.2007739026028</v>
      </c>
      <c r="AX20">
        <f t="shared" si="29"/>
        <v>4.8536481358614898</v>
      </c>
      <c r="AY20">
        <f t="shared" si="30"/>
        <v>166.81891454010909</v>
      </c>
      <c r="AZ20">
        <f t="shared" si="31"/>
        <v>0.38424834741006292</v>
      </c>
      <c r="BA20">
        <f t="shared" si="32"/>
        <v>3.1655016688684344E-3</v>
      </c>
      <c r="BB20">
        <f t="shared" si="33"/>
        <v>-1</v>
      </c>
      <c r="BC20" t="s">
        <v>301</v>
      </c>
      <c r="BD20">
        <v>192.54</v>
      </c>
      <c r="BE20">
        <f t="shared" si="34"/>
        <v>120.15099999999998</v>
      </c>
      <c r="BF20">
        <f t="shared" si="35"/>
        <v>0.46954715316559958</v>
      </c>
      <c r="BG20">
        <f t="shared" si="36"/>
        <v>1.6240313701049132</v>
      </c>
      <c r="BH20">
        <f t="shared" si="37"/>
        <v>0.18042271763498136</v>
      </c>
      <c r="BI20" t="e">
        <f t="shared" si="38"/>
        <v>#DIV/0!</v>
      </c>
      <c r="BJ20">
        <v>5855</v>
      </c>
      <c r="BK20">
        <v>300</v>
      </c>
      <c r="BL20">
        <v>300</v>
      </c>
      <c r="BM20">
        <v>300</v>
      </c>
      <c r="BN20">
        <v>9875.17</v>
      </c>
      <c r="BO20">
        <v>297.108</v>
      </c>
      <c r="BP20">
        <v>-6.4052500000000004E-3</v>
      </c>
      <c r="BQ20">
        <v>1.28549</v>
      </c>
      <c r="BR20">
        <f t="shared" si="39"/>
        <v>2200.0183870967699</v>
      </c>
      <c r="BS20">
        <f t="shared" si="40"/>
        <v>1849.2007739026028</v>
      </c>
      <c r="BT20">
        <f t="shared" si="41"/>
        <v>0.84053878128849657</v>
      </c>
      <c r="BU20">
        <f t="shared" si="42"/>
        <v>0.19107756257699315</v>
      </c>
      <c r="BV20">
        <v>0.5</v>
      </c>
      <c r="BW20" t="s">
        <v>281</v>
      </c>
      <c r="BX20">
        <v>1596828508</v>
      </c>
      <c r="BY20">
        <v>97.843229032258094</v>
      </c>
      <c r="BZ20">
        <v>99.997925806451605</v>
      </c>
      <c r="CA20">
        <v>18.850561290322599</v>
      </c>
      <c r="CB20">
        <v>16.709416129032299</v>
      </c>
      <c r="CC20">
        <v>500.07316129032301</v>
      </c>
      <c r="CD20">
        <v>99.712138709677404</v>
      </c>
      <c r="CE20">
        <v>0.19998541935483899</v>
      </c>
      <c r="CF20">
        <v>26.2454161290323</v>
      </c>
      <c r="CG20">
        <v>27.011067741935499</v>
      </c>
      <c r="CH20">
        <v>999.9</v>
      </c>
      <c r="CI20">
        <v>10005.2193548387</v>
      </c>
      <c r="CJ20">
        <v>0</v>
      </c>
      <c r="CK20">
        <v>207.50577419354801</v>
      </c>
      <c r="CL20">
        <v>2200.0183870967699</v>
      </c>
      <c r="CM20">
        <v>0.98199948387096803</v>
      </c>
      <c r="CN20">
        <v>1.8000941935483902E-2</v>
      </c>
      <c r="CO20">
        <v>0</v>
      </c>
      <c r="CP20">
        <v>256.29129032258101</v>
      </c>
      <c r="CQ20">
        <v>5.00054</v>
      </c>
      <c r="CR20">
        <v>8445.5409677419393</v>
      </c>
      <c r="CS20">
        <v>20590.703225806501</v>
      </c>
      <c r="CT20">
        <v>47.967483870967698</v>
      </c>
      <c r="CU20">
        <v>50.237806451612897</v>
      </c>
      <c r="CV20">
        <v>48.491870967741903</v>
      </c>
      <c r="CW20">
        <v>48.945193548387103</v>
      </c>
      <c r="CX20">
        <v>49.350612903225802</v>
      </c>
      <c r="CY20">
        <v>2155.5074193548398</v>
      </c>
      <c r="CZ20">
        <v>39.510967741935502</v>
      </c>
      <c r="DA20">
        <v>0</v>
      </c>
      <c r="DB20">
        <v>115.40000009536701</v>
      </c>
      <c r="DC20">
        <v>256.27444000000003</v>
      </c>
      <c r="DD20">
        <v>-1.10638460205652</v>
      </c>
      <c r="DE20">
        <v>-13.2000000051999</v>
      </c>
      <c r="DF20">
        <v>8445.3420000000006</v>
      </c>
      <c r="DG20">
        <v>15</v>
      </c>
      <c r="DH20">
        <v>1596828540</v>
      </c>
      <c r="DI20" t="s">
        <v>302</v>
      </c>
      <c r="DJ20">
        <v>78</v>
      </c>
      <c r="DK20">
        <v>-0.313</v>
      </c>
      <c r="DL20">
        <v>0.115</v>
      </c>
      <c r="DM20">
        <v>100</v>
      </c>
      <c r="DN20">
        <v>17</v>
      </c>
      <c r="DO20">
        <v>0.31</v>
      </c>
      <c r="DP20">
        <v>0.04</v>
      </c>
      <c r="DQ20">
        <v>97.774199999999993</v>
      </c>
      <c r="DR20">
        <v>-8.0315888329214796E-2</v>
      </c>
      <c r="DS20">
        <v>1.2685864331852301E-2</v>
      </c>
      <c r="DT20">
        <v>1</v>
      </c>
      <c r="DU20">
        <v>18.834088461538499</v>
      </c>
      <c r="DV20">
        <v>0.143957995389734</v>
      </c>
      <c r="DW20">
        <v>1.80166018934475E-2</v>
      </c>
      <c r="DX20">
        <v>1</v>
      </c>
      <c r="DY20">
        <v>2</v>
      </c>
      <c r="DZ20">
        <v>2</v>
      </c>
      <c r="EA20" t="s">
        <v>283</v>
      </c>
      <c r="EB20">
        <v>1.86676</v>
      </c>
      <c r="EC20">
        <v>1.8632500000000001</v>
      </c>
      <c r="ED20">
        <v>1.8689100000000001</v>
      </c>
      <c r="EE20">
        <v>1.8667800000000001</v>
      </c>
      <c r="EF20">
        <v>1.8714999999999999</v>
      </c>
      <c r="EG20">
        <v>1.8640099999999999</v>
      </c>
      <c r="EH20">
        <v>1.8655600000000001</v>
      </c>
      <c r="EI20">
        <v>1.86554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-0.313</v>
      </c>
      <c r="EX20">
        <v>0.115</v>
      </c>
      <c r="EY20">
        <v>2</v>
      </c>
      <c r="EZ20">
        <v>340.024</v>
      </c>
      <c r="FA20">
        <v>489.54599999999999</v>
      </c>
      <c r="FB20">
        <v>20.159199999999998</v>
      </c>
      <c r="FC20">
        <v>33.066699999999997</v>
      </c>
      <c r="FD20">
        <v>30.0001</v>
      </c>
      <c r="FE20">
        <v>33.078099999999999</v>
      </c>
      <c r="FF20">
        <v>33.085799999999999</v>
      </c>
      <c r="FG20">
        <v>8.1179600000000001</v>
      </c>
      <c r="FH20">
        <v>46.469799999999999</v>
      </c>
      <c r="FI20">
        <v>0</v>
      </c>
      <c r="FJ20">
        <v>20.160699999999999</v>
      </c>
      <c r="FK20">
        <v>100</v>
      </c>
      <c r="FL20">
        <v>16.761299999999999</v>
      </c>
      <c r="FM20">
        <v>100.843</v>
      </c>
      <c r="FN20">
        <v>101.452</v>
      </c>
    </row>
    <row r="21" spans="1:170" x14ac:dyDescent="0.25">
      <c r="A21">
        <v>5</v>
      </c>
      <c r="B21">
        <v>1596828631.5</v>
      </c>
      <c r="C21">
        <v>495</v>
      </c>
      <c r="D21" t="s">
        <v>303</v>
      </c>
      <c r="E21" t="s">
        <v>304</v>
      </c>
      <c r="G21">
        <v>1596828623.5</v>
      </c>
      <c r="H21">
        <f t="shared" si="0"/>
        <v>6.1136471990879109E-3</v>
      </c>
      <c r="I21">
        <f t="shared" si="1"/>
        <v>0.50871188736162454</v>
      </c>
      <c r="J21">
        <f t="shared" si="2"/>
        <v>49.656903225806502</v>
      </c>
      <c r="K21">
        <f t="shared" si="3"/>
        <v>46.058677605963574</v>
      </c>
      <c r="L21">
        <f t="shared" si="4"/>
        <v>4.6017495517139073</v>
      </c>
      <c r="M21">
        <f t="shared" si="5"/>
        <v>4.9612503883365768</v>
      </c>
      <c r="N21">
        <f t="shared" si="6"/>
        <v>0.37494938013349882</v>
      </c>
      <c r="O21">
        <f t="shared" si="7"/>
        <v>3.3953899185946224</v>
      </c>
      <c r="P21">
        <f t="shared" si="8"/>
        <v>0.35337165556655209</v>
      </c>
      <c r="Q21">
        <f t="shared" si="9"/>
        <v>0.22269240963472878</v>
      </c>
      <c r="R21">
        <f t="shared" si="10"/>
        <v>353.33850844152005</v>
      </c>
      <c r="S21">
        <f t="shared" si="11"/>
        <v>26.73364273895389</v>
      </c>
      <c r="T21">
        <f t="shared" si="12"/>
        <v>26.987677419354799</v>
      </c>
      <c r="U21">
        <f t="shared" si="13"/>
        <v>3.5765701453693941</v>
      </c>
      <c r="V21">
        <f t="shared" si="14"/>
        <v>55.17286225317887</v>
      </c>
      <c r="W21">
        <f t="shared" si="15"/>
        <v>1.895361862675806</v>
      </c>
      <c r="X21">
        <f t="shared" si="16"/>
        <v>3.4353154526917837</v>
      </c>
      <c r="Y21">
        <f t="shared" si="17"/>
        <v>1.6812082826935881</v>
      </c>
      <c r="Z21">
        <f t="shared" si="18"/>
        <v>-269.6118414797769</v>
      </c>
      <c r="AA21">
        <f t="shared" si="19"/>
        <v>-125.25734798112248</v>
      </c>
      <c r="AB21">
        <f t="shared" si="20"/>
        <v>-7.9332071332868184</v>
      </c>
      <c r="AC21">
        <f t="shared" si="21"/>
        <v>-49.463888152666158</v>
      </c>
      <c r="AD21">
        <v>-4.1376304535598998E-2</v>
      </c>
      <c r="AE21">
        <v>4.6448526604569301E-2</v>
      </c>
      <c r="AF21">
        <v>3.4679980835278799</v>
      </c>
      <c r="AG21">
        <v>143</v>
      </c>
      <c r="AH21">
        <v>29</v>
      </c>
      <c r="AI21">
        <f t="shared" si="22"/>
        <v>1</v>
      </c>
      <c r="AJ21">
        <f t="shared" si="23"/>
        <v>0</v>
      </c>
      <c r="AK21">
        <f t="shared" si="24"/>
        <v>52882.622974395999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257.26308</v>
      </c>
      <c r="AT21">
        <v>304.81400000000002</v>
      </c>
      <c r="AU21">
        <f t="shared" si="27"/>
        <v>0.15599979003589082</v>
      </c>
      <c r="AV21">
        <v>0.5</v>
      </c>
      <c r="AW21">
        <f t="shared" si="28"/>
        <v>1849.1890932574481</v>
      </c>
      <c r="AX21">
        <f t="shared" si="29"/>
        <v>0.50871188736162454</v>
      </c>
      <c r="AY21">
        <f t="shared" si="30"/>
        <v>144.23655514241062</v>
      </c>
      <c r="AZ21">
        <f t="shared" si="31"/>
        <v>0.36328383866882757</v>
      </c>
      <c r="BA21">
        <f t="shared" si="32"/>
        <v>8.1587756106864424E-4</v>
      </c>
      <c r="BB21">
        <f t="shared" si="33"/>
        <v>-1</v>
      </c>
      <c r="BC21" t="s">
        <v>306</v>
      </c>
      <c r="BD21">
        <v>194.08</v>
      </c>
      <c r="BE21">
        <f t="shared" si="34"/>
        <v>110.73400000000001</v>
      </c>
      <c r="BF21">
        <f t="shared" si="35"/>
        <v>0.42941571694330571</v>
      </c>
      <c r="BG21">
        <f t="shared" si="36"/>
        <v>1.5705585325638911</v>
      </c>
      <c r="BH21">
        <f t="shared" si="37"/>
        <v>0.15599979003589079</v>
      </c>
      <c r="BI21" t="e">
        <f t="shared" si="38"/>
        <v>#DIV/0!</v>
      </c>
      <c r="BJ21">
        <v>5857</v>
      </c>
      <c r="BK21">
        <v>300</v>
      </c>
      <c r="BL21">
        <v>300</v>
      </c>
      <c r="BM21">
        <v>300</v>
      </c>
      <c r="BN21">
        <v>9874.33</v>
      </c>
      <c r="BO21">
        <v>293.34500000000003</v>
      </c>
      <c r="BP21">
        <v>-6.4045300000000003E-3</v>
      </c>
      <c r="BQ21">
        <v>1.1095299999999999</v>
      </c>
      <c r="BR21">
        <f t="shared" si="39"/>
        <v>2200.00451612903</v>
      </c>
      <c r="BS21">
        <f t="shared" si="40"/>
        <v>1849.1890932574481</v>
      </c>
      <c r="BT21">
        <f t="shared" si="41"/>
        <v>0.8405387714890461</v>
      </c>
      <c r="BU21">
        <f t="shared" si="42"/>
        <v>0.19107754297809257</v>
      </c>
      <c r="BV21">
        <v>0.5</v>
      </c>
      <c r="BW21" t="s">
        <v>281</v>
      </c>
      <c r="BX21">
        <v>1596828623.5</v>
      </c>
      <c r="BY21">
        <v>49.656903225806502</v>
      </c>
      <c r="BZ21">
        <v>49.981777419354799</v>
      </c>
      <c r="CA21">
        <v>18.970580645161299</v>
      </c>
      <c r="CB21">
        <v>16.571841935483899</v>
      </c>
      <c r="CC21">
        <v>500.068451612903</v>
      </c>
      <c r="CD21">
        <v>99.710629032258097</v>
      </c>
      <c r="CE21">
        <v>0.19995874193548399</v>
      </c>
      <c r="CF21">
        <v>26.303406451612901</v>
      </c>
      <c r="CG21">
        <v>26.987677419354799</v>
      </c>
      <c r="CH21">
        <v>999.9</v>
      </c>
      <c r="CI21">
        <v>10007.054516128999</v>
      </c>
      <c r="CJ21">
        <v>0</v>
      </c>
      <c r="CK21">
        <v>206.89929032258101</v>
      </c>
      <c r="CL21">
        <v>2200.00451612903</v>
      </c>
      <c r="CM21">
        <v>0.98200051612903205</v>
      </c>
      <c r="CN21">
        <v>1.7999858064516101E-2</v>
      </c>
      <c r="CO21">
        <v>0</v>
      </c>
      <c r="CP21">
        <v>257.26845161290299</v>
      </c>
      <c r="CQ21">
        <v>5.00054</v>
      </c>
      <c r="CR21">
        <v>8466.2193548387095</v>
      </c>
      <c r="CS21">
        <v>20590.564516129001</v>
      </c>
      <c r="CT21">
        <v>48.161000000000001</v>
      </c>
      <c r="CU21">
        <v>50.481709677419303</v>
      </c>
      <c r="CV21">
        <v>48.707322580645098</v>
      </c>
      <c r="CW21">
        <v>49.158903225806398</v>
      </c>
      <c r="CX21">
        <v>49.566064516129003</v>
      </c>
      <c r="CY21">
        <v>2155.4945161290302</v>
      </c>
      <c r="CZ21">
        <v>39.51</v>
      </c>
      <c r="DA21">
        <v>0</v>
      </c>
      <c r="DB21">
        <v>114.799999952316</v>
      </c>
      <c r="DC21">
        <v>257.26308</v>
      </c>
      <c r="DD21">
        <v>-0.65215386448878099</v>
      </c>
      <c r="DE21">
        <v>-8.6261538721612894</v>
      </c>
      <c r="DF21">
        <v>8466.1064000000006</v>
      </c>
      <c r="DG21">
        <v>15</v>
      </c>
      <c r="DH21">
        <v>1596828659.5</v>
      </c>
      <c r="DI21" t="s">
        <v>307</v>
      </c>
      <c r="DJ21">
        <v>79</v>
      </c>
      <c r="DK21">
        <v>-0.33300000000000002</v>
      </c>
      <c r="DL21">
        <v>0.112</v>
      </c>
      <c r="DM21">
        <v>50</v>
      </c>
      <c r="DN21">
        <v>17</v>
      </c>
      <c r="DO21">
        <v>0.85</v>
      </c>
      <c r="DP21">
        <v>0.04</v>
      </c>
      <c r="DQ21">
        <v>49.6723711538462</v>
      </c>
      <c r="DR21">
        <v>4.7054896269138502E-2</v>
      </c>
      <c r="DS21">
        <v>8.9064440054652892E-3</v>
      </c>
      <c r="DT21">
        <v>1</v>
      </c>
      <c r="DU21">
        <v>18.954578846153801</v>
      </c>
      <c r="DV21">
        <v>0.18853666865874499</v>
      </c>
      <c r="DW21">
        <v>2.38372957337743E-2</v>
      </c>
      <c r="DX21">
        <v>1</v>
      </c>
      <c r="DY21">
        <v>2</v>
      </c>
      <c r="DZ21">
        <v>2</v>
      </c>
      <c r="EA21" t="s">
        <v>283</v>
      </c>
      <c r="EB21">
        <v>1.86676</v>
      </c>
      <c r="EC21">
        <v>1.8632500000000001</v>
      </c>
      <c r="ED21">
        <v>1.8689100000000001</v>
      </c>
      <c r="EE21">
        <v>1.8668100000000001</v>
      </c>
      <c r="EF21">
        <v>1.8714999999999999</v>
      </c>
      <c r="EG21">
        <v>1.8640099999999999</v>
      </c>
      <c r="EH21">
        <v>1.8655900000000001</v>
      </c>
      <c r="EI21">
        <v>1.86554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-0.33300000000000002</v>
      </c>
      <c r="EX21">
        <v>0.112</v>
      </c>
      <c r="EY21">
        <v>2</v>
      </c>
      <c r="EZ21">
        <v>339.42899999999997</v>
      </c>
      <c r="FA21">
        <v>489.23599999999999</v>
      </c>
      <c r="FB21">
        <v>20.598500000000001</v>
      </c>
      <c r="FC21">
        <v>33.155700000000003</v>
      </c>
      <c r="FD21">
        <v>30.000499999999999</v>
      </c>
      <c r="FE21">
        <v>33.156799999999997</v>
      </c>
      <c r="FF21">
        <v>33.164499999999997</v>
      </c>
      <c r="FG21">
        <v>5.6794700000000002</v>
      </c>
      <c r="FH21">
        <v>47.265000000000001</v>
      </c>
      <c r="FI21">
        <v>0</v>
      </c>
      <c r="FJ21">
        <v>20.5899</v>
      </c>
      <c r="FK21">
        <v>50</v>
      </c>
      <c r="FL21">
        <v>16.502700000000001</v>
      </c>
      <c r="FM21">
        <v>100.827</v>
      </c>
      <c r="FN21">
        <v>101.434</v>
      </c>
    </row>
    <row r="22" spans="1:170" x14ac:dyDescent="0.25">
      <c r="A22">
        <v>6</v>
      </c>
      <c r="B22">
        <v>1596828751</v>
      </c>
      <c r="C22">
        <v>614.5</v>
      </c>
      <c r="D22" t="s">
        <v>308</v>
      </c>
      <c r="E22" t="s">
        <v>309</v>
      </c>
      <c r="G22">
        <v>1596828743</v>
      </c>
      <c r="H22">
        <f t="shared" si="0"/>
        <v>6.707527027977651E-3</v>
      </c>
      <c r="I22">
        <f t="shared" si="1"/>
        <v>30.902956497807267</v>
      </c>
      <c r="J22">
        <f t="shared" si="2"/>
        <v>386.614709677419</v>
      </c>
      <c r="K22">
        <f t="shared" si="3"/>
        <v>252.38382161153982</v>
      </c>
      <c r="L22">
        <f t="shared" si="4"/>
        <v>25.217447338363389</v>
      </c>
      <c r="M22">
        <f t="shared" si="5"/>
        <v>38.629401913617698</v>
      </c>
      <c r="N22">
        <f t="shared" si="6"/>
        <v>0.41679605314121759</v>
      </c>
      <c r="O22">
        <f t="shared" si="7"/>
        <v>3.3958162714176741</v>
      </c>
      <c r="P22">
        <f t="shared" si="8"/>
        <v>0.39031873830624103</v>
      </c>
      <c r="Q22">
        <f t="shared" si="9"/>
        <v>0.24618779577259428</v>
      </c>
      <c r="R22">
        <f t="shared" si="10"/>
        <v>353.33789063731513</v>
      </c>
      <c r="S22">
        <f t="shared" si="11"/>
        <v>26.838285791678615</v>
      </c>
      <c r="T22">
        <f t="shared" si="12"/>
        <v>26.991003225806502</v>
      </c>
      <c r="U22">
        <f t="shared" si="13"/>
        <v>3.5772688908240968</v>
      </c>
      <c r="V22">
        <f t="shared" si="14"/>
        <v>54.743495032018529</v>
      </c>
      <c r="W22">
        <f t="shared" si="15"/>
        <v>1.9073459293438375</v>
      </c>
      <c r="X22">
        <f t="shared" si="16"/>
        <v>3.4841508168747053</v>
      </c>
      <c r="Y22">
        <f t="shared" si="17"/>
        <v>1.6699229614802593</v>
      </c>
      <c r="Z22">
        <f t="shared" si="18"/>
        <v>-295.80194193381442</v>
      </c>
      <c r="AA22">
        <f t="shared" si="19"/>
        <v>-82.071452020875782</v>
      </c>
      <c r="AB22">
        <f t="shared" si="20"/>
        <v>-5.2036757093874266</v>
      </c>
      <c r="AC22">
        <f t="shared" si="21"/>
        <v>-29.7391790267625</v>
      </c>
      <c r="AD22">
        <v>-4.1382909929409198E-2</v>
      </c>
      <c r="AE22">
        <v>4.64559417377855E-2</v>
      </c>
      <c r="AF22">
        <v>3.4684360276597399</v>
      </c>
      <c r="AG22">
        <v>143</v>
      </c>
      <c r="AH22">
        <v>29</v>
      </c>
      <c r="AI22">
        <f t="shared" si="22"/>
        <v>1</v>
      </c>
      <c r="AJ22">
        <f t="shared" si="23"/>
        <v>0</v>
      </c>
      <c r="AK22">
        <f t="shared" si="24"/>
        <v>52848.60453122617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254.1172</v>
      </c>
      <c r="AT22">
        <v>342.01299999999998</v>
      </c>
      <c r="AU22">
        <f t="shared" si="27"/>
        <v>0.25699549432331514</v>
      </c>
      <c r="AV22">
        <v>0.5</v>
      </c>
      <c r="AW22">
        <f t="shared" si="28"/>
        <v>1849.1858416445461</v>
      </c>
      <c r="AX22">
        <f t="shared" si="29"/>
        <v>30.902956497807267</v>
      </c>
      <c r="AY22">
        <f t="shared" si="30"/>
        <v>237.61621473455784</v>
      </c>
      <c r="AZ22">
        <f t="shared" si="31"/>
        <v>0.48627683743015615</v>
      </c>
      <c r="BA22">
        <f t="shared" si="32"/>
        <v>1.7252433897847089E-2</v>
      </c>
      <c r="BB22">
        <f t="shared" si="33"/>
        <v>-1</v>
      </c>
      <c r="BC22" t="s">
        <v>311</v>
      </c>
      <c r="BD22">
        <v>175.7</v>
      </c>
      <c r="BE22">
        <f t="shared" si="34"/>
        <v>166.31299999999999</v>
      </c>
      <c r="BF22">
        <f t="shared" si="35"/>
        <v>0.52849626908299407</v>
      </c>
      <c r="BG22">
        <f t="shared" si="36"/>
        <v>1.9465737051792829</v>
      </c>
      <c r="BH22">
        <f t="shared" si="37"/>
        <v>0.25699549432331514</v>
      </c>
      <c r="BI22" t="e">
        <f t="shared" si="38"/>
        <v>#DIV/0!</v>
      </c>
      <c r="BJ22">
        <v>5859</v>
      </c>
      <c r="BK22">
        <v>300</v>
      </c>
      <c r="BL22">
        <v>300</v>
      </c>
      <c r="BM22">
        <v>300</v>
      </c>
      <c r="BN22">
        <v>9873.6299999999992</v>
      </c>
      <c r="BO22">
        <v>314.803</v>
      </c>
      <c r="BP22">
        <v>-6.4040900000000003E-3</v>
      </c>
      <c r="BQ22">
        <v>0.616699</v>
      </c>
      <c r="BR22">
        <f t="shared" si="39"/>
        <v>2200.0006451612899</v>
      </c>
      <c r="BS22">
        <f t="shared" si="40"/>
        <v>1849.1858416445461</v>
      </c>
      <c r="BT22">
        <f t="shared" si="41"/>
        <v>0.84053877243703068</v>
      </c>
      <c r="BU22">
        <f t="shared" si="42"/>
        <v>0.19107754487406159</v>
      </c>
      <c r="BV22">
        <v>0.5</v>
      </c>
      <c r="BW22" t="s">
        <v>281</v>
      </c>
      <c r="BX22">
        <v>1596828743</v>
      </c>
      <c r="BY22">
        <v>386.614709677419</v>
      </c>
      <c r="BZ22">
        <v>400.01116129032198</v>
      </c>
      <c r="CA22">
        <v>19.089293548387101</v>
      </c>
      <c r="CB22">
        <v>16.4578967741935</v>
      </c>
      <c r="CC22">
        <v>500.07548387096801</v>
      </c>
      <c r="CD22">
        <v>99.717064516129</v>
      </c>
      <c r="CE22">
        <v>0.19998712903225799</v>
      </c>
      <c r="CF22">
        <v>26.542709677419399</v>
      </c>
      <c r="CG22">
        <v>26.991003225806502</v>
      </c>
      <c r="CH22">
        <v>999.9</v>
      </c>
      <c r="CI22">
        <v>10008.006129032299</v>
      </c>
      <c r="CJ22">
        <v>0</v>
      </c>
      <c r="CK22">
        <v>205.792</v>
      </c>
      <c r="CL22">
        <v>2200.0006451612899</v>
      </c>
      <c r="CM22">
        <v>0.98200167741935496</v>
      </c>
      <c r="CN22">
        <v>1.7998638709677401E-2</v>
      </c>
      <c r="CO22">
        <v>0</v>
      </c>
      <c r="CP22">
        <v>254.109451612903</v>
      </c>
      <c r="CQ22">
        <v>5.00054</v>
      </c>
      <c r="CR22">
        <v>8406.7545161290309</v>
      </c>
      <c r="CS22">
        <v>20590.561290322599</v>
      </c>
      <c r="CT22">
        <v>48.356580645161301</v>
      </c>
      <c r="CU22">
        <v>50.701322580645197</v>
      </c>
      <c r="CV22">
        <v>48.899000000000001</v>
      </c>
      <c r="CW22">
        <v>49.352451612903202</v>
      </c>
      <c r="CX22">
        <v>49.747709677419301</v>
      </c>
      <c r="CY22">
        <v>2155.4906451612901</v>
      </c>
      <c r="CZ22">
        <v>39.51</v>
      </c>
      <c r="DA22">
        <v>0</v>
      </c>
      <c r="DB22">
        <v>119.09999990463299</v>
      </c>
      <c r="DC22">
        <v>254.1172</v>
      </c>
      <c r="DD22">
        <v>0.187153849074089</v>
      </c>
      <c r="DE22">
        <v>-27.568461600232499</v>
      </c>
      <c r="DF22">
        <v>8406.6720000000005</v>
      </c>
      <c r="DG22">
        <v>15</v>
      </c>
      <c r="DH22">
        <v>1596828775</v>
      </c>
      <c r="DI22" t="s">
        <v>312</v>
      </c>
      <c r="DJ22">
        <v>80</v>
      </c>
      <c r="DK22">
        <v>-0.28499999999999998</v>
      </c>
      <c r="DL22">
        <v>0.108</v>
      </c>
      <c r="DM22">
        <v>400</v>
      </c>
      <c r="DN22">
        <v>16</v>
      </c>
      <c r="DO22">
        <v>0.18</v>
      </c>
      <c r="DP22">
        <v>0.03</v>
      </c>
      <c r="DQ22">
        <v>386.56784615384601</v>
      </c>
      <c r="DR22">
        <v>-3.96687441304477E-2</v>
      </c>
      <c r="DS22">
        <v>1.5037625394817599E-2</v>
      </c>
      <c r="DT22">
        <v>1</v>
      </c>
      <c r="DU22">
        <v>19.085115384615399</v>
      </c>
      <c r="DV22">
        <v>9.1451208059416103E-2</v>
      </c>
      <c r="DW22">
        <v>1.14889141318487E-2</v>
      </c>
      <c r="DX22">
        <v>1</v>
      </c>
      <c r="DY22">
        <v>2</v>
      </c>
      <c r="DZ22">
        <v>2</v>
      </c>
      <c r="EA22" t="s">
        <v>283</v>
      </c>
      <c r="EB22">
        <v>1.86676</v>
      </c>
      <c r="EC22">
        <v>1.8632500000000001</v>
      </c>
      <c r="ED22">
        <v>1.8689199999999999</v>
      </c>
      <c r="EE22">
        <v>1.8667899999999999</v>
      </c>
      <c r="EF22">
        <v>1.8714999999999999</v>
      </c>
      <c r="EG22">
        <v>1.8640099999999999</v>
      </c>
      <c r="EH22">
        <v>1.86555</v>
      </c>
      <c r="EI22">
        <v>1.86554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-0.28499999999999998</v>
      </c>
      <c r="EX22">
        <v>0.108</v>
      </c>
      <c r="EY22">
        <v>2</v>
      </c>
      <c r="EZ22">
        <v>339.22399999999999</v>
      </c>
      <c r="FA22">
        <v>489.63600000000002</v>
      </c>
      <c r="FB22">
        <v>21.035699999999999</v>
      </c>
      <c r="FC22">
        <v>33.243000000000002</v>
      </c>
      <c r="FD22">
        <v>30.000399999999999</v>
      </c>
      <c r="FE22">
        <v>33.2438</v>
      </c>
      <c r="FF22">
        <v>33.2502</v>
      </c>
      <c r="FG22">
        <v>22.097999999999999</v>
      </c>
      <c r="FH22">
        <v>47.727899999999998</v>
      </c>
      <c r="FI22">
        <v>0</v>
      </c>
      <c r="FJ22">
        <v>21.040900000000001</v>
      </c>
      <c r="FK22">
        <v>400</v>
      </c>
      <c r="FL22">
        <v>16.5641</v>
      </c>
      <c r="FM22">
        <v>100.81</v>
      </c>
      <c r="FN22">
        <v>101.416</v>
      </c>
    </row>
    <row r="23" spans="1:170" x14ac:dyDescent="0.25">
      <c r="A23">
        <v>7</v>
      </c>
      <c r="B23">
        <v>1596828869.5</v>
      </c>
      <c r="C23">
        <v>733</v>
      </c>
      <c r="D23" t="s">
        <v>313</v>
      </c>
      <c r="E23" t="s">
        <v>314</v>
      </c>
      <c r="G23">
        <v>1596828861.5</v>
      </c>
      <c r="H23">
        <f t="shared" si="0"/>
        <v>6.2660819769389756E-3</v>
      </c>
      <c r="I23">
        <f t="shared" si="1"/>
        <v>31.415370750844264</v>
      </c>
      <c r="J23">
        <f t="shared" si="2"/>
        <v>386.370096774194</v>
      </c>
      <c r="K23">
        <f t="shared" si="3"/>
        <v>241.95897406360169</v>
      </c>
      <c r="L23">
        <f t="shared" si="4"/>
        <v>24.176840514629596</v>
      </c>
      <c r="M23">
        <f t="shared" si="5"/>
        <v>38.60657884454514</v>
      </c>
      <c r="N23">
        <f t="shared" si="6"/>
        <v>0.39002483639638219</v>
      </c>
      <c r="O23">
        <f t="shared" si="7"/>
        <v>3.3917183704788352</v>
      </c>
      <c r="P23">
        <f t="shared" si="8"/>
        <v>0.36671133600080147</v>
      </c>
      <c r="Q23">
        <f t="shared" si="9"/>
        <v>0.23117299316984924</v>
      </c>
      <c r="R23">
        <f t="shared" si="10"/>
        <v>353.33618110151957</v>
      </c>
      <c r="S23">
        <f t="shared" si="11"/>
        <v>26.97506058517785</v>
      </c>
      <c r="T23">
        <f t="shared" si="12"/>
        <v>27.031990322580601</v>
      </c>
      <c r="U23">
        <f t="shared" si="13"/>
        <v>3.5858899887557723</v>
      </c>
      <c r="V23">
        <f t="shared" si="14"/>
        <v>55.149233657323101</v>
      </c>
      <c r="W23">
        <f t="shared" si="15"/>
        <v>1.925600572492165</v>
      </c>
      <c r="X23">
        <f t="shared" si="16"/>
        <v>3.4916180058949378</v>
      </c>
      <c r="Y23">
        <f t="shared" si="17"/>
        <v>1.6602894162636073</v>
      </c>
      <c r="Z23">
        <f t="shared" si="18"/>
        <v>-276.33421518300884</v>
      </c>
      <c r="AA23">
        <f t="shared" si="19"/>
        <v>-82.823569675155738</v>
      </c>
      <c r="AB23">
        <f t="shared" si="20"/>
        <v>-5.2597423914548083</v>
      </c>
      <c r="AC23">
        <f t="shared" si="21"/>
        <v>-11.08134614809984</v>
      </c>
      <c r="AD23">
        <v>-4.1319437523262503E-2</v>
      </c>
      <c r="AE23">
        <v>4.6384688401397603E-2</v>
      </c>
      <c r="AF23">
        <v>3.4642267437690899</v>
      </c>
      <c r="AG23">
        <v>143</v>
      </c>
      <c r="AH23">
        <v>29</v>
      </c>
      <c r="AI23">
        <f t="shared" si="22"/>
        <v>1</v>
      </c>
      <c r="AJ23">
        <f t="shared" si="23"/>
        <v>0</v>
      </c>
      <c r="AK23">
        <f t="shared" si="24"/>
        <v>52764.547247926705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253.26612</v>
      </c>
      <c r="AT23">
        <v>347.24099999999999</v>
      </c>
      <c r="AU23">
        <f t="shared" si="27"/>
        <v>0.27063301856635591</v>
      </c>
      <c r="AV23">
        <v>0.5</v>
      </c>
      <c r="AW23">
        <f t="shared" si="28"/>
        <v>1849.1793287413873</v>
      </c>
      <c r="AX23">
        <f t="shared" si="29"/>
        <v>31.415370750844264</v>
      </c>
      <c r="AY23">
        <f t="shared" si="30"/>
        <v>250.22449180389472</v>
      </c>
      <c r="AZ23">
        <f t="shared" si="31"/>
        <v>0.48479586223977006</v>
      </c>
      <c r="BA23">
        <f t="shared" si="32"/>
        <v>1.7529598263953793E-2</v>
      </c>
      <c r="BB23">
        <f t="shared" si="33"/>
        <v>-1</v>
      </c>
      <c r="BC23" t="s">
        <v>316</v>
      </c>
      <c r="BD23">
        <v>178.9</v>
      </c>
      <c r="BE23">
        <f t="shared" si="34"/>
        <v>168.34099999999998</v>
      </c>
      <c r="BF23">
        <f t="shared" si="35"/>
        <v>0.55824118901515374</v>
      </c>
      <c r="BG23">
        <f t="shared" si="36"/>
        <v>1.9409782001117941</v>
      </c>
      <c r="BH23">
        <f t="shared" si="37"/>
        <v>0.27063301856635591</v>
      </c>
      <c r="BI23" t="e">
        <f t="shared" si="38"/>
        <v>#DIV/0!</v>
      </c>
      <c r="BJ23">
        <v>5861</v>
      </c>
      <c r="BK23">
        <v>300</v>
      </c>
      <c r="BL23">
        <v>300</v>
      </c>
      <c r="BM23">
        <v>300</v>
      </c>
      <c r="BN23">
        <v>9872.94</v>
      </c>
      <c r="BO23">
        <v>316.67399999999998</v>
      </c>
      <c r="BP23">
        <v>-6.4035799999999999E-3</v>
      </c>
      <c r="BQ23">
        <v>0.47940100000000002</v>
      </c>
      <c r="BR23">
        <f t="shared" si="39"/>
        <v>2199.99322580645</v>
      </c>
      <c r="BS23">
        <f t="shared" si="40"/>
        <v>1849.1793287413873</v>
      </c>
      <c r="BT23">
        <f t="shared" si="41"/>
        <v>0.84053864668766642</v>
      </c>
      <c r="BU23">
        <f t="shared" si="42"/>
        <v>0.19107729337533308</v>
      </c>
      <c r="BV23">
        <v>0.5</v>
      </c>
      <c r="BW23" t="s">
        <v>281</v>
      </c>
      <c r="BX23">
        <v>1596828861.5</v>
      </c>
      <c r="BY23">
        <v>386.370096774194</v>
      </c>
      <c r="BZ23">
        <v>399.90270967741901</v>
      </c>
      <c r="CA23">
        <v>19.2711838709677</v>
      </c>
      <c r="CB23">
        <v>16.813406451612899</v>
      </c>
      <c r="CC23">
        <v>500.07190322580601</v>
      </c>
      <c r="CD23">
        <v>99.721229032258094</v>
      </c>
      <c r="CE23">
        <v>0.20001012903225801</v>
      </c>
      <c r="CF23">
        <v>26.5790419354839</v>
      </c>
      <c r="CG23">
        <v>27.031990322580601</v>
      </c>
      <c r="CH23">
        <v>999.9</v>
      </c>
      <c r="CI23">
        <v>9992.23870967742</v>
      </c>
      <c r="CJ23">
        <v>0</v>
      </c>
      <c r="CK23">
        <v>209.76522580645201</v>
      </c>
      <c r="CL23">
        <v>2199.99322580645</v>
      </c>
      <c r="CM23">
        <v>0.98200270967741998</v>
      </c>
      <c r="CN23">
        <v>1.7997554838709701E-2</v>
      </c>
      <c r="CO23">
        <v>0</v>
      </c>
      <c r="CP23">
        <v>253.282225806452</v>
      </c>
      <c r="CQ23">
        <v>5.00054</v>
      </c>
      <c r="CR23">
        <v>8369.9693548387095</v>
      </c>
      <c r="CS23">
        <v>20590.4806451613</v>
      </c>
      <c r="CT23">
        <v>48.5238709677419</v>
      </c>
      <c r="CU23">
        <v>50.875</v>
      </c>
      <c r="CV23">
        <v>49.092483870967698</v>
      </c>
      <c r="CW23">
        <v>49.525935483871002</v>
      </c>
      <c r="CX23">
        <v>49.939225806451603</v>
      </c>
      <c r="CY23">
        <v>2155.4925806451602</v>
      </c>
      <c r="CZ23">
        <v>39.500645161290301</v>
      </c>
      <c r="DA23">
        <v>0</v>
      </c>
      <c r="DB23">
        <v>117.700000047684</v>
      </c>
      <c r="DC23">
        <v>253.26612</v>
      </c>
      <c r="DD23">
        <v>-0.146538466917708</v>
      </c>
      <c r="DE23">
        <v>-23.734615479358901</v>
      </c>
      <c r="DF23">
        <v>8369.5511999999999</v>
      </c>
      <c r="DG23">
        <v>15</v>
      </c>
      <c r="DH23">
        <v>1596828893.5</v>
      </c>
      <c r="DI23" t="s">
        <v>317</v>
      </c>
      <c r="DJ23">
        <v>81</v>
      </c>
      <c r="DK23">
        <v>-0.27700000000000002</v>
      </c>
      <c r="DL23">
        <v>0.114</v>
      </c>
      <c r="DM23">
        <v>400</v>
      </c>
      <c r="DN23">
        <v>17</v>
      </c>
      <c r="DO23">
        <v>0.24</v>
      </c>
      <c r="DP23">
        <v>0.03</v>
      </c>
      <c r="DQ23">
        <v>386.399230769231</v>
      </c>
      <c r="DR23">
        <v>-0.26767181763861603</v>
      </c>
      <c r="DS23">
        <v>6.1079902078095098E-2</v>
      </c>
      <c r="DT23">
        <v>1</v>
      </c>
      <c r="DU23">
        <v>19.259842307692299</v>
      </c>
      <c r="DV23">
        <v>5.5176641338683198E-2</v>
      </c>
      <c r="DW23">
        <v>7.1836177449334697E-3</v>
      </c>
      <c r="DX23">
        <v>1</v>
      </c>
      <c r="DY23">
        <v>2</v>
      </c>
      <c r="DZ23">
        <v>2</v>
      </c>
      <c r="EA23" t="s">
        <v>283</v>
      </c>
      <c r="EB23">
        <v>1.8667100000000001</v>
      </c>
      <c r="EC23">
        <v>1.8632299999999999</v>
      </c>
      <c r="ED23">
        <v>1.8689</v>
      </c>
      <c r="EE23">
        <v>1.8667800000000001</v>
      </c>
      <c r="EF23">
        <v>1.8714900000000001</v>
      </c>
      <c r="EG23">
        <v>1.86399</v>
      </c>
      <c r="EH23">
        <v>1.86554</v>
      </c>
      <c r="EI23">
        <v>1.8654599999999999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-0.27700000000000002</v>
      </c>
      <c r="EX23">
        <v>0.114</v>
      </c>
      <c r="EY23">
        <v>2</v>
      </c>
      <c r="EZ23">
        <v>339.22399999999999</v>
      </c>
      <c r="FA23">
        <v>489.94600000000003</v>
      </c>
      <c r="FB23">
        <v>19.979600000000001</v>
      </c>
      <c r="FC23">
        <v>33.328000000000003</v>
      </c>
      <c r="FD23">
        <v>30.0001</v>
      </c>
      <c r="FE23">
        <v>33.327500000000001</v>
      </c>
      <c r="FF23">
        <v>33.334000000000003</v>
      </c>
      <c r="FG23">
        <v>22.100200000000001</v>
      </c>
      <c r="FH23">
        <v>45.8125</v>
      </c>
      <c r="FI23">
        <v>0</v>
      </c>
      <c r="FJ23">
        <v>19.971</v>
      </c>
      <c r="FK23">
        <v>400</v>
      </c>
      <c r="FL23">
        <v>16.844000000000001</v>
      </c>
      <c r="FM23">
        <v>100.795</v>
      </c>
      <c r="FN23">
        <v>101.398</v>
      </c>
    </row>
    <row r="24" spans="1:170" x14ac:dyDescent="0.25">
      <c r="A24">
        <v>8</v>
      </c>
      <c r="B24">
        <v>1596829015</v>
      </c>
      <c r="C24">
        <v>878.5</v>
      </c>
      <c r="D24" t="s">
        <v>318</v>
      </c>
      <c r="E24" t="s">
        <v>319</v>
      </c>
      <c r="G24">
        <v>1596829007.0064499</v>
      </c>
      <c r="H24">
        <f t="shared" si="0"/>
        <v>4.3486811727236176E-3</v>
      </c>
      <c r="I24">
        <f t="shared" si="1"/>
        <v>32.400192396188999</v>
      </c>
      <c r="J24">
        <f t="shared" si="2"/>
        <v>486.21774193548401</v>
      </c>
      <c r="K24">
        <f t="shared" si="3"/>
        <v>268.36040826407537</v>
      </c>
      <c r="L24">
        <f t="shared" si="4"/>
        <v>26.815095590873288</v>
      </c>
      <c r="M24">
        <f t="shared" si="5"/>
        <v>48.583825432061388</v>
      </c>
      <c r="N24">
        <f t="shared" si="6"/>
        <v>0.25905640465724933</v>
      </c>
      <c r="O24">
        <f t="shared" si="7"/>
        <v>3.3941602994242901</v>
      </c>
      <c r="P24">
        <f t="shared" si="8"/>
        <v>0.24855181242794269</v>
      </c>
      <c r="Q24">
        <f t="shared" si="9"/>
        <v>0.15625318514681344</v>
      </c>
      <c r="R24">
        <f t="shared" si="10"/>
        <v>353.33908230543653</v>
      </c>
      <c r="S24">
        <f t="shared" si="11"/>
        <v>27.007813702247098</v>
      </c>
      <c r="T24">
        <f t="shared" si="12"/>
        <v>27.011187096774201</v>
      </c>
      <c r="U24">
        <f t="shared" si="13"/>
        <v>3.5815120394347209</v>
      </c>
      <c r="V24">
        <f t="shared" si="14"/>
        <v>55.165944691752024</v>
      </c>
      <c r="W24">
        <f t="shared" si="15"/>
        <v>1.8810568380356103</v>
      </c>
      <c r="X24">
        <f t="shared" si="16"/>
        <v>3.4098153281817201</v>
      </c>
      <c r="Y24">
        <f t="shared" si="17"/>
        <v>1.7004552013991105</v>
      </c>
      <c r="Z24">
        <f t="shared" si="18"/>
        <v>-191.77683971711153</v>
      </c>
      <c r="AA24">
        <f t="shared" si="19"/>
        <v>-152.5955420991061</v>
      </c>
      <c r="AB24">
        <f t="shared" si="20"/>
        <v>-9.6632200520480094</v>
      </c>
      <c r="AC24">
        <f t="shared" si="21"/>
        <v>-0.69651956282910987</v>
      </c>
      <c r="AD24">
        <v>-4.1357256405591403E-2</v>
      </c>
      <c r="AE24">
        <v>4.6427143409927901E-2</v>
      </c>
      <c r="AF24">
        <v>3.4667350382267998</v>
      </c>
      <c r="AG24">
        <v>142</v>
      </c>
      <c r="AH24">
        <v>28</v>
      </c>
      <c r="AI24">
        <f t="shared" si="22"/>
        <v>1</v>
      </c>
      <c r="AJ24">
        <f t="shared" si="23"/>
        <v>0</v>
      </c>
      <c r="AK24">
        <f t="shared" si="24"/>
        <v>52881.808088510887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320</v>
      </c>
      <c r="AS24">
        <v>255.08892</v>
      </c>
      <c r="AT24">
        <v>351.35599999999999</v>
      </c>
      <c r="AU24">
        <f t="shared" si="27"/>
        <v>0.27398729493732854</v>
      </c>
      <c r="AV24">
        <v>0.5</v>
      </c>
      <c r="AW24">
        <f t="shared" si="28"/>
        <v>1849.1945126123558</v>
      </c>
      <c r="AX24">
        <f t="shared" si="29"/>
        <v>32.400192396188999</v>
      </c>
      <c r="AY24">
        <f t="shared" si="30"/>
        <v>253.3279011618055</v>
      </c>
      <c r="AZ24">
        <f t="shared" si="31"/>
        <v>0.48342991154270881</v>
      </c>
      <c r="BA24">
        <f t="shared" si="32"/>
        <v>1.8062022230968321E-2</v>
      </c>
      <c r="BB24">
        <f t="shared" si="33"/>
        <v>-1</v>
      </c>
      <c r="BC24" t="s">
        <v>321</v>
      </c>
      <c r="BD24">
        <v>181.5</v>
      </c>
      <c r="BE24">
        <f t="shared" si="34"/>
        <v>169.85599999999999</v>
      </c>
      <c r="BF24">
        <f t="shared" si="35"/>
        <v>0.56675701770911824</v>
      </c>
      <c r="BG24">
        <f t="shared" si="36"/>
        <v>1.9358457300275482</v>
      </c>
      <c r="BH24">
        <f t="shared" si="37"/>
        <v>0.27398729493732848</v>
      </c>
      <c r="BI24" t="e">
        <f t="shared" si="38"/>
        <v>#DIV/0!</v>
      </c>
      <c r="BJ24">
        <v>5863</v>
      </c>
      <c r="BK24">
        <v>300</v>
      </c>
      <c r="BL24">
        <v>300</v>
      </c>
      <c r="BM24">
        <v>300</v>
      </c>
      <c r="BN24">
        <v>9872.5499999999993</v>
      </c>
      <c r="BO24">
        <v>322.2</v>
      </c>
      <c r="BP24">
        <v>-6.4033199999999997E-3</v>
      </c>
      <c r="BQ24">
        <v>1.5428500000000001</v>
      </c>
      <c r="BR24">
        <f t="shared" si="39"/>
        <v>2200.01129032258</v>
      </c>
      <c r="BS24">
        <f t="shared" si="40"/>
        <v>1849.1945126123558</v>
      </c>
      <c r="BT24">
        <f t="shared" si="41"/>
        <v>0.84053864666358824</v>
      </c>
      <c r="BU24">
        <f t="shared" si="42"/>
        <v>0.19107729332717663</v>
      </c>
      <c r="BV24">
        <v>0.5</v>
      </c>
      <c r="BW24" t="s">
        <v>281</v>
      </c>
      <c r="BX24">
        <v>1596829007.0064499</v>
      </c>
      <c r="BY24">
        <v>486.21774193548401</v>
      </c>
      <c r="BZ24">
        <v>500.02164516129</v>
      </c>
      <c r="CA24">
        <v>18.825261290322601</v>
      </c>
      <c r="CB24">
        <v>17.118774193548401</v>
      </c>
      <c r="CC24">
        <v>500.07012903225802</v>
      </c>
      <c r="CD24">
        <v>99.721977419354801</v>
      </c>
      <c r="CE24">
        <v>0.19997367741935501</v>
      </c>
      <c r="CF24">
        <v>26.177267741935498</v>
      </c>
      <c r="CG24">
        <v>27.011187096774201</v>
      </c>
      <c r="CH24">
        <v>999.9</v>
      </c>
      <c r="CI24">
        <v>10001.309354838701</v>
      </c>
      <c r="CJ24">
        <v>0</v>
      </c>
      <c r="CK24">
        <v>208.730290322581</v>
      </c>
      <c r="CL24">
        <v>2200.01129032258</v>
      </c>
      <c r="CM24">
        <v>0.98200335483871004</v>
      </c>
      <c r="CN24">
        <v>1.7996877419354799E-2</v>
      </c>
      <c r="CO24">
        <v>0</v>
      </c>
      <c r="CP24">
        <v>255.13167741935499</v>
      </c>
      <c r="CQ24">
        <v>5.00054</v>
      </c>
      <c r="CR24">
        <v>8393.8206451612896</v>
      </c>
      <c r="CS24">
        <v>20590.658064516101</v>
      </c>
      <c r="CT24">
        <v>48.543999999999997</v>
      </c>
      <c r="CU24">
        <v>50.878935483870997</v>
      </c>
      <c r="CV24">
        <v>49.120935483871001</v>
      </c>
      <c r="CW24">
        <v>49.491741935483901</v>
      </c>
      <c r="CX24">
        <v>49.923000000000002</v>
      </c>
      <c r="CY24">
        <v>2155.5103225806502</v>
      </c>
      <c r="CZ24">
        <v>39.500967741935497</v>
      </c>
      <c r="DA24">
        <v>0</v>
      </c>
      <c r="DB24">
        <v>144.799999952316</v>
      </c>
      <c r="DC24">
        <v>255.08892</v>
      </c>
      <c r="DD24">
        <v>-1.78761539092314</v>
      </c>
      <c r="DE24">
        <v>-51.10384618997</v>
      </c>
      <c r="DF24">
        <v>8393.1352000000006</v>
      </c>
      <c r="DG24">
        <v>15</v>
      </c>
      <c r="DH24">
        <v>1596829036.5</v>
      </c>
      <c r="DI24" t="s">
        <v>322</v>
      </c>
      <c r="DJ24">
        <v>82</v>
      </c>
      <c r="DK24">
        <v>-0.311</v>
      </c>
      <c r="DL24">
        <v>0.11700000000000001</v>
      </c>
      <c r="DM24">
        <v>500</v>
      </c>
      <c r="DN24">
        <v>17</v>
      </c>
      <c r="DO24">
        <v>0.38</v>
      </c>
      <c r="DP24">
        <v>0.05</v>
      </c>
      <c r="DQ24">
        <v>486.11030769230803</v>
      </c>
      <c r="DR24">
        <v>1.5407422110437199</v>
      </c>
      <c r="DS24">
        <v>0.19553354408874299</v>
      </c>
      <c r="DT24">
        <v>0</v>
      </c>
      <c r="DU24">
        <v>18.826490384615401</v>
      </c>
      <c r="DV24">
        <v>-5.7408388857693601E-2</v>
      </c>
      <c r="DW24">
        <v>9.01785109178521E-3</v>
      </c>
      <c r="DX24">
        <v>1</v>
      </c>
      <c r="DY24">
        <v>1</v>
      </c>
      <c r="DZ24">
        <v>2</v>
      </c>
      <c r="EA24" t="s">
        <v>323</v>
      </c>
      <c r="EB24">
        <v>1.8667</v>
      </c>
      <c r="EC24">
        <v>1.8631800000000001</v>
      </c>
      <c r="ED24">
        <v>1.8689</v>
      </c>
      <c r="EE24">
        <v>1.86676</v>
      </c>
      <c r="EF24">
        <v>1.8714900000000001</v>
      </c>
      <c r="EG24">
        <v>1.8639699999999999</v>
      </c>
      <c r="EH24">
        <v>1.86554</v>
      </c>
      <c r="EI24">
        <v>1.86547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-0.311</v>
      </c>
      <c r="EX24">
        <v>0.11700000000000001</v>
      </c>
      <c r="EY24">
        <v>2</v>
      </c>
      <c r="EZ24">
        <v>340.14800000000002</v>
      </c>
      <c r="FA24">
        <v>489.47800000000001</v>
      </c>
      <c r="FB24">
        <v>19.3386</v>
      </c>
      <c r="FC24">
        <v>33.371499999999997</v>
      </c>
      <c r="FD24">
        <v>30</v>
      </c>
      <c r="FE24">
        <v>33.375599999999999</v>
      </c>
      <c r="FF24">
        <v>33.381399999999999</v>
      </c>
      <c r="FG24">
        <v>26.403199999999998</v>
      </c>
      <c r="FH24">
        <v>44.606000000000002</v>
      </c>
      <c r="FI24">
        <v>0</v>
      </c>
      <c r="FJ24">
        <v>19.346499999999999</v>
      </c>
      <c r="FK24">
        <v>500</v>
      </c>
      <c r="FL24">
        <v>17.090299999999999</v>
      </c>
      <c r="FM24">
        <v>100.792</v>
      </c>
      <c r="FN24">
        <v>101.398</v>
      </c>
    </row>
    <row r="25" spans="1:170" x14ac:dyDescent="0.25">
      <c r="A25">
        <v>9</v>
      </c>
      <c r="B25">
        <v>1596829128</v>
      </c>
      <c r="C25">
        <v>991.5</v>
      </c>
      <c r="D25" t="s">
        <v>324</v>
      </c>
      <c r="E25" t="s">
        <v>325</v>
      </c>
      <c r="G25">
        <v>1596829120</v>
      </c>
      <c r="H25">
        <f t="shared" si="0"/>
        <v>3.5838153316965541E-3</v>
      </c>
      <c r="I25">
        <f t="shared" si="1"/>
        <v>34.636026679173213</v>
      </c>
      <c r="J25">
        <f t="shared" si="2"/>
        <v>585.28448387096796</v>
      </c>
      <c r="K25">
        <f t="shared" si="3"/>
        <v>299.19922419391401</v>
      </c>
      <c r="L25">
        <f t="shared" si="4"/>
        <v>29.896885922581749</v>
      </c>
      <c r="M25">
        <f t="shared" si="5"/>
        <v>58.48338508794636</v>
      </c>
      <c r="N25">
        <f t="shared" si="6"/>
        <v>0.20847987450889463</v>
      </c>
      <c r="O25">
        <f t="shared" si="7"/>
        <v>3.394037488650079</v>
      </c>
      <c r="P25">
        <f t="shared" si="8"/>
        <v>0.201617910320805</v>
      </c>
      <c r="Q25">
        <f t="shared" si="9"/>
        <v>0.12660889923815169</v>
      </c>
      <c r="R25">
        <f t="shared" si="10"/>
        <v>353.33741670993322</v>
      </c>
      <c r="S25">
        <f t="shared" si="11"/>
        <v>27.004782841018873</v>
      </c>
      <c r="T25">
        <f t="shared" si="12"/>
        <v>26.994254838709701</v>
      </c>
      <c r="U25">
        <f t="shared" si="13"/>
        <v>3.5779521635631384</v>
      </c>
      <c r="V25">
        <f t="shared" si="14"/>
        <v>54.825591700545829</v>
      </c>
      <c r="W25">
        <f t="shared" si="15"/>
        <v>1.8500344898738259</v>
      </c>
      <c r="X25">
        <f t="shared" si="16"/>
        <v>3.3743994957293046</v>
      </c>
      <c r="Y25">
        <f t="shared" si="17"/>
        <v>1.7279176736893125</v>
      </c>
      <c r="Z25">
        <f t="shared" si="18"/>
        <v>-158.04625612781803</v>
      </c>
      <c r="AA25">
        <f t="shared" si="19"/>
        <v>-181.79883715850738</v>
      </c>
      <c r="AB25">
        <f t="shared" si="20"/>
        <v>-11.501815296520769</v>
      </c>
      <c r="AC25">
        <f t="shared" si="21"/>
        <v>1.9905081270870539</v>
      </c>
      <c r="AD25">
        <v>-4.1355354105118501E-2</v>
      </c>
      <c r="AE25">
        <v>4.6425007910996401E-2</v>
      </c>
      <c r="AF25">
        <v>3.46660888924856</v>
      </c>
      <c r="AG25">
        <v>143</v>
      </c>
      <c r="AH25">
        <v>29</v>
      </c>
      <c r="AI25">
        <f t="shared" si="22"/>
        <v>1</v>
      </c>
      <c r="AJ25">
        <f t="shared" si="23"/>
        <v>0</v>
      </c>
      <c r="AK25">
        <f t="shared" si="24"/>
        <v>52910.723074583715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257.27316000000002</v>
      </c>
      <c r="AT25">
        <v>359.74799999999999</v>
      </c>
      <c r="AU25">
        <f t="shared" si="27"/>
        <v>0.28485172954401405</v>
      </c>
      <c r="AV25">
        <v>0.5</v>
      </c>
      <c r="AW25">
        <f t="shared" si="28"/>
        <v>1849.1858319671999</v>
      </c>
      <c r="AX25">
        <f t="shared" si="29"/>
        <v>34.636026679173213</v>
      </c>
      <c r="AY25">
        <f t="shared" si="30"/>
        <v>263.37189124207174</v>
      </c>
      <c r="AZ25">
        <f t="shared" si="31"/>
        <v>0.49225569009417702</v>
      </c>
      <c r="BA25">
        <f t="shared" si="32"/>
        <v>1.9271198201460865E-2</v>
      </c>
      <c r="BB25">
        <f t="shared" si="33"/>
        <v>-1</v>
      </c>
      <c r="BC25" t="s">
        <v>327</v>
      </c>
      <c r="BD25">
        <v>182.66</v>
      </c>
      <c r="BE25">
        <f t="shared" si="34"/>
        <v>177.08799999999999</v>
      </c>
      <c r="BF25">
        <f t="shared" si="35"/>
        <v>0.57866619985543899</v>
      </c>
      <c r="BG25">
        <f t="shared" si="36"/>
        <v>1.9694952370524472</v>
      </c>
      <c r="BH25">
        <f t="shared" si="37"/>
        <v>0.28485172954401405</v>
      </c>
      <c r="BI25" t="e">
        <f t="shared" si="38"/>
        <v>#DIV/0!</v>
      </c>
      <c r="BJ25">
        <v>5865</v>
      </c>
      <c r="BK25">
        <v>300</v>
      </c>
      <c r="BL25">
        <v>300</v>
      </c>
      <c r="BM25">
        <v>300</v>
      </c>
      <c r="BN25">
        <v>9872.2900000000009</v>
      </c>
      <c r="BO25">
        <v>327.68299999999999</v>
      </c>
      <c r="BP25">
        <v>-6.40312E-3</v>
      </c>
      <c r="BQ25">
        <v>0.72818000000000005</v>
      </c>
      <c r="BR25">
        <f t="shared" si="39"/>
        <v>2200.0009677419398</v>
      </c>
      <c r="BS25">
        <f t="shared" si="40"/>
        <v>1849.1858319671999</v>
      </c>
      <c r="BT25">
        <f t="shared" si="41"/>
        <v>0.84053864479213691</v>
      </c>
      <c r="BU25">
        <f t="shared" si="42"/>
        <v>0.19107728958427397</v>
      </c>
      <c r="BV25">
        <v>0.5</v>
      </c>
      <c r="BW25" t="s">
        <v>281</v>
      </c>
      <c r="BX25">
        <v>1596829120</v>
      </c>
      <c r="BY25">
        <v>585.28448387096796</v>
      </c>
      <c r="BZ25">
        <v>599.97561290322597</v>
      </c>
      <c r="CA25">
        <v>18.514600000000002</v>
      </c>
      <c r="CB25">
        <v>17.107835483871</v>
      </c>
      <c r="CC25">
        <v>500.07835483871003</v>
      </c>
      <c r="CD25">
        <v>99.723006451612903</v>
      </c>
      <c r="CE25">
        <v>0.19999970967741901</v>
      </c>
      <c r="CF25">
        <v>26.000706451612899</v>
      </c>
      <c r="CG25">
        <v>26.994254838709701</v>
      </c>
      <c r="CH25">
        <v>999.9</v>
      </c>
      <c r="CI25">
        <v>10000.746129032301</v>
      </c>
      <c r="CJ25">
        <v>0</v>
      </c>
      <c r="CK25">
        <v>207.928741935484</v>
      </c>
      <c r="CL25">
        <v>2200.0009677419398</v>
      </c>
      <c r="CM25">
        <v>0.98200367741935501</v>
      </c>
      <c r="CN25">
        <v>1.79965387096774E-2</v>
      </c>
      <c r="CO25">
        <v>0</v>
      </c>
      <c r="CP25">
        <v>257.28561290322602</v>
      </c>
      <c r="CQ25">
        <v>5.00054</v>
      </c>
      <c r="CR25">
        <v>8430</v>
      </c>
      <c r="CS25">
        <v>20590.561290322599</v>
      </c>
      <c r="CT25">
        <v>48.638935483871002</v>
      </c>
      <c r="CU25">
        <v>50.941064516129003</v>
      </c>
      <c r="CV25">
        <v>49.197161290322597</v>
      </c>
      <c r="CW25">
        <v>49.596483870967703</v>
      </c>
      <c r="CX25">
        <v>49.973580645161299</v>
      </c>
      <c r="CY25">
        <v>2155.5003225806399</v>
      </c>
      <c r="CZ25">
        <v>39.500645161290301</v>
      </c>
      <c r="DA25">
        <v>0</v>
      </c>
      <c r="DB25">
        <v>112.59999990463299</v>
      </c>
      <c r="DC25">
        <v>257.27316000000002</v>
      </c>
      <c r="DD25">
        <v>-2.1002307665469799</v>
      </c>
      <c r="DE25">
        <v>-37.496923208037103</v>
      </c>
      <c r="DF25">
        <v>8429.5136000000002</v>
      </c>
      <c r="DG25">
        <v>15</v>
      </c>
      <c r="DH25">
        <v>1596829155.5999999</v>
      </c>
      <c r="DI25" t="s">
        <v>328</v>
      </c>
      <c r="DJ25">
        <v>83</v>
      </c>
      <c r="DK25">
        <v>-0.33100000000000002</v>
      </c>
      <c r="DL25">
        <v>0.12</v>
      </c>
      <c r="DM25">
        <v>600</v>
      </c>
      <c r="DN25">
        <v>17</v>
      </c>
      <c r="DO25">
        <v>0.28000000000000003</v>
      </c>
      <c r="DP25">
        <v>7.0000000000000007E-2</v>
      </c>
      <c r="DQ25">
        <v>585.29021153846202</v>
      </c>
      <c r="DR25">
        <v>0.11657303850432001</v>
      </c>
      <c r="DS25">
        <v>4.37613003157565E-2</v>
      </c>
      <c r="DT25">
        <v>1</v>
      </c>
      <c r="DU25">
        <v>18.496942307692301</v>
      </c>
      <c r="DV25">
        <v>0.15832357209937301</v>
      </c>
      <c r="DW25">
        <v>2.12812154994984E-2</v>
      </c>
      <c r="DX25">
        <v>1</v>
      </c>
      <c r="DY25">
        <v>2</v>
      </c>
      <c r="DZ25">
        <v>2</v>
      </c>
      <c r="EA25" t="s">
        <v>283</v>
      </c>
      <c r="EB25">
        <v>1.8667400000000001</v>
      </c>
      <c r="EC25">
        <v>1.8632500000000001</v>
      </c>
      <c r="ED25">
        <v>1.8689</v>
      </c>
      <c r="EE25">
        <v>1.8668400000000001</v>
      </c>
      <c r="EF25">
        <v>1.8714900000000001</v>
      </c>
      <c r="EG25">
        <v>1.8640099999999999</v>
      </c>
      <c r="EH25">
        <v>1.86554</v>
      </c>
      <c r="EI25">
        <v>1.8654999999999999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-0.33100000000000002</v>
      </c>
      <c r="EX25">
        <v>0.12</v>
      </c>
      <c r="EY25">
        <v>2</v>
      </c>
      <c r="EZ25">
        <v>338.89400000000001</v>
      </c>
      <c r="FA25">
        <v>490.01799999999997</v>
      </c>
      <c r="FB25">
        <v>19.832599999999999</v>
      </c>
      <c r="FC25">
        <v>33.4422</v>
      </c>
      <c r="FD25">
        <v>30.000800000000002</v>
      </c>
      <c r="FE25">
        <v>33.432699999999997</v>
      </c>
      <c r="FF25">
        <v>33.4377</v>
      </c>
      <c r="FG25">
        <v>30.5623</v>
      </c>
      <c r="FH25">
        <v>44.416200000000003</v>
      </c>
      <c r="FI25">
        <v>0</v>
      </c>
      <c r="FJ25">
        <v>19.811199999999999</v>
      </c>
      <c r="FK25">
        <v>600</v>
      </c>
      <c r="FL25">
        <v>17.2102</v>
      </c>
      <c r="FM25">
        <v>100.782</v>
      </c>
      <c r="FN25">
        <v>101.383</v>
      </c>
    </row>
    <row r="26" spans="1:170" x14ac:dyDescent="0.25">
      <c r="A26">
        <v>10</v>
      </c>
      <c r="B26">
        <v>1596829277.0999999</v>
      </c>
      <c r="C26">
        <v>1140.5999999046301</v>
      </c>
      <c r="D26" t="s">
        <v>329</v>
      </c>
      <c r="E26" t="s">
        <v>330</v>
      </c>
      <c r="G26">
        <v>1596829269.04194</v>
      </c>
      <c r="H26">
        <f t="shared" si="0"/>
        <v>3.3907036932400224E-3</v>
      </c>
      <c r="I26">
        <f t="shared" si="1"/>
        <v>35.39683645291116</v>
      </c>
      <c r="J26">
        <f t="shared" si="2"/>
        <v>684.95125806451597</v>
      </c>
      <c r="K26">
        <f t="shared" si="3"/>
        <v>376.03523447272369</v>
      </c>
      <c r="L26">
        <f t="shared" si="4"/>
        <v>37.57150738285344</v>
      </c>
      <c r="M26">
        <f t="shared" si="5"/>
        <v>68.436808283007892</v>
      </c>
      <c r="N26">
        <f t="shared" si="6"/>
        <v>0.19798547443471176</v>
      </c>
      <c r="O26">
        <f t="shared" si="7"/>
        <v>3.3937767889767234</v>
      </c>
      <c r="P26">
        <f t="shared" si="8"/>
        <v>0.19178543842560267</v>
      </c>
      <c r="Q26">
        <f t="shared" si="9"/>
        <v>0.120406774079884</v>
      </c>
      <c r="R26">
        <f t="shared" si="10"/>
        <v>353.33691712153717</v>
      </c>
      <c r="S26">
        <f t="shared" si="11"/>
        <v>26.909138162012468</v>
      </c>
      <c r="T26">
        <f t="shared" si="12"/>
        <v>26.972290322580601</v>
      </c>
      <c r="U26">
        <f t="shared" si="13"/>
        <v>3.5733388968312023</v>
      </c>
      <c r="V26">
        <f t="shared" si="14"/>
        <v>55.424794342665187</v>
      </c>
      <c r="W26">
        <f t="shared" si="15"/>
        <v>1.8548613398601701</v>
      </c>
      <c r="X26">
        <f t="shared" si="16"/>
        <v>3.3466273747313222</v>
      </c>
      <c r="Y26">
        <f t="shared" si="17"/>
        <v>1.7184775569710322</v>
      </c>
      <c r="Z26">
        <f t="shared" si="18"/>
        <v>-149.530032871885</v>
      </c>
      <c r="AA26">
        <f t="shared" si="19"/>
        <v>-203.30631328258576</v>
      </c>
      <c r="AB26">
        <f t="shared" si="20"/>
        <v>-12.853114181241384</v>
      </c>
      <c r="AC26">
        <f t="shared" si="21"/>
        <v>-12.352543214174972</v>
      </c>
      <c r="AD26">
        <v>-4.1351316051744899E-2</v>
      </c>
      <c r="AE26">
        <v>4.6420474842331597E-2</v>
      </c>
      <c r="AF26">
        <v>3.4663411034990399</v>
      </c>
      <c r="AG26">
        <v>143</v>
      </c>
      <c r="AH26">
        <v>29</v>
      </c>
      <c r="AI26">
        <f t="shared" si="22"/>
        <v>1</v>
      </c>
      <c r="AJ26">
        <f t="shared" si="23"/>
        <v>0</v>
      </c>
      <c r="AK26">
        <f t="shared" si="24"/>
        <v>52930.302309386927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257.90219999999999</v>
      </c>
      <c r="AT26">
        <v>363.79700000000003</v>
      </c>
      <c r="AU26">
        <f t="shared" si="27"/>
        <v>0.29108211447593035</v>
      </c>
      <c r="AV26">
        <v>0.5</v>
      </c>
      <c r="AW26">
        <f t="shared" si="28"/>
        <v>1849.1833739026852</v>
      </c>
      <c r="AX26">
        <f t="shared" si="29"/>
        <v>35.39683645291116</v>
      </c>
      <c r="AY26">
        <f t="shared" si="30"/>
        <v>269.13210326466424</v>
      </c>
      <c r="AZ26">
        <f t="shared" si="31"/>
        <v>0.49950109539111098</v>
      </c>
      <c r="BA26">
        <f t="shared" si="32"/>
        <v>1.9682653957728356E-2</v>
      </c>
      <c r="BB26">
        <f t="shared" si="33"/>
        <v>-1</v>
      </c>
      <c r="BC26" t="s">
        <v>332</v>
      </c>
      <c r="BD26">
        <v>182.08</v>
      </c>
      <c r="BE26">
        <f t="shared" si="34"/>
        <v>181.71700000000001</v>
      </c>
      <c r="BF26">
        <f t="shared" si="35"/>
        <v>0.58274569798092657</v>
      </c>
      <c r="BG26">
        <f t="shared" si="36"/>
        <v>1.9980063708260105</v>
      </c>
      <c r="BH26">
        <f t="shared" si="37"/>
        <v>0.2910821144759303</v>
      </c>
      <c r="BI26" t="e">
        <f t="shared" si="38"/>
        <v>#DIV/0!</v>
      </c>
      <c r="BJ26">
        <v>5867</v>
      </c>
      <c r="BK26">
        <v>300</v>
      </c>
      <c r="BL26">
        <v>300</v>
      </c>
      <c r="BM26">
        <v>300</v>
      </c>
      <c r="BN26">
        <v>9871.9500000000007</v>
      </c>
      <c r="BO26">
        <v>331.952</v>
      </c>
      <c r="BP26">
        <v>-6.40282E-3</v>
      </c>
      <c r="BQ26">
        <v>0.84017900000000001</v>
      </c>
      <c r="BR26">
        <f t="shared" si="39"/>
        <v>2199.9980645161299</v>
      </c>
      <c r="BS26">
        <f t="shared" si="40"/>
        <v>1849.1833739026852</v>
      </c>
      <c r="BT26">
        <f t="shared" si="41"/>
        <v>0.84053863670529938</v>
      </c>
      <c r="BU26">
        <f t="shared" si="42"/>
        <v>0.19107727341059894</v>
      </c>
      <c r="BV26">
        <v>0.5</v>
      </c>
      <c r="BW26" t="s">
        <v>281</v>
      </c>
      <c r="BX26">
        <v>1596829269.04194</v>
      </c>
      <c r="BY26">
        <v>684.95125806451597</v>
      </c>
      <c r="BZ26">
        <v>700.03693548387105</v>
      </c>
      <c r="CA26">
        <v>18.564419354838702</v>
      </c>
      <c r="CB26">
        <v>17.2334967741936</v>
      </c>
      <c r="CC26">
        <v>500.06774193548398</v>
      </c>
      <c r="CD26">
        <v>99.714870967741902</v>
      </c>
      <c r="CE26">
        <v>0.19998790322580601</v>
      </c>
      <c r="CF26">
        <v>25.8611161290323</v>
      </c>
      <c r="CG26">
        <v>26.972290322580601</v>
      </c>
      <c r="CH26">
        <v>999.9</v>
      </c>
      <c r="CI26">
        <v>10000.585483871</v>
      </c>
      <c r="CJ26">
        <v>0</v>
      </c>
      <c r="CK26">
        <v>207.17174193548399</v>
      </c>
      <c r="CL26">
        <v>2199.9980645161299</v>
      </c>
      <c r="CM26">
        <v>0.98200419354838697</v>
      </c>
      <c r="CN26">
        <v>1.7995987096774201E-2</v>
      </c>
      <c r="CO26">
        <v>0</v>
      </c>
      <c r="CP26">
        <v>257.95738709677403</v>
      </c>
      <c r="CQ26">
        <v>5.00054</v>
      </c>
      <c r="CR26">
        <v>8443.4148387096793</v>
      </c>
      <c r="CS26">
        <v>20590.545161290302</v>
      </c>
      <c r="CT26">
        <v>48.7033870967742</v>
      </c>
      <c r="CU26">
        <v>51.03</v>
      </c>
      <c r="CV26">
        <v>49.28</v>
      </c>
      <c r="CW26">
        <v>49.626677419354799</v>
      </c>
      <c r="CX26">
        <v>50.042129032258103</v>
      </c>
      <c r="CY26">
        <v>2155.4980645161299</v>
      </c>
      <c r="CZ26">
        <v>39.5</v>
      </c>
      <c r="DA26">
        <v>0</v>
      </c>
      <c r="DB26">
        <v>148.5</v>
      </c>
      <c r="DC26">
        <v>257.90219999999999</v>
      </c>
      <c r="DD26">
        <v>-1.5913846043700599</v>
      </c>
      <c r="DE26">
        <v>-34.998461483500698</v>
      </c>
      <c r="DF26">
        <v>8442.9627999999993</v>
      </c>
      <c r="DG26">
        <v>15</v>
      </c>
      <c r="DH26">
        <v>1596829299.0999999</v>
      </c>
      <c r="DI26" t="s">
        <v>333</v>
      </c>
      <c r="DJ26">
        <v>84</v>
      </c>
      <c r="DK26">
        <v>-0.28699999999999998</v>
      </c>
      <c r="DL26">
        <v>0.11700000000000001</v>
      </c>
      <c r="DM26">
        <v>700</v>
      </c>
      <c r="DN26">
        <v>17</v>
      </c>
      <c r="DO26">
        <v>0.14000000000000001</v>
      </c>
      <c r="DP26">
        <v>0.08</v>
      </c>
      <c r="DQ26">
        <v>684.82965384615397</v>
      </c>
      <c r="DR26">
        <v>0.87539129811314798</v>
      </c>
      <c r="DS26">
        <v>0.11100881541838301</v>
      </c>
      <c r="DT26">
        <v>0</v>
      </c>
      <c r="DU26">
        <v>18.6162365384615</v>
      </c>
      <c r="DV26">
        <v>-0.54523731461497005</v>
      </c>
      <c r="DW26">
        <v>6.9494487963064594E-2</v>
      </c>
      <c r="DX26">
        <v>0</v>
      </c>
      <c r="DY26">
        <v>0</v>
      </c>
      <c r="DZ26">
        <v>2</v>
      </c>
      <c r="EA26" t="s">
        <v>334</v>
      </c>
      <c r="EB26">
        <v>1.8667499999999999</v>
      </c>
      <c r="EC26">
        <v>1.8632500000000001</v>
      </c>
      <c r="ED26">
        <v>1.8689100000000001</v>
      </c>
      <c r="EE26">
        <v>1.8667800000000001</v>
      </c>
      <c r="EF26">
        <v>1.8714999999999999</v>
      </c>
      <c r="EG26">
        <v>1.86398</v>
      </c>
      <c r="EH26">
        <v>1.86554</v>
      </c>
      <c r="EI26">
        <v>1.8654599999999999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-0.28699999999999998</v>
      </c>
      <c r="EX26">
        <v>0.11700000000000001</v>
      </c>
      <c r="EY26">
        <v>2</v>
      </c>
      <c r="EZ26">
        <v>339.10300000000001</v>
      </c>
      <c r="FA26">
        <v>489.57</v>
      </c>
      <c r="FB26">
        <v>19.7544</v>
      </c>
      <c r="FC26">
        <v>33.5608</v>
      </c>
      <c r="FD26">
        <v>30.000699999999998</v>
      </c>
      <c r="FE26">
        <v>33.530900000000003</v>
      </c>
      <c r="FF26">
        <v>33.533000000000001</v>
      </c>
      <c r="FG26">
        <v>34.604300000000002</v>
      </c>
      <c r="FH26">
        <v>44.689399999999999</v>
      </c>
      <c r="FI26">
        <v>0</v>
      </c>
      <c r="FJ26">
        <v>19.760000000000002</v>
      </c>
      <c r="FK26">
        <v>700</v>
      </c>
      <c r="FL26">
        <v>17.2254</v>
      </c>
      <c r="FM26">
        <v>100.76300000000001</v>
      </c>
      <c r="FN26">
        <v>101.358</v>
      </c>
    </row>
    <row r="27" spans="1:170" x14ac:dyDescent="0.25">
      <c r="A27">
        <v>11</v>
      </c>
      <c r="B27">
        <v>1596829420.5999999</v>
      </c>
      <c r="C27">
        <v>1284.0999999046301</v>
      </c>
      <c r="D27" t="s">
        <v>335</v>
      </c>
      <c r="E27" t="s">
        <v>336</v>
      </c>
      <c r="G27">
        <v>1596829412.5806401</v>
      </c>
      <c r="H27">
        <f t="shared" si="0"/>
        <v>2.5898841863704366E-3</v>
      </c>
      <c r="I27">
        <f t="shared" si="1"/>
        <v>36.759747222309294</v>
      </c>
      <c r="J27">
        <f t="shared" si="2"/>
        <v>784.48341935483904</v>
      </c>
      <c r="K27">
        <f t="shared" si="3"/>
        <v>359.6384958090652</v>
      </c>
      <c r="L27">
        <f t="shared" si="4"/>
        <v>35.930084827917554</v>
      </c>
      <c r="M27">
        <f t="shared" si="5"/>
        <v>78.37469050721046</v>
      </c>
      <c r="N27">
        <f t="shared" si="6"/>
        <v>0.14698399898631428</v>
      </c>
      <c r="O27">
        <f t="shared" si="7"/>
        <v>3.3917051750822065</v>
      </c>
      <c r="P27">
        <f t="shared" si="8"/>
        <v>0.14353482348218113</v>
      </c>
      <c r="Q27">
        <f t="shared" si="9"/>
        <v>9.0012418015559745E-2</v>
      </c>
      <c r="R27">
        <f t="shared" si="10"/>
        <v>353.33789531153104</v>
      </c>
      <c r="S27">
        <f t="shared" si="11"/>
        <v>27.056166435527757</v>
      </c>
      <c r="T27">
        <f t="shared" si="12"/>
        <v>27.132358064516101</v>
      </c>
      <c r="U27">
        <f t="shared" si="13"/>
        <v>3.6070776495881516</v>
      </c>
      <c r="V27">
        <f t="shared" si="14"/>
        <v>55.505434031181935</v>
      </c>
      <c r="W27">
        <f t="shared" si="15"/>
        <v>1.8536780341448198</v>
      </c>
      <c r="X27">
        <f t="shared" si="16"/>
        <v>3.3396334367973011</v>
      </c>
      <c r="Y27">
        <f t="shared" si="17"/>
        <v>1.7533996154433318</v>
      </c>
      <c r="Z27">
        <f t="shared" si="18"/>
        <v>-114.21389261893626</v>
      </c>
      <c r="AA27">
        <f t="shared" si="19"/>
        <v>-238.90826813582061</v>
      </c>
      <c r="AB27">
        <f t="shared" si="20"/>
        <v>-15.122578030754104</v>
      </c>
      <c r="AC27">
        <f t="shared" si="21"/>
        <v>-14.906843473979905</v>
      </c>
      <c r="AD27">
        <v>-4.1319233195575303E-2</v>
      </c>
      <c r="AE27">
        <v>4.6384459025668699E-2</v>
      </c>
      <c r="AF27">
        <v>3.4642131898131701</v>
      </c>
      <c r="AG27">
        <v>143</v>
      </c>
      <c r="AH27">
        <v>29</v>
      </c>
      <c r="AI27">
        <f t="shared" si="22"/>
        <v>1</v>
      </c>
      <c r="AJ27">
        <f t="shared" si="23"/>
        <v>0</v>
      </c>
      <c r="AK27">
        <f t="shared" si="24"/>
        <v>52896.970363807035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337</v>
      </c>
      <c r="AS27">
        <v>258.44743999999997</v>
      </c>
      <c r="AT27">
        <v>365.74200000000002</v>
      </c>
      <c r="AU27">
        <f t="shared" si="27"/>
        <v>0.29336133121161923</v>
      </c>
      <c r="AV27">
        <v>0.5</v>
      </c>
      <c r="AW27">
        <f t="shared" si="28"/>
        <v>1849.1885222897847</v>
      </c>
      <c r="AX27">
        <f t="shared" si="29"/>
        <v>36.759747222309294</v>
      </c>
      <c r="AY27">
        <f t="shared" si="30"/>
        <v>271.24020328008913</v>
      </c>
      <c r="AZ27">
        <f t="shared" si="31"/>
        <v>0.49992070913376097</v>
      </c>
      <c r="BA27">
        <f t="shared" si="32"/>
        <v>2.0419630971726308E-2</v>
      </c>
      <c r="BB27">
        <f t="shared" si="33"/>
        <v>-1</v>
      </c>
      <c r="BC27" t="s">
        <v>338</v>
      </c>
      <c r="BD27">
        <v>182.9</v>
      </c>
      <c r="BE27">
        <f t="shared" si="34"/>
        <v>182.84200000000001</v>
      </c>
      <c r="BF27">
        <f t="shared" si="35"/>
        <v>0.58681572067686871</v>
      </c>
      <c r="BG27">
        <f t="shared" si="36"/>
        <v>1.9996828868234009</v>
      </c>
      <c r="BH27">
        <f t="shared" si="37"/>
        <v>0.29336133121161923</v>
      </c>
      <c r="BI27" t="e">
        <f t="shared" si="38"/>
        <v>#DIV/0!</v>
      </c>
      <c r="BJ27">
        <v>5869</v>
      </c>
      <c r="BK27">
        <v>300</v>
      </c>
      <c r="BL27">
        <v>300</v>
      </c>
      <c r="BM27">
        <v>300</v>
      </c>
      <c r="BN27">
        <v>9871.5499999999993</v>
      </c>
      <c r="BO27">
        <v>333.51900000000001</v>
      </c>
      <c r="BP27">
        <v>-6.4025699999999998E-3</v>
      </c>
      <c r="BQ27">
        <v>1.17685</v>
      </c>
      <c r="BR27">
        <f t="shared" si="39"/>
        <v>2200.00419354839</v>
      </c>
      <c r="BS27">
        <f t="shared" si="40"/>
        <v>1849.1885222897847</v>
      </c>
      <c r="BT27">
        <f t="shared" si="41"/>
        <v>0.84053863520470196</v>
      </c>
      <c r="BU27">
        <f t="shared" si="42"/>
        <v>0.19107727040940381</v>
      </c>
      <c r="BV27">
        <v>0.5</v>
      </c>
      <c r="BW27" t="s">
        <v>281</v>
      </c>
      <c r="BX27">
        <v>1596829412.5806401</v>
      </c>
      <c r="BY27">
        <v>784.48341935483904</v>
      </c>
      <c r="BZ27">
        <v>799.99783870967701</v>
      </c>
      <c r="CA27">
        <v>18.554200000000002</v>
      </c>
      <c r="CB27">
        <v>17.5376096774194</v>
      </c>
      <c r="CC27">
        <v>500.06987096774202</v>
      </c>
      <c r="CD27">
        <v>99.706061290322594</v>
      </c>
      <c r="CE27">
        <v>0.200053451612903</v>
      </c>
      <c r="CF27">
        <v>25.825803225806499</v>
      </c>
      <c r="CG27">
        <v>27.132358064516101</v>
      </c>
      <c r="CH27">
        <v>999.9</v>
      </c>
      <c r="CI27">
        <v>9993.7093548387093</v>
      </c>
      <c r="CJ27">
        <v>0</v>
      </c>
      <c r="CK27">
        <v>206.13738709677401</v>
      </c>
      <c r="CL27">
        <v>2200.00419354839</v>
      </c>
      <c r="CM27">
        <v>0.98200477419354804</v>
      </c>
      <c r="CN27">
        <v>1.79953483870968E-2</v>
      </c>
      <c r="CO27">
        <v>0</v>
      </c>
      <c r="CP27">
        <v>258.46141935483899</v>
      </c>
      <c r="CQ27">
        <v>5.00054</v>
      </c>
      <c r="CR27">
        <v>8446.99096774194</v>
      </c>
      <c r="CS27">
        <v>20590.587096774201</v>
      </c>
      <c r="CT27">
        <v>48.749741935483897</v>
      </c>
      <c r="CU27">
        <v>51.076225806451603</v>
      </c>
      <c r="CV27">
        <v>49.338419354838699</v>
      </c>
      <c r="CW27">
        <v>49.679193548387097</v>
      </c>
      <c r="CX27">
        <v>50.076354838709698</v>
      </c>
      <c r="CY27">
        <v>2155.50419354839</v>
      </c>
      <c r="CZ27">
        <v>39.5</v>
      </c>
      <c r="DA27">
        <v>0</v>
      </c>
      <c r="DB27">
        <v>143</v>
      </c>
      <c r="DC27">
        <v>258.44743999999997</v>
      </c>
      <c r="DD27">
        <v>-0.51292308333333703</v>
      </c>
      <c r="DE27">
        <v>-18.413846124324099</v>
      </c>
      <c r="DF27">
        <v>8446.6335999999992</v>
      </c>
      <c r="DG27">
        <v>15</v>
      </c>
      <c r="DH27">
        <v>1596829446.5999999</v>
      </c>
      <c r="DI27" t="s">
        <v>339</v>
      </c>
      <c r="DJ27">
        <v>85</v>
      </c>
      <c r="DK27">
        <v>-0.38100000000000001</v>
      </c>
      <c r="DL27">
        <v>0.12</v>
      </c>
      <c r="DM27">
        <v>800</v>
      </c>
      <c r="DN27">
        <v>17</v>
      </c>
      <c r="DO27">
        <v>0.22</v>
      </c>
      <c r="DP27">
        <v>0.08</v>
      </c>
      <c r="DQ27">
        <v>784.57278846153804</v>
      </c>
      <c r="DR27">
        <v>6.9193135778280596E-2</v>
      </c>
      <c r="DS27">
        <v>2.7987178753066801E-2</v>
      </c>
      <c r="DT27">
        <v>1</v>
      </c>
      <c r="DU27">
        <v>18.507701923076901</v>
      </c>
      <c r="DV27">
        <v>0.46677150520570798</v>
      </c>
      <c r="DW27">
        <v>6.1740809002650499E-2</v>
      </c>
      <c r="DX27">
        <v>0</v>
      </c>
      <c r="DY27">
        <v>1</v>
      </c>
      <c r="DZ27">
        <v>2</v>
      </c>
      <c r="EA27" t="s">
        <v>323</v>
      </c>
      <c r="EB27">
        <v>1.8667</v>
      </c>
      <c r="EC27">
        <v>1.86324</v>
      </c>
      <c r="ED27">
        <v>1.8689</v>
      </c>
      <c r="EE27">
        <v>1.86677</v>
      </c>
      <c r="EF27">
        <v>1.8714900000000001</v>
      </c>
      <c r="EG27">
        <v>1.86399</v>
      </c>
      <c r="EH27">
        <v>1.86554</v>
      </c>
      <c r="EI27">
        <v>1.86547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-0.38100000000000001</v>
      </c>
      <c r="EX27">
        <v>0.12</v>
      </c>
      <c r="EY27">
        <v>2</v>
      </c>
      <c r="EZ27">
        <v>338.57100000000003</v>
      </c>
      <c r="FA27">
        <v>489.23399999999998</v>
      </c>
      <c r="FB27">
        <v>19.621099999999998</v>
      </c>
      <c r="FC27">
        <v>33.6524</v>
      </c>
      <c r="FD27">
        <v>30.002800000000001</v>
      </c>
      <c r="FE27">
        <v>33.621699999999997</v>
      </c>
      <c r="FF27">
        <v>33.623600000000003</v>
      </c>
      <c r="FG27">
        <v>38.561100000000003</v>
      </c>
      <c r="FH27">
        <v>44.183</v>
      </c>
      <c r="FI27">
        <v>0</v>
      </c>
      <c r="FJ27">
        <v>19.2378</v>
      </c>
      <c r="FK27">
        <v>800</v>
      </c>
      <c r="FL27">
        <v>17.338899999999999</v>
      </c>
      <c r="FM27">
        <v>100.75</v>
      </c>
      <c r="FN27">
        <v>101.345</v>
      </c>
    </row>
    <row r="28" spans="1:170" x14ac:dyDescent="0.25">
      <c r="A28">
        <v>12</v>
      </c>
      <c r="B28">
        <v>1596829568.0999999</v>
      </c>
      <c r="C28">
        <v>1431.5999999046301</v>
      </c>
      <c r="D28" t="s">
        <v>340</v>
      </c>
      <c r="E28" t="s">
        <v>341</v>
      </c>
      <c r="G28">
        <v>1596829560.0999999</v>
      </c>
      <c r="H28">
        <f t="shared" si="0"/>
        <v>2.4966021935900074E-3</v>
      </c>
      <c r="I28">
        <f t="shared" si="1"/>
        <v>40.519841671611552</v>
      </c>
      <c r="J28">
        <f t="shared" si="2"/>
        <v>982.83016129032296</v>
      </c>
      <c r="K28">
        <f t="shared" si="3"/>
        <v>498.81636076761924</v>
      </c>
      <c r="L28">
        <f t="shared" si="4"/>
        <v>49.832197743612241</v>
      </c>
      <c r="M28">
        <f t="shared" si="5"/>
        <v>98.185606563578872</v>
      </c>
      <c r="N28">
        <f t="shared" si="6"/>
        <v>0.14286229601952855</v>
      </c>
      <c r="O28">
        <f t="shared" si="7"/>
        <v>3.3913521509989741</v>
      </c>
      <c r="P28">
        <f t="shared" si="8"/>
        <v>0.13960120805912368</v>
      </c>
      <c r="Q28">
        <f t="shared" si="9"/>
        <v>8.7537550797937555E-2</v>
      </c>
      <c r="R28">
        <f t="shared" si="10"/>
        <v>353.33762273493539</v>
      </c>
      <c r="S28">
        <f t="shared" si="11"/>
        <v>27.037793166357382</v>
      </c>
      <c r="T28">
        <f t="shared" si="12"/>
        <v>27.0108903225806</v>
      </c>
      <c r="U28">
        <f t="shared" si="13"/>
        <v>3.5814496183531741</v>
      </c>
      <c r="V28">
        <f t="shared" si="14"/>
        <v>55.326112274343906</v>
      </c>
      <c r="W28">
        <f t="shared" si="15"/>
        <v>1.8433486402057768</v>
      </c>
      <c r="X28">
        <f t="shared" si="16"/>
        <v>3.3317877660827135</v>
      </c>
      <c r="Y28">
        <f t="shared" si="17"/>
        <v>1.7381009781473973</v>
      </c>
      <c r="Z28">
        <f t="shared" si="18"/>
        <v>-110.10015673731932</v>
      </c>
      <c r="AA28">
        <f t="shared" si="19"/>
        <v>-223.9316615885545</v>
      </c>
      <c r="AB28">
        <f t="shared" si="20"/>
        <v>-14.164606253289749</v>
      </c>
      <c r="AC28">
        <f t="shared" si="21"/>
        <v>5.1411981557718036</v>
      </c>
      <c r="AD28">
        <v>-4.1313766831776198E-2</v>
      </c>
      <c r="AE28">
        <v>4.6378322553424403E-2</v>
      </c>
      <c r="AF28">
        <v>3.4638505732192302</v>
      </c>
      <c r="AG28">
        <v>144</v>
      </c>
      <c r="AH28">
        <v>29</v>
      </c>
      <c r="AI28">
        <f t="shared" si="22"/>
        <v>1</v>
      </c>
      <c r="AJ28">
        <f t="shared" si="23"/>
        <v>0</v>
      </c>
      <c r="AK28">
        <f t="shared" si="24"/>
        <v>52897.171164643631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342</v>
      </c>
      <c r="AS28">
        <v>261.10311999999999</v>
      </c>
      <c r="AT28">
        <v>373.637</v>
      </c>
      <c r="AU28">
        <f t="shared" si="27"/>
        <v>0.30118505394273054</v>
      </c>
      <c r="AV28">
        <v>0.5</v>
      </c>
      <c r="AW28">
        <f t="shared" si="28"/>
        <v>1849.1815595892112</v>
      </c>
      <c r="AX28">
        <f t="shared" si="29"/>
        <v>40.519841671611552</v>
      </c>
      <c r="AY28">
        <f t="shared" si="30"/>
        <v>278.47292388738958</v>
      </c>
      <c r="AZ28">
        <f t="shared" si="31"/>
        <v>0.52022952758961238</v>
      </c>
      <c r="BA28">
        <f t="shared" si="32"/>
        <v>2.2453090912736028E-2</v>
      </c>
      <c r="BB28">
        <f t="shared" si="33"/>
        <v>-1</v>
      </c>
      <c r="BC28" t="s">
        <v>343</v>
      </c>
      <c r="BD28">
        <v>179.26</v>
      </c>
      <c r="BE28">
        <f t="shared" si="34"/>
        <v>194.37700000000001</v>
      </c>
      <c r="BF28">
        <f t="shared" si="35"/>
        <v>0.57894648029345042</v>
      </c>
      <c r="BG28">
        <f t="shared" si="36"/>
        <v>2.0843300234296556</v>
      </c>
      <c r="BH28">
        <f t="shared" si="37"/>
        <v>0.30118505394273054</v>
      </c>
      <c r="BI28" t="e">
        <f t="shared" si="38"/>
        <v>#DIV/0!</v>
      </c>
      <c r="BJ28">
        <v>5871</v>
      </c>
      <c r="BK28">
        <v>300</v>
      </c>
      <c r="BL28">
        <v>300</v>
      </c>
      <c r="BM28">
        <v>300</v>
      </c>
      <c r="BN28">
        <v>9870.93</v>
      </c>
      <c r="BO28">
        <v>340.23899999999998</v>
      </c>
      <c r="BP28">
        <v>-6.4021599999999996E-3</v>
      </c>
      <c r="BQ28">
        <v>0.72616599999999998</v>
      </c>
      <c r="BR28">
        <f t="shared" si="39"/>
        <v>2199.9951612903201</v>
      </c>
      <c r="BS28">
        <f t="shared" si="40"/>
        <v>1849.1815595892112</v>
      </c>
      <c r="BT28">
        <f t="shared" si="41"/>
        <v>0.84053892123319351</v>
      </c>
      <c r="BU28">
        <f t="shared" si="42"/>
        <v>0.19107784246638715</v>
      </c>
      <c r="BV28">
        <v>0.5</v>
      </c>
      <c r="BW28" t="s">
        <v>281</v>
      </c>
      <c r="BX28">
        <v>1596829560.0999999</v>
      </c>
      <c r="BY28">
        <v>982.83016129032296</v>
      </c>
      <c r="BZ28">
        <v>1000.01696774194</v>
      </c>
      <c r="CA28">
        <v>18.451774193548399</v>
      </c>
      <c r="CB28">
        <v>17.471709677419401</v>
      </c>
      <c r="CC28">
        <v>500.07635483871002</v>
      </c>
      <c r="CD28">
        <v>99.700880645161305</v>
      </c>
      <c r="CE28">
        <v>0.20000806451612901</v>
      </c>
      <c r="CF28">
        <v>25.786112903225799</v>
      </c>
      <c r="CG28">
        <v>27.0108903225806</v>
      </c>
      <c r="CH28">
        <v>999.9</v>
      </c>
      <c r="CI28">
        <v>9992.9064516129001</v>
      </c>
      <c r="CJ28">
        <v>0</v>
      </c>
      <c r="CK28">
        <v>204.33254838709701</v>
      </c>
      <c r="CL28">
        <v>2199.9951612903201</v>
      </c>
      <c r="CM28">
        <v>0.981993</v>
      </c>
      <c r="CN28">
        <v>1.80067E-2</v>
      </c>
      <c r="CO28">
        <v>0</v>
      </c>
      <c r="CP28">
        <v>261.124129032258</v>
      </c>
      <c r="CQ28">
        <v>5.00054</v>
      </c>
      <c r="CR28">
        <v>8477.6861290322595</v>
      </c>
      <c r="CS28">
        <v>20590.4483870968</v>
      </c>
      <c r="CT28">
        <v>48.840387096774201</v>
      </c>
      <c r="CU28">
        <v>51.189032258064501</v>
      </c>
      <c r="CV28">
        <v>49.433</v>
      </c>
      <c r="CW28">
        <v>49.792064516129003</v>
      </c>
      <c r="CX28">
        <v>50.140999999999998</v>
      </c>
      <c r="CY28">
        <v>2155.4651612903199</v>
      </c>
      <c r="CZ28">
        <v>39.520645161290297</v>
      </c>
      <c r="DA28">
        <v>0</v>
      </c>
      <c r="DB28">
        <v>146.59999990463299</v>
      </c>
      <c r="DC28">
        <v>261.10311999999999</v>
      </c>
      <c r="DD28">
        <v>-2.28638461233527</v>
      </c>
      <c r="DE28">
        <v>-63.454615474526904</v>
      </c>
      <c r="DF28">
        <v>8477.1</v>
      </c>
      <c r="DG28">
        <v>15</v>
      </c>
      <c r="DH28">
        <v>1596829604.0999999</v>
      </c>
      <c r="DI28" t="s">
        <v>344</v>
      </c>
      <c r="DJ28">
        <v>86</v>
      </c>
      <c r="DK28">
        <v>-9.6000000000000002E-2</v>
      </c>
      <c r="DL28">
        <v>0.122</v>
      </c>
      <c r="DM28">
        <v>1000</v>
      </c>
      <c r="DN28">
        <v>17</v>
      </c>
      <c r="DO28">
        <v>0.37</v>
      </c>
      <c r="DP28">
        <v>0.09</v>
      </c>
      <c r="DQ28">
        <v>982.493788461539</v>
      </c>
      <c r="DR28">
        <v>0.43074703321094199</v>
      </c>
      <c r="DS28">
        <v>7.3995409560964898E-2</v>
      </c>
      <c r="DT28">
        <v>0</v>
      </c>
      <c r="DU28">
        <v>18.486798076923101</v>
      </c>
      <c r="DV28">
        <v>-0.368823529411825</v>
      </c>
      <c r="DW28">
        <v>4.7541947026504598E-2</v>
      </c>
      <c r="DX28">
        <v>0</v>
      </c>
      <c r="DY28">
        <v>0</v>
      </c>
      <c r="DZ28">
        <v>2</v>
      </c>
      <c r="EA28" t="s">
        <v>334</v>
      </c>
      <c r="EB28">
        <v>1.8667199999999999</v>
      </c>
      <c r="EC28">
        <v>1.86324</v>
      </c>
      <c r="ED28">
        <v>1.8689</v>
      </c>
      <c r="EE28">
        <v>1.86677</v>
      </c>
      <c r="EF28">
        <v>1.8714900000000001</v>
      </c>
      <c r="EG28">
        <v>1.8639600000000001</v>
      </c>
      <c r="EH28">
        <v>1.86554</v>
      </c>
      <c r="EI28">
        <v>1.86548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-9.6000000000000002E-2</v>
      </c>
      <c r="EX28">
        <v>0.122</v>
      </c>
      <c r="EY28">
        <v>2</v>
      </c>
      <c r="EZ28">
        <v>338.17599999999999</v>
      </c>
      <c r="FA28">
        <v>489.39800000000002</v>
      </c>
      <c r="FB28">
        <v>19.571400000000001</v>
      </c>
      <c r="FC28">
        <v>33.777000000000001</v>
      </c>
      <c r="FD28">
        <v>30.001000000000001</v>
      </c>
      <c r="FE28">
        <v>33.733199999999997</v>
      </c>
      <c r="FF28">
        <v>33.734999999999999</v>
      </c>
      <c r="FG28">
        <v>46.140099999999997</v>
      </c>
      <c r="FH28">
        <v>44.060499999999998</v>
      </c>
      <c r="FI28">
        <v>0</v>
      </c>
      <c r="FJ28">
        <v>19.55</v>
      </c>
      <c r="FK28">
        <v>1000</v>
      </c>
      <c r="FL28">
        <v>17.442499999999999</v>
      </c>
      <c r="FM28">
        <v>100.727</v>
      </c>
      <c r="FN28">
        <v>101.316</v>
      </c>
    </row>
    <row r="29" spans="1:170" x14ac:dyDescent="0.25">
      <c r="A29">
        <v>13</v>
      </c>
      <c r="B29">
        <v>1596829725.5999999</v>
      </c>
      <c r="C29">
        <v>1589.0999999046301</v>
      </c>
      <c r="D29" t="s">
        <v>345</v>
      </c>
      <c r="E29" t="s">
        <v>346</v>
      </c>
      <c r="G29">
        <v>1596829717.5999999</v>
      </c>
      <c r="H29">
        <f t="shared" si="0"/>
        <v>2.0527523209190658E-3</v>
      </c>
      <c r="I29">
        <f t="shared" si="1"/>
        <v>40.530380571785464</v>
      </c>
      <c r="J29">
        <f t="shared" si="2"/>
        <v>1182.8459354838701</v>
      </c>
      <c r="K29">
        <f t="shared" si="3"/>
        <v>590.45551217274874</v>
      </c>
      <c r="L29">
        <f t="shared" si="4"/>
        <v>58.985679256903964</v>
      </c>
      <c r="M29">
        <f t="shared" si="5"/>
        <v>118.16465342840475</v>
      </c>
      <c r="N29">
        <f t="shared" si="6"/>
        <v>0.11624708901392179</v>
      </c>
      <c r="O29">
        <f t="shared" si="7"/>
        <v>3.3929637333686897</v>
      </c>
      <c r="P29">
        <f t="shared" si="8"/>
        <v>0.1140789653094105</v>
      </c>
      <c r="Q29">
        <f t="shared" si="9"/>
        <v>7.149078249147571E-2</v>
      </c>
      <c r="R29">
        <f t="shared" si="10"/>
        <v>353.33621782399894</v>
      </c>
      <c r="S29">
        <f t="shared" si="11"/>
        <v>27.047166586902264</v>
      </c>
      <c r="T29">
        <f t="shared" si="12"/>
        <v>27.025238709677399</v>
      </c>
      <c r="U29">
        <f t="shared" si="13"/>
        <v>3.584468629147374</v>
      </c>
      <c r="V29">
        <f t="shared" si="14"/>
        <v>55.392330302125046</v>
      </c>
      <c r="W29">
        <f t="shared" si="15"/>
        <v>1.8356448384516446</v>
      </c>
      <c r="X29">
        <f t="shared" si="16"/>
        <v>3.3138971197628466</v>
      </c>
      <c r="Y29">
        <f t="shared" si="17"/>
        <v>1.7488237906957294</v>
      </c>
      <c r="Z29">
        <f t="shared" si="18"/>
        <v>-90.526377352530801</v>
      </c>
      <c r="AA29">
        <f t="shared" si="19"/>
        <v>-243.27433153984333</v>
      </c>
      <c r="AB29">
        <f t="shared" si="20"/>
        <v>-15.374921382595945</v>
      </c>
      <c r="AC29">
        <f t="shared" si="21"/>
        <v>4.1605875490288327</v>
      </c>
      <c r="AD29">
        <v>-4.1338723295324099E-2</v>
      </c>
      <c r="AE29">
        <v>4.6406338370063097E-2</v>
      </c>
      <c r="AF29">
        <v>3.4655059498098599</v>
      </c>
      <c r="AG29">
        <v>144</v>
      </c>
      <c r="AH29">
        <v>29</v>
      </c>
      <c r="AI29">
        <f t="shared" si="22"/>
        <v>1</v>
      </c>
      <c r="AJ29">
        <f t="shared" si="23"/>
        <v>0</v>
      </c>
      <c r="AK29">
        <f t="shared" si="24"/>
        <v>52943.863620522476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259.39123999999998</v>
      </c>
      <c r="AT29">
        <v>373.70100000000002</v>
      </c>
      <c r="AU29">
        <f t="shared" si="27"/>
        <v>0.30588561443506979</v>
      </c>
      <c r="AV29">
        <v>0.5</v>
      </c>
      <c r="AW29">
        <f t="shared" si="28"/>
        <v>1849.1747224634762</v>
      </c>
      <c r="AX29">
        <f t="shared" si="29"/>
        <v>40.530380571785464</v>
      </c>
      <c r="AY29">
        <f t="shared" si="30"/>
        <v>282.81797308927003</v>
      </c>
      <c r="AZ29">
        <f t="shared" si="31"/>
        <v>0.52186373598143976</v>
      </c>
      <c r="BA29">
        <f t="shared" si="32"/>
        <v>2.2458873175844933E-2</v>
      </c>
      <c r="BB29">
        <f t="shared" si="33"/>
        <v>-1</v>
      </c>
      <c r="BC29" t="s">
        <v>348</v>
      </c>
      <c r="BD29">
        <v>178.68</v>
      </c>
      <c r="BE29">
        <f t="shared" si="34"/>
        <v>195.02100000000002</v>
      </c>
      <c r="BF29">
        <f t="shared" si="35"/>
        <v>0.5861407745832502</v>
      </c>
      <c r="BG29">
        <f t="shared" si="36"/>
        <v>2.0914539959704501</v>
      </c>
      <c r="BH29">
        <f t="shared" si="37"/>
        <v>0.30588561443506984</v>
      </c>
      <c r="BI29" t="e">
        <f t="shared" si="38"/>
        <v>#DIV/0!</v>
      </c>
      <c r="BJ29">
        <v>5873</v>
      </c>
      <c r="BK29">
        <v>300</v>
      </c>
      <c r="BL29">
        <v>300</v>
      </c>
      <c r="BM29">
        <v>300</v>
      </c>
      <c r="BN29">
        <v>9870.6200000000008</v>
      </c>
      <c r="BO29">
        <v>338.08699999999999</v>
      </c>
      <c r="BP29">
        <v>-6.4018599999999997E-3</v>
      </c>
      <c r="BQ29">
        <v>1.0848100000000001</v>
      </c>
      <c r="BR29">
        <f t="shared" si="39"/>
        <v>2199.9870967741899</v>
      </c>
      <c r="BS29">
        <f t="shared" si="40"/>
        <v>1849.1747224634762</v>
      </c>
      <c r="BT29">
        <f t="shared" si="41"/>
        <v>0.84053889460301612</v>
      </c>
      <c r="BU29">
        <f t="shared" si="42"/>
        <v>0.19107778920603205</v>
      </c>
      <c r="BV29">
        <v>0.5</v>
      </c>
      <c r="BW29" t="s">
        <v>281</v>
      </c>
      <c r="BX29">
        <v>1596829717.5999999</v>
      </c>
      <c r="BY29">
        <v>1182.8459354838701</v>
      </c>
      <c r="BZ29">
        <v>1200.02677419355</v>
      </c>
      <c r="CA29">
        <v>18.375080645161301</v>
      </c>
      <c r="CB29">
        <v>17.569187096774201</v>
      </c>
      <c r="CC29">
        <v>500.07419354838697</v>
      </c>
      <c r="CD29">
        <v>99.6985903225806</v>
      </c>
      <c r="CE29">
        <v>0.20001006451612899</v>
      </c>
      <c r="CF29">
        <v>25.6953</v>
      </c>
      <c r="CG29">
        <v>27.025238709677399</v>
      </c>
      <c r="CH29">
        <v>999.9</v>
      </c>
      <c r="CI29">
        <v>9999.1725806451595</v>
      </c>
      <c r="CJ29">
        <v>0</v>
      </c>
      <c r="CK29">
        <v>201.863967741935</v>
      </c>
      <c r="CL29">
        <v>2199.9870967741899</v>
      </c>
      <c r="CM29">
        <v>0.98199458064516099</v>
      </c>
      <c r="CN29">
        <v>1.8005138709677401E-2</v>
      </c>
      <c r="CO29">
        <v>0</v>
      </c>
      <c r="CP29">
        <v>259.40800000000002</v>
      </c>
      <c r="CQ29">
        <v>5.00054</v>
      </c>
      <c r="CR29">
        <v>8388.8977419354906</v>
      </c>
      <c r="CS29">
        <v>20590.377419354802</v>
      </c>
      <c r="CT29">
        <v>48.969580645161301</v>
      </c>
      <c r="CU29">
        <v>51.286000000000001</v>
      </c>
      <c r="CV29">
        <v>49.55</v>
      </c>
      <c r="CW29">
        <v>49.912999999999997</v>
      </c>
      <c r="CX29">
        <v>50.237741935483903</v>
      </c>
      <c r="CY29">
        <v>2155.4680645161302</v>
      </c>
      <c r="CZ29">
        <v>39.518709677419402</v>
      </c>
      <c r="DA29">
        <v>0</v>
      </c>
      <c r="DB29">
        <v>156.90000009536701</v>
      </c>
      <c r="DC29">
        <v>259.39123999999998</v>
      </c>
      <c r="DD29">
        <v>-2.9112307804577702</v>
      </c>
      <c r="DE29">
        <v>-106.867692078689</v>
      </c>
      <c r="DF29">
        <v>8387.6167999999998</v>
      </c>
      <c r="DG29">
        <v>15</v>
      </c>
      <c r="DH29">
        <v>1596829744.0999999</v>
      </c>
      <c r="DI29" t="s">
        <v>349</v>
      </c>
      <c r="DJ29">
        <v>87</v>
      </c>
      <c r="DK29">
        <v>-0.10199999999999999</v>
      </c>
      <c r="DL29">
        <v>0.124</v>
      </c>
      <c r="DM29">
        <v>1200</v>
      </c>
      <c r="DN29">
        <v>18</v>
      </c>
      <c r="DO29">
        <v>0.26</v>
      </c>
      <c r="DP29">
        <v>0.1</v>
      </c>
      <c r="DQ29">
        <v>1182.70769230769</v>
      </c>
      <c r="DR29">
        <v>1.4518227610346399</v>
      </c>
      <c r="DS29">
        <v>0.190248980434085</v>
      </c>
      <c r="DT29">
        <v>0</v>
      </c>
      <c r="DU29">
        <v>18.4148307692308</v>
      </c>
      <c r="DV29">
        <v>-0.42367694015198698</v>
      </c>
      <c r="DW29">
        <v>5.4109378322849101E-2</v>
      </c>
      <c r="DX29">
        <v>0</v>
      </c>
      <c r="DY29">
        <v>0</v>
      </c>
      <c r="DZ29">
        <v>2</v>
      </c>
      <c r="EA29" t="s">
        <v>334</v>
      </c>
      <c r="EB29">
        <v>1.86669</v>
      </c>
      <c r="EC29">
        <v>1.86321</v>
      </c>
      <c r="ED29">
        <v>1.8689</v>
      </c>
      <c r="EE29">
        <v>1.86677</v>
      </c>
      <c r="EF29">
        <v>1.8714900000000001</v>
      </c>
      <c r="EG29">
        <v>1.86399</v>
      </c>
      <c r="EH29">
        <v>1.8655299999999999</v>
      </c>
      <c r="EI29">
        <v>1.8654299999999999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-0.10199999999999999</v>
      </c>
      <c r="EX29">
        <v>0.124</v>
      </c>
      <c r="EY29">
        <v>2</v>
      </c>
      <c r="EZ29">
        <v>338.27300000000002</v>
      </c>
      <c r="FA29">
        <v>488.88600000000002</v>
      </c>
      <c r="FB29">
        <v>19.339200000000002</v>
      </c>
      <c r="FC29">
        <v>33.900799999999997</v>
      </c>
      <c r="FD29">
        <v>30.0014</v>
      </c>
      <c r="FE29">
        <v>33.852899999999998</v>
      </c>
      <c r="FF29">
        <v>33.851500000000001</v>
      </c>
      <c r="FG29">
        <v>53.427399999999999</v>
      </c>
      <c r="FH29">
        <v>43.8294</v>
      </c>
      <c r="FI29">
        <v>0</v>
      </c>
      <c r="FJ29">
        <v>19.321999999999999</v>
      </c>
      <c r="FK29">
        <v>1200</v>
      </c>
      <c r="FL29">
        <v>17.5275</v>
      </c>
      <c r="FM29">
        <v>100.703</v>
      </c>
      <c r="FN29">
        <v>101.292</v>
      </c>
    </row>
    <row r="30" spans="1:170" x14ac:dyDescent="0.25">
      <c r="A30">
        <v>14</v>
      </c>
      <c r="B30">
        <v>1596829865.5999999</v>
      </c>
      <c r="C30">
        <v>1729.0999999046301</v>
      </c>
      <c r="D30" t="s">
        <v>350</v>
      </c>
      <c r="E30" t="s">
        <v>351</v>
      </c>
      <c r="G30">
        <v>1596829857.5999999</v>
      </c>
      <c r="H30">
        <f t="shared" si="0"/>
        <v>1.8616333369451991E-3</v>
      </c>
      <c r="I30">
        <f t="shared" si="1"/>
        <v>44.291152625234119</v>
      </c>
      <c r="J30">
        <f t="shared" si="2"/>
        <v>1581.1243548387099</v>
      </c>
      <c r="K30">
        <f t="shared" si="3"/>
        <v>864.18228003799879</v>
      </c>
      <c r="L30">
        <f t="shared" si="4"/>
        <v>86.330928058978785</v>
      </c>
      <c r="M30">
        <f t="shared" si="5"/>
        <v>157.95270984250899</v>
      </c>
      <c r="N30">
        <f t="shared" si="6"/>
        <v>0.10545919209736722</v>
      </c>
      <c r="O30">
        <f t="shared" si="7"/>
        <v>3.3925375900057251</v>
      </c>
      <c r="P30">
        <f t="shared" si="8"/>
        <v>0.10367125036320994</v>
      </c>
      <c r="Q30">
        <f t="shared" si="9"/>
        <v>6.4952646018785171E-2</v>
      </c>
      <c r="R30">
        <f t="shared" si="10"/>
        <v>353.33618700170393</v>
      </c>
      <c r="S30">
        <f t="shared" si="11"/>
        <v>27.029510753535401</v>
      </c>
      <c r="T30">
        <f t="shared" si="12"/>
        <v>27.002564516128999</v>
      </c>
      <c r="U30">
        <f t="shared" si="13"/>
        <v>3.5796988226118565</v>
      </c>
      <c r="V30">
        <f t="shared" si="14"/>
        <v>55.556646867662529</v>
      </c>
      <c r="W30">
        <f t="shared" si="15"/>
        <v>1.8344153169696709</v>
      </c>
      <c r="X30">
        <f t="shared" si="16"/>
        <v>3.3018827096230248</v>
      </c>
      <c r="Y30">
        <f t="shared" si="17"/>
        <v>1.7452835056421856</v>
      </c>
      <c r="Z30">
        <f t="shared" si="18"/>
        <v>-82.098030159283283</v>
      </c>
      <c r="AA30">
        <f t="shared" si="19"/>
        <v>-250.29480886158157</v>
      </c>
      <c r="AB30">
        <f t="shared" si="20"/>
        <v>-15.813956703605012</v>
      </c>
      <c r="AC30">
        <f t="shared" si="21"/>
        <v>5.1293912772340775</v>
      </c>
      <c r="AD30">
        <v>-4.1332123651571302E-2</v>
      </c>
      <c r="AE30">
        <v>4.63989296917902E-2</v>
      </c>
      <c r="AF30">
        <v>3.4650682252284302</v>
      </c>
      <c r="AG30">
        <v>144</v>
      </c>
      <c r="AH30">
        <v>29</v>
      </c>
      <c r="AI30">
        <f t="shared" si="22"/>
        <v>1</v>
      </c>
      <c r="AJ30">
        <f t="shared" si="23"/>
        <v>0</v>
      </c>
      <c r="AK30">
        <f t="shared" si="24"/>
        <v>52946.617326544307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259.81187999999997</v>
      </c>
      <c r="AT30">
        <v>368.392</v>
      </c>
      <c r="AU30">
        <f t="shared" si="27"/>
        <v>0.29474071098178034</v>
      </c>
      <c r="AV30">
        <v>0.5</v>
      </c>
      <c r="AW30">
        <f t="shared" si="28"/>
        <v>1849.1742190638236</v>
      </c>
      <c r="AX30">
        <f t="shared" si="29"/>
        <v>44.291152625234119</v>
      </c>
      <c r="AY30">
        <f t="shared" si="30"/>
        <v>272.51346202802489</v>
      </c>
      <c r="AZ30">
        <f t="shared" si="31"/>
        <v>0.52273665009012138</v>
      </c>
      <c r="BA30">
        <f t="shared" si="32"/>
        <v>2.4492636852877794E-2</v>
      </c>
      <c r="BB30">
        <f t="shared" si="33"/>
        <v>-1</v>
      </c>
      <c r="BC30" t="s">
        <v>353</v>
      </c>
      <c r="BD30">
        <v>175.82</v>
      </c>
      <c r="BE30">
        <f t="shared" si="34"/>
        <v>192.572</v>
      </c>
      <c r="BF30">
        <f t="shared" si="35"/>
        <v>0.563841679995015</v>
      </c>
      <c r="BG30">
        <f t="shared" si="36"/>
        <v>2.0952792628824937</v>
      </c>
      <c r="BH30">
        <f t="shared" si="37"/>
        <v>0.29474071098178034</v>
      </c>
      <c r="BI30" t="e">
        <f t="shared" si="38"/>
        <v>#DIV/0!</v>
      </c>
      <c r="BJ30">
        <v>5875</v>
      </c>
      <c r="BK30">
        <v>300</v>
      </c>
      <c r="BL30">
        <v>300</v>
      </c>
      <c r="BM30">
        <v>300</v>
      </c>
      <c r="BN30">
        <v>9869.85</v>
      </c>
      <c r="BO30">
        <v>337.55599999999998</v>
      </c>
      <c r="BP30">
        <v>-6.4012799999999996E-3</v>
      </c>
      <c r="BQ30">
        <v>1.9635899999999999</v>
      </c>
      <c r="BR30">
        <f t="shared" si="39"/>
        <v>2199.9864516129001</v>
      </c>
      <c r="BS30">
        <f t="shared" si="40"/>
        <v>1849.1742190638236</v>
      </c>
      <c r="BT30">
        <f t="shared" si="41"/>
        <v>0.84053891227744526</v>
      </c>
      <c r="BU30">
        <f t="shared" si="42"/>
        <v>0.1910778245548905</v>
      </c>
      <c r="BV30">
        <v>0.5</v>
      </c>
      <c r="BW30" t="s">
        <v>281</v>
      </c>
      <c r="BX30">
        <v>1596829857.5999999</v>
      </c>
      <c r="BY30">
        <v>1581.1243548387099</v>
      </c>
      <c r="BZ30">
        <v>1600.01548387097</v>
      </c>
      <c r="CA30">
        <v>18.362703225806499</v>
      </c>
      <c r="CB30">
        <v>17.6318290322581</v>
      </c>
      <c r="CC30">
        <v>500.07203225806398</v>
      </c>
      <c r="CD30">
        <v>99.698964516128996</v>
      </c>
      <c r="CE30">
        <v>0.20001519354838701</v>
      </c>
      <c r="CF30">
        <v>25.6340741935484</v>
      </c>
      <c r="CG30">
        <v>27.002564516128999</v>
      </c>
      <c r="CH30">
        <v>999.9</v>
      </c>
      <c r="CI30">
        <v>9997.5387096774193</v>
      </c>
      <c r="CJ30">
        <v>0</v>
      </c>
      <c r="CK30">
        <v>196.495483870968</v>
      </c>
      <c r="CL30">
        <v>2199.9864516129001</v>
      </c>
      <c r="CM30">
        <v>0.98199474193548397</v>
      </c>
      <c r="CN30">
        <v>1.80048709677419E-2</v>
      </c>
      <c r="CO30">
        <v>0</v>
      </c>
      <c r="CP30">
        <v>259.898161290323</v>
      </c>
      <c r="CQ30">
        <v>5.00054</v>
      </c>
      <c r="CR30">
        <v>8445.1896774193501</v>
      </c>
      <c r="CS30">
        <v>20590.380645161302</v>
      </c>
      <c r="CT30">
        <v>49.134677419354801</v>
      </c>
      <c r="CU30">
        <v>51.435096774193497</v>
      </c>
      <c r="CV30">
        <v>49.721548387096803</v>
      </c>
      <c r="CW30">
        <v>50.096677419354798</v>
      </c>
      <c r="CX30">
        <v>50.401000000000003</v>
      </c>
      <c r="CY30">
        <v>2155.4664516129001</v>
      </c>
      <c r="CZ30">
        <v>39.520000000000003</v>
      </c>
      <c r="DA30">
        <v>0</v>
      </c>
      <c r="DB30">
        <v>139.299999952316</v>
      </c>
      <c r="DC30">
        <v>259.81187999999997</v>
      </c>
      <c r="DD30">
        <v>-4.7126923181776998</v>
      </c>
      <c r="DE30">
        <v>-136.33615395244399</v>
      </c>
      <c r="DF30">
        <v>8443.2332000000006</v>
      </c>
      <c r="DG30">
        <v>15</v>
      </c>
      <c r="DH30">
        <v>1596829887.5999999</v>
      </c>
      <c r="DI30" t="s">
        <v>354</v>
      </c>
      <c r="DJ30">
        <v>88</v>
      </c>
      <c r="DK30">
        <v>-0.187</v>
      </c>
      <c r="DL30">
        <v>0.123</v>
      </c>
      <c r="DM30">
        <v>1600</v>
      </c>
      <c r="DN30">
        <v>18</v>
      </c>
      <c r="DO30">
        <v>0.39</v>
      </c>
      <c r="DP30">
        <v>0.15</v>
      </c>
      <c r="DQ30">
        <v>1581.12846153846</v>
      </c>
      <c r="DR30">
        <v>1.0067787927945999</v>
      </c>
      <c r="DS30">
        <v>0.16869846353075099</v>
      </c>
      <c r="DT30">
        <v>0</v>
      </c>
      <c r="DU30">
        <v>18.348371153846202</v>
      </c>
      <c r="DV30">
        <v>0.12463843592585901</v>
      </c>
      <c r="DW30">
        <v>2.45548627217506E-2</v>
      </c>
      <c r="DX30">
        <v>1</v>
      </c>
      <c r="DY30">
        <v>1</v>
      </c>
      <c r="DZ30">
        <v>2</v>
      </c>
      <c r="EA30" t="s">
        <v>323</v>
      </c>
      <c r="EB30">
        <v>1.86673</v>
      </c>
      <c r="EC30">
        <v>1.8632500000000001</v>
      </c>
      <c r="ED30">
        <v>1.8689</v>
      </c>
      <c r="EE30">
        <v>1.8667899999999999</v>
      </c>
      <c r="EF30">
        <v>1.8714900000000001</v>
      </c>
      <c r="EG30">
        <v>1.86399</v>
      </c>
      <c r="EH30">
        <v>1.86554</v>
      </c>
      <c r="EI30">
        <v>1.8654599999999999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-0.187</v>
      </c>
      <c r="EX30">
        <v>0.123</v>
      </c>
      <c r="EY30">
        <v>2</v>
      </c>
      <c r="EZ30">
        <v>338.17099999999999</v>
      </c>
      <c r="FA30">
        <v>489.75200000000001</v>
      </c>
      <c r="FB30">
        <v>19.364100000000001</v>
      </c>
      <c r="FC30">
        <v>34.0291</v>
      </c>
      <c r="FD30">
        <v>30.001300000000001</v>
      </c>
      <c r="FE30">
        <v>33.972000000000001</v>
      </c>
      <c r="FF30">
        <v>33.969099999999997</v>
      </c>
      <c r="FG30">
        <v>67.169200000000004</v>
      </c>
      <c r="FH30">
        <v>44.154800000000002</v>
      </c>
      <c r="FI30">
        <v>0</v>
      </c>
      <c r="FJ30">
        <v>19.313300000000002</v>
      </c>
      <c r="FK30">
        <v>1600</v>
      </c>
      <c r="FL30">
        <v>17.5352</v>
      </c>
      <c r="FM30">
        <v>100.68300000000001</v>
      </c>
      <c r="FN30">
        <v>101.26900000000001</v>
      </c>
    </row>
    <row r="31" spans="1:170" x14ac:dyDescent="0.25">
      <c r="A31">
        <v>15</v>
      </c>
      <c r="B31">
        <v>1596830009.0999999</v>
      </c>
      <c r="C31">
        <v>1872.5999999046301</v>
      </c>
      <c r="D31" t="s">
        <v>355</v>
      </c>
      <c r="E31" t="s">
        <v>356</v>
      </c>
      <c r="G31">
        <v>1596830001.0999999</v>
      </c>
      <c r="H31">
        <f t="shared" si="0"/>
        <v>1.5541716001146999E-3</v>
      </c>
      <c r="I31">
        <f t="shared" si="1"/>
        <v>44.53834344258987</v>
      </c>
      <c r="J31">
        <f t="shared" si="2"/>
        <v>1781.0220645161301</v>
      </c>
      <c r="K31">
        <f t="shared" si="3"/>
        <v>915.10507985164406</v>
      </c>
      <c r="L31">
        <f t="shared" si="4"/>
        <v>91.417156964707502</v>
      </c>
      <c r="M31">
        <f t="shared" si="5"/>
        <v>177.92052215017105</v>
      </c>
      <c r="N31">
        <f t="shared" si="6"/>
        <v>8.7218830471972167E-2</v>
      </c>
      <c r="O31">
        <f t="shared" si="7"/>
        <v>3.3958594282090795</v>
      </c>
      <c r="P31">
        <f t="shared" si="8"/>
        <v>8.5993193938191381E-2</v>
      </c>
      <c r="Q31">
        <f t="shared" si="9"/>
        <v>5.3854429913620598E-2</v>
      </c>
      <c r="R31">
        <f t="shared" si="10"/>
        <v>353.33865821852072</v>
      </c>
      <c r="S31">
        <f t="shared" si="11"/>
        <v>27.049454664960145</v>
      </c>
      <c r="T31">
        <f t="shared" si="12"/>
        <v>26.994451612903202</v>
      </c>
      <c r="U31">
        <f t="shared" si="13"/>
        <v>3.5779935160648901</v>
      </c>
      <c r="V31">
        <f t="shared" si="14"/>
        <v>55.318777231896796</v>
      </c>
      <c r="W31">
        <f t="shared" si="15"/>
        <v>1.8213091945916107</v>
      </c>
      <c r="X31">
        <f t="shared" si="16"/>
        <v>3.2923887434399837</v>
      </c>
      <c r="Y31">
        <f t="shared" si="17"/>
        <v>1.7566843214732795</v>
      </c>
      <c r="Z31">
        <f t="shared" si="18"/>
        <v>-68.538967565058272</v>
      </c>
      <c r="AA31">
        <f t="shared" si="19"/>
        <v>-257.93740272231776</v>
      </c>
      <c r="AB31">
        <f t="shared" si="20"/>
        <v>-16.276269220568114</v>
      </c>
      <c r="AC31">
        <f t="shared" si="21"/>
        <v>10.586018710576582</v>
      </c>
      <c r="AD31">
        <v>-4.1383578569310603E-2</v>
      </c>
      <c r="AE31">
        <v>4.6456692344650899E-2</v>
      </c>
      <c r="AF31">
        <v>3.46848035779702</v>
      </c>
      <c r="AG31">
        <v>144</v>
      </c>
      <c r="AH31">
        <v>29</v>
      </c>
      <c r="AI31">
        <f t="shared" si="22"/>
        <v>1</v>
      </c>
      <c r="AJ31">
        <f t="shared" si="23"/>
        <v>0</v>
      </c>
      <c r="AK31">
        <f t="shared" si="24"/>
        <v>53018.422915414492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357</v>
      </c>
      <c r="AS31">
        <v>258.58456000000001</v>
      </c>
      <c r="AT31">
        <v>368.404</v>
      </c>
      <c r="AU31">
        <f t="shared" si="27"/>
        <v>0.29809513468909132</v>
      </c>
      <c r="AV31">
        <v>0.5</v>
      </c>
      <c r="AW31">
        <f t="shared" si="28"/>
        <v>1849.1872255154403</v>
      </c>
      <c r="AX31">
        <f t="shared" si="29"/>
        <v>44.53834344258987</v>
      </c>
      <c r="AY31">
        <f t="shared" si="30"/>
        <v>275.61685752768614</v>
      </c>
      <c r="AZ31">
        <f t="shared" si="31"/>
        <v>0.51053734487139124</v>
      </c>
      <c r="BA31">
        <f t="shared" si="32"/>
        <v>2.4626139968004897E-2</v>
      </c>
      <c r="BB31">
        <f t="shared" si="33"/>
        <v>-1</v>
      </c>
      <c r="BC31" t="s">
        <v>358</v>
      </c>
      <c r="BD31">
        <v>180.32</v>
      </c>
      <c r="BE31">
        <f t="shared" si="34"/>
        <v>188.084</v>
      </c>
      <c r="BF31">
        <f t="shared" si="35"/>
        <v>0.58388507262712397</v>
      </c>
      <c r="BG31">
        <f t="shared" si="36"/>
        <v>2.0430567879325645</v>
      </c>
      <c r="BH31">
        <f t="shared" si="37"/>
        <v>0.29809513468909127</v>
      </c>
      <c r="BI31" t="e">
        <f t="shared" si="38"/>
        <v>#DIV/0!</v>
      </c>
      <c r="BJ31">
        <v>5877</v>
      </c>
      <c r="BK31">
        <v>300</v>
      </c>
      <c r="BL31">
        <v>300</v>
      </c>
      <c r="BM31">
        <v>300</v>
      </c>
      <c r="BN31">
        <v>9869.9699999999993</v>
      </c>
      <c r="BO31">
        <v>337.596</v>
      </c>
      <c r="BP31">
        <v>-6.4012599999999998E-3</v>
      </c>
      <c r="BQ31">
        <v>1.65585</v>
      </c>
      <c r="BR31">
        <f t="shared" si="39"/>
        <v>2200.0019354838701</v>
      </c>
      <c r="BS31">
        <f t="shared" si="40"/>
        <v>1849.1872255154403</v>
      </c>
      <c r="BT31">
        <f t="shared" si="41"/>
        <v>0.84053890848451851</v>
      </c>
      <c r="BU31">
        <f t="shared" si="42"/>
        <v>0.19107781696903703</v>
      </c>
      <c r="BV31">
        <v>0.5</v>
      </c>
      <c r="BW31" t="s">
        <v>281</v>
      </c>
      <c r="BX31">
        <v>1596830001.0999999</v>
      </c>
      <c r="BY31">
        <v>1781.0220645161301</v>
      </c>
      <c r="BZ31">
        <v>1799.9419354838701</v>
      </c>
      <c r="CA31">
        <v>18.231690322580601</v>
      </c>
      <c r="CB31">
        <v>17.621441935483901</v>
      </c>
      <c r="CC31">
        <v>500.07061290322599</v>
      </c>
      <c r="CD31">
        <v>99.698019354838706</v>
      </c>
      <c r="CE31">
        <v>0.199969387096774</v>
      </c>
      <c r="CF31">
        <v>25.585554838709701</v>
      </c>
      <c r="CG31">
        <v>26.994451612903202</v>
      </c>
      <c r="CH31">
        <v>999.9</v>
      </c>
      <c r="CI31">
        <v>10010.0796774194</v>
      </c>
      <c r="CJ31">
        <v>0</v>
      </c>
      <c r="CK31">
        <v>207.022032258065</v>
      </c>
      <c r="CL31">
        <v>2200.0019354838701</v>
      </c>
      <c r="CM31">
        <v>0.981994419354839</v>
      </c>
      <c r="CN31">
        <v>1.80052096774194E-2</v>
      </c>
      <c r="CO31">
        <v>0</v>
      </c>
      <c r="CP31">
        <v>258.61493548387102</v>
      </c>
      <c r="CQ31">
        <v>5.00054</v>
      </c>
      <c r="CR31">
        <v>8402.6077419354806</v>
      </c>
      <c r="CS31">
        <v>20590.509677419399</v>
      </c>
      <c r="CT31">
        <v>49.199322580645102</v>
      </c>
      <c r="CU31">
        <v>51.495935483871001</v>
      </c>
      <c r="CV31">
        <v>49.781999999999996</v>
      </c>
      <c r="CW31">
        <v>50.114580645161297</v>
      </c>
      <c r="CX31">
        <v>50.477451612903202</v>
      </c>
      <c r="CY31">
        <v>2155.4819354838701</v>
      </c>
      <c r="CZ31">
        <v>39.520000000000003</v>
      </c>
      <c r="DA31">
        <v>0</v>
      </c>
      <c r="DB31">
        <v>142.5</v>
      </c>
      <c r="DC31">
        <v>258.58456000000001</v>
      </c>
      <c r="DD31">
        <v>0.135230772223951</v>
      </c>
      <c r="DE31">
        <v>-30.439999997009998</v>
      </c>
      <c r="DF31">
        <v>8402.6203999999998</v>
      </c>
      <c r="DG31">
        <v>15</v>
      </c>
      <c r="DH31">
        <v>1596830036.5999999</v>
      </c>
      <c r="DI31" t="s">
        <v>359</v>
      </c>
      <c r="DJ31">
        <v>89</v>
      </c>
      <c r="DK31">
        <v>-0.153</v>
      </c>
      <c r="DL31">
        <v>0.125</v>
      </c>
      <c r="DM31">
        <v>1800</v>
      </c>
      <c r="DN31">
        <v>18</v>
      </c>
      <c r="DO31">
        <v>0.11</v>
      </c>
      <c r="DP31">
        <v>0.13</v>
      </c>
      <c r="DQ31">
        <v>1780.9817307692299</v>
      </c>
      <c r="DR31">
        <v>0.27728165286298501</v>
      </c>
      <c r="DS31">
        <v>7.1352892072410495E-2</v>
      </c>
      <c r="DT31">
        <v>1</v>
      </c>
      <c r="DU31">
        <v>18.2723865384615</v>
      </c>
      <c r="DV31">
        <v>-0.436331085119046</v>
      </c>
      <c r="DW31">
        <v>5.4968179707222002E-2</v>
      </c>
      <c r="DX31">
        <v>0</v>
      </c>
      <c r="DY31">
        <v>1</v>
      </c>
      <c r="DZ31">
        <v>2</v>
      </c>
      <c r="EA31" t="s">
        <v>323</v>
      </c>
      <c r="EB31">
        <v>1.8667</v>
      </c>
      <c r="EC31">
        <v>1.8632299999999999</v>
      </c>
      <c r="ED31">
        <v>1.8689</v>
      </c>
      <c r="EE31">
        <v>1.86677</v>
      </c>
      <c r="EF31">
        <v>1.87148</v>
      </c>
      <c r="EG31">
        <v>1.86398</v>
      </c>
      <c r="EH31">
        <v>1.86554</v>
      </c>
      <c r="EI31">
        <v>1.86544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-0.153</v>
      </c>
      <c r="EX31">
        <v>0.125</v>
      </c>
      <c r="EY31">
        <v>2</v>
      </c>
      <c r="EZ31">
        <v>338.17</v>
      </c>
      <c r="FA31">
        <v>489.88099999999997</v>
      </c>
      <c r="FB31">
        <v>19.321300000000001</v>
      </c>
      <c r="FC31">
        <v>34.132899999999999</v>
      </c>
      <c r="FD31">
        <v>30.000299999999999</v>
      </c>
      <c r="FE31">
        <v>34.082900000000002</v>
      </c>
      <c r="FF31">
        <v>34.079000000000001</v>
      </c>
      <c r="FG31">
        <v>73.647000000000006</v>
      </c>
      <c r="FH31">
        <v>44.190800000000003</v>
      </c>
      <c r="FI31">
        <v>0</v>
      </c>
      <c r="FJ31">
        <v>19.341699999999999</v>
      </c>
      <c r="FK31">
        <v>1800</v>
      </c>
      <c r="FL31">
        <v>17.578099999999999</v>
      </c>
      <c r="FM31">
        <v>100.663</v>
      </c>
      <c r="FN31">
        <v>101.241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2020-08-07T14:55:43Z</dcterms:created>
  <dcterms:modified xsi:type="dcterms:W3CDTF">2024-11-20T09:04:13Z</dcterms:modified>
</cp:coreProperties>
</file>