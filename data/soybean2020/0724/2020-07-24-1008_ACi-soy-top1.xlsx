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博士学习资料\past test data\2020_soybean_CO2_curves\0724\"/>
    </mc:Choice>
  </mc:AlternateContent>
  <bookViews>
    <workbookView xWindow="240" yWindow="12" windowWidth="16092" windowHeight="9660"/>
  </bookViews>
  <sheets>
    <sheet name="Measurements" sheetId="1" r:id="rId1"/>
    <sheet name="Remarks" sheetId="2" r:id="rId2"/>
  </sheets>
  <calcPr calcId="162913"/>
</workbook>
</file>

<file path=xl/calcChain.xml><?xml version="1.0" encoding="utf-8"?>
<calcChain xmlns="http://schemas.openxmlformats.org/spreadsheetml/2006/main">
  <c r="BU30" i="1" l="1"/>
  <c r="BT30" i="1"/>
  <c r="BR30" i="1"/>
  <c r="BS30" i="1" s="1"/>
  <c r="BI30" i="1"/>
  <c r="BH30" i="1"/>
  <c r="BG30" i="1"/>
  <c r="BF30" i="1"/>
  <c r="BE30" i="1"/>
  <c r="BB30" i="1"/>
  <c r="AZ30" i="1"/>
  <c r="AU30" i="1"/>
  <c r="AO30" i="1"/>
  <c r="AP30" i="1" s="1"/>
  <c r="AK30" i="1"/>
  <c r="AI30" i="1"/>
  <c r="J30" i="1" s="1"/>
  <c r="X30" i="1"/>
  <c r="W30" i="1"/>
  <c r="V30" i="1"/>
  <c r="O30" i="1"/>
  <c r="BU29" i="1"/>
  <c r="BT29" i="1"/>
  <c r="BR29" i="1"/>
  <c r="BS29" i="1" s="1"/>
  <c r="BI29" i="1"/>
  <c r="BH29" i="1"/>
  <c r="BG29" i="1"/>
  <c r="BF29" i="1"/>
  <c r="BE29" i="1"/>
  <c r="BB29" i="1"/>
  <c r="AZ29" i="1"/>
  <c r="AU29" i="1"/>
  <c r="AO29" i="1"/>
  <c r="AP29" i="1" s="1"/>
  <c r="AK29" i="1"/>
  <c r="AI29" i="1"/>
  <c r="M29" i="1" s="1"/>
  <c r="X29" i="1"/>
  <c r="W29" i="1"/>
  <c r="V29" i="1"/>
  <c r="O29" i="1"/>
  <c r="BU28" i="1"/>
  <c r="BT28" i="1"/>
  <c r="BR28" i="1"/>
  <c r="BS28" i="1" s="1"/>
  <c r="BI28" i="1"/>
  <c r="BH28" i="1"/>
  <c r="BG28" i="1"/>
  <c r="BF28" i="1"/>
  <c r="BE28" i="1"/>
  <c r="AZ28" i="1" s="1"/>
  <c r="BB28" i="1"/>
  <c r="AU28" i="1"/>
  <c r="AO28" i="1"/>
  <c r="AP28" i="1" s="1"/>
  <c r="AK28" i="1"/>
  <c r="AI28" i="1"/>
  <c r="I28" i="1" s="1"/>
  <c r="AX28" i="1" s="1"/>
  <c r="X28" i="1"/>
  <c r="W28" i="1"/>
  <c r="V28" i="1"/>
  <c r="O28" i="1"/>
  <c r="BU27" i="1"/>
  <c r="BT27" i="1"/>
  <c r="BR27" i="1"/>
  <c r="BS27" i="1" s="1"/>
  <c r="BI27" i="1"/>
  <c r="BH27" i="1"/>
  <c r="BG27" i="1"/>
  <c r="BF27" i="1"/>
  <c r="BE27" i="1"/>
  <c r="BB27" i="1"/>
  <c r="AZ27" i="1"/>
  <c r="AU27" i="1"/>
  <c r="AP27" i="1"/>
  <c r="AO27" i="1"/>
  <c r="AK27" i="1"/>
  <c r="AI27" i="1" s="1"/>
  <c r="X27" i="1"/>
  <c r="W27" i="1"/>
  <c r="V27" i="1"/>
  <c r="O27" i="1"/>
  <c r="BU26" i="1"/>
  <c r="BT26" i="1"/>
  <c r="BR26" i="1"/>
  <c r="BS26" i="1" s="1"/>
  <c r="BI26" i="1"/>
  <c r="BH26" i="1"/>
  <c r="BG26" i="1"/>
  <c r="BF26" i="1"/>
  <c r="BE26" i="1"/>
  <c r="BB26" i="1"/>
  <c r="AZ26" i="1"/>
  <c r="AU26" i="1"/>
  <c r="AP26" i="1"/>
  <c r="AO26" i="1"/>
  <c r="AK26" i="1"/>
  <c r="AI26" i="1" s="1"/>
  <c r="X26" i="1"/>
  <c r="W26" i="1"/>
  <c r="V26" i="1"/>
  <c r="O26" i="1"/>
  <c r="BU25" i="1"/>
  <c r="BT25" i="1"/>
  <c r="BS25" i="1" s="1"/>
  <c r="BR25" i="1"/>
  <c r="BI25" i="1"/>
  <c r="BH25" i="1"/>
  <c r="BG25" i="1"/>
  <c r="BF25" i="1"/>
  <c r="BE25" i="1"/>
  <c r="BB25" i="1"/>
  <c r="AZ25" i="1"/>
  <c r="AU25" i="1"/>
  <c r="AO25" i="1"/>
  <c r="AP25" i="1" s="1"/>
  <c r="AK25" i="1"/>
  <c r="AI25" i="1" s="1"/>
  <c r="X25" i="1"/>
  <c r="V25" i="1" s="1"/>
  <c r="W25" i="1"/>
  <c r="O25" i="1"/>
  <c r="BU24" i="1"/>
  <c r="BT24" i="1"/>
  <c r="BS24" i="1"/>
  <c r="R24" i="1" s="1"/>
  <c r="BR24" i="1"/>
  <c r="BI24" i="1"/>
  <c r="BH24" i="1"/>
  <c r="BG24" i="1"/>
  <c r="BF24" i="1"/>
  <c r="BE24" i="1"/>
  <c r="BB24" i="1"/>
  <c r="AZ24" i="1"/>
  <c r="AU24" i="1"/>
  <c r="AO24" i="1"/>
  <c r="AP24" i="1" s="1"/>
  <c r="AK24" i="1"/>
  <c r="AI24" i="1"/>
  <c r="M24" i="1" s="1"/>
  <c r="X24" i="1"/>
  <c r="W24" i="1"/>
  <c r="V24" i="1"/>
  <c r="O24" i="1"/>
  <c r="BU23" i="1"/>
  <c r="BT23" i="1"/>
  <c r="BR23" i="1"/>
  <c r="BS23" i="1" s="1"/>
  <c r="BI23" i="1"/>
  <c r="BH23" i="1"/>
  <c r="BG23" i="1"/>
  <c r="BF23" i="1"/>
  <c r="BE23" i="1"/>
  <c r="AZ23" i="1" s="1"/>
  <c r="BB23" i="1"/>
  <c r="AU23" i="1"/>
  <c r="AO23" i="1"/>
  <c r="AP23" i="1" s="1"/>
  <c r="AK23" i="1"/>
  <c r="AI23" i="1"/>
  <c r="AJ23" i="1" s="1"/>
  <c r="X23" i="1"/>
  <c r="W23" i="1"/>
  <c r="V23" i="1"/>
  <c r="O23" i="1"/>
  <c r="BU22" i="1"/>
  <c r="BT22" i="1"/>
  <c r="BR22" i="1"/>
  <c r="BS22" i="1" s="1"/>
  <c r="BI22" i="1"/>
  <c r="BH22" i="1"/>
  <c r="BG22" i="1"/>
  <c r="BF22" i="1"/>
  <c r="BE22" i="1"/>
  <c r="AZ22" i="1" s="1"/>
  <c r="BB22" i="1"/>
  <c r="AX22" i="1"/>
  <c r="AU22" i="1"/>
  <c r="AO22" i="1"/>
  <c r="AP22" i="1" s="1"/>
  <c r="AK22" i="1"/>
  <c r="AI22" i="1"/>
  <c r="H22" i="1" s="1"/>
  <c r="X22" i="1"/>
  <c r="W22" i="1"/>
  <c r="V22" i="1"/>
  <c r="O22" i="1"/>
  <c r="M22" i="1"/>
  <c r="J22" i="1"/>
  <c r="I22" i="1"/>
  <c r="BU21" i="1"/>
  <c r="BT21" i="1"/>
  <c r="BR21" i="1"/>
  <c r="BS21" i="1" s="1"/>
  <c r="BI21" i="1"/>
  <c r="BH21" i="1"/>
  <c r="BG21" i="1"/>
  <c r="BF21" i="1"/>
  <c r="BE21" i="1"/>
  <c r="BB21" i="1"/>
  <c r="AZ21" i="1"/>
  <c r="AU21" i="1"/>
  <c r="AO21" i="1"/>
  <c r="AP21" i="1" s="1"/>
  <c r="AK21" i="1"/>
  <c r="AI21" i="1"/>
  <c r="AJ21" i="1" s="1"/>
  <c r="X21" i="1"/>
  <c r="W21" i="1"/>
  <c r="V21" i="1"/>
  <c r="O21" i="1"/>
  <c r="BU20" i="1"/>
  <c r="BT20" i="1"/>
  <c r="BR20" i="1"/>
  <c r="BS20" i="1" s="1"/>
  <c r="BI20" i="1"/>
  <c r="BH20" i="1"/>
  <c r="BG20" i="1"/>
  <c r="BF20" i="1"/>
  <c r="BE20" i="1"/>
  <c r="BB20" i="1"/>
  <c r="AZ20" i="1"/>
  <c r="AU20" i="1"/>
  <c r="AO20" i="1"/>
  <c r="AP20" i="1" s="1"/>
  <c r="AK20" i="1"/>
  <c r="AI20" i="1"/>
  <c r="H20" i="1" s="1"/>
  <c r="X20" i="1"/>
  <c r="W20" i="1"/>
  <c r="V20" i="1" s="1"/>
  <c r="O20" i="1"/>
  <c r="BU19" i="1"/>
  <c r="BT19" i="1"/>
  <c r="BR19" i="1"/>
  <c r="BS19" i="1" s="1"/>
  <c r="BI19" i="1"/>
  <c r="BH19" i="1"/>
  <c r="BG19" i="1"/>
  <c r="BF19" i="1"/>
  <c r="BE19" i="1"/>
  <c r="BB19" i="1"/>
  <c r="AZ19" i="1"/>
  <c r="AU19" i="1"/>
  <c r="AO19" i="1"/>
  <c r="AP19" i="1" s="1"/>
  <c r="AK19" i="1"/>
  <c r="AI19" i="1"/>
  <c r="I19" i="1" s="1"/>
  <c r="AX19" i="1" s="1"/>
  <c r="X19" i="1"/>
  <c r="W19" i="1"/>
  <c r="V19" i="1" s="1"/>
  <c r="O19" i="1"/>
  <c r="BU18" i="1"/>
  <c r="BT18" i="1"/>
  <c r="BR18" i="1"/>
  <c r="BS18" i="1" s="1"/>
  <c r="BI18" i="1"/>
  <c r="BH18" i="1"/>
  <c r="BG18" i="1"/>
  <c r="BF18" i="1"/>
  <c r="BE18" i="1"/>
  <c r="BB18" i="1"/>
  <c r="AZ18" i="1"/>
  <c r="AU18" i="1"/>
  <c r="AP18" i="1"/>
  <c r="AO18" i="1"/>
  <c r="AK18" i="1"/>
  <c r="AI18" i="1"/>
  <c r="H18" i="1" s="1"/>
  <c r="X18" i="1"/>
  <c r="W18" i="1"/>
  <c r="V18" i="1"/>
  <c r="O18" i="1"/>
  <c r="BU17" i="1"/>
  <c r="BT17" i="1"/>
  <c r="BR17" i="1"/>
  <c r="BS17" i="1" s="1"/>
  <c r="BI17" i="1"/>
  <c r="BH17" i="1"/>
  <c r="BG17" i="1"/>
  <c r="BF17" i="1"/>
  <c r="BE17" i="1"/>
  <c r="BB17" i="1"/>
  <c r="AZ17" i="1"/>
  <c r="AU17" i="1"/>
  <c r="AP17" i="1"/>
  <c r="AO17" i="1"/>
  <c r="AK17" i="1"/>
  <c r="AI17" i="1" s="1"/>
  <c r="X17" i="1"/>
  <c r="W17" i="1"/>
  <c r="V17" i="1"/>
  <c r="O17" i="1"/>
  <c r="AW29" i="1" l="1"/>
  <c r="R29" i="1"/>
  <c r="J27" i="1"/>
  <c r="I27" i="1"/>
  <c r="AX27" i="1" s="1"/>
  <c r="BA27" i="1" s="1"/>
  <c r="H27" i="1"/>
  <c r="AJ27" i="1"/>
  <c r="M27" i="1"/>
  <c r="R22" i="1"/>
  <c r="AW22" i="1"/>
  <c r="BA22" i="1" s="1"/>
  <c r="R21" i="1"/>
  <c r="AW21" i="1"/>
  <c r="BA19" i="1"/>
  <c r="AY19" i="1"/>
  <c r="AW20" i="1"/>
  <c r="AY20" i="1" s="1"/>
  <c r="R20" i="1"/>
  <c r="AW28" i="1"/>
  <c r="AY28" i="1" s="1"/>
  <c r="R28" i="1"/>
  <c r="Z18" i="1"/>
  <c r="AY30" i="1"/>
  <c r="R27" i="1"/>
  <c r="AW27" i="1"/>
  <c r="AY27" i="1" s="1"/>
  <c r="H25" i="1"/>
  <c r="J25" i="1"/>
  <c r="M25" i="1"/>
  <c r="AJ25" i="1"/>
  <c r="I25" i="1"/>
  <c r="AX25" i="1" s="1"/>
  <c r="AY29" i="1"/>
  <c r="Z20" i="1"/>
  <c r="R26" i="1"/>
  <c r="AW26" i="1"/>
  <c r="AY26" i="1" s="1"/>
  <c r="AY24" i="1"/>
  <c r="R17" i="1"/>
  <c r="AW17" i="1"/>
  <c r="AY17" i="1" s="1"/>
  <c r="R25" i="1"/>
  <c r="AW25" i="1"/>
  <c r="AY25" i="1" s="1"/>
  <c r="H26" i="1"/>
  <c r="M26" i="1"/>
  <c r="AJ26" i="1"/>
  <c r="J26" i="1"/>
  <c r="I26" i="1"/>
  <c r="AX26" i="1" s="1"/>
  <c r="Z22" i="1"/>
  <c r="R19" i="1"/>
  <c r="AW19" i="1"/>
  <c r="I17" i="1"/>
  <c r="AX17" i="1" s="1"/>
  <c r="H17" i="1"/>
  <c r="M17" i="1"/>
  <c r="AJ17" i="1"/>
  <c r="J17" i="1"/>
  <c r="AW23" i="1"/>
  <c r="AY23" i="1" s="1"/>
  <c r="R23" i="1"/>
  <c r="AY21" i="1"/>
  <c r="R30" i="1"/>
  <c r="AW30" i="1"/>
  <c r="AW18" i="1"/>
  <c r="AY18" i="1" s="1"/>
  <c r="R18" i="1"/>
  <c r="BA28" i="1"/>
  <c r="H21" i="1"/>
  <c r="I21" i="1"/>
  <c r="AX21" i="1" s="1"/>
  <c r="J21" i="1"/>
  <c r="AJ30" i="1"/>
  <c r="H29" i="1"/>
  <c r="AJ20" i="1"/>
  <c r="I20" i="1"/>
  <c r="AX20" i="1" s="1"/>
  <c r="M20" i="1"/>
  <c r="I18" i="1"/>
  <c r="AX18" i="1" s="1"/>
  <c r="J23" i="1"/>
  <c r="I29" i="1"/>
  <c r="AX29" i="1" s="1"/>
  <c r="BA29" i="1" s="1"/>
  <c r="J24" i="1"/>
  <c r="AJ29" i="1"/>
  <c r="H19" i="1"/>
  <c r="H28" i="1"/>
  <c r="AJ18" i="1"/>
  <c r="H23" i="1"/>
  <c r="J18" i="1"/>
  <c r="AJ22" i="1"/>
  <c r="M28" i="1"/>
  <c r="H30" i="1"/>
  <c r="M21" i="1"/>
  <c r="H24" i="1"/>
  <c r="I24" i="1"/>
  <c r="AX24" i="1" s="1"/>
  <c r="BA24" i="1" s="1"/>
  <c r="J19" i="1"/>
  <c r="AJ28" i="1"/>
  <c r="AW24" i="1"/>
  <c r="I23" i="1"/>
  <c r="AX23" i="1" s="1"/>
  <c r="J28" i="1"/>
  <c r="M23" i="1"/>
  <c r="J20" i="1"/>
  <c r="AJ24" i="1"/>
  <c r="M30" i="1"/>
  <c r="J29" i="1"/>
  <c r="M19" i="1"/>
  <c r="M18" i="1"/>
  <c r="I30" i="1"/>
  <c r="AX30" i="1" s="1"/>
  <c r="AJ19" i="1"/>
  <c r="Z21" i="1" l="1"/>
  <c r="S18" i="1"/>
  <c r="T18" i="1" s="1"/>
  <c r="Z30" i="1"/>
  <c r="S25" i="1"/>
  <c r="T25" i="1" s="1"/>
  <c r="S23" i="1"/>
  <c r="T23" i="1" s="1"/>
  <c r="Z28" i="1"/>
  <c r="Z24" i="1"/>
  <c r="P24" i="1"/>
  <c r="N24" i="1" s="1"/>
  <c r="Q24" i="1" s="1"/>
  <c r="K24" i="1" s="1"/>
  <c r="L24" i="1" s="1"/>
  <c r="S30" i="1"/>
  <c r="T30" i="1" s="1"/>
  <c r="S17" i="1"/>
  <c r="T17" i="1" s="1"/>
  <c r="S26" i="1"/>
  <c r="T26" i="1" s="1"/>
  <c r="Z17" i="1"/>
  <c r="P17" i="1"/>
  <c r="N17" i="1" s="1"/>
  <c r="Q17" i="1" s="1"/>
  <c r="K17" i="1" s="1"/>
  <c r="L17" i="1" s="1"/>
  <c r="S21" i="1"/>
  <c r="T21" i="1" s="1"/>
  <c r="S19" i="1"/>
  <c r="T19" i="1" s="1"/>
  <c r="Z27" i="1"/>
  <c r="BA26" i="1"/>
  <c r="Z26" i="1"/>
  <c r="Z23" i="1"/>
  <c r="BA17" i="1"/>
  <c r="BA25" i="1"/>
  <c r="S27" i="1"/>
  <c r="T27" i="1" s="1"/>
  <c r="P27" i="1" s="1"/>
  <c r="N27" i="1" s="1"/>
  <c r="Q27" i="1" s="1"/>
  <c r="K27" i="1" s="1"/>
  <c r="L27" i="1" s="1"/>
  <c r="S29" i="1"/>
  <c r="T29" i="1" s="1"/>
  <c r="P29" i="1" s="1"/>
  <c r="N29" i="1" s="1"/>
  <c r="Q29" i="1" s="1"/>
  <c r="K29" i="1" s="1"/>
  <c r="L29" i="1" s="1"/>
  <c r="S28" i="1"/>
  <c r="T28" i="1" s="1"/>
  <c r="P28" i="1" s="1"/>
  <c r="N28" i="1" s="1"/>
  <c r="Q28" i="1" s="1"/>
  <c r="K28" i="1" s="1"/>
  <c r="L28" i="1" s="1"/>
  <c r="S20" i="1"/>
  <c r="T20" i="1" s="1"/>
  <c r="Z19" i="1"/>
  <c r="P19" i="1"/>
  <c r="N19" i="1" s="1"/>
  <c r="Q19" i="1" s="1"/>
  <c r="K19" i="1" s="1"/>
  <c r="L19" i="1" s="1"/>
  <c r="BA30" i="1"/>
  <c r="BA18" i="1"/>
  <c r="S22" i="1"/>
  <c r="T22" i="1" s="1"/>
  <c r="BA20" i="1"/>
  <c r="Z29" i="1"/>
  <c r="S24" i="1"/>
  <c r="T24" i="1" s="1"/>
  <c r="Z25" i="1"/>
  <c r="BA23" i="1"/>
  <c r="BA21" i="1"/>
  <c r="AY22" i="1"/>
  <c r="AB21" i="1" l="1"/>
  <c r="U21" i="1"/>
  <c r="Y21" i="1" s="1"/>
  <c r="AA21" i="1"/>
  <c r="AB26" i="1"/>
  <c r="U26" i="1"/>
  <c r="Y26" i="1" s="1"/>
  <c r="AA26" i="1"/>
  <c r="U30" i="1"/>
  <c r="Y30" i="1" s="1"/>
  <c r="AA30" i="1"/>
  <c r="AB30" i="1"/>
  <c r="AC30" i="1" s="1"/>
  <c r="AA24" i="1"/>
  <c r="AB24" i="1"/>
  <c r="AC24" i="1" s="1"/>
  <c r="U24" i="1"/>
  <c r="Y24" i="1" s="1"/>
  <c r="AB17" i="1"/>
  <c r="U17" i="1"/>
  <c r="Y17" i="1" s="1"/>
  <c r="AA17" i="1"/>
  <c r="AA23" i="1"/>
  <c r="U23" i="1"/>
  <c r="Y23" i="1" s="1"/>
  <c r="AB23" i="1"/>
  <c r="AC23" i="1" s="1"/>
  <c r="U25" i="1"/>
  <c r="Y25" i="1" s="1"/>
  <c r="AA25" i="1"/>
  <c r="AB25" i="1"/>
  <c r="AC25" i="1" s="1"/>
  <c r="P25" i="1"/>
  <c r="N25" i="1" s="1"/>
  <c r="Q25" i="1" s="1"/>
  <c r="K25" i="1" s="1"/>
  <c r="L25" i="1" s="1"/>
  <c r="P26" i="1"/>
  <c r="N26" i="1" s="1"/>
  <c r="Q26" i="1" s="1"/>
  <c r="K26" i="1" s="1"/>
  <c r="L26" i="1" s="1"/>
  <c r="P30" i="1"/>
  <c r="N30" i="1" s="1"/>
  <c r="Q30" i="1" s="1"/>
  <c r="K30" i="1" s="1"/>
  <c r="L30" i="1" s="1"/>
  <c r="U22" i="1"/>
  <c r="Y22" i="1" s="1"/>
  <c r="AB22" i="1"/>
  <c r="P22" i="1"/>
  <c r="N22" i="1" s="1"/>
  <c r="Q22" i="1" s="1"/>
  <c r="K22" i="1" s="1"/>
  <c r="L22" i="1" s="1"/>
  <c r="AA22" i="1"/>
  <c r="AB28" i="1"/>
  <c r="AA28" i="1"/>
  <c r="U28" i="1"/>
  <c r="Y28" i="1" s="1"/>
  <c r="AB27" i="1"/>
  <c r="U27" i="1"/>
  <c r="Y27" i="1" s="1"/>
  <c r="AA27" i="1"/>
  <c r="P23" i="1"/>
  <c r="N23" i="1" s="1"/>
  <c r="Q23" i="1" s="1"/>
  <c r="K23" i="1" s="1"/>
  <c r="L23" i="1" s="1"/>
  <c r="AB18" i="1"/>
  <c r="U18" i="1"/>
  <c r="Y18" i="1" s="1"/>
  <c r="AA18" i="1"/>
  <c r="P18" i="1"/>
  <c r="N18" i="1" s="1"/>
  <c r="Q18" i="1" s="1"/>
  <c r="K18" i="1" s="1"/>
  <c r="L18" i="1" s="1"/>
  <c r="P21" i="1"/>
  <c r="N21" i="1" s="1"/>
  <c r="Q21" i="1" s="1"/>
  <c r="K21" i="1" s="1"/>
  <c r="L21" i="1" s="1"/>
  <c r="U20" i="1"/>
  <c r="Y20" i="1" s="1"/>
  <c r="AB20" i="1"/>
  <c r="AC20" i="1" s="1"/>
  <c r="AA20" i="1"/>
  <c r="P20" i="1"/>
  <c r="N20" i="1" s="1"/>
  <c r="Q20" i="1" s="1"/>
  <c r="K20" i="1" s="1"/>
  <c r="L20" i="1" s="1"/>
  <c r="U29" i="1"/>
  <c r="Y29" i="1" s="1"/>
  <c r="AB29" i="1"/>
  <c r="AA29" i="1"/>
  <c r="AB19" i="1"/>
  <c r="AC19" i="1" s="1"/>
  <c r="AA19" i="1"/>
  <c r="U19" i="1"/>
  <c r="Y19" i="1" s="1"/>
  <c r="AC18" i="1" l="1"/>
  <c r="AC28" i="1"/>
  <c r="AC26" i="1"/>
  <c r="AC29" i="1"/>
  <c r="AC17" i="1"/>
  <c r="AC27" i="1"/>
  <c r="AC22" i="1"/>
  <c r="AC21" i="1"/>
</calcChain>
</file>

<file path=xl/sharedStrings.xml><?xml version="1.0" encoding="utf-8"?>
<sst xmlns="http://schemas.openxmlformats.org/spreadsheetml/2006/main" count="771" uniqueCount="355">
  <si>
    <t>File opened</t>
  </si>
  <si>
    <t>2020-07-24 10:08:25</t>
  </si>
  <si>
    <t>Console s/n</t>
  </si>
  <si>
    <t>68C-571038</t>
  </si>
  <si>
    <t>Console ver</t>
  </si>
  <si>
    <t>Bluestem v.1.3.4</t>
  </si>
  <si>
    <t>Scripts ver</t>
  </si>
  <si>
    <t>2018.05  1.3.4, Mar 2018</t>
  </si>
  <si>
    <t>Head s/n</t>
  </si>
  <si>
    <t>68H-581038</t>
  </si>
  <si>
    <t>Head ver</t>
  </si>
  <si>
    <t>1.4.0</t>
  </si>
  <si>
    <t>Head cal</t>
  </si>
  <si>
    <t>{"co2bzero": "0.880288", "tbzero": "0.197721", "co2aspan2b": "0.163711", "h2obspanconc1": "20", "co2bspan2b": "0.162103", "h2obspan1": "0.998578", "h2oazero": "1.00263", "h2obspanconc2": "0", "co2bspan1": "0.992131", "flowmeterzero": "0.990908", "h2oaspan1": "1.00223", "h2oaspan2b": "0.0662632", "flowazero": "0.42932", "h2obspan2a": "0.0975941", "h2oaspanconc2": "0", "h2obzero": "1.01783", "co2aspan2": "0", "co2bspanconc2": "0", "co2aspan2a": "0.164928", "co2aspanconc1": "1002", "tazero": "0.00774765", "h2obspan2": "0", "flowbzero": "0.22736", "ssa_ref": "36614.9", "co2aspan1": "0.992625", "co2bspan2": "0", "h2oaspanconc1": "12.19", "ssb_ref": "36526.8", "co2bspanconc1": "1002", "h2oaspan2a": "0.0661155", "co2azero": "0.869071", "oxygen": "21", "chamberpressurezero": "2.59209", "co2bspan2a": "0.163389", "co2aspanconc2": "0", "h2obspan2b": "0.0963575", "h2oaspan2": "0"}</t>
  </si>
  <si>
    <t>Chamber type</t>
  </si>
  <si>
    <t>6800-01A</t>
  </si>
  <si>
    <t>Chamber s/n</t>
  </si>
  <si>
    <t>MPF-551037</t>
  </si>
  <si>
    <t>Chamber rev</t>
  </si>
  <si>
    <t>0</t>
  </si>
  <si>
    <t>Chamber cal</t>
  </si>
  <si>
    <t>Fluorometer</t>
  </si>
  <si>
    <t>Flr. Version</t>
  </si>
  <si>
    <t>10:08:25</t>
  </si>
  <si>
    <t>Stability Definition:	CO2_s (Meas): Slp&lt;0.3	H2O_s (Meas): Slp&lt;0.2</t>
  </si>
  <si>
    <t>SysConst</t>
  </si>
  <si>
    <t>AvgTime</t>
  </si>
  <si>
    <t>4</t>
  </si>
  <si>
    <t>Oxygen</t>
  </si>
  <si>
    <t>21</t>
  </si>
  <si>
    <t>Chamber</t>
  </si>
  <si>
    <t>6800-01A 2 cm²</t>
  </si>
  <si>
    <t>Const</t>
  </si>
  <si>
    <t>S</t>
  </si>
  <si>
    <t>CustomBLC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</si>
  <si>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</si>
  <si>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</si>
  <si>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</si>
  <si>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</si>
  <si>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</si>
  <si>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</si>
  <si>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</si>
  <si>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</si>
  <si>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</si>
  <si>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</si>
  <si>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</si>
  <si>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</si>
  <si>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</si>
  <si>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</si>
  <si>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</si>
  <si>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</si>
  <si>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</si>
  <si>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</si>
  <si>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</si>
  <si>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</si>
  <si>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</si>
  <si>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</si>
  <si>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</si>
  <si>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</si>
  <si>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</si>
  <si>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</si>
  <si>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</si>
  <si>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</si>
  <si>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</si>
  <si>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</si>
  <si>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</si>
  <si>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</si>
  <si>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</si>
  <si>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</si>
  <si>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</si>
  <si>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</si>
  <si>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3.46935 75.7742 386.148 617.459 845.313 1047.31 1232.25 1386.61</t>
  </si>
  <si>
    <t>Fs_true</t>
  </si>
  <si>
    <t>0.0901397 100.218 402.746 600.792 800.086 1000.08 1200.42 1401.29</t>
  </si>
  <si>
    <t>leak_wt</t>
  </si>
  <si>
    <t>Sys</t>
  </si>
  <si>
    <t>UserDefVar</t>
  </si>
  <si>
    <t>GasEx</t>
  </si>
  <si>
    <t>Leak</t>
  </si>
  <si>
    <t>FLR</t>
  </si>
  <si>
    <t>MPF</t>
  </si>
  <si>
    <t>LeafQ</t>
  </si>
  <si>
    <t>Meas</t>
  </si>
  <si>
    <t>FlrLS</t>
  </si>
  <si>
    <t>FlrStats</t>
  </si>
  <si>
    <t>Match</t>
  </si>
  <si>
    <t>Stability</t>
  </si>
  <si>
    <t>Auxiliary</t>
  </si>
  <si>
    <t>Status</t>
  </si>
  <si>
    <t>obs</t>
  </si>
  <si>
    <t>time</t>
  </si>
  <si>
    <t>elapsed</t>
  </si>
  <si>
    <t>date</t>
  </si>
  <si>
    <t>hhmmss</t>
  </si>
  <si>
    <t>plant</t>
  </si>
  <si>
    <t>TIME</t>
  </si>
  <si>
    <t>E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</si>
  <si>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</si>
  <si>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</si>
  <si>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</si>
  <si>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</si>
  <si>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</si>
  <si>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</si>
  <si>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</si>
  <si>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</si>
  <si>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</si>
  <si>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</si>
  <si>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</si>
  <si>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</si>
  <si>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</si>
  <si>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</si>
  <si>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</si>
  <si>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</si>
  <si>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</si>
  <si>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</si>
  <si>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</si>
  <si>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</si>
  <si>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</si>
  <si>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blfa_1</t>
  </si>
  <si>
    <t>blfa_2</t>
  </si>
  <si>
    <t>blfa_3</t>
  </si>
  <si>
    <t>LeakPct</t>
  </si>
  <si>
    <t>CorrFact</t>
  </si>
  <si>
    <t>CorrFactPct</t>
  </si>
  <si>
    <t>Fan</t>
  </si>
  <si>
    <t>DarkAdaptedID</t>
  </si>
  <si>
    <t>Fo</t>
  </si>
  <si>
    <t>Fm</t>
  </si>
  <si>
    <t>Fv</t>
  </si>
  <si>
    <t>Fv/Fm</t>
  </si>
  <si>
    <t>Adark</t>
  </si>
  <si>
    <t>LightAdaptedID</t>
  </si>
  <si>
    <t>Fs</t>
  </si>
  <si>
    <t>Fm'</t>
  </si>
  <si>
    <t>PhiPS2</t>
  </si>
  <si>
    <t>PS2/1</t>
  </si>
  <si>
    <t>Qabs_fs</t>
  </si>
  <si>
    <t>Afs</t>
  </si>
  <si>
    <t>ETR</t>
  </si>
  <si>
    <t>Fv'/Fm'</t>
  </si>
  <si>
    <t>PhiCO2</t>
  </si>
  <si>
    <t>NPQ</t>
  </si>
  <si>
    <t>DarkPulseID</t>
  </si>
  <si>
    <t>Fo'</t>
  </si>
  <si>
    <t>Fv'</t>
  </si>
  <si>
    <t>qP</t>
  </si>
  <si>
    <t>qN</t>
  </si>
  <si>
    <t>qP_Fo</t>
  </si>
  <si>
    <t>qN_Fo</t>
  </si>
  <si>
    <t>ID</t>
  </si>
  <si>
    <t>P1_dur</t>
  </si>
  <si>
    <t>P2_dur</t>
  </si>
  <si>
    <t>P3_dur</t>
  </si>
  <si>
    <t>P1_Qmax</t>
  </si>
  <si>
    <t>P1_Fmax</t>
  </si>
  <si>
    <t>P2_dQdt</t>
  </si>
  <si>
    <t>P3_ΔF</t>
  </si>
  <si>
    <t>Qin</t>
  </si>
  <si>
    <t>Qabs</t>
  </si>
  <si>
    <t>alpha</t>
  </si>
  <si>
    <t>convert</t>
  </si>
  <si>
    <t>K</t>
  </si>
  <si>
    <t>Geometry</t>
  </si>
  <si>
    <t>CO2_s</t>
  </si>
  <si>
    <t>CO2_r</t>
  </si>
  <si>
    <t>H2O_s</t>
  </si>
  <si>
    <t>H2O_r</t>
  </si>
  <si>
    <t>Flow</t>
  </si>
  <si>
    <t>Pa</t>
  </si>
  <si>
    <t>ΔPcham</t>
  </si>
  <si>
    <t>Tair</t>
  </si>
  <si>
    <t>Tleaf</t>
  </si>
  <si>
    <t>Tleaf2</t>
  </si>
  <si>
    <t>Fan_speed</t>
  </si>
  <si>
    <t>Qamb_in</t>
  </si>
  <si>
    <t>Qamb_out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</si>
  <si>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</si>
  <si>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</si>
  <si>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</si>
  <si>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</si>
  <si>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</si>
  <si>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</si>
  <si>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</si>
  <si>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</si>
  <si>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</si>
  <si>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</si>
  <si>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</si>
  <si>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</si>
  <si>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</si>
  <si>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</si>
  <si>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</si>
  <si>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</si>
  <si>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</si>
  <si>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F_avg</t>
  </si>
  <si>
    <t>dF/dt</t>
  </si>
  <si>
    <t>dF_dc/dt</t>
  </si>
  <si>
    <t>F_dc_avg</t>
  </si>
  <si>
    <t>period</t>
  </si>
  <si>
    <t>count</t>
  </si>
  <si>
    <t>co2_adj</t>
  </si>
  <si>
    <t>h2o_adj</t>
  </si>
  <si>
    <t>co2_at</t>
  </si>
  <si>
    <t>h2o_at</t>
  </si>
  <si>
    <t>co2_cv</t>
  </si>
  <si>
    <t>h2o_cv</t>
  </si>
  <si>
    <t>CO2_s:MN</t>
  </si>
  <si>
    <t>CO2_s:SLP</t>
  </si>
  <si>
    <t>CO2_s:SD</t>
  </si>
  <si>
    <t>CO2_s:OK</t>
  </si>
  <si>
    <t>H2O_s:MN</t>
  </si>
  <si>
    <t>H2O_s:SLP</t>
  </si>
  <si>
    <t>H2O_s:SD</t>
  </si>
  <si>
    <t>H2O_s:OK</t>
  </si>
  <si>
    <t>Stable</t>
  </si>
  <si>
    <t>Total</t>
  </si>
  <si>
    <t>State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</si>
  <si>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</si>
  <si>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</si>
  <si>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</si>
  <si>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</si>
  <si>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</si>
  <si>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</si>
  <si>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</si>
  <si>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</si>
  <si>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</si>
  <si>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</si>
  <si>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</si>
  <si>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</si>
  <si>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</si>
  <si>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</si>
  <si>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</si>
  <si>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</si>
  <si>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</si>
  <si>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</si>
  <si>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</si>
  <si>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</si>
  <si>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</si>
  <si>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</si>
  <si>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</si>
  <si>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</si>
  <si>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</si>
  <si>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</si>
  <si>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</si>
  <si>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</si>
  <si>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</si>
  <si>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</si>
  <si>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</si>
  <si>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</si>
  <si>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</si>
  <si>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</si>
  <si>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</si>
  <si>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</si>
  <si>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</si>
  <si>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</si>
  <si>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</si>
  <si>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</si>
  <si>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</si>
  <si>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</si>
  <si>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</si>
  <si>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</si>
  <si>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</si>
  <si>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</si>
  <si>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</si>
  <si>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</si>
  <si>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</si>
  <si>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</si>
  <si>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mol m⁻² s⁻²</t>
  </si>
  <si>
    <t>J/µmol</t>
  </si>
  <si>
    <t>mmol mol⁻¹</t>
  </si>
  <si>
    <t>rpm</t>
  </si>
  <si>
    <t>min⁻¹</t>
  </si>
  <si>
    <t>secs</t>
  </si>
  <si>
    <t>µmol/mol</t>
  </si>
  <si>
    <t>mmol/mol</t>
  </si>
  <si>
    <t>µmol mol⁻¹ min⁻¹</t>
  </si>
  <si>
    <t>mmol mol⁻¹ min⁻¹</t>
  </si>
  <si>
    <t>V</t>
  </si>
  <si>
    <t>20200724 10:19:20</t>
  </si>
  <si>
    <t>10:19:20</t>
  </si>
  <si>
    <t>MPF-5209-20200724-10_19_21</t>
  </si>
  <si>
    <t>DARK-5210-20200724-10_19_29</t>
  </si>
  <si>
    <t>0: Broadleaf</t>
  </si>
  <si>
    <t>10:19:46</t>
  </si>
  <si>
    <t>2/2</t>
  </si>
  <si>
    <t>5</t>
  </si>
  <si>
    <t>11111111</t>
  </si>
  <si>
    <t>oooooooo</t>
  </si>
  <si>
    <t>off</t>
  </si>
  <si>
    <t>20200724 10:21:18</t>
  </si>
  <si>
    <t>10:21:18</t>
  </si>
  <si>
    <t>MPF-5211-20200724-10_21_19</t>
  </si>
  <si>
    <t>DARK-5212-20200724-10_21_27</t>
  </si>
  <si>
    <t>10:21:42</t>
  </si>
  <si>
    <t>20200724 10:23:16</t>
  </si>
  <si>
    <t>10:23:16</t>
  </si>
  <si>
    <t>MPF-5213-20200724-10_23_18</t>
  </si>
  <si>
    <t>DARK-5214-20200724-10_23_26</t>
  </si>
  <si>
    <t>10:23:42</t>
  </si>
  <si>
    <t>20200724 10:25:13</t>
  </si>
  <si>
    <t>10:25:13</t>
  </si>
  <si>
    <t>MPF-5215-20200724-10_25_15</t>
  </si>
  <si>
    <t>DARK-5216-20200724-10_25_23</t>
  </si>
  <si>
    <t>10:25:37</t>
  </si>
  <si>
    <t>20200724 10:27:09</t>
  </si>
  <si>
    <t>10:27:09</t>
  </si>
  <si>
    <t>MPF-5217-20200724-10_27_11</t>
  </si>
  <si>
    <t>DARK-5218-20200724-10_27_18</t>
  </si>
  <si>
    <t>10:27:38</t>
  </si>
  <si>
    <t>20200724 10:29:11</t>
  </si>
  <si>
    <t>10:29:11</t>
  </si>
  <si>
    <t>MPF-5219-20200724-10_29_13</t>
  </si>
  <si>
    <t>DARK-5220-20200724-10_29_20</t>
  </si>
  <si>
    <t>10:29:35</t>
  </si>
  <si>
    <t>20200724 10:31:07</t>
  </si>
  <si>
    <t>10:31:07</t>
  </si>
  <si>
    <t>MPF-5221-20200724-10_31_08</t>
  </si>
  <si>
    <t>DARK-5222-20200724-10_31_16</t>
  </si>
  <si>
    <t>10:31:33</t>
  </si>
  <si>
    <t>20200724 10:33:12</t>
  </si>
  <si>
    <t>10:33:12</t>
  </si>
  <si>
    <t>MPF-5223-20200724-10_33_14</t>
  </si>
  <si>
    <t>DARK-5224-20200724-10_33_21</t>
  </si>
  <si>
    <t>10:33:38</t>
  </si>
  <si>
    <t>20200724 10:35:19</t>
  </si>
  <si>
    <t>10:35:19</t>
  </si>
  <si>
    <t>MPF-5225-20200724-10_35_20</t>
  </si>
  <si>
    <t>DARK-5226-20200724-10_35_28</t>
  </si>
  <si>
    <t>10:35:49</t>
  </si>
  <si>
    <t>20200724 10:37:50</t>
  </si>
  <si>
    <t>10:37:50</t>
  </si>
  <si>
    <t>MPF-5227-20200724-10_37_52</t>
  </si>
  <si>
    <t>DARK-5228-20200724-10_37_59</t>
  </si>
  <si>
    <t>10:38:19</t>
  </si>
  <si>
    <t>20200724 10:40:20</t>
  </si>
  <si>
    <t>10:40:20</t>
  </si>
  <si>
    <t>MPF-5229-20200724-10_40_22</t>
  </si>
  <si>
    <t>DARK-5230-20200724-10_40_29</t>
  </si>
  <si>
    <t>10:40:44</t>
  </si>
  <si>
    <t>0/2</t>
  </si>
  <si>
    <t>20200724 10:42:46</t>
  </si>
  <si>
    <t>10:42:46</t>
  </si>
  <si>
    <t>MPF-5231-20200724-10_42_47</t>
  </si>
  <si>
    <t>DARK-5232-20200724-10_42_55</t>
  </si>
  <si>
    <t>10:43:13</t>
  </si>
  <si>
    <t>1/2</t>
  </si>
  <si>
    <t>20200724 10:45:11</t>
  </si>
  <si>
    <t>10:45:11</t>
  </si>
  <si>
    <t>MPF-5233-20200724-10_45_13</t>
  </si>
  <si>
    <t>DARK-5234-20200724-10_45_20</t>
  </si>
  <si>
    <t>10:45:35</t>
  </si>
  <si>
    <t>20200724 10:47:23</t>
  </si>
  <si>
    <t>10:47:23</t>
  </si>
  <si>
    <t>MPF-5235-20200724-10_47_24</t>
  </si>
  <si>
    <t>DARK-5236-20200724-10_47_32</t>
  </si>
  <si>
    <t>10:47:46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</si>
</sst>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N30"/>
  <sheetViews>
    <sheetView tabSelected="1" workbookViewId="0"/>
  </sheetViews>
  <sheetFormatPr defaultRowHeight="14.4" x14ac:dyDescent="0.25"/>
  <sheetData>
    <row r="2" spans="1:170" x14ac:dyDescent="0.25">
      <c r="A2" t="s">
        <v>25</v>
      </c>
      <c r="B2" t="s">
        <v>26</v>
      </c>
      <c r="C2" t="s">
        <v>28</v>
      </c>
      <c r="D2" t="s">
        <v>30</v>
      </c>
    </row>
    <row r="3" spans="1:170" x14ac:dyDescent="0.25">
      <c r="B3" t="s">
        <v>27</v>
      </c>
      <c r="C3" t="s">
        <v>29</v>
      </c>
      <c r="D3" t="s">
        <v>31</v>
      </c>
    </row>
    <row r="4" spans="1:170" x14ac:dyDescent="0.25">
      <c r="A4" t="s">
        <v>32</v>
      </c>
      <c r="B4" t="s">
        <v>33</v>
      </c>
      <c r="C4" t="s">
        <v>34</v>
      </c>
    </row>
    <row r="5" spans="1:170" x14ac:dyDescent="0.25">
      <c r="B5">
        <v>2</v>
      </c>
      <c r="C5">
        <v>2</v>
      </c>
    </row>
    <row r="6" spans="1:170" x14ac:dyDescent="0.25">
      <c r="A6" t="s">
        <v>35</v>
      </c>
      <c r="B6" t="s">
        <v>36</v>
      </c>
      <c r="C6" t="s">
        <v>37</v>
      </c>
      <c r="D6" t="s">
        <v>38</v>
      </c>
      <c r="E6" t="s">
        <v>39</v>
      </c>
    </row>
    <row r="7" spans="1:170" x14ac:dyDescent="0.25">
      <c r="B7">
        <v>0</v>
      </c>
      <c r="C7">
        <v>1</v>
      </c>
      <c r="D7">
        <v>0</v>
      </c>
      <c r="E7">
        <v>0</v>
      </c>
    </row>
    <row r="8" spans="1:170" x14ac:dyDescent="0.25">
      <c r="A8" t="s">
        <v>40</v>
      </c>
      <c r="B8" t="s">
        <v>41</v>
      </c>
      <c r="C8" t="s">
        <v>43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  <c r="I8" t="s">
        <v>50</v>
      </c>
      <c r="J8" t="s">
        <v>51</v>
      </c>
      <c r="K8" t="s">
        <v>52</v>
      </c>
      <c r="L8" t="s">
        <v>53</v>
      </c>
      <c r="M8" t="s">
        <v>54</v>
      </c>
      <c r="N8" t="s">
        <v>55</v>
      </c>
      <c r="O8" t="s">
        <v>56</v>
      </c>
      <c r="P8" t="s">
        <v>57</v>
      </c>
      <c r="Q8" t="s">
        <v>58</v>
      </c>
    </row>
    <row r="9" spans="1:170" x14ac:dyDescent="0.25">
      <c r="B9" t="s">
        <v>42</v>
      </c>
      <c r="C9" t="s">
        <v>44</v>
      </c>
      <c r="D9">
        <v>0.49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0.39</v>
      </c>
      <c r="L9">
        <v>0.18</v>
      </c>
      <c r="M9">
        <v>0.23</v>
      </c>
      <c r="N9">
        <v>0.26</v>
      </c>
      <c r="O9">
        <v>0.21</v>
      </c>
      <c r="P9">
        <v>0.19</v>
      </c>
      <c r="Q9">
        <v>0.25</v>
      </c>
    </row>
    <row r="10" spans="1:170" x14ac:dyDescent="0.25">
      <c r="A10" t="s">
        <v>59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</row>
    <row r="11" spans="1:170" x14ac:dyDescent="0.25">
      <c r="B11">
        <v>0</v>
      </c>
      <c r="C11">
        <v>0</v>
      </c>
      <c r="D11">
        <v>0</v>
      </c>
      <c r="E11">
        <v>0</v>
      </c>
      <c r="F11">
        <v>1</v>
      </c>
    </row>
    <row r="12" spans="1:170" x14ac:dyDescent="0.25">
      <c r="A12" t="s">
        <v>65</v>
      </c>
      <c r="B12" t="s">
        <v>66</v>
      </c>
      <c r="C12" t="s">
        <v>67</v>
      </c>
      <c r="D12" t="s">
        <v>68</v>
      </c>
      <c r="E12" t="s">
        <v>69</v>
      </c>
      <c r="F12" t="s">
        <v>70</v>
      </c>
      <c r="G12" t="s">
        <v>72</v>
      </c>
      <c r="H12" t="s">
        <v>74</v>
      </c>
    </row>
    <row r="13" spans="1:170" x14ac:dyDescent="0.25">
      <c r="B13">
        <v>-6276</v>
      </c>
      <c r="C13">
        <v>6.6</v>
      </c>
      <c r="D13">
        <v>1.7090000000000001E-5</v>
      </c>
      <c r="E13">
        <v>3.11</v>
      </c>
      <c r="F13" t="s">
        <v>71</v>
      </c>
      <c r="G13" t="s">
        <v>73</v>
      </c>
      <c r="H13">
        <v>0</v>
      </c>
    </row>
    <row r="14" spans="1:170" x14ac:dyDescent="0.25">
      <c r="A14" t="s">
        <v>75</v>
      </c>
      <c r="B14" t="s">
        <v>75</v>
      </c>
      <c r="C14" t="s">
        <v>75</v>
      </c>
      <c r="D14" t="s">
        <v>75</v>
      </c>
      <c r="E14" t="s">
        <v>75</v>
      </c>
      <c r="F14" t="s">
        <v>76</v>
      </c>
      <c r="G14" t="s">
        <v>77</v>
      </c>
      <c r="H14" t="s">
        <v>77</v>
      </c>
      <c r="I14" t="s">
        <v>77</v>
      </c>
      <c r="J14" t="s">
        <v>77</v>
      </c>
      <c r="K14" t="s">
        <v>77</v>
      </c>
      <c r="L14" t="s">
        <v>77</v>
      </c>
      <c r="M14" t="s">
        <v>77</v>
      </c>
      <c r="N14" t="s">
        <v>77</v>
      </c>
      <c r="O14" t="s">
        <v>77</v>
      </c>
      <c r="P14" t="s">
        <v>77</v>
      </c>
      <c r="Q14" t="s">
        <v>77</v>
      </c>
      <c r="R14" t="s">
        <v>77</v>
      </c>
      <c r="S14" t="s">
        <v>77</v>
      </c>
      <c r="T14" t="s">
        <v>77</v>
      </c>
      <c r="U14" t="s">
        <v>77</v>
      </c>
      <c r="V14" t="s">
        <v>77</v>
      </c>
      <c r="W14" t="s">
        <v>77</v>
      </c>
      <c r="X14" t="s">
        <v>77</v>
      </c>
      <c r="Y14" t="s">
        <v>77</v>
      </c>
      <c r="Z14" t="s">
        <v>77</v>
      </c>
      <c r="AA14" t="s">
        <v>77</v>
      </c>
      <c r="AB14" t="s">
        <v>77</v>
      </c>
      <c r="AC14" t="s">
        <v>77</v>
      </c>
      <c r="AD14" t="s">
        <v>77</v>
      </c>
      <c r="AE14" t="s">
        <v>77</v>
      </c>
      <c r="AF14" t="s">
        <v>77</v>
      </c>
      <c r="AG14" t="s">
        <v>78</v>
      </c>
      <c r="AH14" t="s">
        <v>78</v>
      </c>
      <c r="AI14" t="s">
        <v>78</v>
      </c>
      <c r="AJ14" t="s">
        <v>78</v>
      </c>
      <c r="AK14" t="s">
        <v>78</v>
      </c>
      <c r="AL14" t="s">
        <v>79</v>
      </c>
      <c r="AM14" t="s">
        <v>79</v>
      </c>
      <c r="AN14" t="s">
        <v>79</v>
      </c>
      <c r="AO14" t="s">
        <v>79</v>
      </c>
      <c r="AP14" t="s">
        <v>79</v>
      </c>
      <c r="AQ14" t="s">
        <v>79</v>
      </c>
      <c r="AR14" t="s">
        <v>79</v>
      </c>
      <c r="AS14" t="s">
        <v>79</v>
      </c>
      <c r="AT14" t="s">
        <v>79</v>
      </c>
      <c r="AU14" t="s">
        <v>79</v>
      </c>
      <c r="AV14" t="s">
        <v>79</v>
      </c>
      <c r="AW14" t="s">
        <v>79</v>
      </c>
      <c r="AX14" t="s">
        <v>79</v>
      </c>
      <c r="AY14" t="s">
        <v>79</v>
      </c>
      <c r="AZ14" t="s">
        <v>79</v>
      </c>
      <c r="BA14" t="s">
        <v>79</v>
      </c>
      <c r="BB14" t="s">
        <v>79</v>
      </c>
      <c r="BC14" t="s">
        <v>79</v>
      </c>
      <c r="BD14" t="s">
        <v>79</v>
      </c>
      <c r="BE14" t="s">
        <v>79</v>
      </c>
      <c r="BF14" t="s">
        <v>79</v>
      </c>
      <c r="BG14" t="s">
        <v>79</v>
      </c>
      <c r="BH14" t="s">
        <v>79</v>
      </c>
      <c r="BI14" t="s">
        <v>79</v>
      </c>
      <c r="BJ14" t="s">
        <v>80</v>
      </c>
      <c r="BK14" t="s">
        <v>80</v>
      </c>
      <c r="BL14" t="s">
        <v>80</v>
      </c>
      <c r="BM14" t="s">
        <v>80</v>
      </c>
      <c r="BN14" t="s">
        <v>80</v>
      </c>
      <c r="BO14" t="s">
        <v>80</v>
      </c>
      <c r="BP14" t="s">
        <v>80</v>
      </c>
      <c r="BQ14" t="s">
        <v>80</v>
      </c>
      <c r="BR14" t="s">
        <v>81</v>
      </c>
      <c r="BS14" t="s">
        <v>81</v>
      </c>
      <c r="BT14" t="s">
        <v>81</v>
      </c>
      <c r="BU14" t="s">
        <v>81</v>
      </c>
      <c r="BV14" t="s">
        <v>32</v>
      </c>
      <c r="BW14" t="s">
        <v>32</v>
      </c>
      <c r="BX14" t="s">
        <v>82</v>
      </c>
      <c r="BY14" t="s">
        <v>82</v>
      </c>
      <c r="BZ14" t="s">
        <v>82</v>
      </c>
      <c r="CA14" t="s">
        <v>82</v>
      </c>
      <c r="CB14" t="s">
        <v>82</v>
      </c>
      <c r="CC14" t="s">
        <v>82</v>
      </c>
      <c r="CD14" t="s">
        <v>82</v>
      </c>
      <c r="CE14" t="s">
        <v>82</v>
      </c>
      <c r="CF14" t="s">
        <v>82</v>
      </c>
      <c r="CG14" t="s">
        <v>82</v>
      </c>
      <c r="CH14" t="s">
        <v>82</v>
      </c>
      <c r="CI14" t="s">
        <v>82</v>
      </c>
      <c r="CJ14" t="s">
        <v>82</v>
      </c>
      <c r="CK14" t="s">
        <v>82</v>
      </c>
      <c r="CL14" t="s">
        <v>83</v>
      </c>
      <c r="CM14" t="s">
        <v>83</v>
      </c>
      <c r="CN14" t="s">
        <v>83</v>
      </c>
      <c r="CO14" t="s">
        <v>83</v>
      </c>
      <c r="CP14" t="s">
        <v>83</v>
      </c>
      <c r="CQ14" t="s">
        <v>83</v>
      </c>
      <c r="CR14" t="s">
        <v>83</v>
      </c>
      <c r="CS14" t="s">
        <v>83</v>
      </c>
      <c r="CT14" t="s">
        <v>83</v>
      </c>
      <c r="CU14" t="s">
        <v>83</v>
      </c>
      <c r="CV14" t="s">
        <v>83</v>
      </c>
      <c r="CW14" t="s">
        <v>83</v>
      </c>
      <c r="CX14" t="s">
        <v>83</v>
      </c>
      <c r="CY14" t="s">
        <v>83</v>
      </c>
      <c r="CZ14" t="s">
        <v>83</v>
      </c>
      <c r="DA14" t="s">
        <v>83</v>
      </c>
      <c r="DB14" t="s">
        <v>83</v>
      </c>
      <c r="DC14" t="s">
        <v>84</v>
      </c>
      <c r="DD14" t="s">
        <v>84</v>
      </c>
      <c r="DE14" t="s">
        <v>84</v>
      </c>
      <c r="DF14" t="s">
        <v>84</v>
      </c>
      <c r="DG14" t="s">
        <v>84</v>
      </c>
      <c r="DH14" t="s">
        <v>85</v>
      </c>
      <c r="DI14" t="s">
        <v>85</v>
      </c>
      <c r="DJ14" t="s">
        <v>85</v>
      </c>
      <c r="DK14" t="s">
        <v>85</v>
      </c>
      <c r="DL14" t="s">
        <v>85</v>
      </c>
      <c r="DM14" t="s">
        <v>85</v>
      </c>
      <c r="DN14" t="s">
        <v>85</v>
      </c>
      <c r="DO14" t="s">
        <v>85</v>
      </c>
      <c r="DP14" t="s">
        <v>85</v>
      </c>
      <c r="DQ14" t="s">
        <v>86</v>
      </c>
      <c r="DR14" t="s">
        <v>86</v>
      </c>
      <c r="DS14" t="s">
        <v>86</v>
      </c>
      <c r="DT14" t="s">
        <v>86</v>
      </c>
      <c r="DU14" t="s">
        <v>86</v>
      </c>
      <c r="DV14" t="s">
        <v>86</v>
      </c>
      <c r="DW14" t="s">
        <v>86</v>
      </c>
      <c r="DX14" t="s">
        <v>86</v>
      </c>
      <c r="DY14" t="s">
        <v>86</v>
      </c>
      <c r="DZ14" t="s">
        <v>86</v>
      </c>
      <c r="EA14" t="s">
        <v>86</v>
      </c>
      <c r="EB14" t="s">
        <v>87</v>
      </c>
      <c r="EC14" t="s">
        <v>87</v>
      </c>
      <c r="ED14" t="s">
        <v>87</v>
      </c>
      <c r="EE14" t="s">
        <v>87</v>
      </c>
      <c r="EF14" t="s">
        <v>87</v>
      </c>
      <c r="EG14" t="s">
        <v>87</v>
      </c>
      <c r="EH14" t="s">
        <v>87</v>
      </c>
      <c r="EI14" t="s">
        <v>87</v>
      </c>
      <c r="EJ14" t="s">
        <v>87</v>
      </c>
      <c r="EK14" t="s">
        <v>87</v>
      </c>
      <c r="EL14" t="s">
        <v>87</v>
      </c>
      <c r="EM14" t="s">
        <v>87</v>
      </c>
      <c r="EN14" t="s">
        <v>87</v>
      </c>
      <c r="EO14" t="s">
        <v>87</v>
      </c>
      <c r="EP14" t="s">
        <v>87</v>
      </c>
      <c r="EQ14" t="s">
        <v>87</v>
      </c>
      <c r="ER14" t="s">
        <v>87</v>
      </c>
      <c r="ES14" t="s">
        <v>87</v>
      </c>
      <c r="ET14" t="s">
        <v>87</v>
      </c>
      <c r="EU14" t="s">
        <v>88</v>
      </c>
      <c r="EV14" t="s">
        <v>88</v>
      </c>
      <c r="EW14" t="s">
        <v>88</v>
      </c>
      <c r="EX14" t="s">
        <v>88</v>
      </c>
      <c r="EY14" t="s">
        <v>88</v>
      </c>
      <c r="EZ14" t="s">
        <v>88</v>
      </c>
      <c r="FA14" t="s">
        <v>88</v>
      </c>
      <c r="FB14" t="s">
        <v>88</v>
      </c>
      <c r="FC14" t="s">
        <v>88</v>
      </c>
      <c r="FD14" t="s">
        <v>88</v>
      </c>
      <c r="FE14" t="s">
        <v>88</v>
      </c>
      <c r="FF14" t="s">
        <v>88</v>
      </c>
      <c r="FG14" t="s">
        <v>88</v>
      </c>
      <c r="FH14" t="s">
        <v>88</v>
      </c>
      <c r="FI14" t="s">
        <v>88</v>
      </c>
      <c r="FJ14" t="s">
        <v>88</v>
      </c>
      <c r="FK14" t="s">
        <v>88</v>
      </c>
      <c r="FL14" t="s">
        <v>88</v>
      </c>
      <c r="FM14" t="s">
        <v>88</v>
      </c>
      <c r="FN14" t="s">
        <v>88</v>
      </c>
    </row>
    <row r="15" spans="1:170" x14ac:dyDescent="0.25">
      <c r="A15" t="s">
        <v>89</v>
      </c>
      <c r="B15" t="s">
        <v>90</v>
      </c>
      <c r="C15" t="s">
        <v>91</v>
      </c>
      <c r="D15" t="s">
        <v>92</v>
      </c>
      <c r="E15" t="s">
        <v>93</v>
      </c>
      <c r="F15" t="s">
        <v>94</v>
      </c>
      <c r="G15" t="s">
        <v>95</v>
      </c>
      <c r="H15" t="s">
        <v>96</v>
      </c>
      <c r="I15" t="s">
        <v>97</v>
      </c>
      <c r="J15" t="s">
        <v>98</v>
      </c>
      <c r="K15" t="s">
        <v>99</v>
      </c>
      <c r="L15" t="s">
        <v>100</v>
      </c>
      <c r="M15" t="s">
        <v>101</v>
      </c>
      <c r="N15" t="s">
        <v>102</v>
      </c>
      <c r="O15" t="s">
        <v>103</v>
      </c>
      <c r="P15" t="s">
        <v>104</v>
      </c>
      <c r="Q15" t="s">
        <v>105</v>
      </c>
      <c r="R15" t="s">
        <v>106</v>
      </c>
      <c r="S15" t="s">
        <v>107</v>
      </c>
      <c r="T15" t="s">
        <v>108</v>
      </c>
      <c r="U15" t="s">
        <v>109</v>
      </c>
      <c r="V15" t="s">
        <v>110</v>
      </c>
      <c r="W15" t="s">
        <v>111</v>
      </c>
      <c r="X15" t="s">
        <v>112</v>
      </c>
      <c r="Y15" t="s">
        <v>113</v>
      </c>
      <c r="Z15" t="s">
        <v>114</v>
      </c>
      <c r="AA15" t="s">
        <v>115</v>
      </c>
      <c r="AB15" t="s">
        <v>116</v>
      </c>
      <c r="AC15" t="s">
        <v>117</v>
      </c>
      <c r="AD15" t="s">
        <v>118</v>
      </c>
      <c r="AE15" t="s">
        <v>119</v>
      </c>
      <c r="AF15" t="s">
        <v>120</v>
      </c>
      <c r="AG15" t="s">
        <v>78</v>
      </c>
      <c r="AH15" t="s">
        <v>121</v>
      </c>
      <c r="AI15" t="s">
        <v>122</v>
      </c>
      <c r="AJ15" t="s">
        <v>123</v>
      </c>
      <c r="AK15" t="s">
        <v>124</v>
      </c>
      <c r="AL15" t="s">
        <v>125</v>
      </c>
      <c r="AM15" t="s">
        <v>126</v>
      </c>
      <c r="AN15" t="s">
        <v>127</v>
      </c>
      <c r="AO15" t="s">
        <v>128</v>
      </c>
      <c r="AP15" t="s">
        <v>129</v>
      </c>
      <c r="AQ15" t="s">
        <v>130</v>
      </c>
      <c r="AR15" t="s">
        <v>131</v>
      </c>
      <c r="AS15" t="s">
        <v>132</v>
      </c>
      <c r="AT15" t="s">
        <v>133</v>
      </c>
      <c r="AU15" t="s">
        <v>134</v>
      </c>
      <c r="AV15" t="s">
        <v>135</v>
      </c>
      <c r="AW15" t="s">
        <v>136</v>
      </c>
      <c r="AX15" t="s">
        <v>137</v>
      </c>
      <c r="AY15" t="s">
        <v>138</v>
      </c>
      <c r="AZ15" t="s">
        <v>139</v>
      </c>
      <c r="BA15" t="s">
        <v>140</v>
      </c>
      <c r="BB15" t="s">
        <v>141</v>
      </c>
      <c r="BC15" t="s">
        <v>142</v>
      </c>
      <c r="BD15" t="s">
        <v>143</v>
      </c>
      <c r="BE15" t="s">
        <v>144</v>
      </c>
      <c r="BF15" t="s">
        <v>145</v>
      </c>
      <c r="BG15" t="s">
        <v>146</v>
      </c>
      <c r="BH15" t="s">
        <v>147</v>
      </c>
      <c r="BI15" t="s">
        <v>148</v>
      </c>
      <c r="BJ15" t="s">
        <v>149</v>
      </c>
      <c r="BK15" t="s">
        <v>150</v>
      </c>
      <c r="BL15" t="s">
        <v>151</v>
      </c>
      <c r="BM15" t="s">
        <v>152</v>
      </c>
      <c r="BN15" t="s">
        <v>153</v>
      </c>
      <c r="BO15" t="s">
        <v>154</v>
      </c>
      <c r="BP15" t="s">
        <v>155</v>
      </c>
      <c r="BQ15" t="s">
        <v>156</v>
      </c>
      <c r="BR15" t="s">
        <v>157</v>
      </c>
      <c r="BS15" t="s">
        <v>158</v>
      </c>
      <c r="BT15" t="s">
        <v>159</v>
      </c>
      <c r="BU15" t="s">
        <v>160</v>
      </c>
      <c r="BV15" t="s">
        <v>161</v>
      </c>
      <c r="BW15" t="s">
        <v>162</v>
      </c>
      <c r="BX15" t="s">
        <v>95</v>
      </c>
      <c r="BY15" t="s">
        <v>163</v>
      </c>
      <c r="BZ15" t="s">
        <v>164</v>
      </c>
      <c r="CA15" t="s">
        <v>165</v>
      </c>
      <c r="CB15" t="s">
        <v>166</v>
      </c>
      <c r="CC15" t="s">
        <v>167</v>
      </c>
      <c r="CD15" t="s">
        <v>168</v>
      </c>
      <c r="CE15" t="s">
        <v>169</v>
      </c>
      <c r="CF15" t="s">
        <v>170</v>
      </c>
      <c r="CG15" t="s">
        <v>171</v>
      </c>
      <c r="CH15" t="s">
        <v>172</v>
      </c>
      <c r="CI15" t="s">
        <v>173</v>
      </c>
      <c r="CJ15" t="s">
        <v>174</v>
      </c>
      <c r="CK15" t="s">
        <v>175</v>
      </c>
      <c r="CL15" t="s">
        <v>176</v>
      </c>
      <c r="CM15" t="s">
        <v>177</v>
      </c>
      <c r="CN15" t="s">
        <v>178</v>
      </c>
      <c r="CO15" t="s">
        <v>179</v>
      </c>
      <c r="CP15" t="s">
        <v>180</v>
      </c>
      <c r="CQ15" t="s">
        <v>181</v>
      </c>
      <c r="CR15" t="s">
        <v>182</v>
      </c>
      <c r="CS15" t="s">
        <v>183</v>
      </c>
      <c r="CT15" t="s">
        <v>184</v>
      </c>
      <c r="CU15" t="s">
        <v>185</v>
      </c>
      <c r="CV15" t="s">
        <v>186</v>
      </c>
      <c r="CW15" t="s">
        <v>187</v>
      </c>
      <c r="CX15" t="s">
        <v>188</v>
      </c>
      <c r="CY15" t="s">
        <v>189</v>
      </c>
      <c r="CZ15" t="s">
        <v>190</v>
      </c>
      <c r="DA15" t="s">
        <v>191</v>
      </c>
      <c r="DB15" t="s">
        <v>192</v>
      </c>
      <c r="DC15" t="s">
        <v>193</v>
      </c>
      <c r="DD15" t="s">
        <v>194</v>
      </c>
      <c r="DE15" t="s">
        <v>195</v>
      </c>
      <c r="DF15" t="s">
        <v>196</v>
      </c>
      <c r="DG15" t="s">
        <v>197</v>
      </c>
      <c r="DH15" t="s">
        <v>90</v>
      </c>
      <c r="DI15" t="s">
        <v>93</v>
      </c>
      <c r="DJ15" t="s">
        <v>198</v>
      </c>
      <c r="DK15" t="s">
        <v>199</v>
      </c>
      <c r="DL15" t="s">
        <v>200</v>
      </c>
      <c r="DM15" t="s">
        <v>201</v>
      </c>
      <c r="DN15" t="s">
        <v>202</v>
      </c>
      <c r="DO15" t="s">
        <v>203</v>
      </c>
      <c r="DP15" t="s">
        <v>204</v>
      </c>
      <c r="DQ15" t="s">
        <v>205</v>
      </c>
      <c r="DR15" t="s">
        <v>206</v>
      </c>
      <c r="DS15" t="s">
        <v>207</v>
      </c>
      <c r="DT15" t="s">
        <v>208</v>
      </c>
      <c r="DU15" t="s">
        <v>209</v>
      </c>
      <c r="DV15" t="s">
        <v>210</v>
      </c>
      <c r="DW15" t="s">
        <v>211</v>
      </c>
      <c r="DX15" t="s">
        <v>212</v>
      </c>
      <c r="DY15" t="s">
        <v>213</v>
      </c>
      <c r="DZ15" t="s">
        <v>214</v>
      </c>
      <c r="EA15" t="s">
        <v>215</v>
      </c>
      <c r="EB15" t="s">
        <v>216</v>
      </c>
      <c r="EC15" t="s">
        <v>217</v>
      </c>
      <c r="ED15" t="s">
        <v>218</v>
      </c>
      <c r="EE15" t="s">
        <v>219</v>
      </c>
      <c r="EF15" t="s">
        <v>220</v>
      </c>
      <c r="EG15" t="s">
        <v>221</v>
      </c>
      <c r="EH15" t="s">
        <v>222</v>
      </c>
      <c r="EI15" t="s">
        <v>223</v>
      </c>
      <c r="EJ15" t="s">
        <v>224</v>
      </c>
      <c r="EK15" t="s">
        <v>225</v>
      </c>
      <c r="EL15" t="s">
        <v>226</v>
      </c>
      <c r="EM15" t="s">
        <v>227</v>
      </c>
      <c r="EN15" t="s">
        <v>228</v>
      </c>
      <c r="EO15" t="s">
        <v>229</v>
      </c>
      <c r="EP15" t="s">
        <v>230</v>
      </c>
      <c r="EQ15" t="s">
        <v>231</v>
      </c>
      <c r="ER15" t="s">
        <v>232</v>
      </c>
      <c r="ES15" t="s">
        <v>233</v>
      </c>
      <c r="ET15" t="s">
        <v>234</v>
      </c>
      <c r="EU15" t="s">
        <v>235</v>
      </c>
      <c r="EV15" t="s">
        <v>236</v>
      </c>
      <c r="EW15" t="s">
        <v>237</v>
      </c>
      <c r="EX15" t="s">
        <v>238</v>
      </c>
      <c r="EY15" t="s">
        <v>239</v>
      </c>
      <c r="EZ15" t="s">
        <v>240</v>
      </c>
      <c r="FA15" t="s">
        <v>241</v>
      </c>
      <c r="FB15" t="s">
        <v>242</v>
      </c>
      <c r="FC15" t="s">
        <v>243</v>
      </c>
      <c r="FD15" t="s">
        <v>244</v>
      </c>
      <c r="FE15" t="s">
        <v>245</v>
      </c>
      <c r="FF15" t="s">
        <v>246</v>
      </c>
      <c r="FG15" t="s">
        <v>247</v>
      </c>
      <c r="FH15" t="s">
        <v>248</v>
      </c>
      <c r="FI15" t="s">
        <v>249</v>
      </c>
      <c r="FJ15" t="s">
        <v>250</v>
      </c>
      <c r="FK15" t="s">
        <v>251</v>
      </c>
      <c r="FL15" t="s">
        <v>252</v>
      </c>
      <c r="FM15" t="s">
        <v>253</v>
      </c>
      <c r="FN15" t="s">
        <v>254</v>
      </c>
    </row>
    <row r="16" spans="1:170" x14ac:dyDescent="0.25">
      <c r="B16" t="s">
        <v>255</v>
      </c>
      <c r="C16" t="s">
        <v>255</v>
      </c>
      <c r="G16" t="s">
        <v>255</v>
      </c>
      <c r="H16" t="s">
        <v>256</v>
      </c>
      <c r="I16" t="s">
        <v>257</v>
      </c>
      <c r="J16" t="s">
        <v>258</v>
      </c>
      <c r="K16" t="s">
        <v>258</v>
      </c>
      <c r="L16" t="s">
        <v>168</v>
      </c>
      <c r="M16" t="s">
        <v>168</v>
      </c>
      <c r="N16" t="s">
        <v>256</v>
      </c>
      <c r="O16" t="s">
        <v>256</v>
      </c>
      <c r="P16" t="s">
        <v>256</v>
      </c>
      <c r="Q16" t="s">
        <v>256</v>
      </c>
      <c r="R16" t="s">
        <v>259</v>
      </c>
      <c r="S16" t="s">
        <v>260</v>
      </c>
      <c r="T16" t="s">
        <v>260</v>
      </c>
      <c r="U16" t="s">
        <v>261</v>
      </c>
      <c r="V16" t="s">
        <v>262</v>
      </c>
      <c r="W16" t="s">
        <v>261</v>
      </c>
      <c r="X16" t="s">
        <v>261</v>
      </c>
      <c r="Y16" t="s">
        <v>261</v>
      </c>
      <c r="Z16" t="s">
        <v>259</v>
      </c>
      <c r="AA16" t="s">
        <v>259</v>
      </c>
      <c r="AB16" t="s">
        <v>259</v>
      </c>
      <c r="AC16" t="s">
        <v>259</v>
      </c>
      <c r="AG16" t="s">
        <v>263</v>
      </c>
      <c r="AH16" t="s">
        <v>262</v>
      </c>
      <c r="AJ16" t="s">
        <v>262</v>
      </c>
      <c r="AK16" t="s">
        <v>263</v>
      </c>
      <c r="AQ16" t="s">
        <v>257</v>
      </c>
      <c r="AW16" t="s">
        <v>257</v>
      </c>
      <c r="AX16" t="s">
        <v>257</v>
      </c>
      <c r="AY16" t="s">
        <v>257</v>
      </c>
      <c r="BA16" t="s">
        <v>264</v>
      </c>
      <c r="BK16" t="s">
        <v>265</v>
      </c>
      <c r="BL16" t="s">
        <v>265</v>
      </c>
      <c r="BM16" t="s">
        <v>265</v>
      </c>
      <c r="BN16" t="s">
        <v>257</v>
      </c>
      <c r="BP16" t="s">
        <v>266</v>
      </c>
      <c r="BR16" t="s">
        <v>257</v>
      </c>
      <c r="BS16" t="s">
        <v>257</v>
      </c>
      <c r="BU16" t="s">
        <v>267</v>
      </c>
      <c r="BX16" t="s">
        <v>255</v>
      </c>
      <c r="BY16" t="s">
        <v>258</v>
      </c>
      <c r="BZ16" t="s">
        <v>258</v>
      </c>
      <c r="CA16" t="s">
        <v>268</v>
      </c>
      <c r="CB16" t="s">
        <v>268</v>
      </c>
      <c r="CC16" t="s">
        <v>263</v>
      </c>
      <c r="CD16" t="s">
        <v>261</v>
      </c>
      <c r="CE16" t="s">
        <v>261</v>
      </c>
      <c r="CF16" t="s">
        <v>260</v>
      </c>
      <c r="CG16" t="s">
        <v>260</v>
      </c>
      <c r="CH16" t="s">
        <v>260</v>
      </c>
      <c r="CI16" t="s">
        <v>269</v>
      </c>
      <c r="CJ16" t="s">
        <v>257</v>
      </c>
      <c r="CK16" t="s">
        <v>257</v>
      </c>
      <c r="CL16" t="s">
        <v>257</v>
      </c>
      <c r="CQ16" t="s">
        <v>257</v>
      </c>
      <c r="CT16" t="s">
        <v>260</v>
      </c>
      <c r="CU16" t="s">
        <v>260</v>
      </c>
      <c r="CV16" t="s">
        <v>260</v>
      </c>
      <c r="CW16" t="s">
        <v>260</v>
      </c>
      <c r="CX16" t="s">
        <v>260</v>
      </c>
      <c r="CY16" t="s">
        <v>257</v>
      </c>
      <c r="CZ16" t="s">
        <v>257</v>
      </c>
      <c r="DA16" t="s">
        <v>257</v>
      </c>
      <c r="DB16" t="s">
        <v>255</v>
      </c>
      <c r="DD16" t="s">
        <v>270</v>
      </c>
      <c r="DE16" t="s">
        <v>270</v>
      </c>
      <c r="DG16" t="s">
        <v>255</v>
      </c>
      <c r="DH16" t="s">
        <v>271</v>
      </c>
      <c r="DK16" t="s">
        <v>272</v>
      </c>
      <c r="DL16" t="s">
        <v>273</v>
      </c>
      <c r="DM16" t="s">
        <v>272</v>
      </c>
      <c r="DN16" t="s">
        <v>273</v>
      </c>
      <c r="DO16" t="s">
        <v>262</v>
      </c>
      <c r="DP16" t="s">
        <v>262</v>
      </c>
      <c r="DQ16" t="s">
        <v>258</v>
      </c>
      <c r="DR16" t="s">
        <v>274</v>
      </c>
      <c r="DS16" t="s">
        <v>258</v>
      </c>
      <c r="DU16" t="s">
        <v>268</v>
      </c>
      <c r="DV16" t="s">
        <v>275</v>
      </c>
      <c r="DW16" t="s">
        <v>268</v>
      </c>
      <c r="EB16" t="s">
        <v>276</v>
      </c>
      <c r="EC16" t="s">
        <v>276</v>
      </c>
      <c r="ED16" t="s">
        <v>276</v>
      </c>
      <c r="EE16" t="s">
        <v>276</v>
      </c>
      <c r="EF16" t="s">
        <v>276</v>
      </c>
      <c r="EG16" t="s">
        <v>276</v>
      </c>
      <c r="EH16" t="s">
        <v>276</v>
      </c>
      <c r="EI16" t="s">
        <v>276</v>
      </c>
      <c r="EJ16" t="s">
        <v>276</v>
      </c>
      <c r="EK16" t="s">
        <v>276</v>
      </c>
      <c r="EL16" t="s">
        <v>276</v>
      </c>
      <c r="EM16" t="s">
        <v>276</v>
      </c>
      <c r="ET16" t="s">
        <v>276</v>
      </c>
      <c r="EU16" t="s">
        <v>262</v>
      </c>
      <c r="EV16" t="s">
        <v>262</v>
      </c>
      <c r="EW16" t="s">
        <v>272</v>
      </c>
      <c r="EX16" t="s">
        <v>273</v>
      </c>
      <c r="EZ16" t="s">
        <v>263</v>
      </c>
      <c r="FA16" t="s">
        <v>263</v>
      </c>
      <c r="FB16" t="s">
        <v>260</v>
      </c>
      <c r="FC16" t="s">
        <v>260</v>
      </c>
      <c r="FD16" t="s">
        <v>260</v>
      </c>
      <c r="FE16" t="s">
        <v>260</v>
      </c>
      <c r="FF16" t="s">
        <v>260</v>
      </c>
      <c r="FG16" t="s">
        <v>262</v>
      </c>
      <c r="FH16" t="s">
        <v>262</v>
      </c>
      <c r="FI16" t="s">
        <v>262</v>
      </c>
      <c r="FJ16" t="s">
        <v>260</v>
      </c>
      <c r="FK16" t="s">
        <v>258</v>
      </c>
      <c r="FL16" t="s">
        <v>268</v>
      </c>
      <c r="FM16" t="s">
        <v>262</v>
      </c>
      <c r="FN16" t="s">
        <v>262</v>
      </c>
    </row>
    <row r="17" spans="1:170" x14ac:dyDescent="0.25">
      <c r="A17">
        <v>1</v>
      </c>
      <c r="B17">
        <v>1595603960.3</v>
      </c>
      <c r="C17">
        <v>0</v>
      </c>
      <c r="D17" t="s">
        <v>277</v>
      </c>
      <c r="E17" t="s">
        <v>278</v>
      </c>
      <c r="G17">
        <v>1595603952.3</v>
      </c>
      <c r="H17">
        <f t="shared" ref="H17:H30" si="0">CC17*AI17*(CA17-CB17)/(100*$B$5*(1000-AI17*CA17))</f>
        <v>6.6383190180904026E-3</v>
      </c>
      <c r="I17">
        <f t="shared" ref="I17:I30" si="1">CC17*AI17*(BZ17-BY17*(1000-AI17*CB17)/(1000-AI17*CA17))/(100*$B$5)</f>
        <v>28.35291298710651</v>
      </c>
      <c r="J17">
        <f t="shared" ref="J17:J30" si="2">BY17 - IF(AI17&gt;1, I17*$B$5*100/(AK17*CI17), 0)</f>
        <v>387.61545161290297</v>
      </c>
      <c r="K17">
        <f t="shared" ref="K17:K30" si="3">((Q17-H17/2)*J17-I17)/(Q17+H17/2)</f>
        <v>265.58568162309143</v>
      </c>
      <c r="L17">
        <f t="shared" ref="L17:L30" si="4">K17*(CD17+CE17)/1000</f>
        <v>26.545772381245019</v>
      </c>
      <c r="M17">
        <f t="shared" ref="M17:M30" si="5">(BY17 - IF(AI17&gt;1, I17*$B$5*100/(AK17*CI17), 0))*(CD17+CE17)/1000</f>
        <v>38.74287004889117</v>
      </c>
      <c r="N17">
        <f t="shared" ref="N17:N30" si="6">2/((1/P17-1/O17)+SIGN(P17)*SQRT((1/P17-1/O17)*(1/P17-1/O17) + 4*BV17/((BV17+1)*(BV17+1))*(2*1/P17*1/O17-1/O17*1/O17)))</f>
        <v>0.42382418470890304</v>
      </c>
      <c r="O17">
        <f t="shared" ref="O17:O30" si="7">AF17+AE17*$B$5+AD17*$B$5*$B$5</f>
        <v>3.3964548033316548</v>
      </c>
      <c r="P17">
        <f t="shared" ref="P17:P30" si="8">H17*(1000-(1000*0.61365*EXP(17.502*T17/(240.97+T17))/(CD17+CE17)+CA17)/2)/(1000*0.61365*EXP(17.502*T17/(240.97+T17))/(CD17+CE17)-CA17)</f>
        <v>0.39648261173294047</v>
      </c>
      <c r="Q17">
        <f t="shared" ref="Q17:Q30" si="9">1/((BV17+1)/(N17/1.6)+1/(O17/1.37)) + BV17/((BV17+1)/(N17/1.6) + BV17/(O17/1.37))</f>
        <v>0.25011103226986425</v>
      </c>
      <c r="R17">
        <f t="shared" ref="R17:R30" si="10">(BS17*BU17)</f>
        <v>353.33763321889569</v>
      </c>
      <c r="S17">
        <f t="shared" ref="S17:S30" si="11">(CF17+(R17+2*0.95*0.0000000567*(((CF17+$B$7)+273)^4-(CF17+273)^4)-44100*H17)/(1.84*29.3*O17+8*0.95*0.0000000567*(CF17+273)^3))</f>
        <v>27.270786118409784</v>
      </c>
      <c r="T17">
        <f t="shared" ref="T17:T30" si="12">($C$7*CG17+$D$7*CH17+$E$7*S17)</f>
        <v>26.974112903225802</v>
      </c>
      <c r="U17">
        <f t="shared" ref="U17:U30" si="13">0.61365*EXP(17.502*T17/(240.97+T17))</f>
        <v>3.5737215007223053</v>
      </c>
      <c r="V17">
        <f t="shared" ref="V17:V30" si="14">(W17/X17*100)</f>
        <v>54.511533890687822</v>
      </c>
      <c r="W17">
        <f t="shared" ref="W17:W30" si="15">CA17*(CD17+CE17)/1000</f>
        <v>1.9464375708390333</v>
      </c>
      <c r="X17">
        <f t="shared" ref="X17:X30" si="16">0.61365*EXP(17.502*CF17/(240.97+CF17))</f>
        <v>3.570689415458812</v>
      </c>
      <c r="Y17">
        <f t="shared" ref="Y17:Y30" si="17">(U17-CA17*(CD17+CE17)/1000)</f>
        <v>1.627283929883272</v>
      </c>
      <c r="Z17">
        <f t="shared" ref="Z17:Z30" si="18">(-H17*44100)</f>
        <v>-292.74986869778678</v>
      </c>
      <c r="AA17">
        <f t="shared" ref="AA17:AA30" si="19">2*29.3*O17*0.92*(CF17-T17)</f>
        <v>-2.6456394129373315</v>
      </c>
      <c r="AB17">
        <f t="shared" ref="AB17:AB30" si="20">2*0.95*0.0000000567*(((CF17+$B$7)+273)^4-(T17+273)^4)</f>
        <v>-0.16804901674338193</v>
      </c>
      <c r="AC17">
        <f t="shared" ref="AC17:AC30" si="21">R17+AB17+Z17+AA17</f>
        <v>57.774076091428185</v>
      </c>
      <c r="AD17">
        <v>-4.1392803269943497E-2</v>
      </c>
      <c r="AE17">
        <v>4.6467047879239401E-2</v>
      </c>
      <c r="AF17">
        <v>3.46909192065295</v>
      </c>
      <c r="AG17">
        <v>141</v>
      </c>
      <c r="AH17">
        <v>28</v>
      </c>
      <c r="AI17">
        <f t="shared" ref="AI17:AI30" si="22">IF(AG17*$H$13&gt;=AK17,1,(AK17/(AK17-AG17*$H$13)))</f>
        <v>1</v>
      </c>
      <c r="AJ17">
        <f t="shared" ref="AJ17:AJ30" si="23">(AI17-1)*100</f>
        <v>0</v>
      </c>
      <c r="AK17">
        <f t="shared" ref="AK17:AK30" si="24">MAX(0,($B$13+$C$13*CI17)/(1+$D$13*CI17)*CD17/(CF17+273)*$E$13)</f>
        <v>52787.997342026792</v>
      </c>
      <c r="AL17">
        <v>0</v>
      </c>
      <c r="AM17">
        <v>0</v>
      </c>
      <c r="AN17">
        <v>0</v>
      </c>
      <c r="AO17">
        <f t="shared" ref="AO17:AO30" si="25">AN17-AM17</f>
        <v>0</v>
      </c>
      <c r="AP17" t="e">
        <f t="shared" ref="AP17:AP30" si="26">AO17/AN17</f>
        <v>#DIV/0!</v>
      </c>
      <c r="AQ17">
        <v>-1</v>
      </c>
      <c r="AR17" t="s">
        <v>279</v>
      </c>
      <c r="AS17">
        <v>268.490461538462</v>
      </c>
      <c r="AT17">
        <v>356.024</v>
      </c>
      <c r="AU17">
        <f t="shared" ref="AU17:AU30" si="27">1-AS17/AT17</f>
        <v>0.24586415090425928</v>
      </c>
      <c r="AV17">
        <v>0.5</v>
      </c>
      <c r="AW17">
        <f t="shared" ref="AW17:AW30" si="28">BS17</f>
        <v>1849.1844868058331</v>
      </c>
      <c r="AX17">
        <f t="shared" ref="AX17:AX30" si="29">I17</f>
        <v>28.35291298710651</v>
      </c>
      <c r="AY17">
        <f t="shared" ref="AY17:AY30" si="30">AU17*AV17*AW17</f>
        <v>227.32408685692229</v>
      </c>
      <c r="AZ17">
        <f t="shared" ref="AZ17:AZ30" si="31">BE17/AT17</f>
        <v>0.47306923128777839</v>
      </c>
      <c r="BA17">
        <f t="shared" ref="BA17:BA30" si="32">(AX17-AQ17)/AW17</f>
        <v>1.5873436748222409E-2</v>
      </c>
      <c r="BB17">
        <f t="shared" ref="BB17:BB30" si="33">(AN17-AT17)/AT17</f>
        <v>-1</v>
      </c>
      <c r="BC17" t="s">
        <v>280</v>
      </c>
      <c r="BD17">
        <v>187.6</v>
      </c>
      <c r="BE17">
        <f t="shared" ref="BE17:BE30" si="34">AT17-BD17</f>
        <v>168.42400000000001</v>
      </c>
      <c r="BF17">
        <f t="shared" ref="BF17:BF30" si="35">(AT17-AS17)/(AT17-BD17)</f>
        <v>0.51972128949281571</v>
      </c>
      <c r="BG17">
        <f t="shared" ref="BG17:BG30" si="36">(AN17-AT17)/(AN17-BD17)</f>
        <v>1.8977825159914712</v>
      </c>
      <c r="BH17">
        <f t="shared" ref="BH17:BH30" si="37">(AT17-AS17)/(AT17-AM17)</f>
        <v>0.24586415090425925</v>
      </c>
      <c r="BI17" t="e">
        <f t="shared" ref="BI17:BI30" si="38">(AN17-AT17)/(AN17-AM17)</f>
        <v>#DIV/0!</v>
      </c>
      <c r="BJ17">
        <v>5209</v>
      </c>
      <c r="BK17">
        <v>300</v>
      </c>
      <c r="BL17">
        <v>300</v>
      </c>
      <c r="BM17">
        <v>300</v>
      </c>
      <c r="BN17">
        <v>9889.18</v>
      </c>
      <c r="BO17">
        <v>329.173</v>
      </c>
      <c r="BP17">
        <v>-6.4142699999999997E-3</v>
      </c>
      <c r="BQ17">
        <v>-6.2988299999999997E-2</v>
      </c>
      <c r="BR17">
        <f t="shared" ref="BR17:BR30" si="39">$B$11*CJ17+$C$11*CK17+$F$11*CL17</f>
        <v>2199.9990322580602</v>
      </c>
      <c r="BS17">
        <f t="shared" ref="BS17:BS30" si="40">BR17*BT17</f>
        <v>1849.1844868058331</v>
      </c>
      <c r="BT17">
        <f t="shared" ref="BT17:BT30" si="41">($B$11*$D$9+$C$11*$D$9+$F$11*((CY17+CQ17)/MAX(CY17+CQ17+CZ17, 0.1)*$I$9+CZ17/MAX(CY17+CQ17+CZ17, 0.1)*$J$9))/($B$11+$C$11+$F$11)</f>
        <v>0.84053877283202527</v>
      </c>
      <c r="BU17">
        <f t="shared" ref="BU17:BU30" si="42">($B$11*$K$9+$C$11*$K$9+$F$11*((CY17+CQ17)/MAX(CY17+CQ17+CZ17, 0.1)*$P$9+CZ17/MAX(CY17+CQ17+CZ17, 0.1)*$Q$9))/($B$11+$C$11+$F$11)</f>
        <v>0.19107754566405066</v>
      </c>
      <c r="BV17">
        <v>0.5</v>
      </c>
      <c r="BW17" t="s">
        <v>281</v>
      </c>
      <c r="BX17">
        <v>1595603952.3</v>
      </c>
      <c r="BY17">
        <v>387.61545161290297</v>
      </c>
      <c r="BZ17">
        <v>399.98425806451598</v>
      </c>
      <c r="CA17">
        <v>19.473758064516101</v>
      </c>
      <c r="CB17">
        <v>16.870477419354799</v>
      </c>
      <c r="CC17">
        <v>500.06487096774202</v>
      </c>
      <c r="CD17">
        <v>99.751832258064496</v>
      </c>
      <c r="CE17">
        <v>0.19998825806451601</v>
      </c>
      <c r="CF17">
        <v>26.959664516128999</v>
      </c>
      <c r="CG17">
        <v>26.974112903225802</v>
      </c>
      <c r="CH17">
        <v>999.9</v>
      </c>
      <c r="CI17">
        <v>10006.9096774194</v>
      </c>
      <c r="CJ17">
        <v>0</v>
      </c>
      <c r="CK17">
        <v>148.501709677419</v>
      </c>
      <c r="CL17">
        <v>2199.9990322580602</v>
      </c>
      <c r="CM17">
        <v>0.98200070967741904</v>
      </c>
      <c r="CN17">
        <v>1.7999719354838701E-2</v>
      </c>
      <c r="CO17">
        <v>0</v>
      </c>
      <c r="CP17">
        <v>268.52625806451601</v>
      </c>
      <c r="CQ17">
        <v>5.00054</v>
      </c>
      <c r="CR17">
        <v>7816.7977419354802</v>
      </c>
      <c r="CS17">
        <v>20590.529032258099</v>
      </c>
      <c r="CT17">
        <v>49.447225806451598</v>
      </c>
      <c r="CU17">
        <v>50.618677419354803</v>
      </c>
      <c r="CV17">
        <v>49.725612903225802</v>
      </c>
      <c r="CW17">
        <v>49.670999999999999</v>
      </c>
      <c r="CX17">
        <v>50.725612903225802</v>
      </c>
      <c r="CY17">
        <v>2155.48903225806</v>
      </c>
      <c r="CZ17">
        <v>39.51</v>
      </c>
      <c r="DA17">
        <v>0</v>
      </c>
      <c r="DB17">
        <v>1587484540.2</v>
      </c>
      <c r="DC17">
        <v>268.490461538462</v>
      </c>
      <c r="DD17">
        <v>-1.5227350386276799</v>
      </c>
      <c r="DE17">
        <v>116.87111104330501</v>
      </c>
      <c r="DF17">
        <v>7817.0253846153801</v>
      </c>
      <c r="DG17">
        <v>15</v>
      </c>
      <c r="DH17">
        <v>1595603986.3</v>
      </c>
      <c r="DI17" t="s">
        <v>282</v>
      </c>
      <c r="DJ17">
        <v>1</v>
      </c>
      <c r="DK17">
        <v>-0.41099999999999998</v>
      </c>
      <c r="DL17">
        <v>0.114</v>
      </c>
      <c r="DM17">
        <v>400</v>
      </c>
      <c r="DN17">
        <v>17</v>
      </c>
      <c r="DO17">
        <v>0.13</v>
      </c>
      <c r="DP17">
        <v>0.03</v>
      </c>
      <c r="DQ17">
        <v>387.91288235294098</v>
      </c>
      <c r="DR17">
        <v>0.100821719457142</v>
      </c>
      <c r="DS17">
        <v>1.7990898634572101E-2</v>
      </c>
      <c r="DT17">
        <v>1</v>
      </c>
      <c r="DU17">
        <v>19.567033333333299</v>
      </c>
      <c r="DV17">
        <v>-1.61581900452273E-2</v>
      </c>
      <c r="DW17">
        <v>2.0561401747690401E-3</v>
      </c>
      <c r="DX17">
        <v>1</v>
      </c>
      <c r="DY17">
        <v>2</v>
      </c>
      <c r="DZ17">
        <v>2</v>
      </c>
      <c r="EA17" t="s">
        <v>283</v>
      </c>
      <c r="EB17">
        <v>1.86676</v>
      </c>
      <c r="EC17">
        <v>1.8632899999999999</v>
      </c>
      <c r="ED17">
        <v>1.8690199999999999</v>
      </c>
      <c r="EE17">
        <v>1.8669100000000001</v>
      </c>
      <c r="EF17">
        <v>1.87158</v>
      </c>
      <c r="EG17">
        <v>1.86402</v>
      </c>
      <c r="EH17">
        <v>1.8656900000000001</v>
      </c>
      <c r="EI17">
        <v>1.8655999999999999</v>
      </c>
      <c r="EJ17" t="s">
        <v>284</v>
      </c>
      <c r="EK17" t="s">
        <v>19</v>
      </c>
      <c r="EL17" t="s">
        <v>19</v>
      </c>
      <c r="EM17" t="s">
        <v>19</v>
      </c>
      <c r="EN17" t="s">
        <v>285</v>
      </c>
      <c r="EO17" t="s">
        <v>286</v>
      </c>
      <c r="EP17" t="s">
        <v>287</v>
      </c>
      <c r="EQ17" t="s">
        <v>287</v>
      </c>
      <c r="ER17" t="s">
        <v>287</v>
      </c>
      <c r="ES17" t="s">
        <v>287</v>
      </c>
      <c r="ET17">
        <v>0</v>
      </c>
      <c r="EU17">
        <v>100</v>
      </c>
      <c r="EV17">
        <v>100</v>
      </c>
      <c r="EW17">
        <v>-0.41099999999999998</v>
      </c>
      <c r="EX17">
        <v>0.114</v>
      </c>
      <c r="EY17">
        <v>2</v>
      </c>
      <c r="EZ17">
        <v>341.53100000000001</v>
      </c>
      <c r="FA17">
        <v>517.81799999999998</v>
      </c>
      <c r="FB17">
        <v>21.1904</v>
      </c>
      <c r="FC17">
        <v>31.984999999999999</v>
      </c>
      <c r="FD17">
        <v>30.000299999999999</v>
      </c>
      <c r="FE17">
        <v>31.7865</v>
      </c>
      <c r="FF17">
        <v>31.7559</v>
      </c>
      <c r="FG17">
        <v>21.805599999999998</v>
      </c>
      <c r="FH17">
        <v>37.525199999999998</v>
      </c>
      <c r="FI17">
        <v>21.057200000000002</v>
      </c>
      <c r="FJ17">
        <v>21.216200000000001</v>
      </c>
      <c r="FK17">
        <v>400</v>
      </c>
      <c r="FL17">
        <v>16.8949</v>
      </c>
      <c r="FM17">
        <v>101.215</v>
      </c>
      <c r="FN17">
        <v>101.259</v>
      </c>
    </row>
    <row r="18" spans="1:170" x14ac:dyDescent="0.25">
      <c r="A18">
        <v>2</v>
      </c>
      <c r="B18">
        <v>1595604078.3</v>
      </c>
      <c r="C18">
        <v>118</v>
      </c>
      <c r="D18" t="s">
        <v>288</v>
      </c>
      <c r="E18" t="s">
        <v>289</v>
      </c>
      <c r="G18">
        <v>1595604070.3</v>
      </c>
      <c r="H18">
        <f t="shared" si="0"/>
        <v>6.0903415855053005E-3</v>
      </c>
      <c r="I18">
        <f t="shared" si="1"/>
        <v>21.254625223707375</v>
      </c>
      <c r="J18">
        <f t="shared" si="2"/>
        <v>290.77770967741901</v>
      </c>
      <c r="K18">
        <f t="shared" si="3"/>
        <v>191.90524823084883</v>
      </c>
      <c r="L18">
        <f t="shared" si="4"/>
        <v>19.180626777525081</v>
      </c>
      <c r="M18">
        <f t="shared" si="5"/>
        <v>29.062773300691649</v>
      </c>
      <c r="N18">
        <f t="shared" si="6"/>
        <v>0.3876242526086886</v>
      </c>
      <c r="O18">
        <f t="shared" si="7"/>
        <v>3.395574210910989</v>
      </c>
      <c r="P18">
        <f t="shared" si="8"/>
        <v>0.3646122531967752</v>
      </c>
      <c r="Q18">
        <f t="shared" si="9"/>
        <v>0.22983626519270178</v>
      </c>
      <c r="R18">
        <f t="shared" si="10"/>
        <v>353.34016633197564</v>
      </c>
      <c r="S18">
        <f t="shared" si="11"/>
        <v>27.438273866805186</v>
      </c>
      <c r="T18">
        <f t="shared" si="12"/>
        <v>27.049974193548401</v>
      </c>
      <c r="U18">
        <f t="shared" si="13"/>
        <v>3.5896783808833335</v>
      </c>
      <c r="V18">
        <f t="shared" si="14"/>
        <v>54.935873992385709</v>
      </c>
      <c r="W18">
        <f t="shared" si="15"/>
        <v>1.9665835436436379</v>
      </c>
      <c r="X18">
        <f t="shared" si="16"/>
        <v>3.5797802068575675</v>
      </c>
      <c r="Y18">
        <f t="shared" si="17"/>
        <v>1.6230948372396956</v>
      </c>
      <c r="Z18">
        <f t="shared" si="18"/>
        <v>-268.58406392078376</v>
      </c>
      <c r="AA18">
        <f t="shared" si="19"/>
        <v>-8.6080569148728117</v>
      </c>
      <c r="AB18">
        <f t="shared" si="20"/>
        <v>-0.54724499692304307</v>
      </c>
      <c r="AC18">
        <f t="shared" si="21"/>
        <v>75.60080049939603</v>
      </c>
      <c r="AD18">
        <v>-4.1379159691356401E-2</v>
      </c>
      <c r="AE18">
        <v>4.6451731767032302E-2</v>
      </c>
      <c r="AF18">
        <v>3.46818738614235</v>
      </c>
      <c r="AG18">
        <v>142</v>
      </c>
      <c r="AH18">
        <v>28</v>
      </c>
      <c r="AI18">
        <f t="shared" si="22"/>
        <v>1</v>
      </c>
      <c r="AJ18">
        <f t="shared" si="23"/>
        <v>0</v>
      </c>
      <c r="AK18">
        <f t="shared" si="24"/>
        <v>52763.622969079734</v>
      </c>
      <c r="AL18">
        <v>0</v>
      </c>
      <c r="AM18">
        <v>0</v>
      </c>
      <c r="AN18">
        <v>0</v>
      </c>
      <c r="AO18">
        <f t="shared" si="25"/>
        <v>0</v>
      </c>
      <c r="AP18" t="e">
        <f t="shared" si="26"/>
        <v>#DIV/0!</v>
      </c>
      <c r="AQ18">
        <v>-1</v>
      </c>
      <c r="AR18" t="s">
        <v>290</v>
      </c>
      <c r="AS18">
        <v>258.62884615384598</v>
      </c>
      <c r="AT18">
        <v>332.51600000000002</v>
      </c>
      <c r="AU18">
        <f t="shared" si="27"/>
        <v>0.22220631141404934</v>
      </c>
      <c r="AV18">
        <v>0.5</v>
      </c>
      <c r="AW18">
        <f t="shared" si="28"/>
        <v>1849.1999609994439</v>
      </c>
      <c r="AX18">
        <f t="shared" si="29"/>
        <v>21.254625223707375</v>
      </c>
      <c r="AY18">
        <f t="shared" si="30"/>
        <v>205.45195120034515</v>
      </c>
      <c r="AZ18">
        <f t="shared" si="31"/>
        <v>0.44231255037351591</v>
      </c>
      <c r="BA18">
        <f t="shared" si="32"/>
        <v>1.2034731609922453E-2</v>
      </c>
      <c r="BB18">
        <f t="shared" si="33"/>
        <v>-1</v>
      </c>
      <c r="BC18" t="s">
        <v>291</v>
      </c>
      <c r="BD18">
        <v>185.44</v>
      </c>
      <c r="BE18">
        <f t="shared" si="34"/>
        <v>147.07600000000002</v>
      </c>
      <c r="BF18">
        <f t="shared" si="35"/>
        <v>0.50237396887428287</v>
      </c>
      <c r="BG18">
        <f t="shared" si="36"/>
        <v>1.7931190681622089</v>
      </c>
      <c r="BH18">
        <f t="shared" si="37"/>
        <v>0.22220631141404934</v>
      </c>
      <c r="BI18" t="e">
        <f t="shared" si="38"/>
        <v>#DIV/0!</v>
      </c>
      <c r="BJ18">
        <v>5211</v>
      </c>
      <c r="BK18">
        <v>300</v>
      </c>
      <c r="BL18">
        <v>300</v>
      </c>
      <c r="BM18">
        <v>300</v>
      </c>
      <c r="BN18">
        <v>9887.73</v>
      </c>
      <c r="BO18">
        <v>310.67</v>
      </c>
      <c r="BP18">
        <v>-6.4128700000000002E-3</v>
      </c>
      <c r="BQ18">
        <v>0.48303200000000002</v>
      </c>
      <c r="BR18">
        <f t="shared" si="39"/>
        <v>2200.01774193548</v>
      </c>
      <c r="BS18">
        <f t="shared" si="40"/>
        <v>1849.1999609994439</v>
      </c>
      <c r="BT18">
        <f t="shared" si="41"/>
        <v>0.84053865828036378</v>
      </c>
      <c r="BU18">
        <f t="shared" si="42"/>
        <v>0.19107731656072749</v>
      </c>
      <c r="BV18">
        <v>0.5</v>
      </c>
      <c r="BW18" t="s">
        <v>281</v>
      </c>
      <c r="BX18">
        <v>1595604070.3</v>
      </c>
      <c r="BY18">
        <v>290.77770967741901</v>
      </c>
      <c r="BZ18">
        <v>299.98667741935498</v>
      </c>
      <c r="CA18">
        <v>19.675983870967698</v>
      </c>
      <c r="CB18">
        <v>17.288106451612901</v>
      </c>
      <c r="CC18">
        <v>500.06822580645201</v>
      </c>
      <c r="CD18">
        <v>99.748429032258102</v>
      </c>
      <c r="CE18">
        <v>0.19999319354838699</v>
      </c>
      <c r="CF18">
        <v>27.0029516129032</v>
      </c>
      <c r="CG18">
        <v>27.049974193548401</v>
      </c>
      <c r="CH18">
        <v>999.9</v>
      </c>
      <c r="CI18">
        <v>10003.9525806452</v>
      </c>
      <c r="CJ18">
        <v>0</v>
      </c>
      <c r="CK18">
        <v>146.30429032258101</v>
      </c>
      <c r="CL18">
        <v>2200.01774193548</v>
      </c>
      <c r="CM18">
        <v>0.98200283870967797</v>
      </c>
      <c r="CN18">
        <v>1.7997419354838701E-2</v>
      </c>
      <c r="CO18">
        <v>0</v>
      </c>
      <c r="CP18">
        <v>258.62893548387098</v>
      </c>
      <c r="CQ18">
        <v>5.00054</v>
      </c>
      <c r="CR18">
        <v>7669.6048387096798</v>
      </c>
      <c r="CS18">
        <v>20590.7096774194</v>
      </c>
      <c r="CT18">
        <v>50.068225806451601</v>
      </c>
      <c r="CU18">
        <v>51.364741935483899</v>
      </c>
      <c r="CV18">
        <v>50.368741935483897</v>
      </c>
      <c r="CW18">
        <v>50.304064516129003</v>
      </c>
      <c r="CX18">
        <v>51.279935483871</v>
      </c>
      <c r="CY18">
        <v>2155.5158064516099</v>
      </c>
      <c r="CZ18">
        <v>39.501935483871002</v>
      </c>
      <c r="DA18">
        <v>0</v>
      </c>
      <c r="DB18">
        <v>117.200000047684</v>
      </c>
      <c r="DC18">
        <v>258.62884615384598</v>
      </c>
      <c r="DD18">
        <v>-2.4614017115842102</v>
      </c>
      <c r="DE18">
        <v>-23.369572672629701</v>
      </c>
      <c r="DF18">
        <v>7669.3869230769196</v>
      </c>
      <c r="DG18">
        <v>15</v>
      </c>
      <c r="DH18">
        <v>1595604102.8</v>
      </c>
      <c r="DI18" t="s">
        <v>292</v>
      </c>
      <c r="DJ18">
        <v>2</v>
      </c>
      <c r="DK18">
        <v>-0.47399999999999998</v>
      </c>
      <c r="DL18">
        <v>0.122</v>
      </c>
      <c r="DM18">
        <v>300</v>
      </c>
      <c r="DN18">
        <v>17</v>
      </c>
      <c r="DO18">
        <v>0.14000000000000001</v>
      </c>
      <c r="DP18">
        <v>0.03</v>
      </c>
      <c r="DQ18">
        <v>290.83780392156899</v>
      </c>
      <c r="DR18">
        <v>5.73067873303163E-2</v>
      </c>
      <c r="DS18">
        <v>1.83591827831339E-2</v>
      </c>
      <c r="DT18">
        <v>1</v>
      </c>
      <c r="DU18">
        <v>19.6644901960784</v>
      </c>
      <c r="DV18">
        <v>4.9500814479642101E-2</v>
      </c>
      <c r="DW18">
        <v>6.9809054669164802E-3</v>
      </c>
      <c r="DX18">
        <v>1</v>
      </c>
      <c r="DY18">
        <v>2</v>
      </c>
      <c r="DZ18">
        <v>2</v>
      </c>
      <c r="EA18" t="s">
        <v>283</v>
      </c>
      <c r="EB18">
        <v>1.86676</v>
      </c>
      <c r="EC18">
        <v>1.86327</v>
      </c>
      <c r="ED18">
        <v>1.8689899999999999</v>
      </c>
      <c r="EE18">
        <v>1.8669</v>
      </c>
      <c r="EF18">
        <v>1.87155</v>
      </c>
      <c r="EG18">
        <v>1.8640099999999999</v>
      </c>
      <c r="EH18">
        <v>1.8656900000000001</v>
      </c>
      <c r="EI18">
        <v>1.86558</v>
      </c>
      <c r="EJ18" t="s">
        <v>284</v>
      </c>
      <c r="EK18" t="s">
        <v>19</v>
      </c>
      <c r="EL18" t="s">
        <v>19</v>
      </c>
      <c r="EM18" t="s">
        <v>19</v>
      </c>
      <c r="EN18" t="s">
        <v>285</v>
      </c>
      <c r="EO18" t="s">
        <v>286</v>
      </c>
      <c r="EP18" t="s">
        <v>287</v>
      </c>
      <c r="EQ18" t="s">
        <v>287</v>
      </c>
      <c r="ER18" t="s">
        <v>287</v>
      </c>
      <c r="ES18" t="s">
        <v>287</v>
      </c>
      <c r="ET18">
        <v>0</v>
      </c>
      <c r="EU18">
        <v>100</v>
      </c>
      <c r="EV18">
        <v>100</v>
      </c>
      <c r="EW18">
        <v>-0.47399999999999998</v>
      </c>
      <c r="EX18">
        <v>0.122</v>
      </c>
      <c r="EY18">
        <v>2</v>
      </c>
      <c r="EZ18">
        <v>340.74</v>
      </c>
      <c r="FA18">
        <v>516.76199999999994</v>
      </c>
      <c r="FB18">
        <v>20.8322</v>
      </c>
      <c r="FC18">
        <v>32.106999999999999</v>
      </c>
      <c r="FD18">
        <v>30.000800000000002</v>
      </c>
      <c r="FE18">
        <v>31.972999999999999</v>
      </c>
      <c r="FF18">
        <v>31.952500000000001</v>
      </c>
      <c r="FG18">
        <v>17.388400000000001</v>
      </c>
      <c r="FH18">
        <v>36.325099999999999</v>
      </c>
      <c r="FI18">
        <v>18.0425</v>
      </c>
      <c r="FJ18">
        <v>20.823799999999999</v>
      </c>
      <c r="FK18">
        <v>300</v>
      </c>
      <c r="FL18">
        <v>17.346900000000002</v>
      </c>
      <c r="FM18">
        <v>101.188</v>
      </c>
      <c r="FN18">
        <v>101.24299999999999</v>
      </c>
    </row>
    <row r="19" spans="1:170" x14ac:dyDescent="0.25">
      <c r="A19">
        <v>3</v>
      </c>
      <c r="B19">
        <v>1595604196.8</v>
      </c>
      <c r="C19">
        <v>236.5</v>
      </c>
      <c r="D19" t="s">
        <v>293</v>
      </c>
      <c r="E19" t="s">
        <v>294</v>
      </c>
      <c r="G19">
        <v>1595604188.8</v>
      </c>
      <c r="H19">
        <f t="shared" si="0"/>
        <v>6.289161966380824E-3</v>
      </c>
      <c r="I19">
        <f t="shared" si="1"/>
        <v>13.20051309490502</v>
      </c>
      <c r="J19">
        <f t="shared" si="2"/>
        <v>194.197</v>
      </c>
      <c r="K19">
        <f t="shared" si="3"/>
        <v>134.92192447472701</v>
      </c>
      <c r="L19">
        <f t="shared" si="4"/>
        <v>13.485658331001602</v>
      </c>
      <c r="M19">
        <f t="shared" si="5"/>
        <v>19.410295258544686</v>
      </c>
      <c r="N19">
        <f t="shared" si="6"/>
        <v>0.4060461213525311</v>
      </c>
      <c r="O19">
        <f t="shared" si="7"/>
        <v>3.3910981019514996</v>
      </c>
      <c r="P19">
        <f t="shared" si="8"/>
        <v>0.38084005100459084</v>
      </c>
      <c r="Q19">
        <f t="shared" si="9"/>
        <v>0.24015919136107711</v>
      </c>
      <c r="R19">
        <f t="shared" si="10"/>
        <v>353.34554071938243</v>
      </c>
      <c r="S19">
        <f t="shared" si="11"/>
        <v>27.299309529905564</v>
      </c>
      <c r="T19">
        <f t="shared" si="12"/>
        <v>26.965138709677401</v>
      </c>
      <c r="U19">
        <f t="shared" si="13"/>
        <v>3.5718379451985105</v>
      </c>
      <c r="V19">
        <f t="shared" si="14"/>
        <v>55.252737435018638</v>
      </c>
      <c r="W19">
        <f t="shared" si="15"/>
        <v>1.9669795331149482</v>
      </c>
      <c r="X19">
        <f t="shared" si="16"/>
        <v>3.5599675679929224</v>
      </c>
      <c r="Y19">
        <f t="shared" si="17"/>
        <v>1.6048584120835623</v>
      </c>
      <c r="Z19">
        <f t="shared" si="18"/>
        <v>-277.35204271739434</v>
      </c>
      <c r="AA19">
        <f t="shared" si="19"/>
        <v>-10.357097773806212</v>
      </c>
      <c r="AB19">
        <f t="shared" si="20"/>
        <v>-0.65871605880111395</v>
      </c>
      <c r="AC19">
        <f t="shared" si="21"/>
        <v>64.977684169380737</v>
      </c>
      <c r="AD19">
        <v>-4.13098331951057E-2</v>
      </c>
      <c r="AE19">
        <v>4.6373906701656302E-2</v>
      </c>
      <c r="AF19">
        <v>3.4635896213286101</v>
      </c>
      <c r="AG19">
        <v>142</v>
      </c>
      <c r="AH19">
        <v>28</v>
      </c>
      <c r="AI19">
        <f t="shared" si="22"/>
        <v>1</v>
      </c>
      <c r="AJ19">
        <f t="shared" si="23"/>
        <v>0</v>
      </c>
      <c r="AK19">
        <f t="shared" si="24"/>
        <v>52695.484196199999</v>
      </c>
      <c r="AL19">
        <v>0</v>
      </c>
      <c r="AM19">
        <v>0</v>
      </c>
      <c r="AN19">
        <v>0</v>
      </c>
      <c r="AO19">
        <f t="shared" si="25"/>
        <v>0</v>
      </c>
      <c r="AP19" t="e">
        <f t="shared" si="26"/>
        <v>#DIV/0!</v>
      </c>
      <c r="AQ19">
        <v>-1</v>
      </c>
      <c r="AR19" t="s">
        <v>295</v>
      </c>
      <c r="AS19">
        <v>255.59200000000001</v>
      </c>
      <c r="AT19">
        <v>315.82900000000001</v>
      </c>
      <c r="AU19">
        <f t="shared" si="27"/>
        <v>0.19072662738380575</v>
      </c>
      <c r="AV19">
        <v>0.5</v>
      </c>
      <c r="AW19">
        <f t="shared" si="28"/>
        <v>1849.2264480961717</v>
      </c>
      <c r="AX19">
        <f t="shared" si="29"/>
        <v>13.20051309490502</v>
      </c>
      <c r="AY19">
        <f t="shared" si="30"/>
        <v>176.34836185715858</v>
      </c>
      <c r="AZ19">
        <f t="shared" si="31"/>
        <v>0.41189694423248024</v>
      </c>
      <c r="BA19">
        <f t="shared" si="32"/>
        <v>7.6791639604359054E-3</v>
      </c>
      <c r="BB19">
        <f t="shared" si="33"/>
        <v>-1</v>
      </c>
      <c r="BC19" t="s">
        <v>296</v>
      </c>
      <c r="BD19">
        <v>185.74</v>
      </c>
      <c r="BE19">
        <f t="shared" si="34"/>
        <v>130.089</v>
      </c>
      <c r="BF19">
        <f t="shared" si="35"/>
        <v>0.46304453105181831</v>
      </c>
      <c r="BG19">
        <f t="shared" si="36"/>
        <v>1.7003822547647249</v>
      </c>
      <c r="BH19">
        <f t="shared" si="37"/>
        <v>0.19072662738380577</v>
      </c>
      <c r="BI19" t="e">
        <f t="shared" si="38"/>
        <v>#DIV/0!</v>
      </c>
      <c r="BJ19">
        <v>5213</v>
      </c>
      <c r="BK19">
        <v>300</v>
      </c>
      <c r="BL19">
        <v>300</v>
      </c>
      <c r="BM19">
        <v>300</v>
      </c>
      <c r="BN19">
        <v>9888.4500000000007</v>
      </c>
      <c r="BO19">
        <v>299.44799999999998</v>
      </c>
      <c r="BP19">
        <v>-6.4127999999999998E-3</v>
      </c>
      <c r="BQ19">
        <v>0.86331199999999997</v>
      </c>
      <c r="BR19">
        <f t="shared" si="39"/>
        <v>2200.0490322580599</v>
      </c>
      <c r="BS19">
        <f t="shared" si="40"/>
        <v>1849.2264480961717</v>
      </c>
      <c r="BT19">
        <f t="shared" si="41"/>
        <v>0.84053874299255271</v>
      </c>
      <c r="BU19">
        <f t="shared" si="42"/>
        <v>0.19107748598510538</v>
      </c>
      <c r="BV19">
        <v>0.5</v>
      </c>
      <c r="BW19" t="s">
        <v>281</v>
      </c>
      <c r="BX19">
        <v>1595604188.8</v>
      </c>
      <c r="BY19">
        <v>194.197</v>
      </c>
      <c r="BZ19">
        <v>199.965</v>
      </c>
      <c r="CA19">
        <v>19.679325806451601</v>
      </c>
      <c r="CB19">
        <v>17.2134838709677</v>
      </c>
      <c r="CC19">
        <v>500.06412903225799</v>
      </c>
      <c r="CD19">
        <v>99.751590322580697</v>
      </c>
      <c r="CE19">
        <v>0.19998080645161301</v>
      </c>
      <c r="CF19">
        <v>26.908487096774198</v>
      </c>
      <c r="CG19">
        <v>26.965138709677401</v>
      </c>
      <c r="CH19">
        <v>999.9</v>
      </c>
      <c r="CI19">
        <v>9986.8754838709701</v>
      </c>
      <c r="CJ19">
        <v>0</v>
      </c>
      <c r="CK19">
        <v>143.080903225806</v>
      </c>
      <c r="CL19">
        <v>2200.0490322580599</v>
      </c>
      <c r="CM19">
        <v>0.98200141935483898</v>
      </c>
      <c r="CN19">
        <v>1.79989516129032E-2</v>
      </c>
      <c r="CO19">
        <v>0</v>
      </c>
      <c r="CP19">
        <v>255.600741935484</v>
      </c>
      <c r="CQ19">
        <v>5.00054</v>
      </c>
      <c r="CR19">
        <v>7628.3303225806403</v>
      </c>
      <c r="CS19">
        <v>20590.987096774199</v>
      </c>
      <c r="CT19">
        <v>50.610709677419401</v>
      </c>
      <c r="CU19">
        <v>51.872709677419301</v>
      </c>
      <c r="CV19">
        <v>50.915064516129</v>
      </c>
      <c r="CW19">
        <v>50.838451612903199</v>
      </c>
      <c r="CX19">
        <v>51.667161290322603</v>
      </c>
      <c r="CY19">
        <v>2155.5403225806499</v>
      </c>
      <c r="CZ19">
        <v>39.508709677419397</v>
      </c>
      <c r="DA19">
        <v>0</v>
      </c>
      <c r="DB19">
        <v>118</v>
      </c>
      <c r="DC19">
        <v>255.59200000000001</v>
      </c>
      <c r="DD19">
        <v>-1.0378119565387001</v>
      </c>
      <c r="DE19">
        <v>-25.693675222114901</v>
      </c>
      <c r="DF19">
        <v>7627.9792307692296</v>
      </c>
      <c r="DG19">
        <v>15</v>
      </c>
      <c r="DH19">
        <v>1595604222.3</v>
      </c>
      <c r="DI19" t="s">
        <v>297</v>
      </c>
      <c r="DJ19">
        <v>3</v>
      </c>
      <c r="DK19">
        <v>-0.443</v>
      </c>
      <c r="DL19">
        <v>0.12</v>
      </c>
      <c r="DM19">
        <v>200</v>
      </c>
      <c r="DN19">
        <v>17</v>
      </c>
      <c r="DO19">
        <v>0.3</v>
      </c>
      <c r="DP19">
        <v>0.04</v>
      </c>
      <c r="DQ19">
        <v>194.18339215686299</v>
      </c>
      <c r="DR19">
        <v>-0.16278733031676201</v>
      </c>
      <c r="DS19">
        <v>2.49022232501224E-2</v>
      </c>
      <c r="DT19">
        <v>1</v>
      </c>
      <c r="DU19">
        <v>19.662231372549002</v>
      </c>
      <c r="DV19">
        <v>0.194430407239819</v>
      </c>
      <c r="DW19">
        <v>2.45209993254768E-2</v>
      </c>
      <c r="DX19">
        <v>1</v>
      </c>
      <c r="DY19">
        <v>2</v>
      </c>
      <c r="DZ19">
        <v>2</v>
      </c>
      <c r="EA19" t="s">
        <v>283</v>
      </c>
      <c r="EB19">
        <v>1.86677</v>
      </c>
      <c r="EC19">
        <v>1.8632599999999999</v>
      </c>
      <c r="ED19">
        <v>1.8689800000000001</v>
      </c>
      <c r="EE19">
        <v>1.8669100000000001</v>
      </c>
      <c r="EF19">
        <v>1.87158</v>
      </c>
      <c r="EG19">
        <v>1.8640399999999999</v>
      </c>
      <c r="EH19">
        <v>1.8656900000000001</v>
      </c>
      <c r="EI19">
        <v>1.86557</v>
      </c>
      <c r="EJ19" t="s">
        <v>284</v>
      </c>
      <c r="EK19" t="s">
        <v>19</v>
      </c>
      <c r="EL19" t="s">
        <v>19</v>
      </c>
      <c r="EM19" t="s">
        <v>19</v>
      </c>
      <c r="EN19" t="s">
        <v>285</v>
      </c>
      <c r="EO19" t="s">
        <v>286</v>
      </c>
      <c r="EP19" t="s">
        <v>287</v>
      </c>
      <c r="EQ19" t="s">
        <v>287</v>
      </c>
      <c r="ER19" t="s">
        <v>287</v>
      </c>
      <c r="ES19" t="s">
        <v>287</v>
      </c>
      <c r="ET19">
        <v>0</v>
      </c>
      <c r="EU19">
        <v>100</v>
      </c>
      <c r="EV19">
        <v>100</v>
      </c>
      <c r="EW19">
        <v>-0.443</v>
      </c>
      <c r="EX19">
        <v>0.12</v>
      </c>
      <c r="EY19">
        <v>2</v>
      </c>
      <c r="EZ19">
        <v>340.36200000000002</v>
      </c>
      <c r="FA19">
        <v>514.73</v>
      </c>
      <c r="FB19">
        <v>21.075600000000001</v>
      </c>
      <c r="FC19">
        <v>32.277000000000001</v>
      </c>
      <c r="FD19">
        <v>30.000800000000002</v>
      </c>
      <c r="FE19">
        <v>32.158700000000003</v>
      </c>
      <c r="FF19">
        <v>32.142299999999999</v>
      </c>
      <c r="FG19">
        <v>12.789099999999999</v>
      </c>
      <c r="FH19">
        <v>37.177300000000002</v>
      </c>
      <c r="FI19">
        <v>15.0282</v>
      </c>
      <c r="FJ19">
        <v>21.099299999999999</v>
      </c>
      <c r="FK19">
        <v>200</v>
      </c>
      <c r="FL19">
        <v>17.1632</v>
      </c>
      <c r="FM19">
        <v>101.157</v>
      </c>
      <c r="FN19">
        <v>101.22199999999999</v>
      </c>
    </row>
    <row r="20" spans="1:170" x14ac:dyDescent="0.25">
      <c r="A20">
        <v>4</v>
      </c>
      <c r="B20">
        <v>1595604313.9000001</v>
      </c>
      <c r="C20">
        <v>353.60000014305098</v>
      </c>
      <c r="D20" t="s">
        <v>298</v>
      </c>
      <c r="E20" t="s">
        <v>299</v>
      </c>
      <c r="G20">
        <v>1595604305.90323</v>
      </c>
      <c r="H20">
        <f t="shared" si="0"/>
        <v>6.4237928131904241E-3</v>
      </c>
      <c r="I20">
        <f t="shared" si="1"/>
        <v>4.609766990956726</v>
      </c>
      <c r="J20">
        <f t="shared" si="2"/>
        <v>97.869632258064499</v>
      </c>
      <c r="K20">
        <f t="shared" si="3"/>
        <v>76.682223212759069</v>
      </c>
      <c r="L20">
        <f t="shared" si="4"/>
        <v>7.6646877605625834</v>
      </c>
      <c r="M20">
        <f t="shared" si="5"/>
        <v>9.7824520608621697</v>
      </c>
      <c r="N20">
        <f t="shared" si="6"/>
        <v>0.41295083058228466</v>
      </c>
      <c r="O20">
        <f t="shared" si="7"/>
        <v>3.3938857287324939</v>
      </c>
      <c r="P20">
        <f t="shared" si="8"/>
        <v>0.38692965984352551</v>
      </c>
      <c r="Q20">
        <f t="shared" si="9"/>
        <v>0.24403217294063698</v>
      </c>
      <c r="R20">
        <f t="shared" si="10"/>
        <v>353.33618700170393</v>
      </c>
      <c r="S20">
        <f t="shared" si="11"/>
        <v>27.38737505331498</v>
      </c>
      <c r="T20">
        <f t="shared" si="12"/>
        <v>27.0400225806452</v>
      </c>
      <c r="U20">
        <f t="shared" si="13"/>
        <v>3.5875815924860288</v>
      </c>
      <c r="V20">
        <f t="shared" si="14"/>
        <v>55.072723778638043</v>
      </c>
      <c r="W20">
        <f t="shared" si="15"/>
        <v>1.9743195451298527</v>
      </c>
      <c r="X20">
        <f t="shared" si="16"/>
        <v>3.5849317223995087</v>
      </c>
      <c r="Y20">
        <f t="shared" si="17"/>
        <v>1.6132620473561761</v>
      </c>
      <c r="Z20">
        <f t="shared" si="18"/>
        <v>-283.28926306169768</v>
      </c>
      <c r="AA20">
        <f t="shared" si="19"/>
        <v>-2.3024855614825213</v>
      </c>
      <c r="AB20">
        <f t="shared" si="20"/>
        <v>-0.14646071639248531</v>
      </c>
      <c r="AC20">
        <f t="shared" si="21"/>
        <v>67.597977662131242</v>
      </c>
      <c r="AD20">
        <v>-4.1353003434403103E-2</v>
      </c>
      <c r="AE20">
        <v>4.6422369077188198E-2</v>
      </c>
      <c r="AF20">
        <v>3.46645300431573</v>
      </c>
      <c r="AG20">
        <v>141</v>
      </c>
      <c r="AH20">
        <v>28</v>
      </c>
      <c r="AI20">
        <f t="shared" si="22"/>
        <v>1</v>
      </c>
      <c r="AJ20">
        <f t="shared" si="23"/>
        <v>0</v>
      </c>
      <c r="AK20">
        <f t="shared" si="24"/>
        <v>52727.448355882938</v>
      </c>
      <c r="AL20">
        <v>0</v>
      </c>
      <c r="AM20">
        <v>0</v>
      </c>
      <c r="AN20">
        <v>0</v>
      </c>
      <c r="AO20">
        <f t="shared" si="25"/>
        <v>0</v>
      </c>
      <c r="AP20" t="e">
        <f t="shared" si="26"/>
        <v>#DIV/0!</v>
      </c>
      <c r="AQ20">
        <v>-1</v>
      </c>
      <c r="AR20" t="s">
        <v>300</v>
      </c>
      <c r="AS20">
        <v>256.72503846153802</v>
      </c>
      <c r="AT20">
        <v>304.05</v>
      </c>
      <c r="AU20">
        <f t="shared" si="27"/>
        <v>0.15564861548581477</v>
      </c>
      <c r="AV20">
        <v>0.5</v>
      </c>
      <c r="AW20">
        <f t="shared" si="28"/>
        <v>1849.1742190638236</v>
      </c>
      <c r="AX20">
        <f t="shared" si="29"/>
        <v>4.609766990956726</v>
      </c>
      <c r="AY20">
        <f t="shared" si="30"/>
        <v>143.91070349467344</v>
      </c>
      <c r="AZ20">
        <f t="shared" si="31"/>
        <v>0.37260319026475913</v>
      </c>
      <c r="BA20">
        <f t="shared" si="32"/>
        <v>3.0336606108410744E-3</v>
      </c>
      <c r="BB20">
        <f t="shared" si="33"/>
        <v>-1</v>
      </c>
      <c r="BC20" t="s">
        <v>301</v>
      </c>
      <c r="BD20">
        <v>190.76</v>
      </c>
      <c r="BE20">
        <f t="shared" si="34"/>
        <v>113.29000000000002</v>
      </c>
      <c r="BF20">
        <f t="shared" si="35"/>
        <v>0.41773291145257291</v>
      </c>
      <c r="BG20">
        <f t="shared" si="36"/>
        <v>1.5938876074648776</v>
      </c>
      <c r="BH20">
        <f t="shared" si="37"/>
        <v>0.1556486154858148</v>
      </c>
      <c r="BI20" t="e">
        <f t="shared" si="38"/>
        <v>#DIV/0!</v>
      </c>
      <c r="BJ20">
        <v>5215</v>
      </c>
      <c r="BK20">
        <v>300</v>
      </c>
      <c r="BL20">
        <v>300</v>
      </c>
      <c r="BM20">
        <v>300</v>
      </c>
      <c r="BN20">
        <v>9890.07</v>
      </c>
      <c r="BO20">
        <v>291.95400000000001</v>
      </c>
      <c r="BP20">
        <v>-6.4140400000000002E-3</v>
      </c>
      <c r="BQ20">
        <v>0.62747200000000003</v>
      </c>
      <c r="BR20">
        <f t="shared" si="39"/>
        <v>2199.9864516129001</v>
      </c>
      <c r="BS20">
        <f t="shared" si="40"/>
        <v>1849.1742190638236</v>
      </c>
      <c r="BT20">
        <f t="shared" si="41"/>
        <v>0.84053891227744526</v>
      </c>
      <c r="BU20">
        <f t="shared" si="42"/>
        <v>0.1910778245548905</v>
      </c>
      <c r="BV20">
        <v>0.5</v>
      </c>
      <c r="BW20" t="s">
        <v>281</v>
      </c>
      <c r="BX20">
        <v>1595604305.90323</v>
      </c>
      <c r="BY20">
        <v>97.869632258064499</v>
      </c>
      <c r="BZ20">
        <v>99.964738709677405</v>
      </c>
      <c r="CA20">
        <v>19.752300000000002</v>
      </c>
      <c r="CB20">
        <v>17.2338709677419</v>
      </c>
      <c r="CC20">
        <v>500.06635483871003</v>
      </c>
      <c r="CD20">
        <v>99.753909677419401</v>
      </c>
      <c r="CE20">
        <v>0.199996709677419</v>
      </c>
      <c r="CF20">
        <v>27.027438709677401</v>
      </c>
      <c r="CG20">
        <v>27.0400225806452</v>
      </c>
      <c r="CH20">
        <v>999.9</v>
      </c>
      <c r="CI20">
        <v>9997.0796774193495</v>
      </c>
      <c r="CJ20">
        <v>0</v>
      </c>
      <c r="CK20">
        <v>139.64658064516101</v>
      </c>
      <c r="CL20">
        <v>2199.9864516129001</v>
      </c>
      <c r="CM20">
        <v>0.98199583870967799</v>
      </c>
      <c r="CN20">
        <v>1.8003819354838701E-2</v>
      </c>
      <c r="CO20">
        <v>0</v>
      </c>
      <c r="CP20">
        <v>256.72674193548397</v>
      </c>
      <c r="CQ20">
        <v>5.00054</v>
      </c>
      <c r="CR20">
        <v>7650.6109677419399</v>
      </c>
      <c r="CS20">
        <v>20590.3838709677</v>
      </c>
      <c r="CT20">
        <v>50.140999999999998</v>
      </c>
      <c r="CU20">
        <v>51.693322580645201</v>
      </c>
      <c r="CV20">
        <v>50.560064516129003</v>
      </c>
      <c r="CW20">
        <v>50.399000000000001</v>
      </c>
      <c r="CX20">
        <v>51.2901290322581</v>
      </c>
      <c r="CY20">
        <v>2155.4664516129001</v>
      </c>
      <c r="CZ20">
        <v>39.520000000000003</v>
      </c>
      <c r="DA20">
        <v>0</v>
      </c>
      <c r="DB20">
        <v>116.5</v>
      </c>
      <c r="DC20">
        <v>256.72503846153802</v>
      </c>
      <c r="DD20">
        <v>-0.64345298465457801</v>
      </c>
      <c r="DE20">
        <v>-9.0505983422820702</v>
      </c>
      <c r="DF20">
        <v>7650.34884615385</v>
      </c>
      <c r="DG20">
        <v>15</v>
      </c>
      <c r="DH20">
        <v>1595604337.9000001</v>
      </c>
      <c r="DI20" t="s">
        <v>302</v>
      </c>
      <c r="DJ20">
        <v>4</v>
      </c>
      <c r="DK20">
        <v>-0.38900000000000001</v>
      </c>
      <c r="DL20">
        <v>0.122</v>
      </c>
      <c r="DM20">
        <v>100</v>
      </c>
      <c r="DN20">
        <v>17</v>
      </c>
      <c r="DO20">
        <v>0.35</v>
      </c>
      <c r="DP20">
        <v>0.03</v>
      </c>
      <c r="DQ20">
        <v>97.824227450980402</v>
      </c>
      <c r="DR20">
        <v>-9.1596059046308104E-2</v>
      </c>
      <c r="DS20">
        <v>1.36515470419929E-2</v>
      </c>
      <c r="DT20">
        <v>1</v>
      </c>
      <c r="DU20">
        <v>19.7409392156863</v>
      </c>
      <c r="DV20">
        <v>0.112947598664789</v>
      </c>
      <c r="DW20">
        <v>1.3898625668147299E-2</v>
      </c>
      <c r="DX20">
        <v>1</v>
      </c>
      <c r="DY20">
        <v>2</v>
      </c>
      <c r="DZ20">
        <v>2</v>
      </c>
      <c r="EA20" t="s">
        <v>283</v>
      </c>
      <c r="EB20">
        <v>1.86676</v>
      </c>
      <c r="EC20">
        <v>1.8632599999999999</v>
      </c>
      <c r="ED20">
        <v>1.8689</v>
      </c>
      <c r="EE20">
        <v>1.8668499999999999</v>
      </c>
      <c r="EF20">
        <v>1.8714999999999999</v>
      </c>
      <c r="EG20">
        <v>1.8640099999999999</v>
      </c>
      <c r="EH20">
        <v>1.8656699999999999</v>
      </c>
      <c r="EI20">
        <v>1.86554</v>
      </c>
      <c r="EJ20" t="s">
        <v>284</v>
      </c>
      <c r="EK20" t="s">
        <v>19</v>
      </c>
      <c r="EL20" t="s">
        <v>19</v>
      </c>
      <c r="EM20" t="s">
        <v>19</v>
      </c>
      <c r="EN20" t="s">
        <v>285</v>
      </c>
      <c r="EO20" t="s">
        <v>286</v>
      </c>
      <c r="EP20" t="s">
        <v>287</v>
      </c>
      <c r="EQ20" t="s">
        <v>287</v>
      </c>
      <c r="ER20" t="s">
        <v>287</v>
      </c>
      <c r="ES20" t="s">
        <v>287</v>
      </c>
      <c r="ET20">
        <v>0</v>
      </c>
      <c r="EU20">
        <v>100</v>
      </c>
      <c r="EV20">
        <v>100</v>
      </c>
      <c r="EW20">
        <v>-0.38900000000000001</v>
      </c>
      <c r="EX20">
        <v>0.122</v>
      </c>
      <c r="EY20">
        <v>2</v>
      </c>
      <c r="EZ20">
        <v>340.86200000000002</v>
      </c>
      <c r="FA20">
        <v>512.74099999999999</v>
      </c>
      <c r="FB20">
        <v>20.792000000000002</v>
      </c>
      <c r="FC20">
        <v>32.463299999999997</v>
      </c>
      <c r="FD20">
        <v>30.000900000000001</v>
      </c>
      <c r="FE20">
        <v>32.354199999999999</v>
      </c>
      <c r="FF20">
        <v>32.340200000000003</v>
      </c>
      <c r="FG20">
        <v>7.9941800000000001</v>
      </c>
      <c r="FH20">
        <v>37.730600000000003</v>
      </c>
      <c r="FI20">
        <v>12.018800000000001</v>
      </c>
      <c r="FJ20">
        <v>20.785900000000002</v>
      </c>
      <c r="FK20">
        <v>100</v>
      </c>
      <c r="FL20">
        <v>17.148399999999999</v>
      </c>
      <c r="FM20">
        <v>101.11799999999999</v>
      </c>
      <c r="FN20">
        <v>101.185</v>
      </c>
    </row>
    <row r="21" spans="1:170" x14ac:dyDescent="0.25">
      <c r="A21">
        <v>5</v>
      </c>
      <c r="B21">
        <v>1595604429.4000001</v>
      </c>
      <c r="C21">
        <v>469.10000014305098</v>
      </c>
      <c r="D21" t="s">
        <v>303</v>
      </c>
      <c r="E21" t="s">
        <v>304</v>
      </c>
      <c r="G21">
        <v>1595604421.43871</v>
      </c>
      <c r="H21">
        <f t="shared" si="0"/>
        <v>7.1044424404013975E-3</v>
      </c>
      <c r="I21">
        <f t="shared" si="1"/>
        <v>0.18905411754396034</v>
      </c>
      <c r="J21">
        <f t="shared" si="2"/>
        <v>49.683874193548398</v>
      </c>
      <c r="K21">
        <f t="shared" si="3"/>
        <v>47.720772587565854</v>
      </c>
      <c r="L21">
        <f t="shared" si="4"/>
        <v>4.7701282254112458</v>
      </c>
      <c r="M21">
        <f t="shared" si="5"/>
        <v>4.9663582081271462</v>
      </c>
      <c r="N21">
        <f t="shared" si="6"/>
        <v>0.46432252228067084</v>
      </c>
      <c r="O21">
        <f t="shared" si="7"/>
        <v>3.3949901548089381</v>
      </c>
      <c r="P21">
        <f t="shared" si="8"/>
        <v>0.4317085557311755</v>
      </c>
      <c r="Q21">
        <f t="shared" si="9"/>
        <v>0.27255694211415632</v>
      </c>
      <c r="R21">
        <f t="shared" si="10"/>
        <v>353.33895187220151</v>
      </c>
      <c r="S21">
        <f t="shared" si="11"/>
        <v>27.200028470296211</v>
      </c>
      <c r="T21">
        <f t="shared" si="12"/>
        <v>26.969745161290302</v>
      </c>
      <c r="U21">
        <f t="shared" si="13"/>
        <v>3.5728046655653696</v>
      </c>
      <c r="V21">
        <f t="shared" si="14"/>
        <v>55.155620376263961</v>
      </c>
      <c r="W21">
        <f t="shared" si="15"/>
        <v>1.9734559209570572</v>
      </c>
      <c r="X21">
        <f t="shared" si="16"/>
        <v>3.5779779240889971</v>
      </c>
      <c r="Y21">
        <f t="shared" si="17"/>
        <v>1.5993487446083123</v>
      </c>
      <c r="Z21">
        <f t="shared" si="18"/>
        <v>-313.30591162170163</v>
      </c>
      <c r="AA21">
        <f t="shared" si="19"/>
        <v>4.5084596633847536</v>
      </c>
      <c r="AB21">
        <f t="shared" si="20"/>
        <v>0.28654097400115747</v>
      </c>
      <c r="AC21">
        <f t="shared" si="21"/>
        <v>44.82804088788582</v>
      </c>
      <c r="AD21">
        <v>-4.13701114205514E-2</v>
      </c>
      <c r="AE21">
        <v>4.64415742903816E-2</v>
      </c>
      <c r="AF21">
        <v>3.4675874519103802</v>
      </c>
      <c r="AG21">
        <v>143</v>
      </c>
      <c r="AH21">
        <v>29</v>
      </c>
      <c r="AI21">
        <f t="shared" si="22"/>
        <v>1</v>
      </c>
      <c r="AJ21">
        <f t="shared" si="23"/>
        <v>0</v>
      </c>
      <c r="AK21">
        <f t="shared" si="24"/>
        <v>52754.297836497244</v>
      </c>
      <c r="AL21">
        <v>0</v>
      </c>
      <c r="AM21">
        <v>0</v>
      </c>
      <c r="AN21">
        <v>0</v>
      </c>
      <c r="AO21">
        <f t="shared" si="25"/>
        <v>0</v>
      </c>
      <c r="AP21" t="e">
        <f t="shared" si="26"/>
        <v>#DIV/0!</v>
      </c>
      <c r="AQ21">
        <v>-1</v>
      </c>
      <c r="AR21" t="s">
        <v>305</v>
      </c>
      <c r="AS21">
        <v>257.90596153846201</v>
      </c>
      <c r="AT21">
        <v>301.976</v>
      </c>
      <c r="AU21">
        <f t="shared" si="27"/>
        <v>0.14593887746555356</v>
      </c>
      <c r="AV21">
        <v>0.5</v>
      </c>
      <c r="AW21">
        <f t="shared" si="28"/>
        <v>1849.1885997089876</v>
      </c>
      <c r="AX21">
        <f t="shared" si="29"/>
        <v>0.18905411754396034</v>
      </c>
      <c r="AY21">
        <f t="shared" si="30"/>
        <v>134.93425423181426</v>
      </c>
      <c r="AZ21">
        <f t="shared" si="31"/>
        <v>0.3718706122340848</v>
      </c>
      <c r="BA21">
        <f t="shared" si="32"/>
        <v>6.430139779853096E-4</v>
      </c>
      <c r="BB21">
        <f t="shared" si="33"/>
        <v>-1</v>
      </c>
      <c r="BC21" t="s">
        <v>306</v>
      </c>
      <c r="BD21">
        <v>189.68</v>
      </c>
      <c r="BE21">
        <f t="shared" si="34"/>
        <v>112.29599999999999</v>
      </c>
      <c r="BF21">
        <f t="shared" si="35"/>
        <v>0.39244530937467048</v>
      </c>
      <c r="BG21">
        <f t="shared" si="36"/>
        <v>1.5920286798819063</v>
      </c>
      <c r="BH21">
        <f t="shared" si="37"/>
        <v>0.14593887746555353</v>
      </c>
      <c r="BI21" t="e">
        <f t="shared" si="38"/>
        <v>#DIV/0!</v>
      </c>
      <c r="BJ21">
        <v>5217</v>
      </c>
      <c r="BK21">
        <v>300</v>
      </c>
      <c r="BL21">
        <v>300</v>
      </c>
      <c r="BM21">
        <v>300</v>
      </c>
      <c r="BN21">
        <v>9891.09</v>
      </c>
      <c r="BO21">
        <v>287.90899999999999</v>
      </c>
      <c r="BP21">
        <v>-6.4147400000000004E-3</v>
      </c>
      <c r="BQ21">
        <v>-1.40076E-2</v>
      </c>
      <c r="BR21">
        <f t="shared" si="39"/>
        <v>2200.0035483871002</v>
      </c>
      <c r="BS21">
        <f t="shared" si="40"/>
        <v>1849.1885997089876</v>
      </c>
      <c r="BT21">
        <f t="shared" si="41"/>
        <v>0.84053891688706261</v>
      </c>
      <c r="BU21">
        <f t="shared" si="42"/>
        <v>0.19107783377412532</v>
      </c>
      <c r="BV21">
        <v>0.5</v>
      </c>
      <c r="BW21" t="s">
        <v>281</v>
      </c>
      <c r="BX21">
        <v>1595604421.43871</v>
      </c>
      <c r="BY21">
        <v>49.683874193548398</v>
      </c>
      <c r="BZ21">
        <v>49.900658064516101</v>
      </c>
      <c r="CA21">
        <v>19.7426225806452</v>
      </c>
      <c r="CB21">
        <v>16.957312903225802</v>
      </c>
      <c r="CC21">
        <v>500.06519354838701</v>
      </c>
      <c r="CD21">
        <v>99.759177419354799</v>
      </c>
      <c r="CE21">
        <v>0.19998012903225801</v>
      </c>
      <c r="CF21">
        <v>26.994377419354802</v>
      </c>
      <c r="CG21">
        <v>26.969745161290302</v>
      </c>
      <c r="CH21">
        <v>999.9</v>
      </c>
      <c r="CI21">
        <v>10000.687419354799</v>
      </c>
      <c r="CJ21">
        <v>0</v>
      </c>
      <c r="CK21">
        <v>136.25103225806501</v>
      </c>
      <c r="CL21">
        <v>2200.0035483871002</v>
      </c>
      <c r="CM21">
        <v>0.98199435483871</v>
      </c>
      <c r="CN21">
        <v>1.80053774193548E-2</v>
      </c>
      <c r="CO21">
        <v>0</v>
      </c>
      <c r="CP21">
        <v>257.92399999999998</v>
      </c>
      <c r="CQ21">
        <v>5.00054</v>
      </c>
      <c r="CR21">
        <v>7686.9548387096802</v>
      </c>
      <c r="CS21">
        <v>20590.538709677399</v>
      </c>
      <c r="CT21">
        <v>49.862806451612897</v>
      </c>
      <c r="CU21">
        <v>51.5663225806451</v>
      </c>
      <c r="CV21">
        <v>50.308064516129001</v>
      </c>
      <c r="CW21">
        <v>50.253999999999998</v>
      </c>
      <c r="CX21">
        <v>51.060258064516098</v>
      </c>
      <c r="CY21">
        <v>2155.4829032258099</v>
      </c>
      <c r="CZ21">
        <v>39.520645161290297</v>
      </c>
      <c r="DA21">
        <v>0</v>
      </c>
      <c r="DB21">
        <v>114.700000047684</v>
      </c>
      <c r="DC21">
        <v>257.90596153846201</v>
      </c>
      <c r="DD21">
        <v>-3.2376054610961297E-2</v>
      </c>
      <c r="DE21">
        <v>16.092649577236699</v>
      </c>
      <c r="DF21">
        <v>7687.0950000000003</v>
      </c>
      <c r="DG21">
        <v>15</v>
      </c>
      <c r="DH21">
        <v>1595604458.4000001</v>
      </c>
      <c r="DI21" t="s">
        <v>307</v>
      </c>
      <c r="DJ21">
        <v>5</v>
      </c>
      <c r="DK21">
        <v>-0.38600000000000001</v>
      </c>
      <c r="DL21">
        <v>0.11799999999999999</v>
      </c>
      <c r="DM21">
        <v>50</v>
      </c>
      <c r="DN21">
        <v>17</v>
      </c>
      <c r="DO21">
        <v>0.36</v>
      </c>
      <c r="DP21">
        <v>0.04</v>
      </c>
      <c r="DQ21">
        <v>49.681850980392198</v>
      </c>
      <c r="DR21">
        <v>-2.3312788462797499E-2</v>
      </c>
      <c r="DS21">
        <v>1.6219068571078299E-2</v>
      </c>
      <c r="DT21">
        <v>1</v>
      </c>
      <c r="DU21">
        <v>19.739703921568601</v>
      </c>
      <c r="DV21">
        <v>6.5556649230876604E-2</v>
      </c>
      <c r="DW21">
        <v>8.2621499548364494E-3</v>
      </c>
      <c r="DX21">
        <v>1</v>
      </c>
      <c r="DY21">
        <v>2</v>
      </c>
      <c r="DZ21">
        <v>2</v>
      </c>
      <c r="EA21" t="s">
        <v>283</v>
      </c>
      <c r="EB21">
        <v>1.86676</v>
      </c>
      <c r="EC21">
        <v>1.86327</v>
      </c>
      <c r="ED21">
        <v>1.86896</v>
      </c>
      <c r="EE21">
        <v>1.8669100000000001</v>
      </c>
      <c r="EF21">
        <v>1.87158</v>
      </c>
      <c r="EG21">
        <v>1.86402</v>
      </c>
      <c r="EH21">
        <v>1.8656900000000001</v>
      </c>
      <c r="EI21">
        <v>1.86555</v>
      </c>
      <c r="EJ21" t="s">
        <v>284</v>
      </c>
      <c r="EK21" t="s">
        <v>19</v>
      </c>
      <c r="EL21" t="s">
        <v>19</v>
      </c>
      <c r="EM21" t="s">
        <v>19</v>
      </c>
      <c r="EN21" t="s">
        <v>285</v>
      </c>
      <c r="EO21" t="s">
        <v>286</v>
      </c>
      <c r="EP21" t="s">
        <v>287</v>
      </c>
      <c r="EQ21" t="s">
        <v>287</v>
      </c>
      <c r="ER21" t="s">
        <v>287</v>
      </c>
      <c r="ES21" t="s">
        <v>287</v>
      </c>
      <c r="ET21">
        <v>0</v>
      </c>
      <c r="EU21">
        <v>100</v>
      </c>
      <c r="EV21">
        <v>100</v>
      </c>
      <c r="EW21">
        <v>-0.38600000000000001</v>
      </c>
      <c r="EX21">
        <v>0.11799999999999999</v>
      </c>
      <c r="EY21">
        <v>2</v>
      </c>
      <c r="EZ21">
        <v>339.50599999999997</v>
      </c>
      <c r="FA21">
        <v>510.83499999999998</v>
      </c>
      <c r="FB21">
        <v>21.330300000000001</v>
      </c>
      <c r="FC21">
        <v>32.677300000000002</v>
      </c>
      <c r="FD21">
        <v>30.000599999999999</v>
      </c>
      <c r="FE21">
        <v>32.558500000000002</v>
      </c>
      <c r="FF21">
        <v>32.541699999999999</v>
      </c>
      <c r="FG21">
        <v>5.6094200000000001</v>
      </c>
      <c r="FH21">
        <v>39.325899999999997</v>
      </c>
      <c r="FI21">
        <v>8.2339400000000005</v>
      </c>
      <c r="FJ21">
        <v>21.344100000000001</v>
      </c>
      <c r="FK21">
        <v>50</v>
      </c>
      <c r="FL21">
        <v>16.844999999999999</v>
      </c>
      <c r="FM21">
        <v>101.07899999999999</v>
      </c>
      <c r="FN21">
        <v>101.151</v>
      </c>
    </row>
    <row r="22" spans="1:170" x14ac:dyDescent="0.25">
      <c r="A22">
        <v>6</v>
      </c>
      <c r="B22">
        <v>1595604551.4000001</v>
      </c>
      <c r="C22">
        <v>591.10000014305103</v>
      </c>
      <c r="D22" t="s">
        <v>308</v>
      </c>
      <c r="E22" t="s">
        <v>309</v>
      </c>
      <c r="G22">
        <v>1595604543.4354801</v>
      </c>
      <c r="H22">
        <f t="shared" si="0"/>
        <v>7.5605239347563691E-3</v>
      </c>
      <c r="I22">
        <f t="shared" si="1"/>
        <v>29.324259984075255</v>
      </c>
      <c r="J22">
        <f t="shared" si="2"/>
        <v>387.07203225806501</v>
      </c>
      <c r="K22">
        <f t="shared" si="3"/>
        <v>278.04560091988952</v>
      </c>
      <c r="L22">
        <f t="shared" si="4"/>
        <v>27.792817948216506</v>
      </c>
      <c r="M22">
        <f t="shared" si="5"/>
        <v>38.690856786812219</v>
      </c>
      <c r="N22">
        <f t="shared" si="6"/>
        <v>0.49979585122553682</v>
      </c>
      <c r="O22">
        <f t="shared" si="7"/>
        <v>3.394293775749412</v>
      </c>
      <c r="P22">
        <f t="shared" si="8"/>
        <v>0.46221721302969082</v>
      </c>
      <c r="Q22">
        <f t="shared" si="9"/>
        <v>0.29202624066318705</v>
      </c>
      <c r="R22">
        <f t="shared" si="10"/>
        <v>353.33608435979716</v>
      </c>
      <c r="S22">
        <f t="shared" si="11"/>
        <v>27.302031024334457</v>
      </c>
      <c r="T22">
        <f t="shared" si="12"/>
        <v>26.9808032258065</v>
      </c>
      <c r="U22">
        <f t="shared" si="13"/>
        <v>3.5751262683176308</v>
      </c>
      <c r="V22">
        <f t="shared" si="14"/>
        <v>54.829934755952351</v>
      </c>
      <c r="W22">
        <f t="shared" si="15"/>
        <v>1.9855875638581197</v>
      </c>
      <c r="X22">
        <f t="shared" si="16"/>
        <v>3.6213567874847121</v>
      </c>
      <c r="Y22">
        <f t="shared" si="17"/>
        <v>1.5895387044595111</v>
      </c>
      <c r="Z22">
        <f t="shared" si="18"/>
        <v>-333.4191055227559</v>
      </c>
      <c r="AA22">
        <f t="shared" si="19"/>
        <v>40.058384646814666</v>
      </c>
      <c r="AB22">
        <f t="shared" si="20"/>
        <v>2.5492413493379051</v>
      </c>
      <c r="AC22">
        <f t="shared" si="21"/>
        <v>62.524604833193855</v>
      </c>
      <c r="AD22">
        <v>-4.1359323947358501E-2</v>
      </c>
      <c r="AE22">
        <v>4.6429464406687999E-2</v>
      </c>
      <c r="AF22">
        <v>3.4668721427254701</v>
      </c>
      <c r="AG22">
        <v>144</v>
      </c>
      <c r="AH22">
        <v>29</v>
      </c>
      <c r="AI22">
        <f t="shared" si="22"/>
        <v>1</v>
      </c>
      <c r="AJ22">
        <f t="shared" si="23"/>
        <v>0</v>
      </c>
      <c r="AK22">
        <f t="shared" si="24"/>
        <v>52704.999564837264</v>
      </c>
      <c r="AL22">
        <v>0</v>
      </c>
      <c r="AM22">
        <v>0</v>
      </c>
      <c r="AN22">
        <v>0</v>
      </c>
      <c r="AO22">
        <f t="shared" si="25"/>
        <v>0</v>
      </c>
      <c r="AP22" t="e">
        <f t="shared" si="26"/>
        <v>#DIV/0!</v>
      </c>
      <c r="AQ22">
        <v>-1</v>
      </c>
      <c r="AR22" t="s">
        <v>310</v>
      </c>
      <c r="AS22">
        <v>254.43819230769199</v>
      </c>
      <c r="AT22">
        <v>328.81200000000001</v>
      </c>
      <c r="AU22">
        <f t="shared" si="27"/>
        <v>0.22618945686990743</v>
      </c>
      <c r="AV22">
        <v>0.5</v>
      </c>
      <c r="AW22">
        <f t="shared" si="28"/>
        <v>1849.1736773021826</v>
      </c>
      <c r="AX22">
        <f t="shared" si="29"/>
        <v>29.324259984075255</v>
      </c>
      <c r="AY22">
        <f t="shared" si="30"/>
        <v>209.13179486355509</v>
      </c>
      <c r="AZ22">
        <f t="shared" si="31"/>
        <v>0.45981290220551563</v>
      </c>
      <c r="BA22">
        <f t="shared" si="32"/>
        <v>1.6398816593753522E-2</v>
      </c>
      <c r="BB22">
        <f t="shared" si="33"/>
        <v>-1</v>
      </c>
      <c r="BC22" t="s">
        <v>311</v>
      </c>
      <c r="BD22">
        <v>177.62</v>
      </c>
      <c r="BE22">
        <f t="shared" si="34"/>
        <v>151.19200000000001</v>
      </c>
      <c r="BF22">
        <f t="shared" si="35"/>
        <v>0.49191628983218699</v>
      </c>
      <c r="BG22">
        <f t="shared" si="36"/>
        <v>1.8512104492737305</v>
      </c>
      <c r="BH22">
        <f t="shared" si="37"/>
        <v>0.22618945686990749</v>
      </c>
      <c r="BI22" t="e">
        <f t="shared" si="38"/>
        <v>#DIV/0!</v>
      </c>
      <c r="BJ22">
        <v>5219</v>
      </c>
      <c r="BK22">
        <v>300</v>
      </c>
      <c r="BL22">
        <v>300</v>
      </c>
      <c r="BM22">
        <v>300</v>
      </c>
      <c r="BN22">
        <v>9890.42</v>
      </c>
      <c r="BO22">
        <v>306.66300000000001</v>
      </c>
      <c r="BP22">
        <v>-6.4145299999999999E-3</v>
      </c>
      <c r="BQ22">
        <v>0.74240099999999998</v>
      </c>
      <c r="BR22">
        <f t="shared" si="39"/>
        <v>2199.9858064516102</v>
      </c>
      <c r="BS22">
        <f t="shared" si="40"/>
        <v>1849.1736773021826</v>
      </c>
      <c r="BT22">
        <f t="shared" si="41"/>
        <v>0.84053891251450497</v>
      </c>
      <c r="BU22">
        <f t="shared" si="42"/>
        <v>0.19107782502900986</v>
      </c>
      <c r="BV22">
        <v>0.5</v>
      </c>
      <c r="BW22" t="s">
        <v>281</v>
      </c>
      <c r="BX22">
        <v>1595604543.4354801</v>
      </c>
      <c r="BY22">
        <v>387.07203225806501</v>
      </c>
      <c r="BZ22">
        <v>399.97058064516102</v>
      </c>
      <c r="CA22">
        <v>19.864264516129001</v>
      </c>
      <c r="CB22">
        <v>16.900529032258099</v>
      </c>
      <c r="CC22">
        <v>500.06754838709702</v>
      </c>
      <c r="CD22">
        <v>99.757780645161304</v>
      </c>
      <c r="CE22">
        <v>0.19998835483871</v>
      </c>
      <c r="CF22">
        <v>27.1997096774193</v>
      </c>
      <c r="CG22">
        <v>26.9808032258065</v>
      </c>
      <c r="CH22">
        <v>999.9</v>
      </c>
      <c r="CI22">
        <v>9998.2196774193508</v>
      </c>
      <c r="CJ22">
        <v>0</v>
      </c>
      <c r="CK22">
        <v>142.71038709677401</v>
      </c>
      <c r="CL22">
        <v>2199.9858064516102</v>
      </c>
      <c r="CM22">
        <v>0.98199532258064504</v>
      </c>
      <c r="CN22">
        <v>1.8004361290322599E-2</v>
      </c>
      <c r="CO22">
        <v>0</v>
      </c>
      <c r="CP22">
        <v>254.44103225806401</v>
      </c>
      <c r="CQ22">
        <v>5.00054</v>
      </c>
      <c r="CR22">
        <v>7657.94</v>
      </c>
      <c r="CS22">
        <v>20590.3838709677</v>
      </c>
      <c r="CT22">
        <v>49.600612903225802</v>
      </c>
      <c r="CU22">
        <v>51.408999999999999</v>
      </c>
      <c r="CV22">
        <v>50.076225806451603</v>
      </c>
      <c r="CW22">
        <v>50.100612903225802</v>
      </c>
      <c r="CX22">
        <v>50.880935483870999</v>
      </c>
      <c r="CY22">
        <v>2155.4654838709698</v>
      </c>
      <c r="CZ22">
        <v>39.520000000000003</v>
      </c>
      <c r="DA22">
        <v>0</v>
      </c>
      <c r="DB22">
        <v>121.40000009536701</v>
      </c>
      <c r="DC22">
        <v>254.43819230769199</v>
      </c>
      <c r="DD22">
        <v>1.31456409380121</v>
      </c>
      <c r="DE22">
        <v>93.515213657560693</v>
      </c>
      <c r="DF22">
        <v>7658.65769230769</v>
      </c>
      <c r="DG22">
        <v>15</v>
      </c>
      <c r="DH22">
        <v>1595604575.5</v>
      </c>
      <c r="DI22" t="s">
        <v>312</v>
      </c>
      <c r="DJ22">
        <v>6</v>
      </c>
      <c r="DK22">
        <v>-0.39200000000000002</v>
      </c>
      <c r="DL22">
        <v>0.112</v>
      </c>
      <c r="DM22">
        <v>400</v>
      </c>
      <c r="DN22">
        <v>17</v>
      </c>
      <c r="DO22">
        <v>0.1</v>
      </c>
      <c r="DP22">
        <v>0.03</v>
      </c>
      <c r="DQ22">
        <v>387.05149019607802</v>
      </c>
      <c r="DR22">
        <v>0.29022227134255701</v>
      </c>
      <c r="DS22">
        <v>3.8039902965293498E-2</v>
      </c>
      <c r="DT22">
        <v>1</v>
      </c>
      <c r="DU22">
        <v>19.856860784313699</v>
      </c>
      <c r="DV22">
        <v>0.14934874465787801</v>
      </c>
      <c r="DW22">
        <v>1.8341703028156599E-2</v>
      </c>
      <c r="DX22">
        <v>1</v>
      </c>
      <c r="DY22">
        <v>2</v>
      </c>
      <c r="DZ22">
        <v>2</v>
      </c>
      <c r="EA22" t="s">
        <v>283</v>
      </c>
      <c r="EB22">
        <v>1.8668100000000001</v>
      </c>
      <c r="EC22">
        <v>1.8633</v>
      </c>
      <c r="ED22">
        <v>1.8690100000000001</v>
      </c>
      <c r="EE22">
        <v>1.8669100000000001</v>
      </c>
      <c r="EF22">
        <v>1.8715999999999999</v>
      </c>
      <c r="EG22">
        <v>1.8640600000000001</v>
      </c>
      <c r="EH22">
        <v>1.8656900000000001</v>
      </c>
      <c r="EI22">
        <v>1.86558</v>
      </c>
      <c r="EJ22" t="s">
        <v>284</v>
      </c>
      <c r="EK22" t="s">
        <v>19</v>
      </c>
      <c r="EL22" t="s">
        <v>19</v>
      </c>
      <c r="EM22" t="s">
        <v>19</v>
      </c>
      <c r="EN22" t="s">
        <v>285</v>
      </c>
      <c r="EO22" t="s">
        <v>286</v>
      </c>
      <c r="EP22" t="s">
        <v>287</v>
      </c>
      <c r="EQ22" t="s">
        <v>287</v>
      </c>
      <c r="ER22" t="s">
        <v>287</v>
      </c>
      <c r="ES22" t="s">
        <v>287</v>
      </c>
      <c r="ET22">
        <v>0</v>
      </c>
      <c r="EU22">
        <v>100</v>
      </c>
      <c r="EV22">
        <v>100</v>
      </c>
      <c r="EW22">
        <v>-0.39200000000000002</v>
      </c>
      <c r="EX22">
        <v>0.112</v>
      </c>
      <c r="EY22">
        <v>2</v>
      </c>
      <c r="EZ22">
        <v>338.26900000000001</v>
      </c>
      <c r="FA22">
        <v>510.18400000000003</v>
      </c>
      <c r="FB22">
        <v>21.9908</v>
      </c>
      <c r="FC22">
        <v>32.848100000000002</v>
      </c>
      <c r="FD22">
        <v>30.000299999999999</v>
      </c>
      <c r="FE22">
        <v>32.747199999999999</v>
      </c>
      <c r="FF22">
        <v>32.732700000000001</v>
      </c>
      <c r="FG22">
        <v>21.936699999999998</v>
      </c>
      <c r="FH22">
        <v>40.386400000000002</v>
      </c>
      <c r="FI22">
        <v>4.3994299999999997</v>
      </c>
      <c r="FJ22">
        <v>21.997499999999999</v>
      </c>
      <c r="FK22">
        <v>400</v>
      </c>
      <c r="FL22">
        <v>16.877600000000001</v>
      </c>
      <c r="FM22">
        <v>101.04600000000001</v>
      </c>
      <c r="FN22">
        <v>101.124</v>
      </c>
    </row>
    <row r="23" spans="1:170" x14ac:dyDescent="0.25">
      <c r="A23">
        <v>7</v>
      </c>
      <c r="B23">
        <v>1595604667</v>
      </c>
      <c r="C23">
        <v>706.70000004768394</v>
      </c>
      <c r="D23" t="s">
        <v>313</v>
      </c>
      <c r="E23" t="s">
        <v>314</v>
      </c>
      <c r="G23">
        <v>1595604659</v>
      </c>
      <c r="H23">
        <f t="shared" si="0"/>
        <v>7.5695995998208195E-3</v>
      </c>
      <c r="I23">
        <f t="shared" si="1"/>
        <v>29.913645543512551</v>
      </c>
      <c r="J23">
        <f t="shared" si="2"/>
        <v>386.83654838709703</v>
      </c>
      <c r="K23">
        <f t="shared" si="3"/>
        <v>276.12344260841502</v>
      </c>
      <c r="L23">
        <f t="shared" si="4"/>
        <v>27.601204728590055</v>
      </c>
      <c r="M23">
        <f t="shared" si="5"/>
        <v>38.668048854059904</v>
      </c>
      <c r="N23">
        <f t="shared" si="6"/>
        <v>0.50131120133392149</v>
      </c>
      <c r="O23">
        <f t="shared" si="7"/>
        <v>3.3943402346832969</v>
      </c>
      <c r="P23">
        <f t="shared" si="8"/>
        <v>0.46351405224784747</v>
      </c>
      <c r="Q23">
        <f t="shared" si="9"/>
        <v>0.29285436585615182</v>
      </c>
      <c r="R23">
        <f t="shared" si="10"/>
        <v>353.33562822442343</v>
      </c>
      <c r="S23">
        <f t="shared" si="11"/>
        <v>27.360419201708709</v>
      </c>
      <c r="T23">
        <f t="shared" si="12"/>
        <v>27.0577677419355</v>
      </c>
      <c r="U23">
        <f t="shared" si="13"/>
        <v>3.5913212154868002</v>
      </c>
      <c r="V23">
        <f t="shared" si="14"/>
        <v>55.15863876784676</v>
      </c>
      <c r="W23">
        <f t="shared" si="15"/>
        <v>2.0045835535260612</v>
      </c>
      <c r="X23">
        <f t="shared" si="16"/>
        <v>3.6342150537162627</v>
      </c>
      <c r="Y23">
        <f t="shared" si="17"/>
        <v>1.586737661960739</v>
      </c>
      <c r="Z23">
        <f t="shared" si="18"/>
        <v>-333.81934235209815</v>
      </c>
      <c r="AA23">
        <f t="shared" si="19"/>
        <v>37.037143138976631</v>
      </c>
      <c r="AB23">
        <f t="shared" si="20"/>
        <v>2.358562127211516</v>
      </c>
      <c r="AC23">
        <f t="shared" si="21"/>
        <v>58.911991138513457</v>
      </c>
      <c r="AD23">
        <v>-4.13600436025926E-2</v>
      </c>
      <c r="AE23">
        <v>4.6430272282733602E-2</v>
      </c>
      <c r="AF23">
        <v>3.4669198645282</v>
      </c>
      <c r="AG23">
        <v>143</v>
      </c>
      <c r="AH23">
        <v>29</v>
      </c>
      <c r="AI23">
        <f t="shared" si="22"/>
        <v>1</v>
      </c>
      <c r="AJ23">
        <f t="shared" si="23"/>
        <v>0</v>
      </c>
      <c r="AK23">
        <f t="shared" si="24"/>
        <v>52695.308297184849</v>
      </c>
      <c r="AL23">
        <v>0</v>
      </c>
      <c r="AM23">
        <v>0</v>
      </c>
      <c r="AN23">
        <v>0</v>
      </c>
      <c r="AO23">
        <f t="shared" si="25"/>
        <v>0</v>
      </c>
      <c r="AP23" t="e">
        <f t="shared" si="26"/>
        <v>#DIV/0!</v>
      </c>
      <c r="AQ23">
        <v>-1</v>
      </c>
      <c r="AR23" t="s">
        <v>315</v>
      </c>
      <c r="AS23">
        <v>255.64023076923101</v>
      </c>
      <c r="AT23">
        <v>335.85899999999998</v>
      </c>
      <c r="AU23">
        <f t="shared" si="27"/>
        <v>0.23884656725223674</v>
      </c>
      <c r="AV23">
        <v>0.5</v>
      </c>
      <c r="AW23">
        <f t="shared" si="28"/>
        <v>1849.1736771284104</v>
      </c>
      <c r="AX23">
        <f t="shared" si="29"/>
        <v>29.913645543512551</v>
      </c>
      <c r="AY23">
        <f t="shared" si="30"/>
        <v>220.83439251765839</v>
      </c>
      <c r="AZ23">
        <f t="shared" si="31"/>
        <v>0.4688842639321858</v>
      </c>
      <c r="BA23">
        <f t="shared" si="32"/>
        <v>1.6717545748065419E-2</v>
      </c>
      <c r="BB23">
        <f t="shared" si="33"/>
        <v>-1</v>
      </c>
      <c r="BC23" t="s">
        <v>316</v>
      </c>
      <c r="BD23">
        <v>178.38</v>
      </c>
      <c r="BE23">
        <f t="shared" si="34"/>
        <v>157.47899999999998</v>
      </c>
      <c r="BF23">
        <f t="shared" si="35"/>
        <v>0.50939343805059079</v>
      </c>
      <c r="BG23">
        <f t="shared" si="36"/>
        <v>1.8828287924655229</v>
      </c>
      <c r="BH23">
        <f t="shared" si="37"/>
        <v>0.23884656725223671</v>
      </c>
      <c r="BI23" t="e">
        <f t="shared" si="38"/>
        <v>#DIV/0!</v>
      </c>
      <c r="BJ23">
        <v>5221</v>
      </c>
      <c r="BK23">
        <v>300</v>
      </c>
      <c r="BL23">
        <v>300</v>
      </c>
      <c r="BM23">
        <v>300</v>
      </c>
      <c r="BN23">
        <v>9889.26</v>
      </c>
      <c r="BO23">
        <v>311.529</v>
      </c>
      <c r="BP23">
        <v>-6.4140200000000003E-3</v>
      </c>
      <c r="BQ23">
        <v>0.89483599999999996</v>
      </c>
      <c r="BR23">
        <f t="shared" si="39"/>
        <v>2199.9861290322601</v>
      </c>
      <c r="BS23">
        <f t="shared" si="40"/>
        <v>1849.1736771284104</v>
      </c>
      <c r="BT23">
        <f t="shared" si="41"/>
        <v>0.8405387891885634</v>
      </c>
      <c r="BU23">
        <f t="shared" si="42"/>
        <v>0.19107757837712669</v>
      </c>
      <c r="BV23">
        <v>0.5</v>
      </c>
      <c r="BW23" t="s">
        <v>281</v>
      </c>
      <c r="BX23">
        <v>1595604659</v>
      </c>
      <c r="BY23">
        <v>386.83654838709703</v>
      </c>
      <c r="BZ23">
        <v>399.971612903226</v>
      </c>
      <c r="CA23">
        <v>20.053925806451598</v>
      </c>
      <c r="CB23">
        <v>17.087183870967699</v>
      </c>
      <c r="CC23">
        <v>500.06367741935497</v>
      </c>
      <c r="CD23">
        <v>99.759654838709693</v>
      </c>
      <c r="CE23">
        <v>0.20000258064516099</v>
      </c>
      <c r="CF23">
        <v>27.2601612903226</v>
      </c>
      <c r="CG23">
        <v>27.0577677419355</v>
      </c>
      <c r="CH23">
        <v>999.9</v>
      </c>
      <c r="CI23">
        <v>9998.2058064516095</v>
      </c>
      <c r="CJ23">
        <v>0</v>
      </c>
      <c r="CK23">
        <v>137.67161290322599</v>
      </c>
      <c r="CL23">
        <v>2199.9861290322601</v>
      </c>
      <c r="CM23">
        <v>0.98199806451612903</v>
      </c>
      <c r="CN23">
        <v>1.80018548387097E-2</v>
      </c>
      <c r="CO23">
        <v>0</v>
      </c>
      <c r="CP23">
        <v>255.62077419354799</v>
      </c>
      <c r="CQ23">
        <v>5.00054</v>
      </c>
      <c r="CR23">
        <v>7720.2932258064502</v>
      </c>
      <c r="CS23">
        <v>20590.400000000001</v>
      </c>
      <c r="CT23">
        <v>49.290064516129</v>
      </c>
      <c r="CU23">
        <v>51.122741935483901</v>
      </c>
      <c r="CV23">
        <v>49.77</v>
      </c>
      <c r="CW23">
        <v>49.828258064516099</v>
      </c>
      <c r="CX23">
        <v>50.590387096774201</v>
      </c>
      <c r="CY23">
        <v>2155.4751612903201</v>
      </c>
      <c r="CZ23">
        <v>39.510967741935502</v>
      </c>
      <c r="DA23">
        <v>0</v>
      </c>
      <c r="DB23">
        <v>114.799999952316</v>
      </c>
      <c r="DC23">
        <v>255.64023076923101</v>
      </c>
      <c r="DD23">
        <v>0.36663247873830201</v>
      </c>
      <c r="DE23">
        <v>24.51418796251</v>
      </c>
      <c r="DF23">
        <v>7720.57</v>
      </c>
      <c r="DG23">
        <v>15</v>
      </c>
      <c r="DH23">
        <v>1595604693.5</v>
      </c>
      <c r="DI23" t="s">
        <v>317</v>
      </c>
      <c r="DJ23">
        <v>7</v>
      </c>
      <c r="DK23">
        <v>-0.38400000000000001</v>
      </c>
      <c r="DL23">
        <v>0.11700000000000001</v>
      </c>
      <c r="DM23">
        <v>400</v>
      </c>
      <c r="DN23">
        <v>17</v>
      </c>
      <c r="DO23">
        <v>0.13</v>
      </c>
      <c r="DP23">
        <v>0.03</v>
      </c>
      <c r="DQ23">
        <v>386.82554901960799</v>
      </c>
      <c r="DR23">
        <v>1.7311230997234101E-2</v>
      </c>
      <c r="DS23">
        <v>1.7895463030560398E-2</v>
      </c>
      <c r="DT23">
        <v>1</v>
      </c>
      <c r="DU23">
        <v>20.050035294117599</v>
      </c>
      <c r="DV23">
        <v>-1.3504107779214E-2</v>
      </c>
      <c r="DW23">
        <v>2.8387254478720501E-3</v>
      </c>
      <c r="DX23">
        <v>1</v>
      </c>
      <c r="DY23">
        <v>2</v>
      </c>
      <c r="DZ23">
        <v>2</v>
      </c>
      <c r="EA23" t="s">
        <v>283</v>
      </c>
      <c r="EB23">
        <v>1.86676</v>
      </c>
      <c r="EC23">
        <v>1.86328</v>
      </c>
      <c r="ED23">
        <v>1.86893</v>
      </c>
      <c r="EE23">
        <v>1.86687</v>
      </c>
      <c r="EF23">
        <v>1.87154</v>
      </c>
      <c r="EG23">
        <v>1.86402</v>
      </c>
      <c r="EH23">
        <v>1.8656699999999999</v>
      </c>
      <c r="EI23">
        <v>1.8655600000000001</v>
      </c>
      <c r="EJ23" t="s">
        <v>284</v>
      </c>
      <c r="EK23" t="s">
        <v>19</v>
      </c>
      <c r="EL23" t="s">
        <v>19</v>
      </c>
      <c r="EM23" t="s">
        <v>19</v>
      </c>
      <c r="EN23" t="s">
        <v>285</v>
      </c>
      <c r="EO23" t="s">
        <v>286</v>
      </c>
      <c r="EP23" t="s">
        <v>287</v>
      </c>
      <c r="EQ23" t="s">
        <v>287</v>
      </c>
      <c r="ER23" t="s">
        <v>287</v>
      </c>
      <c r="ES23" t="s">
        <v>287</v>
      </c>
      <c r="ET23">
        <v>0</v>
      </c>
      <c r="EU23">
        <v>100</v>
      </c>
      <c r="EV23">
        <v>100</v>
      </c>
      <c r="EW23">
        <v>-0.38400000000000001</v>
      </c>
      <c r="EX23">
        <v>0.11700000000000001</v>
      </c>
      <c r="EY23">
        <v>2</v>
      </c>
      <c r="EZ23">
        <v>339.07900000000001</v>
      </c>
      <c r="FA23">
        <v>509.666</v>
      </c>
      <c r="FB23">
        <v>21.414100000000001</v>
      </c>
      <c r="FC23">
        <v>32.924300000000002</v>
      </c>
      <c r="FD23">
        <v>30.000399999999999</v>
      </c>
      <c r="FE23">
        <v>32.863199999999999</v>
      </c>
      <c r="FF23">
        <v>32.852899999999998</v>
      </c>
      <c r="FG23">
        <v>21.968399999999999</v>
      </c>
      <c r="FH23">
        <v>40.202199999999998</v>
      </c>
      <c r="FI23">
        <v>0.625112</v>
      </c>
      <c r="FJ23">
        <v>21.372399999999999</v>
      </c>
      <c r="FK23">
        <v>400</v>
      </c>
      <c r="FL23">
        <v>17.019600000000001</v>
      </c>
      <c r="FM23">
        <v>101.033</v>
      </c>
      <c r="FN23">
        <v>101.116</v>
      </c>
    </row>
    <row r="24" spans="1:170" x14ac:dyDescent="0.25">
      <c r="A24">
        <v>8</v>
      </c>
      <c r="B24">
        <v>1595604792.5</v>
      </c>
      <c r="C24">
        <v>832.20000004768394</v>
      </c>
      <c r="D24" t="s">
        <v>318</v>
      </c>
      <c r="E24" t="s">
        <v>319</v>
      </c>
      <c r="G24">
        <v>1595604784.5</v>
      </c>
      <c r="H24">
        <f t="shared" si="0"/>
        <v>6.9821642612710065E-3</v>
      </c>
      <c r="I24">
        <f t="shared" si="1"/>
        <v>34.990678175175567</v>
      </c>
      <c r="J24">
        <f t="shared" si="2"/>
        <v>484.64525806451599</v>
      </c>
      <c r="K24">
        <f t="shared" si="3"/>
        <v>342.3583244789649</v>
      </c>
      <c r="L24">
        <f t="shared" si="4"/>
        <v>34.221505988924548</v>
      </c>
      <c r="M24">
        <f t="shared" si="5"/>
        <v>48.444245153378027</v>
      </c>
      <c r="N24">
        <f t="shared" si="6"/>
        <v>0.45281111952033787</v>
      </c>
      <c r="O24">
        <f t="shared" si="7"/>
        <v>3.3967379756337617</v>
      </c>
      <c r="P24">
        <f t="shared" si="8"/>
        <v>0.4217510310949259</v>
      </c>
      <c r="Q24">
        <f t="shared" si="9"/>
        <v>0.26620726618857321</v>
      </c>
      <c r="R24">
        <f t="shared" si="10"/>
        <v>353.33841452564974</v>
      </c>
      <c r="S24">
        <f t="shared" si="11"/>
        <v>27.123173806129227</v>
      </c>
      <c r="T24">
        <f t="shared" si="12"/>
        <v>26.9888774193548</v>
      </c>
      <c r="U24">
        <f t="shared" si="13"/>
        <v>3.5768222492910611</v>
      </c>
      <c r="V24">
        <f t="shared" si="14"/>
        <v>55.338772825665487</v>
      </c>
      <c r="W24">
        <f t="shared" si="15"/>
        <v>1.9678939046883472</v>
      </c>
      <c r="X24">
        <f t="shared" si="16"/>
        <v>3.5560851898321477</v>
      </c>
      <c r="Y24">
        <f t="shared" si="17"/>
        <v>1.6089283446027138</v>
      </c>
      <c r="Z24">
        <f t="shared" si="18"/>
        <v>-307.91344392205139</v>
      </c>
      <c r="AA24">
        <f t="shared" si="19"/>
        <v>-18.121098678001257</v>
      </c>
      <c r="AB24">
        <f t="shared" si="20"/>
        <v>-1.1506261856770752</v>
      </c>
      <c r="AC24">
        <f t="shared" si="21"/>
        <v>26.153245739920013</v>
      </c>
      <c r="AD24">
        <v>-4.13971909784061E-2</v>
      </c>
      <c r="AE24">
        <v>4.64719734663731E-2</v>
      </c>
      <c r="AF24">
        <v>3.4693827926146401</v>
      </c>
      <c r="AG24">
        <v>144</v>
      </c>
      <c r="AH24">
        <v>29</v>
      </c>
      <c r="AI24">
        <f t="shared" si="22"/>
        <v>1</v>
      </c>
      <c r="AJ24">
        <f t="shared" si="23"/>
        <v>0</v>
      </c>
      <c r="AK24">
        <f t="shared" si="24"/>
        <v>52805.778334514311</v>
      </c>
      <c r="AL24">
        <v>0</v>
      </c>
      <c r="AM24">
        <v>0</v>
      </c>
      <c r="AN24">
        <v>0</v>
      </c>
      <c r="AO24">
        <f t="shared" si="25"/>
        <v>0</v>
      </c>
      <c r="AP24" t="e">
        <f t="shared" si="26"/>
        <v>#DIV/0!</v>
      </c>
      <c r="AQ24">
        <v>-1</v>
      </c>
      <c r="AR24" t="s">
        <v>320</v>
      </c>
      <c r="AS24">
        <v>261.51207692307702</v>
      </c>
      <c r="AT24">
        <v>347.161</v>
      </c>
      <c r="AU24">
        <f t="shared" si="27"/>
        <v>0.24671239879169315</v>
      </c>
      <c r="AV24">
        <v>0.5</v>
      </c>
      <c r="AW24">
        <f t="shared" si="28"/>
        <v>1849.1883126887169</v>
      </c>
      <c r="AX24">
        <f t="shared" si="29"/>
        <v>34.990678175175567</v>
      </c>
      <c r="AY24">
        <f t="shared" si="30"/>
        <v>228.10884222049845</v>
      </c>
      <c r="AZ24">
        <f t="shared" si="31"/>
        <v>0.46992893787032525</v>
      </c>
      <c r="BA24">
        <f t="shared" si="32"/>
        <v>1.9462960006947683E-2</v>
      </c>
      <c r="BB24">
        <f t="shared" si="33"/>
        <v>-1</v>
      </c>
      <c r="BC24" t="s">
        <v>321</v>
      </c>
      <c r="BD24">
        <v>184.02</v>
      </c>
      <c r="BE24">
        <f t="shared" si="34"/>
        <v>163.14099999999999</v>
      </c>
      <c r="BF24">
        <f t="shared" si="35"/>
        <v>0.52499937524548079</v>
      </c>
      <c r="BG24">
        <f t="shared" si="36"/>
        <v>1.8865395065753721</v>
      </c>
      <c r="BH24">
        <f t="shared" si="37"/>
        <v>0.24671239879169315</v>
      </c>
      <c r="BI24" t="e">
        <f t="shared" si="38"/>
        <v>#DIV/0!</v>
      </c>
      <c r="BJ24">
        <v>5223</v>
      </c>
      <c r="BK24">
        <v>300</v>
      </c>
      <c r="BL24">
        <v>300</v>
      </c>
      <c r="BM24">
        <v>300</v>
      </c>
      <c r="BN24">
        <v>9889.5400000000009</v>
      </c>
      <c r="BO24">
        <v>322.97199999999998</v>
      </c>
      <c r="BP24">
        <v>-6.4143100000000003E-3</v>
      </c>
      <c r="BQ24">
        <v>0.666107</v>
      </c>
      <c r="BR24">
        <f t="shared" si="39"/>
        <v>2200.0035483871002</v>
      </c>
      <c r="BS24">
        <f t="shared" si="40"/>
        <v>1849.1883126887169</v>
      </c>
      <c r="BT24">
        <f t="shared" si="41"/>
        <v>0.84053878642351365</v>
      </c>
      <c r="BU24">
        <f t="shared" si="42"/>
        <v>0.19107757284702725</v>
      </c>
      <c r="BV24">
        <v>0.5</v>
      </c>
      <c r="BW24" t="s">
        <v>281</v>
      </c>
      <c r="BX24">
        <v>1595604784.5</v>
      </c>
      <c r="BY24">
        <v>484.64525806451599</v>
      </c>
      <c r="BZ24">
        <v>499.99322580645202</v>
      </c>
      <c r="CA24">
        <v>19.6871774193548</v>
      </c>
      <c r="CB24">
        <v>16.9496258064516</v>
      </c>
      <c r="CC24">
        <v>500.06035483871</v>
      </c>
      <c r="CD24">
        <v>99.758161290322604</v>
      </c>
      <c r="CE24">
        <v>0.199992322580645</v>
      </c>
      <c r="CF24">
        <v>26.889922580645202</v>
      </c>
      <c r="CG24">
        <v>26.9888774193548</v>
      </c>
      <c r="CH24">
        <v>999.9</v>
      </c>
      <c r="CI24">
        <v>10007.335483871</v>
      </c>
      <c r="CJ24">
        <v>0</v>
      </c>
      <c r="CK24">
        <v>130.32709677419399</v>
      </c>
      <c r="CL24">
        <v>2200.0035483871002</v>
      </c>
      <c r="CM24">
        <v>0.98199787096774205</v>
      </c>
      <c r="CN24">
        <v>1.80019903225806E-2</v>
      </c>
      <c r="CO24">
        <v>0</v>
      </c>
      <c r="CP24">
        <v>261.51290322580599</v>
      </c>
      <c r="CQ24">
        <v>5.00054</v>
      </c>
      <c r="CR24">
        <v>7861.9764516128998</v>
      </c>
      <c r="CS24">
        <v>20590.545161290302</v>
      </c>
      <c r="CT24">
        <v>49.130935483870999</v>
      </c>
      <c r="CU24">
        <v>50.971548387096803</v>
      </c>
      <c r="CV24">
        <v>49.5843548387097</v>
      </c>
      <c r="CW24">
        <v>49.731677419354803</v>
      </c>
      <c r="CX24">
        <v>50.412999999999997</v>
      </c>
      <c r="CY24">
        <v>2155.4864516129001</v>
      </c>
      <c r="CZ24">
        <v>39.510967741935502</v>
      </c>
      <c r="DA24">
        <v>0</v>
      </c>
      <c r="DB24">
        <v>124.799999952316</v>
      </c>
      <c r="DC24">
        <v>261.51207692307702</v>
      </c>
      <c r="DD24">
        <v>-0.94222223300251595</v>
      </c>
      <c r="DE24">
        <v>-33.357264938365297</v>
      </c>
      <c r="DF24">
        <v>7861.7284615384597</v>
      </c>
      <c r="DG24">
        <v>15</v>
      </c>
      <c r="DH24">
        <v>1595604818</v>
      </c>
      <c r="DI24" t="s">
        <v>322</v>
      </c>
      <c r="DJ24">
        <v>8</v>
      </c>
      <c r="DK24">
        <v>-0.39700000000000002</v>
      </c>
      <c r="DL24">
        <v>0.11600000000000001</v>
      </c>
      <c r="DM24">
        <v>500</v>
      </c>
      <c r="DN24">
        <v>17</v>
      </c>
      <c r="DO24">
        <v>0.1</v>
      </c>
      <c r="DP24">
        <v>0.03</v>
      </c>
      <c r="DQ24">
        <v>484.62905882352902</v>
      </c>
      <c r="DR24">
        <v>0.25260814479638499</v>
      </c>
      <c r="DS24">
        <v>4.2995855598134798E-2</v>
      </c>
      <c r="DT24">
        <v>1</v>
      </c>
      <c r="DU24">
        <v>19.705080392156901</v>
      </c>
      <c r="DV24">
        <v>-0.149980452488682</v>
      </c>
      <c r="DW24">
        <v>2.64271400870307E-2</v>
      </c>
      <c r="DX24">
        <v>1</v>
      </c>
      <c r="DY24">
        <v>2</v>
      </c>
      <c r="DZ24">
        <v>2</v>
      </c>
      <c r="EA24" t="s">
        <v>283</v>
      </c>
      <c r="EB24">
        <v>1.86676</v>
      </c>
      <c r="EC24">
        <v>1.8632899999999999</v>
      </c>
      <c r="ED24">
        <v>1.8690199999999999</v>
      </c>
      <c r="EE24">
        <v>1.8669100000000001</v>
      </c>
      <c r="EF24">
        <v>1.8715900000000001</v>
      </c>
      <c r="EG24">
        <v>1.8640399999999999</v>
      </c>
      <c r="EH24">
        <v>1.86568</v>
      </c>
      <c r="EI24">
        <v>1.86558</v>
      </c>
      <c r="EJ24" t="s">
        <v>284</v>
      </c>
      <c r="EK24" t="s">
        <v>19</v>
      </c>
      <c r="EL24" t="s">
        <v>19</v>
      </c>
      <c r="EM24" t="s">
        <v>19</v>
      </c>
      <c r="EN24" t="s">
        <v>285</v>
      </c>
      <c r="EO24" t="s">
        <v>286</v>
      </c>
      <c r="EP24" t="s">
        <v>287</v>
      </c>
      <c r="EQ24" t="s">
        <v>287</v>
      </c>
      <c r="ER24" t="s">
        <v>287</v>
      </c>
      <c r="ES24" t="s">
        <v>287</v>
      </c>
      <c r="ET24">
        <v>0</v>
      </c>
      <c r="EU24">
        <v>100</v>
      </c>
      <c r="EV24">
        <v>100</v>
      </c>
      <c r="EW24">
        <v>-0.39700000000000002</v>
      </c>
      <c r="EX24">
        <v>0.11600000000000001</v>
      </c>
      <c r="EY24">
        <v>2</v>
      </c>
      <c r="EZ24">
        <v>338.16300000000001</v>
      </c>
      <c r="FA24">
        <v>508.47199999999998</v>
      </c>
      <c r="FB24">
        <v>21.291699999999999</v>
      </c>
      <c r="FC24">
        <v>33.014499999999998</v>
      </c>
      <c r="FD24">
        <v>29.999400000000001</v>
      </c>
      <c r="FE24">
        <v>32.967100000000002</v>
      </c>
      <c r="FF24">
        <v>32.961599999999997</v>
      </c>
      <c r="FG24">
        <v>26.258400000000002</v>
      </c>
      <c r="FH24">
        <v>41.233400000000003</v>
      </c>
      <c r="FI24">
        <v>0</v>
      </c>
      <c r="FJ24">
        <v>21.264099999999999</v>
      </c>
      <c r="FK24">
        <v>500</v>
      </c>
      <c r="FL24">
        <v>16.8977</v>
      </c>
      <c r="FM24">
        <v>101.021</v>
      </c>
      <c r="FN24">
        <v>101.114</v>
      </c>
    </row>
    <row r="25" spans="1:170" x14ac:dyDescent="0.25">
      <c r="A25">
        <v>9</v>
      </c>
      <c r="B25">
        <v>1595604919</v>
      </c>
      <c r="C25">
        <v>958.70000004768394</v>
      </c>
      <c r="D25" t="s">
        <v>323</v>
      </c>
      <c r="E25" t="s">
        <v>324</v>
      </c>
      <c r="G25">
        <v>1595604911</v>
      </c>
      <c r="H25">
        <f t="shared" si="0"/>
        <v>6.524717065692979E-3</v>
      </c>
      <c r="I25">
        <f t="shared" si="1"/>
        <v>38.295400960886255</v>
      </c>
      <c r="J25">
        <f t="shared" si="2"/>
        <v>583.19567741935498</v>
      </c>
      <c r="K25">
        <f t="shared" si="3"/>
        <v>414.51388690167971</v>
      </c>
      <c r="L25">
        <f t="shared" si="4"/>
        <v>41.434113489645959</v>
      </c>
      <c r="M25">
        <f t="shared" si="5"/>
        <v>58.295262591759965</v>
      </c>
      <c r="N25">
        <f t="shared" si="6"/>
        <v>0.41703979831156895</v>
      </c>
      <c r="O25">
        <f t="shared" si="7"/>
        <v>3.3957156945376328</v>
      </c>
      <c r="P25">
        <f t="shared" si="8"/>
        <v>0.39053183094256477</v>
      </c>
      <c r="Q25">
        <f t="shared" si="9"/>
        <v>0.24632348959443662</v>
      </c>
      <c r="R25">
        <f t="shared" si="10"/>
        <v>353.33739944956096</v>
      </c>
      <c r="S25">
        <f t="shared" si="11"/>
        <v>27.035761202214704</v>
      </c>
      <c r="T25">
        <f t="shared" si="12"/>
        <v>26.987554838709698</v>
      </c>
      <c r="U25">
        <f t="shared" si="13"/>
        <v>3.5765443936914467</v>
      </c>
      <c r="V25">
        <f t="shared" si="14"/>
        <v>55.532458144501895</v>
      </c>
      <c r="W25">
        <f t="shared" si="15"/>
        <v>1.9527039201085654</v>
      </c>
      <c r="X25">
        <f t="shared" si="16"/>
        <v>3.516328981921534</v>
      </c>
      <c r="Y25">
        <f t="shared" si="17"/>
        <v>1.6238404735828813</v>
      </c>
      <c r="Z25">
        <f t="shared" si="18"/>
        <v>-287.74002259706037</v>
      </c>
      <c r="AA25">
        <f t="shared" si="19"/>
        <v>-52.863478748656512</v>
      </c>
      <c r="AB25">
        <f t="shared" si="20"/>
        <v>-3.3544260795429048</v>
      </c>
      <c r="AC25">
        <f t="shared" si="21"/>
        <v>9.3794720243011582</v>
      </c>
      <c r="AD25">
        <v>-4.1381351679369897E-2</v>
      </c>
      <c r="AE25">
        <v>4.6454192465606198E-2</v>
      </c>
      <c r="AF25">
        <v>3.4683327163238999</v>
      </c>
      <c r="AG25">
        <v>144</v>
      </c>
      <c r="AH25">
        <v>29</v>
      </c>
      <c r="AI25">
        <f t="shared" si="22"/>
        <v>1</v>
      </c>
      <c r="AJ25">
        <f t="shared" si="23"/>
        <v>0</v>
      </c>
      <c r="AK25">
        <f t="shared" si="24"/>
        <v>52820.069825147613</v>
      </c>
      <c r="AL25">
        <v>0</v>
      </c>
      <c r="AM25">
        <v>0</v>
      </c>
      <c r="AN25">
        <v>0</v>
      </c>
      <c r="AO25">
        <f t="shared" si="25"/>
        <v>0</v>
      </c>
      <c r="AP25" t="e">
        <f t="shared" si="26"/>
        <v>#DIV/0!</v>
      </c>
      <c r="AQ25">
        <v>-1</v>
      </c>
      <c r="AR25" t="s">
        <v>325</v>
      </c>
      <c r="AS25">
        <v>263.97096153846201</v>
      </c>
      <c r="AT25">
        <v>355.15100000000001</v>
      </c>
      <c r="AU25">
        <f t="shared" si="27"/>
        <v>0.25673597557528494</v>
      </c>
      <c r="AV25">
        <v>0.5</v>
      </c>
      <c r="AW25">
        <f t="shared" si="28"/>
        <v>1849.1831445991388</v>
      </c>
      <c r="AX25">
        <f t="shared" si="29"/>
        <v>38.295400960886255</v>
      </c>
      <c r="AY25">
        <f t="shared" si="30"/>
        <v>237.37591932301655</v>
      </c>
      <c r="AZ25">
        <f t="shared" si="31"/>
        <v>0.48168525500420944</v>
      </c>
      <c r="BA25">
        <f t="shared" si="32"/>
        <v>2.1250140136554518E-2</v>
      </c>
      <c r="BB25">
        <f t="shared" si="33"/>
        <v>-1</v>
      </c>
      <c r="BC25" t="s">
        <v>326</v>
      </c>
      <c r="BD25">
        <v>184.08</v>
      </c>
      <c r="BE25">
        <f t="shared" si="34"/>
        <v>171.071</v>
      </c>
      <c r="BF25">
        <f t="shared" si="35"/>
        <v>0.53299529704940052</v>
      </c>
      <c r="BG25">
        <f t="shared" si="36"/>
        <v>1.9293296392872663</v>
      </c>
      <c r="BH25">
        <f t="shared" si="37"/>
        <v>0.25673597557528488</v>
      </c>
      <c r="BI25" t="e">
        <f t="shared" si="38"/>
        <v>#DIV/0!</v>
      </c>
      <c r="BJ25">
        <v>5225</v>
      </c>
      <c r="BK25">
        <v>300</v>
      </c>
      <c r="BL25">
        <v>300</v>
      </c>
      <c r="BM25">
        <v>300</v>
      </c>
      <c r="BN25">
        <v>9889.57</v>
      </c>
      <c r="BO25">
        <v>329.03399999999999</v>
      </c>
      <c r="BP25">
        <v>-6.4143799999999999E-3</v>
      </c>
      <c r="BQ25">
        <v>0.92095899999999997</v>
      </c>
      <c r="BR25">
        <f t="shared" si="39"/>
        <v>2199.9974193548401</v>
      </c>
      <c r="BS25">
        <f t="shared" si="40"/>
        <v>1849.1831445991388</v>
      </c>
      <c r="BT25">
        <f t="shared" si="41"/>
        <v>0.84053877896885021</v>
      </c>
      <c r="BU25">
        <f t="shared" si="42"/>
        <v>0.1910775579377004</v>
      </c>
      <c r="BV25">
        <v>0.5</v>
      </c>
      <c r="BW25" t="s">
        <v>281</v>
      </c>
      <c r="BX25">
        <v>1595604911</v>
      </c>
      <c r="BY25">
        <v>583.19567741935498</v>
      </c>
      <c r="BZ25">
        <v>600.03383870967696</v>
      </c>
      <c r="CA25">
        <v>19.535180645161301</v>
      </c>
      <c r="CB25">
        <v>16.9765935483871</v>
      </c>
      <c r="CC25">
        <v>500.06158064516097</v>
      </c>
      <c r="CD25">
        <v>99.758335483870994</v>
      </c>
      <c r="CE25">
        <v>0.199988709677419</v>
      </c>
      <c r="CF25">
        <v>26.698793548387101</v>
      </c>
      <c r="CG25">
        <v>26.987554838709698</v>
      </c>
      <c r="CH25">
        <v>999.9</v>
      </c>
      <c r="CI25">
        <v>10003.4890322581</v>
      </c>
      <c r="CJ25">
        <v>0</v>
      </c>
      <c r="CK25">
        <v>126.398967741935</v>
      </c>
      <c r="CL25">
        <v>2199.9974193548401</v>
      </c>
      <c r="CM25">
        <v>0.98199806451612903</v>
      </c>
      <c r="CN25">
        <v>1.80018548387097E-2</v>
      </c>
      <c r="CO25">
        <v>0</v>
      </c>
      <c r="CP25">
        <v>263.99587096774201</v>
      </c>
      <c r="CQ25">
        <v>5.00054</v>
      </c>
      <c r="CR25">
        <v>7936.9941935483903</v>
      </c>
      <c r="CS25">
        <v>20590.490322580601</v>
      </c>
      <c r="CT25">
        <v>49.137</v>
      </c>
      <c r="CU25">
        <v>50.945322580645097</v>
      </c>
      <c r="CV25">
        <v>49.561999999999998</v>
      </c>
      <c r="CW25">
        <v>49.79</v>
      </c>
      <c r="CX25">
        <v>50.383000000000003</v>
      </c>
      <c r="CY25">
        <v>2155.4816129032301</v>
      </c>
      <c r="CZ25">
        <v>39.510322580645202</v>
      </c>
      <c r="DA25">
        <v>0</v>
      </c>
      <c r="DB25">
        <v>126</v>
      </c>
      <c r="DC25">
        <v>263.97096153846201</v>
      </c>
      <c r="DD25">
        <v>-1.0455726402936401</v>
      </c>
      <c r="DE25">
        <v>-26.517606810275201</v>
      </c>
      <c r="DF25">
        <v>7936.5492307692302</v>
      </c>
      <c r="DG25">
        <v>15</v>
      </c>
      <c r="DH25">
        <v>1595604949.5</v>
      </c>
      <c r="DI25" t="s">
        <v>327</v>
      </c>
      <c r="DJ25">
        <v>9</v>
      </c>
      <c r="DK25">
        <v>-0.377</v>
      </c>
      <c r="DL25">
        <v>0.114</v>
      </c>
      <c r="DM25">
        <v>600</v>
      </c>
      <c r="DN25">
        <v>17</v>
      </c>
      <c r="DO25">
        <v>0.32</v>
      </c>
      <c r="DP25">
        <v>0.05</v>
      </c>
      <c r="DQ25">
        <v>583.14984313725495</v>
      </c>
      <c r="DR25">
        <v>0.28827149321268403</v>
      </c>
      <c r="DS25">
        <v>4.1212682489751899E-2</v>
      </c>
      <c r="DT25">
        <v>1</v>
      </c>
      <c r="DU25">
        <v>19.535886274509799</v>
      </c>
      <c r="DV25">
        <v>-3.0624434389176702E-3</v>
      </c>
      <c r="DW25">
        <v>1.37862395106937E-2</v>
      </c>
      <c r="DX25">
        <v>1</v>
      </c>
      <c r="DY25">
        <v>2</v>
      </c>
      <c r="DZ25">
        <v>2</v>
      </c>
      <c r="EA25" t="s">
        <v>283</v>
      </c>
      <c r="EB25">
        <v>1.86677</v>
      </c>
      <c r="EC25">
        <v>1.86328</v>
      </c>
      <c r="ED25">
        <v>1.8689899999999999</v>
      </c>
      <c r="EE25">
        <v>1.8668800000000001</v>
      </c>
      <c r="EF25">
        <v>1.87161</v>
      </c>
      <c r="EG25">
        <v>1.86405</v>
      </c>
      <c r="EH25">
        <v>1.8656900000000001</v>
      </c>
      <c r="EI25">
        <v>1.8655600000000001</v>
      </c>
      <c r="EJ25" t="s">
        <v>284</v>
      </c>
      <c r="EK25" t="s">
        <v>19</v>
      </c>
      <c r="EL25" t="s">
        <v>19</v>
      </c>
      <c r="EM25" t="s">
        <v>19</v>
      </c>
      <c r="EN25" t="s">
        <v>285</v>
      </c>
      <c r="EO25" t="s">
        <v>286</v>
      </c>
      <c r="EP25" t="s">
        <v>287</v>
      </c>
      <c r="EQ25" t="s">
        <v>287</v>
      </c>
      <c r="ER25" t="s">
        <v>287</v>
      </c>
      <c r="ES25" t="s">
        <v>287</v>
      </c>
      <c r="ET25">
        <v>0</v>
      </c>
      <c r="EU25">
        <v>100</v>
      </c>
      <c r="EV25">
        <v>100</v>
      </c>
      <c r="EW25">
        <v>-0.377</v>
      </c>
      <c r="EX25">
        <v>0.114</v>
      </c>
      <c r="EY25">
        <v>2</v>
      </c>
      <c r="EZ25">
        <v>337.77499999999998</v>
      </c>
      <c r="FA25">
        <v>507.30200000000002</v>
      </c>
      <c r="FB25">
        <v>21.237400000000001</v>
      </c>
      <c r="FC25">
        <v>33.117199999999997</v>
      </c>
      <c r="FD25">
        <v>30.001000000000001</v>
      </c>
      <c r="FE25">
        <v>33.071800000000003</v>
      </c>
      <c r="FF25">
        <v>33.066400000000002</v>
      </c>
      <c r="FG25">
        <v>30.402100000000001</v>
      </c>
      <c r="FH25">
        <v>42.440100000000001</v>
      </c>
      <c r="FI25">
        <v>0</v>
      </c>
      <c r="FJ25">
        <v>21.193000000000001</v>
      </c>
      <c r="FK25">
        <v>600</v>
      </c>
      <c r="FL25">
        <v>16.819900000000001</v>
      </c>
      <c r="FM25">
        <v>101.002</v>
      </c>
      <c r="FN25">
        <v>101.10299999999999</v>
      </c>
    </row>
    <row r="26" spans="1:170" x14ac:dyDescent="0.25">
      <c r="A26">
        <v>10</v>
      </c>
      <c r="B26">
        <v>1595605070.5</v>
      </c>
      <c r="C26">
        <v>1110.2000000476801</v>
      </c>
      <c r="D26" t="s">
        <v>328</v>
      </c>
      <c r="E26" t="s">
        <v>329</v>
      </c>
      <c r="G26">
        <v>1595605062.5</v>
      </c>
      <c r="H26">
        <f t="shared" si="0"/>
        <v>5.4860192209314484E-3</v>
      </c>
      <c r="I26">
        <f t="shared" si="1"/>
        <v>39.782225270050169</v>
      </c>
      <c r="J26">
        <f t="shared" si="2"/>
        <v>682.57864516128996</v>
      </c>
      <c r="K26">
        <f t="shared" si="3"/>
        <v>472.57962869202532</v>
      </c>
      <c r="L26">
        <f t="shared" si="4"/>
        <v>47.23796322309375</v>
      </c>
      <c r="M26">
        <f t="shared" si="5"/>
        <v>68.22897767777242</v>
      </c>
      <c r="N26">
        <f t="shared" si="6"/>
        <v>0.34290131886893854</v>
      </c>
      <c r="O26">
        <f t="shared" si="7"/>
        <v>3.3970342623047407</v>
      </c>
      <c r="P26">
        <f t="shared" si="8"/>
        <v>0.32476705369608189</v>
      </c>
      <c r="Q26">
        <f t="shared" si="9"/>
        <v>0.20452874608165161</v>
      </c>
      <c r="R26">
        <f t="shared" si="10"/>
        <v>353.34050105675527</v>
      </c>
      <c r="S26">
        <f t="shared" si="11"/>
        <v>27.153338266175087</v>
      </c>
      <c r="T26">
        <f t="shared" si="12"/>
        <v>26.985783870967701</v>
      </c>
      <c r="U26">
        <f t="shared" si="13"/>
        <v>3.5761723677728678</v>
      </c>
      <c r="V26">
        <f t="shared" si="14"/>
        <v>55.388751451106565</v>
      </c>
      <c r="W26">
        <f t="shared" si="15"/>
        <v>1.9342117370712399</v>
      </c>
      <c r="X26">
        <f t="shared" si="16"/>
        <v>3.492065963571378</v>
      </c>
      <c r="Y26">
        <f t="shared" si="17"/>
        <v>1.6419606307016279</v>
      </c>
      <c r="Z26">
        <f t="shared" si="18"/>
        <v>-241.93344764307687</v>
      </c>
      <c r="AA26">
        <f t="shared" si="19"/>
        <v>-74.092314102570285</v>
      </c>
      <c r="AB26">
        <f t="shared" si="20"/>
        <v>-4.6968622327028333</v>
      </c>
      <c r="AC26">
        <f t="shared" si="21"/>
        <v>32.6178770784053</v>
      </c>
      <c r="AD26">
        <v>-4.1401782068949698E-2</v>
      </c>
      <c r="AE26">
        <v>4.6477127367709897E-2</v>
      </c>
      <c r="AF26">
        <v>3.46968713584512</v>
      </c>
      <c r="AG26">
        <v>145</v>
      </c>
      <c r="AH26">
        <v>29</v>
      </c>
      <c r="AI26">
        <f t="shared" si="22"/>
        <v>1</v>
      </c>
      <c r="AJ26">
        <f t="shared" si="23"/>
        <v>0</v>
      </c>
      <c r="AK26">
        <f t="shared" si="24"/>
        <v>52865.803533952392</v>
      </c>
      <c r="AL26">
        <v>0</v>
      </c>
      <c r="AM26">
        <v>0</v>
      </c>
      <c r="AN26">
        <v>0</v>
      </c>
      <c r="AO26">
        <f t="shared" si="25"/>
        <v>0</v>
      </c>
      <c r="AP26" t="e">
        <f t="shared" si="26"/>
        <v>#DIV/0!</v>
      </c>
      <c r="AQ26">
        <v>-1</v>
      </c>
      <c r="AR26" t="s">
        <v>330</v>
      </c>
      <c r="AS26">
        <v>263.66130769230801</v>
      </c>
      <c r="AT26">
        <v>355.50799999999998</v>
      </c>
      <c r="AU26">
        <f t="shared" si="27"/>
        <v>0.2583533768795413</v>
      </c>
      <c r="AV26">
        <v>0.5</v>
      </c>
      <c r="AW26">
        <f t="shared" si="28"/>
        <v>1849.1994093864812</v>
      </c>
      <c r="AX26">
        <f t="shared" si="29"/>
        <v>39.782225270050169</v>
      </c>
      <c r="AY26">
        <f t="shared" si="30"/>
        <v>238.87345596932536</v>
      </c>
      <c r="AZ26">
        <f t="shared" si="31"/>
        <v>0.49160075160052652</v>
      </c>
      <c r="BA26">
        <f t="shared" si="32"/>
        <v>2.2053989993205063E-2</v>
      </c>
      <c r="BB26">
        <f t="shared" si="33"/>
        <v>-1</v>
      </c>
      <c r="BC26" t="s">
        <v>331</v>
      </c>
      <c r="BD26">
        <v>180.74</v>
      </c>
      <c r="BE26">
        <f t="shared" si="34"/>
        <v>174.76799999999997</v>
      </c>
      <c r="BF26">
        <f t="shared" si="35"/>
        <v>0.52553495095035696</v>
      </c>
      <c r="BG26">
        <f t="shared" si="36"/>
        <v>1.9669580613035298</v>
      </c>
      <c r="BH26">
        <f t="shared" si="37"/>
        <v>0.2583533768795413</v>
      </c>
      <c r="BI26" t="e">
        <f t="shared" si="38"/>
        <v>#DIV/0!</v>
      </c>
      <c r="BJ26">
        <v>5227</v>
      </c>
      <c r="BK26">
        <v>300</v>
      </c>
      <c r="BL26">
        <v>300</v>
      </c>
      <c r="BM26">
        <v>300</v>
      </c>
      <c r="BN26">
        <v>9889.27</v>
      </c>
      <c r="BO26">
        <v>328.54899999999998</v>
      </c>
      <c r="BP26">
        <v>-6.4142000000000001E-3</v>
      </c>
      <c r="BQ26">
        <v>1.01105</v>
      </c>
      <c r="BR26">
        <f t="shared" si="39"/>
        <v>2200.0167741935502</v>
      </c>
      <c r="BS26">
        <f t="shared" si="40"/>
        <v>1849.1994093864812</v>
      </c>
      <c r="BT26">
        <f t="shared" si="41"/>
        <v>0.84053877728470205</v>
      </c>
      <c r="BU26">
        <f t="shared" si="42"/>
        <v>0.19107755456940415</v>
      </c>
      <c r="BV26">
        <v>0.5</v>
      </c>
      <c r="BW26" t="s">
        <v>281</v>
      </c>
      <c r="BX26">
        <v>1595605062.5</v>
      </c>
      <c r="BY26">
        <v>682.57864516128996</v>
      </c>
      <c r="BZ26">
        <v>699.98735483870996</v>
      </c>
      <c r="CA26">
        <v>19.350306451612902</v>
      </c>
      <c r="CB26">
        <v>17.198612903225801</v>
      </c>
      <c r="CC26">
        <v>500.05848387096802</v>
      </c>
      <c r="CD26">
        <v>99.757696774193505</v>
      </c>
      <c r="CE26">
        <v>0.19998306451612899</v>
      </c>
      <c r="CF26">
        <v>26.581219354838701</v>
      </c>
      <c r="CG26">
        <v>26.985783870967701</v>
      </c>
      <c r="CH26">
        <v>999.9</v>
      </c>
      <c r="CI26">
        <v>10008.4919354839</v>
      </c>
      <c r="CJ26">
        <v>0</v>
      </c>
      <c r="CK26">
        <v>180.04680645161301</v>
      </c>
      <c r="CL26">
        <v>2200.0167741935502</v>
      </c>
      <c r="CM26">
        <v>0.98199932258064504</v>
      </c>
      <c r="CN26">
        <v>1.8000974193548399E-2</v>
      </c>
      <c r="CO26">
        <v>0</v>
      </c>
      <c r="CP26">
        <v>263.65670967741897</v>
      </c>
      <c r="CQ26">
        <v>5.00054</v>
      </c>
      <c r="CR26">
        <v>7864.6077419354797</v>
      </c>
      <c r="CS26">
        <v>20590.693548387098</v>
      </c>
      <c r="CT26">
        <v>48.975612903225802</v>
      </c>
      <c r="CU26">
        <v>50.884999999999998</v>
      </c>
      <c r="CV26">
        <v>49.424999999999997</v>
      </c>
      <c r="CW26">
        <v>49.675064516128998</v>
      </c>
      <c r="CX26">
        <v>50.266064516128999</v>
      </c>
      <c r="CY26">
        <v>2155.5061290322601</v>
      </c>
      <c r="CZ26">
        <v>39.510645161290299</v>
      </c>
      <c r="DA26">
        <v>0</v>
      </c>
      <c r="DB26">
        <v>150.799999952316</v>
      </c>
      <c r="DC26">
        <v>263.66130769230801</v>
      </c>
      <c r="DD26">
        <v>-1.0519658272644301</v>
      </c>
      <c r="DE26">
        <v>-21.593504271570701</v>
      </c>
      <c r="DF26">
        <v>7864.4180769230798</v>
      </c>
      <c r="DG26">
        <v>15</v>
      </c>
      <c r="DH26">
        <v>1595605099</v>
      </c>
      <c r="DI26" t="s">
        <v>332</v>
      </c>
      <c r="DJ26">
        <v>10</v>
      </c>
      <c r="DK26">
        <v>-0.183</v>
      </c>
      <c r="DL26">
        <v>0.121</v>
      </c>
      <c r="DM26">
        <v>700</v>
      </c>
      <c r="DN26">
        <v>17</v>
      </c>
      <c r="DO26">
        <v>0.09</v>
      </c>
      <c r="DP26">
        <v>0.05</v>
      </c>
      <c r="DQ26">
        <v>682.35309803921598</v>
      </c>
      <c r="DR26">
        <v>0.28529592760161598</v>
      </c>
      <c r="DS26">
        <v>4.70124117537076E-2</v>
      </c>
      <c r="DT26">
        <v>1</v>
      </c>
      <c r="DU26">
        <v>19.329464705882401</v>
      </c>
      <c r="DV26">
        <v>0.17874787330316799</v>
      </c>
      <c r="DW26">
        <v>2.53248914484203E-2</v>
      </c>
      <c r="DX26">
        <v>1</v>
      </c>
      <c r="DY26">
        <v>2</v>
      </c>
      <c r="DZ26">
        <v>2</v>
      </c>
      <c r="EA26" t="s">
        <v>283</v>
      </c>
      <c r="EB26">
        <v>1.8667800000000001</v>
      </c>
      <c r="EC26">
        <v>1.86328</v>
      </c>
      <c r="ED26">
        <v>1.8689899999999999</v>
      </c>
      <c r="EE26">
        <v>1.8669100000000001</v>
      </c>
      <c r="EF26">
        <v>1.8715999999999999</v>
      </c>
      <c r="EG26">
        <v>1.86405</v>
      </c>
      <c r="EH26">
        <v>1.8656900000000001</v>
      </c>
      <c r="EI26">
        <v>1.8655600000000001</v>
      </c>
      <c r="EJ26" t="s">
        <v>284</v>
      </c>
      <c r="EK26" t="s">
        <v>19</v>
      </c>
      <c r="EL26" t="s">
        <v>19</v>
      </c>
      <c r="EM26" t="s">
        <v>19</v>
      </c>
      <c r="EN26" t="s">
        <v>285</v>
      </c>
      <c r="EO26" t="s">
        <v>286</v>
      </c>
      <c r="EP26" t="s">
        <v>287</v>
      </c>
      <c r="EQ26" t="s">
        <v>287</v>
      </c>
      <c r="ER26" t="s">
        <v>287</v>
      </c>
      <c r="ES26" t="s">
        <v>287</v>
      </c>
      <c r="ET26">
        <v>0</v>
      </c>
      <c r="EU26">
        <v>100</v>
      </c>
      <c r="EV26">
        <v>100</v>
      </c>
      <c r="EW26">
        <v>-0.183</v>
      </c>
      <c r="EX26">
        <v>0.121</v>
      </c>
      <c r="EY26">
        <v>2</v>
      </c>
      <c r="EZ26">
        <v>337.41300000000001</v>
      </c>
      <c r="FA26">
        <v>506.37099999999998</v>
      </c>
      <c r="FB26">
        <v>21.202000000000002</v>
      </c>
      <c r="FC26">
        <v>33.1753</v>
      </c>
      <c r="FD26">
        <v>29.999400000000001</v>
      </c>
      <c r="FE26">
        <v>33.152999999999999</v>
      </c>
      <c r="FF26">
        <v>33.151400000000002</v>
      </c>
      <c r="FG26">
        <v>34.436399999999999</v>
      </c>
      <c r="FH26">
        <v>41.823599999999999</v>
      </c>
      <c r="FI26">
        <v>0</v>
      </c>
      <c r="FJ26">
        <v>21.159099999999999</v>
      </c>
      <c r="FK26">
        <v>700</v>
      </c>
      <c r="FL26">
        <v>17.072700000000001</v>
      </c>
      <c r="FM26">
        <v>100.99299999999999</v>
      </c>
      <c r="FN26">
        <v>101.105</v>
      </c>
    </row>
    <row r="27" spans="1:170" x14ac:dyDescent="0.25">
      <c r="A27">
        <v>11</v>
      </c>
      <c r="B27">
        <v>1595605220.5</v>
      </c>
      <c r="C27">
        <v>1260.2000000476801</v>
      </c>
      <c r="D27" t="s">
        <v>333</v>
      </c>
      <c r="E27" t="s">
        <v>334</v>
      </c>
      <c r="G27">
        <v>1595605212.5</v>
      </c>
      <c r="H27">
        <f t="shared" si="0"/>
        <v>5.0162406433278718E-3</v>
      </c>
      <c r="I27">
        <f t="shared" si="1"/>
        <v>40.723886251064009</v>
      </c>
      <c r="J27">
        <f t="shared" si="2"/>
        <v>782.136161290323</v>
      </c>
      <c r="K27">
        <f t="shared" si="3"/>
        <v>541.17752000998541</v>
      </c>
      <c r="L27">
        <f t="shared" si="4"/>
        <v>54.094960589060754</v>
      </c>
      <c r="M27">
        <f t="shared" si="5"/>
        <v>78.180676868282745</v>
      </c>
      <c r="N27">
        <f t="shared" si="6"/>
        <v>0.30490534666903341</v>
      </c>
      <c r="O27">
        <f t="shared" si="7"/>
        <v>3.3946742802442671</v>
      </c>
      <c r="P27">
        <f t="shared" si="8"/>
        <v>0.29046689159757011</v>
      </c>
      <c r="Q27">
        <f t="shared" si="9"/>
        <v>0.18278205733999212</v>
      </c>
      <c r="R27">
        <f t="shared" si="10"/>
        <v>353.33974404993171</v>
      </c>
      <c r="S27">
        <f t="shared" si="11"/>
        <v>27.117655843551805</v>
      </c>
      <c r="T27">
        <f t="shared" si="12"/>
        <v>27.024770967741901</v>
      </c>
      <c r="U27">
        <f t="shared" si="13"/>
        <v>3.584370177636226</v>
      </c>
      <c r="V27">
        <f t="shared" si="14"/>
        <v>55.028344636579199</v>
      </c>
      <c r="W27">
        <f t="shared" si="15"/>
        <v>1.9055439260888076</v>
      </c>
      <c r="X27">
        <f t="shared" si="16"/>
        <v>3.4628407208566627</v>
      </c>
      <c r="Y27">
        <f t="shared" si="17"/>
        <v>1.6788262515474184</v>
      </c>
      <c r="Z27">
        <f t="shared" si="18"/>
        <v>-221.21621237075914</v>
      </c>
      <c r="AA27">
        <f t="shared" si="19"/>
        <v>-107.26845029569748</v>
      </c>
      <c r="AB27">
        <f t="shared" si="20"/>
        <v>-6.8011694010415882</v>
      </c>
      <c r="AC27">
        <f t="shared" si="21"/>
        <v>18.053911982433505</v>
      </c>
      <c r="AD27">
        <v>-4.1365218144956903E-2</v>
      </c>
      <c r="AE27">
        <v>4.6436081159852399E-2</v>
      </c>
      <c r="AF27">
        <v>3.4672629905043899</v>
      </c>
      <c r="AG27">
        <v>144</v>
      </c>
      <c r="AH27">
        <v>29</v>
      </c>
      <c r="AI27">
        <f t="shared" si="22"/>
        <v>1</v>
      </c>
      <c r="AJ27">
        <f t="shared" si="23"/>
        <v>0</v>
      </c>
      <c r="AK27">
        <f t="shared" si="24"/>
        <v>52846.181023562378</v>
      </c>
      <c r="AL27">
        <v>0</v>
      </c>
      <c r="AM27">
        <v>0</v>
      </c>
      <c r="AN27">
        <v>0</v>
      </c>
      <c r="AO27">
        <f t="shared" si="25"/>
        <v>0</v>
      </c>
      <c r="AP27" t="e">
        <f t="shared" si="26"/>
        <v>#DIV/0!</v>
      </c>
      <c r="AQ27">
        <v>-1</v>
      </c>
      <c r="AR27" t="s">
        <v>335</v>
      </c>
      <c r="AS27">
        <v>262.664346153846</v>
      </c>
      <c r="AT27">
        <v>355.42399999999998</v>
      </c>
      <c r="AU27">
        <f t="shared" si="27"/>
        <v>0.26098309018567678</v>
      </c>
      <c r="AV27">
        <v>0.5</v>
      </c>
      <c r="AW27">
        <f t="shared" si="28"/>
        <v>1849.1955964832612</v>
      </c>
      <c r="AX27">
        <f t="shared" si="29"/>
        <v>40.723886251064009</v>
      </c>
      <c r="AY27">
        <f t="shared" si="30"/>
        <v>241.30439056397367</v>
      </c>
      <c r="AZ27">
        <f t="shared" si="31"/>
        <v>0.48270234986945165</v>
      </c>
      <c r="BA27">
        <f t="shared" si="32"/>
        <v>2.2563262821095352E-2</v>
      </c>
      <c r="BB27">
        <f t="shared" si="33"/>
        <v>-1</v>
      </c>
      <c r="BC27" t="s">
        <v>336</v>
      </c>
      <c r="BD27">
        <v>183.86</v>
      </c>
      <c r="BE27">
        <f t="shared" si="34"/>
        <v>171.56399999999996</v>
      </c>
      <c r="BF27">
        <f t="shared" si="35"/>
        <v>0.54067085079710198</v>
      </c>
      <c r="BG27">
        <f t="shared" si="36"/>
        <v>1.9331230283911669</v>
      </c>
      <c r="BH27">
        <f t="shared" si="37"/>
        <v>0.26098309018567678</v>
      </c>
      <c r="BI27" t="e">
        <f t="shared" si="38"/>
        <v>#DIV/0!</v>
      </c>
      <c r="BJ27">
        <v>5229</v>
      </c>
      <c r="BK27">
        <v>300</v>
      </c>
      <c r="BL27">
        <v>300</v>
      </c>
      <c r="BM27">
        <v>300</v>
      </c>
      <c r="BN27">
        <v>9888.74</v>
      </c>
      <c r="BO27">
        <v>327.48599999999999</v>
      </c>
      <c r="BP27">
        <v>-6.4139399999999999E-3</v>
      </c>
      <c r="BQ27">
        <v>1.16232</v>
      </c>
      <c r="BR27">
        <f t="shared" si="39"/>
        <v>2200.0122580645202</v>
      </c>
      <c r="BS27">
        <f t="shared" si="40"/>
        <v>1849.1955964832612</v>
      </c>
      <c r="BT27">
        <f t="shared" si="41"/>
        <v>0.84053876959308715</v>
      </c>
      <c r="BU27">
        <f t="shared" si="42"/>
        <v>0.19107753918617451</v>
      </c>
      <c r="BV27">
        <v>0.5</v>
      </c>
      <c r="BW27" t="s">
        <v>281</v>
      </c>
      <c r="BX27">
        <v>1595605212.5</v>
      </c>
      <c r="BY27">
        <v>782.136161290323</v>
      </c>
      <c r="BZ27">
        <v>799.99287096774196</v>
      </c>
      <c r="CA27">
        <v>19.063467741935501</v>
      </c>
      <c r="CB27">
        <v>17.095464516128999</v>
      </c>
      <c r="CC27">
        <v>500.06154838709699</v>
      </c>
      <c r="CD27">
        <v>99.757893548387102</v>
      </c>
      <c r="CE27">
        <v>0.19999196774193601</v>
      </c>
      <c r="CF27">
        <v>26.438648387096801</v>
      </c>
      <c r="CG27">
        <v>27.024770967741901</v>
      </c>
      <c r="CH27">
        <v>999.9</v>
      </c>
      <c r="CI27">
        <v>9999.6332258064504</v>
      </c>
      <c r="CJ27">
        <v>0</v>
      </c>
      <c r="CK27">
        <v>177.75387096774199</v>
      </c>
      <c r="CL27">
        <v>2200.0122580645202</v>
      </c>
      <c r="CM27">
        <v>0.98200032258064496</v>
      </c>
      <c r="CN27">
        <v>1.8000145161290299E-2</v>
      </c>
      <c r="CO27">
        <v>0</v>
      </c>
      <c r="CP27">
        <v>262.66593548387101</v>
      </c>
      <c r="CQ27">
        <v>5.00054</v>
      </c>
      <c r="CR27">
        <v>7854.8254838709699</v>
      </c>
      <c r="CS27">
        <v>20590.661290322601</v>
      </c>
      <c r="CT27">
        <v>49.003999999999998</v>
      </c>
      <c r="CU27">
        <v>51.060064516129003</v>
      </c>
      <c r="CV27">
        <v>49.473580645161299</v>
      </c>
      <c r="CW27">
        <v>49.812258064516101</v>
      </c>
      <c r="CX27">
        <v>50.281999999999996</v>
      </c>
      <c r="CY27">
        <v>2155.50225806452</v>
      </c>
      <c r="CZ27">
        <v>39.51</v>
      </c>
      <c r="DA27">
        <v>0</v>
      </c>
      <c r="DB27">
        <v>149.40000009536701</v>
      </c>
      <c r="DC27">
        <v>262.664346153846</v>
      </c>
      <c r="DD27">
        <v>-0.60680341955903505</v>
      </c>
      <c r="DE27">
        <v>-22.9200000296998</v>
      </c>
      <c r="DF27">
        <v>7854.70423076923</v>
      </c>
      <c r="DG27">
        <v>15</v>
      </c>
      <c r="DH27">
        <v>1595605244.5</v>
      </c>
      <c r="DI27" t="s">
        <v>337</v>
      </c>
      <c r="DJ27">
        <v>11</v>
      </c>
      <c r="DK27">
        <v>-0.32</v>
      </c>
      <c r="DL27">
        <v>0.11799999999999999</v>
      </c>
      <c r="DM27">
        <v>800</v>
      </c>
      <c r="DN27">
        <v>17</v>
      </c>
      <c r="DO27">
        <v>0.15</v>
      </c>
      <c r="DP27">
        <v>0.05</v>
      </c>
      <c r="DQ27">
        <v>782.24105882352899</v>
      </c>
      <c r="DR27">
        <v>0.36199819004547801</v>
      </c>
      <c r="DS27">
        <v>5.1111723748063699E-2</v>
      </c>
      <c r="DT27">
        <v>0</v>
      </c>
      <c r="DU27">
        <v>19.122717647058799</v>
      </c>
      <c r="DV27">
        <v>-0.64288398190044405</v>
      </c>
      <c r="DW27">
        <v>7.9580140161909493E-2</v>
      </c>
      <c r="DX27">
        <v>0</v>
      </c>
      <c r="DY27">
        <v>0</v>
      </c>
      <c r="DZ27">
        <v>2</v>
      </c>
      <c r="EA27" t="s">
        <v>338</v>
      </c>
      <c r="EB27">
        <v>1.86677</v>
      </c>
      <c r="EC27">
        <v>1.86327</v>
      </c>
      <c r="ED27">
        <v>1.86896</v>
      </c>
      <c r="EE27">
        <v>1.8668800000000001</v>
      </c>
      <c r="EF27">
        <v>1.8715900000000001</v>
      </c>
      <c r="EG27">
        <v>1.86402</v>
      </c>
      <c r="EH27">
        <v>1.86568</v>
      </c>
      <c r="EI27">
        <v>1.86554</v>
      </c>
      <c r="EJ27" t="s">
        <v>284</v>
      </c>
      <c r="EK27" t="s">
        <v>19</v>
      </c>
      <c r="EL27" t="s">
        <v>19</v>
      </c>
      <c r="EM27" t="s">
        <v>19</v>
      </c>
      <c r="EN27" t="s">
        <v>285</v>
      </c>
      <c r="EO27" t="s">
        <v>286</v>
      </c>
      <c r="EP27" t="s">
        <v>287</v>
      </c>
      <c r="EQ27" t="s">
        <v>287</v>
      </c>
      <c r="ER27" t="s">
        <v>287</v>
      </c>
      <c r="ES27" t="s">
        <v>287</v>
      </c>
      <c r="ET27">
        <v>0</v>
      </c>
      <c r="EU27">
        <v>100</v>
      </c>
      <c r="EV27">
        <v>100</v>
      </c>
      <c r="EW27">
        <v>-0.32</v>
      </c>
      <c r="EX27">
        <v>0.11799999999999999</v>
      </c>
      <c r="EY27">
        <v>2</v>
      </c>
      <c r="EZ27">
        <v>338.03300000000002</v>
      </c>
      <c r="FA27">
        <v>504.86799999999999</v>
      </c>
      <c r="FB27">
        <v>20.7775</v>
      </c>
      <c r="FC27">
        <v>33.280700000000003</v>
      </c>
      <c r="FD27">
        <v>30.000900000000001</v>
      </c>
      <c r="FE27">
        <v>33.249000000000002</v>
      </c>
      <c r="FF27">
        <v>33.248800000000003</v>
      </c>
      <c r="FG27">
        <v>38.368600000000001</v>
      </c>
      <c r="FH27">
        <v>42.809399999999997</v>
      </c>
      <c r="FI27">
        <v>0</v>
      </c>
      <c r="FJ27">
        <v>20.7499</v>
      </c>
      <c r="FK27">
        <v>800</v>
      </c>
      <c r="FL27">
        <v>17.168099999999999</v>
      </c>
      <c r="FM27">
        <v>100.974</v>
      </c>
      <c r="FN27">
        <v>101.08799999999999</v>
      </c>
    </row>
    <row r="28" spans="1:170" x14ac:dyDescent="0.25">
      <c r="A28">
        <v>12</v>
      </c>
      <c r="B28">
        <v>1595605366</v>
      </c>
      <c r="C28">
        <v>1405.7000000476801</v>
      </c>
      <c r="D28" t="s">
        <v>339</v>
      </c>
      <c r="E28" t="s">
        <v>340</v>
      </c>
      <c r="G28">
        <v>1595605358</v>
      </c>
      <c r="H28">
        <f t="shared" si="0"/>
        <v>4.3913653458391259E-3</v>
      </c>
      <c r="I28">
        <f t="shared" si="1"/>
        <v>42.304019081274816</v>
      </c>
      <c r="J28">
        <f t="shared" si="2"/>
        <v>981.34277419354805</v>
      </c>
      <c r="K28">
        <f t="shared" si="3"/>
        <v>691.82650989436502</v>
      </c>
      <c r="L28">
        <f t="shared" si="4"/>
        <v>69.154909259680366</v>
      </c>
      <c r="M28">
        <f t="shared" si="5"/>
        <v>98.094926302202666</v>
      </c>
      <c r="N28">
        <f t="shared" si="6"/>
        <v>0.26344298572250785</v>
      </c>
      <c r="O28">
        <f t="shared" si="7"/>
        <v>3.3963421316126201</v>
      </c>
      <c r="P28">
        <f t="shared" si="8"/>
        <v>0.25259431420360051</v>
      </c>
      <c r="Q28">
        <f t="shared" si="9"/>
        <v>0.15880892908902328</v>
      </c>
      <c r="R28">
        <f t="shared" si="10"/>
        <v>353.33696393100769</v>
      </c>
      <c r="S28">
        <f t="shared" si="11"/>
        <v>27.138425797377018</v>
      </c>
      <c r="T28">
        <f t="shared" si="12"/>
        <v>27.000361290322601</v>
      </c>
      <c r="U28">
        <f t="shared" si="13"/>
        <v>3.5792356413696291</v>
      </c>
      <c r="V28">
        <f t="shared" si="14"/>
        <v>54.938725501480491</v>
      </c>
      <c r="W28">
        <f t="shared" si="15"/>
        <v>1.8889599791414504</v>
      </c>
      <c r="X28">
        <f t="shared" si="16"/>
        <v>3.4383032403810434</v>
      </c>
      <c r="Y28">
        <f t="shared" si="17"/>
        <v>1.6902756622281787</v>
      </c>
      <c r="Z28">
        <f t="shared" si="18"/>
        <v>-193.65921175150547</v>
      </c>
      <c r="AA28">
        <f t="shared" si="19"/>
        <v>-124.91858978394569</v>
      </c>
      <c r="AB28">
        <f t="shared" si="20"/>
        <v>-7.9106188793674423</v>
      </c>
      <c r="AC28">
        <f t="shared" si="21"/>
        <v>26.848543516189068</v>
      </c>
      <c r="AD28">
        <v>-4.1391057486100898E-2</v>
      </c>
      <c r="AE28">
        <v>4.6465088083936998E-2</v>
      </c>
      <c r="AF28">
        <v>3.4689761853891499</v>
      </c>
      <c r="AG28">
        <v>145</v>
      </c>
      <c r="AH28">
        <v>29</v>
      </c>
      <c r="AI28">
        <f t="shared" si="22"/>
        <v>1</v>
      </c>
      <c r="AJ28">
        <f t="shared" si="23"/>
        <v>0</v>
      </c>
      <c r="AK28">
        <f t="shared" si="24"/>
        <v>52899.174249953343</v>
      </c>
      <c r="AL28">
        <v>0</v>
      </c>
      <c r="AM28">
        <v>0</v>
      </c>
      <c r="AN28">
        <v>0</v>
      </c>
      <c r="AO28">
        <f t="shared" si="25"/>
        <v>0</v>
      </c>
      <c r="AP28" t="e">
        <f t="shared" si="26"/>
        <v>#DIV/0!</v>
      </c>
      <c r="AQ28">
        <v>-1</v>
      </c>
      <c r="AR28" t="s">
        <v>341</v>
      </c>
      <c r="AS28">
        <v>261.20465384615397</v>
      </c>
      <c r="AT28">
        <v>351.26499999999999</v>
      </c>
      <c r="AU28">
        <f t="shared" si="27"/>
        <v>0.25638861302391647</v>
      </c>
      <c r="AV28">
        <v>0.5</v>
      </c>
      <c r="AW28">
        <f t="shared" si="28"/>
        <v>1849.1809642251933</v>
      </c>
      <c r="AX28">
        <f t="shared" si="29"/>
        <v>42.304019081274816</v>
      </c>
      <c r="AY28">
        <f t="shared" si="30"/>
        <v>237.0544713239629</v>
      </c>
      <c r="AZ28">
        <f t="shared" si="31"/>
        <v>0.48506113617923791</v>
      </c>
      <c r="BA28">
        <f t="shared" si="32"/>
        <v>2.3417945522394665E-2</v>
      </c>
      <c r="BB28">
        <f t="shared" si="33"/>
        <v>-1</v>
      </c>
      <c r="BC28" t="s">
        <v>342</v>
      </c>
      <c r="BD28">
        <v>180.88</v>
      </c>
      <c r="BE28">
        <f t="shared" si="34"/>
        <v>170.38499999999999</v>
      </c>
      <c r="BF28">
        <f t="shared" si="35"/>
        <v>0.52856968720160824</v>
      </c>
      <c r="BG28">
        <f t="shared" si="36"/>
        <v>1.9419781070322866</v>
      </c>
      <c r="BH28">
        <f t="shared" si="37"/>
        <v>0.25638861302391647</v>
      </c>
      <c r="BI28" t="e">
        <f t="shared" si="38"/>
        <v>#DIV/0!</v>
      </c>
      <c r="BJ28">
        <v>5231</v>
      </c>
      <c r="BK28">
        <v>300</v>
      </c>
      <c r="BL28">
        <v>300</v>
      </c>
      <c r="BM28">
        <v>300</v>
      </c>
      <c r="BN28">
        <v>9888.5499999999993</v>
      </c>
      <c r="BO28">
        <v>323.14</v>
      </c>
      <c r="BP28">
        <v>-6.4137700000000001E-3</v>
      </c>
      <c r="BQ28">
        <v>1.14453</v>
      </c>
      <c r="BR28">
        <f t="shared" si="39"/>
        <v>2199.9948387096802</v>
      </c>
      <c r="BS28">
        <f t="shared" si="40"/>
        <v>1849.1809642251933</v>
      </c>
      <c r="BT28">
        <f t="shared" si="41"/>
        <v>0.84053877385901377</v>
      </c>
      <c r="BU28">
        <f t="shared" si="42"/>
        <v>0.19107754771802762</v>
      </c>
      <c r="BV28">
        <v>0.5</v>
      </c>
      <c r="BW28" t="s">
        <v>281</v>
      </c>
      <c r="BX28">
        <v>1595605358</v>
      </c>
      <c r="BY28">
        <v>981.34277419354805</v>
      </c>
      <c r="BZ28">
        <v>999.98577419354797</v>
      </c>
      <c r="CA28">
        <v>18.897177419354801</v>
      </c>
      <c r="CB28">
        <v>17.174045161290302</v>
      </c>
      <c r="CC28">
        <v>500.06387096774199</v>
      </c>
      <c r="CD28">
        <v>99.759893548387097</v>
      </c>
      <c r="CE28">
        <v>0.200007193548387</v>
      </c>
      <c r="CF28">
        <v>26.318132258064502</v>
      </c>
      <c r="CG28">
        <v>27.000361290322601</v>
      </c>
      <c r="CH28">
        <v>999.9</v>
      </c>
      <c r="CI28">
        <v>10005.6790322581</v>
      </c>
      <c r="CJ28">
        <v>0</v>
      </c>
      <c r="CK28">
        <v>176.94583870967699</v>
      </c>
      <c r="CL28">
        <v>2199.9948387096802</v>
      </c>
      <c r="CM28">
        <v>0.98200038709677395</v>
      </c>
      <c r="CN28">
        <v>1.8000074193548401E-2</v>
      </c>
      <c r="CO28">
        <v>0</v>
      </c>
      <c r="CP28">
        <v>261.20906451612899</v>
      </c>
      <c r="CQ28">
        <v>5.00054</v>
      </c>
      <c r="CR28">
        <v>7849.3367741935499</v>
      </c>
      <c r="CS28">
        <v>20590.4806451613</v>
      </c>
      <c r="CT28">
        <v>49.066129032257997</v>
      </c>
      <c r="CU28">
        <v>51.1812258064516</v>
      </c>
      <c r="CV28">
        <v>49.550064516128998</v>
      </c>
      <c r="CW28">
        <v>49.868806451612897</v>
      </c>
      <c r="CX28">
        <v>50.314290322580597</v>
      </c>
      <c r="CY28">
        <v>2155.4848387096799</v>
      </c>
      <c r="CZ28">
        <v>39.51</v>
      </c>
      <c r="DA28">
        <v>0</v>
      </c>
      <c r="DB28">
        <v>144.700000047684</v>
      </c>
      <c r="DC28">
        <v>261.20465384615397</v>
      </c>
      <c r="DD28">
        <v>-1.6896068404012301</v>
      </c>
      <c r="DE28">
        <v>-35.380170935770401</v>
      </c>
      <c r="DF28">
        <v>7849.1996153846203</v>
      </c>
      <c r="DG28">
        <v>15</v>
      </c>
      <c r="DH28">
        <v>1595605393.5</v>
      </c>
      <c r="DI28" t="s">
        <v>343</v>
      </c>
      <c r="DJ28">
        <v>12</v>
      </c>
      <c r="DK28">
        <v>2.3E-2</v>
      </c>
      <c r="DL28">
        <v>0.11799999999999999</v>
      </c>
      <c r="DM28">
        <v>1000</v>
      </c>
      <c r="DN28">
        <v>17</v>
      </c>
      <c r="DO28">
        <v>0.11</v>
      </c>
      <c r="DP28">
        <v>0.05</v>
      </c>
      <c r="DQ28">
        <v>980.98339215686303</v>
      </c>
      <c r="DR28">
        <v>0.19649592760169901</v>
      </c>
      <c r="DS28">
        <v>3.47681838057671E-2</v>
      </c>
      <c r="DT28">
        <v>1</v>
      </c>
      <c r="DU28">
        <v>18.924880392156901</v>
      </c>
      <c r="DV28">
        <v>-0.29446153846152401</v>
      </c>
      <c r="DW28">
        <v>3.6739170844699201E-2</v>
      </c>
      <c r="DX28">
        <v>0</v>
      </c>
      <c r="DY28">
        <v>1</v>
      </c>
      <c r="DZ28">
        <v>2</v>
      </c>
      <c r="EA28" t="s">
        <v>344</v>
      </c>
      <c r="EB28">
        <v>1.86676</v>
      </c>
      <c r="EC28">
        <v>1.86328</v>
      </c>
      <c r="ED28">
        <v>1.86894</v>
      </c>
      <c r="EE28">
        <v>1.8668499999999999</v>
      </c>
      <c r="EF28">
        <v>1.87155</v>
      </c>
      <c r="EG28">
        <v>1.8640099999999999</v>
      </c>
      <c r="EH28">
        <v>1.86565</v>
      </c>
      <c r="EI28">
        <v>1.86554</v>
      </c>
      <c r="EJ28" t="s">
        <v>284</v>
      </c>
      <c r="EK28" t="s">
        <v>19</v>
      </c>
      <c r="EL28" t="s">
        <v>19</v>
      </c>
      <c r="EM28" t="s">
        <v>19</v>
      </c>
      <c r="EN28" t="s">
        <v>285</v>
      </c>
      <c r="EO28" t="s">
        <v>286</v>
      </c>
      <c r="EP28" t="s">
        <v>287</v>
      </c>
      <c r="EQ28" t="s">
        <v>287</v>
      </c>
      <c r="ER28" t="s">
        <v>287</v>
      </c>
      <c r="ES28" t="s">
        <v>287</v>
      </c>
      <c r="ET28">
        <v>0</v>
      </c>
      <c r="EU28">
        <v>100</v>
      </c>
      <c r="EV28">
        <v>100</v>
      </c>
      <c r="EW28">
        <v>2.3E-2</v>
      </c>
      <c r="EX28">
        <v>0.11799999999999999</v>
      </c>
      <c r="EY28">
        <v>2</v>
      </c>
      <c r="EZ28">
        <v>337.733</v>
      </c>
      <c r="FA28">
        <v>503.887</v>
      </c>
      <c r="FB28">
        <v>20.5974</v>
      </c>
      <c r="FC28">
        <v>33.388399999999997</v>
      </c>
      <c r="FD28">
        <v>30.0001</v>
      </c>
      <c r="FE28">
        <v>33.349200000000003</v>
      </c>
      <c r="FF28">
        <v>33.346600000000002</v>
      </c>
      <c r="FG28">
        <v>45.944899999999997</v>
      </c>
      <c r="FH28">
        <v>43.352200000000003</v>
      </c>
      <c r="FI28">
        <v>0</v>
      </c>
      <c r="FJ28">
        <v>20.611000000000001</v>
      </c>
      <c r="FK28">
        <v>1000</v>
      </c>
      <c r="FL28">
        <v>17.2103</v>
      </c>
      <c r="FM28">
        <v>100.953</v>
      </c>
      <c r="FN28">
        <v>101.07599999999999</v>
      </c>
    </row>
    <row r="29" spans="1:170" x14ac:dyDescent="0.25">
      <c r="A29">
        <v>13</v>
      </c>
      <c r="B29">
        <v>1595605511.5</v>
      </c>
      <c r="C29">
        <v>1551.2000000476801</v>
      </c>
      <c r="D29" t="s">
        <v>345</v>
      </c>
      <c r="E29" t="s">
        <v>346</v>
      </c>
      <c r="G29">
        <v>1595605503.5032301</v>
      </c>
      <c r="H29">
        <f t="shared" si="0"/>
        <v>3.7247386354752488E-3</v>
      </c>
      <c r="I29">
        <f t="shared" si="1"/>
        <v>42.644369494287069</v>
      </c>
      <c r="J29">
        <f t="shared" si="2"/>
        <v>1181.1780000000001</v>
      </c>
      <c r="K29">
        <f t="shared" si="3"/>
        <v>835.71732609877347</v>
      </c>
      <c r="L29">
        <f t="shared" si="4"/>
        <v>83.536794153045889</v>
      </c>
      <c r="M29">
        <f t="shared" si="5"/>
        <v>118.06841902478928</v>
      </c>
      <c r="N29">
        <f t="shared" si="6"/>
        <v>0.22155679882494583</v>
      </c>
      <c r="O29">
        <f t="shared" si="7"/>
        <v>3.3963085823298864</v>
      </c>
      <c r="P29">
        <f t="shared" si="8"/>
        <v>0.21382915755144025</v>
      </c>
      <c r="Q29">
        <f t="shared" si="9"/>
        <v>0.13431506672730156</v>
      </c>
      <c r="R29">
        <f t="shared" si="10"/>
        <v>353.33964772343086</v>
      </c>
      <c r="S29">
        <f t="shared" si="11"/>
        <v>27.22514858393712</v>
      </c>
      <c r="T29">
        <f t="shared" si="12"/>
        <v>27.001490322580601</v>
      </c>
      <c r="U29">
        <f t="shared" si="13"/>
        <v>3.5794729897895494</v>
      </c>
      <c r="V29">
        <f t="shared" si="14"/>
        <v>55.057977533487033</v>
      </c>
      <c r="W29">
        <f t="shared" si="15"/>
        <v>1.8858796361646153</v>
      </c>
      <c r="X29">
        <f t="shared" si="16"/>
        <v>3.42526137110212</v>
      </c>
      <c r="Y29">
        <f t="shared" si="17"/>
        <v>1.6935933536249341</v>
      </c>
      <c r="Z29">
        <f t="shared" si="18"/>
        <v>-164.26097382445846</v>
      </c>
      <c r="AA29">
        <f t="shared" si="19"/>
        <v>-136.9087510104365</v>
      </c>
      <c r="AB29">
        <f t="shared" si="20"/>
        <v>-8.6672541188458876</v>
      </c>
      <c r="AC29">
        <f t="shared" si="21"/>
        <v>43.50266876968999</v>
      </c>
      <c r="AD29">
        <v>-4.1390537664212697E-2</v>
      </c>
      <c r="AE29">
        <v>4.6464504538328698E-2</v>
      </c>
      <c r="AF29">
        <v>3.4689417239100799</v>
      </c>
      <c r="AG29">
        <v>145</v>
      </c>
      <c r="AH29">
        <v>29</v>
      </c>
      <c r="AI29">
        <f t="shared" si="22"/>
        <v>1</v>
      </c>
      <c r="AJ29">
        <f t="shared" si="23"/>
        <v>0</v>
      </c>
      <c r="AK29">
        <f t="shared" si="24"/>
        <v>52909.877826581673</v>
      </c>
      <c r="AL29">
        <v>0</v>
      </c>
      <c r="AM29">
        <v>0</v>
      </c>
      <c r="AN29">
        <v>0</v>
      </c>
      <c r="AO29">
        <f t="shared" si="25"/>
        <v>0</v>
      </c>
      <c r="AP29" t="e">
        <f t="shared" si="26"/>
        <v>#DIV/0!</v>
      </c>
      <c r="AQ29">
        <v>-1</v>
      </c>
      <c r="AR29" t="s">
        <v>347</v>
      </c>
      <c r="AS29">
        <v>258.68346153846198</v>
      </c>
      <c r="AT29">
        <v>341.01900000000001</v>
      </c>
      <c r="AU29">
        <f t="shared" si="27"/>
        <v>0.241439739315223</v>
      </c>
      <c r="AV29">
        <v>0.5</v>
      </c>
      <c r="AW29">
        <f t="shared" si="28"/>
        <v>1849.1960319671582</v>
      </c>
      <c r="AX29">
        <f t="shared" si="29"/>
        <v>42.644369494287069</v>
      </c>
      <c r="AY29">
        <f t="shared" si="30"/>
        <v>223.23470395044774</v>
      </c>
      <c r="AZ29">
        <f t="shared" si="31"/>
        <v>0.47211152457780942</v>
      </c>
      <c r="BA29">
        <f t="shared" si="32"/>
        <v>2.3601807888295422E-2</v>
      </c>
      <c r="BB29">
        <f t="shared" si="33"/>
        <v>-1</v>
      </c>
      <c r="BC29" t="s">
        <v>348</v>
      </c>
      <c r="BD29">
        <v>180.02</v>
      </c>
      <c r="BE29">
        <f t="shared" si="34"/>
        <v>160.999</v>
      </c>
      <c r="BF29">
        <f t="shared" si="35"/>
        <v>0.5114040364321395</v>
      </c>
      <c r="BG29">
        <f t="shared" si="36"/>
        <v>1.894339517831352</v>
      </c>
      <c r="BH29">
        <f t="shared" si="37"/>
        <v>0.24143973931522297</v>
      </c>
      <c r="BI29" t="e">
        <f t="shared" si="38"/>
        <v>#DIV/0!</v>
      </c>
      <c r="BJ29">
        <v>5233</v>
      </c>
      <c r="BK29">
        <v>300</v>
      </c>
      <c r="BL29">
        <v>300</v>
      </c>
      <c r="BM29">
        <v>300</v>
      </c>
      <c r="BN29">
        <v>9887.6</v>
      </c>
      <c r="BO29">
        <v>317.52300000000002</v>
      </c>
      <c r="BP29">
        <v>-6.4131300000000004E-3</v>
      </c>
      <c r="BQ29">
        <v>1.06671</v>
      </c>
      <c r="BR29">
        <f t="shared" si="39"/>
        <v>2200.0129032258101</v>
      </c>
      <c r="BS29">
        <f t="shared" si="40"/>
        <v>1849.1960319671582</v>
      </c>
      <c r="BT29">
        <f t="shared" si="41"/>
        <v>0.84053872104829019</v>
      </c>
      <c r="BU29">
        <f t="shared" si="42"/>
        <v>0.19107744209658037</v>
      </c>
      <c r="BV29">
        <v>0.5</v>
      </c>
      <c r="BW29" t="s">
        <v>281</v>
      </c>
      <c r="BX29">
        <v>1595605503.5032301</v>
      </c>
      <c r="BY29">
        <v>1181.1780000000001</v>
      </c>
      <c r="BZ29">
        <v>1199.99322580645</v>
      </c>
      <c r="CA29">
        <v>18.866683870967702</v>
      </c>
      <c r="CB29">
        <v>17.405080645161298</v>
      </c>
      <c r="CC29">
        <v>500.06254838709702</v>
      </c>
      <c r="CD29">
        <v>99.758222580645196</v>
      </c>
      <c r="CE29">
        <v>0.19997087096774199</v>
      </c>
      <c r="CF29">
        <v>26.2537709677419</v>
      </c>
      <c r="CG29">
        <v>27.001490322580601</v>
      </c>
      <c r="CH29">
        <v>999.9</v>
      </c>
      <c r="CI29">
        <v>10005.7209677419</v>
      </c>
      <c r="CJ29">
        <v>0</v>
      </c>
      <c r="CK29">
        <v>179.240193548387</v>
      </c>
      <c r="CL29">
        <v>2200.0129032258101</v>
      </c>
      <c r="CM29">
        <v>0.98200238709677401</v>
      </c>
      <c r="CN29">
        <v>1.7997893548387101E-2</v>
      </c>
      <c r="CO29">
        <v>0</v>
      </c>
      <c r="CP29">
        <v>258.67309677419399</v>
      </c>
      <c r="CQ29">
        <v>5.00054</v>
      </c>
      <c r="CR29">
        <v>7794.3925806451598</v>
      </c>
      <c r="CS29">
        <v>20590.658064516101</v>
      </c>
      <c r="CT29">
        <v>49.140999999999998</v>
      </c>
      <c r="CU29">
        <v>51.227645161290297</v>
      </c>
      <c r="CV29">
        <v>49.618903225806498</v>
      </c>
      <c r="CW29">
        <v>49.931064516128998</v>
      </c>
      <c r="CX29">
        <v>50.340451612903202</v>
      </c>
      <c r="CY29">
        <v>2155.5064516129</v>
      </c>
      <c r="CZ29">
        <v>39.506451612903199</v>
      </c>
      <c r="DA29">
        <v>0</v>
      </c>
      <c r="DB29">
        <v>144.90000009536701</v>
      </c>
      <c r="DC29">
        <v>258.68346153846198</v>
      </c>
      <c r="DD29">
        <v>-1.87247864446935</v>
      </c>
      <c r="DE29">
        <v>-32.696410281278197</v>
      </c>
      <c r="DF29">
        <v>7794.1111538461601</v>
      </c>
      <c r="DG29">
        <v>15</v>
      </c>
      <c r="DH29">
        <v>1595605535</v>
      </c>
      <c r="DI29" t="s">
        <v>349</v>
      </c>
      <c r="DJ29">
        <v>13</v>
      </c>
      <c r="DK29">
        <v>1E-3</v>
      </c>
      <c r="DL29">
        <v>0.124</v>
      </c>
      <c r="DM29">
        <v>1200</v>
      </c>
      <c r="DN29">
        <v>17</v>
      </c>
      <c r="DO29">
        <v>0.11</v>
      </c>
      <c r="DP29">
        <v>0.08</v>
      </c>
      <c r="DQ29">
        <v>1181.1801960784301</v>
      </c>
      <c r="DR29">
        <v>0.27755503373194701</v>
      </c>
      <c r="DS29">
        <v>5.4033039858839602E-2</v>
      </c>
      <c r="DT29">
        <v>1</v>
      </c>
      <c r="DU29">
        <v>18.858635294117601</v>
      </c>
      <c r="DV29">
        <v>2.1479484541444001E-2</v>
      </c>
      <c r="DW29">
        <v>3.28489254483953E-3</v>
      </c>
      <c r="DX29">
        <v>1</v>
      </c>
      <c r="DY29">
        <v>2</v>
      </c>
      <c r="DZ29">
        <v>2</v>
      </c>
      <c r="EA29" t="s">
        <v>283</v>
      </c>
      <c r="EB29">
        <v>1.86677</v>
      </c>
      <c r="EC29">
        <v>1.86327</v>
      </c>
      <c r="ED29">
        <v>1.8689800000000001</v>
      </c>
      <c r="EE29">
        <v>1.8668800000000001</v>
      </c>
      <c r="EF29">
        <v>1.87157</v>
      </c>
      <c r="EG29">
        <v>1.86402</v>
      </c>
      <c r="EH29">
        <v>1.86565</v>
      </c>
      <c r="EI29">
        <v>1.8655299999999999</v>
      </c>
      <c r="EJ29" t="s">
        <v>284</v>
      </c>
      <c r="EK29" t="s">
        <v>19</v>
      </c>
      <c r="EL29" t="s">
        <v>19</v>
      </c>
      <c r="EM29" t="s">
        <v>19</v>
      </c>
      <c r="EN29" t="s">
        <v>285</v>
      </c>
      <c r="EO29" t="s">
        <v>286</v>
      </c>
      <c r="EP29" t="s">
        <v>287</v>
      </c>
      <c r="EQ29" t="s">
        <v>287</v>
      </c>
      <c r="ER29" t="s">
        <v>287</v>
      </c>
      <c r="ES29" t="s">
        <v>287</v>
      </c>
      <c r="ET29">
        <v>0</v>
      </c>
      <c r="EU29">
        <v>100</v>
      </c>
      <c r="EV29">
        <v>100</v>
      </c>
      <c r="EW29">
        <v>1E-3</v>
      </c>
      <c r="EX29">
        <v>0.124</v>
      </c>
      <c r="EY29">
        <v>2</v>
      </c>
      <c r="EZ29">
        <v>337.60199999999998</v>
      </c>
      <c r="FA29">
        <v>503.24400000000003</v>
      </c>
      <c r="FB29">
        <v>20.204999999999998</v>
      </c>
      <c r="FC29">
        <v>33.439</v>
      </c>
      <c r="FD29">
        <v>29.998899999999999</v>
      </c>
      <c r="FE29">
        <v>33.418999999999997</v>
      </c>
      <c r="FF29">
        <v>33.418100000000003</v>
      </c>
      <c r="FG29">
        <v>53.212400000000002</v>
      </c>
      <c r="FH29">
        <v>42.557600000000001</v>
      </c>
      <c r="FI29">
        <v>0</v>
      </c>
      <c r="FJ29">
        <v>20.619299999999999</v>
      </c>
      <c r="FK29">
        <v>1200</v>
      </c>
      <c r="FL29">
        <v>17.458300000000001</v>
      </c>
      <c r="FM29">
        <v>100.943</v>
      </c>
      <c r="FN29">
        <v>101.07</v>
      </c>
    </row>
    <row r="30" spans="1:170" x14ac:dyDescent="0.25">
      <c r="A30">
        <v>14</v>
      </c>
      <c r="B30">
        <v>1595605643</v>
      </c>
      <c r="C30">
        <v>1682.7000000476801</v>
      </c>
      <c r="D30" t="s">
        <v>350</v>
      </c>
      <c r="E30" t="s">
        <v>351</v>
      </c>
      <c r="G30">
        <v>1595605635.0064499</v>
      </c>
      <c r="H30">
        <f t="shared" si="0"/>
        <v>3.309538020406943E-3</v>
      </c>
      <c r="I30">
        <f t="shared" si="1"/>
        <v>43.483211534895212</v>
      </c>
      <c r="J30">
        <f t="shared" si="2"/>
        <v>1580.4770000000001</v>
      </c>
      <c r="K30">
        <f t="shared" si="3"/>
        <v>1175.4235013278028</v>
      </c>
      <c r="L30">
        <f t="shared" si="4"/>
        <v>117.49671018240059</v>
      </c>
      <c r="M30">
        <f t="shared" si="5"/>
        <v>157.98633242331405</v>
      </c>
      <c r="N30">
        <f t="shared" si="6"/>
        <v>0.19494820927471351</v>
      </c>
      <c r="O30">
        <f t="shared" si="7"/>
        <v>3.3958570728064958</v>
      </c>
      <c r="P30">
        <f t="shared" si="8"/>
        <v>0.18893739369637291</v>
      </c>
      <c r="Q30">
        <f t="shared" si="9"/>
        <v>0.11861048092952663</v>
      </c>
      <c r="R30">
        <f t="shared" si="10"/>
        <v>353.33973347570668</v>
      </c>
      <c r="S30">
        <f t="shared" si="11"/>
        <v>27.227995349067957</v>
      </c>
      <c r="T30">
        <f t="shared" si="12"/>
        <v>27.019961290322598</v>
      </c>
      <c r="U30">
        <f t="shared" si="13"/>
        <v>3.5833579614289728</v>
      </c>
      <c r="V30">
        <f t="shared" si="14"/>
        <v>55.190341616802499</v>
      </c>
      <c r="W30">
        <f t="shared" si="15"/>
        <v>1.880231263419984</v>
      </c>
      <c r="X30">
        <f t="shared" si="16"/>
        <v>3.4068121492611931</v>
      </c>
      <c r="Y30">
        <f t="shared" si="17"/>
        <v>1.7031266980089887</v>
      </c>
      <c r="Z30">
        <f t="shared" si="18"/>
        <v>-145.95062669994618</v>
      </c>
      <c r="AA30">
        <f t="shared" si="19"/>
        <v>-157.00780869865866</v>
      </c>
      <c r="AB30">
        <f t="shared" si="20"/>
        <v>-9.9373578432630509</v>
      </c>
      <c r="AC30">
        <f t="shared" si="21"/>
        <v>40.443940233838788</v>
      </c>
      <c r="AD30">
        <v>-4.1383542076319002E-2</v>
      </c>
      <c r="AE30">
        <v>4.6456651378070903E-2</v>
      </c>
      <c r="AF30">
        <v>3.4684779383556301</v>
      </c>
      <c r="AG30">
        <v>143</v>
      </c>
      <c r="AH30">
        <v>29</v>
      </c>
      <c r="AI30">
        <f t="shared" si="22"/>
        <v>1</v>
      </c>
      <c r="AJ30">
        <f t="shared" si="23"/>
        <v>0</v>
      </c>
      <c r="AK30">
        <f t="shared" si="24"/>
        <v>52917.530714371227</v>
      </c>
      <c r="AL30">
        <v>0</v>
      </c>
      <c r="AM30">
        <v>0</v>
      </c>
      <c r="AN30">
        <v>0</v>
      </c>
      <c r="AO30">
        <f t="shared" si="25"/>
        <v>0</v>
      </c>
      <c r="AP30" t="e">
        <f t="shared" si="26"/>
        <v>#DIV/0!</v>
      </c>
      <c r="AQ30">
        <v>-1</v>
      </c>
      <c r="AR30" t="s">
        <v>352</v>
      </c>
      <c r="AS30">
        <v>257.434423076923</v>
      </c>
      <c r="AT30">
        <v>336.56400000000002</v>
      </c>
      <c r="AU30">
        <f t="shared" si="27"/>
        <v>0.23511004422064452</v>
      </c>
      <c r="AV30">
        <v>0.5</v>
      </c>
      <c r="AW30">
        <f t="shared" si="28"/>
        <v>1849.198025515587</v>
      </c>
      <c r="AX30">
        <f t="shared" si="29"/>
        <v>43.483211534895212</v>
      </c>
      <c r="AY30">
        <f t="shared" si="30"/>
        <v>217.3825147758491</v>
      </c>
      <c r="AZ30">
        <f t="shared" si="31"/>
        <v>0.46060778930604585</v>
      </c>
      <c r="BA30">
        <f t="shared" si="32"/>
        <v>2.405540722037736E-2</v>
      </c>
      <c r="BB30">
        <f t="shared" si="33"/>
        <v>-1</v>
      </c>
      <c r="BC30" t="s">
        <v>353</v>
      </c>
      <c r="BD30">
        <v>181.54</v>
      </c>
      <c r="BE30">
        <f t="shared" si="34"/>
        <v>155.02400000000003</v>
      </c>
      <c r="BF30">
        <f t="shared" si="35"/>
        <v>0.51043436450534763</v>
      </c>
      <c r="BG30">
        <f t="shared" si="36"/>
        <v>1.8539385259446957</v>
      </c>
      <c r="BH30">
        <f t="shared" si="37"/>
        <v>0.23511004422064458</v>
      </c>
      <c r="BI30" t="e">
        <f t="shared" si="38"/>
        <v>#DIV/0!</v>
      </c>
      <c r="BJ30">
        <v>5235</v>
      </c>
      <c r="BK30">
        <v>300</v>
      </c>
      <c r="BL30">
        <v>300</v>
      </c>
      <c r="BM30">
        <v>300</v>
      </c>
      <c r="BN30">
        <v>9886.99</v>
      </c>
      <c r="BO30">
        <v>312.76900000000001</v>
      </c>
      <c r="BP30">
        <v>-6.4126399999999998E-3</v>
      </c>
      <c r="BQ30">
        <v>0.59127799999999997</v>
      </c>
      <c r="BR30">
        <f t="shared" si="39"/>
        <v>2200.01548387097</v>
      </c>
      <c r="BS30">
        <f t="shared" si="40"/>
        <v>1849.198025515587</v>
      </c>
      <c r="BT30">
        <f t="shared" si="41"/>
        <v>0.84053864123805488</v>
      </c>
      <c r="BU30">
        <f t="shared" si="42"/>
        <v>0.19107728247611</v>
      </c>
      <c r="BV30">
        <v>0.5</v>
      </c>
      <c r="BW30" t="s">
        <v>281</v>
      </c>
      <c r="BX30">
        <v>1595605635.0064499</v>
      </c>
      <c r="BY30">
        <v>1580.4770000000001</v>
      </c>
      <c r="BZ30">
        <v>1599.96</v>
      </c>
      <c r="CA30">
        <v>18.8096161290323</v>
      </c>
      <c r="CB30">
        <v>17.510870967741901</v>
      </c>
      <c r="CC30">
        <v>500.06529032258101</v>
      </c>
      <c r="CD30">
        <v>99.761177419354894</v>
      </c>
      <c r="CE30">
        <v>0.199994064516129</v>
      </c>
      <c r="CF30">
        <v>26.162358064516098</v>
      </c>
      <c r="CG30">
        <v>27.019961290322598</v>
      </c>
      <c r="CH30">
        <v>999.9</v>
      </c>
      <c r="CI30">
        <v>10003.733548387099</v>
      </c>
      <c r="CJ30">
        <v>0</v>
      </c>
      <c r="CK30">
        <v>177.45093548387101</v>
      </c>
      <c r="CL30">
        <v>2200.01548387097</v>
      </c>
      <c r="CM30">
        <v>0.98200341935483904</v>
      </c>
      <c r="CN30">
        <v>1.7996809677419401E-2</v>
      </c>
      <c r="CO30">
        <v>0</v>
      </c>
      <c r="CP30">
        <v>257.45732258064498</v>
      </c>
      <c r="CQ30">
        <v>5.00054</v>
      </c>
      <c r="CR30">
        <v>7724.19</v>
      </c>
      <c r="CS30">
        <v>20590.696774193599</v>
      </c>
      <c r="CT30">
        <v>49.276000000000003</v>
      </c>
      <c r="CU30">
        <v>51.346548387096803</v>
      </c>
      <c r="CV30">
        <v>49.745935483871001</v>
      </c>
      <c r="CW30">
        <v>50.018000000000001</v>
      </c>
      <c r="CX30">
        <v>50.4593548387097</v>
      </c>
      <c r="CY30">
        <v>2155.5148387096801</v>
      </c>
      <c r="CZ30">
        <v>39.500645161290301</v>
      </c>
      <c r="DA30">
        <v>0</v>
      </c>
      <c r="DB30">
        <v>131</v>
      </c>
      <c r="DC30">
        <v>257.434423076923</v>
      </c>
      <c r="DD30">
        <v>-2.0701196477519699</v>
      </c>
      <c r="DE30">
        <v>-25.265982916594002</v>
      </c>
      <c r="DF30">
        <v>7724.0826923076902</v>
      </c>
      <c r="DG30">
        <v>15</v>
      </c>
      <c r="DH30">
        <v>1595605666.5</v>
      </c>
      <c r="DI30" t="s">
        <v>354</v>
      </c>
      <c r="DJ30">
        <v>14</v>
      </c>
      <c r="DK30">
        <v>-0.17199999999999999</v>
      </c>
      <c r="DL30">
        <v>0.125</v>
      </c>
      <c r="DM30">
        <v>1600</v>
      </c>
      <c r="DN30">
        <v>18</v>
      </c>
      <c r="DO30">
        <v>0.08</v>
      </c>
      <c r="DP30">
        <v>0.08</v>
      </c>
      <c r="DQ30">
        <v>1580.6239215686301</v>
      </c>
      <c r="DR30">
        <v>0.28272693085863498</v>
      </c>
      <c r="DS30">
        <v>5.11467872747116E-2</v>
      </c>
      <c r="DT30">
        <v>1</v>
      </c>
      <c r="DU30">
        <v>18.803333333333299</v>
      </c>
      <c r="DV30">
        <v>5.5578690724345799E-2</v>
      </c>
      <c r="DW30">
        <v>7.7180630168469499E-3</v>
      </c>
      <c r="DX30">
        <v>1</v>
      </c>
      <c r="DY30">
        <v>2</v>
      </c>
      <c r="DZ30">
        <v>2</v>
      </c>
      <c r="EA30" t="s">
        <v>283</v>
      </c>
      <c r="EB30">
        <v>1.86676</v>
      </c>
      <c r="EC30">
        <v>1.8632500000000001</v>
      </c>
      <c r="ED30">
        <v>1.8689</v>
      </c>
      <c r="EE30">
        <v>1.8668100000000001</v>
      </c>
      <c r="EF30">
        <v>1.8714900000000001</v>
      </c>
      <c r="EG30">
        <v>1.8640000000000001</v>
      </c>
      <c r="EH30">
        <v>1.86557</v>
      </c>
      <c r="EI30">
        <v>1.86551</v>
      </c>
      <c r="EJ30" t="s">
        <v>284</v>
      </c>
      <c r="EK30" t="s">
        <v>19</v>
      </c>
      <c r="EL30" t="s">
        <v>19</v>
      </c>
      <c r="EM30" t="s">
        <v>19</v>
      </c>
      <c r="EN30" t="s">
        <v>285</v>
      </c>
      <c r="EO30" t="s">
        <v>286</v>
      </c>
      <c r="EP30" t="s">
        <v>287</v>
      </c>
      <c r="EQ30" t="s">
        <v>287</v>
      </c>
      <c r="ER30" t="s">
        <v>287</v>
      </c>
      <c r="ES30" t="s">
        <v>287</v>
      </c>
      <c r="ET30">
        <v>0</v>
      </c>
      <c r="EU30">
        <v>100</v>
      </c>
      <c r="EV30">
        <v>100</v>
      </c>
      <c r="EW30">
        <v>-0.17199999999999999</v>
      </c>
      <c r="EX30">
        <v>0.125</v>
      </c>
      <c r="EY30">
        <v>2</v>
      </c>
      <c r="EZ30">
        <v>339.50099999999998</v>
      </c>
      <c r="FA30">
        <v>502.95499999999998</v>
      </c>
      <c r="FB30">
        <v>19.7529</v>
      </c>
      <c r="FC30">
        <v>33.532200000000003</v>
      </c>
      <c r="FD30">
        <v>30.000499999999999</v>
      </c>
      <c r="FE30">
        <v>33.501600000000003</v>
      </c>
      <c r="FF30">
        <v>33.500100000000003</v>
      </c>
      <c r="FG30">
        <v>66.918999999999997</v>
      </c>
      <c r="FH30">
        <v>42.585900000000002</v>
      </c>
      <c r="FI30">
        <v>0</v>
      </c>
      <c r="FJ30">
        <v>19.748799999999999</v>
      </c>
      <c r="FK30">
        <v>1600</v>
      </c>
      <c r="FL30">
        <v>17.447600000000001</v>
      </c>
      <c r="FM30">
        <v>100.923</v>
      </c>
      <c r="FN30">
        <v>101.053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4.4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19</v>
      </c>
    </row>
    <row r="12" spans="1:2" x14ac:dyDescent="0.25">
      <c r="A12" t="s">
        <v>21</v>
      </c>
      <c r="B12" t="s">
        <v>17</v>
      </c>
    </row>
    <row r="13" spans="1:2" x14ac:dyDescent="0.25">
      <c r="A13" t="s">
        <v>22</v>
      </c>
      <c r="B13" t="s">
        <v>11</v>
      </c>
    </row>
    <row r="14" spans="1:2" x14ac:dyDescent="0.25">
      <c r="A14" t="s">
        <v>23</v>
      </c>
      <c r="B14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2020-07-24T10:48:31Z</dcterms:created>
  <dcterms:modified xsi:type="dcterms:W3CDTF">2024-11-20T09:02:08Z</dcterms:modified>
</cp:coreProperties>
</file>