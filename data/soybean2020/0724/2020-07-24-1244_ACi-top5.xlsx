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724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0" i="1" l="1"/>
  <c r="BT30" i="1"/>
  <c r="BS30" i="1"/>
  <c r="R30" i="1" s="1"/>
  <c r="BR30" i="1"/>
  <c r="BI30" i="1"/>
  <c r="BH30" i="1"/>
  <c r="BG30" i="1"/>
  <c r="BF30" i="1"/>
  <c r="BE30" i="1"/>
  <c r="BB30" i="1"/>
  <c r="AZ30" i="1"/>
  <c r="AW30" i="1"/>
  <c r="AU30" i="1"/>
  <c r="AY30" i="1" s="1"/>
  <c r="AO30" i="1"/>
  <c r="AP30" i="1" s="1"/>
  <c r="AK30" i="1"/>
  <c r="AI30" i="1"/>
  <c r="AJ30" i="1" s="1"/>
  <c r="X30" i="1"/>
  <c r="V30" i="1" s="1"/>
  <c r="W30" i="1"/>
  <c r="O30" i="1"/>
  <c r="BU29" i="1"/>
  <c r="BT29" i="1"/>
  <c r="BR29" i="1"/>
  <c r="BS29" i="1" s="1"/>
  <c r="BI29" i="1"/>
  <c r="BH29" i="1"/>
  <c r="BG29" i="1"/>
  <c r="BF29" i="1"/>
  <c r="BE29" i="1"/>
  <c r="BB29" i="1"/>
  <c r="AZ29" i="1"/>
  <c r="AU29" i="1"/>
  <c r="AP29" i="1"/>
  <c r="AO29" i="1"/>
  <c r="AK29" i="1"/>
  <c r="AI29" i="1"/>
  <c r="J29" i="1" s="1"/>
  <c r="X29" i="1"/>
  <c r="W29" i="1"/>
  <c r="V29" i="1" s="1"/>
  <c r="O29" i="1"/>
  <c r="BU28" i="1"/>
  <c r="BT28" i="1"/>
  <c r="BR28" i="1"/>
  <c r="BS28" i="1" s="1"/>
  <c r="AW28" i="1" s="1"/>
  <c r="BI28" i="1"/>
  <c r="BH28" i="1"/>
  <c r="BG28" i="1"/>
  <c r="BF28" i="1"/>
  <c r="BE28" i="1"/>
  <c r="AZ28" i="1" s="1"/>
  <c r="BB28" i="1"/>
  <c r="AU28" i="1"/>
  <c r="AY28" i="1" s="1"/>
  <c r="AO28" i="1"/>
  <c r="AP28" i="1" s="1"/>
  <c r="AK28" i="1"/>
  <c r="AI28" i="1"/>
  <c r="I28" i="1" s="1"/>
  <c r="AX28" i="1" s="1"/>
  <c r="BA28" i="1" s="1"/>
  <c r="X28" i="1"/>
  <c r="W28" i="1"/>
  <c r="V28" i="1"/>
  <c r="R28" i="1"/>
  <c r="O28" i="1"/>
  <c r="BU27" i="1"/>
  <c r="BT27" i="1"/>
  <c r="BS27" i="1"/>
  <c r="BR27" i="1"/>
  <c r="BI27" i="1"/>
  <c r="BH27" i="1"/>
  <c r="BG27" i="1"/>
  <c r="BF27" i="1"/>
  <c r="BE27" i="1"/>
  <c r="BB27" i="1"/>
  <c r="AZ27" i="1"/>
  <c r="AW27" i="1"/>
  <c r="AU27" i="1"/>
  <c r="AY27" i="1" s="1"/>
  <c r="AO27" i="1"/>
  <c r="AP27" i="1" s="1"/>
  <c r="AK27" i="1"/>
  <c r="AI27" i="1"/>
  <c r="J27" i="1" s="1"/>
  <c r="X27" i="1"/>
  <c r="W27" i="1"/>
  <c r="V27" i="1"/>
  <c r="R27" i="1"/>
  <c r="O27" i="1"/>
  <c r="M27" i="1"/>
  <c r="BU26" i="1"/>
  <c r="BT26" i="1"/>
  <c r="BR26" i="1"/>
  <c r="BS26" i="1" s="1"/>
  <c r="R26" i="1" s="1"/>
  <c r="BI26" i="1"/>
  <c r="BH26" i="1"/>
  <c r="BG26" i="1"/>
  <c r="BF26" i="1"/>
  <c r="BE26" i="1"/>
  <c r="BB26" i="1"/>
  <c r="AZ26" i="1"/>
  <c r="AX26" i="1"/>
  <c r="AW26" i="1"/>
  <c r="AU26" i="1"/>
  <c r="AY26" i="1" s="1"/>
  <c r="AO26" i="1"/>
  <c r="AP26" i="1" s="1"/>
  <c r="AK26" i="1"/>
  <c r="AI26" i="1"/>
  <c r="AJ26" i="1" s="1"/>
  <c r="X26" i="1"/>
  <c r="W26" i="1"/>
  <c r="V26" i="1"/>
  <c r="O26" i="1"/>
  <c r="M26" i="1"/>
  <c r="J26" i="1"/>
  <c r="I26" i="1"/>
  <c r="H26" i="1"/>
  <c r="BU25" i="1"/>
  <c r="BT25" i="1"/>
  <c r="BR25" i="1"/>
  <c r="BS25" i="1" s="1"/>
  <c r="BI25" i="1"/>
  <c r="BH25" i="1"/>
  <c r="BG25" i="1"/>
  <c r="BF25" i="1"/>
  <c r="BE25" i="1"/>
  <c r="BB25" i="1"/>
  <c r="AZ25" i="1"/>
  <c r="AU25" i="1"/>
  <c r="AO25" i="1"/>
  <c r="AP25" i="1" s="1"/>
  <c r="AK25" i="1"/>
  <c r="AI25" i="1"/>
  <c r="X25" i="1"/>
  <c r="W25" i="1"/>
  <c r="V25" i="1" s="1"/>
  <c r="O25" i="1"/>
  <c r="H25" i="1"/>
  <c r="Z25" i="1" s="1"/>
  <c r="BU24" i="1"/>
  <c r="BT24" i="1"/>
  <c r="BR24" i="1"/>
  <c r="BS24" i="1" s="1"/>
  <c r="BI24" i="1"/>
  <c r="BH24" i="1"/>
  <c r="BG24" i="1"/>
  <c r="BF24" i="1"/>
  <c r="BE24" i="1"/>
  <c r="BB24" i="1"/>
  <c r="AZ24" i="1"/>
  <c r="AU24" i="1"/>
  <c r="AO24" i="1"/>
  <c r="AP24" i="1" s="1"/>
  <c r="AK24" i="1"/>
  <c r="AI24" i="1"/>
  <c r="M24" i="1" s="1"/>
  <c r="X24" i="1"/>
  <c r="W24" i="1"/>
  <c r="V24" i="1"/>
  <c r="O24" i="1"/>
  <c r="BU23" i="1"/>
  <c r="BT23" i="1"/>
  <c r="BR23" i="1"/>
  <c r="BS23" i="1" s="1"/>
  <c r="AW23" i="1" s="1"/>
  <c r="BI23" i="1"/>
  <c r="BH23" i="1"/>
  <c r="BG23" i="1"/>
  <c r="BF23" i="1"/>
  <c r="BE23" i="1"/>
  <c r="BB23" i="1"/>
  <c r="AZ23" i="1"/>
  <c r="AU23" i="1"/>
  <c r="AO23" i="1"/>
  <c r="AP23" i="1" s="1"/>
  <c r="AK23" i="1"/>
  <c r="AI23" i="1"/>
  <c r="M23" i="1" s="1"/>
  <c r="X23" i="1"/>
  <c r="W23" i="1"/>
  <c r="V23" i="1"/>
  <c r="O23" i="1"/>
  <c r="BU22" i="1"/>
  <c r="BT22" i="1"/>
  <c r="BR22" i="1"/>
  <c r="BS22" i="1" s="1"/>
  <c r="R22" i="1" s="1"/>
  <c r="BI22" i="1"/>
  <c r="BH22" i="1"/>
  <c r="BG22" i="1"/>
  <c r="BF22" i="1"/>
  <c r="BE22" i="1"/>
  <c r="BB22" i="1"/>
  <c r="AZ22" i="1"/>
  <c r="AU22" i="1"/>
  <c r="AP22" i="1"/>
  <c r="AO22" i="1"/>
  <c r="AK22" i="1"/>
  <c r="AI22" i="1" s="1"/>
  <c r="X22" i="1"/>
  <c r="W22" i="1"/>
  <c r="V22" i="1" s="1"/>
  <c r="O22" i="1"/>
  <c r="M22" i="1"/>
  <c r="J22" i="1"/>
  <c r="BU21" i="1"/>
  <c r="BT21" i="1"/>
  <c r="BR21" i="1"/>
  <c r="BS21" i="1" s="1"/>
  <c r="R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M21" i="1" s="1"/>
  <c r="X21" i="1"/>
  <c r="W21" i="1"/>
  <c r="V21" i="1"/>
  <c r="O21" i="1"/>
  <c r="J21" i="1"/>
  <c r="I21" i="1"/>
  <c r="AX21" i="1" s="1"/>
  <c r="H21" i="1"/>
  <c r="BU20" i="1"/>
  <c r="BT20" i="1"/>
  <c r="BS20" i="1"/>
  <c r="BR20" i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X20" i="1"/>
  <c r="V20" i="1" s="1"/>
  <c r="W20" i="1"/>
  <c r="O20" i="1"/>
  <c r="BU19" i="1"/>
  <c r="BT19" i="1"/>
  <c r="BS19" i="1"/>
  <c r="BR19" i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M19" i="1" s="1"/>
  <c r="X19" i="1"/>
  <c r="W19" i="1"/>
  <c r="V19" i="1"/>
  <c r="O19" i="1"/>
  <c r="BU18" i="1"/>
  <c r="BT18" i="1"/>
  <c r="BR18" i="1"/>
  <c r="BS18" i="1" s="1"/>
  <c r="AW18" i="1" s="1"/>
  <c r="BI18" i="1"/>
  <c r="BH18" i="1"/>
  <c r="BG18" i="1"/>
  <c r="BF18" i="1"/>
  <c r="BE18" i="1"/>
  <c r="BB18" i="1"/>
  <c r="AZ18" i="1"/>
  <c r="AY18" i="1"/>
  <c r="AU18" i="1"/>
  <c r="AO18" i="1"/>
  <c r="AP18" i="1" s="1"/>
  <c r="AK18" i="1"/>
  <c r="AI18" i="1"/>
  <c r="M18" i="1" s="1"/>
  <c r="X18" i="1"/>
  <c r="W18" i="1"/>
  <c r="V18" i="1"/>
  <c r="R18" i="1"/>
  <c r="O18" i="1"/>
  <c r="BU17" i="1"/>
  <c r="BT17" i="1"/>
  <c r="BR17" i="1"/>
  <c r="BS17" i="1" s="1"/>
  <c r="R17" i="1" s="1"/>
  <c r="BI17" i="1"/>
  <c r="BH17" i="1"/>
  <c r="BG17" i="1"/>
  <c r="BF17" i="1"/>
  <c r="BE17" i="1"/>
  <c r="BB17" i="1"/>
  <c r="AZ17" i="1"/>
  <c r="AW17" i="1"/>
  <c r="AU17" i="1"/>
  <c r="AY17" i="1" s="1"/>
  <c r="AO17" i="1"/>
  <c r="AP17" i="1" s="1"/>
  <c r="AK17" i="1"/>
  <c r="AI17" i="1" s="1"/>
  <c r="J17" i="1" s="1"/>
  <c r="X17" i="1"/>
  <c r="W17" i="1"/>
  <c r="V17" i="1"/>
  <c r="O17" i="1"/>
  <c r="R29" i="1" l="1"/>
  <c r="AW29" i="1"/>
  <c r="R24" i="1"/>
  <c r="AW24" i="1"/>
  <c r="S21" i="1"/>
  <c r="T21" i="1" s="1"/>
  <c r="Z21" i="1"/>
  <c r="S26" i="1"/>
  <c r="T26" i="1" s="1"/>
  <c r="AA26" i="1" s="1"/>
  <c r="Z26" i="1"/>
  <c r="R23" i="1"/>
  <c r="BA26" i="1"/>
  <c r="AY29" i="1"/>
  <c r="I17" i="1"/>
  <c r="AX17" i="1" s="1"/>
  <c r="BA17" i="1" s="1"/>
  <c r="AA27" i="1"/>
  <c r="H17" i="1"/>
  <c r="S17" i="1" s="1"/>
  <c r="T17" i="1" s="1"/>
  <c r="AJ17" i="1"/>
  <c r="I25" i="1"/>
  <c r="AX25" i="1" s="1"/>
  <c r="J25" i="1"/>
  <c r="M25" i="1"/>
  <c r="R19" i="1"/>
  <c r="AW19" i="1"/>
  <c r="AY19" i="1" s="1"/>
  <c r="R25" i="1"/>
  <c r="AW25" i="1"/>
  <c r="AY25" i="1" s="1"/>
  <c r="BA21" i="1"/>
  <c r="J30" i="1"/>
  <c r="M30" i="1"/>
  <c r="I20" i="1"/>
  <c r="AX20" i="1" s="1"/>
  <c r="BA20" i="1" s="1"/>
  <c r="M20" i="1"/>
  <c r="H20" i="1"/>
  <c r="J20" i="1"/>
  <c r="AY20" i="1"/>
  <c r="R20" i="1"/>
  <c r="AW20" i="1"/>
  <c r="AJ20" i="1"/>
  <c r="AJ21" i="1"/>
  <c r="I22" i="1"/>
  <c r="AX22" i="1" s="1"/>
  <c r="H22" i="1"/>
  <c r="AJ22" i="1"/>
  <c r="AW21" i="1"/>
  <c r="AY21" i="1" s="1"/>
  <c r="AW22" i="1"/>
  <c r="AY22" i="1" s="1"/>
  <c r="M17" i="1"/>
  <c r="AJ25" i="1"/>
  <c r="S27" i="1"/>
  <c r="T27" i="1" s="1"/>
  <c r="H30" i="1"/>
  <c r="AY23" i="1"/>
  <c r="AY24" i="1"/>
  <c r="I30" i="1"/>
  <c r="AX30" i="1" s="1"/>
  <c r="BA30" i="1" s="1"/>
  <c r="AJ24" i="1"/>
  <c r="H29" i="1"/>
  <c r="AJ19" i="1"/>
  <c r="H24" i="1"/>
  <c r="I29" i="1"/>
  <c r="AX29" i="1" s="1"/>
  <c r="BA29" i="1" s="1"/>
  <c r="J28" i="1"/>
  <c r="AJ29" i="1"/>
  <c r="I24" i="1"/>
  <c r="AX24" i="1" s="1"/>
  <c r="BA24" i="1" s="1"/>
  <c r="M29" i="1"/>
  <c r="J19" i="1"/>
  <c r="AJ28" i="1"/>
  <c r="H28" i="1"/>
  <c r="I23" i="1"/>
  <c r="AX23" i="1" s="1"/>
  <c r="BA23" i="1" s="1"/>
  <c r="J23" i="1"/>
  <c r="J18" i="1"/>
  <c r="AJ27" i="1"/>
  <c r="H27" i="1"/>
  <c r="M28" i="1"/>
  <c r="H19" i="1"/>
  <c r="I19" i="1"/>
  <c r="AX19" i="1" s="1"/>
  <c r="BA19" i="1" s="1"/>
  <c r="J24" i="1"/>
  <c r="AJ23" i="1"/>
  <c r="AJ18" i="1"/>
  <c r="H23" i="1"/>
  <c r="H18" i="1"/>
  <c r="I18" i="1"/>
  <c r="AX18" i="1" s="1"/>
  <c r="BA18" i="1" s="1"/>
  <c r="I27" i="1"/>
  <c r="AX27" i="1" s="1"/>
  <c r="BA27" i="1" s="1"/>
  <c r="AB17" i="1" l="1"/>
  <c r="U17" i="1"/>
  <c r="Y17" i="1" s="1"/>
  <c r="AA17" i="1"/>
  <c r="Z18" i="1"/>
  <c r="Z23" i="1"/>
  <c r="AB21" i="1"/>
  <c r="AC21" i="1" s="1"/>
  <c r="U21" i="1"/>
  <c r="Y21" i="1" s="1"/>
  <c r="S24" i="1"/>
  <c r="T24" i="1" s="1"/>
  <c r="Z20" i="1"/>
  <c r="BA22" i="1"/>
  <c r="S23" i="1"/>
  <c r="T23" i="1" s="1"/>
  <c r="AB26" i="1"/>
  <c r="AC26" i="1" s="1"/>
  <c r="U26" i="1"/>
  <c r="Y26" i="1" s="1"/>
  <c r="P24" i="1"/>
  <c r="N24" i="1" s="1"/>
  <c r="Q24" i="1" s="1"/>
  <c r="K24" i="1" s="1"/>
  <c r="L24" i="1" s="1"/>
  <c r="Z24" i="1"/>
  <c r="BA25" i="1"/>
  <c r="S29" i="1"/>
  <c r="T29" i="1" s="1"/>
  <c r="S20" i="1"/>
  <c r="T20" i="1" s="1"/>
  <c r="P20" i="1" s="1"/>
  <c r="N20" i="1" s="1"/>
  <c r="Q20" i="1" s="1"/>
  <c r="K20" i="1" s="1"/>
  <c r="L20" i="1" s="1"/>
  <c r="Z30" i="1"/>
  <c r="Z19" i="1"/>
  <c r="S30" i="1"/>
  <c r="T30" i="1" s="1"/>
  <c r="AA21" i="1"/>
  <c r="Z28" i="1"/>
  <c r="S28" i="1"/>
  <c r="T28" i="1" s="1"/>
  <c r="Z17" i="1"/>
  <c r="P17" i="1"/>
  <c r="N17" i="1" s="1"/>
  <c r="Q17" i="1" s="1"/>
  <c r="K17" i="1" s="1"/>
  <c r="L17" i="1" s="1"/>
  <c r="AB27" i="1"/>
  <c r="AC27" i="1" s="1"/>
  <c r="U27" i="1"/>
  <c r="Y27" i="1" s="1"/>
  <c r="Z27" i="1"/>
  <c r="P27" i="1"/>
  <c r="N27" i="1" s="1"/>
  <c r="Q27" i="1" s="1"/>
  <c r="K27" i="1" s="1"/>
  <c r="L27" i="1" s="1"/>
  <c r="P26" i="1"/>
  <c r="N26" i="1" s="1"/>
  <c r="Q26" i="1" s="1"/>
  <c r="K26" i="1" s="1"/>
  <c r="L26" i="1" s="1"/>
  <c r="P21" i="1"/>
  <c r="N21" i="1" s="1"/>
  <c r="Q21" i="1" s="1"/>
  <c r="K21" i="1" s="1"/>
  <c r="L21" i="1" s="1"/>
  <c r="S25" i="1"/>
  <c r="T25" i="1" s="1"/>
  <c r="Z22" i="1"/>
  <c r="S22" i="1"/>
  <c r="T22" i="1" s="1"/>
  <c r="S19" i="1"/>
  <c r="T19" i="1" s="1"/>
  <c r="P19" i="1" s="1"/>
  <c r="N19" i="1" s="1"/>
  <c r="Q19" i="1" s="1"/>
  <c r="K19" i="1" s="1"/>
  <c r="L19" i="1" s="1"/>
  <c r="S18" i="1"/>
  <c r="T18" i="1" s="1"/>
  <c r="P18" i="1" s="1"/>
  <c r="N18" i="1" s="1"/>
  <c r="Q18" i="1" s="1"/>
  <c r="K18" i="1" s="1"/>
  <c r="L18" i="1" s="1"/>
  <c r="Z29" i="1"/>
  <c r="AB22" i="1" l="1"/>
  <c r="U22" i="1"/>
  <c r="Y22" i="1" s="1"/>
  <c r="AA22" i="1"/>
  <c r="P22" i="1"/>
  <c r="N22" i="1" s="1"/>
  <c r="Q22" i="1" s="1"/>
  <c r="K22" i="1" s="1"/>
  <c r="L22" i="1" s="1"/>
  <c r="U29" i="1"/>
  <c r="Y29" i="1" s="1"/>
  <c r="AB29" i="1"/>
  <c r="AA29" i="1"/>
  <c r="U25" i="1"/>
  <c r="Y25" i="1" s="1"/>
  <c r="AB25" i="1"/>
  <c r="AC25" i="1" s="1"/>
  <c r="AA25" i="1"/>
  <c r="P25" i="1"/>
  <c r="N25" i="1" s="1"/>
  <c r="Q25" i="1" s="1"/>
  <c r="K25" i="1" s="1"/>
  <c r="L25" i="1" s="1"/>
  <c r="AB23" i="1"/>
  <c r="U23" i="1"/>
  <c r="Y23" i="1" s="1"/>
  <c r="AA23" i="1"/>
  <c r="AB24" i="1"/>
  <c r="AC24" i="1" s="1"/>
  <c r="AA24" i="1"/>
  <c r="U24" i="1"/>
  <c r="Y24" i="1" s="1"/>
  <c r="P23" i="1"/>
  <c r="N23" i="1" s="1"/>
  <c r="Q23" i="1" s="1"/>
  <c r="K23" i="1" s="1"/>
  <c r="L23" i="1" s="1"/>
  <c r="U20" i="1"/>
  <c r="Y20" i="1" s="1"/>
  <c r="AA20" i="1"/>
  <c r="AB20" i="1"/>
  <c r="AC20" i="1" s="1"/>
  <c r="AB28" i="1"/>
  <c r="AC28" i="1" s="1"/>
  <c r="AA28" i="1"/>
  <c r="U28" i="1"/>
  <c r="Y28" i="1" s="1"/>
  <c r="P28" i="1"/>
  <c r="N28" i="1" s="1"/>
  <c r="Q28" i="1" s="1"/>
  <c r="K28" i="1" s="1"/>
  <c r="L28" i="1" s="1"/>
  <c r="U30" i="1"/>
  <c r="Y30" i="1" s="1"/>
  <c r="AB30" i="1"/>
  <c r="AC30" i="1" s="1"/>
  <c r="AA30" i="1"/>
  <c r="P29" i="1"/>
  <c r="N29" i="1" s="1"/>
  <c r="Q29" i="1" s="1"/>
  <c r="K29" i="1" s="1"/>
  <c r="L29" i="1" s="1"/>
  <c r="AB18" i="1"/>
  <c r="U18" i="1"/>
  <c r="Y18" i="1" s="1"/>
  <c r="AA18" i="1"/>
  <c r="P30" i="1"/>
  <c r="N30" i="1" s="1"/>
  <c r="Q30" i="1" s="1"/>
  <c r="K30" i="1" s="1"/>
  <c r="L30" i="1" s="1"/>
  <c r="AB19" i="1"/>
  <c r="AA19" i="1"/>
  <c r="U19" i="1"/>
  <c r="Y19" i="1" s="1"/>
  <c r="AC17" i="1"/>
  <c r="AC23" i="1" l="1"/>
  <c r="AC19" i="1"/>
  <c r="AC29" i="1"/>
  <c r="AC18" i="1"/>
  <c r="AC22" i="1"/>
</calcChain>
</file>

<file path=xl/sharedStrings.xml><?xml version="1.0" encoding="utf-8"?>
<sst xmlns="http://schemas.openxmlformats.org/spreadsheetml/2006/main" count="771" uniqueCount="355">
  <si>
    <t>File opened</t>
  </si>
  <si>
    <t>2020-07-24 12:45:03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</si>
  <si>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</si>
  <si>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</si>
  <si>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</si>
  <si>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</si>
  <si>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</si>
  <si>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</si>
  <si>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</si>
  <si>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</si>
  <si>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</si>
  <si>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</si>
  <si>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</si>
  <si>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{"co2bzero": "0.880288", "tbzero": "0.197721", "co2aspan2b": "0.163711", "h2obspanconc1": "20", "co2bspan2b": "0.162103", "h2obspan1": "0.998578", "h2oazero": "1.00263", "h2obspanconc2": "0", "co2bspan1": "0.992131", "flowmeterzero": "0.990908", "h2oaspan1": "1.00223", "h2oaspan2b": "0.0662632", "flowazero": "0.42932", "h2obspan2a": "0.0975941", "h2oaspanconc2": "0", "h2obzero": "1.01783", "co2aspan2": "0", "co2bspanconc2": "0", "co2aspan2a": "0.164928", "co2aspanconc1": "1002", "tazero": "0.00774765", "h2obspan2": "0", "flowbzero": "0.22736", "ssa_ref": "36614.9", "co2aspan1": "0.992625", "co2bspan2": "0", "h2oaspanconc1": "12.19", "ssb_ref": "36526.8", "co2bspanconc1": "1002", "h2oaspan2a": "0.0661155", "co2azero": "0.869071", "oxygen": "21", "chamberpressurezero": "2.59209", "co2bspan2a": "0.163389", "co2aspanconc2": "0", "h2obspan2b": "0.0963575", "h2oaspan2": "0"}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</si>
  <si>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</si>
  <si>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</si>
  <si>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</si>
  <si>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</si>
  <si>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</si>
  <si>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</si>
  <si>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</si>
  <si>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</si>
  <si>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</si>
  <si>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12:45:03</t>
  </si>
  <si>
    <t>Stability Definition:	CO2_s (Meas): Slp&lt;0.3	H2O_s (Meas): Slp&lt;0.2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</si>
  <si>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</si>
  <si>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</si>
  <si>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</si>
  <si>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</si>
  <si>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</si>
  <si>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</si>
  <si>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</si>
  <si>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</si>
  <si>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</si>
  <si>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</si>
  <si>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</si>
  <si>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</si>
  <si>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</si>
  <si>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</si>
  <si>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</si>
  <si>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</si>
  <si>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</si>
  <si>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</si>
  <si>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</si>
  <si>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</si>
  <si>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</si>
  <si>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</si>
  <si>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</si>
  <si>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</si>
  <si>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</si>
  <si>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</si>
  <si>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</si>
  <si>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</si>
  <si>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</si>
  <si>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</si>
  <si>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</si>
  <si>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</si>
  <si>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</si>
  <si>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</si>
  <si>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</si>
  <si>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</si>
  <si>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</si>
  <si>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</si>
  <si>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</si>
  <si>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</si>
  <si>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</si>
  <si>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</si>
  <si>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</si>
  <si>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</si>
  <si>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</si>
  <si>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</si>
  <si>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3.46935 75.7742 386.148 617.459 845.313 1047.31 1232.25 1386.61</t>
  </si>
  <si>
    <t>Fs_true</t>
  </si>
  <si>
    <t>0.0901397 100.218 402.746 600.792 800.086 1000.08 1200.42 1401.29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</si>
  <si>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</si>
  <si>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</si>
  <si>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</si>
  <si>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</si>
  <si>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</si>
  <si>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</si>
  <si>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</si>
  <si>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</si>
  <si>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</si>
  <si>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</si>
  <si>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</si>
  <si>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</si>
  <si>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</si>
  <si>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</si>
  <si>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</si>
  <si>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</si>
  <si>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</si>
  <si>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</si>
  <si>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</si>
  <si>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</si>
  <si>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</si>
  <si>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</si>
  <si>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</si>
  <si>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</si>
  <si>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</si>
  <si>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</si>
  <si>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</si>
  <si>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</si>
  <si>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</si>
  <si>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</si>
  <si>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</si>
  <si>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</si>
  <si>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</si>
  <si>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</si>
  <si>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</si>
  <si>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</si>
  <si>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</si>
  <si>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</si>
  <si>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</si>
  <si>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</si>
  <si>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</si>
  <si>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</si>
  <si>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</si>
  <si>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</si>
  <si>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</si>
  <si>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</si>
  <si>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</si>
  <si>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</si>
  <si>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</si>
  <si>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</si>
  <si>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</si>
  <si>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</si>
  <si>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</si>
  <si>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</si>
  <si>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</si>
  <si>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</si>
  <si>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</si>
  <si>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</si>
  <si>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</si>
  <si>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</si>
  <si>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</si>
  <si>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</si>
  <si>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</si>
  <si>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</si>
  <si>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</si>
  <si>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</si>
  <si>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</si>
  <si>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</si>
  <si>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</si>
  <si>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</si>
  <si>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</si>
  <si>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</si>
  <si>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</si>
  <si>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</si>
  <si>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</si>
  <si>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</si>
  <si>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</si>
  <si>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</si>
  <si>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</si>
  <si>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</si>
  <si>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</si>
  <si>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</si>
  <si>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</si>
  <si>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</si>
  <si>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</si>
  <si>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</si>
  <si>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</si>
  <si>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</si>
  <si>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</si>
  <si>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</si>
  <si>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</si>
  <si>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</si>
  <si>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</si>
  <si>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</si>
  <si>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</si>
  <si>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</si>
  <si>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</si>
  <si>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</si>
  <si>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</si>
  <si>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</si>
  <si>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</si>
  <si>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</si>
  <si>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</si>
  <si>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</si>
  <si>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</si>
  <si>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</si>
  <si>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</si>
  <si>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</si>
  <si>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</si>
  <si>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</si>
  <si>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</si>
  <si>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</si>
  <si>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</si>
  <si>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</si>
  <si>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</si>
  <si>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</si>
  <si>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</si>
  <si>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</si>
  <si>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</si>
  <si>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</si>
  <si>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</si>
  <si>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</si>
  <si>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</si>
  <si>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</si>
  <si>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</si>
  <si>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</si>
  <si>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</si>
  <si>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</si>
  <si>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</si>
  <si>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</si>
  <si>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</si>
  <si>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</si>
  <si>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</si>
  <si>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</si>
  <si>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</si>
  <si>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</si>
  <si>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</si>
  <si>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</si>
  <si>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</si>
  <si>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</si>
  <si>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</si>
  <si>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</si>
  <si>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</si>
  <si>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</si>
  <si>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</si>
  <si>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</si>
  <si>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</si>
  <si>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</si>
  <si>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</si>
  <si>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</si>
  <si>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</si>
  <si>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</si>
  <si>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</si>
  <si>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</si>
  <si>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</si>
  <si>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</si>
  <si>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</si>
  <si>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</si>
  <si>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</si>
  <si>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</si>
  <si>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</si>
  <si>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</si>
  <si>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</si>
  <si>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</si>
  <si>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</si>
  <si>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</si>
  <si>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</si>
  <si>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</si>
  <si>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</si>
  <si>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</si>
  <si>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</si>
  <si>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</si>
  <si>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</si>
  <si>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</si>
  <si>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</si>
  <si>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</si>
  <si>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</si>
  <si>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</si>
  <si>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</si>
  <si>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</si>
  <si>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</si>
  <si>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</si>
  <si>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</si>
  <si>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</si>
  <si>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</si>
  <si>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</si>
  <si>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</si>
  <si>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</si>
  <si>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</si>
  <si>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</si>
  <si>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</si>
  <si>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</si>
  <si>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</si>
  <si>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</si>
  <si>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</si>
  <si>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</si>
  <si>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</si>
  <si>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</si>
  <si>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</si>
  <si>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</si>
  <si>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</si>
  <si>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</si>
  <si>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</si>
  <si>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20200724 12:54:25</t>
  </si>
  <si>
    <t>12:54:25</t>
  </si>
  <si>
    <t>MPF-5321-20200724-12_54_27</t>
  </si>
  <si>
    <t>DARK-5322-20200724-12_54_35</t>
  </si>
  <si>
    <t>0: Broadleaf</t>
  </si>
  <si>
    <t>12:54:52</t>
  </si>
  <si>
    <t>2/2</t>
  </si>
  <si>
    <t>5</t>
  </si>
  <si>
    <t>11111111</t>
  </si>
  <si>
    <t>oooooooo</t>
  </si>
  <si>
    <t>off</t>
  </si>
  <si>
    <t>20200724 12:56:32</t>
  </si>
  <si>
    <t>12:56:32</t>
  </si>
  <si>
    <t>MPF-5323-20200724-12_56_33</t>
  </si>
  <si>
    <t>DARK-5324-20200724-12_56_41</t>
  </si>
  <si>
    <t>12:57:00</t>
  </si>
  <si>
    <t>20200724 12:58:31</t>
  </si>
  <si>
    <t>12:58:31</t>
  </si>
  <si>
    <t>MPF-5325-20200724-12_58_33</t>
  </si>
  <si>
    <t>DARK-5326-20200724-12_58_41</t>
  </si>
  <si>
    <t>12:58:57</t>
  </si>
  <si>
    <t>20200724 13:00:29</t>
  </si>
  <si>
    <t>13:00:29</t>
  </si>
  <si>
    <t>MPF-5327-20200724-13_00_30</t>
  </si>
  <si>
    <t>DARK-5328-20200724-13_00_38</t>
  </si>
  <si>
    <t>13:00:56</t>
  </si>
  <si>
    <t>20200724 13:02:28</t>
  </si>
  <si>
    <t>13:02:28</t>
  </si>
  <si>
    <t>MPF-5329-20200724-13_02_29</t>
  </si>
  <si>
    <t>DARK-5330-20200724-13_02_37</t>
  </si>
  <si>
    <t>13:02:56</t>
  </si>
  <si>
    <t>20200724 13:04:31</t>
  </si>
  <si>
    <t>13:04:31</t>
  </si>
  <si>
    <t>MPF-5331-20200724-13_04_33</t>
  </si>
  <si>
    <t>DARK-5332-20200724-13_04_41</t>
  </si>
  <si>
    <t>13:04:59</t>
  </si>
  <si>
    <t>20200724 13:06:30</t>
  </si>
  <si>
    <t>13:06:30</t>
  </si>
  <si>
    <t>MPF-5333-20200724-13_06_32</t>
  </si>
  <si>
    <t>DARK-5334-20200724-13_06_40</t>
  </si>
  <si>
    <t>13:07:03</t>
  </si>
  <si>
    <t>20200724 13:08:49</t>
  </si>
  <si>
    <t>13:08:49</t>
  </si>
  <si>
    <t>MPF-5335-20200724-13_08_51</t>
  </si>
  <si>
    <t>DARK-5336-20200724-13_08_59</t>
  </si>
  <si>
    <t>13:09:21</t>
  </si>
  <si>
    <t>20200724 13:10:53</t>
  </si>
  <si>
    <t>13:10:53</t>
  </si>
  <si>
    <t>MPF-5337-20200724-13_10_55</t>
  </si>
  <si>
    <t>DARK-5338-20200724-13_11_02</t>
  </si>
  <si>
    <t>13:11:19</t>
  </si>
  <si>
    <t>20200724 13:13:20</t>
  </si>
  <si>
    <t>13:13:20</t>
  </si>
  <si>
    <t>MPF-5339-20200724-13_13_22</t>
  </si>
  <si>
    <t>DARK-5340-20200724-13_13_30</t>
  </si>
  <si>
    <t>13:13:49</t>
  </si>
  <si>
    <t>0/2</t>
  </si>
  <si>
    <t>20200724 13:15:51</t>
  </si>
  <si>
    <t>13:15:51</t>
  </si>
  <si>
    <t>MPF-5341-20200724-13_15_52</t>
  </si>
  <si>
    <t>DARK-5342-20200724-13_16_00</t>
  </si>
  <si>
    <t>13:16:18</t>
  </si>
  <si>
    <t>1/2</t>
  </si>
  <si>
    <t>20200724 13:18:04</t>
  </si>
  <si>
    <t>13:18:04</t>
  </si>
  <si>
    <t>MPF-5343-20200724-13_18_06</t>
  </si>
  <si>
    <t>DARK-5344-20200724-13_18_13</t>
  </si>
  <si>
    <t>13:18:31</t>
  </si>
  <si>
    <t>20200724 13:20:19</t>
  </si>
  <si>
    <t>13:20:19</t>
  </si>
  <si>
    <t>MPF-5345-20200724-13_20_20</t>
  </si>
  <si>
    <t>DARK-5346-20200724-13_20_28</t>
  </si>
  <si>
    <t>13:20:45</t>
  </si>
  <si>
    <t>20200724 13:22:18</t>
  </si>
  <si>
    <t>13:22:18</t>
  </si>
  <si>
    <t>MPF-5347-20200724-13_22_20</t>
  </si>
  <si>
    <t>DARK-5348-20200724-13_22_27</t>
  </si>
  <si>
    <t>13:22:46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</si>
</sst>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0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1595613265.8</v>
      </c>
      <c r="C17">
        <v>0</v>
      </c>
      <c r="D17" t="s">
        <v>277</v>
      </c>
      <c r="E17" t="s">
        <v>278</v>
      </c>
      <c r="G17">
        <v>1595613257.8</v>
      </c>
      <c r="H17">
        <f t="shared" ref="H17:H30" si="0">CC17*AI17*(CA17-CB17)/(100*$B$5*(1000-AI17*CA17))</f>
        <v>1.0610956374650779E-2</v>
      </c>
      <c r="I17">
        <f t="shared" ref="I17:I30" si="1">CC17*AI17*(BZ17-BY17*(1000-AI17*CB17)/(1000-AI17*CA17))/(100*$B$5)</f>
        <v>35.013951930269698</v>
      </c>
      <c r="J17">
        <f t="shared" ref="J17:J30" si="2">BY17 - IF(AI17&gt;1, I17*$B$5*100/(AK17*CI17), 0)</f>
        <v>384.38354838709699</v>
      </c>
      <c r="K17">
        <f t="shared" ref="K17:K30" si="3">((Q17-H17/2)*J17-I17)/(Q17+H17/2)</f>
        <v>291.94716825725141</v>
      </c>
      <c r="L17">
        <f t="shared" ref="L17:L30" si="4">K17*(CD17+CE17)/1000</f>
        <v>29.174402746216465</v>
      </c>
      <c r="M17">
        <f t="shared" ref="M17:M30" si="5">(BY17 - IF(AI17&gt;1, I17*$B$5*100/(AK17*CI17), 0))*(CD17+CE17)/1000</f>
        <v>38.411608910635202</v>
      </c>
      <c r="N17">
        <f t="shared" ref="N17:N30" si="6">2/((1/P17-1/O17)+SIGN(P17)*SQRT((1/P17-1/O17)*(1/P17-1/O17) + 4*BV17/((BV17+1)*(BV17+1))*(2*1/P17*1/O17-1/O17*1/O17)))</f>
        <v>0.73651761308644259</v>
      </c>
      <c r="O17">
        <f t="shared" ref="O17:O30" si="7">AF17+AE17*$B$5+AD17*$B$5*$B$5</f>
        <v>3.3992111781114964</v>
      </c>
      <c r="P17">
        <f t="shared" ref="P17:P30" si="8">H17*(1000-(1000*0.61365*EXP(17.502*T17/(240.97+T17))/(CD17+CE17)+CA17)/2)/(1000*0.61365*EXP(17.502*T17/(240.97+T17))/(CD17+CE17)-CA17)</f>
        <v>0.65800652760223133</v>
      </c>
      <c r="Q17">
        <f t="shared" ref="Q17:Q30" si="9">1/((BV17+1)/(N17/1.6)+1/(O17/1.37)) + BV17/((BV17+1)/(N17/1.6) + BV17/(O17/1.37))</f>
        <v>0.41760841067791538</v>
      </c>
      <c r="R17">
        <f t="shared" ref="R17:R30" si="10">(BS17*BU17)</f>
        <v>353.3352134857588</v>
      </c>
      <c r="S17">
        <f t="shared" ref="S17:S30" si="11">(CF17+(R17+2*0.95*0.0000000567*(((CF17+$B$7)+273)^4-(CF17+273)^4)-44100*H17)/(1.84*29.3*O17+8*0.95*0.0000000567*(CF17+273)^3))</f>
        <v>26.768311642495853</v>
      </c>
      <c r="T17">
        <f t="shared" ref="T17:T30" si="12">($C$7*CG17+$D$7*CH17+$E$7*S17)</f>
        <v>26.978767741935499</v>
      </c>
      <c r="U17">
        <f t="shared" ref="U17:U30" si="13">0.61365*EXP(17.502*T17/(240.97+T17))</f>
        <v>3.5746988265896391</v>
      </c>
      <c r="V17">
        <f t="shared" ref="V17:V30" si="14">(W17/X17*100)</f>
        <v>54.949134710631611</v>
      </c>
      <c r="W17">
        <f t="shared" ref="W17:W30" si="15">CA17*(CD17+CE17)/1000</f>
        <v>2.0082445664663249</v>
      </c>
      <c r="X17">
        <f t="shared" ref="X17:X30" si="16">0.61365*EXP(17.502*CF17/(240.97+CF17))</f>
        <v>3.654733740653004</v>
      </c>
      <c r="Y17">
        <f t="shared" ref="Y17:Y30" si="17">(U17-CA17*(CD17+CE17)/1000)</f>
        <v>1.5664542601233142</v>
      </c>
      <c r="Z17">
        <f t="shared" ref="Z17:Z30" si="18">(-H17*44100)</f>
        <v>-467.94317612209932</v>
      </c>
      <c r="AA17">
        <f t="shared" ref="AA17:AA30" si="19">2*29.3*O17*0.92*(CF17-T17)</f>
        <v>69.17526882471293</v>
      </c>
      <c r="AB17">
        <f t="shared" ref="AB17:AB30" si="20">2*0.95*0.0000000567*(((CF17+$B$7)+273)^4-(T17+273)^4)</f>
        <v>4.3992142579651077</v>
      </c>
      <c r="AC17">
        <f t="shared" ref="AC17:AC30" si="21">R17+AB17+Z17+AA17</f>
        <v>-41.03347955366246</v>
      </c>
      <c r="AD17">
        <v>-4.1435519879288001E-2</v>
      </c>
      <c r="AE17">
        <v>4.6515001015409202E-2</v>
      </c>
      <c r="AF17">
        <v>3.4719232555978299</v>
      </c>
      <c r="AG17">
        <v>147</v>
      </c>
      <c r="AH17">
        <v>29</v>
      </c>
      <c r="AI17">
        <f t="shared" ref="AI17:AI30" si="22">IF(AG17*$H$13&gt;=AK17,1,(AK17/(AK17-AG17*$H$13)))</f>
        <v>1</v>
      </c>
      <c r="AJ17">
        <f t="shared" ref="AJ17:AJ30" si="23">(AI17-1)*100</f>
        <v>0</v>
      </c>
      <c r="AK17">
        <f t="shared" ref="AK17:AK30" si="24">MAX(0,($B$13+$C$13*CI17)/(1+$D$13*CI17)*CD17/(CF17+273)*$E$13)</f>
        <v>52769.993287203928</v>
      </c>
      <c r="AL17">
        <v>0</v>
      </c>
      <c r="AM17">
        <v>0</v>
      </c>
      <c r="AN17">
        <v>0</v>
      </c>
      <c r="AO17">
        <f t="shared" ref="AO17:AO30" si="25">AN17-AM17</f>
        <v>0</v>
      </c>
      <c r="AP17" t="e">
        <f t="shared" ref="AP17:AP30" si="26">AO17/AN17</f>
        <v>#DIV/0!</v>
      </c>
      <c r="AQ17">
        <v>-1</v>
      </c>
      <c r="AR17" t="s">
        <v>279</v>
      </c>
      <c r="AS17">
        <v>326.51996153846198</v>
      </c>
      <c r="AT17">
        <v>447.77100000000002</v>
      </c>
      <c r="AU17">
        <f t="shared" ref="AU17:AU30" si="27">1-AS17/AT17</f>
        <v>0.27078805563901642</v>
      </c>
      <c r="AV17">
        <v>0.5</v>
      </c>
      <c r="AW17">
        <f t="shared" ref="AW17:AW30" si="28">BS17</f>
        <v>1849.1717513219623</v>
      </c>
      <c r="AX17">
        <f t="shared" ref="AX17:AX30" si="29">I17</f>
        <v>35.013951930269698</v>
      </c>
      <c r="AY17">
        <f t="shared" ref="AY17:AY30" si="30">AU17*AV17*AW17</f>
        <v>250.3668115415345</v>
      </c>
      <c r="AZ17">
        <f t="shared" ref="AZ17:AZ30" si="31">BE17/AT17</f>
        <v>0.54414198329056596</v>
      </c>
      <c r="BA17">
        <f t="shared" ref="BA17:BA30" si="32">(AX17-AQ17)/AW17</f>
        <v>1.9475720362115378E-2</v>
      </c>
      <c r="BB17">
        <f t="shared" ref="BB17:BB30" si="33">(AN17-AT17)/AT17</f>
        <v>-1</v>
      </c>
      <c r="BC17" t="s">
        <v>280</v>
      </c>
      <c r="BD17">
        <v>204.12</v>
      </c>
      <c r="BE17">
        <f t="shared" ref="BE17:BE30" si="34">AT17-BD17</f>
        <v>243.65100000000001</v>
      </c>
      <c r="BF17">
        <f t="shared" ref="BF17:BF30" si="35">(AT17-AS17)/(AT17-BD17)</f>
        <v>0.49764227711578457</v>
      </c>
      <c r="BG17">
        <f t="shared" ref="BG17:BG30" si="36">(AN17-AT17)/(AN17-BD17)</f>
        <v>2.1936654908877133</v>
      </c>
      <c r="BH17">
        <f t="shared" ref="BH17:BH30" si="37">(AT17-AS17)/(AT17-AM17)</f>
        <v>0.27078805563901642</v>
      </c>
      <c r="BI17" t="e">
        <f t="shared" ref="BI17:BI30" si="38">(AN17-AT17)/(AN17-AM17)</f>
        <v>#DIV/0!</v>
      </c>
      <c r="BJ17">
        <v>5321</v>
      </c>
      <c r="BK17">
        <v>300</v>
      </c>
      <c r="BL17">
        <v>300</v>
      </c>
      <c r="BM17">
        <v>300</v>
      </c>
      <c r="BN17">
        <v>9874.32</v>
      </c>
      <c r="BO17">
        <v>410.99900000000002</v>
      </c>
      <c r="BP17">
        <v>-6.4051000000000004E-3</v>
      </c>
      <c r="BQ17">
        <v>0.65093999999999996</v>
      </c>
      <c r="BR17">
        <f t="shared" ref="BR17:BR30" si="39">$B$11*CJ17+$C$11*CK17+$F$11*CL17</f>
        <v>2199.9838709677401</v>
      </c>
      <c r="BS17">
        <f t="shared" ref="BS17:BS30" si="40">BR17*BT17</f>
        <v>1849.1717513219623</v>
      </c>
      <c r="BT17">
        <f t="shared" ref="BT17:BT30" si="41">($B$11*$D$9+$C$11*$D$9+$F$11*((CY17+CQ17)/MAX(CY17+CQ17+CZ17, 0.1)*$I$9+CZ17/MAX(CY17+CQ17+CZ17, 0.1)*$J$9))/($B$11+$C$11+$F$11)</f>
        <v>0.8405387765450022</v>
      </c>
      <c r="BU17">
        <f t="shared" ref="BU17:BU30" si="42">($B$11*$K$9+$C$11*$K$9+$F$11*((CY17+CQ17)/MAX(CY17+CQ17+CZ17, 0.1)*$P$9+CZ17/MAX(CY17+CQ17+CZ17, 0.1)*$Q$9))/($B$11+$C$11+$F$11)</f>
        <v>0.19107755309000446</v>
      </c>
      <c r="BV17">
        <v>0.5</v>
      </c>
      <c r="BW17" t="s">
        <v>281</v>
      </c>
      <c r="BX17">
        <v>1595613257.8</v>
      </c>
      <c r="BY17">
        <v>384.38354838709699</v>
      </c>
      <c r="BZ17">
        <v>400.01877419354798</v>
      </c>
      <c r="CA17">
        <v>20.096429032258101</v>
      </c>
      <c r="CB17">
        <v>15.937829032258101</v>
      </c>
      <c r="CC17">
        <v>500.05838709677403</v>
      </c>
      <c r="CD17">
        <v>99.7303838709677</v>
      </c>
      <c r="CE17">
        <v>0.20003477419354801</v>
      </c>
      <c r="CF17">
        <v>27.356241935483901</v>
      </c>
      <c r="CG17">
        <v>26.978767741935499</v>
      </c>
      <c r="CH17">
        <v>999.9</v>
      </c>
      <c r="CI17">
        <v>10019.3909677419</v>
      </c>
      <c r="CJ17">
        <v>0</v>
      </c>
      <c r="CK17">
        <v>244.28016129032301</v>
      </c>
      <c r="CL17">
        <v>2199.9838709677401</v>
      </c>
      <c r="CM17">
        <v>0.98200090322580602</v>
      </c>
      <c r="CN17">
        <v>1.79994516129032E-2</v>
      </c>
      <c r="CO17">
        <v>0</v>
      </c>
      <c r="CP17">
        <v>326.56867741935503</v>
      </c>
      <c r="CQ17">
        <v>5.00054</v>
      </c>
      <c r="CR17">
        <v>9070.3645161290297</v>
      </c>
      <c r="CS17">
        <v>20590.3870967742</v>
      </c>
      <c r="CT17">
        <v>47.368709677419297</v>
      </c>
      <c r="CU17">
        <v>48.298129032257997</v>
      </c>
      <c r="CV17">
        <v>47.584387096774201</v>
      </c>
      <c r="CW17">
        <v>47.169129032258098</v>
      </c>
      <c r="CX17">
        <v>48.826387096774198</v>
      </c>
      <c r="CY17">
        <v>2155.4738709677399</v>
      </c>
      <c r="CZ17">
        <v>39.51</v>
      </c>
      <c r="DA17">
        <v>0</v>
      </c>
      <c r="DB17">
        <v>629.59999990463302</v>
      </c>
      <c r="DC17">
        <v>326.51996153846198</v>
      </c>
      <c r="DD17">
        <v>-16.520649566122799</v>
      </c>
      <c r="DE17">
        <v>-403.86290587484899</v>
      </c>
      <c r="DF17">
        <v>9068.9842307692306</v>
      </c>
      <c r="DG17">
        <v>15</v>
      </c>
      <c r="DH17">
        <v>1595613292.8</v>
      </c>
      <c r="DI17" t="s">
        <v>282</v>
      </c>
      <c r="DJ17">
        <v>57</v>
      </c>
      <c r="DK17">
        <v>-0.51400000000000001</v>
      </c>
      <c r="DL17">
        <v>9.6000000000000002E-2</v>
      </c>
      <c r="DM17">
        <v>400</v>
      </c>
      <c r="DN17">
        <v>16</v>
      </c>
      <c r="DO17">
        <v>0.16</v>
      </c>
      <c r="DP17">
        <v>0.02</v>
      </c>
      <c r="DQ17">
        <v>384.64688235294102</v>
      </c>
      <c r="DR17">
        <v>-5.5493212670126796E-3</v>
      </c>
      <c r="DS17">
        <v>1.6179928329208001E-2</v>
      </c>
      <c r="DT17">
        <v>1</v>
      </c>
      <c r="DU17">
        <v>20.133490196078402</v>
      </c>
      <c r="DV17">
        <v>-0.196873846153821</v>
      </c>
      <c r="DW17">
        <v>2.4188785725280399E-2</v>
      </c>
      <c r="DX17">
        <v>1</v>
      </c>
      <c r="DY17">
        <v>2</v>
      </c>
      <c r="DZ17">
        <v>2</v>
      </c>
      <c r="EA17" t="s">
        <v>283</v>
      </c>
      <c r="EB17">
        <v>1.86676</v>
      </c>
      <c r="EC17">
        <v>1.8632599999999999</v>
      </c>
      <c r="ED17">
        <v>1.8689199999999999</v>
      </c>
      <c r="EE17">
        <v>1.86687</v>
      </c>
      <c r="EF17">
        <v>1.87161</v>
      </c>
      <c r="EG17">
        <v>1.8640099999999999</v>
      </c>
      <c r="EH17">
        <v>1.86554</v>
      </c>
      <c r="EI17">
        <v>1.8654299999999999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-0.51400000000000001</v>
      </c>
      <c r="EX17">
        <v>9.6000000000000002E-2</v>
      </c>
      <c r="EY17">
        <v>2</v>
      </c>
      <c r="EZ17">
        <v>334.96499999999997</v>
      </c>
      <c r="FA17">
        <v>470.77300000000002</v>
      </c>
      <c r="FB17">
        <v>23.592500000000001</v>
      </c>
      <c r="FC17">
        <v>35.148499999999999</v>
      </c>
      <c r="FD17">
        <v>29.998100000000001</v>
      </c>
      <c r="FE17">
        <v>35.4739</v>
      </c>
      <c r="FF17">
        <v>35.502099999999999</v>
      </c>
      <c r="FG17">
        <v>22.0367</v>
      </c>
      <c r="FH17">
        <v>53.731200000000001</v>
      </c>
      <c r="FI17">
        <v>0</v>
      </c>
      <c r="FJ17">
        <v>23.603899999999999</v>
      </c>
      <c r="FK17">
        <v>400</v>
      </c>
      <c r="FL17">
        <v>15.9727</v>
      </c>
      <c r="FM17">
        <v>100.554</v>
      </c>
      <c r="FN17">
        <v>100.93300000000001</v>
      </c>
    </row>
    <row r="18" spans="1:170" x14ac:dyDescent="0.25">
      <c r="A18">
        <v>2</v>
      </c>
      <c r="B18">
        <v>1595613392.3</v>
      </c>
      <c r="C18">
        <v>126.5</v>
      </c>
      <c r="D18" t="s">
        <v>288</v>
      </c>
      <c r="E18" t="s">
        <v>289</v>
      </c>
      <c r="G18">
        <v>1595613384.3</v>
      </c>
      <c r="H18">
        <f t="shared" si="0"/>
        <v>9.2414882084451196E-3</v>
      </c>
      <c r="I18">
        <f t="shared" si="1"/>
        <v>26.57680934317321</v>
      </c>
      <c r="J18">
        <f t="shared" si="2"/>
        <v>288.31096774193497</v>
      </c>
      <c r="K18">
        <f t="shared" si="3"/>
        <v>208.35994584454406</v>
      </c>
      <c r="L18">
        <f t="shared" si="4"/>
        <v>20.819811112871019</v>
      </c>
      <c r="M18">
        <f t="shared" si="5"/>
        <v>28.808703447420836</v>
      </c>
      <c r="N18">
        <f t="shared" si="6"/>
        <v>0.62836034577880662</v>
      </c>
      <c r="O18">
        <f t="shared" si="7"/>
        <v>3.39265158016826</v>
      </c>
      <c r="P18">
        <f t="shared" si="8"/>
        <v>0.5701414540079216</v>
      </c>
      <c r="Q18">
        <f t="shared" si="9"/>
        <v>0.36111856801431297</v>
      </c>
      <c r="R18">
        <f t="shared" si="10"/>
        <v>353.33763321889569</v>
      </c>
      <c r="S18">
        <f t="shared" si="11"/>
        <v>26.865900895252746</v>
      </c>
      <c r="T18">
        <f t="shared" si="12"/>
        <v>27.014019354838702</v>
      </c>
      <c r="U18">
        <f t="shared" si="13"/>
        <v>3.5821078014501047</v>
      </c>
      <c r="V18">
        <f t="shared" si="14"/>
        <v>55.621857450065249</v>
      </c>
      <c r="W18">
        <f t="shared" si="15"/>
        <v>2.007758701587953</v>
      </c>
      <c r="X18">
        <f t="shared" si="16"/>
        <v>3.6096577741770428</v>
      </c>
      <c r="Y18">
        <f t="shared" si="17"/>
        <v>1.5743490998621517</v>
      </c>
      <c r="Z18">
        <f t="shared" si="18"/>
        <v>-407.5496299924298</v>
      </c>
      <c r="AA18">
        <f t="shared" si="19"/>
        <v>23.873774594231488</v>
      </c>
      <c r="AB18">
        <f t="shared" si="20"/>
        <v>1.5198512815765193</v>
      </c>
      <c r="AC18">
        <f t="shared" si="21"/>
        <v>-28.818370897726115</v>
      </c>
      <c r="AD18">
        <v>-4.1333888970275699E-2</v>
      </c>
      <c r="AE18">
        <v>4.64009114166863E-2</v>
      </c>
      <c r="AF18">
        <v>3.46518531321599</v>
      </c>
      <c r="AG18">
        <v>146</v>
      </c>
      <c r="AH18">
        <v>29</v>
      </c>
      <c r="AI18">
        <f t="shared" si="22"/>
        <v>1</v>
      </c>
      <c r="AJ18">
        <f t="shared" si="23"/>
        <v>0</v>
      </c>
      <c r="AK18">
        <f t="shared" si="24"/>
        <v>52682.826727810891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281.28188461538502</v>
      </c>
      <c r="AT18">
        <v>377.91500000000002</v>
      </c>
      <c r="AU18">
        <f t="shared" si="27"/>
        <v>0.25570066121909685</v>
      </c>
      <c r="AV18">
        <v>0.5</v>
      </c>
      <c r="AW18">
        <f t="shared" si="28"/>
        <v>1849.1844868058331</v>
      </c>
      <c r="AX18">
        <f t="shared" si="29"/>
        <v>26.57680934317321</v>
      </c>
      <c r="AY18">
        <f t="shared" si="30"/>
        <v>236.41884799617389</v>
      </c>
      <c r="AZ18">
        <f t="shared" si="31"/>
        <v>0.48702750618525331</v>
      </c>
      <c r="BA18">
        <f t="shared" si="32"/>
        <v>1.4912957327912525E-2</v>
      </c>
      <c r="BB18">
        <f t="shared" si="33"/>
        <v>-1</v>
      </c>
      <c r="BC18" t="s">
        <v>291</v>
      </c>
      <c r="BD18">
        <v>193.86</v>
      </c>
      <c r="BE18">
        <f t="shared" si="34"/>
        <v>184.05500000000001</v>
      </c>
      <c r="BF18">
        <f t="shared" si="35"/>
        <v>0.52502303868199718</v>
      </c>
      <c r="BG18">
        <f t="shared" si="36"/>
        <v>1.9494222634891158</v>
      </c>
      <c r="BH18">
        <f t="shared" si="37"/>
        <v>0.25570066121909685</v>
      </c>
      <c r="BI18" t="e">
        <f t="shared" si="38"/>
        <v>#DIV/0!</v>
      </c>
      <c r="BJ18">
        <v>5323</v>
      </c>
      <c r="BK18">
        <v>300</v>
      </c>
      <c r="BL18">
        <v>300</v>
      </c>
      <c r="BM18">
        <v>300</v>
      </c>
      <c r="BN18">
        <v>9874.58</v>
      </c>
      <c r="BO18">
        <v>347.84199999999998</v>
      </c>
      <c r="BP18">
        <v>-6.4055500000000003E-3</v>
      </c>
      <c r="BQ18">
        <v>1.04697</v>
      </c>
      <c r="BR18">
        <f t="shared" si="39"/>
        <v>2199.9990322580602</v>
      </c>
      <c r="BS18">
        <f t="shared" si="40"/>
        <v>1849.1844868058331</v>
      </c>
      <c r="BT18">
        <f t="shared" si="41"/>
        <v>0.84053877283202527</v>
      </c>
      <c r="BU18">
        <f t="shared" si="42"/>
        <v>0.19107754566405066</v>
      </c>
      <c r="BV18">
        <v>0.5</v>
      </c>
      <c r="BW18" t="s">
        <v>281</v>
      </c>
      <c r="BX18">
        <v>1595613384.3</v>
      </c>
      <c r="BY18">
        <v>288.31096774193497</v>
      </c>
      <c r="BZ18">
        <v>300.00645161290299</v>
      </c>
      <c r="CA18">
        <v>20.093193548387099</v>
      </c>
      <c r="CB18">
        <v>16.471187096774202</v>
      </c>
      <c r="CC18">
        <v>500.04312903225798</v>
      </c>
      <c r="CD18">
        <v>99.722345161290306</v>
      </c>
      <c r="CE18">
        <v>0.19998409677419399</v>
      </c>
      <c r="CF18">
        <v>27.144545161290299</v>
      </c>
      <c r="CG18">
        <v>27.014019354838702</v>
      </c>
      <c r="CH18">
        <v>999.9</v>
      </c>
      <c r="CI18">
        <v>9995.6216129032291</v>
      </c>
      <c r="CJ18">
        <v>0</v>
      </c>
      <c r="CK18">
        <v>260.33270967741902</v>
      </c>
      <c r="CL18">
        <v>2199.9990322580602</v>
      </c>
      <c r="CM18">
        <v>0.98200167741935496</v>
      </c>
      <c r="CN18">
        <v>1.7998638709677401E-2</v>
      </c>
      <c r="CO18">
        <v>0</v>
      </c>
      <c r="CP18">
        <v>281.34116129032299</v>
      </c>
      <c r="CQ18">
        <v>5.00054</v>
      </c>
      <c r="CR18">
        <v>8355.6106451612904</v>
      </c>
      <c r="CS18">
        <v>20590.529032258099</v>
      </c>
      <c r="CT18">
        <v>47.167064516129003</v>
      </c>
      <c r="CU18">
        <v>48.143000000000001</v>
      </c>
      <c r="CV18">
        <v>47.320129032258002</v>
      </c>
      <c r="CW18">
        <v>47.197225806451598</v>
      </c>
      <c r="CX18">
        <v>48.533999999999999</v>
      </c>
      <c r="CY18">
        <v>2155.48903225806</v>
      </c>
      <c r="CZ18">
        <v>39.51</v>
      </c>
      <c r="DA18">
        <v>0</v>
      </c>
      <c r="DB18">
        <v>126.09999990463299</v>
      </c>
      <c r="DC18">
        <v>281.28188461538502</v>
      </c>
      <c r="DD18">
        <v>-6.6510427229308897</v>
      </c>
      <c r="DE18">
        <v>-152.86632477804801</v>
      </c>
      <c r="DF18">
        <v>8353.7153846153906</v>
      </c>
      <c r="DG18">
        <v>15</v>
      </c>
      <c r="DH18">
        <v>1595613420.3</v>
      </c>
      <c r="DI18" t="s">
        <v>292</v>
      </c>
      <c r="DJ18">
        <v>58</v>
      </c>
      <c r="DK18">
        <v>-0.55600000000000005</v>
      </c>
      <c r="DL18">
        <v>0.104</v>
      </c>
      <c r="DM18">
        <v>300</v>
      </c>
      <c r="DN18">
        <v>16</v>
      </c>
      <c r="DO18">
        <v>0.35</v>
      </c>
      <c r="DP18">
        <v>0.03</v>
      </c>
      <c r="DQ18">
        <v>288.33784313725499</v>
      </c>
      <c r="DR18">
        <v>0.11975022624421</v>
      </c>
      <c r="DS18">
        <v>1.9684145654754199E-2</v>
      </c>
      <c r="DT18">
        <v>1</v>
      </c>
      <c r="DU18">
        <v>20.1034333333333</v>
      </c>
      <c r="DV18">
        <v>-0.19387873303169101</v>
      </c>
      <c r="DW18">
        <v>2.42205039265809E-2</v>
      </c>
      <c r="DX18">
        <v>1</v>
      </c>
      <c r="DY18">
        <v>2</v>
      </c>
      <c r="DZ18">
        <v>2</v>
      </c>
      <c r="EA18" t="s">
        <v>283</v>
      </c>
      <c r="EB18">
        <v>1.8668199999999999</v>
      </c>
      <c r="EC18">
        <v>1.86334</v>
      </c>
      <c r="ED18">
        <v>1.8690100000000001</v>
      </c>
      <c r="EE18">
        <v>1.8668899999999999</v>
      </c>
      <c r="EF18">
        <v>1.8716200000000001</v>
      </c>
      <c r="EG18">
        <v>1.8640699999999999</v>
      </c>
      <c r="EH18">
        <v>1.8655600000000001</v>
      </c>
      <c r="EI18">
        <v>1.8655200000000001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-0.55600000000000005</v>
      </c>
      <c r="EX18">
        <v>0.104</v>
      </c>
      <c r="EY18">
        <v>2</v>
      </c>
      <c r="EZ18">
        <v>336.43</v>
      </c>
      <c r="FA18">
        <v>471.72300000000001</v>
      </c>
      <c r="FB18">
        <v>21.607299999999999</v>
      </c>
      <c r="FC18">
        <v>34.664000000000001</v>
      </c>
      <c r="FD18">
        <v>29.992899999999999</v>
      </c>
      <c r="FE18">
        <v>35.022100000000002</v>
      </c>
      <c r="FF18">
        <v>35.068100000000001</v>
      </c>
      <c r="FG18">
        <v>17.558800000000002</v>
      </c>
      <c r="FH18">
        <v>51.988300000000002</v>
      </c>
      <c r="FI18">
        <v>0</v>
      </c>
      <c r="FJ18">
        <v>22.623999999999999</v>
      </c>
      <c r="FK18">
        <v>300</v>
      </c>
      <c r="FL18">
        <v>16.177900000000001</v>
      </c>
      <c r="FM18">
        <v>100.633</v>
      </c>
      <c r="FN18">
        <v>101.033</v>
      </c>
    </row>
    <row r="19" spans="1:170" x14ac:dyDescent="0.25">
      <c r="A19">
        <v>3</v>
      </c>
      <c r="B19">
        <v>1595613511.8</v>
      </c>
      <c r="C19">
        <v>246</v>
      </c>
      <c r="D19" t="s">
        <v>293</v>
      </c>
      <c r="E19" t="s">
        <v>294</v>
      </c>
      <c r="G19">
        <v>1595613503.8</v>
      </c>
      <c r="H19">
        <f t="shared" si="0"/>
        <v>9.4363745140444884E-3</v>
      </c>
      <c r="I19">
        <f t="shared" si="1"/>
        <v>16.684587757597786</v>
      </c>
      <c r="J19">
        <f t="shared" si="2"/>
        <v>192.603935483871</v>
      </c>
      <c r="K19">
        <f t="shared" si="3"/>
        <v>141.98578445665657</v>
      </c>
      <c r="L19">
        <f t="shared" si="4"/>
        <v>14.187083661291723</v>
      </c>
      <c r="M19">
        <f t="shared" si="5"/>
        <v>19.244800855664863</v>
      </c>
      <c r="N19">
        <f t="shared" si="6"/>
        <v>0.62773842305704974</v>
      </c>
      <c r="O19">
        <f t="shared" si="7"/>
        <v>3.3943649304394072</v>
      </c>
      <c r="P19">
        <f t="shared" si="8"/>
        <v>0.56965545006111307</v>
      </c>
      <c r="Q19">
        <f t="shared" si="9"/>
        <v>0.36080426368661189</v>
      </c>
      <c r="R19">
        <f t="shared" si="10"/>
        <v>353.34040276359747</v>
      </c>
      <c r="S19">
        <f t="shared" si="11"/>
        <v>26.649108567869018</v>
      </c>
      <c r="T19">
        <f t="shared" si="12"/>
        <v>26.945874193548399</v>
      </c>
      <c r="U19">
        <f t="shared" si="13"/>
        <v>3.5677975240215551</v>
      </c>
      <c r="V19">
        <f t="shared" si="14"/>
        <v>54.807593096072935</v>
      </c>
      <c r="W19">
        <f t="shared" si="15"/>
        <v>1.9584038898443916</v>
      </c>
      <c r="X19">
        <f t="shared" si="16"/>
        <v>3.5732346180783385</v>
      </c>
      <c r="Y19">
        <f t="shared" si="17"/>
        <v>1.6093936341771635</v>
      </c>
      <c r="Z19">
        <f t="shared" si="18"/>
        <v>-416.14411606936193</v>
      </c>
      <c r="AA19">
        <f t="shared" si="19"/>
        <v>4.7431642326223526</v>
      </c>
      <c r="AB19">
        <f t="shared" si="20"/>
        <v>0.30144342036354388</v>
      </c>
      <c r="AC19">
        <f t="shared" si="21"/>
        <v>-57.759105652778537</v>
      </c>
      <c r="AD19">
        <v>-4.1360426145039902E-2</v>
      </c>
      <c r="AE19">
        <v>4.64307017201432E-2</v>
      </c>
      <c r="AF19">
        <v>3.4669452315792801</v>
      </c>
      <c r="AG19">
        <v>146</v>
      </c>
      <c r="AH19">
        <v>29</v>
      </c>
      <c r="AI19">
        <f t="shared" si="22"/>
        <v>1</v>
      </c>
      <c r="AJ19">
        <f t="shared" si="23"/>
        <v>0</v>
      </c>
      <c r="AK19">
        <f t="shared" si="24"/>
        <v>52745.554919766168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295</v>
      </c>
      <c r="AS19">
        <v>265.98507692307697</v>
      </c>
      <c r="AT19">
        <v>339.38900000000001</v>
      </c>
      <c r="AU19">
        <f t="shared" si="27"/>
        <v>0.21628256389253342</v>
      </c>
      <c r="AV19">
        <v>0.5</v>
      </c>
      <c r="AW19">
        <f t="shared" si="28"/>
        <v>1849.2015480962352</v>
      </c>
      <c r="AX19">
        <f t="shared" si="29"/>
        <v>16.684587757597786</v>
      </c>
      <c r="AY19">
        <f t="shared" si="30"/>
        <v>199.97502598814785</v>
      </c>
      <c r="AZ19">
        <f t="shared" si="31"/>
        <v>0.43816682332073226</v>
      </c>
      <c r="BA19">
        <f t="shared" si="32"/>
        <v>9.5633641318352679E-3</v>
      </c>
      <c r="BB19">
        <f t="shared" si="33"/>
        <v>-1</v>
      </c>
      <c r="BC19" t="s">
        <v>296</v>
      </c>
      <c r="BD19">
        <v>190.68</v>
      </c>
      <c r="BE19">
        <f t="shared" si="34"/>
        <v>148.709</v>
      </c>
      <c r="BF19">
        <f t="shared" si="35"/>
        <v>0.4936078050213708</v>
      </c>
      <c r="BG19">
        <f t="shared" si="36"/>
        <v>1.7798877700860081</v>
      </c>
      <c r="BH19">
        <f t="shared" si="37"/>
        <v>0.21628256389253345</v>
      </c>
      <c r="BI19" t="e">
        <f t="shared" si="38"/>
        <v>#DIV/0!</v>
      </c>
      <c r="BJ19">
        <v>5325</v>
      </c>
      <c r="BK19">
        <v>300</v>
      </c>
      <c r="BL19">
        <v>300</v>
      </c>
      <c r="BM19">
        <v>300</v>
      </c>
      <c r="BN19">
        <v>9873.42</v>
      </c>
      <c r="BO19">
        <v>319.22000000000003</v>
      </c>
      <c r="BP19">
        <v>-6.4045700000000001E-3</v>
      </c>
      <c r="BQ19">
        <v>1.2540899999999999</v>
      </c>
      <c r="BR19">
        <f t="shared" si="39"/>
        <v>2200.0196774193601</v>
      </c>
      <c r="BS19">
        <f t="shared" si="40"/>
        <v>1849.2015480962352</v>
      </c>
      <c r="BT19">
        <f t="shared" si="41"/>
        <v>0.84053864021132885</v>
      </c>
      <c r="BU19">
        <f t="shared" si="42"/>
        <v>0.1910772804226579</v>
      </c>
      <c r="BV19">
        <v>0.5</v>
      </c>
      <c r="BW19" t="s">
        <v>281</v>
      </c>
      <c r="BX19">
        <v>1595613503.8</v>
      </c>
      <c r="BY19">
        <v>192.603935483871</v>
      </c>
      <c r="BZ19">
        <v>200.00387096774199</v>
      </c>
      <c r="CA19">
        <v>19.599906451612899</v>
      </c>
      <c r="CB19">
        <v>15.899783870967701</v>
      </c>
      <c r="CC19">
        <v>500.06032258064499</v>
      </c>
      <c r="CD19">
        <v>99.719035483870996</v>
      </c>
      <c r="CE19">
        <v>0.200007225806452</v>
      </c>
      <c r="CF19">
        <v>26.971793548387101</v>
      </c>
      <c r="CG19">
        <v>26.945874193548399</v>
      </c>
      <c r="CH19">
        <v>999.9</v>
      </c>
      <c r="CI19">
        <v>10002.370967741899</v>
      </c>
      <c r="CJ19">
        <v>0</v>
      </c>
      <c r="CK19">
        <v>260.97122580645203</v>
      </c>
      <c r="CL19">
        <v>2200.0196774193601</v>
      </c>
      <c r="CM19">
        <v>0.98200354838709702</v>
      </c>
      <c r="CN19">
        <v>1.79966741935484E-2</v>
      </c>
      <c r="CO19">
        <v>0</v>
      </c>
      <c r="CP19">
        <v>266.07758064516099</v>
      </c>
      <c r="CQ19">
        <v>5.00054</v>
      </c>
      <c r="CR19">
        <v>8014.5751612903196</v>
      </c>
      <c r="CS19">
        <v>20590.745161290299</v>
      </c>
      <c r="CT19">
        <v>47.429064516129003</v>
      </c>
      <c r="CU19">
        <v>48.8223548387097</v>
      </c>
      <c r="CV19">
        <v>47.626870967741901</v>
      </c>
      <c r="CW19">
        <v>47.747741935483901</v>
      </c>
      <c r="CX19">
        <v>48.771870967741897</v>
      </c>
      <c r="CY19">
        <v>2155.5190322580602</v>
      </c>
      <c r="CZ19">
        <v>39.500645161290301</v>
      </c>
      <c r="DA19">
        <v>0</v>
      </c>
      <c r="DB19">
        <v>119</v>
      </c>
      <c r="DC19">
        <v>265.98507692307697</v>
      </c>
      <c r="DD19">
        <v>-5.6298119684367203</v>
      </c>
      <c r="DE19">
        <v>-75.044102491483002</v>
      </c>
      <c r="DF19">
        <v>8013.7176923076904</v>
      </c>
      <c r="DG19">
        <v>15</v>
      </c>
      <c r="DH19">
        <v>1595613537.8</v>
      </c>
      <c r="DI19" t="s">
        <v>297</v>
      </c>
      <c r="DJ19">
        <v>59</v>
      </c>
      <c r="DK19">
        <v>-0.48699999999999999</v>
      </c>
      <c r="DL19">
        <v>9.9000000000000005E-2</v>
      </c>
      <c r="DM19">
        <v>200</v>
      </c>
      <c r="DN19">
        <v>16</v>
      </c>
      <c r="DO19">
        <v>0.16</v>
      </c>
      <c r="DP19">
        <v>0.03</v>
      </c>
      <c r="DQ19">
        <v>192.52513725490201</v>
      </c>
      <c r="DR19">
        <v>8.79095022624614E-2</v>
      </c>
      <c r="DS19">
        <v>1.55576342874284E-2</v>
      </c>
      <c r="DT19">
        <v>1</v>
      </c>
      <c r="DU19">
        <v>19.6195058823529</v>
      </c>
      <c r="DV19">
        <v>-0.156773212669683</v>
      </c>
      <c r="DW19">
        <v>2.0910466576734999E-2</v>
      </c>
      <c r="DX19">
        <v>1</v>
      </c>
      <c r="DY19">
        <v>2</v>
      </c>
      <c r="DZ19">
        <v>2</v>
      </c>
      <c r="EA19" t="s">
        <v>283</v>
      </c>
      <c r="EB19">
        <v>1.86676</v>
      </c>
      <c r="EC19">
        <v>1.86328</v>
      </c>
      <c r="ED19">
        <v>1.8689499999999999</v>
      </c>
      <c r="EE19">
        <v>1.8669</v>
      </c>
      <c r="EF19">
        <v>1.87161</v>
      </c>
      <c r="EG19">
        <v>1.8640099999999999</v>
      </c>
      <c r="EH19">
        <v>1.86554</v>
      </c>
      <c r="EI19">
        <v>1.86544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-0.48699999999999999</v>
      </c>
      <c r="EX19">
        <v>9.9000000000000005E-2</v>
      </c>
      <c r="EY19">
        <v>2</v>
      </c>
      <c r="EZ19">
        <v>336.48399999999998</v>
      </c>
      <c r="FA19">
        <v>470.99099999999999</v>
      </c>
      <c r="FB19">
        <v>22.4907</v>
      </c>
      <c r="FC19">
        <v>34.514499999999998</v>
      </c>
      <c r="FD19">
        <v>29.999099999999999</v>
      </c>
      <c r="FE19">
        <v>34.795699999999997</v>
      </c>
      <c r="FF19">
        <v>34.837499999999999</v>
      </c>
      <c r="FG19">
        <v>12.8973</v>
      </c>
      <c r="FH19">
        <v>53.820099999999996</v>
      </c>
      <c r="FI19">
        <v>0</v>
      </c>
      <c r="FJ19">
        <v>22.530999999999999</v>
      </c>
      <c r="FK19">
        <v>200</v>
      </c>
      <c r="FL19">
        <v>15.9778</v>
      </c>
      <c r="FM19">
        <v>100.658</v>
      </c>
      <c r="FN19">
        <v>101.06399999999999</v>
      </c>
    </row>
    <row r="20" spans="1:170" x14ac:dyDescent="0.25">
      <c r="A20">
        <v>4</v>
      </c>
      <c r="B20">
        <v>1595613629.3</v>
      </c>
      <c r="C20">
        <v>363.5</v>
      </c>
      <c r="D20" t="s">
        <v>298</v>
      </c>
      <c r="E20" t="s">
        <v>299</v>
      </c>
      <c r="G20">
        <v>1595613621.3</v>
      </c>
      <c r="H20">
        <f t="shared" si="0"/>
        <v>9.3088326468808175E-3</v>
      </c>
      <c r="I20">
        <f t="shared" si="1"/>
        <v>6.0604239433803393</v>
      </c>
      <c r="J20">
        <f t="shared" si="2"/>
        <v>97.203519354838704</v>
      </c>
      <c r="K20">
        <f t="shared" si="3"/>
        <v>77.949149417052595</v>
      </c>
      <c r="L20">
        <f t="shared" si="4"/>
        <v>7.7884728719690139</v>
      </c>
      <c r="M20">
        <f t="shared" si="5"/>
        <v>9.7123185976607456</v>
      </c>
      <c r="N20">
        <f t="shared" si="6"/>
        <v>0.62073340834016588</v>
      </c>
      <c r="O20">
        <f t="shared" si="7"/>
        <v>3.394320878616123</v>
      </c>
      <c r="P20">
        <f t="shared" si="8"/>
        <v>0.56387606695165349</v>
      </c>
      <c r="Q20">
        <f t="shared" si="9"/>
        <v>0.3570959426988633</v>
      </c>
      <c r="R20">
        <f t="shared" si="10"/>
        <v>353.33815272994946</v>
      </c>
      <c r="S20">
        <f t="shared" si="11"/>
        <v>26.823976258876836</v>
      </c>
      <c r="T20">
        <f t="shared" si="12"/>
        <v>27.023916129032301</v>
      </c>
      <c r="U20">
        <f t="shared" si="13"/>
        <v>3.5841902551113454</v>
      </c>
      <c r="V20">
        <f t="shared" si="14"/>
        <v>54.9564451142205</v>
      </c>
      <c r="W20">
        <f t="shared" si="15"/>
        <v>1.9806233823848338</v>
      </c>
      <c r="X20">
        <f t="shared" si="16"/>
        <v>3.6039874454549263</v>
      </c>
      <c r="Y20">
        <f t="shared" si="17"/>
        <v>1.6035668727265115</v>
      </c>
      <c r="Z20">
        <f t="shared" si="18"/>
        <v>-410.51951972744405</v>
      </c>
      <c r="AA20">
        <f t="shared" si="19"/>
        <v>17.171389389832715</v>
      </c>
      <c r="AB20">
        <f t="shared" si="20"/>
        <v>1.0925343869445532</v>
      </c>
      <c r="AC20">
        <f t="shared" si="21"/>
        <v>-38.917443220717303</v>
      </c>
      <c r="AD20">
        <v>-4.1359743773926601E-2</v>
      </c>
      <c r="AE20">
        <v>4.6429935698789601E-2</v>
      </c>
      <c r="AF20">
        <v>3.4668999823142501</v>
      </c>
      <c r="AG20">
        <v>146</v>
      </c>
      <c r="AH20">
        <v>29</v>
      </c>
      <c r="AI20">
        <f t="shared" si="22"/>
        <v>1</v>
      </c>
      <c r="AJ20">
        <f t="shared" si="23"/>
        <v>0</v>
      </c>
      <c r="AK20">
        <f t="shared" si="24"/>
        <v>52719.032937171622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300</v>
      </c>
      <c r="AS20">
        <v>263.781230769231</v>
      </c>
      <c r="AT20">
        <v>319.75900000000001</v>
      </c>
      <c r="AU20">
        <f t="shared" si="27"/>
        <v>0.17506237269558955</v>
      </c>
      <c r="AV20">
        <v>0.5</v>
      </c>
      <c r="AW20">
        <f t="shared" si="28"/>
        <v>1849.1898771284896</v>
      </c>
      <c r="AX20">
        <f t="shared" si="29"/>
        <v>6.0604239433803393</v>
      </c>
      <c r="AY20">
        <f t="shared" si="30"/>
        <v>161.86178372738954</v>
      </c>
      <c r="AZ20">
        <f t="shared" si="31"/>
        <v>0.39022826566257718</v>
      </c>
      <c r="BA20">
        <f t="shared" si="32"/>
        <v>3.8181173446309924E-3</v>
      </c>
      <c r="BB20">
        <f t="shared" si="33"/>
        <v>-1</v>
      </c>
      <c r="BC20" t="s">
        <v>301</v>
      </c>
      <c r="BD20">
        <v>194.98</v>
      </c>
      <c r="BE20">
        <f t="shared" si="34"/>
        <v>124.77900000000002</v>
      </c>
      <c r="BF20">
        <f t="shared" si="35"/>
        <v>0.44861530570664138</v>
      </c>
      <c r="BG20">
        <f t="shared" si="36"/>
        <v>1.6399579444045544</v>
      </c>
      <c r="BH20">
        <f t="shared" si="37"/>
        <v>0.17506237269558952</v>
      </c>
      <c r="BI20" t="e">
        <f t="shared" si="38"/>
        <v>#DIV/0!</v>
      </c>
      <c r="BJ20">
        <v>5327</v>
      </c>
      <c r="BK20">
        <v>300</v>
      </c>
      <c r="BL20">
        <v>300</v>
      </c>
      <c r="BM20">
        <v>300</v>
      </c>
      <c r="BN20">
        <v>9871.92</v>
      </c>
      <c r="BO20">
        <v>305.74900000000002</v>
      </c>
      <c r="BP20">
        <v>-6.4034699999999996E-3</v>
      </c>
      <c r="BQ20">
        <v>1.0740700000000001</v>
      </c>
      <c r="BR20">
        <f t="shared" si="39"/>
        <v>2200.0058064516102</v>
      </c>
      <c r="BS20">
        <f t="shared" si="40"/>
        <v>1849.1898771284896</v>
      </c>
      <c r="BT20">
        <f t="shared" si="41"/>
        <v>0.84053863480980917</v>
      </c>
      <c r="BU20">
        <f t="shared" si="42"/>
        <v>0.19107726961961841</v>
      </c>
      <c r="BV20">
        <v>0.5</v>
      </c>
      <c r="BW20" t="s">
        <v>281</v>
      </c>
      <c r="BX20">
        <v>1595613621.3</v>
      </c>
      <c r="BY20">
        <v>97.203519354838704</v>
      </c>
      <c r="BZ20">
        <v>99.989296774193505</v>
      </c>
      <c r="CA20">
        <v>19.822616129032301</v>
      </c>
      <c r="CB20">
        <v>16.173329032258099</v>
      </c>
      <c r="CC20">
        <v>500.05970967741899</v>
      </c>
      <c r="CD20">
        <v>99.717383870967694</v>
      </c>
      <c r="CE20">
        <v>0.19997161290322599</v>
      </c>
      <c r="CF20">
        <v>27.117751612903199</v>
      </c>
      <c r="CG20">
        <v>27.023916129032301</v>
      </c>
      <c r="CH20">
        <v>999.9</v>
      </c>
      <c r="CI20">
        <v>10002.3716129032</v>
      </c>
      <c r="CJ20">
        <v>0</v>
      </c>
      <c r="CK20">
        <v>263.71825806451602</v>
      </c>
      <c r="CL20">
        <v>2200.0058064516102</v>
      </c>
      <c r="CM20">
        <v>0.98200580645161295</v>
      </c>
      <c r="CN20">
        <v>1.7994212903225799E-2</v>
      </c>
      <c r="CO20">
        <v>0</v>
      </c>
      <c r="CP20">
        <v>263.786580645161</v>
      </c>
      <c r="CQ20">
        <v>5.00054</v>
      </c>
      <c r="CR20">
        <v>7982.1212903225796</v>
      </c>
      <c r="CS20">
        <v>20590.609677419401</v>
      </c>
      <c r="CT20">
        <v>47.763903225806501</v>
      </c>
      <c r="CU20">
        <v>49.403032258064499</v>
      </c>
      <c r="CV20">
        <v>48.001838709677401</v>
      </c>
      <c r="CW20">
        <v>48.280096774193503</v>
      </c>
      <c r="CX20">
        <v>49.098451612903197</v>
      </c>
      <c r="CY20">
        <v>2155.5058064516102</v>
      </c>
      <c r="CZ20">
        <v>39.5</v>
      </c>
      <c r="DA20">
        <v>0</v>
      </c>
      <c r="DB20">
        <v>116.59999990463299</v>
      </c>
      <c r="DC20">
        <v>263.781230769231</v>
      </c>
      <c r="DD20">
        <v>-0.57859828928036705</v>
      </c>
      <c r="DE20">
        <v>-39.908034166888797</v>
      </c>
      <c r="DF20">
        <v>7981.9203846153796</v>
      </c>
      <c r="DG20">
        <v>15</v>
      </c>
      <c r="DH20">
        <v>1595613656.8</v>
      </c>
      <c r="DI20" t="s">
        <v>302</v>
      </c>
      <c r="DJ20">
        <v>60</v>
      </c>
      <c r="DK20">
        <v>-0.48599999999999999</v>
      </c>
      <c r="DL20">
        <v>0.105</v>
      </c>
      <c r="DM20">
        <v>100</v>
      </c>
      <c r="DN20">
        <v>16</v>
      </c>
      <c r="DO20">
        <v>0.28999999999999998</v>
      </c>
      <c r="DP20">
        <v>0.03</v>
      </c>
      <c r="DQ20">
        <v>97.198833333333297</v>
      </c>
      <c r="DR20">
        <v>5.5504072398217301E-2</v>
      </c>
      <c r="DS20">
        <v>1.09945024883948E-2</v>
      </c>
      <c r="DT20">
        <v>1</v>
      </c>
      <c r="DU20">
        <v>19.818568627451</v>
      </c>
      <c r="DV20">
        <v>-2.0899547511297401E-2</v>
      </c>
      <c r="DW20">
        <v>2.8950593611088301E-3</v>
      </c>
      <c r="DX20">
        <v>1</v>
      </c>
      <c r="DY20">
        <v>2</v>
      </c>
      <c r="DZ20">
        <v>2</v>
      </c>
      <c r="EA20" t="s">
        <v>283</v>
      </c>
      <c r="EB20">
        <v>1.86676</v>
      </c>
      <c r="EC20">
        <v>1.8632500000000001</v>
      </c>
      <c r="ED20">
        <v>1.8689</v>
      </c>
      <c r="EE20">
        <v>1.8668800000000001</v>
      </c>
      <c r="EF20">
        <v>1.87161</v>
      </c>
      <c r="EG20">
        <v>1.8640099999999999</v>
      </c>
      <c r="EH20">
        <v>1.8655299999999999</v>
      </c>
      <c r="EI20">
        <v>1.8653999999999999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-0.48599999999999999</v>
      </c>
      <c r="EX20">
        <v>0.105</v>
      </c>
      <c r="EY20">
        <v>2</v>
      </c>
      <c r="EZ20">
        <v>336.73700000000002</v>
      </c>
      <c r="FA20">
        <v>471.01600000000002</v>
      </c>
      <c r="FB20">
        <v>22.030999999999999</v>
      </c>
      <c r="FC20">
        <v>34.409500000000001</v>
      </c>
      <c r="FD20">
        <v>29.9999</v>
      </c>
      <c r="FE20">
        <v>34.643799999999999</v>
      </c>
      <c r="FF20">
        <v>34.680100000000003</v>
      </c>
      <c r="FG20">
        <v>8.0601400000000005</v>
      </c>
      <c r="FH20">
        <v>51.962899999999998</v>
      </c>
      <c r="FI20">
        <v>0</v>
      </c>
      <c r="FJ20">
        <v>22.036300000000001</v>
      </c>
      <c r="FK20">
        <v>100</v>
      </c>
      <c r="FL20">
        <v>16.182600000000001</v>
      </c>
      <c r="FM20">
        <v>100.673</v>
      </c>
      <c r="FN20">
        <v>101.08199999999999</v>
      </c>
    </row>
    <row r="21" spans="1:170" x14ac:dyDescent="0.25">
      <c r="A21">
        <v>5</v>
      </c>
      <c r="B21">
        <v>1595613748.3</v>
      </c>
      <c r="C21">
        <v>482.5</v>
      </c>
      <c r="D21" t="s">
        <v>303</v>
      </c>
      <c r="E21" t="s">
        <v>304</v>
      </c>
      <c r="G21">
        <v>1595613740.3</v>
      </c>
      <c r="H21">
        <f t="shared" si="0"/>
        <v>9.6724133013869704E-3</v>
      </c>
      <c r="I21">
        <f t="shared" si="1"/>
        <v>0.49897314093749529</v>
      </c>
      <c r="J21">
        <f t="shared" si="2"/>
        <v>49.595799999999997</v>
      </c>
      <c r="K21">
        <f t="shared" si="3"/>
        <v>47.008057050676626</v>
      </c>
      <c r="L21">
        <f t="shared" si="4"/>
        <v>4.6969055072297241</v>
      </c>
      <c r="M21">
        <f t="shared" si="5"/>
        <v>4.9554651004685795</v>
      </c>
      <c r="N21">
        <f t="shared" si="6"/>
        <v>0.6515063827816362</v>
      </c>
      <c r="O21">
        <f t="shared" si="7"/>
        <v>3.3973609733469372</v>
      </c>
      <c r="P21">
        <f t="shared" si="8"/>
        <v>0.58922459453118436</v>
      </c>
      <c r="Q21">
        <f t="shared" si="9"/>
        <v>0.37336372885925595</v>
      </c>
      <c r="R21">
        <f t="shared" si="10"/>
        <v>353.3370622243267</v>
      </c>
      <c r="S21">
        <f t="shared" si="11"/>
        <v>26.709229694693956</v>
      </c>
      <c r="T21">
        <f t="shared" si="12"/>
        <v>26.973512903225799</v>
      </c>
      <c r="U21">
        <f t="shared" si="13"/>
        <v>3.5735955422186994</v>
      </c>
      <c r="V21">
        <f t="shared" si="14"/>
        <v>55.016304051219279</v>
      </c>
      <c r="W21">
        <f t="shared" si="15"/>
        <v>1.9789821844634599</v>
      </c>
      <c r="X21">
        <f t="shared" si="16"/>
        <v>3.5970831167085664</v>
      </c>
      <c r="Y21">
        <f t="shared" si="17"/>
        <v>1.5946133577552395</v>
      </c>
      <c r="Z21">
        <f t="shared" si="18"/>
        <v>-426.55342659116542</v>
      </c>
      <c r="AA21">
        <f t="shared" si="19"/>
        <v>20.433992193664636</v>
      </c>
      <c r="AB21">
        <f t="shared" si="20"/>
        <v>1.2984156383877665</v>
      </c>
      <c r="AC21">
        <f t="shared" si="21"/>
        <v>-51.483956534786302</v>
      </c>
      <c r="AD21">
        <v>-4.1406844808291203E-2</v>
      </c>
      <c r="AE21">
        <v>4.6482810736141099E-2</v>
      </c>
      <c r="AF21">
        <v>3.4700227311078198</v>
      </c>
      <c r="AG21">
        <v>146</v>
      </c>
      <c r="AH21">
        <v>29</v>
      </c>
      <c r="AI21">
        <f t="shared" si="22"/>
        <v>1</v>
      </c>
      <c r="AJ21">
        <f t="shared" si="23"/>
        <v>0</v>
      </c>
      <c r="AK21">
        <f t="shared" si="24"/>
        <v>52782.342858725737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305</v>
      </c>
      <c r="AS21">
        <v>263.68450000000001</v>
      </c>
      <c r="AT21">
        <v>311.06200000000001</v>
      </c>
      <c r="AU21">
        <f t="shared" si="27"/>
        <v>0.15230886447074854</v>
      </c>
      <c r="AV21">
        <v>0.5</v>
      </c>
      <c r="AW21">
        <f t="shared" si="28"/>
        <v>1849.1788255154388</v>
      </c>
      <c r="AX21">
        <f t="shared" si="29"/>
        <v>0.49897314093749529</v>
      </c>
      <c r="AY21">
        <f t="shared" si="30"/>
        <v>140.82316355880445</v>
      </c>
      <c r="AZ21">
        <f t="shared" si="31"/>
        <v>0.35131902964682282</v>
      </c>
      <c r="BA21">
        <f t="shared" si="32"/>
        <v>8.1061556635533751E-4</v>
      </c>
      <c r="BB21">
        <f t="shared" si="33"/>
        <v>-1</v>
      </c>
      <c r="BC21" t="s">
        <v>306</v>
      </c>
      <c r="BD21">
        <v>201.78</v>
      </c>
      <c r="BE21">
        <f t="shared" si="34"/>
        <v>109.28200000000001</v>
      </c>
      <c r="BF21">
        <f t="shared" si="35"/>
        <v>0.43353434234366128</v>
      </c>
      <c r="BG21">
        <f t="shared" si="36"/>
        <v>1.5415898503320449</v>
      </c>
      <c r="BH21">
        <f t="shared" si="37"/>
        <v>0.1523088644707486</v>
      </c>
      <c r="BI21" t="e">
        <f t="shared" si="38"/>
        <v>#DIV/0!</v>
      </c>
      <c r="BJ21">
        <v>5329</v>
      </c>
      <c r="BK21">
        <v>300</v>
      </c>
      <c r="BL21">
        <v>300</v>
      </c>
      <c r="BM21">
        <v>300</v>
      </c>
      <c r="BN21">
        <v>9870.0499999999993</v>
      </c>
      <c r="BO21">
        <v>298.90699999999998</v>
      </c>
      <c r="BP21">
        <v>-6.4019799999999998E-3</v>
      </c>
      <c r="BQ21">
        <v>1.0411999999999999</v>
      </c>
      <c r="BR21">
        <f t="shared" si="39"/>
        <v>2199.9919354838698</v>
      </c>
      <c r="BS21">
        <f t="shared" si="40"/>
        <v>1849.1788255154388</v>
      </c>
      <c r="BT21">
        <f t="shared" si="41"/>
        <v>0.84053891093411093</v>
      </c>
      <c r="BU21">
        <f t="shared" si="42"/>
        <v>0.19107782186822184</v>
      </c>
      <c r="BV21">
        <v>0.5</v>
      </c>
      <c r="BW21" t="s">
        <v>281</v>
      </c>
      <c r="BX21">
        <v>1595613740.3</v>
      </c>
      <c r="BY21">
        <v>49.595799999999997</v>
      </c>
      <c r="BZ21">
        <v>49.987238709677399</v>
      </c>
      <c r="CA21">
        <v>19.806254838709702</v>
      </c>
      <c r="CB21">
        <v>16.014258064516099</v>
      </c>
      <c r="CC21">
        <v>500.04467741935503</v>
      </c>
      <c r="CD21">
        <v>99.717070967741904</v>
      </c>
      <c r="CE21">
        <v>0.199960322580645</v>
      </c>
      <c r="CF21">
        <v>27.0850774193548</v>
      </c>
      <c r="CG21">
        <v>26.973512903225799</v>
      </c>
      <c r="CH21">
        <v>999.9</v>
      </c>
      <c r="CI21">
        <v>10013.7938709677</v>
      </c>
      <c r="CJ21">
        <v>0</v>
      </c>
      <c r="CK21">
        <v>264.43287096774202</v>
      </c>
      <c r="CL21">
        <v>2199.9919354838698</v>
      </c>
      <c r="CM21">
        <v>0.98199587096774199</v>
      </c>
      <c r="CN21">
        <v>1.8003961290322602E-2</v>
      </c>
      <c r="CO21">
        <v>0</v>
      </c>
      <c r="CP21">
        <v>263.67293548387102</v>
      </c>
      <c r="CQ21">
        <v>5.00054</v>
      </c>
      <c r="CR21">
        <v>7984.6932258064498</v>
      </c>
      <c r="CS21">
        <v>20590.419354838701</v>
      </c>
      <c r="CT21">
        <v>48.239645161290298</v>
      </c>
      <c r="CU21">
        <v>50.031999999999996</v>
      </c>
      <c r="CV21">
        <v>48.493774193548397</v>
      </c>
      <c r="CW21">
        <v>48.923129032257997</v>
      </c>
      <c r="CX21">
        <v>49.540064516129</v>
      </c>
      <c r="CY21">
        <v>2155.4719354838699</v>
      </c>
      <c r="CZ21">
        <v>39.520000000000003</v>
      </c>
      <c r="DA21">
        <v>0</v>
      </c>
      <c r="DB21">
        <v>118.40000009536701</v>
      </c>
      <c r="DC21">
        <v>263.68450000000001</v>
      </c>
      <c r="DD21">
        <v>-0.82888887274948297</v>
      </c>
      <c r="DE21">
        <v>-6.1548718077511797</v>
      </c>
      <c r="DF21">
        <v>7984.585</v>
      </c>
      <c r="DG21">
        <v>15</v>
      </c>
      <c r="DH21">
        <v>1595613776.8</v>
      </c>
      <c r="DI21" t="s">
        <v>307</v>
      </c>
      <c r="DJ21">
        <v>61</v>
      </c>
      <c r="DK21">
        <v>-0.46700000000000003</v>
      </c>
      <c r="DL21">
        <v>0.10100000000000001</v>
      </c>
      <c r="DM21">
        <v>50</v>
      </c>
      <c r="DN21">
        <v>16</v>
      </c>
      <c r="DO21">
        <v>0.28999999999999998</v>
      </c>
      <c r="DP21">
        <v>0.02</v>
      </c>
      <c r="DQ21">
        <v>49.582074509803903</v>
      </c>
      <c r="DR21">
        <v>-6.5647058823533902E-2</v>
      </c>
      <c r="DS21">
        <v>1.5322453639806E-2</v>
      </c>
      <c r="DT21">
        <v>1</v>
      </c>
      <c r="DU21">
        <v>19.804556862745098</v>
      </c>
      <c r="DV21">
        <v>7.3518190045248497E-2</v>
      </c>
      <c r="DW21">
        <v>9.9933164901027296E-3</v>
      </c>
      <c r="DX21">
        <v>1</v>
      </c>
      <c r="DY21">
        <v>2</v>
      </c>
      <c r="DZ21">
        <v>2</v>
      </c>
      <c r="EA21" t="s">
        <v>283</v>
      </c>
      <c r="EB21">
        <v>1.86676</v>
      </c>
      <c r="EC21">
        <v>1.86327</v>
      </c>
      <c r="ED21">
        <v>1.86897</v>
      </c>
      <c r="EE21">
        <v>1.8668899999999999</v>
      </c>
      <c r="EF21">
        <v>1.8716299999999999</v>
      </c>
      <c r="EG21">
        <v>1.8640099999999999</v>
      </c>
      <c r="EH21">
        <v>1.8655600000000001</v>
      </c>
      <c r="EI21">
        <v>1.8654500000000001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-0.46700000000000003</v>
      </c>
      <c r="EX21">
        <v>0.10100000000000001</v>
      </c>
      <c r="EY21">
        <v>2</v>
      </c>
      <c r="EZ21">
        <v>336.63299999999998</v>
      </c>
      <c r="FA21">
        <v>470.43</v>
      </c>
      <c r="FB21">
        <v>22.392700000000001</v>
      </c>
      <c r="FC21">
        <v>34.418399999999998</v>
      </c>
      <c r="FD21">
        <v>29.9999</v>
      </c>
      <c r="FE21">
        <v>34.585799999999999</v>
      </c>
      <c r="FF21">
        <v>34.616100000000003</v>
      </c>
      <c r="FG21">
        <v>5.6130599999999999</v>
      </c>
      <c r="FH21">
        <v>52.536999999999999</v>
      </c>
      <c r="FI21">
        <v>0</v>
      </c>
      <c r="FJ21">
        <v>22.404800000000002</v>
      </c>
      <c r="FK21">
        <v>50</v>
      </c>
      <c r="FL21">
        <v>15.9566</v>
      </c>
      <c r="FM21">
        <v>100.67</v>
      </c>
      <c r="FN21">
        <v>101.075</v>
      </c>
    </row>
    <row r="22" spans="1:170" x14ac:dyDescent="0.25">
      <c r="A22">
        <v>6</v>
      </c>
      <c r="B22">
        <v>1595613871.8</v>
      </c>
      <c r="C22">
        <v>606</v>
      </c>
      <c r="D22" t="s">
        <v>308</v>
      </c>
      <c r="E22" t="s">
        <v>309</v>
      </c>
      <c r="G22">
        <v>1595613863.8</v>
      </c>
      <c r="H22">
        <f t="shared" si="0"/>
        <v>1.0006533354333958E-2</v>
      </c>
      <c r="I22">
        <f t="shared" si="1"/>
        <v>34.220032666743755</v>
      </c>
      <c r="J22">
        <f t="shared" si="2"/>
        <v>384.781096774194</v>
      </c>
      <c r="K22">
        <f t="shared" si="3"/>
        <v>287.88486663826069</v>
      </c>
      <c r="L22">
        <f t="shared" si="4"/>
        <v>28.764319927244305</v>
      </c>
      <c r="M22">
        <f t="shared" si="5"/>
        <v>38.445808905531074</v>
      </c>
      <c r="N22">
        <f t="shared" si="6"/>
        <v>0.67935780740953644</v>
      </c>
      <c r="O22">
        <f t="shared" si="7"/>
        <v>3.3911264550517837</v>
      </c>
      <c r="P22">
        <f t="shared" si="8"/>
        <v>0.61182091009368189</v>
      </c>
      <c r="Q22">
        <f t="shared" si="9"/>
        <v>0.38789496571354598</v>
      </c>
      <c r="R22">
        <f t="shared" si="10"/>
        <v>353.3368094799556</v>
      </c>
      <c r="S22">
        <f t="shared" si="11"/>
        <v>26.935629944862541</v>
      </c>
      <c r="T22">
        <f t="shared" si="12"/>
        <v>27.0449967741935</v>
      </c>
      <c r="U22">
        <f t="shared" si="13"/>
        <v>3.5886295131718264</v>
      </c>
      <c r="V22">
        <f t="shared" si="14"/>
        <v>54.627160534584917</v>
      </c>
      <c r="W22">
        <f t="shared" si="15"/>
        <v>2.0001727533263107</v>
      </c>
      <c r="X22">
        <f t="shared" si="16"/>
        <v>3.6614986643136693</v>
      </c>
      <c r="Y22">
        <f t="shared" si="17"/>
        <v>1.5884567598455157</v>
      </c>
      <c r="Z22">
        <f t="shared" si="18"/>
        <v>-441.28812092612753</v>
      </c>
      <c r="AA22">
        <f t="shared" si="19"/>
        <v>62.675060455924516</v>
      </c>
      <c r="AB22">
        <f t="shared" si="20"/>
        <v>3.9972875658755687</v>
      </c>
      <c r="AC22">
        <f t="shared" si="21"/>
        <v>-21.278963424371831</v>
      </c>
      <c r="AD22">
        <v>-4.1310272201364601E-2</v>
      </c>
      <c r="AE22">
        <v>4.6374399524641001E-2</v>
      </c>
      <c r="AF22">
        <v>3.4636187448079601</v>
      </c>
      <c r="AG22">
        <v>146</v>
      </c>
      <c r="AH22">
        <v>29</v>
      </c>
      <c r="AI22">
        <f t="shared" si="22"/>
        <v>1</v>
      </c>
      <c r="AJ22">
        <f t="shared" si="23"/>
        <v>0</v>
      </c>
      <c r="AK22">
        <f t="shared" si="24"/>
        <v>52611.173163042222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310</v>
      </c>
      <c r="AS22">
        <v>261.13592307692301</v>
      </c>
      <c r="AT22">
        <v>351.13600000000002</v>
      </c>
      <c r="AU22">
        <f t="shared" si="27"/>
        <v>0.25631116411611743</v>
      </c>
      <c r="AV22">
        <v>0.5</v>
      </c>
      <c r="AW22">
        <f t="shared" si="28"/>
        <v>1849.1801513219632</v>
      </c>
      <c r="AX22">
        <f t="shared" si="29"/>
        <v>34.220032666743755</v>
      </c>
      <c r="AY22">
        <f t="shared" si="30"/>
        <v>236.98275862287528</v>
      </c>
      <c r="AZ22">
        <f t="shared" si="31"/>
        <v>0.48396063063884087</v>
      </c>
      <c r="BA22">
        <f t="shared" si="32"/>
        <v>1.9046296079679014E-2</v>
      </c>
      <c r="BB22">
        <f t="shared" si="33"/>
        <v>-1</v>
      </c>
      <c r="BC22" t="s">
        <v>311</v>
      </c>
      <c r="BD22">
        <v>181.2</v>
      </c>
      <c r="BE22">
        <f t="shared" si="34"/>
        <v>169.93600000000004</v>
      </c>
      <c r="BF22">
        <f t="shared" si="35"/>
        <v>0.52961160038530386</v>
      </c>
      <c r="BG22">
        <f t="shared" si="36"/>
        <v>1.9378366445916118</v>
      </c>
      <c r="BH22">
        <f t="shared" si="37"/>
        <v>0.25631116411611743</v>
      </c>
      <c r="BI22" t="e">
        <f t="shared" si="38"/>
        <v>#DIV/0!</v>
      </c>
      <c r="BJ22">
        <v>5331</v>
      </c>
      <c r="BK22">
        <v>300</v>
      </c>
      <c r="BL22">
        <v>300</v>
      </c>
      <c r="BM22">
        <v>300</v>
      </c>
      <c r="BN22">
        <v>9868.5400000000009</v>
      </c>
      <c r="BO22">
        <v>323.07100000000003</v>
      </c>
      <c r="BP22">
        <v>-6.40092E-3</v>
      </c>
      <c r="BQ22">
        <v>1.4358500000000001</v>
      </c>
      <c r="BR22">
        <f t="shared" si="39"/>
        <v>2199.9938709677399</v>
      </c>
      <c r="BS22">
        <f t="shared" si="40"/>
        <v>1849.1801513219632</v>
      </c>
      <c r="BT22">
        <f t="shared" si="41"/>
        <v>0.84053877409601163</v>
      </c>
      <c r="BU22">
        <f t="shared" si="42"/>
        <v>0.19107754819202344</v>
      </c>
      <c r="BV22">
        <v>0.5</v>
      </c>
      <c r="BW22" t="s">
        <v>281</v>
      </c>
      <c r="BX22">
        <v>1595613863.8</v>
      </c>
      <c r="BY22">
        <v>384.781096774194</v>
      </c>
      <c r="BZ22">
        <v>400.00738709677398</v>
      </c>
      <c r="CA22">
        <v>20.0185322580645</v>
      </c>
      <c r="CB22">
        <v>16.0965225806452</v>
      </c>
      <c r="CC22">
        <v>500.060838709677</v>
      </c>
      <c r="CD22">
        <v>99.716048387096805</v>
      </c>
      <c r="CE22">
        <v>0.20000577419354801</v>
      </c>
      <c r="CF22">
        <v>27.387816129032299</v>
      </c>
      <c r="CG22">
        <v>27.0449967741935</v>
      </c>
      <c r="CH22">
        <v>999.9</v>
      </c>
      <c r="CI22">
        <v>9990.5412903225806</v>
      </c>
      <c r="CJ22">
        <v>0</v>
      </c>
      <c r="CK22">
        <v>265.499967741935</v>
      </c>
      <c r="CL22">
        <v>2199.9938709677399</v>
      </c>
      <c r="CM22">
        <v>0.98199922580645205</v>
      </c>
      <c r="CN22">
        <v>1.8001112903225799E-2</v>
      </c>
      <c r="CO22">
        <v>0</v>
      </c>
      <c r="CP22">
        <v>261.11909677419402</v>
      </c>
      <c r="CQ22">
        <v>5.00054</v>
      </c>
      <c r="CR22">
        <v>7961.17</v>
      </c>
      <c r="CS22">
        <v>20590.4774193548</v>
      </c>
      <c r="CT22">
        <v>48.5843548387097</v>
      </c>
      <c r="CU22">
        <v>50.508000000000003</v>
      </c>
      <c r="CV22">
        <v>48.908999999999999</v>
      </c>
      <c r="CW22">
        <v>49.3384838709677</v>
      </c>
      <c r="CX22">
        <v>49.887064516129001</v>
      </c>
      <c r="CY22">
        <v>2155.4838709677401</v>
      </c>
      <c r="CZ22">
        <v>39.51</v>
      </c>
      <c r="DA22">
        <v>0</v>
      </c>
      <c r="DB22">
        <v>123.19999980926499</v>
      </c>
      <c r="DC22">
        <v>261.13592307692301</v>
      </c>
      <c r="DD22">
        <v>-4.0547013383937201E-2</v>
      </c>
      <c r="DE22">
        <v>15.358974362129301</v>
      </c>
      <c r="DF22">
        <v>7961.3803846153896</v>
      </c>
      <c r="DG22">
        <v>15</v>
      </c>
      <c r="DH22">
        <v>1595613899.3</v>
      </c>
      <c r="DI22" t="s">
        <v>312</v>
      </c>
      <c r="DJ22">
        <v>62</v>
      </c>
      <c r="DK22">
        <v>-0.42399999999999999</v>
      </c>
      <c r="DL22">
        <v>0.1</v>
      </c>
      <c r="DM22">
        <v>400</v>
      </c>
      <c r="DN22">
        <v>16</v>
      </c>
      <c r="DO22">
        <v>0.11</v>
      </c>
      <c r="DP22">
        <v>0.02</v>
      </c>
      <c r="DQ22">
        <v>384.71217647058802</v>
      </c>
      <c r="DR22">
        <v>0.29051945701354298</v>
      </c>
      <c r="DS22">
        <v>4.0303119074719299E-2</v>
      </c>
      <c r="DT22">
        <v>1</v>
      </c>
      <c r="DU22">
        <v>20.015803921568601</v>
      </c>
      <c r="DV22">
        <v>4.3726696832579598E-2</v>
      </c>
      <c r="DW22">
        <v>5.7605814243696599E-3</v>
      </c>
      <c r="DX22">
        <v>1</v>
      </c>
      <c r="DY22">
        <v>2</v>
      </c>
      <c r="DZ22">
        <v>2</v>
      </c>
      <c r="EA22" t="s">
        <v>283</v>
      </c>
      <c r="EB22">
        <v>1.86676</v>
      </c>
      <c r="EC22">
        <v>1.86327</v>
      </c>
      <c r="ED22">
        <v>1.86893</v>
      </c>
      <c r="EE22">
        <v>1.8669100000000001</v>
      </c>
      <c r="EF22">
        <v>1.87161</v>
      </c>
      <c r="EG22">
        <v>1.86402</v>
      </c>
      <c r="EH22">
        <v>1.86554</v>
      </c>
      <c r="EI22">
        <v>1.8654999999999999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-0.42399999999999999</v>
      </c>
      <c r="EX22">
        <v>0.1</v>
      </c>
      <c r="EY22">
        <v>2</v>
      </c>
      <c r="EZ22">
        <v>336.61599999999999</v>
      </c>
      <c r="FA22">
        <v>471.267</v>
      </c>
      <c r="FB22">
        <v>22.783999999999999</v>
      </c>
      <c r="FC22">
        <v>34.449599999999997</v>
      </c>
      <c r="FD22">
        <v>30.001000000000001</v>
      </c>
      <c r="FE22">
        <v>34.5764</v>
      </c>
      <c r="FF22">
        <v>34.600499999999997</v>
      </c>
      <c r="FG22">
        <v>22.089200000000002</v>
      </c>
      <c r="FH22">
        <v>52.168100000000003</v>
      </c>
      <c r="FI22">
        <v>0</v>
      </c>
      <c r="FJ22">
        <v>22.7165</v>
      </c>
      <c r="FK22">
        <v>400</v>
      </c>
      <c r="FL22">
        <v>16.228300000000001</v>
      </c>
      <c r="FM22">
        <v>100.66</v>
      </c>
      <c r="FN22">
        <v>101.066</v>
      </c>
    </row>
    <row r="23" spans="1:170" x14ac:dyDescent="0.25">
      <c r="A23">
        <v>7</v>
      </c>
      <c r="B23">
        <v>1595613990.8</v>
      </c>
      <c r="C23">
        <v>725</v>
      </c>
      <c r="D23" t="s">
        <v>313</v>
      </c>
      <c r="E23" t="s">
        <v>314</v>
      </c>
      <c r="G23">
        <v>1595613982.8</v>
      </c>
      <c r="H23">
        <f t="shared" si="0"/>
        <v>9.6718907976750864E-3</v>
      </c>
      <c r="I23">
        <f t="shared" si="1"/>
        <v>35.257553016665931</v>
      </c>
      <c r="J23">
        <f t="shared" si="2"/>
        <v>384.40125806451601</v>
      </c>
      <c r="K23">
        <f t="shared" si="3"/>
        <v>283.07516285525338</v>
      </c>
      <c r="L23">
        <f t="shared" si="4"/>
        <v>28.282994442970164</v>
      </c>
      <c r="M23">
        <f t="shared" si="5"/>
        <v>38.406826427469746</v>
      </c>
      <c r="N23">
        <f t="shared" si="6"/>
        <v>0.66387868307109521</v>
      </c>
      <c r="O23">
        <f t="shared" si="7"/>
        <v>3.3929935140494716</v>
      </c>
      <c r="P23">
        <f t="shared" si="8"/>
        <v>0.59925974581319896</v>
      </c>
      <c r="Q23">
        <f t="shared" si="9"/>
        <v>0.37981758266479904</v>
      </c>
      <c r="R23">
        <f t="shared" si="10"/>
        <v>353.33804508836715</v>
      </c>
      <c r="S23">
        <f t="shared" si="11"/>
        <v>26.865536827107814</v>
      </c>
      <c r="T23">
        <f t="shared" si="12"/>
        <v>27.012774193548399</v>
      </c>
      <c r="U23">
        <f t="shared" si="13"/>
        <v>3.5818458726426265</v>
      </c>
      <c r="V23">
        <f t="shared" si="14"/>
        <v>55.489719763066304</v>
      </c>
      <c r="W23">
        <f t="shared" si="15"/>
        <v>2.0144321623511514</v>
      </c>
      <c r="X23">
        <f t="shared" si="16"/>
        <v>3.6302799346482697</v>
      </c>
      <c r="Y23">
        <f t="shared" si="17"/>
        <v>1.5674137102914751</v>
      </c>
      <c r="Z23">
        <f t="shared" si="18"/>
        <v>-426.53038417747132</v>
      </c>
      <c r="AA23">
        <f t="shared" si="19"/>
        <v>41.872270031622186</v>
      </c>
      <c r="AB23">
        <f t="shared" si="20"/>
        <v>2.6666801995605836</v>
      </c>
      <c r="AC23">
        <f t="shared" si="21"/>
        <v>-28.653388857921406</v>
      </c>
      <c r="AD23">
        <v>-4.1339184520018897E-2</v>
      </c>
      <c r="AE23">
        <v>4.64068561351886E-2</v>
      </c>
      <c r="AF23">
        <v>3.46553653985917</v>
      </c>
      <c r="AG23">
        <v>144</v>
      </c>
      <c r="AH23">
        <v>29</v>
      </c>
      <c r="AI23">
        <f t="shared" si="22"/>
        <v>1</v>
      </c>
      <c r="AJ23">
        <f t="shared" si="23"/>
        <v>0</v>
      </c>
      <c r="AK23">
        <f t="shared" si="24"/>
        <v>52672.061335570907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315</v>
      </c>
      <c r="AS23">
        <v>261.988807692308</v>
      </c>
      <c r="AT23">
        <v>357.48399999999998</v>
      </c>
      <c r="AU23">
        <f t="shared" si="27"/>
        <v>0.26713137457254588</v>
      </c>
      <c r="AV23">
        <v>0.5</v>
      </c>
      <c r="AW23">
        <f t="shared" si="28"/>
        <v>1849.186654547776</v>
      </c>
      <c r="AX23">
        <f t="shared" si="29"/>
        <v>35.257553016665931</v>
      </c>
      <c r="AY23">
        <f t="shared" si="30"/>
        <v>246.98788643527749</v>
      </c>
      <c r="AZ23">
        <f t="shared" si="31"/>
        <v>0.4855713822157075</v>
      </c>
      <c r="BA23">
        <f t="shared" si="32"/>
        <v>1.9607297579990822E-2</v>
      </c>
      <c r="BB23">
        <f t="shared" si="33"/>
        <v>-1</v>
      </c>
      <c r="BC23" t="s">
        <v>316</v>
      </c>
      <c r="BD23">
        <v>183.9</v>
      </c>
      <c r="BE23">
        <f t="shared" si="34"/>
        <v>173.58399999999997</v>
      </c>
      <c r="BF23">
        <f t="shared" si="35"/>
        <v>0.55013821727631573</v>
      </c>
      <c r="BG23">
        <f t="shared" si="36"/>
        <v>1.9439042958129416</v>
      </c>
      <c r="BH23">
        <f t="shared" si="37"/>
        <v>0.26713137457254588</v>
      </c>
      <c r="BI23" t="e">
        <f t="shared" si="38"/>
        <v>#DIV/0!</v>
      </c>
      <c r="BJ23">
        <v>5333</v>
      </c>
      <c r="BK23">
        <v>300</v>
      </c>
      <c r="BL23">
        <v>300</v>
      </c>
      <c r="BM23">
        <v>300</v>
      </c>
      <c r="BN23">
        <v>9866.82</v>
      </c>
      <c r="BO23">
        <v>328.03500000000003</v>
      </c>
      <c r="BP23">
        <v>-6.3995800000000002E-3</v>
      </c>
      <c r="BQ23">
        <v>0.89034999999999997</v>
      </c>
      <c r="BR23">
        <f t="shared" si="39"/>
        <v>2200.0016129032301</v>
      </c>
      <c r="BS23">
        <f t="shared" si="40"/>
        <v>1849.186654547776</v>
      </c>
      <c r="BT23">
        <f t="shared" si="41"/>
        <v>0.84053877220003426</v>
      </c>
      <c r="BU23">
        <f t="shared" si="42"/>
        <v>0.19107754440006869</v>
      </c>
      <c r="BV23">
        <v>0.5</v>
      </c>
      <c r="BW23" t="s">
        <v>281</v>
      </c>
      <c r="BX23">
        <v>1595613982.8</v>
      </c>
      <c r="BY23">
        <v>384.40125806451601</v>
      </c>
      <c r="BZ23">
        <v>399.98954838709699</v>
      </c>
      <c r="CA23">
        <v>20.161787096774201</v>
      </c>
      <c r="CB23">
        <v>16.371490322580598</v>
      </c>
      <c r="CC23">
        <v>500.06048387096803</v>
      </c>
      <c r="CD23">
        <v>99.713374193548404</v>
      </c>
      <c r="CE23">
        <v>0.19999919354838699</v>
      </c>
      <c r="CF23">
        <v>27.241680645161299</v>
      </c>
      <c r="CG23">
        <v>27.012774193548399</v>
      </c>
      <c r="CH23">
        <v>999.9</v>
      </c>
      <c r="CI23">
        <v>9997.8016129032294</v>
      </c>
      <c r="CJ23">
        <v>0</v>
      </c>
      <c r="CK23">
        <v>266.12735483871</v>
      </c>
      <c r="CL23">
        <v>2200.0016129032301</v>
      </c>
      <c r="CM23">
        <v>0.98200200000000004</v>
      </c>
      <c r="CN23">
        <v>1.7998199999999999E-2</v>
      </c>
      <c r="CO23">
        <v>0</v>
      </c>
      <c r="CP23">
        <v>261.98483870967698</v>
      </c>
      <c r="CQ23">
        <v>5.00054</v>
      </c>
      <c r="CR23">
        <v>7992.3493548387096</v>
      </c>
      <c r="CS23">
        <v>20590.558064516099</v>
      </c>
      <c r="CT23">
        <v>49.040064516129</v>
      </c>
      <c r="CU23">
        <v>50.953258064516099</v>
      </c>
      <c r="CV23">
        <v>49.336387096774203</v>
      </c>
      <c r="CW23">
        <v>49.804129032257997</v>
      </c>
      <c r="CX23">
        <v>50.292000000000002</v>
      </c>
      <c r="CY23">
        <v>2155.4916129032299</v>
      </c>
      <c r="CZ23">
        <v>39.51</v>
      </c>
      <c r="DA23">
        <v>0</v>
      </c>
      <c r="DB23">
        <v>118.299999952316</v>
      </c>
      <c r="DC23">
        <v>261.988807692308</v>
      </c>
      <c r="DD23">
        <v>0.91736753118237402</v>
      </c>
      <c r="DE23">
        <v>29.196581197136101</v>
      </c>
      <c r="DF23">
        <v>7992.4938461538504</v>
      </c>
      <c r="DG23">
        <v>15</v>
      </c>
      <c r="DH23">
        <v>1595614023.3</v>
      </c>
      <c r="DI23" t="s">
        <v>317</v>
      </c>
      <c r="DJ23">
        <v>63</v>
      </c>
      <c r="DK23">
        <v>-0.48199999999999998</v>
      </c>
      <c r="DL23">
        <v>0.10299999999999999</v>
      </c>
      <c r="DM23">
        <v>400</v>
      </c>
      <c r="DN23">
        <v>16</v>
      </c>
      <c r="DO23">
        <v>0.09</v>
      </c>
      <c r="DP23">
        <v>0.02</v>
      </c>
      <c r="DQ23">
        <v>384.46674509803898</v>
      </c>
      <c r="DR23">
        <v>-0.13611583710399</v>
      </c>
      <c r="DS23">
        <v>2.4983008451039599E-2</v>
      </c>
      <c r="DT23">
        <v>1</v>
      </c>
      <c r="DU23">
        <v>20.1574960784314</v>
      </c>
      <c r="DV23">
        <v>5.3864253393700098E-3</v>
      </c>
      <c r="DW23">
        <v>5.92740265785607E-3</v>
      </c>
      <c r="DX23">
        <v>1</v>
      </c>
      <c r="DY23">
        <v>2</v>
      </c>
      <c r="DZ23">
        <v>2</v>
      </c>
      <c r="EA23" t="s">
        <v>283</v>
      </c>
      <c r="EB23">
        <v>1.86677</v>
      </c>
      <c r="EC23">
        <v>1.86328</v>
      </c>
      <c r="ED23">
        <v>1.86893</v>
      </c>
      <c r="EE23">
        <v>1.8668199999999999</v>
      </c>
      <c r="EF23">
        <v>1.8715299999999999</v>
      </c>
      <c r="EG23">
        <v>1.8640099999999999</v>
      </c>
      <c r="EH23">
        <v>1.8655299999999999</v>
      </c>
      <c r="EI23">
        <v>1.8654200000000001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-0.48199999999999998</v>
      </c>
      <c r="EX23">
        <v>0.10299999999999999</v>
      </c>
      <c r="EY23">
        <v>2</v>
      </c>
      <c r="EZ23">
        <v>338</v>
      </c>
      <c r="FA23">
        <v>470.94299999999998</v>
      </c>
      <c r="FB23">
        <v>21.334800000000001</v>
      </c>
      <c r="FC23">
        <v>34.549300000000002</v>
      </c>
      <c r="FD23">
        <v>30.0002</v>
      </c>
      <c r="FE23">
        <v>34.621699999999997</v>
      </c>
      <c r="FF23">
        <v>34.638300000000001</v>
      </c>
      <c r="FG23">
        <v>22.1004</v>
      </c>
      <c r="FH23">
        <v>51.118499999999997</v>
      </c>
      <c r="FI23">
        <v>0</v>
      </c>
      <c r="FJ23">
        <v>22.242599999999999</v>
      </c>
      <c r="FK23">
        <v>400</v>
      </c>
      <c r="FL23">
        <v>16.1553</v>
      </c>
      <c r="FM23">
        <v>100.645</v>
      </c>
      <c r="FN23">
        <v>101.045</v>
      </c>
    </row>
    <row r="24" spans="1:170" x14ac:dyDescent="0.25">
      <c r="A24">
        <v>8</v>
      </c>
      <c r="B24">
        <v>1595614129.8</v>
      </c>
      <c r="C24">
        <v>864</v>
      </c>
      <c r="D24" t="s">
        <v>318</v>
      </c>
      <c r="E24" t="s">
        <v>319</v>
      </c>
      <c r="G24">
        <v>1595614121.80323</v>
      </c>
      <c r="H24">
        <f t="shared" si="0"/>
        <v>8.8957731204043246E-3</v>
      </c>
      <c r="I24">
        <f t="shared" si="1"/>
        <v>40.796711247312231</v>
      </c>
      <c r="J24">
        <f t="shared" si="2"/>
        <v>481.95835483871002</v>
      </c>
      <c r="K24">
        <f t="shared" si="3"/>
        <v>350.75722025108541</v>
      </c>
      <c r="L24">
        <f t="shared" si="4"/>
        <v>35.045181028203821</v>
      </c>
      <c r="M24">
        <f t="shared" si="5"/>
        <v>48.153870592562996</v>
      </c>
      <c r="N24">
        <f t="shared" si="6"/>
        <v>0.58706460646937497</v>
      </c>
      <c r="O24">
        <f t="shared" si="7"/>
        <v>3.3937918799830187</v>
      </c>
      <c r="P24">
        <f t="shared" si="8"/>
        <v>0.53592895797663676</v>
      </c>
      <c r="Q24">
        <f t="shared" si="9"/>
        <v>0.33917797892597346</v>
      </c>
      <c r="R24">
        <f t="shared" si="10"/>
        <v>353.33580259811299</v>
      </c>
      <c r="S24">
        <f t="shared" si="11"/>
        <v>26.817021967490909</v>
      </c>
      <c r="T24">
        <f t="shared" si="12"/>
        <v>27.016183870967701</v>
      </c>
      <c r="U24">
        <f t="shared" si="13"/>
        <v>3.5825631630838846</v>
      </c>
      <c r="V24">
        <f t="shared" si="14"/>
        <v>54.991045742768648</v>
      </c>
      <c r="W24">
        <f t="shared" si="15"/>
        <v>1.9702139756429886</v>
      </c>
      <c r="X24">
        <f t="shared" si="16"/>
        <v>3.582790523495496</v>
      </c>
      <c r="Y24">
        <f t="shared" si="17"/>
        <v>1.6123491874408959</v>
      </c>
      <c r="Z24">
        <f t="shared" si="18"/>
        <v>-392.30359460983072</v>
      </c>
      <c r="AA24">
        <f t="shared" si="19"/>
        <v>0.19772143911206158</v>
      </c>
      <c r="AB24">
        <f t="shared" si="20"/>
        <v>1.2575236420706605E-2</v>
      </c>
      <c r="AC24">
        <f t="shared" si="21"/>
        <v>-38.757495336184945</v>
      </c>
      <c r="AD24">
        <v>-4.1351549796929801E-2</v>
      </c>
      <c r="AE24">
        <v>4.6420737241778899E-2</v>
      </c>
      <c r="AF24">
        <v>3.4663566046871801</v>
      </c>
      <c r="AG24">
        <v>146</v>
      </c>
      <c r="AH24">
        <v>29</v>
      </c>
      <c r="AI24">
        <f t="shared" si="22"/>
        <v>1</v>
      </c>
      <c r="AJ24">
        <f t="shared" si="23"/>
        <v>0</v>
      </c>
      <c r="AK24">
        <f t="shared" si="24"/>
        <v>52726.573987045165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320</v>
      </c>
      <c r="AS24">
        <v>270.469615384615</v>
      </c>
      <c r="AT24">
        <v>374.25700000000001</v>
      </c>
      <c r="AU24">
        <f t="shared" si="27"/>
        <v>0.27731581404057903</v>
      </c>
      <c r="AV24">
        <v>0.5</v>
      </c>
      <c r="AW24">
        <f t="shared" si="28"/>
        <v>1849.1774222897816</v>
      </c>
      <c r="AX24">
        <f t="shared" si="29"/>
        <v>40.796711247312231</v>
      </c>
      <c r="AY24">
        <f t="shared" si="30"/>
        <v>256.4030710838752</v>
      </c>
      <c r="AZ24">
        <f t="shared" si="31"/>
        <v>0.50643541737362296</v>
      </c>
      <c r="BA24">
        <f t="shared" si="32"/>
        <v>2.260286695235366E-2</v>
      </c>
      <c r="BB24">
        <f t="shared" si="33"/>
        <v>-1</v>
      </c>
      <c r="BC24" t="s">
        <v>321</v>
      </c>
      <c r="BD24">
        <v>184.72</v>
      </c>
      <c r="BE24">
        <f t="shared" si="34"/>
        <v>189.53700000000001</v>
      </c>
      <c r="BF24">
        <f t="shared" si="35"/>
        <v>0.54758376789431618</v>
      </c>
      <c r="BG24">
        <f t="shared" si="36"/>
        <v>2.0260773061931574</v>
      </c>
      <c r="BH24">
        <f t="shared" si="37"/>
        <v>0.27731581404057909</v>
      </c>
      <c r="BI24" t="e">
        <f t="shared" si="38"/>
        <v>#DIV/0!</v>
      </c>
      <c r="BJ24">
        <v>5335</v>
      </c>
      <c r="BK24">
        <v>300</v>
      </c>
      <c r="BL24">
        <v>300</v>
      </c>
      <c r="BM24">
        <v>300</v>
      </c>
      <c r="BN24">
        <v>9865.64</v>
      </c>
      <c r="BO24">
        <v>344.23</v>
      </c>
      <c r="BP24">
        <v>-6.3985700000000001E-3</v>
      </c>
      <c r="BQ24">
        <v>1.28616</v>
      </c>
      <c r="BR24">
        <f t="shared" si="39"/>
        <v>2199.99096774194</v>
      </c>
      <c r="BS24">
        <f t="shared" si="40"/>
        <v>1849.1774222897816</v>
      </c>
      <c r="BT24">
        <f t="shared" si="41"/>
        <v>0.84053864284168778</v>
      </c>
      <c r="BU24">
        <f t="shared" si="42"/>
        <v>0.19107728568337576</v>
      </c>
      <c r="BV24">
        <v>0.5</v>
      </c>
      <c r="BW24" t="s">
        <v>281</v>
      </c>
      <c r="BX24">
        <v>1595614121.80323</v>
      </c>
      <c r="BY24">
        <v>481.95835483871002</v>
      </c>
      <c r="BZ24">
        <v>499.98964516129001</v>
      </c>
      <c r="CA24">
        <v>19.7193096774194</v>
      </c>
      <c r="CB24">
        <v>16.231622580645201</v>
      </c>
      <c r="CC24">
        <v>500.06519354838701</v>
      </c>
      <c r="CD24">
        <v>99.712945161290307</v>
      </c>
      <c r="CE24">
        <v>0.199983225806452</v>
      </c>
      <c r="CF24">
        <v>27.017264516129</v>
      </c>
      <c r="CG24">
        <v>27.016183870967701</v>
      </c>
      <c r="CH24">
        <v>999.9</v>
      </c>
      <c r="CI24">
        <v>10000.835161290301</v>
      </c>
      <c r="CJ24">
        <v>0</v>
      </c>
      <c r="CK24">
        <v>266.65887096774202</v>
      </c>
      <c r="CL24">
        <v>2199.99096774194</v>
      </c>
      <c r="CM24">
        <v>0.98200354838709702</v>
      </c>
      <c r="CN24">
        <v>1.7996574193548401E-2</v>
      </c>
      <c r="CO24">
        <v>0</v>
      </c>
      <c r="CP24">
        <v>270.46009677419403</v>
      </c>
      <c r="CQ24">
        <v>5.00054</v>
      </c>
      <c r="CR24">
        <v>8201.7887096774193</v>
      </c>
      <c r="CS24">
        <v>20590.4806451613</v>
      </c>
      <c r="CT24">
        <v>49.425129032258099</v>
      </c>
      <c r="CU24">
        <v>51.412999999999997</v>
      </c>
      <c r="CV24">
        <v>49.762</v>
      </c>
      <c r="CW24">
        <v>50.1973225806451</v>
      </c>
      <c r="CX24">
        <v>50.671193548387102</v>
      </c>
      <c r="CY24">
        <v>2155.4906451612901</v>
      </c>
      <c r="CZ24">
        <v>39.500322580645197</v>
      </c>
      <c r="DA24">
        <v>0</v>
      </c>
      <c r="DB24">
        <v>138.5</v>
      </c>
      <c r="DC24">
        <v>270.469615384615</v>
      </c>
      <c r="DD24">
        <v>-0.70659827616276805</v>
      </c>
      <c r="DE24">
        <v>-24.980512805474302</v>
      </c>
      <c r="DF24">
        <v>8201.3384615384603</v>
      </c>
      <c r="DG24">
        <v>15</v>
      </c>
      <c r="DH24">
        <v>1595614161.4000001</v>
      </c>
      <c r="DI24" t="s">
        <v>322</v>
      </c>
      <c r="DJ24">
        <v>64</v>
      </c>
      <c r="DK24">
        <v>-0.48199999999999998</v>
      </c>
      <c r="DL24">
        <v>0.10299999999999999</v>
      </c>
      <c r="DM24">
        <v>500</v>
      </c>
      <c r="DN24">
        <v>16</v>
      </c>
      <c r="DO24">
        <v>0.16</v>
      </c>
      <c r="DP24">
        <v>0.03</v>
      </c>
      <c r="DQ24">
        <v>481.92923529411797</v>
      </c>
      <c r="DR24">
        <v>0.299794336556443</v>
      </c>
      <c r="DS24">
        <v>3.8833272693022697E-2</v>
      </c>
      <c r="DT24">
        <v>1</v>
      </c>
      <c r="DU24">
        <v>19.7071803921569</v>
      </c>
      <c r="DV24">
        <v>0.14003109992172899</v>
      </c>
      <c r="DW24">
        <v>1.8312772994502301E-2</v>
      </c>
      <c r="DX24">
        <v>1</v>
      </c>
      <c r="DY24">
        <v>2</v>
      </c>
      <c r="DZ24">
        <v>2</v>
      </c>
      <c r="EA24" t="s">
        <v>283</v>
      </c>
      <c r="EB24">
        <v>1.86676</v>
      </c>
      <c r="EC24">
        <v>1.8632599999999999</v>
      </c>
      <c r="ED24">
        <v>1.8689100000000001</v>
      </c>
      <c r="EE24">
        <v>1.8668800000000001</v>
      </c>
      <c r="EF24">
        <v>1.87155</v>
      </c>
      <c r="EG24">
        <v>1.8640099999999999</v>
      </c>
      <c r="EH24">
        <v>1.86554</v>
      </c>
      <c r="EI24">
        <v>1.86547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-0.48199999999999998</v>
      </c>
      <c r="EX24">
        <v>0.10299999999999999</v>
      </c>
      <c r="EY24">
        <v>2</v>
      </c>
      <c r="EZ24">
        <v>336.654</v>
      </c>
      <c r="FA24">
        <v>470.44400000000002</v>
      </c>
      <c r="FB24">
        <v>21.9206</v>
      </c>
      <c r="FC24">
        <v>34.731499999999997</v>
      </c>
      <c r="FD24">
        <v>30.000599999999999</v>
      </c>
      <c r="FE24">
        <v>34.735300000000002</v>
      </c>
      <c r="FF24">
        <v>34.741599999999998</v>
      </c>
      <c r="FG24">
        <v>26.423100000000002</v>
      </c>
      <c r="FH24">
        <v>51.011899999999997</v>
      </c>
      <c r="FI24">
        <v>0</v>
      </c>
      <c r="FJ24">
        <v>21.913900000000002</v>
      </c>
      <c r="FK24">
        <v>500</v>
      </c>
      <c r="FL24">
        <v>16.250399999999999</v>
      </c>
      <c r="FM24">
        <v>100.61799999999999</v>
      </c>
      <c r="FN24">
        <v>101.014</v>
      </c>
    </row>
    <row r="25" spans="1:170" x14ac:dyDescent="0.25">
      <c r="A25">
        <v>9</v>
      </c>
      <c r="B25">
        <v>1595614253.4000001</v>
      </c>
      <c r="C25">
        <v>987.60000014305103</v>
      </c>
      <c r="D25" t="s">
        <v>323</v>
      </c>
      <c r="E25" t="s">
        <v>324</v>
      </c>
      <c r="G25">
        <v>1595614245.4451599</v>
      </c>
      <c r="H25">
        <f t="shared" si="0"/>
        <v>8.0962489007920368E-3</v>
      </c>
      <c r="I25">
        <f t="shared" si="1"/>
        <v>44.417029755084606</v>
      </c>
      <c r="J25">
        <f t="shared" si="2"/>
        <v>580.34967741935498</v>
      </c>
      <c r="K25">
        <f t="shared" si="3"/>
        <v>422.85279633629324</v>
      </c>
      <c r="L25">
        <f t="shared" si="4"/>
        <v>42.245519958265319</v>
      </c>
      <c r="M25">
        <f t="shared" si="5"/>
        <v>57.98039907177008</v>
      </c>
      <c r="N25">
        <f t="shared" si="6"/>
        <v>0.52874767999576211</v>
      </c>
      <c r="O25">
        <f t="shared" si="7"/>
        <v>3.3969205720552118</v>
      </c>
      <c r="P25">
        <f t="shared" si="8"/>
        <v>0.48691421387533435</v>
      </c>
      <c r="Q25">
        <f t="shared" si="9"/>
        <v>0.30780367131350317</v>
      </c>
      <c r="R25">
        <f t="shared" si="10"/>
        <v>353.34021207730473</v>
      </c>
      <c r="S25">
        <f t="shared" si="11"/>
        <v>26.814630513261825</v>
      </c>
      <c r="T25">
        <f t="shared" si="12"/>
        <v>26.987777419354799</v>
      </c>
      <c r="U25">
        <f t="shared" si="13"/>
        <v>3.5765911534370818</v>
      </c>
      <c r="V25">
        <f t="shared" si="14"/>
        <v>55.33977731748071</v>
      </c>
      <c r="W25">
        <f t="shared" si="15"/>
        <v>1.9614297926758744</v>
      </c>
      <c r="X25">
        <f t="shared" si="16"/>
        <v>3.5443398722464656</v>
      </c>
      <c r="Y25">
        <f t="shared" si="17"/>
        <v>1.6151613607612074</v>
      </c>
      <c r="Z25">
        <f t="shared" si="18"/>
        <v>-357.0445765249288</v>
      </c>
      <c r="AA25">
        <f t="shared" si="19"/>
        <v>-28.225795946691473</v>
      </c>
      <c r="AB25">
        <f t="shared" si="20"/>
        <v>-1.7916285994174213</v>
      </c>
      <c r="AC25">
        <f t="shared" si="21"/>
        <v>-33.721788993732986</v>
      </c>
      <c r="AD25">
        <v>-4.14000203677828E-2</v>
      </c>
      <c r="AE25">
        <v>4.6475149703816603E-2</v>
      </c>
      <c r="AF25">
        <v>3.46957035411871</v>
      </c>
      <c r="AG25">
        <v>146</v>
      </c>
      <c r="AH25">
        <v>29</v>
      </c>
      <c r="AI25">
        <f t="shared" si="22"/>
        <v>1</v>
      </c>
      <c r="AJ25">
        <f t="shared" si="23"/>
        <v>0</v>
      </c>
      <c r="AK25">
        <f t="shared" si="24"/>
        <v>52818.014169646391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325</v>
      </c>
      <c r="AS25">
        <v>273.62180769230798</v>
      </c>
      <c r="AT25">
        <v>384.28199999999998</v>
      </c>
      <c r="AU25">
        <f t="shared" si="27"/>
        <v>0.28796610902330066</v>
      </c>
      <c r="AV25">
        <v>0.5</v>
      </c>
      <c r="AW25">
        <f t="shared" si="28"/>
        <v>1849.2007158381714</v>
      </c>
      <c r="AX25">
        <f t="shared" si="29"/>
        <v>44.417029755084606</v>
      </c>
      <c r="AY25">
        <f t="shared" si="30"/>
        <v>266.25356747151022</v>
      </c>
      <c r="AZ25">
        <f t="shared" si="31"/>
        <v>0.51801021125111246</v>
      </c>
      <c r="BA25">
        <f t="shared" si="32"/>
        <v>2.4560357005106833E-2</v>
      </c>
      <c r="BB25">
        <f t="shared" si="33"/>
        <v>-1</v>
      </c>
      <c r="BC25" t="s">
        <v>326</v>
      </c>
      <c r="BD25">
        <v>185.22</v>
      </c>
      <c r="BE25">
        <f t="shared" si="34"/>
        <v>199.06199999999998</v>
      </c>
      <c r="BF25">
        <f t="shared" si="35"/>
        <v>0.55590817085979249</v>
      </c>
      <c r="BG25">
        <f t="shared" si="36"/>
        <v>2.0747327502429544</v>
      </c>
      <c r="BH25">
        <f t="shared" si="37"/>
        <v>0.28796610902330061</v>
      </c>
      <c r="BI25" t="e">
        <f t="shared" si="38"/>
        <v>#DIV/0!</v>
      </c>
      <c r="BJ25">
        <v>5337</v>
      </c>
      <c r="BK25">
        <v>300</v>
      </c>
      <c r="BL25">
        <v>300</v>
      </c>
      <c r="BM25">
        <v>300</v>
      </c>
      <c r="BN25">
        <v>9864.59</v>
      </c>
      <c r="BO25">
        <v>349.971</v>
      </c>
      <c r="BP25">
        <v>-6.3977399999999999E-3</v>
      </c>
      <c r="BQ25">
        <v>0.75247200000000003</v>
      </c>
      <c r="BR25">
        <f t="shared" si="39"/>
        <v>2200.0187096774198</v>
      </c>
      <c r="BS25">
        <f t="shared" si="40"/>
        <v>1849.2007158381714</v>
      </c>
      <c r="BT25">
        <f t="shared" si="41"/>
        <v>0.84053863165068832</v>
      </c>
      <c r="BU25">
        <f t="shared" si="42"/>
        <v>0.19107726330137681</v>
      </c>
      <c r="BV25">
        <v>0.5</v>
      </c>
      <c r="BW25" t="s">
        <v>281</v>
      </c>
      <c r="BX25">
        <v>1595614245.4451599</v>
      </c>
      <c r="BY25">
        <v>580.34967741935498</v>
      </c>
      <c r="BZ25">
        <v>599.99341935483903</v>
      </c>
      <c r="CA25">
        <v>19.6327580645161</v>
      </c>
      <c r="CB25">
        <v>16.458248387096798</v>
      </c>
      <c r="CC25">
        <v>500.06445161290299</v>
      </c>
      <c r="CD25">
        <v>99.706006451612893</v>
      </c>
      <c r="CE25">
        <v>0.19996632258064501</v>
      </c>
      <c r="CF25">
        <v>26.8336516129032</v>
      </c>
      <c r="CG25">
        <v>26.987777419354799</v>
      </c>
      <c r="CH25">
        <v>999.9</v>
      </c>
      <c r="CI25">
        <v>10013.254516129</v>
      </c>
      <c r="CJ25">
        <v>0</v>
      </c>
      <c r="CK25">
        <v>268.00245161290297</v>
      </c>
      <c r="CL25">
        <v>2200.0187096774198</v>
      </c>
      <c r="CM25">
        <v>0.98200503225806401</v>
      </c>
      <c r="CN25">
        <v>1.7995016129032301E-2</v>
      </c>
      <c r="CO25">
        <v>0</v>
      </c>
      <c r="CP25">
        <v>273.62274193548399</v>
      </c>
      <c r="CQ25">
        <v>5.00054</v>
      </c>
      <c r="CR25">
        <v>8292.2138709677401</v>
      </c>
      <c r="CS25">
        <v>20590.722580645201</v>
      </c>
      <c r="CT25">
        <v>49.693258064516101</v>
      </c>
      <c r="CU25">
        <v>51.693322580645201</v>
      </c>
      <c r="CV25">
        <v>50.052</v>
      </c>
      <c r="CW25">
        <v>50.439193548387102</v>
      </c>
      <c r="CX25">
        <v>50.916967741935501</v>
      </c>
      <c r="CY25">
        <v>2155.5187096774198</v>
      </c>
      <c r="CZ25">
        <v>39.5</v>
      </c>
      <c r="DA25">
        <v>0</v>
      </c>
      <c r="DB25">
        <v>123.200000047684</v>
      </c>
      <c r="DC25">
        <v>273.62180769230798</v>
      </c>
      <c r="DD25">
        <v>-2.1451965842895002</v>
      </c>
      <c r="DE25">
        <v>-46.908034174175299</v>
      </c>
      <c r="DF25">
        <v>8291.5207692307704</v>
      </c>
      <c r="DG25">
        <v>15</v>
      </c>
      <c r="DH25">
        <v>1595614279.4000001</v>
      </c>
      <c r="DI25" t="s">
        <v>327</v>
      </c>
      <c r="DJ25">
        <v>65</v>
      </c>
      <c r="DK25">
        <v>-0.44500000000000001</v>
      </c>
      <c r="DL25">
        <v>0.105</v>
      </c>
      <c r="DM25">
        <v>600</v>
      </c>
      <c r="DN25">
        <v>16</v>
      </c>
      <c r="DO25">
        <v>7.0000000000000007E-2</v>
      </c>
      <c r="DP25">
        <v>0.03</v>
      </c>
      <c r="DQ25">
        <v>580.29223529411797</v>
      </c>
      <c r="DR25">
        <v>0.16294662687266601</v>
      </c>
      <c r="DS25">
        <v>2.9229711069858898E-2</v>
      </c>
      <c r="DT25">
        <v>1</v>
      </c>
      <c r="DU25">
        <v>19.634807843137299</v>
      </c>
      <c r="DV25">
        <v>-1.92742401616754E-2</v>
      </c>
      <c r="DW25">
        <v>1.05600958688693E-2</v>
      </c>
      <c r="DX25">
        <v>1</v>
      </c>
      <c r="DY25">
        <v>2</v>
      </c>
      <c r="DZ25">
        <v>2</v>
      </c>
      <c r="EA25" t="s">
        <v>283</v>
      </c>
      <c r="EB25">
        <v>1.86676</v>
      </c>
      <c r="EC25">
        <v>1.8632599999999999</v>
      </c>
      <c r="ED25">
        <v>1.86893</v>
      </c>
      <c r="EE25">
        <v>1.8669</v>
      </c>
      <c r="EF25">
        <v>1.8715599999999999</v>
      </c>
      <c r="EG25">
        <v>1.8640099999999999</v>
      </c>
      <c r="EH25">
        <v>1.86555</v>
      </c>
      <c r="EI25">
        <v>1.8654599999999999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-0.44500000000000001</v>
      </c>
      <c r="EX25">
        <v>0.105</v>
      </c>
      <c r="EY25">
        <v>2</v>
      </c>
      <c r="EZ25">
        <v>336.464</v>
      </c>
      <c r="FA25">
        <v>470.96800000000002</v>
      </c>
      <c r="FB25">
        <v>21.730799999999999</v>
      </c>
      <c r="FC25">
        <v>34.799300000000002</v>
      </c>
      <c r="FD25">
        <v>29.997800000000002</v>
      </c>
      <c r="FE25">
        <v>34.803899999999999</v>
      </c>
      <c r="FF25">
        <v>34.807200000000002</v>
      </c>
      <c r="FG25">
        <v>30.601400000000002</v>
      </c>
      <c r="FH25">
        <v>50.334499999999998</v>
      </c>
      <c r="FI25">
        <v>0</v>
      </c>
      <c r="FJ25">
        <v>21.749400000000001</v>
      </c>
      <c r="FK25">
        <v>600</v>
      </c>
      <c r="FL25">
        <v>16.351099999999999</v>
      </c>
      <c r="FM25">
        <v>100.61199999999999</v>
      </c>
      <c r="FN25">
        <v>101.009</v>
      </c>
    </row>
    <row r="26" spans="1:170" x14ac:dyDescent="0.25">
      <c r="A26">
        <v>10</v>
      </c>
      <c r="B26">
        <v>1595614400.9000001</v>
      </c>
      <c r="C26">
        <v>1135.10000014305</v>
      </c>
      <c r="D26" t="s">
        <v>328</v>
      </c>
      <c r="E26" t="s">
        <v>329</v>
      </c>
      <c r="G26">
        <v>1595614392.95806</v>
      </c>
      <c r="H26">
        <f t="shared" si="0"/>
        <v>7.4200363506624397E-3</v>
      </c>
      <c r="I26">
        <f t="shared" si="1"/>
        <v>46.106596410072804</v>
      </c>
      <c r="J26">
        <f t="shared" si="2"/>
        <v>679.53767741935496</v>
      </c>
      <c r="K26">
        <f t="shared" si="3"/>
        <v>497.0712690592112</v>
      </c>
      <c r="L26">
        <f t="shared" si="4"/>
        <v>49.659412361352729</v>
      </c>
      <c r="M26">
        <f t="shared" si="5"/>
        <v>67.888537999616062</v>
      </c>
      <c r="N26">
        <f t="shared" si="6"/>
        <v>0.47167851878668399</v>
      </c>
      <c r="O26">
        <f t="shared" si="7"/>
        <v>3.3948266703352958</v>
      </c>
      <c r="P26">
        <f t="shared" si="8"/>
        <v>0.43806159681954476</v>
      </c>
      <c r="Q26">
        <f t="shared" si="9"/>
        <v>0.27660892457063457</v>
      </c>
      <c r="R26">
        <f t="shared" si="10"/>
        <v>353.33521168092432</v>
      </c>
      <c r="S26">
        <f t="shared" si="11"/>
        <v>26.863315132111996</v>
      </c>
      <c r="T26">
        <f t="shared" si="12"/>
        <v>27.0378032258064</v>
      </c>
      <c r="U26">
        <f t="shared" si="13"/>
        <v>3.5871141239144926</v>
      </c>
      <c r="V26">
        <f t="shared" si="14"/>
        <v>55.121814765316614</v>
      </c>
      <c r="W26">
        <f t="shared" si="15"/>
        <v>1.9417307670463997</v>
      </c>
      <c r="X26">
        <f t="shared" si="16"/>
        <v>3.5226176338957602</v>
      </c>
      <c r="Y26">
        <f t="shared" si="17"/>
        <v>1.6453833568680929</v>
      </c>
      <c r="Z26">
        <f t="shared" si="18"/>
        <v>-327.22360306421359</v>
      </c>
      <c r="AA26">
        <f t="shared" si="19"/>
        <v>-56.490003227588183</v>
      </c>
      <c r="AB26">
        <f t="shared" si="20"/>
        <v>-3.5869302503461546</v>
      </c>
      <c r="AC26">
        <f t="shared" si="21"/>
        <v>-33.9653248612236</v>
      </c>
      <c r="AD26">
        <v>-4.1367578824435397E-2</v>
      </c>
      <c r="AE26">
        <v>4.6438731229373802E-2</v>
      </c>
      <c r="AF26">
        <v>3.4674195231742901</v>
      </c>
      <c r="AG26">
        <v>146</v>
      </c>
      <c r="AH26">
        <v>29</v>
      </c>
      <c r="AI26">
        <f t="shared" si="22"/>
        <v>1</v>
      </c>
      <c r="AJ26">
        <f t="shared" si="23"/>
        <v>0</v>
      </c>
      <c r="AK26">
        <f t="shared" si="24"/>
        <v>52796.683595517236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330</v>
      </c>
      <c r="AS26">
        <v>271.496115384615</v>
      </c>
      <c r="AT26">
        <v>376.86200000000002</v>
      </c>
      <c r="AU26">
        <f t="shared" si="27"/>
        <v>0.27958744743536101</v>
      </c>
      <c r="AV26">
        <v>0.5</v>
      </c>
      <c r="AW26">
        <f t="shared" si="28"/>
        <v>1849.1688287412371</v>
      </c>
      <c r="AX26">
        <f t="shared" si="29"/>
        <v>46.106596410072804</v>
      </c>
      <c r="AY26">
        <f t="shared" si="30"/>
        <v>258.50219635239938</v>
      </c>
      <c r="AZ26">
        <f t="shared" si="31"/>
        <v>0.51234138756361747</v>
      </c>
      <c r="BA26">
        <f t="shared" si="32"/>
        <v>2.5474470301415971E-2</v>
      </c>
      <c r="BB26">
        <f t="shared" si="33"/>
        <v>-1</v>
      </c>
      <c r="BC26" t="s">
        <v>331</v>
      </c>
      <c r="BD26">
        <v>183.78</v>
      </c>
      <c r="BE26">
        <f t="shared" si="34"/>
        <v>193.08200000000002</v>
      </c>
      <c r="BF26">
        <f t="shared" si="35"/>
        <v>0.54570537189062174</v>
      </c>
      <c r="BG26">
        <f t="shared" si="36"/>
        <v>2.0506148656001741</v>
      </c>
      <c r="BH26">
        <f t="shared" si="37"/>
        <v>0.27958744743536101</v>
      </c>
      <c r="BI26" t="e">
        <f t="shared" si="38"/>
        <v>#DIV/0!</v>
      </c>
      <c r="BJ26">
        <v>5339</v>
      </c>
      <c r="BK26">
        <v>300</v>
      </c>
      <c r="BL26">
        <v>300</v>
      </c>
      <c r="BM26">
        <v>300</v>
      </c>
      <c r="BN26">
        <v>9863.48</v>
      </c>
      <c r="BO26">
        <v>346.38099999999997</v>
      </c>
      <c r="BP26">
        <v>-6.3968699999999998E-3</v>
      </c>
      <c r="BQ26">
        <v>1.24979</v>
      </c>
      <c r="BR26">
        <f t="shared" si="39"/>
        <v>2199.98</v>
      </c>
      <c r="BS26">
        <f t="shared" si="40"/>
        <v>1849.1688287412371</v>
      </c>
      <c r="BT26">
        <f t="shared" si="41"/>
        <v>0.84053892705444466</v>
      </c>
      <c r="BU26">
        <f t="shared" si="42"/>
        <v>0.19107785410888958</v>
      </c>
      <c r="BV26">
        <v>0.5</v>
      </c>
      <c r="BW26" t="s">
        <v>281</v>
      </c>
      <c r="BX26">
        <v>1595614392.95806</v>
      </c>
      <c r="BY26">
        <v>679.53767741935496</v>
      </c>
      <c r="BZ26">
        <v>699.99522580645203</v>
      </c>
      <c r="CA26">
        <v>19.435964516129001</v>
      </c>
      <c r="CB26">
        <v>16.5259161290323</v>
      </c>
      <c r="CC26">
        <v>500.04809677419303</v>
      </c>
      <c r="CD26">
        <v>99.704019354838707</v>
      </c>
      <c r="CE26">
        <v>0.199989290322581</v>
      </c>
      <c r="CF26">
        <v>26.729151612903198</v>
      </c>
      <c r="CG26">
        <v>27.0378032258064</v>
      </c>
      <c r="CH26">
        <v>999.9</v>
      </c>
      <c r="CI26">
        <v>10005.607419354799</v>
      </c>
      <c r="CJ26">
        <v>0</v>
      </c>
      <c r="CK26">
        <v>269.20990322580599</v>
      </c>
      <c r="CL26">
        <v>2199.98</v>
      </c>
      <c r="CM26">
        <v>0.98199364516128995</v>
      </c>
      <c r="CN26">
        <v>1.8005922580645199E-2</v>
      </c>
      <c r="CO26">
        <v>0</v>
      </c>
      <c r="CP26">
        <v>271.52774193548402</v>
      </c>
      <c r="CQ26">
        <v>5.00054</v>
      </c>
      <c r="CR26">
        <v>8248.6716129032302</v>
      </c>
      <c r="CS26">
        <v>20590.309677419398</v>
      </c>
      <c r="CT26">
        <v>50.021967741935498</v>
      </c>
      <c r="CU26">
        <v>51.931064516128998</v>
      </c>
      <c r="CV26">
        <v>50.336322580645103</v>
      </c>
      <c r="CW26">
        <v>50.731709677419303</v>
      </c>
      <c r="CX26">
        <v>51.1811935483871</v>
      </c>
      <c r="CY26">
        <v>2155.4590322580598</v>
      </c>
      <c r="CZ26">
        <v>39.5209677419355</v>
      </c>
      <c r="DA26">
        <v>0</v>
      </c>
      <c r="DB26">
        <v>146.60000014305101</v>
      </c>
      <c r="DC26">
        <v>271.496115384615</v>
      </c>
      <c r="DD26">
        <v>-3.66800000557047</v>
      </c>
      <c r="DE26">
        <v>-72.254700985263199</v>
      </c>
      <c r="DF26">
        <v>8248.3334615384592</v>
      </c>
      <c r="DG26">
        <v>15</v>
      </c>
      <c r="DH26">
        <v>1595614429.5</v>
      </c>
      <c r="DI26" t="s">
        <v>332</v>
      </c>
      <c r="DJ26">
        <v>66</v>
      </c>
      <c r="DK26">
        <v>-0.41399999999999998</v>
      </c>
      <c r="DL26">
        <v>0.106</v>
      </c>
      <c r="DM26">
        <v>700</v>
      </c>
      <c r="DN26">
        <v>17</v>
      </c>
      <c r="DO26">
        <v>0.12</v>
      </c>
      <c r="DP26">
        <v>0.03</v>
      </c>
      <c r="DQ26">
        <v>679.46788235294105</v>
      </c>
      <c r="DR26">
        <v>0.40361960433269001</v>
      </c>
      <c r="DS26">
        <v>5.3066235732863801E-2</v>
      </c>
      <c r="DT26">
        <v>0</v>
      </c>
      <c r="DU26">
        <v>19.456437254901999</v>
      </c>
      <c r="DV26">
        <v>-0.22929920090018099</v>
      </c>
      <c r="DW26">
        <v>2.8440291501665899E-2</v>
      </c>
      <c r="DX26">
        <v>0</v>
      </c>
      <c r="DY26">
        <v>0</v>
      </c>
      <c r="DZ26">
        <v>2</v>
      </c>
      <c r="EA26" t="s">
        <v>333</v>
      </c>
      <c r="EB26">
        <v>1.86676</v>
      </c>
      <c r="EC26">
        <v>1.8632500000000001</v>
      </c>
      <c r="ED26">
        <v>1.8689</v>
      </c>
      <c r="EE26">
        <v>1.86686</v>
      </c>
      <c r="EF26">
        <v>1.87151</v>
      </c>
      <c r="EG26">
        <v>1.8640099999999999</v>
      </c>
      <c r="EH26">
        <v>1.86554</v>
      </c>
      <c r="EI26">
        <v>1.8654200000000001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-0.41399999999999998</v>
      </c>
      <c r="EX26">
        <v>0.106</v>
      </c>
      <c r="EY26">
        <v>2</v>
      </c>
      <c r="EZ26">
        <v>336.70499999999998</v>
      </c>
      <c r="FA26">
        <v>470.983</v>
      </c>
      <c r="FB26">
        <v>21.546700000000001</v>
      </c>
      <c r="FC26">
        <v>34.892699999999998</v>
      </c>
      <c r="FD26">
        <v>30.001300000000001</v>
      </c>
      <c r="FE26">
        <v>34.888500000000001</v>
      </c>
      <c r="FF26">
        <v>34.891300000000001</v>
      </c>
      <c r="FG26">
        <v>34.657699999999998</v>
      </c>
      <c r="FH26">
        <v>50.276000000000003</v>
      </c>
      <c r="FI26">
        <v>0</v>
      </c>
      <c r="FJ26">
        <v>21.5139</v>
      </c>
      <c r="FK26">
        <v>700</v>
      </c>
      <c r="FL26">
        <v>16.4695</v>
      </c>
      <c r="FM26">
        <v>100.59</v>
      </c>
      <c r="FN26">
        <v>100.98399999999999</v>
      </c>
    </row>
    <row r="27" spans="1:170" x14ac:dyDescent="0.25">
      <c r="A27">
        <v>11</v>
      </c>
      <c r="B27">
        <v>1595614551</v>
      </c>
      <c r="C27">
        <v>1285.2000000476801</v>
      </c>
      <c r="D27" t="s">
        <v>334</v>
      </c>
      <c r="E27" t="s">
        <v>335</v>
      </c>
      <c r="G27">
        <v>1595614542.9709699</v>
      </c>
      <c r="H27">
        <f t="shared" si="0"/>
        <v>6.6131027174622589E-3</v>
      </c>
      <c r="I27">
        <f t="shared" si="1"/>
        <v>46.965894880335128</v>
      </c>
      <c r="J27">
        <f t="shared" si="2"/>
        <v>779.16390322580696</v>
      </c>
      <c r="K27">
        <f t="shared" si="3"/>
        <v>569.44618140389741</v>
      </c>
      <c r="L27">
        <f t="shared" si="4"/>
        <v>56.890919218529469</v>
      </c>
      <c r="M27">
        <f t="shared" si="5"/>
        <v>77.842914965431902</v>
      </c>
      <c r="N27">
        <f t="shared" si="6"/>
        <v>0.41505998114378378</v>
      </c>
      <c r="O27">
        <f t="shared" si="7"/>
        <v>3.3940430669055277</v>
      </c>
      <c r="P27">
        <f t="shared" si="8"/>
        <v>0.38878253283958164</v>
      </c>
      <c r="Q27">
        <f t="shared" si="9"/>
        <v>0.24521124367227176</v>
      </c>
      <c r="R27">
        <f t="shared" si="10"/>
        <v>353.33865821852072</v>
      </c>
      <c r="S27">
        <f t="shared" si="11"/>
        <v>26.941996184841692</v>
      </c>
      <c r="T27">
        <f t="shared" si="12"/>
        <v>27.022945161290298</v>
      </c>
      <c r="U27">
        <f t="shared" si="13"/>
        <v>3.5839858998441185</v>
      </c>
      <c r="V27">
        <f t="shared" si="14"/>
        <v>55.169622461069224</v>
      </c>
      <c r="W27">
        <f t="shared" si="15"/>
        <v>1.931521367261043</v>
      </c>
      <c r="X27">
        <f t="shared" si="16"/>
        <v>3.5010596068951396</v>
      </c>
      <c r="Y27">
        <f t="shared" si="17"/>
        <v>1.6524645325830756</v>
      </c>
      <c r="Z27">
        <f t="shared" si="18"/>
        <v>-291.6378298400856</v>
      </c>
      <c r="AA27">
        <f t="shared" si="19"/>
        <v>-72.837115511324853</v>
      </c>
      <c r="AB27">
        <f t="shared" si="20"/>
        <v>-4.6232310592828965</v>
      </c>
      <c r="AC27">
        <f t="shared" si="21"/>
        <v>-15.759518192172621</v>
      </c>
      <c r="AD27">
        <v>-4.1355440509876502E-2</v>
      </c>
      <c r="AE27">
        <v>4.6425104907906703E-2</v>
      </c>
      <c r="AF27">
        <v>3.4666146191292202</v>
      </c>
      <c r="AG27">
        <v>145</v>
      </c>
      <c r="AH27">
        <v>29</v>
      </c>
      <c r="AI27">
        <f t="shared" si="22"/>
        <v>1</v>
      </c>
      <c r="AJ27">
        <f t="shared" si="23"/>
        <v>0</v>
      </c>
      <c r="AK27">
        <f t="shared" si="24"/>
        <v>52800.231032647644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336</v>
      </c>
      <c r="AS27">
        <v>268.38107692307699</v>
      </c>
      <c r="AT27">
        <v>371.31700000000001</v>
      </c>
      <c r="AU27">
        <f t="shared" si="27"/>
        <v>0.27721844967217502</v>
      </c>
      <c r="AV27">
        <v>0.5</v>
      </c>
      <c r="AW27">
        <f t="shared" si="28"/>
        <v>1849.1872255154403</v>
      </c>
      <c r="AX27">
        <f t="shared" si="29"/>
        <v>46.965894880335128</v>
      </c>
      <c r="AY27">
        <f t="shared" si="30"/>
        <v>256.3144079054905</v>
      </c>
      <c r="AZ27">
        <f t="shared" si="31"/>
        <v>0.50441267165252335</v>
      </c>
      <c r="BA27">
        <f t="shared" si="32"/>
        <v>2.5938906682077673E-2</v>
      </c>
      <c r="BB27">
        <f t="shared" si="33"/>
        <v>-1</v>
      </c>
      <c r="BC27" t="s">
        <v>337</v>
      </c>
      <c r="BD27">
        <v>184.02</v>
      </c>
      <c r="BE27">
        <f t="shared" si="34"/>
        <v>187.297</v>
      </c>
      <c r="BF27">
        <f t="shared" si="35"/>
        <v>0.54958660884543276</v>
      </c>
      <c r="BG27">
        <f t="shared" si="36"/>
        <v>2.0178078469731551</v>
      </c>
      <c r="BH27">
        <f t="shared" si="37"/>
        <v>0.27721844967217502</v>
      </c>
      <c r="BI27" t="e">
        <f t="shared" si="38"/>
        <v>#DIV/0!</v>
      </c>
      <c r="BJ27">
        <v>5341</v>
      </c>
      <c r="BK27">
        <v>300</v>
      </c>
      <c r="BL27">
        <v>300</v>
      </c>
      <c r="BM27">
        <v>300</v>
      </c>
      <c r="BN27">
        <v>9862.27</v>
      </c>
      <c r="BO27">
        <v>341.154</v>
      </c>
      <c r="BP27">
        <v>-6.3959300000000002E-3</v>
      </c>
      <c r="BQ27">
        <v>1.0577099999999999</v>
      </c>
      <c r="BR27">
        <f t="shared" si="39"/>
        <v>2200.0019354838701</v>
      </c>
      <c r="BS27">
        <f t="shared" si="40"/>
        <v>1849.1872255154403</v>
      </c>
      <c r="BT27">
        <f t="shared" si="41"/>
        <v>0.84053890848451851</v>
      </c>
      <c r="BU27">
        <f t="shared" si="42"/>
        <v>0.19107781696903703</v>
      </c>
      <c r="BV27">
        <v>0.5</v>
      </c>
      <c r="BW27" t="s">
        <v>281</v>
      </c>
      <c r="BX27">
        <v>1595614542.9709699</v>
      </c>
      <c r="BY27">
        <v>779.16390322580696</v>
      </c>
      <c r="BZ27">
        <v>800.00851612903205</v>
      </c>
      <c r="CA27">
        <v>19.3334451612903</v>
      </c>
      <c r="CB27">
        <v>16.7396967741936</v>
      </c>
      <c r="CC27">
        <v>500.06767741935499</v>
      </c>
      <c r="CD27">
        <v>99.705722580645102</v>
      </c>
      <c r="CE27">
        <v>0.199977161290323</v>
      </c>
      <c r="CF27">
        <v>26.6248838709677</v>
      </c>
      <c r="CG27">
        <v>27.022945161290298</v>
      </c>
      <c r="CH27">
        <v>999.9</v>
      </c>
      <c r="CI27">
        <v>10002.500645161301</v>
      </c>
      <c r="CJ27">
        <v>0</v>
      </c>
      <c r="CK27">
        <v>270.05564516128999</v>
      </c>
      <c r="CL27">
        <v>2200.0019354838701</v>
      </c>
      <c r="CM27">
        <v>0.98199616129032297</v>
      </c>
      <c r="CN27">
        <v>1.8003687096774201E-2</v>
      </c>
      <c r="CO27">
        <v>0</v>
      </c>
      <c r="CP27">
        <v>268.39541935483902</v>
      </c>
      <c r="CQ27">
        <v>5.00054</v>
      </c>
      <c r="CR27">
        <v>8187.3274193548395</v>
      </c>
      <c r="CS27">
        <v>20590.5193548387</v>
      </c>
      <c r="CT27">
        <v>50.314096774193501</v>
      </c>
      <c r="CU27">
        <v>52.191064516129003</v>
      </c>
      <c r="CV27">
        <v>50.633000000000003</v>
      </c>
      <c r="CW27">
        <v>50.965451612903202</v>
      </c>
      <c r="CX27">
        <v>51.429129032258103</v>
      </c>
      <c r="CY27">
        <v>2155.4819354838701</v>
      </c>
      <c r="CZ27">
        <v>39.520000000000003</v>
      </c>
      <c r="DA27">
        <v>0</v>
      </c>
      <c r="DB27">
        <v>149.10000014305101</v>
      </c>
      <c r="DC27">
        <v>268.38107692307699</v>
      </c>
      <c r="DD27">
        <v>-3.54003419872245</v>
      </c>
      <c r="DE27">
        <v>-76.587350526480293</v>
      </c>
      <c r="DF27">
        <v>8187.0569230769197</v>
      </c>
      <c r="DG27">
        <v>15</v>
      </c>
      <c r="DH27">
        <v>1595614578</v>
      </c>
      <c r="DI27" t="s">
        <v>338</v>
      </c>
      <c r="DJ27">
        <v>67</v>
      </c>
      <c r="DK27">
        <v>-0.47699999999999998</v>
      </c>
      <c r="DL27">
        <v>0.109</v>
      </c>
      <c r="DM27">
        <v>800</v>
      </c>
      <c r="DN27">
        <v>17</v>
      </c>
      <c r="DO27">
        <v>0.15</v>
      </c>
      <c r="DP27">
        <v>0.04</v>
      </c>
      <c r="DQ27">
        <v>779.18649019607801</v>
      </c>
      <c r="DR27">
        <v>0.47487719513233201</v>
      </c>
      <c r="DS27">
        <v>6.1011851162819403E-2</v>
      </c>
      <c r="DT27">
        <v>0</v>
      </c>
      <c r="DU27">
        <v>19.3464784313725</v>
      </c>
      <c r="DV27">
        <v>-0.17599719716635101</v>
      </c>
      <c r="DW27">
        <v>2.1638757110890701E-2</v>
      </c>
      <c r="DX27">
        <v>1</v>
      </c>
      <c r="DY27">
        <v>1</v>
      </c>
      <c r="DZ27">
        <v>2</v>
      </c>
      <c r="EA27" t="s">
        <v>339</v>
      </c>
      <c r="EB27">
        <v>1.86676</v>
      </c>
      <c r="EC27">
        <v>1.8632500000000001</v>
      </c>
      <c r="ED27">
        <v>1.8689</v>
      </c>
      <c r="EE27">
        <v>1.8668</v>
      </c>
      <c r="EF27">
        <v>1.87151</v>
      </c>
      <c r="EG27">
        <v>1.8640099999999999</v>
      </c>
      <c r="EH27">
        <v>1.86554</v>
      </c>
      <c r="EI27">
        <v>1.8654299999999999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-0.47699999999999998</v>
      </c>
      <c r="EX27">
        <v>0.109</v>
      </c>
      <c r="EY27">
        <v>2</v>
      </c>
      <c r="EZ27">
        <v>336.82499999999999</v>
      </c>
      <c r="FA27">
        <v>471.47500000000002</v>
      </c>
      <c r="FB27">
        <v>21.399799999999999</v>
      </c>
      <c r="FC27">
        <v>34.97</v>
      </c>
      <c r="FD27">
        <v>30.000699999999998</v>
      </c>
      <c r="FE27">
        <v>34.970599999999997</v>
      </c>
      <c r="FF27">
        <v>34.972700000000003</v>
      </c>
      <c r="FG27">
        <v>38.620399999999997</v>
      </c>
      <c r="FH27">
        <v>49.633899999999997</v>
      </c>
      <c r="FI27">
        <v>0</v>
      </c>
      <c r="FJ27">
        <v>21.365100000000002</v>
      </c>
      <c r="FK27">
        <v>800</v>
      </c>
      <c r="FL27">
        <v>16.7285</v>
      </c>
      <c r="FM27">
        <v>100.575</v>
      </c>
      <c r="FN27">
        <v>100.971</v>
      </c>
    </row>
    <row r="28" spans="1:170" x14ac:dyDescent="0.25">
      <c r="A28">
        <v>12</v>
      </c>
      <c r="B28">
        <v>1595614684.5</v>
      </c>
      <c r="C28">
        <v>1418.7000000476801</v>
      </c>
      <c r="D28" t="s">
        <v>340</v>
      </c>
      <c r="E28" t="s">
        <v>341</v>
      </c>
      <c r="G28">
        <v>1595614676.5</v>
      </c>
      <c r="H28">
        <f t="shared" si="0"/>
        <v>6.2712104759450743E-3</v>
      </c>
      <c r="I28">
        <f t="shared" si="1"/>
        <v>48.035331980140676</v>
      </c>
      <c r="J28">
        <f t="shared" si="2"/>
        <v>978.36667741935503</v>
      </c>
      <c r="K28">
        <f t="shared" si="3"/>
        <v>747.58144905024994</v>
      </c>
      <c r="L28">
        <f t="shared" si="4"/>
        <v>74.687905697055214</v>
      </c>
      <c r="M28">
        <f t="shared" si="5"/>
        <v>97.744745048276812</v>
      </c>
      <c r="N28">
        <f t="shared" si="6"/>
        <v>0.39075090466605378</v>
      </c>
      <c r="O28">
        <f t="shared" si="7"/>
        <v>3.3938280036102224</v>
      </c>
      <c r="P28">
        <f t="shared" si="8"/>
        <v>0.36736692696322476</v>
      </c>
      <c r="Q28">
        <f t="shared" si="9"/>
        <v>0.23158858278610078</v>
      </c>
      <c r="R28">
        <f t="shared" si="10"/>
        <v>353.34007361346789</v>
      </c>
      <c r="S28">
        <f t="shared" si="11"/>
        <v>26.937162933654097</v>
      </c>
      <c r="T28">
        <f t="shared" si="12"/>
        <v>27.028848387096801</v>
      </c>
      <c r="U28">
        <f t="shared" si="13"/>
        <v>3.58522848262505</v>
      </c>
      <c r="V28">
        <f t="shared" si="14"/>
        <v>55.302780609062751</v>
      </c>
      <c r="W28">
        <f t="shared" si="15"/>
        <v>1.9268095714897384</v>
      </c>
      <c r="X28">
        <f t="shared" si="16"/>
        <v>3.4841097504851</v>
      </c>
      <c r="Y28">
        <f t="shared" si="17"/>
        <v>1.6584189111353116</v>
      </c>
      <c r="Z28">
        <f t="shared" si="18"/>
        <v>-276.56038198917776</v>
      </c>
      <c r="AA28">
        <f t="shared" si="19"/>
        <v>-88.984447941684053</v>
      </c>
      <c r="AB28">
        <f t="shared" si="20"/>
        <v>-5.6463581554136946</v>
      </c>
      <c r="AC28">
        <f t="shared" si="21"/>
        <v>-17.851114472807595</v>
      </c>
      <c r="AD28">
        <v>-4.1352109319106302E-2</v>
      </c>
      <c r="AE28">
        <v>4.6421365354438797E-2</v>
      </c>
      <c r="AF28">
        <v>3.46639371017777</v>
      </c>
      <c r="AG28">
        <v>145</v>
      </c>
      <c r="AH28">
        <v>29</v>
      </c>
      <c r="AI28">
        <f t="shared" si="22"/>
        <v>1</v>
      </c>
      <c r="AJ28">
        <f t="shared" si="23"/>
        <v>0</v>
      </c>
      <c r="AK28">
        <f t="shared" si="24"/>
        <v>52810.678076491509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342</v>
      </c>
      <c r="AS28">
        <v>265.69769230769202</v>
      </c>
      <c r="AT28">
        <v>364.90499999999997</v>
      </c>
      <c r="AU28">
        <f t="shared" si="27"/>
        <v>0.27187160409506028</v>
      </c>
      <c r="AV28">
        <v>0.5</v>
      </c>
      <c r="AW28">
        <f t="shared" si="28"/>
        <v>1849.1969898578322</v>
      </c>
      <c r="AX28">
        <f t="shared" si="29"/>
        <v>48.035331980140676</v>
      </c>
      <c r="AY28">
        <f t="shared" si="30"/>
        <v>251.37207596020289</v>
      </c>
      <c r="AZ28">
        <f t="shared" si="31"/>
        <v>0.50266507721187703</v>
      </c>
      <c r="BA28">
        <f t="shared" si="32"/>
        <v>2.6517094852025771E-2</v>
      </c>
      <c r="BB28">
        <f t="shared" si="33"/>
        <v>-1</v>
      </c>
      <c r="BC28" t="s">
        <v>343</v>
      </c>
      <c r="BD28">
        <v>181.48</v>
      </c>
      <c r="BE28">
        <f t="shared" si="34"/>
        <v>183.42499999999998</v>
      </c>
      <c r="BF28">
        <f t="shared" si="35"/>
        <v>0.54086033906124009</v>
      </c>
      <c r="BG28">
        <f t="shared" si="36"/>
        <v>2.0107174344280363</v>
      </c>
      <c r="BH28">
        <f t="shared" si="37"/>
        <v>0.27187160409506023</v>
      </c>
      <c r="BI28" t="e">
        <f t="shared" si="38"/>
        <v>#DIV/0!</v>
      </c>
      <c r="BJ28">
        <v>5343</v>
      </c>
      <c r="BK28">
        <v>300</v>
      </c>
      <c r="BL28">
        <v>300</v>
      </c>
      <c r="BM28">
        <v>300</v>
      </c>
      <c r="BN28">
        <v>9861.3700000000008</v>
      </c>
      <c r="BO28">
        <v>334.47899999999998</v>
      </c>
      <c r="BP28">
        <v>-6.3952000000000002E-3</v>
      </c>
      <c r="BQ28">
        <v>1.2304999999999999</v>
      </c>
      <c r="BR28">
        <f t="shared" si="39"/>
        <v>2200.0138709677399</v>
      </c>
      <c r="BS28">
        <f t="shared" si="40"/>
        <v>1849.1969898578322</v>
      </c>
      <c r="BT28">
        <f t="shared" si="41"/>
        <v>0.84053878671428983</v>
      </c>
      <c r="BU28">
        <f t="shared" si="42"/>
        <v>0.19107757342857937</v>
      </c>
      <c r="BV28">
        <v>0.5</v>
      </c>
      <c r="BW28" t="s">
        <v>281</v>
      </c>
      <c r="BX28">
        <v>1595614676.5</v>
      </c>
      <c r="BY28">
        <v>978.36667741935503</v>
      </c>
      <c r="BZ28">
        <v>1000.032</v>
      </c>
      <c r="CA28">
        <v>19.286216129032301</v>
      </c>
      <c r="CB28">
        <v>16.826454838709701</v>
      </c>
      <c r="CC28">
        <v>500.06987096774202</v>
      </c>
      <c r="CD28">
        <v>99.706051612903195</v>
      </c>
      <c r="CE28">
        <v>0.19999312903225799</v>
      </c>
      <c r="CF28">
        <v>26.5425096774194</v>
      </c>
      <c r="CG28">
        <v>27.028848387096801</v>
      </c>
      <c r="CH28">
        <v>999.9</v>
      </c>
      <c r="CI28">
        <v>10001.6619354839</v>
      </c>
      <c r="CJ28">
        <v>0</v>
      </c>
      <c r="CK28">
        <v>270.80880645161301</v>
      </c>
      <c r="CL28">
        <v>2200.0138709677399</v>
      </c>
      <c r="CM28">
        <v>0.98199819354838702</v>
      </c>
      <c r="CN28">
        <v>1.8002196774193499E-2</v>
      </c>
      <c r="CO28">
        <v>0</v>
      </c>
      <c r="CP28">
        <v>265.706677419355</v>
      </c>
      <c r="CQ28">
        <v>5.00054</v>
      </c>
      <c r="CR28">
        <v>8139.8696774193504</v>
      </c>
      <c r="CS28">
        <v>20590.654838709699</v>
      </c>
      <c r="CT28">
        <v>50.598580645161299</v>
      </c>
      <c r="CU28">
        <v>52.457322580645098</v>
      </c>
      <c r="CV28">
        <v>50.923000000000002</v>
      </c>
      <c r="CW28">
        <v>51.231709677419403</v>
      </c>
      <c r="CX28">
        <v>51.677161290322601</v>
      </c>
      <c r="CY28">
        <v>2155.5029032258099</v>
      </c>
      <c r="CZ28">
        <v>39.511290322580599</v>
      </c>
      <c r="DA28">
        <v>0</v>
      </c>
      <c r="DB28">
        <v>132.80000019073501</v>
      </c>
      <c r="DC28">
        <v>265.69769230769202</v>
      </c>
      <c r="DD28">
        <v>-2.7601367529876799</v>
      </c>
      <c r="DE28">
        <v>-43.185641020265997</v>
      </c>
      <c r="DF28">
        <v>8139.3392307692302</v>
      </c>
      <c r="DG28">
        <v>15</v>
      </c>
      <c r="DH28">
        <v>1595614711.5</v>
      </c>
      <c r="DI28" t="s">
        <v>344</v>
      </c>
      <c r="DJ28">
        <v>68</v>
      </c>
      <c r="DK28">
        <v>-0.13100000000000001</v>
      </c>
      <c r="DL28">
        <v>0.11</v>
      </c>
      <c r="DM28">
        <v>1000</v>
      </c>
      <c r="DN28">
        <v>17</v>
      </c>
      <c r="DO28">
        <v>0.15</v>
      </c>
      <c r="DP28">
        <v>0.03</v>
      </c>
      <c r="DQ28">
        <v>978.00452941176502</v>
      </c>
      <c r="DR28">
        <v>0.28066968325784403</v>
      </c>
      <c r="DS28">
        <v>5.1114770107902399E-2</v>
      </c>
      <c r="DT28">
        <v>1</v>
      </c>
      <c r="DU28">
        <v>19.297750980392198</v>
      </c>
      <c r="DV28">
        <v>-0.16455529411766101</v>
      </c>
      <c r="DW28">
        <v>2.7294389084744401E-2</v>
      </c>
      <c r="DX28">
        <v>1</v>
      </c>
      <c r="DY28">
        <v>2</v>
      </c>
      <c r="DZ28">
        <v>2</v>
      </c>
      <c r="EA28" t="s">
        <v>283</v>
      </c>
      <c r="EB28">
        <v>1.86676</v>
      </c>
      <c r="EC28">
        <v>1.8632500000000001</v>
      </c>
      <c r="ED28">
        <v>1.8689</v>
      </c>
      <c r="EE28">
        <v>1.86683</v>
      </c>
      <c r="EF28">
        <v>1.8714900000000001</v>
      </c>
      <c r="EG28">
        <v>1.8640000000000001</v>
      </c>
      <c r="EH28">
        <v>1.8655299999999999</v>
      </c>
      <c r="EI28">
        <v>1.8653900000000001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-0.13100000000000001</v>
      </c>
      <c r="EX28">
        <v>0.11</v>
      </c>
      <c r="EY28">
        <v>2</v>
      </c>
      <c r="EZ28">
        <v>336.887</v>
      </c>
      <c r="FA28">
        <v>472.00900000000001</v>
      </c>
      <c r="FB28">
        <v>21.1844</v>
      </c>
      <c r="FC28">
        <v>35.022100000000002</v>
      </c>
      <c r="FD28">
        <v>30.0014</v>
      </c>
      <c r="FE28">
        <v>35.030099999999997</v>
      </c>
      <c r="FF28">
        <v>35.0349</v>
      </c>
      <c r="FG28">
        <v>46.2408</v>
      </c>
      <c r="FH28">
        <v>49.365000000000002</v>
      </c>
      <c r="FI28">
        <v>0</v>
      </c>
      <c r="FJ28">
        <v>21.089700000000001</v>
      </c>
      <c r="FK28">
        <v>1000</v>
      </c>
      <c r="FL28">
        <v>16.8567</v>
      </c>
      <c r="FM28">
        <v>100.56699999999999</v>
      </c>
      <c r="FN28">
        <v>100.96299999999999</v>
      </c>
    </row>
    <row r="29" spans="1:170" x14ac:dyDescent="0.25">
      <c r="A29">
        <v>13</v>
      </c>
      <c r="B29">
        <v>1595614819</v>
      </c>
      <c r="C29">
        <v>1553.2000000476801</v>
      </c>
      <c r="D29" t="s">
        <v>345</v>
      </c>
      <c r="E29" t="s">
        <v>346</v>
      </c>
      <c r="G29">
        <v>1595614811</v>
      </c>
      <c r="H29">
        <f t="shared" si="0"/>
        <v>5.5136202683579013E-3</v>
      </c>
      <c r="I29">
        <f t="shared" si="1"/>
        <v>48.149115809401991</v>
      </c>
      <c r="J29">
        <f t="shared" si="2"/>
        <v>1178.16693548387</v>
      </c>
      <c r="K29">
        <f t="shared" si="3"/>
        <v>914.34130582793125</v>
      </c>
      <c r="L29">
        <f t="shared" si="4"/>
        <v>91.349034577657676</v>
      </c>
      <c r="M29">
        <f t="shared" si="5"/>
        <v>117.70704379401921</v>
      </c>
      <c r="N29">
        <f t="shared" si="6"/>
        <v>0.34263258254060391</v>
      </c>
      <c r="O29">
        <f t="shared" si="7"/>
        <v>3.3945485902425276</v>
      </c>
      <c r="P29">
        <f t="shared" si="8"/>
        <v>0.32451341873066497</v>
      </c>
      <c r="Q29">
        <f t="shared" si="9"/>
        <v>0.20436893794290861</v>
      </c>
      <c r="R29">
        <f t="shared" si="10"/>
        <v>353.33827200992084</v>
      </c>
      <c r="S29">
        <f t="shared" si="11"/>
        <v>26.930722696518092</v>
      </c>
      <c r="T29">
        <f t="shared" si="12"/>
        <v>26.955212903225799</v>
      </c>
      <c r="U29">
        <f t="shared" si="13"/>
        <v>3.5697556690377046</v>
      </c>
      <c r="V29">
        <f t="shared" si="14"/>
        <v>55.657936856018189</v>
      </c>
      <c r="W29">
        <f t="shared" si="15"/>
        <v>1.918922109478028</v>
      </c>
      <c r="X29">
        <f t="shared" si="16"/>
        <v>3.4477061455621287</v>
      </c>
      <c r="Y29">
        <f t="shared" si="17"/>
        <v>1.6508335595596766</v>
      </c>
      <c r="Z29">
        <f t="shared" si="18"/>
        <v>-243.15065383458344</v>
      </c>
      <c r="AA29">
        <f t="shared" si="19"/>
        <v>-108.12224967973975</v>
      </c>
      <c r="AB29">
        <f t="shared" si="20"/>
        <v>-6.850624520059835</v>
      </c>
      <c r="AC29">
        <f t="shared" si="21"/>
        <v>-4.7852560244621998</v>
      </c>
      <c r="AD29">
        <v>-4.1363271113384698E-2</v>
      </c>
      <c r="AE29">
        <v>4.6433895446343201E-2</v>
      </c>
      <c r="AF29">
        <v>3.4671338838033798</v>
      </c>
      <c r="AG29">
        <v>146</v>
      </c>
      <c r="AH29">
        <v>29</v>
      </c>
      <c r="AI29">
        <f t="shared" si="22"/>
        <v>1</v>
      </c>
      <c r="AJ29">
        <f t="shared" si="23"/>
        <v>0</v>
      </c>
      <c r="AK29">
        <f t="shared" si="24"/>
        <v>52855.796225166203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347</v>
      </c>
      <c r="AS29">
        <v>262.23223076923102</v>
      </c>
      <c r="AT29">
        <v>353.58300000000003</v>
      </c>
      <c r="AU29">
        <f t="shared" si="27"/>
        <v>0.25835735663413961</v>
      </c>
      <c r="AV29">
        <v>0.5</v>
      </c>
      <c r="AW29">
        <f t="shared" si="28"/>
        <v>1849.1875061606656</v>
      </c>
      <c r="AX29">
        <f t="shared" si="29"/>
        <v>48.149115809401991</v>
      </c>
      <c r="AY29">
        <f t="shared" si="30"/>
        <v>238.87559800627318</v>
      </c>
      <c r="AZ29">
        <f t="shared" si="31"/>
        <v>0.48623095567377395</v>
      </c>
      <c r="BA29">
        <f t="shared" si="32"/>
        <v>2.657876264340913E-2</v>
      </c>
      <c r="BB29">
        <f t="shared" si="33"/>
        <v>-1</v>
      </c>
      <c r="BC29" t="s">
        <v>348</v>
      </c>
      <c r="BD29">
        <v>181.66</v>
      </c>
      <c r="BE29">
        <f t="shared" si="34"/>
        <v>171.92300000000003</v>
      </c>
      <c r="BF29">
        <f t="shared" si="35"/>
        <v>0.53134699389127105</v>
      </c>
      <c r="BG29">
        <f t="shared" si="36"/>
        <v>1.9463998678850603</v>
      </c>
      <c r="BH29">
        <f t="shared" si="37"/>
        <v>0.25835735663413967</v>
      </c>
      <c r="BI29" t="e">
        <f t="shared" si="38"/>
        <v>#DIV/0!</v>
      </c>
      <c r="BJ29">
        <v>5345</v>
      </c>
      <c r="BK29">
        <v>300</v>
      </c>
      <c r="BL29">
        <v>300</v>
      </c>
      <c r="BM29">
        <v>300</v>
      </c>
      <c r="BN29">
        <v>9860.49</v>
      </c>
      <c r="BO29">
        <v>326.572</v>
      </c>
      <c r="BP29">
        <v>-6.3943899999999998E-3</v>
      </c>
      <c r="BQ29">
        <v>0.63382000000000005</v>
      </c>
      <c r="BR29">
        <f t="shared" si="39"/>
        <v>2200.0025806451599</v>
      </c>
      <c r="BS29">
        <f t="shared" si="40"/>
        <v>1849.1875061606656</v>
      </c>
      <c r="BT29">
        <f t="shared" si="41"/>
        <v>0.84053878955832118</v>
      </c>
      <c r="BU29">
        <f t="shared" si="42"/>
        <v>0.19107757911664219</v>
      </c>
      <c r="BV29">
        <v>0.5</v>
      </c>
      <c r="BW29" t="s">
        <v>281</v>
      </c>
      <c r="BX29">
        <v>1595614811</v>
      </c>
      <c r="BY29">
        <v>1178.16693548387</v>
      </c>
      <c r="BZ29">
        <v>1200.0225806451599</v>
      </c>
      <c r="CA29">
        <v>19.207096774193602</v>
      </c>
      <c r="CB29">
        <v>17.044245161290299</v>
      </c>
      <c r="CC29">
        <v>500.05461290322597</v>
      </c>
      <c r="CD29">
        <v>99.706945161290307</v>
      </c>
      <c r="CE29">
        <v>0.19998674193548399</v>
      </c>
      <c r="CF29">
        <v>26.364403225806502</v>
      </c>
      <c r="CG29">
        <v>26.955212903225799</v>
      </c>
      <c r="CH29">
        <v>999.9</v>
      </c>
      <c r="CI29">
        <v>10004.271935483899</v>
      </c>
      <c r="CJ29">
        <v>0</v>
      </c>
      <c r="CK29">
        <v>272.183516129032</v>
      </c>
      <c r="CL29">
        <v>2200.0025806451599</v>
      </c>
      <c r="CM29">
        <v>0.98199929032258104</v>
      </c>
      <c r="CN29">
        <v>1.8001045161290301E-2</v>
      </c>
      <c r="CO29">
        <v>0</v>
      </c>
      <c r="CP29">
        <v>262.285129032258</v>
      </c>
      <c r="CQ29">
        <v>5.00054</v>
      </c>
      <c r="CR29">
        <v>8046.36483870968</v>
      </c>
      <c r="CS29">
        <v>20590.554838709701</v>
      </c>
      <c r="CT29">
        <v>50.834483870967702</v>
      </c>
      <c r="CU29">
        <v>52.713419354838699</v>
      </c>
      <c r="CV29">
        <v>51.1812258064516</v>
      </c>
      <c r="CW29">
        <v>51.461322580645103</v>
      </c>
      <c r="CX29">
        <v>51.917000000000002</v>
      </c>
      <c r="CY29">
        <v>2155.49129032258</v>
      </c>
      <c r="CZ29">
        <v>39.511290322580599</v>
      </c>
      <c r="DA29">
        <v>0</v>
      </c>
      <c r="DB29">
        <v>133.80000019073501</v>
      </c>
      <c r="DC29">
        <v>262.23223076923102</v>
      </c>
      <c r="DD29">
        <v>-3.5890598271224698</v>
      </c>
      <c r="DE29">
        <v>-71.250940092631296</v>
      </c>
      <c r="DF29">
        <v>8045.8603846153801</v>
      </c>
      <c r="DG29">
        <v>15</v>
      </c>
      <c r="DH29">
        <v>1595614845.5</v>
      </c>
      <c r="DI29" t="s">
        <v>349</v>
      </c>
      <c r="DJ29">
        <v>69</v>
      </c>
      <c r="DK29">
        <v>-0.216</v>
      </c>
      <c r="DL29">
        <v>0.109</v>
      </c>
      <c r="DM29">
        <v>1200</v>
      </c>
      <c r="DN29">
        <v>17</v>
      </c>
      <c r="DO29">
        <v>0.18</v>
      </c>
      <c r="DP29">
        <v>0.04</v>
      </c>
      <c r="DQ29">
        <v>1178.24411764706</v>
      </c>
      <c r="DR29">
        <v>0.100778280542935</v>
      </c>
      <c r="DS29">
        <v>3.7478175117625301E-2</v>
      </c>
      <c r="DT29">
        <v>1</v>
      </c>
      <c r="DU29">
        <v>19.190664705882401</v>
      </c>
      <c r="DV29">
        <v>0.19922171945699699</v>
      </c>
      <c r="DW29">
        <v>2.6272163928053399E-2</v>
      </c>
      <c r="DX29">
        <v>1</v>
      </c>
      <c r="DY29">
        <v>2</v>
      </c>
      <c r="DZ29">
        <v>2</v>
      </c>
      <c r="EA29" t="s">
        <v>283</v>
      </c>
      <c r="EB29">
        <v>1.86676</v>
      </c>
      <c r="EC29">
        <v>1.8632599999999999</v>
      </c>
      <c r="ED29">
        <v>1.8689100000000001</v>
      </c>
      <c r="EE29">
        <v>1.86683</v>
      </c>
      <c r="EF29">
        <v>1.87154</v>
      </c>
      <c r="EG29">
        <v>1.8640099999999999</v>
      </c>
      <c r="EH29">
        <v>1.8655299999999999</v>
      </c>
      <c r="EI29">
        <v>1.8654299999999999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-0.216</v>
      </c>
      <c r="EX29">
        <v>0.109</v>
      </c>
      <c r="EY29">
        <v>2</v>
      </c>
      <c r="EZ29">
        <v>335.87</v>
      </c>
      <c r="FA29">
        <v>472.04399999999998</v>
      </c>
      <c r="FB29">
        <v>20.824200000000001</v>
      </c>
      <c r="FC29">
        <v>35.1404</v>
      </c>
      <c r="FD29">
        <v>29.9998</v>
      </c>
      <c r="FE29">
        <v>35.1235</v>
      </c>
      <c r="FF29">
        <v>35.124400000000001</v>
      </c>
      <c r="FG29">
        <v>53.5623</v>
      </c>
      <c r="FH29">
        <v>49.580199999999998</v>
      </c>
      <c r="FI29">
        <v>0</v>
      </c>
      <c r="FJ29">
        <v>20.824400000000001</v>
      </c>
      <c r="FK29">
        <v>1200</v>
      </c>
      <c r="FL29">
        <v>16.796800000000001</v>
      </c>
      <c r="FM29">
        <v>100.55</v>
      </c>
      <c r="FN29">
        <v>100.943</v>
      </c>
    </row>
    <row r="30" spans="1:170" x14ac:dyDescent="0.25">
      <c r="A30">
        <v>14</v>
      </c>
      <c r="B30">
        <v>1595614938.5</v>
      </c>
      <c r="C30">
        <v>1672.7000000476801</v>
      </c>
      <c r="D30" t="s">
        <v>350</v>
      </c>
      <c r="E30" t="s">
        <v>351</v>
      </c>
      <c r="G30">
        <v>1595614930.5</v>
      </c>
      <c r="H30">
        <f t="shared" si="0"/>
        <v>5.1490851948156032E-3</v>
      </c>
      <c r="I30">
        <f t="shared" si="1"/>
        <v>48.566506570922172</v>
      </c>
      <c r="J30">
        <f t="shared" si="2"/>
        <v>1577.3314193548399</v>
      </c>
      <c r="K30">
        <f t="shared" si="3"/>
        <v>1281.8247461902504</v>
      </c>
      <c r="L30">
        <f t="shared" si="4"/>
        <v>128.06445184599511</v>
      </c>
      <c r="M30">
        <f t="shared" si="5"/>
        <v>157.58791067149662</v>
      </c>
      <c r="N30">
        <f t="shared" si="6"/>
        <v>0.31618819115081298</v>
      </c>
      <c r="O30">
        <f t="shared" si="7"/>
        <v>3.3942845196972731</v>
      </c>
      <c r="P30">
        <f t="shared" si="8"/>
        <v>0.30068888443067254</v>
      </c>
      <c r="Q30">
        <f t="shared" si="9"/>
        <v>0.18925977309693098</v>
      </c>
      <c r="R30">
        <f t="shared" si="10"/>
        <v>353.33294820367405</v>
      </c>
      <c r="S30">
        <f t="shared" si="11"/>
        <v>27.030976214411087</v>
      </c>
      <c r="T30">
        <f t="shared" si="12"/>
        <v>26.980593548387098</v>
      </c>
      <c r="U30">
        <f t="shared" si="13"/>
        <v>3.5750822350166351</v>
      </c>
      <c r="V30">
        <f t="shared" si="14"/>
        <v>55.376475837383154</v>
      </c>
      <c r="W30">
        <f t="shared" si="15"/>
        <v>1.9112038171306276</v>
      </c>
      <c r="X30">
        <f t="shared" si="16"/>
        <v>3.4512918856429389</v>
      </c>
      <c r="Y30">
        <f t="shared" si="17"/>
        <v>1.6638784178860075</v>
      </c>
      <c r="Z30">
        <f t="shared" si="18"/>
        <v>-227.0746570913681</v>
      </c>
      <c r="AA30">
        <f t="shared" si="19"/>
        <v>-109.53468809031021</v>
      </c>
      <c r="AB30">
        <f t="shared" si="20"/>
        <v>-6.9421506409313887</v>
      </c>
      <c r="AC30">
        <f t="shared" si="21"/>
        <v>9.7814523810643408</v>
      </c>
      <c r="AD30">
        <v>-4.1359180570377498E-2</v>
      </c>
      <c r="AE30">
        <v>4.6429303453466401E-2</v>
      </c>
      <c r="AF30">
        <v>3.4668626350718501</v>
      </c>
      <c r="AG30">
        <v>146</v>
      </c>
      <c r="AH30">
        <v>29</v>
      </c>
      <c r="AI30">
        <f t="shared" si="22"/>
        <v>1</v>
      </c>
      <c r="AJ30">
        <f t="shared" si="23"/>
        <v>0</v>
      </c>
      <c r="AK30">
        <f t="shared" si="24"/>
        <v>52847.694998468549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260.91538461538499</v>
      </c>
      <c r="AT30">
        <v>346.58199999999999</v>
      </c>
      <c r="AU30">
        <f t="shared" si="27"/>
        <v>0.24717560457442977</v>
      </c>
      <c r="AV30">
        <v>0.5</v>
      </c>
      <c r="AW30">
        <f t="shared" si="28"/>
        <v>1849.1598287413208</v>
      </c>
      <c r="AX30">
        <f t="shared" si="29"/>
        <v>48.566506570922172</v>
      </c>
      <c r="AY30">
        <f t="shared" si="30"/>
        <v>228.53359931194248</v>
      </c>
      <c r="AZ30">
        <f t="shared" si="31"/>
        <v>0.48999082468218202</v>
      </c>
      <c r="BA30">
        <f t="shared" si="32"/>
        <v>2.6804879600191681E-2</v>
      </c>
      <c r="BB30">
        <f t="shared" si="33"/>
        <v>-1</v>
      </c>
      <c r="BC30" t="s">
        <v>353</v>
      </c>
      <c r="BD30">
        <v>176.76</v>
      </c>
      <c r="BE30">
        <f t="shared" si="34"/>
        <v>169.822</v>
      </c>
      <c r="BF30">
        <f t="shared" si="35"/>
        <v>0.50444945522143769</v>
      </c>
      <c r="BG30">
        <f t="shared" si="36"/>
        <v>1.9607490382439468</v>
      </c>
      <c r="BH30">
        <f t="shared" si="37"/>
        <v>0.24717560457442972</v>
      </c>
      <c r="BI30" t="e">
        <f t="shared" si="38"/>
        <v>#DIV/0!</v>
      </c>
      <c r="BJ30">
        <v>5347</v>
      </c>
      <c r="BK30">
        <v>300</v>
      </c>
      <c r="BL30">
        <v>300</v>
      </c>
      <c r="BM30">
        <v>300</v>
      </c>
      <c r="BN30">
        <v>9859.6200000000008</v>
      </c>
      <c r="BO30">
        <v>321.05599999999998</v>
      </c>
      <c r="BP30">
        <v>-6.3937799999999999E-3</v>
      </c>
      <c r="BQ30">
        <v>0.38562000000000002</v>
      </c>
      <c r="BR30">
        <f t="shared" si="39"/>
        <v>2199.9696774193599</v>
      </c>
      <c r="BS30">
        <f t="shared" si="40"/>
        <v>1849.1598287413208</v>
      </c>
      <c r="BT30">
        <f t="shared" si="41"/>
        <v>0.84053878002102689</v>
      </c>
      <c r="BU30">
        <f t="shared" si="42"/>
        <v>0.19107756004205401</v>
      </c>
      <c r="BV30">
        <v>0.5</v>
      </c>
      <c r="BW30" t="s">
        <v>281</v>
      </c>
      <c r="BX30">
        <v>1595614930.5</v>
      </c>
      <c r="BY30">
        <v>1577.3314193548399</v>
      </c>
      <c r="BZ30">
        <v>1600.00419354839</v>
      </c>
      <c r="CA30">
        <v>19.129651612903199</v>
      </c>
      <c r="CB30">
        <v>17.109645161290299</v>
      </c>
      <c r="CC30">
        <v>500.05632258064497</v>
      </c>
      <c r="CD30">
        <v>99.707938709677407</v>
      </c>
      <c r="CE30">
        <v>0.199987258064516</v>
      </c>
      <c r="CF30">
        <v>26.3820193548387</v>
      </c>
      <c r="CG30">
        <v>26.980593548387098</v>
      </c>
      <c r="CH30">
        <v>999.9</v>
      </c>
      <c r="CI30">
        <v>10003.182903225799</v>
      </c>
      <c r="CJ30">
        <v>0</v>
      </c>
      <c r="CK30">
        <v>272.32961290322601</v>
      </c>
      <c r="CL30">
        <v>2199.9696774193599</v>
      </c>
      <c r="CM30">
        <v>0.98200045161290295</v>
      </c>
      <c r="CN30">
        <v>1.79998258064516E-2</v>
      </c>
      <c r="CO30">
        <v>0</v>
      </c>
      <c r="CP30">
        <v>260.91754838709699</v>
      </c>
      <c r="CQ30">
        <v>5.00054</v>
      </c>
      <c r="CR30">
        <v>8036.8016129032303</v>
      </c>
      <c r="CS30">
        <v>20590.264516128998</v>
      </c>
      <c r="CT30">
        <v>51.048064516129003</v>
      </c>
      <c r="CU30">
        <v>52.902999999999999</v>
      </c>
      <c r="CV30">
        <v>51.370870967741901</v>
      </c>
      <c r="CW30">
        <v>51.636935483871</v>
      </c>
      <c r="CX30">
        <v>52.090387096774201</v>
      </c>
      <c r="CY30">
        <v>2155.4596774193501</v>
      </c>
      <c r="CZ30">
        <v>39.51</v>
      </c>
      <c r="DA30">
        <v>0</v>
      </c>
      <c r="DB30">
        <v>118.700000047684</v>
      </c>
      <c r="DC30">
        <v>260.91538461538499</v>
      </c>
      <c r="DD30">
        <v>-2.18639315200851</v>
      </c>
      <c r="DE30">
        <v>-51.944957342494597</v>
      </c>
      <c r="DF30">
        <v>8036.2988461538498</v>
      </c>
      <c r="DG30">
        <v>15</v>
      </c>
      <c r="DH30">
        <v>1595614966.5</v>
      </c>
      <c r="DI30" t="s">
        <v>354</v>
      </c>
      <c r="DJ30">
        <v>70</v>
      </c>
      <c r="DK30">
        <v>-0.442</v>
      </c>
      <c r="DL30">
        <v>0.113</v>
      </c>
      <c r="DM30">
        <v>1600</v>
      </c>
      <c r="DN30">
        <v>17</v>
      </c>
      <c r="DO30">
        <v>0.1</v>
      </c>
      <c r="DP30">
        <v>0.04</v>
      </c>
      <c r="DQ30">
        <v>1577.51470588235</v>
      </c>
      <c r="DR30">
        <v>0.29701357466087203</v>
      </c>
      <c r="DS30">
        <v>7.05816990437656E-2</v>
      </c>
      <c r="DT30">
        <v>1</v>
      </c>
      <c r="DU30">
        <v>19.1109509803922</v>
      </c>
      <c r="DV30">
        <v>0.182442352941143</v>
      </c>
      <c r="DW30">
        <v>2.5466012509940902E-2</v>
      </c>
      <c r="DX30">
        <v>1</v>
      </c>
      <c r="DY30">
        <v>2</v>
      </c>
      <c r="DZ30">
        <v>2</v>
      </c>
      <c r="EA30" t="s">
        <v>283</v>
      </c>
      <c r="EB30">
        <v>1.86676</v>
      </c>
      <c r="EC30">
        <v>1.8632500000000001</v>
      </c>
      <c r="ED30">
        <v>1.8689</v>
      </c>
      <c r="EE30">
        <v>1.86686</v>
      </c>
      <c r="EF30">
        <v>1.8715299999999999</v>
      </c>
      <c r="EG30">
        <v>1.8640099999999999</v>
      </c>
      <c r="EH30">
        <v>1.86554</v>
      </c>
      <c r="EI30">
        <v>1.86541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-0.442</v>
      </c>
      <c r="EX30">
        <v>0.113</v>
      </c>
      <c r="EY30">
        <v>2</v>
      </c>
      <c r="EZ30">
        <v>335.74900000000002</v>
      </c>
      <c r="FA30">
        <v>472.68200000000002</v>
      </c>
      <c r="FB30">
        <v>20.898599999999998</v>
      </c>
      <c r="FC30">
        <v>35.249099999999999</v>
      </c>
      <c r="FD30">
        <v>29.9999</v>
      </c>
      <c r="FE30">
        <v>35.219499999999996</v>
      </c>
      <c r="FF30">
        <v>35.215899999999998</v>
      </c>
      <c r="FG30">
        <v>67.351399999999998</v>
      </c>
      <c r="FH30">
        <v>48.936399999999999</v>
      </c>
      <c r="FI30">
        <v>0</v>
      </c>
      <c r="FJ30">
        <v>20.88</v>
      </c>
      <c r="FK30">
        <v>1600</v>
      </c>
      <c r="FL30">
        <v>16.9636</v>
      </c>
      <c r="FM30">
        <v>100.529</v>
      </c>
      <c r="FN30">
        <v>100.922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2020-07-24T13:23:05Z</dcterms:created>
  <dcterms:modified xsi:type="dcterms:W3CDTF">2024-11-20T09:02:54Z</dcterms:modified>
</cp:coreProperties>
</file>