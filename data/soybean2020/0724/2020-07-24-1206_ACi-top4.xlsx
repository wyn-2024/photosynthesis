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ELL\Desktop\博士学习资料\past test data\2020_soybean_CO2_curves\0724\"/>
    </mc:Choice>
  </mc:AlternateContent>
  <bookViews>
    <workbookView xWindow="240" yWindow="12" windowWidth="16092" windowHeight="9660"/>
  </bookViews>
  <sheets>
    <sheet name="Measurements" sheetId="1" r:id="rId1"/>
    <sheet name="Remarks" sheetId="2" r:id="rId2"/>
  </sheets>
  <calcPr calcId="162913"/>
</workbook>
</file>

<file path=xl/calcChain.xml><?xml version="1.0" encoding="utf-8"?>
<calcChain xmlns="http://schemas.openxmlformats.org/spreadsheetml/2006/main">
  <c r="BU30" i="1" l="1"/>
  <c r="BT30" i="1"/>
  <c r="BR30" i="1"/>
  <c r="BS30" i="1" s="1"/>
  <c r="BI30" i="1"/>
  <c r="BH30" i="1"/>
  <c r="BG30" i="1"/>
  <c r="BF30" i="1"/>
  <c r="BE30" i="1"/>
  <c r="BB30" i="1"/>
  <c r="AZ30" i="1"/>
  <c r="AU30" i="1"/>
  <c r="AO30" i="1"/>
  <c r="AP30" i="1" s="1"/>
  <c r="AK30" i="1"/>
  <c r="AI30" i="1"/>
  <c r="X30" i="1"/>
  <c r="W30" i="1"/>
  <c r="V30" i="1"/>
  <c r="O30" i="1"/>
  <c r="BU29" i="1"/>
  <c r="BT29" i="1"/>
  <c r="BR29" i="1"/>
  <c r="BS29" i="1" s="1"/>
  <c r="BI29" i="1"/>
  <c r="BH29" i="1"/>
  <c r="BG29" i="1"/>
  <c r="BF29" i="1"/>
  <c r="BE29" i="1"/>
  <c r="BB29" i="1"/>
  <c r="AZ29" i="1"/>
  <c r="AU29" i="1"/>
  <c r="AO29" i="1"/>
  <c r="AP29" i="1" s="1"/>
  <c r="AK29" i="1"/>
  <c r="AI29" i="1"/>
  <c r="J29" i="1" s="1"/>
  <c r="X29" i="1"/>
  <c r="W29" i="1"/>
  <c r="V29" i="1"/>
  <c r="O29" i="1"/>
  <c r="BU28" i="1"/>
  <c r="BT28" i="1"/>
  <c r="BR28" i="1"/>
  <c r="BS28" i="1" s="1"/>
  <c r="AW28" i="1" s="1"/>
  <c r="BI28" i="1"/>
  <c r="BH28" i="1"/>
  <c r="BG28" i="1"/>
  <c r="BF28" i="1"/>
  <c r="BE28" i="1"/>
  <c r="AZ28" i="1" s="1"/>
  <c r="BB28" i="1"/>
  <c r="AU28" i="1"/>
  <c r="AO28" i="1"/>
  <c r="AP28" i="1" s="1"/>
  <c r="AK28" i="1"/>
  <c r="AI28" i="1"/>
  <c r="M28" i="1" s="1"/>
  <c r="X28" i="1"/>
  <c r="W28" i="1"/>
  <c r="V28" i="1" s="1"/>
  <c r="O28" i="1"/>
  <c r="BU27" i="1"/>
  <c r="BT27" i="1"/>
  <c r="BR27" i="1"/>
  <c r="BS27" i="1" s="1"/>
  <c r="R27" i="1" s="1"/>
  <c r="BI27" i="1"/>
  <c r="BH27" i="1"/>
  <c r="BG27" i="1"/>
  <c r="BF27" i="1"/>
  <c r="BE27" i="1"/>
  <c r="BB27" i="1"/>
  <c r="AZ27" i="1"/>
  <c r="AU27" i="1"/>
  <c r="AP27" i="1"/>
  <c r="AO27" i="1"/>
  <c r="AK27" i="1"/>
  <c r="AI27" i="1"/>
  <c r="H27" i="1" s="1"/>
  <c r="Z27" i="1" s="1"/>
  <c r="X27" i="1"/>
  <c r="W27" i="1"/>
  <c r="V27" i="1"/>
  <c r="O27" i="1"/>
  <c r="M27" i="1"/>
  <c r="BU26" i="1"/>
  <c r="BT26" i="1"/>
  <c r="BR26" i="1"/>
  <c r="BS26" i="1" s="1"/>
  <c r="BI26" i="1"/>
  <c r="BH26" i="1"/>
  <c r="BG26" i="1"/>
  <c r="BF26" i="1"/>
  <c r="BE26" i="1"/>
  <c r="BB26" i="1"/>
  <c r="AZ26" i="1"/>
  <c r="AU26" i="1"/>
  <c r="AO26" i="1"/>
  <c r="AP26" i="1" s="1"/>
  <c r="AK26" i="1"/>
  <c r="AI26" i="1" s="1"/>
  <c r="M26" i="1" s="1"/>
  <c r="AJ26" i="1"/>
  <c r="X26" i="1"/>
  <c r="W26" i="1"/>
  <c r="V26" i="1"/>
  <c r="O26" i="1"/>
  <c r="J26" i="1"/>
  <c r="I26" i="1"/>
  <c r="AX26" i="1" s="1"/>
  <c r="H26" i="1"/>
  <c r="BU25" i="1"/>
  <c r="R25" i="1" s="1"/>
  <c r="BT25" i="1"/>
  <c r="BS25" i="1"/>
  <c r="BR25" i="1"/>
  <c r="BI25" i="1"/>
  <c r="BH25" i="1"/>
  <c r="BG25" i="1"/>
  <c r="BF25" i="1"/>
  <c r="BE25" i="1"/>
  <c r="BB25" i="1"/>
  <c r="AZ25" i="1"/>
  <c r="AW25" i="1"/>
  <c r="AU25" i="1"/>
  <c r="AY25" i="1" s="1"/>
  <c r="AO25" i="1"/>
  <c r="AP25" i="1" s="1"/>
  <c r="AK25" i="1"/>
  <c r="AI25" i="1"/>
  <c r="X25" i="1"/>
  <c r="W25" i="1"/>
  <c r="V25" i="1"/>
  <c r="O25" i="1"/>
  <c r="BU24" i="1"/>
  <c r="BT24" i="1"/>
  <c r="BR24" i="1"/>
  <c r="BS24" i="1" s="1"/>
  <c r="BI24" i="1"/>
  <c r="BH24" i="1"/>
  <c r="BG24" i="1"/>
  <c r="BF24" i="1"/>
  <c r="BE24" i="1"/>
  <c r="BB24" i="1"/>
  <c r="AZ24" i="1"/>
  <c r="AU24" i="1"/>
  <c r="AO24" i="1"/>
  <c r="AP24" i="1" s="1"/>
  <c r="AK24" i="1"/>
  <c r="AI24" i="1"/>
  <c r="I24" i="1" s="1"/>
  <c r="AX24" i="1" s="1"/>
  <c r="X24" i="1"/>
  <c r="W24" i="1"/>
  <c r="V24" i="1"/>
  <c r="O24" i="1"/>
  <c r="BU23" i="1"/>
  <c r="BT23" i="1"/>
  <c r="BR23" i="1"/>
  <c r="BS23" i="1" s="1"/>
  <c r="AW23" i="1" s="1"/>
  <c r="BI23" i="1"/>
  <c r="BH23" i="1"/>
  <c r="BG23" i="1"/>
  <c r="BF23" i="1"/>
  <c r="BE23" i="1"/>
  <c r="AZ23" i="1" s="1"/>
  <c r="BB23" i="1"/>
  <c r="AU23" i="1"/>
  <c r="AO23" i="1"/>
  <c r="AP23" i="1" s="1"/>
  <c r="AK23" i="1"/>
  <c r="AI23" i="1"/>
  <c r="J23" i="1" s="1"/>
  <c r="X23" i="1"/>
  <c r="W23" i="1"/>
  <c r="V23" i="1"/>
  <c r="O23" i="1"/>
  <c r="BU22" i="1"/>
  <c r="BT22" i="1"/>
  <c r="BR22" i="1"/>
  <c r="BS22" i="1" s="1"/>
  <c r="R22" i="1" s="1"/>
  <c r="BI22" i="1"/>
  <c r="BH22" i="1"/>
  <c r="BG22" i="1"/>
  <c r="BF22" i="1"/>
  <c r="BE22" i="1"/>
  <c r="BB22" i="1"/>
  <c r="AZ22" i="1"/>
  <c r="AU22" i="1"/>
  <c r="AO22" i="1"/>
  <c r="AP22" i="1" s="1"/>
  <c r="AK22" i="1"/>
  <c r="AI22" i="1"/>
  <c r="J22" i="1" s="1"/>
  <c r="X22" i="1"/>
  <c r="W22" i="1"/>
  <c r="V22" i="1"/>
  <c r="O22" i="1"/>
  <c r="M22" i="1"/>
  <c r="BU21" i="1"/>
  <c r="BT21" i="1"/>
  <c r="BR21" i="1"/>
  <c r="BS21" i="1" s="1"/>
  <c r="BI21" i="1"/>
  <c r="BH21" i="1"/>
  <c r="BG21" i="1"/>
  <c r="BF21" i="1"/>
  <c r="BE21" i="1"/>
  <c r="BB21" i="1"/>
  <c r="AZ21" i="1"/>
  <c r="AU21" i="1"/>
  <c r="AO21" i="1"/>
  <c r="AP21" i="1" s="1"/>
  <c r="AK21" i="1"/>
  <c r="AI21" i="1"/>
  <c r="M21" i="1" s="1"/>
  <c r="X21" i="1"/>
  <c r="W21" i="1"/>
  <c r="V21" i="1"/>
  <c r="O21" i="1"/>
  <c r="J21" i="1"/>
  <c r="I21" i="1"/>
  <c r="AX21" i="1" s="1"/>
  <c r="H21" i="1"/>
  <c r="BU20" i="1"/>
  <c r="BT20" i="1"/>
  <c r="BR20" i="1"/>
  <c r="BS20" i="1" s="1"/>
  <c r="BI20" i="1"/>
  <c r="BH20" i="1"/>
  <c r="BG20" i="1"/>
  <c r="BF20" i="1"/>
  <c r="BE20" i="1"/>
  <c r="BB20" i="1"/>
  <c r="AZ20" i="1"/>
  <c r="AU20" i="1"/>
  <c r="AO20" i="1"/>
  <c r="AP20" i="1" s="1"/>
  <c r="AK20" i="1"/>
  <c r="AI20" i="1"/>
  <c r="J20" i="1" s="1"/>
  <c r="X20" i="1"/>
  <c r="W20" i="1"/>
  <c r="V20" i="1" s="1"/>
  <c r="O20" i="1"/>
  <c r="BU19" i="1"/>
  <c r="BT19" i="1"/>
  <c r="BR19" i="1"/>
  <c r="BS19" i="1" s="1"/>
  <c r="BI19" i="1"/>
  <c r="BH19" i="1"/>
  <c r="BG19" i="1"/>
  <c r="BF19" i="1"/>
  <c r="BE19" i="1"/>
  <c r="BB19" i="1"/>
  <c r="AZ19" i="1"/>
  <c r="AU19" i="1"/>
  <c r="AO19" i="1"/>
  <c r="AP19" i="1" s="1"/>
  <c r="AK19" i="1"/>
  <c r="AI19" i="1"/>
  <c r="I19" i="1" s="1"/>
  <c r="AX19" i="1" s="1"/>
  <c r="X19" i="1"/>
  <c r="W19" i="1"/>
  <c r="V19" i="1"/>
  <c r="O19" i="1"/>
  <c r="BU18" i="1"/>
  <c r="BT18" i="1"/>
  <c r="BR18" i="1"/>
  <c r="BS18" i="1" s="1"/>
  <c r="AW18" i="1" s="1"/>
  <c r="BI18" i="1"/>
  <c r="BH18" i="1"/>
  <c r="BG18" i="1"/>
  <c r="BF18" i="1"/>
  <c r="BE18" i="1"/>
  <c r="BB18" i="1"/>
  <c r="BA18" i="1"/>
  <c r="AZ18" i="1"/>
  <c r="AU18" i="1"/>
  <c r="AY18" i="1" s="1"/>
  <c r="AO18" i="1"/>
  <c r="AP18" i="1" s="1"/>
  <c r="AK18" i="1"/>
  <c r="AI18" i="1"/>
  <c r="I18" i="1" s="1"/>
  <c r="AX18" i="1" s="1"/>
  <c r="X18" i="1"/>
  <c r="W18" i="1"/>
  <c r="V18" i="1"/>
  <c r="O18" i="1"/>
  <c r="BU17" i="1"/>
  <c r="BT17" i="1"/>
  <c r="BR17" i="1"/>
  <c r="BS17" i="1" s="1"/>
  <c r="R17" i="1" s="1"/>
  <c r="BI17" i="1"/>
  <c r="BH17" i="1"/>
  <c r="BG17" i="1"/>
  <c r="BF17" i="1"/>
  <c r="BE17" i="1"/>
  <c r="BB17" i="1"/>
  <c r="AZ17" i="1"/>
  <c r="AX17" i="1"/>
  <c r="AW17" i="1"/>
  <c r="AU17" i="1"/>
  <c r="AY17" i="1" s="1"/>
  <c r="AP17" i="1"/>
  <c r="AO17" i="1"/>
  <c r="AK17" i="1"/>
  <c r="AI17" i="1"/>
  <c r="I17" i="1" s="1"/>
  <c r="X17" i="1"/>
  <c r="W17" i="1"/>
  <c r="V17" i="1"/>
  <c r="O17" i="1"/>
  <c r="M17" i="1"/>
  <c r="J17" i="1"/>
  <c r="AW24" i="1" l="1"/>
  <c r="R24" i="1"/>
  <c r="R29" i="1"/>
  <c r="AW29" i="1"/>
  <c r="AY29" i="1" s="1"/>
  <c r="R19" i="1"/>
  <c r="AW19" i="1"/>
  <c r="AW26" i="1"/>
  <c r="BA26" i="1" s="1"/>
  <c r="R26" i="1"/>
  <c r="Z21" i="1"/>
  <c r="Z26" i="1"/>
  <c r="R20" i="1"/>
  <c r="AW20" i="1"/>
  <c r="AY20" i="1" s="1"/>
  <c r="M30" i="1"/>
  <c r="H30" i="1"/>
  <c r="J30" i="1"/>
  <c r="I30" i="1"/>
  <c r="AX30" i="1" s="1"/>
  <c r="BA30" i="1" s="1"/>
  <c r="R28" i="1"/>
  <c r="AY30" i="1"/>
  <c r="AW21" i="1"/>
  <c r="BA21" i="1" s="1"/>
  <c r="R21" i="1"/>
  <c r="BA17" i="1"/>
  <c r="S27" i="1"/>
  <c r="T27" i="1" s="1"/>
  <c r="AA27" i="1" s="1"/>
  <c r="AJ30" i="1"/>
  <c r="S17" i="1"/>
  <c r="T17" i="1" s="1"/>
  <c r="M25" i="1"/>
  <c r="AJ25" i="1"/>
  <c r="J25" i="1"/>
  <c r="H25" i="1"/>
  <c r="I25" i="1"/>
  <c r="AX25" i="1" s="1"/>
  <c r="BA25" i="1" s="1"/>
  <c r="BA24" i="1"/>
  <c r="AJ21" i="1"/>
  <c r="AY26" i="1"/>
  <c r="S22" i="1"/>
  <c r="T22" i="1" s="1"/>
  <c r="AA22" i="1" s="1"/>
  <c r="R23" i="1"/>
  <c r="R18" i="1"/>
  <c r="AY24" i="1"/>
  <c r="AW27" i="1"/>
  <c r="AY27" i="1" s="1"/>
  <c r="AY28" i="1"/>
  <c r="BA19" i="1"/>
  <c r="AW22" i="1"/>
  <c r="AY22" i="1" s="1"/>
  <c r="AY23" i="1"/>
  <c r="R30" i="1"/>
  <c r="AW30" i="1"/>
  <c r="AY19" i="1"/>
  <c r="I20" i="1"/>
  <c r="AX20" i="1" s="1"/>
  <c r="BA20" i="1" s="1"/>
  <c r="H20" i="1"/>
  <c r="AJ24" i="1"/>
  <c r="H29" i="1"/>
  <c r="I29" i="1"/>
  <c r="AX29" i="1" s="1"/>
  <c r="M20" i="1"/>
  <c r="AJ23" i="1"/>
  <c r="M29" i="1"/>
  <c r="AJ18" i="1"/>
  <c r="I28" i="1"/>
  <c r="AX28" i="1" s="1"/>
  <c r="BA28" i="1" s="1"/>
  <c r="AJ20" i="1"/>
  <c r="H19" i="1"/>
  <c r="J19" i="1"/>
  <c r="AJ28" i="1"/>
  <c r="H18" i="1"/>
  <c r="M19" i="1"/>
  <c r="J28" i="1"/>
  <c r="J18" i="1"/>
  <c r="AJ27" i="1"/>
  <c r="AJ17" i="1"/>
  <c r="H22" i="1"/>
  <c r="M23" i="1"/>
  <c r="I27" i="1"/>
  <c r="AX27" i="1" s="1"/>
  <c r="BA27" i="1" s="1"/>
  <c r="AJ29" i="1"/>
  <c r="H24" i="1"/>
  <c r="J24" i="1"/>
  <c r="M24" i="1"/>
  <c r="AJ22" i="1"/>
  <c r="M18" i="1"/>
  <c r="I22" i="1"/>
  <c r="AX22" i="1" s="1"/>
  <c r="BA22" i="1" s="1"/>
  <c r="J27" i="1"/>
  <c r="AJ19" i="1"/>
  <c r="H28" i="1"/>
  <c r="H23" i="1"/>
  <c r="I23" i="1"/>
  <c r="AX23" i="1" s="1"/>
  <c r="BA23" i="1" s="1"/>
  <c r="H17" i="1"/>
  <c r="Z25" i="1" l="1"/>
  <c r="Z18" i="1"/>
  <c r="S18" i="1"/>
  <c r="T18" i="1" s="1"/>
  <c r="P18" i="1" s="1"/>
  <c r="N18" i="1" s="1"/>
  <c r="Q18" i="1" s="1"/>
  <c r="K18" i="1" s="1"/>
  <c r="L18" i="1" s="1"/>
  <c r="S19" i="1"/>
  <c r="T19" i="1" s="1"/>
  <c r="S28" i="1"/>
  <c r="T28" i="1" s="1"/>
  <c r="AY21" i="1"/>
  <c r="Z29" i="1"/>
  <c r="S30" i="1"/>
  <c r="T30" i="1" s="1"/>
  <c r="P28" i="1"/>
  <c r="N28" i="1" s="1"/>
  <c r="Q28" i="1" s="1"/>
  <c r="K28" i="1" s="1"/>
  <c r="L28" i="1" s="1"/>
  <c r="Z28" i="1"/>
  <c r="Z30" i="1"/>
  <c r="P30" i="1"/>
  <c r="N30" i="1" s="1"/>
  <c r="Q30" i="1" s="1"/>
  <c r="K30" i="1" s="1"/>
  <c r="L30" i="1" s="1"/>
  <c r="U17" i="1"/>
  <c r="Y17" i="1" s="1"/>
  <c r="AB17" i="1"/>
  <c r="AA17" i="1"/>
  <c r="Z17" i="1"/>
  <c r="P17" i="1"/>
  <c r="N17" i="1" s="1"/>
  <c r="Q17" i="1" s="1"/>
  <c r="K17" i="1" s="1"/>
  <c r="L17" i="1" s="1"/>
  <c r="Z19" i="1"/>
  <c r="S24" i="1"/>
  <c r="T24" i="1" s="1"/>
  <c r="AB22" i="1"/>
  <c r="U22" i="1"/>
  <c r="Y22" i="1" s="1"/>
  <c r="BA29" i="1"/>
  <c r="Z20" i="1"/>
  <c r="P24" i="1"/>
  <c r="N24" i="1" s="1"/>
  <c r="Q24" i="1" s="1"/>
  <c r="K24" i="1" s="1"/>
  <c r="L24" i="1" s="1"/>
  <c r="Z24" i="1"/>
  <c r="S20" i="1"/>
  <c r="T20" i="1" s="1"/>
  <c r="P22" i="1"/>
  <c r="N22" i="1" s="1"/>
  <c r="Q22" i="1" s="1"/>
  <c r="K22" i="1" s="1"/>
  <c r="L22" i="1" s="1"/>
  <c r="Z22" i="1"/>
  <c r="S26" i="1"/>
  <c r="T26" i="1" s="1"/>
  <c r="S25" i="1"/>
  <c r="T25" i="1" s="1"/>
  <c r="AB27" i="1"/>
  <c r="AC27" i="1" s="1"/>
  <c r="U27" i="1"/>
  <c r="Y27" i="1" s="1"/>
  <c r="P27" i="1"/>
  <c r="N27" i="1" s="1"/>
  <c r="Q27" i="1" s="1"/>
  <c r="K27" i="1" s="1"/>
  <c r="L27" i="1" s="1"/>
  <c r="S29" i="1"/>
  <c r="T29" i="1" s="1"/>
  <c r="Z23" i="1"/>
  <c r="S23" i="1"/>
  <c r="T23" i="1" s="1"/>
  <c r="S21" i="1"/>
  <c r="T21" i="1" s="1"/>
  <c r="U29" i="1" l="1"/>
  <c r="Y29" i="1" s="1"/>
  <c r="AB29" i="1"/>
  <c r="AA29" i="1"/>
  <c r="P29" i="1"/>
  <c r="N29" i="1" s="1"/>
  <c r="Q29" i="1" s="1"/>
  <c r="K29" i="1" s="1"/>
  <c r="L29" i="1" s="1"/>
  <c r="AB21" i="1"/>
  <c r="U21" i="1"/>
  <c r="Y21" i="1" s="1"/>
  <c r="P21" i="1"/>
  <c r="N21" i="1" s="1"/>
  <c r="Q21" i="1" s="1"/>
  <c r="K21" i="1" s="1"/>
  <c r="L21" i="1" s="1"/>
  <c r="AA21" i="1"/>
  <c r="U26" i="1"/>
  <c r="Y26" i="1" s="1"/>
  <c r="AB26" i="1"/>
  <c r="AA26" i="1"/>
  <c r="P26" i="1"/>
  <c r="N26" i="1" s="1"/>
  <c r="Q26" i="1" s="1"/>
  <c r="K26" i="1" s="1"/>
  <c r="L26" i="1" s="1"/>
  <c r="U20" i="1"/>
  <c r="Y20" i="1" s="1"/>
  <c r="AB20" i="1"/>
  <c r="AA20" i="1"/>
  <c r="AA19" i="1"/>
  <c r="AB19" i="1"/>
  <c r="AC19" i="1" s="1"/>
  <c r="U19" i="1"/>
  <c r="Y19" i="1" s="1"/>
  <c r="AB24" i="1"/>
  <c r="AA24" i="1"/>
  <c r="U24" i="1"/>
  <c r="Y24" i="1" s="1"/>
  <c r="P20" i="1"/>
  <c r="N20" i="1" s="1"/>
  <c r="Q20" i="1" s="1"/>
  <c r="K20" i="1" s="1"/>
  <c r="L20" i="1" s="1"/>
  <c r="AC22" i="1"/>
  <c r="AC17" i="1"/>
  <c r="U25" i="1"/>
  <c r="Y25" i="1" s="1"/>
  <c r="AB25" i="1"/>
  <c r="AC25" i="1" s="1"/>
  <c r="AA25" i="1"/>
  <c r="U30" i="1"/>
  <c r="Y30" i="1" s="1"/>
  <c r="AB30" i="1"/>
  <c r="AA30" i="1"/>
  <c r="AA28" i="1"/>
  <c r="AB28" i="1"/>
  <c r="AC28" i="1" s="1"/>
  <c r="U28" i="1"/>
  <c r="Y28" i="1" s="1"/>
  <c r="U18" i="1"/>
  <c r="Y18" i="1" s="1"/>
  <c r="AB18" i="1"/>
  <c r="AC18" i="1" s="1"/>
  <c r="AA18" i="1"/>
  <c r="U23" i="1"/>
  <c r="Y23" i="1" s="1"/>
  <c r="AB23" i="1"/>
  <c r="AA23" i="1"/>
  <c r="P19" i="1"/>
  <c r="N19" i="1" s="1"/>
  <c r="Q19" i="1" s="1"/>
  <c r="K19" i="1" s="1"/>
  <c r="L19" i="1" s="1"/>
  <c r="P23" i="1"/>
  <c r="N23" i="1" s="1"/>
  <c r="Q23" i="1" s="1"/>
  <c r="K23" i="1" s="1"/>
  <c r="L23" i="1" s="1"/>
  <c r="P25" i="1"/>
  <c r="N25" i="1" s="1"/>
  <c r="Q25" i="1" s="1"/>
  <c r="K25" i="1" s="1"/>
  <c r="L25" i="1" s="1"/>
  <c r="AC24" i="1" l="1"/>
  <c r="AC23" i="1"/>
  <c r="AC20" i="1"/>
  <c r="AC30" i="1"/>
  <c r="AC29" i="1"/>
  <c r="AC26" i="1"/>
  <c r="AC21" i="1"/>
</calcChain>
</file>

<file path=xl/sharedStrings.xml><?xml version="1.0" encoding="utf-8"?>
<sst xmlns="http://schemas.openxmlformats.org/spreadsheetml/2006/main" count="771" uniqueCount="354">
  <si>
    <t>File opened</t>
  </si>
  <si>
    <t>2020-07-24 12:06:35</t>
  </si>
  <si>
    <t>Console s/n</t>
  </si>
  <si>
    <t>68C-571038</t>
  </si>
  <si>
    <t>Console ver</t>
  </si>
  <si>
    <t>Bluestem v.1.3.4</t>
  </si>
  <si>
    <t>Scripts ver</t>
  </si>
  <si>
    <t>2018.05  1.3.4, Mar 2018</t>
  </si>
  <si>
    <t>Head s/n</t>
  </si>
  <si>
    <t>68H-581038</t>
  </si>
  <si>
    <t>Head ver</t>
  </si>
  <si>
    <t>1.4.0</t>
  </si>
  <si>
    <t>Head cal</t>
  </si>
  <si>
    <t>{"co2bzero": "0.880288", "tbzero": "0.197721", "co2aspan2b": "0.163711", "h2obspanconc1": "20", "co2bspan2b": "0.162103", "h2obspan1": "0.998578", "h2oazero": "1.00263", "h2obspanconc2": "0", "co2bspan1": "0.992131", "flowmeterzero": "0.990908", "h2oaspan1": "1.00223", "h2oaspan2b": "0.0662632", "flowazero": "0.42932", "h2obspan2a": "0.0975941", "h2oaspanconc2": "0", "h2obzero": "1.01783", "co2aspan2": "0", "co2bspanconc2": "0", "co2aspan2a": "0.164928", "co2aspanconc1": "1002", "tazero": "0.00774765", "h2obspan2": "0", "flowbzero": "0.22736", "ssa_ref": "36614.9", "co2aspan1": "0.992625", "co2bspan2": "0", "h2oaspanconc1": "12.19", "ssb_ref": "36526.8", "co2bspanconc1": "1002", "h2oaspan2a": "0.0661155", "co2azero": "0.869071", "oxygen": "21", "chamberpressurezero": "2.59209", "co2bspan2a": "0.163389", "co2aspanconc2": "0", "h2obspan2b": "0.0963575", "h2oaspan2": "0"}</t>
  </si>
  <si>
    <t>Chamber type</t>
  </si>
  <si>
    <t>6800-01A</t>
  </si>
  <si>
    <t>Chamber s/n</t>
  </si>
  <si>
    <t>MPF-551037</t>
  </si>
  <si>
    <t>Chamber rev</t>
  </si>
  <si>
    <t>0</t>
  </si>
  <si>
    <t>Chamber cal</t>
  </si>
  <si>
    <t>Fluorometer</t>
  </si>
  <si>
    <t>Flr. Version</t>
  </si>
  <si>
    <t>12:06:35</t>
  </si>
  <si>
    <t>Stability Definition:	CO2_s (Meas): Slp&lt;0.3	H2O_s (Meas): Slp&lt;0.2</t>
  </si>
  <si>
    <t>SysConst</t>
  </si>
  <si>
    <t>AvgTime</t>
  </si>
  <si>
    <t>4</t>
  </si>
  <si>
    <t>Oxygen</t>
  </si>
  <si>
    <t>21</t>
  </si>
  <si>
    <t>Chamber</t>
  </si>
  <si>
    <t>6800-01A 2 cm²</t>
  </si>
  <si>
    <t>Const</t>
  </si>
  <si>
    <t>S</t>
  </si>
  <si>
    <t>CustomBLC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</si>
  <si>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</si>
  <si>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</si>
  <si>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</si>
  <si>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</si>
  <si>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</si>
  <si>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</si>
  <si>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</si>
  <si>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</si>
  <si>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</si>
  <si>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</si>
  <si>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</si>
  <si>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</si>
  <si>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</si>
  <si>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</si>
  <si>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</si>
  <si>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</si>
  <si>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</si>
  <si>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</si>
  <si>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</si>
  <si>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</si>
  <si>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</si>
  <si>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</si>
  <si>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</si>
  <si>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</si>
  <si>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</si>
  <si>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</si>
  <si>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</si>
  <si>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</si>
  <si>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</si>
  <si>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</si>
  <si>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</si>
  <si>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</si>
  <si>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</si>
  <si>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</si>
  <si>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</si>
  <si>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</si>
  <si>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3.46935 75.7742 386.148 617.459 845.313 1047.31 1232.25 1386.61</t>
  </si>
  <si>
    <t>Fs_true</t>
  </si>
  <si>
    <t>0.0901397 100.218 402.746 600.792 800.086 1000.08 1200.42 1401.29</t>
  </si>
  <si>
    <t>leak_wt</t>
  </si>
  <si>
    <t>Sys</t>
  </si>
  <si>
    <t>UserDefVar</t>
  </si>
  <si>
    <t>GasEx</t>
  </si>
  <si>
    <t>Leak</t>
  </si>
  <si>
    <t>FLR</t>
  </si>
  <si>
    <t>MPF</t>
  </si>
  <si>
    <t>LeafQ</t>
  </si>
  <si>
    <t>Meas</t>
  </si>
  <si>
    <t>FlrLS</t>
  </si>
  <si>
    <t>FlrStats</t>
  </si>
  <si>
    <t>Match</t>
  </si>
  <si>
    <t>Stability</t>
  </si>
  <si>
    <t>Auxiliary</t>
  </si>
  <si>
    <t>Status</t>
  </si>
  <si>
    <t>obs</t>
  </si>
  <si>
    <t>time</t>
  </si>
  <si>
    <t>elapsed</t>
  </si>
  <si>
    <t>date</t>
  </si>
  <si>
    <t>hhmmss</t>
  </si>
  <si>
    <t>plant</t>
  </si>
  <si>
    <t>TIME</t>
  </si>
  <si>
    <t>E</t>
  </si>
  <si>
    <t>A</t>
  </si>
  <si>
    <t>Ca</t>
  </si>
  <si>
    <t>Ci</t>
  </si>
  <si>
    <t>Pci</t>
  </si>
  <si>
    <t>Pca</t>
  </si>
  <si>
    <t>gsw</t>
  </si>
  <si>
    <t>gbw</t>
  </si>
  <si>
    <t>gtw</t>
  </si>
  <si>
    <t>gtc</t>
  </si>
  <si>
    <t>Rabs</t>
  </si>
  <si>
    <t>TleafEB</t>
  </si>
  <si>
    <t>TleafCnd</t>
  </si>
  <si>
    <t>SVPleaf</t>
  </si>
  <si>
    <t>RHcham</t>
  </si>
  <si>
    <t>VPcham</t>
  </si>
  <si>
    <t>SVPcham</t>
  </si>
  <si>
    <t>VPDleaf</t>
  </si>
  <si>
    <t>LatHFlux</t>
  </si>
  <si>
    <t>SenHFlux</t>
  </si>
  <si>
    <t>NetTherm</t>
  </si>
  <si>
    <t>EBSum</t>
  </si>
  <si>
    <t>blfa_1</t>
  </si>
  <si>
    <t>blfa_2</t>
  </si>
  <si>
    <t>blfa_3</t>
  </si>
  <si>
    <t>LeakPct</t>
  </si>
  <si>
    <t>CorrFact</t>
  </si>
  <si>
    <t>CorrFactPct</t>
  </si>
  <si>
    <t>Fan</t>
  </si>
  <si>
    <t>DarkAdaptedID</t>
  </si>
  <si>
    <t>Fo</t>
  </si>
  <si>
    <t>Fm</t>
  </si>
  <si>
    <t>Fv</t>
  </si>
  <si>
    <t>Fv/Fm</t>
  </si>
  <si>
    <t>Adark</t>
  </si>
  <si>
    <t>LightAdaptedID</t>
  </si>
  <si>
    <t>Fs</t>
  </si>
  <si>
    <t>Fm'</t>
  </si>
  <si>
    <t>PhiPS2</t>
  </si>
  <si>
    <t>PS2/1</t>
  </si>
  <si>
    <t>Qabs_fs</t>
  </si>
  <si>
    <t>Afs</t>
  </si>
  <si>
    <t>ETR</t>
  </si>
  <si>
    <t>Fv'/Fm'</t>
  </si>
  <si>
    <t>PhiCO2</t>
  </si>
  <si>
    <t>NPQ</t>
  </si>
  <si>
    <t>DarkPulseID</t>
  </si>
  <si>
    <t>Fo'</t>
  </si>
  <si>
    <t>Fv'</t>
  </si>
  <si>
    <t>qP</t>
  </si>
  <si>
    <t>qN</t>
  </si>
  <si>
    <t>qP_Fo</t>
  </si>
  <si>
    <t>qN_Fo</t>
  </si>
  <si>
    <t>ID</t>
  </si>
  <si>
    <t>P1_dur</t>
  </si>
  <si>
    <t>P2_dur</t>
  </si>
  <si>
    <t>P3_dur</t>
  </si>
  <si>
    <t>P1_Qmax</t>
  </si>
  <si>
    <t>P1_Fmax</t>
  </si>
  <si>
    <t>P2_dQdt</t>
  </si>
  <si>
    <t>P3_ΔF</t>
  </si>
  <si>
    <t>Qin</t>
  </si>
  <si>
    <t>Qabs</t>
  </si>
  <si>
    <t>alpha</t>
  </si>
  <si>
    <t>convert</t>
  </si>
  <si>
    <t>K</t>
  </si>
  <si>
    <t>Geometry</t>
  </si>
  <si>
    <t>CO2_s</t>
  </si>
  <si>
    <t>CO2_r</t>
  </si>
  <si>
    <t>H2O_s</t>
  </si>
  <si>
    <t>H2O_r</t>
  </si>
  <si>
    <t>Flow</t>
  </si>
  <si>
    <t>Pa</t>
  </si>
  <si>
    <t>ΔPcham</t>
  </si>
  <si>
    <t>Tair</t>
  </si>
  <si>
    <t>Tleaf</t>
  </si>
  <si>
    <t>Tleaf2</t>
  </si>
  <si>
    <t>Fan_speed</t>
  </si>
  <si>
    <t>Qamb_in</t>
  </si>
  <si>
    <t>Qamb_out</t>
  </si>
  <si>
    <t>Q</t>
  </si>
  <si>
    <t>f_red</t>
  </si>
  <si>
    <t>f_blue</t>
  </si>
  <si>
    <t>f_farred</t>
  </si>
  <si>
    <t>F</t>
  </si>
  <si>
    <t>Q_modavg</t>
  </si>
  <si>
    <t>F_dc</t>
  </si>
  <si>
    <t>Pc</t>
  </si>
  <si>
    <t>Tled</t>
  </si>
  <si>
    <t>TDigital</t>
  </si>
  <si>
    <t>TPreamp</t>
  </si>
  <si>
    <t>TPwrSpy</t>
  </si>
  <si>
    <t>TDrive</t>
  </si>
  <si>
    <t>Q_red</t>
  </si>
  <si>
    <t>Q_blue</t>
  </si>
  <si>
    <t>Q_farred</t>
  </si>
  <si>
    <t>TSPF</t>
  </si>
  <si>
    <t>F_avg</t>
  </si>
  <si>
    <t>dF/dt</t>
  </si>
  <si>
    <t>dF_dc/dt</t>
  </si>
  <si>
    <t>F_dc_avg</t>
  </si>
  <si>
    <t>period</t>
  </si>
  <si>
    <t>count</t>
  </si>
  <si>
    <t>co2_adj</t>
  </si>
  <si>
    <t>h2o_adj</t>
  </si>
  <si>
    <t>co2_at</t>
  </si>
  <si>
    <t>h2o_at</t>
  </si>
  <si>
    <t>co2_cv</t>
  </si>
  <si>
    <t>h2o_cv</t>
  </si>
  <si>
    <t>CO2_s:MN</t>
  </si>
  <si>
    <t>CO2_s:SLP</t>
  </si>
  <si>
    <t>CO2_s:SD</t>
  </si>
  <si>
    <t>CO2_s:OK</t>
  </si>
  <si>
    <t>H2O_s:MN</t>
  </si>
  <si>
    <t>H2O_s:SLP</t>
  </si>
  <si>
    <t>H2O_s:SD</t>
  </si>
  <si>
    <t>H2O_s:OK</t>
  </si>
  <si>
    <t>Stable</t>
  </si>
  <si>
    <t>Total</t>
  </si>
  <si>
    <t>State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</si>
  <si>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</si>
  <si>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</si>
  <si>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</si>
  <si>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</si>
  <si>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</si>
  <si>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</si>
  <si>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</si>
  <si>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</si>
  <si>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</si>
  <si>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</si>
  <si>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</si>
  <si>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</si>
  <si>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</si>
  <si>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</si>
  <si>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</si>
  <si>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</si>
  <si>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</si>
  <si>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</si>
  <si>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</si>
  <si>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</si>
  <si>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</si>
  <si>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</si>
  <si>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</si>
  <si>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</si>
  <si>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</si>
  <si>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</si>
  <si>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</si>
  <si>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</si>
  <si>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</si>
  <si>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</si>
  <si>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</si>
  <si>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</si>
  <si>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</si>
  <si>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</si>
  <si>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</si>
  <si>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</si>
  <si>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</si>
  <si>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</si>
  <si>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</si>
  <si>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s</t>
  </si>
  <si>
    <t>mol m⁻² s⁻¹</t>
  </si>
  <si>
    <t>µmol m⁻² s⁻¹</t>
  </si>
  <si>
    <t>µmol mol⁻¹</t>
  </si>
  <si>
    <t>W m⁻²</t>
  </si>
  <si>
    <t>°C</t>
  </si>
  <si>
    <t>kPa</t>
  </si>
  <si>
    <t>%</t>
  </si>
  <si>
    <t>µmol s⁻¹</t>
  </si>
  <si>
    <t>µmol µmol⁻¹</t>
  </si>
  <si>
    <t>ms</t>
  </si>
  <si>
    <t>mol m⁻² s⁻²</t>
  </si>
  <si>
    <t>J/µmol</t>
  </si>
  <si>
    <t>mmol mol⁻¹</t>
  </si>
  <si>
    <t>rpm</t>
  </si>
  <si>
    <t>min⁻¹</t>
  </si>
  <si>
    <t>secs</t>
  </si>
  <si>
    <t>µmol/mol</t>
  </si>
  <si>
    <t>mmol/mol</t>
  </si>
  <si>
    <t>µmol mol⁻¹ min⁻¹</t>
  </si>
  <si>
    <t>mmol mol⁻¹ min⁻¹</t>
  </si>
  <si>
    <t>V</t>
  </si>
  <si>
    <t>20200724 12:14:38</t>
  </si>
  <si>
    <t>12:14:38</t>
  </si>
  <si>
    <t>MPF-5293-20200724-12_14_39</t>
  </si>
  <si>
    <t>DARK-5294-20200724-12_14_47</t>
  </si>
  <si>
    <t>0: Broadleaf</t>
  </si>
  <si>
    <t>12:15:08</t>
  </si>
  <si>
    <t>2/2</t>
  </si>
  <si>
    <t>5</t>
  </si>
  <si>
    <t>11111111</t>
  </si>
  <si>
    <t>oooooooo</t>
  </si>
  <si>
    <t>off</t>
  </si>
  <si>
    <t>20200724 12:16:40</t>
  </si>
  <si>
    <t>12:16:40</t>
  </si>
  <si>
    <t>MPF-5295-20200724-12_16_41</t>
  </si>
  <si>
    <t>DARK-5296-20200724-12_16_49</t>
  </si>
  <si>
    <t>12:17:08</t>
  </si>
  <si>
    <t>20200724 12:18:39</t>
  </si>
  <si>
    <t>12:18:39</t>
  </si>
  <si>
    <t>MPF-5297-20200724-12_18_41</t>
  </si>
  <si>
    <t>DARK-5298-20200724-12_18_48</t>
  </si>
  <si>
    <t>12:19:10</t>
  </si>
  <si>
    <t>20200724 12:20:50</t>
  </si>
  <si>
    <t>12:20:50</t>
  </si>
  <si>
    <t>MPF-5299-20200724-12_20_51</t>
  </si>
  <si>
    <t>DARK-5300-20200724-12_20_59</t>
  </si>
  <si>
    <t>12:21:17</t>
  </si>
  <si>
    <t>20200724 12:22:49</t>
  </si>
  <si>
    <t>12:22:49</t>
  </si>
  <si>
    <t>MPF-5301-20200724-12_22_50</t>
  </si>
  <si>
    <t>DARK-5302-20200724-12_22_58</t>
  </si>
  <si>
    <t>12:23:17</t>
  </si>
  <si>
    <t>20200724 12:25:08</t>
  </si>
  <si>
    <t>12:25:08</t>
  </si>
  <si>
    <t>MPF-5303-20200724-12_25_10</t>
  </si>
  <si>
    <t>DARK-5304-20200724-12_25_17</t>
  </si>
  <si>
    <t>12:25:37</t>
  </si>
  <si>
    <t>20200724 12:27:14</t>
  </si>
  <si>
    <t>12:27:14</t>
  </si>
  <si>
    <t>MPF-5305-20200724-12_27_15</t>
  </si>
  <si>
    <t>DARK-5306-20200724-12_27_23</t>
  </si>
  <si>
    <t>12:27:41</t>
  </si>
  <si>
    <t>20200724 12:29:42</t>
  </si>
  <si>
    <t>12:29:42</t>
  </si>
  <si>
    <t>MPF-5307-20200724-12_29_44</t>
  </si>
  <si>
    <t>DARK-5308-20200724-12_29_52</t>
  </si>
  <si>
    <t>12:30:08</t>
  </si>
  <si>
    <t>1/2</t>
  </si>
  <si>
    <t>20200724 12:31:47</t>
  </si>
  <si>
    <t>12:31:47</t>
  </si>
  <si>
    <t>MPF-5309-20200724-12_31_48</t>
  </si>
  <si>
    <t>DARK-5310-20200724-12_31_56</t>
  </si>
  <si>
    <t>12:32:13</t>
  </si>
  <si>
    <t>20200724 12:34:15</t>
  </si>
  <si>
    <t>12:34:15</t>
  </si>
  <si>
    <t>MPF-5311-20200724-12_34_16</t>
  </si>
  <si>
    <t>DARK-5312-20200724-12_34_24</t>
  </si>
  <si>
    <t>12:34:38</t>
  </si>
  <si>
    <t>20200724 12:36:39</t>
  </si>
  <si>
    <t>12:36:39</t>
  </si>
  <si>
    <t>MPF-5313-20200724-12_36_41</t>
  </si>
  <si>
    <t>DARK-5314-20200724-12_36_49</t>
  </si>
  <si>
    <t>12:37:09</t>
  </si>
  <si>
    <t>20200724 12:39:10</t>
  </si>
  <si>
    <t>12:39:10</t>
  </si>
  <si>
    <t>MPF-5315-20200724-12_39_12</t>
  </si>
  <si>
    <t>DARK-5316-20200724-12_39_20</t>
  </si>
  <si>
    <t>12:39:46</t>
  </si>
  <si>
    <t>20200724 12:41:32</t>
  </si>
  <si>
    <t>12:41:32</t>
  </si>
  <si>
    <t>MPF-5317-20200724-12_41_34</t>
  </si>
  <si>
    <t>DARK-5318-20200724-12_41_41</t>
  </si>
  <si>
    <t>12:41:53</t>
  </si>
  <si>
    <t>20200724 12:43:55</t>
  </si>
  <si>
    <t>12:43:55</t>
  </si>
  <si>
    <t>MPF-5319-20200724-12_43_56</t>
  </si>
  <si>
    <t>DARK-5320-20200724-12_44_04</t>
  </si>
  <si>
    <t>12:44:35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</si>
</sst>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N30"/>
  <sheetViews>
    <sheetView tabSelected="1" workbookViewId="0"/>
  </sheetViews>
  <sheetFormatPr defaultRowHeight="14.4" x14ac:dyDescent="0.25"/>
  <sheetData>
    <row r="2" spans="1:170" x14ac:dyDescent="0.25">
      <c r="A2" t="s">
        <v>25</v>
      </c>
      <c r="B2" t="s">
        <v>26</v>
      </c>
      <c r="C2" t="s">
        <v>28</v>
      </c>
      <c r="D2" t="s">
        <v>30</v>
      </c>
    </row>
    <row r="3" spans="1:170" x14ac:dyDescent="0.25">
      <c r="B3" t="s">
        <v>27</v>
      </c>
      <c r="C3" t="s">
        <v>29</v>
      </c>
      <c r="D3" t="s">
        <v>31</v>
      </c>
    </row>
    <row r="4" spans="1:170" x14ac:dyDescent="0.25">
      <c r="A4" t="s">
        <v>32</v>
      </c>
      <c r="B4" t="s">
        <v>33</v>
      </c>
      <c r="C4" t="s">
        <v>34</v>
      </c>
    </row>
    <row r="5" spans="1:170" x14ac:dyDescent="0.25">
      <c r="B5">
        <v>2</v>
      </c>
      <c r="C5">
        <v>2</v>
      </c>
    </row>
    <row r="6" spans="1:170" x14ac:dyDescent="0.25">
      <c r="A6" t="s">
        <v>35</v>
      </c>
      <c r="B6" t="s">
        <v>36</v>
      </c>
      <c r="C6" t="s">
        <v>37</v>
      </c>
      <c r="D6" t="s">
        <v>38</v>
      </c>
      <c r="E6" t="s">
        <v>39</v>
      </c>
    </row>
    <row r="7" spans="1:170" x14ac:dyDescent="0.25">
      <c r="B7">
        <v>0</v>
      </c>
      <c r="C7">
        <v>1</v>
      </c>
      <c r="D7">
        <v>0</v>
      </c>
      <c r="E7">
        <v>0</v>
      </c>
    </row>
    <row r="8" spans="1:170" x14ac:dyDescent="0.25">
      <c r="A8" t="s">
        <v>40</v>
      </c>
      <c r="B8" t="s">
        <v>41</v>
      </c>
      <c r="C8" t="s">
        <v>43</v>
      </c>
      <c r="D8" t="s">
        <v>45</v>
      </c>
      <c r="E8" t="s">
        <v>46</v>
      </c>
      <c r="F8" t="s">
        <v>47</v>
      </c>
      <c r="G8" t="s">
        <v>48</v>
      </c>
      <c r="H8" t="s">
        <v>49</v>
      </c>
      <c r="I8" t="s">
        <v>50</v>
      </c>
      <c r="J8" t="s">
        <v>51</v>
      </c>
      <c r="K8" t="s">
        <v>52</v>
      </c>
      <c r="L8" t="s">
        <v>53</v>
      </c>
      <c r="M8" t="s">
        <v>54</v>
      </c>
      <c r="N8" t="s">
        <v>55</v>
      </c>
      <c r="O8" t="s">
        <v>56</v>
      </c>
      <c r="P8" t="s">
        <v>57</v>
      </c>
      <c r="Q8" t="s">
        <v>58</v>
      </c>
    </row>
    <row r="9" spans="1:170" x14ac:dyDescent="0.25">
      <c r="B9" t="s">
        <v>42</v>
      </c>
      <c r="C9" t="s">
        <v>44</v>
      </c>
      <c r="D9">
        <v>0.49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0.39</v>
      </c>
      <c r="L9">
        <v>0.18</v>
      </c>
      <c r="M9">
        <v>0.23</v>
      </c>
      <c r="N9">
        <v>0.26</v>
      </c>
      <c r="O9">
        <v>0.21</v>
      </c>
      <c r="P9">
        <v>0.19</v>
      </c>
      <c r="Q9">
        <v>0.25</v>
      </c>
    </row>
    <row r="10" spans="1:170" x14ac:dyDescent="0.25">
      <c r="A10" t="s">
        <v>59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</row>
    <row r="11" spans="1:170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170" x14ac:dyDescent="0.25">
      <c r="A12" t="s">
        <v>65</v>
      </c>
      <c r="B12" t="s">
        <v>66</v>
      </c>
      <c r="C12" t="s">
        <v>67</v>
      </c>
      <c r="D12" t="s">
        <v>68</v>
      </c>
      <c r="E12" t="s">
        <v>69</v>
      </c>
      <c r="F12" t="s">
        <v>70</v>
      </c>
      <c r="G12" t="s">
        <v>72</v>
      </c>
      <c r="H12" t="s">
        <v>74</v>
      </c>
    </row>
    <row r="13" spans="1:170" x14ac:dyDescent="0.25">
      <c r="B13">
        <v>-6276</v>
      </c>
      <c r="C13">
        <v>6.6</v>
      </c>
      <c r="D13">
        <v>1.7090000000000001E-5</v>
      </c>
      <c r="E13">
        <v>3.11</v>
      </c>
      <c r="F13" t="s">
        <v>71</v>
      </c>
      <c r="G13" t="s">
        <v>73</v>
      </c>
      <c r="H13">
        <v>0</v>
      </c>
    </row>
    <row r="14" spans="1:170" x14ac:dyDescent="0.25">
      <c r="A14" t="s">
        <v>75</v>
      </c>
      <c r="B14" t="s">
        <v>75</v>
      </c>
      <c r="C14" t="s">
        <v>75</v>
      </c>
      <c r="D14" t="s">
        <v>75</v>
      </c>
      <c r="E14" t="s">
        <v>75</v>
      </c>
      <c r="F14" t="s">
        <v>76</v>
      </c>
      <c r="G14" t="s">
        <v>77</v>
      </c>
      <c r="H14" t="s">
        <v>77</v>
      </c>
      <c r="I14" t="s">
        <v>77</v>
      </c>
      <c r="J14" t="s">
        <v>77</v>
      </c>
      <c r="K14" t="s">
        <v>77</v>
      </c>
      <c r="L14" t="s">
        <v>77</v>
      </c>
      <c r="M14" t="s">
        <v>77</v>
      </c>
      <c r="N14" t="s">
        <v>77</v>
      </c>
      <c r="O14" t="s">
        <v>77</v>
      </c>
      <c r="P14" t="s">
        <v>77</v>
      </c>
      <c r="Q14" t="s">
        <v>77</v>
      </c>
      <c r="R14" t="s">
        <v>77</v>
      </c>
      <c r="S14" t="s">
        <v>77</v>
      </c>
      <c r="T14" t="s">
        <v>77</v>
      </c>
      <c r="U14" t="s">
        <v>77</v>
      </c>
      <c r="V14" t="s">
        <v>77</v>
      </c>
      <c r="W14" t="s">
        <v>77</v>
      </c>
      <c r="X14" t="s">
        <v>77</v>
      </c>
      <c r="Y14" t="s">
        <v>77</v>
      </c>
      <c r="Z14" t="s">
        <v>77</v>
      </c>
      <c r="AA14" t="s">
        <v>77</v>
      </c>
      <c r="AB14" t="s">
        <v>77</v>
      </c>
      <c r="AC14" t="s">
        <v>77</v>
      </c>
      <c r="AD14" t="s">
        <v>77</v>
      </c>
      <c r="AE14" t="s">
        <v>77</v>
      </c>
      <c r="AF14" t="s">
        <v>77</v>
      </c>
      <c r="AG14" t="s">
        <v>78</v>
      </c>
      <c r="AH14" t="s">
        <v>78</v>
      </c>
      <c r="AI14" t="s">
        <v>78</v>
      </c>
      <c r="AJ14" t="s">
        <v>78</v>
      </c>
      <c r="AK14" t="s">
        <v>78</v>
      </c>
      <c r="AL14" t="s">
        <v>79</v>
      </c>
      <c r="AM14" t="s">
        <v>79</v>
      </c>
      <c r="AN14" t="s">
        <v>79</v>
      </c>
      <c r="AO14" t="s">
        <v>79</v>
      </c>
      <c r="AP14" t="s">
        <v>79</v>
      </c>
      <c r="AQ14" t="s">
        <v>79</v>
      </c>
      <c r="AR14" t="s">
        <v>79</v>
      </c>
      <c r="AS14" t="s">
        <v>79</v>
      </c>
      <c r="AT14" t="s">
        <v>79</v>
      </c>
      <c r="AU14" t="s">
        <v>79</v>
      </c>
      <c r="AV14" t="s">
        <v>79</v>
      </c>
      <c r="AW14" t="s">
        <v>79</v>
      </c>
      <c r="AX14" t="s">
        <v>79</v>
      </c>
      <c r="AY14" t="s">
        <v>79</v>
      </c>
      <c r="AZ14" t="s">
        <v>79</v>
      </c>
      <c r="BA14" t="s">
        <v>79</v>
      </c>
      <c r="BB14" t="s">
        <v>79</v>
      </c>
      <c r="BC14" t="s">
        <v>79</v>
      </c>
      <c r="BD14" t="s">
        <v>79</v>
      </c>
      <c r="BE14" t="s">
        <v>79</v>
      </c>
      <c r="BF14" t="s">
        <v>79</v>
      </c>
      <c r="BG14" t="s">
        <v>79</v>
      </c>
      <c r="BH14" t="s">
        <v>79</v>
      </c>
      <c r="BI14" t="s">
        <v>79</v>
      </c>
      <c r="BJ14" t="s">
        <v>80</v>
      </c>
      <c r="BK14" t="s">
        <v>80</v>
      </c>
      <c r="BL14" t="s">
        <v>80</v>
      </c>
      <c r="BM14" t="s">
        <v>80</v>
      </c>
      <c r="BN14" t="s">
        <v>80</v>
      </c>
      <c r="BO14" t="s">
        <v>80</v>
      </c>
      <c r="BP14" t="s">
        <v>80</v>
      </c>
      <c r="BQ14" t="s">
        <v>80</v>
      </c>
      <c r="BR14" t="s">
        <v>81</v>
      </c>
      <c r="BS14" t="s">
        <v>81</v>
      </c>
      <c r="BT14" t="s">
        <v>81</v>
      </c>
      <c r="BU14" t="s">
        <v>81</v>
      </c>
      <c r="BV14" t="s">
        <v>32</v>
      </c>
      <c r="BW14" t="s">
        <v>32</v>
      </c>
      <c r="BX14" t="s">
        <v>82</v>
      </c>
      <c r="BY14" t="s">
        <v>82</v>
      </c>
      <c r="BZ14" t="s">
        <v>82</v>
      </c>
      <c r="CA14" t="s">
        <v>82</v>
      </c>
      <c r="CB14" t="s">
        <v>82</v>
      </c>
      <c r="CC14" t="s">
        <v>82</v>
      </c>
      <c r="CD14" t="s">
        <v>82</v>
      </c>
      <c r="CE14" t="s">
        <v>82</v>
      </c>
      <c r="CF14" t="s">
        <v>82</v>
      </c>
      <c r="CG14" t="s">
        <v>82</v>
      </c>
      <c r="CH14" t="s">
        <v>82</v>
      </c>
      <c r="CI14" t="s">
        <v>82</v>
      </c>
      <c r="CJ14" t="s">
        <v>82</v>
      </c>
      <c r="CK14" t="s">
        <v>82</v>
      </c>
      <c r="CL14" t="s">
        <v>83</v>
      </c>
      <c r="CM14" t="s">
        <v>83</v>
      </c>
      <c r="CN14" t="s">
        <v>83</v>
      </c>
      <c r="CO14" t="s">
        <v>83</v>
      </c>
      <c r="CP14" t="s">
        <v>83</v>
      </c>
      <c r="CQ14" t="s">
        <v>83</v>
      </c>
      <c r="CR14" t="s">
        <v>83</v>
      </c>
      <c r="CS14" t="s">
        <v>83</v>
      </c>
      <c r="CT14" t="s">
        <v>83</v>
      </c>
      <c r="CU14" t="s">
        <v>83</v>
      </c>
      <c r="CV14" t="s">
        <v>83</v>
      </c>
      <c r="CW14" t="s">
        <v>83</v>
      </c>
      <c r="CX14" t="s">
        <v>83</v>
      </c>
      <c r="CY14" t="s">
        <v>83</v>
      </c>
      <c r="CZ14" t="s">
        <v>83</v>
      </c>
      <c r="DA14" t="s">
        <v>83</v>
      </c>
      <c r="DB14" t="s">
        <v>83</v>
      </c>
      <c r="DC14" t="s">
        <v>84</v>
      </c>
      <c r="DD14" t="s">
        <v>84</v>
      </c>
      <c r="DE14" t="s">
        <v>84</v>
      </c>
      <c r="DF14" t="s">
        <v>84</v>
      </c>
      <c r="DG14" t="s">
        <v>84</v>
      </c>
      <c r="DH14" t="s">
        <v>85</v>
      </c>
      <c r="DI14" t="s">
        <v>85</v>
      </c>
      <c r="DJ14" t="s">
        <v>85</v>
      </c>
      <c r="DK14" t="s">
        <v>85</v>
      </c>
      <c r="DL14" t="s">
        <v>85</v>
      </c>
      <c r="DM14" t="s">
        <v>85</v>
      </c>
      <c r="DN14" t="s">
        <v>85</v>
      </c>
      <c r="DO14" t="s">
        <v>85</v>
      </c>
      <c r="DP14" t="s">
        <v>85</v>
      </c>
      <c r="DQ14" t="s">
        <v>86</v>
      </c>
      <c r="DR14" t="s">
        <v>86</v>
      </c>
      <c r="DS14" t="s">
        <v>86</v>
      </c>
      <c r="DT14" t="s">
        <v>86</v>
      </c>
      <c r="DU14" t="s">
        <v>86</v>
      </c>
      <c r="DV14" t="s">
        <v>86</v>
      </c>
      <c r="DW14" t="s">
        <v>86</v>
      </c>
      <c r="DX14" t="s">
        <v>86</v>
      </c>
      <c r="DY14" t="s">
        <v>86</v>
      </c>
      <c r="DZ14" t="s">
        <v>86</v>
      </c>
      <c r="EA14" t="s">
        <v>86</v>
      </c>
      <c r="EB14" t="s">
        <v>87</v>
      </c>
      <c r="EC14" t="s">
        <v>87</v>
      </c>
      <c r="ED14" t="s">
        <v>87</v>
      </c>
      <c r="EE14" t="s">
        <v>87</v>
      </c>
      <c r="EF14" t="s">
        <v>87</v>
      </c>
      <c r="EG14" t="s">
        <v>87</v>
      </c>
      <c r="EH14" t="s">
        <v>87</v>
      </c>
      <c r="EI14" t="s">
        <v>87</v>
      </c>
      <c r="EJ14" t="s">
        <v>87</v>
      </c>
      <c r="EK14" t="s">
        <v>87</v>
      </c>
      <c r="EL14" t="s">
        <v>87</v>
      </c>
      <c r="EM14" t="s">
        <v>87</v>
      </c>
      <c r="EN14" t="s">
        <v>87</v>
      </c>
      <c r="EO14" t="s">
        <v>87</v>
      </c>
      <c r="EP14" t="s">
        <v>87</v>
      </c>
      <c r="EQ14" t="s">
        <v>87</v>
      </c>
      <c r="ER14" t="s">
        <v>87</v>
      </c>
      <c r="ES14" t="s">
        <v>87</v>
      </c>
      <c r="ET14" t="s">
        <v>87</v>
      </c>
      <c r="EU14" t="s">
        <v>88</v>
      </c>
      <c r="EV14" t="s">
        <v>88</v>
      </c>
      <c r="EW14" t="s">
        <v>88</v>
      </c>
      <c r="EX14" t="s">
        <v>88</v>
      </c>
      <c r="EY14" t="s">
        <v>88</v>
      </c>
      <c r="EZ14" t="s">
        <v>88</v>
      </c>
      <c r="FA14" t="s">
        <v>88</v>
      </c>
      <c r="FB14" t="s">
        <v>88</v>
      </c>
      <c r="FC14" t="s">
        <v>88</v>
      </c>
      <c r="FD14" t="s">
        <v>88</v>
      </c>
      <c r="FE14" t="s">
        <v>88</v>
      </c>
      <c r="FF14" t="s">
        <v>88</v>
      </c>
      <c r="FG14" t="s">
        <v>88</v>
      </c>
      <c r="FH14" t="s">
        <v>88</v>
      </c>
      <c r="FI14" t="s">
        <v>88</v>
      </c>
      <c r="FJ14" t="s">
        <v>88</v>
      </c>
      <c r="FK14" t="s">
        <v>88</v>
      </c>
      <c r="FL14" t="s">
        <v>88</v>
      </c>
      <c r="FM14" t="s">
        <v>88</v>
      </c>
      <c r="FN14" t="s">
        <v>88</v>
      </c>
    </row>
    <row r="15" spans="1:170" x14ac:dyDescent="0.25">
      <c r="A15" t="s">
        <v>89</v>
      </c>
      <c r="B15" t="s">
        <v>90</v>
      </c>
      <c r="C15" t="s">
        <v>91</v>
      </c>
      <c r="D15" t="s">
        <v>92</v>
      </c>
      <c r="E15" t="s">
        <v>93</v>
      </c>
      <c r="F15" t="s">
        <v>94</v>
      </c>
      <c r="G15" t="s">
        <v>95</v>
      </c>
      <c r="H15" t="s">
        <v>96</v>
      </c>
      <c r="I15" t="s">
        <v>97</v>
      </c>
      <c r="J15" t="s">
        <v>98</v>
      </c>
      <c r="K15" t="s">
        <v>99</v>
      </c>
      <c r="L15" t="s">
        <v>100</v>
      </c>
      <c r="M15" t="s">
        <v>101</v>
      </c>
      <c r="N15" t="s">
        <v>102</v>
      </c>
      <c r="O15" t="s">
        <v>103</v>
      </c>
      <c r="P15" t="s">
        <v>104</v>
      </c>
      <c r="Q15" t="s">
        <v>105</v>
      </c>
      <c r="R15" t="s">
        <v>106</v>
      </c>
      <c r="S15" t="s">
        <v>107</v>
      </c>
      <c r="T15" t="s">
        <v>108</v>
      </c>
      <c r="U15" t="s">
        <v>109</v>
      </c>
      <c r="V15" t="s">
        <v>110</v>
      </c>
      <c r="W15" t="s">
        <v>111</v>
      </c>
      <c r="X15" t="s">
        <v>112</v>
      </c>
      <c r="Y15" t="s">
        <v>113</v>
      </c>
      <c r="Z15" t="s">
        <v>114</v>
      </c>
      <c r="AA15" t="s">
        <v>115</v>
      </c>
      <c r="AB15" t="s">
        <v>116</v>
      </c>
      <c r="AC15" t="s">
        <v>117</v>
      </c>
      <c r="AD15" t="s">
        <v>118</v>
      </c>
      <c r="AE15" t="s">
        <v>119</v>
      </c>
      <c r="AF15" t="s">
        <v>120</v>
      </c>
      <c r="AG15" t="s">
        <v>78</v>
      </c>
      <c r="AH15" t="s">
        <v>121</v>
      </c>
      <c r="AI15" t="s">
        <v>122</v>
      </c>
      <c r="AJ15" t="s">
        <v>123</v>
      </c>
      <c r="AK15" t="s">
        <v>124</v>
      </c>
      <c r="AL15" t="s">
        <v>125</v>
      </c>
      <c r="AM15" t="s">
        <v>126</v>
      </c>
      <c r="AN15" t="s">
        <v>127</v>
      </c>
      <c r="AO15" t="s">
        <v>128</v>
      </c>
      <c r="AP15" t="s">
        <v>129</v>
      </c>
      <c r="AQ15" t="s">
        <v>130</v>
      </c>
      <c r="AR15" t="s">
        <v>131</v>
      </c>
      <c r="AS15" t="s">
        <v>132</v>
      </c>
      <c r="AT15" t="s">
        <v>133</v>
      </c>
      <c r="AU15" t="s">
        <v>134</v>
      </c>
      <c r="AV15" t="s">
        <v>135</v>
      </c>
      <c r="AW15" t="s">
        <v>136</v>
      </c>
      <c r="AX15" t="s">
        <v>137</v>
      </c>
      <c r="AY15" t="s">
        <v>138</v>
      </c>
      <c r="AZ15" t="s">
        <v>139</v>
      </c>
      <c r="BA15" t="s">
        <v>140</v>
      </c>
      <c r="BB15" t="s">
        <v>141</v>
      </c>
      <c r="BC15" t="s">
        <v>142</v>
      </c>
      <c r="BD15" t="s">
        <v>143</v>
      </c>
      <c r="BE15" t="s">
        <v>144</v>
      </c>
      <c r="BF15" t="s">
        <v>145</v>
      </c>
      <c r="BG15" t="s">
        <v>146</v>
      </c>
      <c r="BH15" t="s">
        <v>147</v>
      </c>
      <c r="BI15" t="s">
        <v>148</v>
      </c>
      <c r="BJ15" t="s">
        <v>149</v>
      </c>
      <c r="BK15" t="s">
        <v>150</v>
      </c>
      <c r="BL15" t="s">
        <v>151</v>
      </c>
      <c r="BM15" t="s">
        <v>152</v>
      </c>
      <c r="BN15" t="s">
        <v>153</v>
      </c>
      <c r="BO15" t="s">
        <v>154</v>
      </c>
      <c r="BP15" t="s">
        <v>155</v>
      </c>
      <c r="BQ15" t="s">
        <v>156</v>
      </c>
      <c r="BR15" t="s">
        <v>157</v>
      </c>
      <c r="BS15" t="s">
        <v>158</v>
      </c>
      <c r="BT15" t="s">
        <v>159</v>
      </c>
      <c r="BU15" t="s">
        <v>160</v>
      </c>
      <c r="BV15" t="s">
        <v>161</v>
      </c>
      <c r="BW15" t="s">
        <v>162</v>
      </c>
      <c r="BX15" t="s">
        <v>95</v>
      </c>
      <c r="BY15" t="s">
        <v>163</v>
      </c>
      <c r="BZ15" t="s">
        <v>164</v>
      </c>
      <c r="CA15" t="s">
        <v>165</v>
      </c>
      <c r="CB15" t="s">
        <v>166</v>
      </c>
      <c r="CC15" t="s">
        <v>167</v>
      </c>
      <c r="CD15" t="s">
        <v>168</v>
      </c>
      <c r="CE15" t="s">
        <v>169</v>
      </c>
      <c r="CF15" t="s">
        <v>170</v>
      </c>
      <c r="CG15" t="s">
        <v>171</v>
      </c>
      <c r="CH15" t="s">
        <v>172</v>
      </c>
      <c r="CI15" t="s">
        <v>173</v>
      </c>
      <c r="CJ15" t="s">
        <v>174</v>
      </c>
      <c r="CK15" t="s">
        <v>175</v>
      </c>
      <c r="CL15" t="s">
        <v>176</v>
      </c>
      <c r="CM15" t="s">
        <v>177</v>
      </c>
      <c r="CN15" t="s">
        <v>178</v>
      </c>
      <c r="CO15" t="s">
        <v>179</v>
      </c>
      <c r="CP15" t="s">
        <v>180</v>
      </c>
      <c r="CQ15" t="s">
        <v>181</v>
      </c>
      <c r="CR15" t="s">
        <v>182</v>
      </c>
      <c r="CS15" t="s">
        <v>183</v>
      </c>
      <c r="CT15" t="s">
        <v>184</v>
      </c>
      <c r="CU15" t="s">
        <v>185</v>
      </c>
      <c r="CV15" t="s">
        <v>186</v>
      </c>
      <c r="CW15" t="s">
        <v>187</v>
      </c>
      <c r="CX15" t="s">
        <v>188</v>
      </c>
      <c r="CY15" t="s">
        <v>189</v>
      </c>
      <c r="CZ15" t="s">
        <v>190</v>
      </c>
      <c r="DA15" t="s">
        <v>191</v>
      </c>
      <c r="DB15" t="s">
        <v>192</v>
      </c>
      <c r="DC15" t="s">
        <v>193</v>
      </c>
      <c r="DD15" t="s">
        <v>194</v>
      </c>
      <c r="DE15" t="s">
        <v>195</v>
      </c>
      <c r="DF15" t="s">
        <v>196</v>
      </c>
      <c r="DG15" t="s">
        <v>197</v>
      </c>
      <c r="DH15" t="s">
        <v>90</v>
      </c>
      <c r="DI15" t="s">
        <v>93</v>
      </c>
      <c r="DJ15" t="s">
        <v>198</v>
      </c>
      <c r="DK15" t="s">
        <v>199</v>
      </c>
      <c r="DL15" t="s">
        <v>200</v>
      </c>
      <c r="DM15" t="s">
        <v>201</v>
      </c>
      <c r="DN15" t="s">
        <v>202</v>
      </c>
      <c r="DO15" t="s">
        <v>203</v>
      </c>
      <c r="DP15" t="s">
        <v>204</v>
      </c>
      <c r="DQ15" t="s">
        <v>205</v>
      </c>
      <c r="DR15" t="s">
        <v>206</v>
      </c>
      <c r="DS15" t="s">
        <v>207</v>
      </c>
      <c r="DT15" t="s">
        <v>208</v>
      </c>
      <c r="DU15" t="s">
        <v>209</v>
      </c>
      <c r="DV15" t="s">
        <v>210</v>
      </c>
      <c r="DW15" t="s">
        <v>211</v>
      </c>
      <c r="DX15" t="s">
        <v>212</v>
      </c>
      <c r="DY15" t="s">
        <v>213</v>
      </c>
      <c r="DZ15" t="s">
        <v>214</v>
      </c>
      <c r="EA15" t="s">
        <v>215</v>
      </c>
      <c r="EB15" t="s">
        <v>216</v>
      </c>
      <c r="EC15" t="s">
        <v>217</v>
      </c>
      <c r="ED15" t="s">
        <v>218</v>
      </c>
      <c r="EE15" t="s">
        <v>219</v>
      </c>
      <c r="EF15" t="s">
        <v>220</v>
      </c>
      <c r="EG15" t="s">
        <v>221</v>
      </c>
      <c r="EH15" t="s">
        <v>222</v>
      </c>
      <c r="EI15" t="s">
        <v>223</v>
      </c>
      <c r="EJ15" t="s">
        <v>224</v>
      </c>
      <c r="EK15" t="s">
        <v>225</v>
      </c>
      <c r="EL15" t="s">
        <v>226</v>
      </c>
      <c r="EM15" t="s">
        <v>227</v>
      </c>
      <c r="EN15" t="s">
        <v>228</v>
      </c>
      <c r="EO15" t="s">
        <v>229</v>
      </c>
      <c r="EP15" t="s">
        <v>230</v>
      </c>
      <c r="EQ15" t="s">
        <v>231</v>
      </c>
      <c r="ER15" t="s">
        <v>232</v>
      </c>
      <c r="ES15" t="s">
        <v>233</v>
      </c>
      <c r="ET15" t="s">
        <v>234</v>
      </c>
      <c r="EU15" t="s">
        <v>235</v>
      </c>
      <c r="EV15" t="s">
        <v>236</v>
      </c>
      <c r="EW15" t="s">
        <v>237</v>
      </c>
      <c r="EX15" t="s">
        <v>238</v>
      </c>
      <c r="EY15" t="s">
        <v>239</v>
      </c>
      <c r="EZ15" t="s">
        <v>240</v>
      </c>
      <c r="FA15" t="s">
        <v>241</v>
      </c>
      <c r="FB15" t="s">
        <v>242</v>
      </c>
      <c r="FC15" t="s">
        <v>243</v>
      </c>
      <c r="FD15" t="s">
        <v>244</v>
      </c>
      <c r="FE15" t="s">
        <v>245</v>
      </c>
      <c r="FF15" t="s">
        <v>246</v>
      </c>
      <c r="FG15" t="s">
        <v>247</v>
      </c>
      <c r="FH15" t="s">
        <v>248</v>
      </c>
      <c r="FI15" t="s">
        <v>249</v>
      </c>
      <c r="FJ15" t="s">
        <v>250</v>
      </c>
      <c r="FK15" t="s">
        <v>251</v>
      </c>
      <c r="FL15" t="s">
        <v>252</v>
      </c>
      <c r="FM15" t="s">
        <v>253</v>
      </c>
      <c r="FN15" t="s">
        <v>254</v>
      </c>
    </row>
    <row r="16" spans="1:170" x14ac:dyDescent="0.25">
      <c r="B16" t="s">
        <v>255</v>
      </c>
      <c r="C16" t="s">
        <v>255</v>
      </c>
      <c r="G16" t="s">
        <v>255</v>
      </c>
      <c r="H16" t="s">
        <v>256</v>
      </c>
      <c r="I16" t="s">
        <v>257</v>
      </c>
      <c r="J16" t="s">
        <v>258</v>
      </c>
      <c r="K16" t="s">
        <v>258</v>
      </c>
      <c r="L16" t="s">
        <v>168</v>
      </c>
      <c r="M16" t="s">
        <v>168</v>
      </c>
      <c r="N16" t="s">
        <v>256</v>
      </c>
      <c r="O16" t="s">
        <v>256</v>
      </c>
      <c r="P16" t="s">
        <v>256</v>
      </c>
      <c r="Q16" t="s">
        <v>256</v>
      </c>
      <c r="R16" t="s">
        <v>259</v>
      </c>
      <c r="S16" t="s">
        <v>260</v>
      </c>
      <c r="T16" t="s">
        <v>260</v>
      </c>
      <c r="U16" t="s">
        <v>261</v>
      </c>
      <c r="V16" t="s">
        <v>262</v>
      </c>
      <c r="W16" t="s">
        <v>261</v>
      </c>
      <c r="X16" t="s">
        <v>261</v>
      </c>
      <c r="Y16" t="s">
        <v>261</v>
      </c>
      <c r="Z16" t="s">
        <v>259</v>
      </c>
      <c r="AA16" t="s">
        <v>259</v>
      </c>
      <c r="AB16" t="s">
        <v>259</v>
      </c>
      <c r="AC16" t="s">
        <v>259</v>
      </c>
      <c r="AG16" t="s">
        <v>263</v>
      </c>
      <c r="AH16" t="s">
        <v>262</v>
      </c>
      <c r="AJ16" t="s">
        <v>262</v>
      </c>
      <c r="AK16" t="s">
        <v>263</v>
      </c>
      <c r="AQ16" t="s">
        <v>257</v>
      </c>
      <c r="AW16" t="s">
        <v>257</v>
      </c>
      <c r="AX16" t="s">
        <v>257</v>
      </c>
      <c r="AY16" t="s">
        <v>257</v>
      </c>
      <c r="BA16" t="s">
        <v>264</v>
      </c>
      <c r="BK16" t="s">
        <v>265</v>
      </c>
      <c r="BL16" t="s">
        <v>265</v>
      </c>
      <c r="BM16" t="s">
        <v>265</v>
      </c>
      <c r="BN16" t="s">
        <v>257</v>
      </c>
      <c r="BP16" t="s">
        <v>266</v>
      </c>
      <c r="BR16" t="s">
        <v>257</v>
      </c>
      <c r="BS16" t="s">
        <v>257</v>
      </c>
      <c r="BU16" t="s">
        <v>267</v>
      </c>
      <c r="BX16" t="s">
        <v>255</v>
      </c>
      <c r="BY16" t="s">
        <v>258</v>
      </c>
      <c r="BZ16" t="s">
        <v>258</v>
      </c>
      <c r="CA16" t="s">
        <v>268</v>
      </c>
      <c r="CB16" t="s">
        <v>268</v>
      </c>
      <c r="CC16" t="s">
        <v>263</v>
      </c>
      <c r="CD16" t="s">
        <v>261</v>
      </c>
      <c r="CE16" t="s">
        <v>261</v>
      </c>
      <c r="CF16" t="s">
        <v>260</v>
      </c>
      <c r="CG16" t="s">
        <v>260</v>
      </c>
      <c r="CH16" t="s">
        <v>260</v>
      </c>
      <c r="CI16" t="s">
        <v>269</v>
      </c>
      <c r="CJ16" t="s">
        <v>257</v>
      </c>
      <c r="CK16" t="s">
        <v>257</v>
      </c>
      <c r="CL16" t="s">
        <v>257</v>
      </c>
      <c r="CQ16" t="s">
        <v>257</v>
      </c>
      <c r="CT16" t="s">
        <v>260</v>
      </c>
      <c r="CU16" t="s">
        <v>260</v>
      </c>
      <c r="CV16" t="s">
        <v>260</v>
      </c>
      <c r="CW16" t="s">
        <v>260</v>
      </c>
      <c r="CX16" t="s">
        <v>260</v>
      </c>
      <c r="CY16" t="s">
        <v>257</v>
      </c>
      <c r="CZ16" t="s">
        <v>257</v>
      </c>
      <c r="DA16" t="s">
        <v>257</v>
      </c>
      <c r="DB16" t="s">
        <v>255</v>
      </c>
      <c r="DD16" t="s">
        <v>270</v>
      </c>
      <c r="DE16" t="s">
        <v>270</v>
      </c>
      <c r="DG16" t="s">
        <v>255</v>
      </c>
      <c r="DH16" t="s">
        <v>271</v>
      </c>
      <c r="DK16" t="s">
        <v>272</v>
      </c>
      <c r="DL16" t="s">
        <v>273</v>
      </c>
      <c r="DM16" t="s">
        <v>272</v>
      </c>
      <c r="DN16" t="s">
        <v>273</v>
      </c>
      <c r="DO16" t="s">
        <v>262</v>
      </c>
      <c r="DP16" t="s">
        <v>262</v>
      </c>
      <c r="DQ16" t="s">
        <v>258</v>
      </c>
      <c r="DR16" t="s">
        <v>274</v>
      </c>
      <c r="DS16" t="s">
        <v>258</v>
      </c>
      <c r="DU16" t="s">
        <v>268</v>
      </c>
      <c r="DV16" t="s">
        <v>275</v>
      </c>
      <c r="DW16" t="s">
        <v>268</v>
      </c>
      <c r="EB16" t="s">
        <v>276</v>
      </c>
      <c r="EC16" t="s">
        <v>276</v>
      </c>
      <c r="ED16" t="s">
        <v>276</v>
      </c>
      <c r="EE16" t="s">
        <v>276</v>
      </c>
      <c r="EF16" t="s">
        <v>276</v>
      </c>
      <c r="EG16" t="s">
        <v>276</v>
      </c>
      <c r="EH16" t="s">
        <v>276</v>
      </c>
      <c r="EI16" t="s">
        <v>276</v>
      </c>
      <c r="EJ16" t="s">
        <v>276</v>
      </c>
      <c r="EK16" t="s">
        <v>276</v>
      </c>
      <c r="EL16" t="s">
        <v>276</v>
      </c>
      <c r="EM16" t="s">
        <v>276</v>
      </c>
      <c r="ET16" t="s">
        <v>276</v>
      </c>
      <c r="EU16" t="s">
        <v>262</v>
      </c>
      <c r="EV16" t="s">
        <v>262</v>
      </c>
      <c r="EW16" t="s">
        <v>272</v>
      </c>
      <c r="EX16" t="s">
        <v>273</v>
      </c>
      <c r="EZ16" t="s">
        <v>263</v>
      </c>
      <c r="FA16" t="s">
        <v>263</v>
      </c>
      <c r="FB16" t="s">
        <v>260</v>
      </c>
      <c r="FC16" t="s">
        <v>260</v>
      </c>
      <c r="FD16" t="s">
        <v>260</v>
      </c>
      <c r="FE16" t="s">
        <v>260</v>
      </c>
      <c r="FF16" t="s">
        <v>260</v>
      </c>
      <c r="FG16" t="s">
        <v>262</v>
      </c>
      <c r="FH16" t="s">
        <v>262</v>
      </c>
      <c r="FI16" t="s">
        <v>262</v>
      </c>
      <c r="FJ16" t="s">
        <v>260</v>
      </c>
      <c r="FK16" t="s">
        <v>258</v>
      </c>
      <c r="FL16" t="s">
        <v>268</v>
      </c>
      <c r="FM16" t="s">
        <v>262</v>
      </c>
      <c r="FN16" t="s">
        <v>262</v>
      </c>
    </row>
    <row r="17" spans="1:170" x14ac:dyDescent="0.25">
      <c r="A17">
        <v>1</v>
      </c>
      <c r="B17">
        <v>1595610878.0999999</v>
      </c>
      <c r="C17">
        <v>0</v>
      </c>
      <c r="D17" t="s">
        <v>277</v>
      </c>
      <c r="E17" t="s">
        <v>278</v>
      </c>
      <c r="G17">
        <v>1595610870.0999999</v>
      </c>
      <c r="H17">
        <f t="shared" ref="H17:H30" si="0">CC17*AI17*(CA17-CB17)/(100*$B$5*(1000-AI17*CA17))</f>
        <v>8.724707524617686E-3</v>
      </c>
      <c r="I17">
        <f t="shared" ref="I17:I30" si="1">CC17*AI17*(BZ17-BY17*(1000-AI17*CB17)/(1000-AI17*CA17))/(100*$B$5)</f>
        <v>27.379000903188999</v>
      </c>
      <c r="J17">
        <f t="shared" ref="J17:J30" si="2">BY17 - IF(AI17&gt;1, I17*$B$5*100/(AK17*CI17), 0)</f>
        <v>387.69206451612899</v>
      </c>
      <c r="K17">
        <f t="shared" ref="K17:K30" si="3">((Q17-H17/2)*J17-I17)/(Q17+H17/2)</f>
        <v>296.20614589900214</v>
      </c>
      <c r="L17">
        <f t="shared" ref="L17:L30" si="4">K17*(CD17+CE17)/1000</f>
        <v>29.604733172516596</v>
      </c>
      <c r="M17">
        <f t="shared" ref="M17:M30" si="5">(BY17 - IF(AI17&gt;1, I17*$B$5*100/(AK17*CI17), 0))*(CD17+CE17)/1000</f>
        <v>38.748419916363233</v>
      </c>
      <c r="N17">
        <f t="shared" ref="N17:N30" si="6">2/((1/P17-1/O17)+SIGN(P17)*SQRT((1/P17-1/O17)*(1/P17-1/O17) + 4*BV17/((BV17+1)*(BV17+1))*(2*1/P17*1/O17-1/O17*1/O17)))</f>
        <v>0.57341067728850592</v>
      </c>
      <c r="O17">
        <f t="shared" ref="O17:O30" si="7">AF17+AE17*$B$5+AD17*$B$5*$B$5</f>
        <v>3.3953356633595639</v>
      </c>
      <c r="P17">
        <f t="shared" ref="P17:P30" si="8">H17*(1000-(1000*0.61365*EXP(17.502*T17/(240.97+T17))/(CD17+CE17)+CA17)/2)/(1000*0.61365*EXP(17.502*T17/(240.97+T17))/(CD17+CE17)-CA17)</f>
        <v>0.52454020478132668</v>
      </c>
      <c r="Q17">
        <f t="shared" ref="Q17:Q30" si="9">1/((BV17+1)/(N17/1.6)+1/(O17/1.37)) + BV17/((BV17+1)/(N17/1.6) + BV17/(O17/1.37))</f>
        <v>0.33188065762883073</v>
      </c>
      <c r="R17">
        <f t="shared" ref="R17:R30" si="10">(BS17*BU17)</f>
        <v>353.33979151047544</v>
      </c>
      <c r="S17">
        <f t="shared" ref="S17:S30" si="11">(CF17+(R17+2*0.95*0.0000000567*(((CF17+$B$7)+273)^4-(CF17+273)^4)-44100*H17)/(1.84*29.3*O17+8*0.95*0.0000000567*(CF17+273)^3))</f>
        <v>27.056964709944957</v>
      </c>
      <c r="T17">
        <f t="shared" ref="T17:T30" si="12">($C$7*CG17+$D$7*CH17+$E$7*S17)</f>
        <v>27.186896774193499</v>
      </c>
      <c r="U17">
        <f t="shared" ref="U17:U30" si="13">0.61365*EXP(17.502*T17/(240.97+T17))</f>
        <v>3.6186365447420927</v>
      </c>
      <c r="V17">
        <f t="shared" ref="V17:V30" si="14">(W17/X17*100)</f>
        <v>55.249698731571485</v>
      </c>
      <c r="W17">
        <f t="shared" ref="W17:W30" si="15">CA17*(CD17+CE17)/1000</f>
        <v>2.0029748617972181</v>
      </c>
      <c r="X17">
        <f t="shared" ref="X17:X30" si="16">0.61365*EXP(17.502*CF17/(240.97+CF17))</f>
        <v>3.6253136356970805</v>
      </c>
      <c r="Y17">
        <f t="shared" ref="Y17:Y30" si="17">(U17-CA17*(CD17+CE17)/1000)</f>
        <v>1.6156616829448747</v>
      </c>
      <c r="Z17">
        <f t="shared" ref="Z17:Z30" si="18">(-H17*44100)</f>
        <v>-384.75960183563996</v>
      </c>
      <c r="AA17">
        <f t="shared" ref="AA17:AA30" si="19">2*29.3*O17*0.92*(CF17-T17)</f>
        <v>5.754244458322832</v>
      </c>
      <c r="AB17">
        <f t="shared" ref="AB17:AB30" si="20">2*0.95*0.0000000567*(((CF17+$B$7)+273)^4-(T17+273)^4)</f>
        <v>0.36648838293472907</v>
      </c>
      <c r="AC17">
        <f t="shared" ref="AC17:AC30" si="21">R17+AB17+Z17+AA17</f>
        <v>-25.299077483906956</v>
      </c>
      <c r="AD17">
        <v>-4.1375463997637897E-2</v>
      </c>
      <c r="AE17">
        <v>4.6447583027072699E-2</v>
      </c>
      <c r="AF17">
        <v>3.4679423532959701</v>
      </c>
      <c r="AG17">
        <v>154</v>
      </c>
      <c r="AH17">
        <v>31</v>
      </c>
      <c r="AI17">
        <f t="shared" ref="AI17:AI30" si="22">IF(AG17*$H$13&gt;=AK17,1,(AK17/(AK17-AG17*$H$13)))</f>
        <v>1</v>
      </c>
      <c r="AJ17">
        <f t="shared" ref="AJ17:AJ30" si="23">(AI17-1)*100</f>
        <v>0</v>
      </c>
      <c r="AK17">
        <f t="shared" ref="AK17:AK30" si="24">MAX(0,($B$13+$C$13*CI17)/(1+$D$13*CI17)*CD17/(CF17+273)*$E$13)</f>
        <v>52721.209425576621</v>
      </c>
      <c r="AL17">
        <v>0</v>
      </c>
      <c r="AM17">
        <v>0</v>
      </c>
      <c r="AN17">
        <v>0</v>
      </c>
      <c r="AO17">
        <f t="shared" ref="AO17:AO30" si="25">AN17-AM17</f>
        <v>0</v>
      </c>
      <c r="AP17" t="e">
        <f t="shared" ref="AP17:AP30" si="26">AO17/AN17</f>
        <v>#DIV/0!</v>
      </c>
      <c r="AQ17">
        <v>-1</v>
      </c>
      <c r="AR17" t="s">
        <v>279</v>
      </c>
      <c r="AS17">
        <v>309.76784615384599</v>
      </c>
      <c r="AT17">
        <v>393.322</v>
      </c>
      <c r="AU17">
        <f t="shared" ref="AU17:AU30" si="27">1-AS17/AT17</f>
        <v>0.21243193578328701</v>
      </c>
      <c r="AV17">
        <v>0.5</v>
      </c>
      <c r="AW17">
        <f t="shared" ref="AW17:AW30" si="28">BS17</f>
        <v>1849.1931871534425</v>
      </c>
      <c r="AX17">
        <f t="shared" ref="AX17:AX30" si="29">I17</f>
        <v>27.379000903188999</v>
      </c>
      <c r="AY17">
        <f t="shared" ref="AY17:AY30" si="30">AU17*AV17*AW17</f>
        <v>196.41384419213597</v>
      </c>
      <c r="AZ17">
        <f t="shared" ref="AZ17:AZ30" si="31">BE17/AT17</f>
        <v>0.49100228311663219</v>
      </c>
      <c r="BA17">
        <f t="shared" ref="BA17:BA30" si="32">(AX17-AQ17)/AW17</f>
        <v>1.5346693412208729E-2</v>
      </c>
      <c r="BB17">
        <f t="shared" ref="BB17:BB30" si="33">(AN17-AT17)/AT17</f>
        <v>-1</v>
      </c>
      <c r="BC17" t="s">
        <v>280</v>
      </c>
      <c r="BD17">
        <v>200.2</v>
      </c>
      <c r="BE17">
        <f t="shared" ref="BE17:BE30" si="34">AT17-BD17</f>
        <v>193.12200000000001</v>
      </c>
      <c r="BF17">
        <f t="shared" ref="BF17:BF30" si="35">(AT17-AS17)/(AT17-BD17)</f>
        <v>0.43264958858210872</v>
      </c>
      <c r="BG17">
        <f t="shared" ref="BG17:BG30" si="36">(AN17-AT17)/(AN17-BD17)</f>
        <v>1.9646453546453548</v>
      </c>
      <c r="BH17">
        <f t="shared" ref="BH17:BH30" si="37">(AT17-AS17)/(AT17-AM17)</f>
        <v>0.21243193578328701</v>
      </c>
      <c r="BI17" t="e">
        <f t="shared" ref="BI17:BI30" si="38">(AN17-AT17)/(AN17-AM17)</f>
        <v>#DIV/0!</v>
      </c>
      <c r="BJ17">
        <v>5293</v>
      </c>
      <c r="BK17">
        <v>300</v>
      </c>
      <c r="BL17">
        <v>300</v>
      </c>
      <c r="BM17">
        <v>300</v>
      </c>
      <c r="BN17">
        <v>9862.58</v>
      </c>
      <c r="BO17">
        <v>368.26900000000001</v>
      </c>
      <c r="BP17">
        <v>-6.3957299999999996E-3</v>
      </c>
      <c r="BQ17">
        <v>-0.13067599999999999</v>
      </c>
      <c r="BR17">
        <f t="shared" ref="BR17:BR30" si="39">$B$11*CJ17+$C$11*CK17+$F$11*CL17</f>
        <v>2200.00903225806</v>
      </c>
      <c r="BS17">
        <f t="shared" ref="BS17:BS30" si="40">BR17*BT17</f>
        <v>1849.1931871534425</v>
      </c>
      <c r="BT17">
        <f t="shared" ref="BT17:BT30" si="41">($B$11*$D$9+$C$11*$D$9+$F$11*((CY17+CQ17)/MAX(CY17+CQ17+CZ17, 0.1)*$I$9+CZ17/MAX(CY17+CQ17+CZ17, 0.1)*$J$9))/($B$11+$C$11+$F$11)</f>
        <v>0.84053890690414812</v>
      </c>
      <c r="BU17">
        <f t="shared" ref="BU17:BU30" si="42">($B$11*$K$9+$C$11*$K$9+$F$11*((CY17+CQ17)/MAX(CY17+CQ17+CZ17, 0.1)*$P$9+CZ17/MAX(CY17+CQ17+CZ17, 0.1)*$Q$9))/($B$11+$C$11+$F$11)</f>
        <v>0.19107781380829628</v>
      </c>
      <c r="BV17">
        <v>0.5</v>
      </c>
      <c r="BW17" t="s">
        <v>281</v>
      </c>
      <c r="BX17">
        <v>1595610870.0999999</v>
      </c>
      <c r="BY17">
        <v>387.69206451612899</v>
      </c>
      <c r="BZ17">
        <v>399.995322580645</v>
      </c>
      <c r="CA17">
        <v>20.040493548387101</v>
      </c>
      <c r="CB17">
        <v>16.6209225806452</v>
      </c>
      <c r="CC17">
        <v>500.05454838709699</v>
      </c>
      <c r="CD17">
        <v>99.746396774193599</v>
      </c>
      <c r="CE17">
        <v>0.19998712903225799</v>
      </c>
      <c r="CF17">
        <v>27.2183322580645</v>
      </c>
      <c r="CG17">
        <v>27.186896774193499</v>
      </c>
      <c r="CH17">
        <v>999.9</v>
      </c>
      <c r="CI17">
        <v>10003.262903225799</v>
      </c>
      <c r="CJ17">
        <v>0</v>
      </c>
      <c r="CK17">
        <v>261.49148387096801</v>
      </c>
      <c r="CL17">
        <v>2200.00903225806</v>
      </c>
      <c r="CM17">
        <v>0.98199509677419405</v>
      </c>
      <c r="CN17">
        <v>1.8004432258064501E-2</v>
      </c>
      <c r="CO17">
        <v>0</v>
      </c>
      <c r="CP17">
        <v>309.80667741935503</v>
      </c>
      <c r="CQ17">
        <v>5.00054</v>
      </c>
      <c r="CR17">
        <v>8784.0664516129</v>
      </c>
      <c r="CS17">
        <v>20590.583870967701</v>
      </c>
      <c r="CT17">
        <v>50.846548387096803</v>
      </c>
      <c r="CU17">
        <v>52.673000000000002</v>
      </c>
      <c r="CV17">
        <v>51.145000000000003</v>
      </c>
      <c r="CW17">
        <v>51.677193548387102</v>
      </c>
      <c r="CX17">
        <v>52.017838709677399</v>
      </c>
      <c r="CY17">
        <v>2155.4883870967701</v>
      </c>
      <c r="CZ17">
        <v>39.520000000000003</v>
      </c>
      <c r="DA17">
        <v>0</v>
      </c>
      <c r="DB17">
        <v>541.29999995231606</v>
      </c>
      <c r="DC17">
        <v>309.76784615384599</v>
      </c>
      <c r="DD17">
        <v>-9.4152478607282593</v>
      </c>
      <c r="DE17">
        <v>-203.222906140666</v>
      </c>
      <c r="DF17">
        <v>8782.7619230769196</v>
      </c>
      <c r="DG17">
        <v>15</v>
      </c>
      <c r="DH17">
        <v>1595610908.0999999</v>
      </c>
      <c r="DI17" t="s">
        <v>282</v>
      </c>
      <c r="DJ17">
        <v>43</v>
      </c>
      <c r="DK17">
        <v>-0.39600000000000002</v>
      </c>
      <c r="DL17">
        <v>0.105</v>
      </c>
      <c r="DM17">
        <v>400</v>
      </c>
      <c r="DN17">
        <v>16</v>
      </c>
      <c r="DO17">
        <v>0.16</v>
      </c>
      <c r="DP17">
        <v>0.03</v>
      </c>
      <c r="DQ17">
        <v>387.89625490196102</v>
      </c>
      <c r="DR17">
        <v>0.28645791855196401</v>
      </c>
      <c r="DS17">
        <v>4.1087111254803903E-2</v>
      </c>
      <c r="DT17">
        <v>1</v>
      </c>
      <c r="DU17">
        <v>20.028456862745099</v>
      </c>
      <c r="DV17">
        <v>0.17778461538459001</v>
      </c>
      <c r="DW17">
        <v>2.40400503645515E-2</v>
      </c>
      <c r="DX17">
        <v>1</v>
      </c>
      <c r="DY17">
        <v>2</v>
      </c>
      <c r="DZ17">
        <v>2</v>
      </c>
      <c r="EA17" t="s">
        <v>283</v>
      </c>
      <c r="EB17">
        <v>1.86666</v>
      </c>
      <c r="EC17">
        <v>1.8632</v>
      </c>
      <c r="ED17">
        <v>1.8688199999999999</v>
      </c>
      <c r="EE17">
        <v>1.86676</v>
      </c>
      <c r="EF17">
        <v>1.87148</v>
      </c>
      <c r="EG17">
        <v>1.8638699999999999</v>
      </c>
      <c r="EH17">
        <v>1.8653999999999999</v>
      </c>
      <c r="EI17">
        <v>1.8653900000000001</v>
      </c>
      <c r="EJ17" t="s">
        <v>284</v>
      </c>
      <c r="EK17" t="s">
        <v>19</v>
      </c>
      <c r="EL17" t="s">
        <v>19</v>
      </c>
      <c r="EM17" t="s">
        <v>19</v>
      </c>
      <c r="EN17" t="s">
        <v>285</v>
      </c>
      <c r="EO17" t="s">
        <v>286</v>
      </c>
      <c r="EP17" t="s">
        <v>287</v>
      </c>
      <c r="EQ17" t="s">
        <v>287</v>
      </c>
      <c r="ER17" t="s">
        <v>287</v>
      </c>
      <c r="ES17" t="s">
        <v>287</v>
      </c>
      <c r="ET17">
        <v>0</v>
      </c>
      <c r="EU17">
        <v>100</v>
      </c>
      <c r="EV17">
        <v>100</v>
      </c>
      <c r="EW17">
        <v>-0.39600000000000002</v>
      </c>
      <c r="EX17">
        <v>0.105</v>
      </c>
      <c r="EY17">
        <v>2</v>
      </c>
      <c r="EZ17">
        <v>328.14299999999997</v>
      </c>
      <c r="FA17">
        <v>470.822</v>
      </c>
      <c r="FB17">
        <v>20.855799999999999</v>
      </c>
      <c r="FC17">
        <v>36.137999999999998</v>
      </c>
      <c r="FD17">
        <v>30.000299999999999</v>
      </c>
      <c r="FE17">
        <v>36.167700000000004</v>
      </c>
      <c r="FF17">
        <v>36.1736</v>
      </c>
      <c r="FG17">
        <v>22.0777</v>
      </c>
      <c r="FH17">
        <v>50.5625</v>
      </c>
      <c r="FI17">
        <v>0</v>
      </c>
      <c r="FJ17">
        <v>19.822700000000001</v>
      </c>
      <c r="FK17">
        <v>400</v>
      </c>
      <c r="FL17">
        <v>16.461099999999998</v>
      </c>
      <c r="FM17">
        <v>100.41200000000001</v>
      </c>
      <c r="FN17">
        <v>100.67700000000001</v>
      </c>
    </row>
    <row r="18" spans="1:170" x14ac:dyDescent="0.25">
      <c r="A18">
        <v>2</v>
      </c>
      <c r="B18">
        <v>1595611000.0999999</v>
      </c>
      <c r="C18">
        <v>122</v>
      </c>
      <c r="D18" t="s">
        <v>288</v>
      </c>
      <c r="E18" t="s">
        <v>289</v>
      </c>
      <c r="G18">
        <v>1595610992.0999999</v>
      </c>
      <c r="H18">
        <f t="shared" si="0"/>
        <v>8.6050016610595727E-3</v>
      </c>
      <c r="I18">
        <f t="shared" si="1"/>
        <v>21.168660329306686</v>
      </c>
      <c r="J18">
        <f t="shared" si="2"/>
        <v>290.51696774193601</v>
      </c>
      <c r="K18">
        <f t="shared" si="3"/>
        <v>218.07160139067466</v>
      </c>
      <c r="L18">
        <f t="shared" si="4"/>
        <v>21.796380149319379</v>
      </c>
      <c r="M18">
        <f t="shared" si="5"/>
        <v>29.037335573955094</v>
      </c>
      <c r="N18">
        <f t="shared" si="6"/>
        <v>0.55577990257812515</v>
      </c>
      <c r="O18">
        <f t="shared" si="7"/>
        <v>3.3955357075293899</v>
      </c>
      <c r="P18">
        <f t="shared" si="8"/>
        <v>0.50974182551078628</v>
      </c>
      <c r="Q18">
        <f t="shared" si="9"/>
        <v>0.32240658370265868</v>
      </c>
      <c r="R18">
        <f t="shared" si="10"/>
        <v>353.33729317115007</v>
      </c>
      <c r="S18">
        <f t="shared" si="11"/>
        <v>26.749299603744792</v>
      </c>
      <c r="T18">
        <f t="shared" si="12"/>
        <v>27.029145161290302</v>
      </c>
      <c r="U18">
        <f t="shared" si="13"/>
        <v>3.5852909611943611</v>
      </c>
      <c r="V18">
        <f t="shared" si="14"/>
        <v>54.706679076530342</v>
      </c>
      <c r="W18">
        <f t="shared" si="15"/>
        <v>1.9446917484474846</v>
      </c>
      <c r="X18">
        <f t="shared" si="16"/>
        <v>3.5547611028024817</v>
      </c>
      <c r="Y18">
        <f t="shared" si="17"/>
        <v>1.6405992127468765</v>
      </c>
      <c r="Z18">
        <f t="shared" si="18"/>
        <v>-379.48057325272714</v>
      </c>
      <c r="AA18">
        <f t="shared" si="19"/>
        <v>-26.645876912206401</v>
      </c>
      <c r="AB18">
        <f t="shared" si="20"/>
        <v>-1.6928060393353652</v>
      </c>
      <c r="AC18">
        <f t="shared" si="21"/>
        <v>-54.481963033118859</v>
      </c>
      <c r="AD18">
        <v>-4.1378563170458002E-2</v>
      </c>
      <c r="AE18">
        <v>4.6451062120065799E-2</v>
      </c>
      <c r="AF18">
        <v>3.4681478359710902</v>
      </c>
      <c r="AG18">
        <v>153</v>
      </c>
      <c r="AH18">
        <v>31</v>
      </c>
      <c r="AI18">
        <f t="shared" si="22"/>
        <v>1</v>
      </c>
      <c r="AJ18">
        <f t="shared" si="23"/>
        <v>0</v>
      </c>
      <c r="AK18">
        <f t="shared" si="24"/>
        <v>52783.941807811592</v>
      </c>
      <c r="AL18">
        <v>0</v>
      </c>
      <c r="AM18">
        <v>0</v>
      </c>
      <c r="AN18">
        <v>0</v>
      </c>
      <c r="AO18">
        <f t="shared" si="25"/>
        <v>0</v>
      </c>
      <c r="AP18" t="e">
        <f t="shared" si="26"/>
        <v>#DIV/0!</v>
      </c>
      <c r="AQ18">
        <v>-1</v>
      </c>
      <c r="AR18" t="s">
        <v>290</v>
      </c>
      <c r="AS18">
        <v>288.14023076923098</v>
      </c>
      <c r="AT18">
        <v>360.27800000000002</v>
      </c>
      <c r="AU18">
        <f t="shared" si="27"/>
        <v>0.20022807174118051</v>
      </c>
      <c r="AV18">
        <v>0.5</v>
      </c>
      <c r="AW18">
        <f t="shared" si="28"/>
        <v>1849.1801662145181</v>
      </c>
      <c r="AX18">
        <f t="shared" si="29"/>
        <v>21.168660329306686</v>
      </c>
      <c r="AY18">
        <f t="shared" si="30"/>
        <v>185.12888949158432</v>
      </c>
      <c r="AZ18">
        <f t="shared" si="31"/>
        <v>0.44887003924747004</v>
      </c>
      <c r="BA18">
        <f t="shared" si="32"/>
        <v>1.1988372325390259E-2</v>
      </c>
      <c r="BB18">
        <f t="shared" si="33"/>
        <v>-1</v>
      </c>
      <c r="BC18" t="s">
        <v>291</v>
      </c>
      <c r="BD18">
        <v>198.56</v>
      </c>
      <c r="BE18">
        <f t="shared" si="34"/>
        <v>161.71800000000002</v>
      </c>
      <c r="BF18">
        <f t="shared" si="35"/>
        <v>0.44607136639563333</v>
      </c>
      <c r="BG18">
        <f t="shared" si="36"/>
        <v>1.8144540692989526</v>
      </c>
      <c r="BH18">
        <f t="shared" si="37"/>
        <v>0.20022807174118051</v>
      </c>
      <c r="BI18" t="e">
        <f t="shared" si="38"/>
        <v>#DIV/0!</v>
      </c>
      <c r="BJ18">
        <v>5295</v>
      </c>
      <c r="BK18">
        <v>300</v>
      </c>
      <c r="BL18">
        <v>300</v>
      </c>
      <c r="BM18">
        <v>300</v>
      </c>
      <c r="BN18">
        <v>9863.32</v>
      </c>
      <c r="BO18">
        <v>337.37099999999998</v>
      </c>
      <c r="BP18">
        <v>-6.39625E-3</v>
      </c>
      <c r="BQ18">
        <v>0.47228999999999999</v>
      </c>
      <c r="BR18">
        <f t="shared" si="39"/>
        <v>2199.9935483871</v>
      </c>
      <c r="BS18">
        <f t="shared" si="40"/>
        <v>1849.1801662145181</v>
      </c>
      <c r="BT18">
        <f t="shared" si="41"/>
        <v>0.84053890411188859</v>
      </c>
      <c r="BU18">
        <f t="shared" si="42"/>
        <v>0.19107780822377715</v>
      </c>
      <c r="BV18">
        <v>0.5</v>
      </c>
      <c r="BW18" t="s">
        <v>281</v>
      </c>
      <c r="BX18">
        <v>1595610992.0999999</v>
      </c>
      <c r="BY18">
        <v>290.51696774193601</v>
      </c>
      <c r="BZ18">
        <v>299.98329032258101</v>
      </c>
      <c r="CA18">
        <v>19.456535483871001</v>
      </c>
      <c r="CB18">
        <v>16.081896774193499</v>
      </c>
      <c r="CC18">
        <v>500.05816129032303</v>
      </c>
      <c r="CD18">
        <v>99.750587096774197</v>
      </c>
      <c r="CE18">
        <v>0.19997964516128999</v>
      </c>
      <c r="CF18">
        <v>26.8835870967742</v>
      </c>
      <c r="CG18">
        <v>27.029145161290302</v>
      </c>
      <c r="CH18">
        <v>999.9</v>
      </c>
      <c r="CI18">
        <v>10003.591935483901</v>
      </c>
      <c r="CJ18">
        <v>0</v>
      </c>
      <c r="CK18">
        <v>99.746487096774203</v>
      </c>
      <c r="CL18">
        <v>2199.9935483871</v>
      </c>
      <c r="CM18">
        <v>0.98199341935483897</v>
      </c>
      <c r="CN18">
        <v>1.80061935483871E-2</v>
      </c>
      <c r="CO18">
        <v>0</v>
      </c>
      <c r="CP18">
        <v>288.19299999999998</v>
      </c>
      <c r="CQ18">
        <v>5.00054</v>
      </c>
      <c r="CR18">
        <v>8341.3329032258098</v>
      </c>
      <c r="CS18">
        <v>20590.435483870999</v>
      </c>
      <c r="CT18">
        <v>50.693290322580602</v>
      </c>
      <c r="CU18">
        <v>52.636870967741899</v>
      </c>
      <c r="CV18">
        <v>51.066193548387098</v>
      </c>
      <c r="CW18">
        <v>51.515870967741897</v>
      </c>
      <c r="CX18">
        <v>51.880774193548397</v>
      </c>
      <c r="CY18">
        <v>2155.46451612903</v>
      </c>
      <c r="CZ18">
        <v>39.519354838709702</v>
      </c>
      <c r="DA18">
        <v>0</v>
      </c>
      <c r="DB18">
        <v>121.30000019073501</v>
      </c>
      <c r="DC18">
        <v>288.14023076923098</v>
      </c>
      <c r="DD18">
        <v>-5.2793846202828396</v>
      </c>
      <c r="DE18">
        <v>-117.437264963077</v>
      </c>
      <c r="DF18">
        <v>8340.1907692307705</v>
      </c>
      <c r="DG18">
        <v>15</v>
      </c>
      <c r="DH18">
        <v>1595611028.0999999</v>
      </c>
      <c r="DI18" t="s">
        <v>292</v>
      </c>
      <c r="DJ18">
        <v>44</v>
      </c>
      <c r="DK18">
        <v>-0.49099999999999999</v>
      </c>
      <c r="DL18">
        <v>9.9000000000000005E-2</v>
      </c>
      <c r="DM18">
        <v>300</v>
      </c>
      <c r="DN18">
        <v>16</v>
      </c>
      <c r="DO18">
        <v>0.27</v>
      </c>
      <c r="DP18">
        <v>0.03</v>
      </c>
      <c r="DQ18">
        <v>290.61029411764702</v>
      </c>
      <c r="DR18">
        <v>-1.25755656106764E-2</v>
      </c>
      <c r="DS18">
        <v>1.1716075963656701E-2</v>
      </c>
      <c r="DT18">
        <v>1</v>
      </c>
      <c r="DU18">
        <v>19.461007843137299</v>
      </c>
      <c r="DV18">
        <v>1.6449230769229699E-2</v>
      </c>
      <c r="DW18">
        <v>3.8371682337142599E-3</v>
      </c>
      <c r="DX18">
        <v>1</v>
      </c>
      <c r="DY18">
        <v>2</v>
      </c>
      <c r="DZ18">
        <v>2</v>
      </c>
      <c r="EA18" t="s">
        <v>283</v>
      </c>
      <c r="EB18">
        <v>1.8666799999999999</v>
      </c>
      <c r="EC18">
        <v>1.8632299999999999</v>
      </c>
      <c r="ED18">
        <v>1.86887</v>
      </c>
      <c r="EE18">
        <v>1.86676</v>
      </c>
      <c r="EF18">
        <v>1.8714900000000001</v>
      </c>
      <c r="EG18">
        <v>1.86389</v>
      </c>
      <c r="EH18">
        <v>1.8654299999999999</v>
      </c>
      <c r="EI18">
        <v>1.8653900000000001</v>
      </c>
      <c r="EJ18" t="s">
        <v>284</v>
      </c>
      <c r="EK18" t="s">
        <v>19</v>
      </c>
      <c r="EL18" t="s">
        <v>19</v>
      </c>
      <c r="EM18" t="s">
        <v>19</v>
      </c>
      <c r="EN18" t="s">
        <v>285</v>
      </c>
      <c r="EO18" t="s">
        <v>286</v>
      </c>
      <c r="EP18" t="s">
        <v>287</v>
      </c>
      <c r="EQ18" t="s">
        <v>287</v>
      </c>
      <c r="ER18" t="s">
        <v>287</v>
      </c>
      <c r="ES18" t="s">
        <v>287</v>
      </c>
      <c r="ET18">
        <v>0</v>
      </c>
      <c r="EU18">
        <v>100</v>
      </c>
      <c r="EV18">
        <v>100</v>
      </c>
      <c r="EW18">
        <v>-0.49099999999999999</v>
      </c>
      <c r="EX18">
        <v>9.9000000000000005E-2</v>
      </c>
      <c r="EY18">
        <v>2</v>
      </c>
      <c r="EZ18">
        <v>329.483</v>
      </c>
      <c r="FA18">
        <v>470.625</v>
      </c>
      <c r="FB18">
        <v>21.483599999999999</v>
      </c>
      <c r="FC18">
        <v>36.116399999999999</v>
      </c>
      <c r="FD18">
        <v>30.004799999999999</v>
      </c>
      <c r="FE18">
        <v>36.164299999999997</v>
      </c>
      <c r="FF18">
        <v>36.166899999999998</v>
      </c>
      <c r="FG18">
        <v>17.584499999999998</v>
      </c>
      <c r="FH18">
        <v>51.392000000000003</v>
      </c>
      <c r="FI18">
        <v>0</v>
      </c>
      <c r="FJ18">
        <v>21.385300000000001</v>
      </c>
      <c r="FK18">
        <v>300</v>
      </c>
      <c r="FL18">
        <v>16.170300000000001</v>
      </c>
      <c r="FM18">
        <v>100.41200000000001</v>
      </c>
      <c r="FN18">
        <v>100.679</v>
      </c>
    </row>
    <row r="19" spans="1:170" x14ac:dyDescent="0.25">
      <c r="A19">
        <v>3</v>
      </c>
      <c r="B19">
        <v>1595611119.5999999</v>
      </c>
      <c r="C19">
        <v>241.5</v>
      </c>
      <c r="D19" t="s">
        <v>293</v>
      </c>
      <c r="E19" t="s">
        <v>294</v>
      </c>
      <c r="G19">
        <v>1595611111.5999999</v>
      </c>
      <c r="H19">
        <f t="shared" si="0"/>
        <v>8.2396805031366357E-3</v>
      </c>
      <c r="I19">
        <f t="shared" si="1"/>
        <v>13.457580295865617</v>
      </c>
      <c r="J19">
        <f t="shared" si="2"/>
        <v>193.94922580645201</v>
      </c>
      <c r="K19">
        <f t="shared" si="3"/>
        <v>146.16397611054654</v>
      </c>
      <c r="L19">
        <f t="shared" si="4"/>
        <v>14.609703989333967</v>
      </c>
      <c r="M19">
        <f t="shared" si="5"/>
        <v>19.386040619541554</v>
      </c>
      <c r="N19">
        <f t="shared" si="6"/>
        <v>0.53458740873707122</v>
      </c>
      <c r="O19">
        <f t="shared" si="7"/>
        <v>3.3938211342261857</v>
      </c>
      <c r="P19">
        <f t="shared" si="8"/>
        <v>0.49182908580193524</v>
      </c>
      <c r="Q19">
        <f t="shared" si="9"/>
        <v>0.31094935047469774</v>
      </c>
      <c r="R19">
        <f t="shared" si="10"/>
        <v>353.33546927876944</v>
      </c>
      <c r="S19">
        <f t="shared" si="11"/>
        <v>26.742297615211591</v>
      </c>
      <c r="T19">
        <f t="shared" si="12"/>
        <v>26.9858516129032</v>
      </c>
      <c r="U19">
        <f t="shared" si="13"/>
        <v>3.576186597651108</v>
      </c>
      <c r="V19">
        <f t="shared" si="14"/>
        <v>55.087160560569949</v>
      </c>
      <c r="W19">
        <f t="shared" si="15"/>
        <v>1.9479130227418089</v>
      </c>
      <c r="X19">
        <f t="shared" si="16"/>
        <v>3.5360563204197493</v>
      </c>
      <c r="Y19">
        <f t="shared" si="17"/>
        <v>1.6282735749092991</v>
      </c>
      <c r="Z19">
        <f t="shared" si="18"/>
        <v>-363.36991018832566</v>
      </c>
      <c r="AA19">
        <f t="shared" si="19"/>
        <v>-35.126844426072211</v>
      </c>
      <c r="AB19">
        <f t="shared" si="20"/>
        <v>-2.2312425468431334</v>
      </c>
      <c r="AC19">
        <f t="shared" si="21"/>
        <v>-47.392527882471569</v>
      </c>
      <c r="AD19">
        <v>-4.1352002918379503E-2</v>
      </c>
      <c r="AE19">
        <v>4.6421245910301799E-2</v>
      </c>
      <c r="AF19">
        <v>3.4663866540791002</v>
      </c>
      <c r="AG19">
        <v>153</v>
      </c>
      <c r="AH19">
        <v>31</v>
      </c>
      <c r="AI19">
        <f t="shared" si="22"/>
        <v>1</v>
      </c>
      <c r="AJ19">
        <f t="shared" si="23"/>
        <v>0</v>
      </c>
      <c r="AK19">
        <f t="shared" si="24"/>
        <v>52767.310091491716</v>
      </c>
      <c r="AL19">
        <v>0</v>
      </c>
      <c r="AM19">
        <v>0</v>
      </c>
      <c r="AN19">
        <v>0</v>
      </c>
      <c r="AO19">
        <f t="shared" si="25"/>
        <v>0</v>
      </c>
      <c r="AP19" t="e">
        <f t="shared" si="26"/>
        <v>#DIV/0!</v>
      </c>
      <c r="AQ19">
        <v>-1</v>
      </c>
      <c r="AR19" t="s">
        <v>295</v>
      </c>
      <c r="AS19">
        <v>281.67450000000002</v>
      </c>
      <c r="AT19">
        <v>339.065</v>
      </c>
      <c r="AU19">
        <f t="shared" si="27"/>
        <v>0.16926105613967812</v>
      </c>
      <c r="AV19">
        <v>0.5</v>
      </c>
      <c r="AW19">
        <f t="shared" si="28"/>
        <v>1849.1709140799671</v>
      </c>
      <c r="AX19">
        <f t="shared" si="29"/>
        <v>13.457580295865617</v>
      </c>
      <c r="AY19">
        <f t="shared" si="30"/>
        <v>156.49631094997463</v>
      </c>
      <c r="AZ19">
        <f t="shared" si="31"/>
        <v>0.40713432527686427</v>
      </c>
      <c r="BA19">
        <f t="shared" si="32"/>
        <v>7.8184121250137722E-3</v>
      </c>
      <c r="BB19">
        <f t="shared" si="33"/>
        <v>-1</v>
      </c>
      <c r="BC19" t="s">
        <v>296</v>
      </c>
      <c r="BD19">
        <v>201.02</v>
      </c>
      <c r="BE19">
        <f t="shared" si="34"/>
        <v>138.04499999999999</v>
      </c>
      <c r="BF19">
        <f t="shared" si="35"/>
        <v>0.41573762178999585</v>
      </c>
      <c r="BG19">
        <f t="shared" si="36"/>
        <v>1.6867227141577952</v>
      </c>
      <c r="BH19">
        <f t="shared" si="37"/>
        <v>0.16926105613967815</v>
      </c>
      <c r="BI19" t="e">
        <f t="shared" si="38"/>
        <v>#DIV/0!</v>
      </c>
      <c r="BJ19">
        <v>5297</v>
      </c>
      <c r="BK19">
        <v>300</v>
      </c>
      <c r="BL19">
        <v>300</v>
      </c>
      <c r="BM19">
        <v>300</v>
      </c>
      <c r="BN19">
        <v>9863.32</v>
      </c>
      <c r="BO19">
        <v>321.84899999999999</v>
      </c>
      <c r="BP19">
        <v>-6.3963400000000004E-3</v>
      </c>
      <c r="BQ19">
        <v>0.63324000000000003</v>
      </c>
      <c r="BR19">
        <f t="shared" si="39"/>
        <v>2199.9825806451599</v>
      </c>
      <c r="BS19">
        <f t="shared" si="40"/>
        <v>1849.1709140799671</v>
      </c>
      <c r="BT19">
        <f t="shared" si="41"/>
        <v>0.84053888896596862</v>
      </c>
      <c r="BU19">
        <f t="shared" si="42"/>
        <v>0.19107777793193728</v>
      </c>
      <c r="BV19">
        <v>0.5</v>
      </c>
      <c r="BW19" t="s">
        <v>281</v>
      </c>
      <c r="BX19">
        <v>1595611111.5999999</v>
      </c>
      <c r="BY19">
        <v>193.94922580645201</v>
      </c>
      <c r="BZ19">
        <v>199.97077419354801</v>
      </c>
      <c r="CA19">
        <v>19.488054838709701</v>
      </c>
      <c r="CB19">
        <v>16.2567967741935</v>
      </c>
      <c r="CC19">
        <v>500.05941935483901</v>
      </c>
      <c r="CD19">
        <v>99.754193548387093</v>
      </c>
      <c r="CE19">
        <v>0.20001116129032301</v>
      </c>
      <c r="CF19">
        <v>26.7938677419355</v>
      </c>
      <c r="CG19">
        <v>26.9858516129032</v>
      </c>
      <c r="CH19">
        <v>999.9</v>
      </c>
      <c r="CI19">
        <v>9996.8093548387096</v>
      </c>
      <c r="CJ19">
        <v>0</v>
      </c>
      <c r="CK19">
        <v>241.48354838709699</v>
      </c>
      <c r="CL19">
        <v>2199.9825806451599</v>
      </c>
      <c r="CM19">
        <v>0.981994354838709</v>
      </c>
      <c r="CN19">
        <v>1.8005312903225799E-2</v>
      </c>
      <c r="CO19">
        <v>0</v>
      </c>
      <c r="CP19">
        <v>281.68270967741898</v>
      </c>
      <c r="CQ19">
        <v>5.00054</v>
      </c>
      <c r="CR19">
        <v>8172.7583870967701</v>
      </c>
      <c r="CS19">
        <v>20590.338709677399</v>
      </c>
      <c r="CT19">
        <v>50.5884838709677</v>
      </c>
      <c r="CU19">
        <v>52.582322580645098</v>
      </c>
      <c r="CV19">
        <v>50.985709677419401</v>
      </c>
      <c r="CW19">
        <v>51.499709677419297</v>
      </c>
      <c r="CX19">
        <v>51.782064516128997</v>
      </c>
      <c r="CY19">
        <v>2155.45580645161</v>
      </c>
      <c r="CZ19">
        <v>39.518064516129002</v>
      </c>
      <c r="DA19">
        <v>0</v>
      </c>
      <c r="DB19">
        <v>119</v>
      </c>
      <c r="DC19">
        <v>281.67450000000002</v>
      </c>
      <c r="DD19">
        <v>-3.1419828990055101</v>
      </c>
      <c r="DE19">
        <v>-62.570256306928201</v>
      </c>
      <c r="DF19">
        <v>8172.1069230769199</v>
      </c>
      <c r="DG19">
        <v>15</v>
      </c>
      <c r="DH19">
        <v>1595611150.5999999</v>
      </c>
      <c r="DI19" t="s">
        <v>297</v>
      </c>
      <c r="DJ19">
        <v>45</v>
      </c>
      <c r="DK19">
        <v>-0.40200000000000002</v>
      </c>
      <c r="DL19">
        <v>0.105</v>
      </c>
      <c r="DM19">
        <v>200</v>
      </c>
      <c r="DN19">
        <v>16</v>
      </c>
      <c r="DO19">
        <v>0.41</v>
      </c>
      <c r="DP19">
        <v>0.03</v>
      </c>
      <c r="DQ19">
        <v>193.87054901960801</v>
      </c>
      <c r="DR19">
        <v>-0.124104977375586</v>
      </c>
      <c r="DS19">
        <v>2.0378106018988401E-2</v>
      </c>
      <c r="DT19">
        <v>1</v>
      </c>
      <c r="DU19">
        <v>19.478625490196102</v>
      </c>
      <c r="DV19">
        <v>7.6911855203617902E-2</v>
      </c>
      <c r="DW19">
        <v>1.5221705904466001E-2</v>
      </c>
      <c r="DX19">
        <v>1</v>
      </c>
      <c r="DY19">
        <v>2</v>
      </c>
      <c r="DZ19">
        <v>2</v>
      </c>
      <c r="EA19" t="s">
        <v>283</v>
      </c>
      <c r="EB19">
        <v>1.86676</v>
      </c>
      <c r="EC19">
        <v>1.8632500000000001</v>
      </c>
      <c r="ED19">
        <v>1.8689</v>
      </c>
      <c r="EE19">
        <v>1.8668499999999999</v>
      </c>
      <c r="EF19">
        <v>1.87155</v>
      </c>
      <c r="EG19">
        <v>1.8640099999999999</v>
      </c>
      <c r="EH19">
        <v>1.86554</v>
      </c>
      <c r="EI19">
        <v>1.8654299999999999</v>
      </c>
      <c r="EJ19" t="s">
        <v>284</v>
      </c>
      <c r="EK19" t="s">
        <v>19</v>
      </c>
      <c r="EL19" t="s">
        <v>19</v>
      </c>
      <c r="EM19" t="s">
        <v>19</v>
      </c>
      <c r="EN19" t="s">
        <v>285</v>
      </c>
      <c r="EO19" t="s">
        <v>286</v>
      </c>
      <c r="EP19" t="s">
        <v>287</v>
      </c>
      <c r="EQ19" t="s">
        <v>287</v>
      </c>
      <c r="ER19" t="s">
        <v>287</v>
      </c>
      <c r="ES19" t="s">
        <v>287</v>
      </c>
      <c r="ET19">
        <v>0</v>
      </c>
      <c r="EU19">
        <v>100</v>
      </c>
      <c r="EV19">
        <v>100</v>
      </c>
      <c r="EW19">
        <v>-0.40200000000000002</v>
      </c>
      <c r="EX19">
        <v>0.105</v>
      </c>
      <c r="EY19">
        <v>2</v>
      </c>
      <c r="EZ19">
        <v>328.601</v>
      </c>
      <c r="FA19">
        <v>471.11599999999999</v>
      </c>
      <c r="FB19">
        <v>21.536799999999999</v>
      </c>
      <c r="FC19">
        <v>36.036499999999997</v>
      </c>
      <c r="FD19">
        <v>29.9998</v>
      </c>
      <c r="FE19">
        <v>36.127899999999997</v>
      </c>
      <c r="FF19">
        <v>36.140300000000003</v>
      </c>
      <c r="FG19">
        <v>12.929399999999999</v>
      </c>
      <c r="FH19">
        <v>50.571899999999999</v>
      </c>
      <c r="FI19">
        <v>0</v>
      </c>
      <c r="FJ19">
        <v>21.544</v>
      </c>
      <c r="FK19">
        <v>200</v>
      </c>
      <c r="FL19">
        <v>16.263500000000001</v>
      </c>
      <c r="FM19">
        <v>100.42400000000001</v>
      </c>
      <c r="FN19">
        <v>100.69499999999999</v>
      </c>
    </row>
    <row r="20" spans="1:170" x14ac:dyDescent="0.25">
      <c r="A20">
        <v>4</v>
      </c>
      <c r="B20">
        <v>1595611250.0999999</v>
      </c>
      <c r="C20">
        <v>372</v>
      </c>
      <c r="D20" t="s">
        <v>298</v>
      </c>
      <c r="E20" t="s">
        <v>299</v>
      </c>
      <c r="G20">
        <v>1595611242.0999999</v>
      </c>
      <c r="H20">
        <f t="shared" si="0"/>
        <v>8.5616594212760341E-3</v>
      </c>
      <c r="I20">
        <f t="shared" si="1"/>
        <v>4.8398424613337019</v>
      </c>
      <c r="J20">
        <f t="shared" si="2"/>
        <v>97.710296774193594</v>
      </c>
      <c r="K20">
        <f t="shared" si="3"/>
        <v>80.487518827614323</v>
      </c>
      <c r="L20">
        <f t="shared" si="4"/>
        <v>8.0448361805486961</v>
      </c>
      <c r="M20">
        <f t="shared" si="5"/>
        <v>9.7662760903929637</v>
      </c>
      <c r="N20">
        <f t="shared" si="6"/>
        <v>0.56117949601080575</v>
      </c>
      <c r="O20">
        <f t="shared" si="7"/>
        <v>3.3945436984613448</v>
      </c>
      <c r="P20">
        <f t="shared" si="8"/>
        <v>0.51427044231162156</v>
      </c>
      <c r="Q20">
        <f t="shared" si="9"/>
        <v>0.32530623004667525</v>
      </c>
      <c r="R20">
        <f t="shared" si="10"/>
        <v>353.337950862215</v>
      </c>
      <c r="S20">
        <f t="shared" si="11"/>
        <v>26.667318721975256</v>
      </c>
      <c r="T20">
        <f t="shared" si="12"/>
        <v>26.9800677419355</v>
      </c>
      <c r="U20">
        <f t="shared" si="13"/>
        <v>3.5749718151286425</v>
      </c>
      <c r="V20">
        <f t="shared" si="14"/>
        <v>55.351182373611366</v>
      </c>
      <c r="W20">
        <f t="shared" si="15"/>
        <v>1.9570139047238024</v>
      </c>
      <c r="X20">
        <f t="shared" si="16"/>
        <v>3.5356316176125757</v>
      </c>
      <c r="Y20">
        <f t="shared" si="17"/>
        <v>1.61795791040484</v>
      </c>
      <c r="Z20">
        <f t="shared" si="18"/>
        <v>-377.5691804782731</v>
      </c>
      <c r="AA20">
        <f t="shared" si="19"/>
        <v>-34.449524095806076</v>
      </c>
      <c r="AB20">
        <f t="shared" si="20"/>
        <v>-2.1876680120825633</v>
      </c>
      <c r="AC20">
        <f t="shared" si="21"/>
        <v>-60.868421723946732</v>
      </c>
      <c r="AD20">
        <v>-4.1363195336715702E-2</v>
      </c>
      <c r="AE20">
        <v>4.6433810380393799E-2</v>
      </c>
      <c r="AF20">
        <v>3.4671288590474201</v>
      </c>
      <c r="AG20">
        <v>154</v>
      </c>
      <c r="AH20">
        <v>31</v>
      </c>
      <c r="AI20">
        <f t="shared" si="22"/>
        <v>1</v>
      </c>
      <c r="AJ20">
        <f t="shared" si="23"/>
        <v>0</v>
      </c>
      <c r="AK20">
        <f t="shared" si="24"/>
        <v>52781.30705991789</v>
      </c>
      <c r="AL20">
        <v>0</v>
      </c>
      <c r="AM20">
        <v>0</v>
      </c>
      <c r="AN20">
        <v>0</v>
      </c>
      <c r="AO20">
        <f t="shared" si="25"/>
        <v>0</v>
      </c>
      <c r="AP20" t="e">
        <f t="shared" si="26"/>
        <v>#DIV/0!</v>
      </c>
      <c r="AQ20">
        <v>-1</v>
      </c>
      <c r="AR20" t="s">
        <v>300</v>
      </c>
      <c r="AS20">
        <v>281.96115384615399</v>
      </c>
      <c r="AT20">
        <v>328.81400000000002</v>
      </c>
      <c r="AU20">
        <f t="shared" si="27"/>
        <v>0.14249042362504649</v>
      </c>
      <c r="AV20">
        <v>0.5</v>
      </c>
      <c r="AW20">
        <f t="shared" si="28"/>
        <v>1849.1841695369076</v>
      </c>
      <c r="AX20">
        <f t="shared" si="29"/>
        <v>4.8398424613337019</v>
      </c>
      <c r="AY20">
        <f t="shared" si="30"/>
        <v>131.74551783902189</v>
      </c>
      <c r="AZ20">
        <f t="shared" si="31"/>
        <v>0.36730187887377064</v>
      </c>
      <c r="BA20">
        <f t="shared" si="32"/>
        <v>3.15806427371492E-3</v>
      </c>
      <c r="BB20">
        <f t="shared" si="33"/>
        <v>-1</v>
      </c>
      <c r="BC20" t="s">
        <v>301</v>
      </c>
      <c r="BD20">
        <v>208.04</v>
      </c>
      <c r="BE20">
        <f t="shared" si="34"/>
        <v>120.77400000000003</v>
      </c>
      <c r="BF20">
        <f t="shared" si="35"/>
        <v>0.38793818333288638</v>
      </c>
      <c r="BG20">
        <f t="shared" si="36"/>
        <v>1.5805325898865605</v>
      </c>
      <c r="BH20">
        <f t="shared" si="37"/>
        <v>0.14249042362504646</v>
      </c>
      <c r="BI20" t="e">
        <f t="shared" si="38"/>
        <v>#DIV/0!</v>
      </c>
      <c r="BJ20">
        <v>5299</v>
      </c>
      <c r="BK20">
        <v>300</v>
      </c>
      <c r="BL20">
        <v>300</v>
      </c>
      <c r="BM20">
        <v>300</v>
      </c>
      <c r="BN20">
        <v>9863.17</v>
      </c>
      <c r="BO20">
        <v>314.27499999999998</v>
      </c>
      <c r="BP20">
        <v>-6.3960900000000001E-3</v>
      </c>
      <c r="BQ20">
        <v>-1.7486600000000001E-2</v>
      </c>
      <c r="BR20">
        <f t="shared" si="39"/>
        <v>2199.9983870967699</v>
      </c>
      <c r="BS20">
        <f t="shared" si="40"/>
        <v>1849.1841695369076</v>
      </c>
      <c r="BT20">
        <f t="shared" si="41"/>
        <v>0.84053887511126102</v>
      </c>
      <c r="BU20">
        <f t="shared" si="42"/>
        <v>0.19107775022252199</v>
      </c>
      <c r="BV20">
        <v>0.5</v>
      </c>
      <c r="BW20" t="s">
        <v>281</v>
      </c>
      <c r="BX20">
        <v>1595611242.0999999</v>
      </c>
      <c r="BY20">
        <v>97.710296774193594</v>
      </c>
      <c r="BZ20">
        <v>99.980603225806405</v>
      </c>
      <c r="CA20">
        <v>19.579664516129</v>
      </c>
      <c r="CB20">
        <v>16.222432258064501</v>
      </c>
      <c r="CC20">
        <v>500.05625806451599</v>
      </c>
      <c r="CD20">
        <v>99.751351612903207</v>
      </c>
      <c r="CE20">
        <v>0.19999858064516099</v>
      </c>
      <c r="CF20">
        <v>26.791825806451602</v>
      </c>
      <c r="CG20">
        <v>26.9800677419355</v>
      </c>
      <c r="CH20">
        <v>999.9</v>
      </c>
      <c r="CI20">
        <v>9999.7999999999993</v>
      </c>
      <c r="CJ20">
        <v>0</v>
      </c>
      <c r="CK20">
        <v>259.247419354839</v>
      </c>
      <c r="CL20">
        <v>2199.9983870967699</v>
      </c>
      <c r="CM20">
        <v>0.98199535483870903</v>
      </c>
      <c r="CN20">
        <v>1.8004309677419401E-2</v>
      </c>
      <c r="CO20">
        <v>0</v>
      </c>
      <c r="CP20">
        <v>281.97696774193503</v>
      </c>
      <c r="CQ20">
        <v>5.00054</v>
      </c>
      <c r="CR20">
        <v>8168.6987096774201</v>
      </c>
      <c r="CS20">
        <v>20590.5032258065</v>
      </c>
      <c r="CT20">
        <v>50.622741935483901</v>
      </c>
      <c r="CU20">
        <v>52.637</v>
      </c>
      <c r="CV20">
        <v>51.027999999999999</v>
      </c>
      <c r="CW20">
        <v>51.560193548387097</v>
      </c>
      <c r="CX20">
        <v>51.812064516128999</v>
      </c>
      <c r="CY20">
        <v>2155.4770967741902</v>
      </c>
      <c r="CZ20">
        <v>39.517419354838701</v>
      </c>
      <c r="DA20">
        <v>0</v>
      </c>
      <c r="DB20">
        <v>129.799999952316</v>
      </c>
      <c r="DC20">
        <v>281.96115384615399</v>
      </c>
      <c r="DD20">
        <v>-1.24068374701201</v>
      </c>
      <c r="DE20">
        <v>-30.5723076941226</v>
      </c>
      <c r="DF20">
        <v>8168.4692307692303</v>
      </c>
      <c r="DG20">
        <v>15</v>
      </c>
      <c r="DH20">
        <v>1595611277.5999999</v>
      </c>
      <c r="DI20" t="s">
        <v>302</v>
      </c>
      <c r="DJ20">
        <v>46</v>
      </c>
      <c r="DK20">
        <v>-0.38100000000000001</v>
      </c>
      <c r="DL20">
        <v>0.10299999999999999</v>
      </c>
      <c r="DM20">
        <v>100</v>
      </c>
      <c r="DN20">
        <v>16</v>
      </c>
      <c r="DO20">
        <v>0.3</v>
      </c>
      <c r="DP20">
        <v>0.03</v>
      </c>
      <c r="DQ20">
        <v>97.704672549019605</v>
      </c>
      <c r="DR20">
        <v>-0.163857013574671</v>
      </c>
      <c r="DS20">
        <v>2.41981694205659E-2</v>
      </c>
      <c r="DT20">
        <v>1</v>
      </c>
      <c r="DU20">
        <v>19.563356862745099</v>
      </c>
      <c r="DV20">
        <v>0.18888868778280499</v>
      </c>
      <c r="DW20">
        <v>2.7049694680615001E-2</v>
      </c>
      <c r="DX20">
        <v>1</v>
      </c>
      <c r="DY20">
        <v>2</v>
      </c>
      <c r="DZ20">
        <v>2</v>
      </c>
      <c r="EA20" t="s">
        <v>283</v>
      </c>
      <c r="EB20">
        <v>1.8667499999999999</v>
      </c>
      <c r="EC20">
        <v>1.8632500000000001</v>
      </c>
      <c r="ED20">
        <v>1.8689</v>
      </c>
      <c r="EE20">
        <v>1.8668400000000001</v>
      </c>
      <c r="EF20">
        <v>1.87151</v>
      </c>
      <c r="EG20">
        <v>1.8640000000000001</v>
      </c>
      <c r="EH20">
        <v>1.86554</v>
      </c>
      <c r="EI20">
        <v>1.8654200000000001</v>
      </c>
      <c r="EJ20" t="s">
        <v>284</v>
      </c>
      <c r="EK20" t="s">
        <v>19</v>
      </c>
      <c r="EL20" t="s">
        <v>19</v>
      </c>
      <c r="EM20" t="s">
        <v>19</v>
      </c>
      <c r="EN20" t="s">
        <v>285</v>
      </c>
      <c r="EO20" t="s">
        <v>286</v>
      </c>
      <c r="EP20" t="s">
        <v>287</v>
      </c>
      <c r="EQ20" t="s">
        <v>287</v>
      </c>
      <c r="ER20" t="s">
        <v>287</v>
      </c>
      <c r="ES20" t="s">
        <v>287</v>
      </c>
      <c r="ET20">
        <v>0</v>
      </c>
      <c r="EU20">
        <v>100</v>
      </c>
      <c r="EV20">
        <v>100</v>
      </c>
      <c r="EW20">
        <v>-0.38100000000000001</v>
      </c>
      <c r="EX20">
        <v>0.10299999999999999</v>
      </c>
      <c r="EY20">
        <v>2</v>
      </c>
      <c r="EZ20">
        <v>328.03199999999998</v>
      </c>
      <c r="FA20">
        <v>470.87099999999998</v>
      </c>
      <c r="FB20">
        <v>21.586099999999998</v>
      </c>
      <c r="FC20">
        <v>36.022599999999997</v>
      </c>
      <c r="FD20">
        <v>30.000900000000001</v>
      </c>
      <c r="FE20">
        <v>36.120699999999999</v>
      </c>
      <c r="FF20">
        <v>36.137</v>
      </c>
      <c r="FG20">
        <v>8.0813799999999993</v>
      </c>
      <c r="FH20">
        <v>50.690600000000003</v>
      </c>
      <c r="FI20">
        <v>0</v>
      </c>
      <c r="FJ20">
        <v>21.5687</v>
      </c>
      <c r="FK20">
        <v>100</v>
      </c>
      <c r="FL20">
        <v>16.273800000000001</v>
      </c>
      <c r="FM20">
        <v>100.42100000000001</v>
      </c>
      <c r="FN20">
        <v>100.69499999999999</v>
      </c>
    </row>
    <row r="21" spans="1:170" x14ac:dyDescent="0.25">
      <c r="A21">
        <v>5</v>
      </c>
      <c r="B21">
        <v>1595611369.0999999</v>
      </c>
      <c r="C21">
        <v>491</v>
      </c>
      <c r="D21" t="s">
        <v>303</v>
      </c>
      <c r="E21" t="s">
        <v>304</v>
      </c>
      <c r="G21">
        <v>1595611361.12903</v>
      </c>
      <c r="H21">
        <f t="shared" si="0"/>
        <v>8.7013671977361085E-3</v>
      </c>
      <c r="I21">
        <f t="shared" si="1"/>
        <v>0.39468533730918121</v>
      </c>
      <c r="J21">
        <f t="shared" si="2"/>
        <v>49.663045161290299</v>
      </c>
      <c r="K21">
        <f t="shared" si="3"/>
        <v>47.214815570017649</v>
      </c>
      <c r="L21">
        <f t="shared" si="4"/>
        <v>4.7188866200766251</v>
      </c>
      <c r="M21">
        <f t="shared" si="5"/>
        <v>4.9635750239527274</v>
      </c>
      <c r="N21">
        <f t="shared" si="6"/>
        <v>0.57614965187213929</v>
      </c>
      <c r="O21">
        <f t="shared" si="7"/>
        <v>3.3984768457203773</v>
      </c>
      <c r="P21">
        <f t="shared" si="8"/>
        <v>0.52687408844670425</v>
      </c>
      <c r="Q21">
        <f t="shared" si="9"/>
        <v>0.33337161677799843</v>
      </c>
      <c r="R21">
        <f t="shared" si="10"/>
        <v>353.33912494566505</v>
      </c>
      <c r="S21">
        <f t="shared" si="11"/>
        <v>26.675402097038162</v>
      </c>
      <c r="T21">
        <f t="shared" si="12"/>
        <v>26.953725806451601</v>
      </c>
      <c r="U21">
        <f t="shared" si="13"/>
        <v>3.5694437911026569</v>
      </c>
      <c r="V21">
        <f t="shared" si="14"/>
        <v>55.434928881859356</v>
      </c>
      <c r="W21">
        <f t="shared" si="15"/>
        <v>1.9645406580195695</v>
      </c>
      <c r="X21">
        <f t="shared" si="16"/>
        <v>3.5438679144088336</v>
      </c>
      <c r="Y21">
        <f t="shared" si="17"/>
        <v>1.6049031330830874</v>
      </c>
      <c r="Z21">
        <f t="shared" si="18"/>
        <v>-383.73029342016241</v>
      </c>
      <c r="AA21">
        <f t="shared" si="19"/>
        <v>-22.414737353442153</v>
      </c>
      <c r="AB21">
        <f t="shared" si="20"/>
        <v>-1.4218625775848783</v>
      </c>
      <c r="AC21">
        <f t="shared" si="21"/>
        <v>-54.227768405524387</v>
      </c>
      <c r="AD21">
        <v>-4.14241381130055E-2</v>
      </c>
      <c r="AE21">
        <v>4.6502223985659598E-2</v>
      </c>
      <c r="AF21">
        <v>3.4711689502010801</v>
      </c>
      <c r="AG21">
        <v>154</v>
      </c>
      <c r="AH21">
        <v>31</v>
      </c>
      <c r="AI21">
        <f t="shared" si="22"/>
        <v>1</v>
      </c>
      <c r="AJ21">
        <f t="shared" si="23"/>
        <v>0</v>
      </c>
      <c r="AK21">
        <f t="shared" si="24"/>
        <v>52848.767083453422</v>
      </c>
      <c r="AL21">
        <v>0</v>
      </c>
      <c r="AM21">
        <v>0</v>
      </c>
      <c r="AN21">
        <v>0</v>
      </c>
      <c r="AO21">
        <f t="shared" si="25"/>
        <v>0</v>
      </c>
      <c r="AP21" t="e">
        <f t="shared" si="26"/>
        <v>#DIV/0!</v>
      </c>
      <c r="AQ21">
        <v>-1</v>
      </c>
      <c r="AR21" t="s">
        <v>305</v>
      </c>
      <c r="AS21">
        <v>282.78673076923099</v>
      </c>
      <c r="AT21">
        <v>320.78199999999998</v>
      </c>
      <c r="AU21">
        <f t="shared" si="27"/>
        <v>0.11844576450913391</v>
      </c>
      <c r="AV21">
        <v>0.5</v>
      </c>
      <c r="AW21">
        <f t="shared" si="28"/>
        <v>1849.1901529634356</v>
      </c>
      <c r="AX21">
        <f t="shared" si="29"/>
        <v>0.39468533730918121</v>
      </c>
      <c r="AY21">
        <f t="shared" si="30"/>
        <v>109.51437069525821</v>
      </c>
      <c r="AZ21">
        <f t="shared" si="31"/>
        <v>0.34029964274803443</v>
      </c>
      <c r="BA21">
        <f t="shared" si="32"/>
        <v>7.5421412723516632E-4</v>
      </c>
      <c r="BB21">
        <f t="shared" si="33"/>
        <v>-1</v>
      </c>
      <c r="BC21" t="s">
        <v>306</v>
      </c>
      <c r="BD21">
        <v>211.62</v>
      </c>
      <c r="BE21">
        <f t="shared" si="34"/>
        <v>109.16199999999998</v>
      </c>
      <c r="BF21">
        <f t="shared" si="35"/>
        <v>0.3480631467980525</v>
      </c>
      <c r="BG21">
        <f t="shared" si="36"/>
        <v>1.515839712692562</v>
      </c>
      <c r="BH21">
        <f t="shared" si="37"/>
        <v>0.11844576450913392</v>
      </c>
      <c r="BI21" t="e">
        <f t="shared" si="38"/>
        <v>#DIV/0!</v>
      </c>
      <c r="BJ21">
        <v>5301</v>
      </c>
      <c r="BK21">
        <v>300</v>
      </c>
      <c r="BL21">
        <v>300</v>
      </c>
      <c r="BM21">
        <v>300</v>
      </c>
      <c r="BN21">
        <v>9863.23</v>
      </c>
      <c r="BO21">
        <v>310.03500000000003</v>
      </c>
      <c r="BP21">
        <v>-6.3960900000000001E-3</v>
      </c>
      <c r="BQ21">
        <v>0.46765099999999998</v>
      </c>
      <c r="BR21">
        <f t="shared" si="39"/>
        <v>2200.0054838709698</v>
      </c>
      <c r="BS21">
        <f t="shared" si="40"/>
        <v>1849.1901529634356</v>
      </c>
      <c r="BT21">
        <f t="shared" si="41"/>
        <v>0.84053888343484262</v>
      </c>
      <c r="BU21">
        <f t="shared" si="42"/>
        <v>0.19107776686968531</v>
      </c>
      <c r="BV21">
        <v>0.5</v>
      </c>
      <c r="BW21" t="s">
        <v>281</v>
      </c>
      <c r="BX21">
        <v>1595611361.12903</v>
      </c>
      <c r="BY21">
        <v>49.663045161290299</v>
      </c>
      <c r="BZ21">
        <v>49.993741935483897</v>
      </c>
      <c r="CA21">
        <v>19.656209677419401</v>
      </c>
      <c r="CB21">
        <v>16.2444064516129</v>
      </c>
      <c r="CC21">
        <v>500.04825806451601</v>
      </c>
      <c r="CD21">
        <v>99.745058064516101</v>
      </c>
      <c r="CE21">
        <v>0.19998170967741899</v>
      </c>
      <c r="CF21">
        <v>26.831387096774201</v>
      </c>
      <c r="CG21">
        <v>26.953725806451601</v>
      </c>
      <c r="CH21">
        <v>999.9</v>
      </c>
      <c r="CI21">
        <v>10015.165161290301</v>
      </c>
      <c r="CJ21">
        <v>0</v>
      </c>
      <c r="CK21">
        <v>259.28506451612901</v>
      </c>
      <c r="CL21">
        <v>2200.0054838709698</v>
      </c>
      <c r="CM21">
        <v>0.98199432258064501</v>
      </c>
      <c r="CN21">
        <v>1.8005325806451599E-2</v>
      </c>
      <c r="CO21">
        <v>0</v>
      </c>
      <c r="CP21">
        <v>282.78851612903202</v>
      </c>
      <c r="CQ21">
        <v>5.00054</v>
      </c>
      <c r="CR21">
        <v>8174.1003225806498</v>
      </c>
      <c r="CS21">
        <v>20590.554838709701</v>
      </c>
      <c r="CT21">
        <v>50.564225806451603</v>
      </c>
      <c r="CU21">
        <v>52.664999999999999</v>
      </c>
      <c r="CV21">
        <v>51.003999999999998</v>
      </c>
      <c r="CW21">
        <v>51.584451612903202</v>
      </c>
      <c r="CX21">
        <v>51.808</v>
      </c>
      <c r="CY21">
        <v>2155.4783870967699</v>
      </c>
      <c r="CZ21">
        <v>39.518064516129002</v>
      </c>
      <c r="DA21">
        <v>0</v>
      </c>
      <c r="DB21">
        <v>118.200000047684</v>
      </c>
      <c r="DC21">
        <v>282.78673076923099</v>
      </c>
      <c r="DD21">
        <v>0.34348716979955202</v>
      </c>
      <c r="DE21">
        <v>-2.8447862975218601</v>
      </c>
      <c r="DF21">
        <v>8174.1326923076904</v>
      </c>
      <c r="DG21">
        <v>15</v>
      </c>
      <c r="DH21">
        <v>1595611397.2</v>
      </c>
      <c r="DI21" t="s">
        <v>307</v>
      </c>
      <c r="DJ21">
        <v>47</v>
      </c>
      <c r="DK21">
        <v>-0.42399999999999999</v>
      </c>
      <c r="DL21">
        <v>9.9000000000000005E-2</v>
      </c>
      <c r="DM21">
        <v>50</v>
      </c>
      <c r="DN21">
        <v>16</v>
      </c>
      <c r="DO21">
        <v>0.38</v>
      </c>
      <c r="DP21">
        <v>0.02</v>
      </c>
      <c r="DQ21">
        <v>49.711476470588202</v>
      </c>
      <c r="DR21">
        <v>-5.4207887242518203E-2</v>
      </c>
      <c r="DS21">
        <v>1.0006401641837699E-2</v>
      </c>
      <c r="DT21">
        <v>1</v>
      </c>
      <c r="DU21">
        <v>19.657678431372499</v>
      </c>
      <c r="DV21">
        <v>2.5984503084375901E-2</v>
      </c>
      <c r="DW21">
        <v>8.6045886920302697E-3</v>
      </c>
      <c r="DX21">
        <v>1</v>
      </c>
      <c r="DY21">
        <v>2</v>
      </c>
      <c r="DZ21">
        <v>2</v>
      </c>
      <c r="EA21" t="s">
        <v>283</v>
      </c>
      <c r="EB21">
        <v>1.86676</v>
      </c>
      <c r="EC21">
        <v>1.8632599999999999</v>
      </c>
      <c r="ED21">
        <v>1.8689100000000001</v>
      </c>
      <c r="EE21">
        <v>1.8668800000000001</v>
      </c>
      <c r="EF21">
        <v>1.87158</v>
      </c>
      <c r="EG21">
        <v>1.8640099999999999</v>
      </c>
      <c r="EH21">
        <v>1.86555</v>
      </c>
      <c r="EI21">
        <v>1.8654299999999999</v>
      </c>
      <c r="EJ21" t="s">
        <v>284</v>
      </c>
      <c r="EK21" t="s">
        <v>19</v>
      </c>
      <c r="EL21" t="s">
        <v>19</v>
      </c>
      <c r="EM21" t="s">
        <v>19</v>
      </c>
      <c r="EN21" t="s">
        <v>285</v>
      </c>
      <c r="EO21" t="s">
        <v>286</v>
      </c>
      <c r="EP21" t="s">
        <v>287</v>
      </c>
      <c r="EQ21" t="s">
        <v>287</v>
      </c>
      <c r="ER21" t="s">
        <v>287</v>
      </c>
      <c r="ES21" t="s">
        <v>287</v>
      </c>
      <c r="ET21">
        <v>0</v>
      </c>
      <c r="EU21">
        <v>100</v>
      </c>
      <c r="EV21">
        <v>100</v>
      </c>
      <c r="EW21">
        <v>-0.42399999999999999</v>
      </c>
      <c r="EX21">
        <v>9.9000000000000005E-2</v>
      </c>
      <c r="EY21">
        <v>2</v>
      </c>
      <c r="EZ21">
        <v>327.94299999999998</v>
      </c>
      <c r="FA21">
        <v>470.34</v>
      </c>
      <c r="FB21">
        <v>21.6616</v>
      </c>
      <c r="FC21">
        <v>36.036700000000003</v>
      </c>
      <c r="FD21">
        <v>29.997800000000002</v>
      </c>
      <c r="FE21">
        <v>36.134099999999997</v>
      </c>
      <c r="FF21">
        <v>36.147799999999997</v>
      </c>
      <c r="FG21">
        <v>5.63103</v>
      </c>
      <c r="FH21">
        <v>51.338900000000002</v>
      </c>
      <c r="FI21">
        <v>0</v>
      </c>
      <c r="FJ21">
        <v>21.727799999999998</v>
      </c>
      <c r="FK21">
        <v>50</v>
      </c>
      <c r="FL21">
        <v>16.0198</v>
      </c>
      <c r="FM21">
        <v>100.417</v>
      </c>
      <c r="FN21">
        <v>100.69199999999999</v>
      </c>
    </row>
    <row r="22" spans="1:170" x14ac:dyDescent="0.25">
      <c r="A22">
        <v>6</v>
      </c>
      <c r="B22">
        <v>1595611508.7</v>
      </c>
      <c r="C22">
        <v>630.60000014305103</v>
      </c>
      <c r="D22" t="s">
        <v>308</v>
      </c>
      <c r="E22" t="s">
        <v>309</v>
      </c>
      <c r="G22">
        <v>1595611500.6612899</v>
      </c>
      <c r="H22">
        <f t="shared" si="0"/>
        <v>9.1960808924749123E-3</v>
      </c>
      <c r="I22">
        <f t="shared" si="1"/>
        <v>26.933814625999126</v>
      </c>
      <c r="J22">
        <f t="shared" si="2"/>
        <v>387.825806451613</v>
      </c>
      <c r="K22">
        <f t="shared" si="3"/>
        <v>301.84759808052013</v>
      </c>
      <c r="L22">
        <f t="shared" si="4"/>
        <v>30.167540230228166</v>
      </c>
      <c r="M22">
        <f t="shared" si="5"/>
        <v>38.760456246296584</v>
      </c>
      <c r="N22">
        <f t="shared" si="6"/>
        <v>0.60764917250327533</v>
      </c>
      <c r="O22">
        <f t="shared" si="7"/>
        <v>3.3935650522386331</v>
      </c>
      <c r="P22">
        <f t="shared" si="8"/>
        <v>0.55303978312574043</v>
      </c>
      <c r="Q22">
        <f t="shared" si="9"/>
        <v>0.35014640808511999</v>
      </c>
      <c r="R22">
        <f t="shared" si="10"/>
        <v>353.33788661418305</v>
      </c>
      <c r="S22">
        <f t="shared" si="11"/>
        <v>26.925783419049424</v>
      </c>
      <c r="T22">
        <f t="shared" si="12"/>
        <v>27.081316129032299</v>
      </c>
      <c r="U22">
        <f t="shared" si="13"/>
        <v>3.5962890663145193</v>
      </c>
      <c r="V22">
        <f t="shared" si="14"/>
        <v>54.715356113524003</v>
      </c>
      <c r="W22">
        <f t="shared" si="15"/>
        <v>1.9807816314640498</v>
      </c>
      <c r="X22">
        <f t="shared" si="16"/>
        <v>3.6201567021775443</v>
      </c>
      <c r="Y22">
        <f t="shared" si="17"/>
        <v>1.6155074348504694</v>
      </c>
      <c r="Z22">
        <f t="shared" si="18"/>
        <v>-405.54716735814361</v>
      </c>
      <c r="AA22">
        <f t="shared" si="19"/>
        <v>20.62657443358486</v>
      </c>
      <c r="AB22">
        <f t="shared" si="20"/>
        <v>1.3135413450095068</v>
      </c>
      <c r="AC22">
        <f t="shared" si="21"/>
        <v>-30.269164965366176</v>
      </c>
      <c r="AD22">
        <v>-4.13480365026292E-2</v>
      </c>
      <c r="AE22">
        <v>4.6416793261144902E-2</v>
      </c>
      <c r="AF22">
        <v>3.4661236117268599</v>
      </c>
      <c r="AG22">
        <v>153</v>
      </c>
      <c r="AH22">
        <v>31</v>
      </c>
      <c r="AI22">
        <f t="shared" si="22"/>
        <v>1</v>
      </c>
      <c r="AJ22">
        <f t="shared" si="23"/>
        <v>0</v>
      </c>
      <c r="AK22">
        <f t="shared" si="24"/>
        <v>52691.875375011034</v>
      </c>
      <c r="AL22">
        <v>0</v>
      </c>
      <c r="AM22">
        <v>0</v>
      </c>
      <c r="AN22">
        <v>0</v>
      </c>
      <c r="AO22">
        <f t="shared" si="25"/>
        <v>0</v>
      </c>
      <c r="AP22" t="e">
        <f t="shared" si="26"/>
        <v>#DIV/0!</v>
      </c>
      <c r="AQ22">
        <v>-1</v>
      </c>
      <c r="AR22" t="s">
        <v>310</v>
      </c>
      <c r="AS22">
        <v>279.62865384615401</v>
      </c>
      <c r="AT22">
        <v>344.66199999999998</v>
      </c>
      <c r="AU22">
        <f t="shared" si="27"/>
        <v>0.18868731149313234</v>
      </c>
      <c r="AV22">
        <v>0.5</v>
      </c>
      <c r="AW22">
        <f t="shared" si="28"/>
        <v>1849.1831613469919</v>
      </c>
      <c r="AX22">
        <f t="shared" si="29"/>
        <v>26.933814625999126</v>
      </c>
      <c r="AY22">
        <f t="shared" si="30"/>
        <v>174.45869958646753</v>
      </c>
      <c r="AZ22">
        <f t="shared" si="31"/>
        <v>0.45442201345085909</v>
      </c>
      <c r="BA22">
        <f t="shared" si="32"/>
        <v>1.5106029088893188E-2</v>
      </c>
      <c r="BB22">
        <f t="shared" si="33"/>
        <v>-1</v>
      </c>
      <c r="BC22" t="s">
        <v>311</v>
      </c>
      <c r="BD22">
        <v>188.04</v>
      </c>
      <c r="BE22">
        <f t="shared" si="34"/>
        <v>156.62199999999999</v>
      </c>
      <c r="BF22">
        <f t="shared" si="35"/>
        <v>0.41522484806633791</v>
      </c>
      <c r="BG22">
        <f t="shared" si="36"/>
        <v>1.8329185279727718</v>
      </c>
      <c r="BH22">
        <f t="shared" si="37"/>
        <v>0.18868731149313234</v>
      </c>
      <c r="BI22" t="e">
        <f t="shared" si="38"/>
        <v>#DIV/0!</v>
      </c>
      <c r="BJ22">
        <v>5303</v>
      </c>
      <c r="BK22">
        <v>300</v>
      </c>
      <c r="BL22">
        <v>300</v>
      </c>
      <c r="BM22">
        <v>300</v>
      </c>
      <c r="BN22">
        <v>9862.39</v>
      </c>
      <c r="BO22">
        <v>326.04599999999999</v>
      </c>
      <c r="BP22">
        <v>-6.3957099999999998E-3</v>
      </c>
      <c r="BQ22">
        <v>0.108887</v>
      </c>
      <c r="BR22">
        <f t="shared" si="39"/>
        <v>2199.9970967741901</v>
      </c>
      <c r="BS22">
        <f t="shared" si="40"/>
        <v>1849.1831613469919</v>
      </c>
      <c r="BT22">
        <f t="shared" si="41"/>
        <v>0.84053890982784052</v>
      </c>
      <c r="BU22">
        <f t="shared" si="42"/>
        <v>0.19107781965568124</v>
      </c>
      <c r="BV22">
        <v>0.5</v>
      </c>
      <c r="BW22" t="s">
        <v>281</v>
      </c>
      <c r="BX22">
        <v>1595611500.6612899</v>
      </c>
      <c r="BY22">
        <v>387.825806451613</v>
      </c>
      <c r="BZ22">
        <v>400.024580645161</v>
      </c>
      <c r="CA22">
        <v>19.8191225806452</v>
      </c>
      <c r="CB22">
        <v>16.213990322580599</v>
      </c>
      <c r="CC22">
        <v>500.05503225806501</v>
      </c>
      <c r="CD22">
        <v>99.742967741935502</v>
      </c>
      <c r="CE22">
        <v>0.199985</v>
      </c>
      <c r="CF22">
        <v>27.194058064516099</v>
      </c>
      <c r="CG22">
        <v>27.081316129032299</v>
      </c>
      <c r="CH22">
        <v>999.9</v>
      </c>
      <c r="CI22">
        <v>9996.9754838709705</v>
      </c>
      <c r="CJ22">
        <v>0</v>
      </c>
      <c r="CK22">
        <v>260.12019354838702</v>
      </c>
      <c r="CL22">
        <v>2199.9970967741901</v>
      </c>
      <c r="CM22">
        <v>0.98199519354838705</v>
      </c>
      <c r="CN22">
        <v>1.8004364516128999E-2</v>
      </c>
      <c r="CO22">
        <v>0</v>
      </c>
      <c r="CP22">
        <v>279.62538709677398</v>
      </c>
      <c r="CQ22">
        <v>5.00054</v>
      </c>
      <c r="CR22">
        <v>8126.0454838709702</v>
      </c>
      <c r="CS22">
        <v>20590.474193548402</v>
      </c>
      <c r="CT22">
        <v>50.679129032257997</v>
      </c>
      <c r="CU22">
        <v>52.731612903225802</v>
      </c>
      <c r="CV22">
        <v>51.080354838709702</v>
      </c>
      <c r="CW22">
        <v>51.721548387096803</v>
      </c>
      <c r="CX22">
        <v>51.868677419354803</v>
      </c>
      <c r="CY22">
        <v>2155.4764516128998</v>
      </c>
      <c r="CZ22">
        <v>39.520000000000003</v>
      </c>
      <c r="DA22">
        <v>0</v>
      </c>
      <c r="DB22">
        <v>139</v>
      </c>
      <c r="DC22">
        <v>279.62865384615401</v>
      </c>
      <c r="DD22">
        <v>-0.234700851291751</v>
      </c>
      <c r="DE22">
        <v>4.7511111269058697</v>
      </c>
      <c r="DF22">
        <v>8126.1919230769199</v>
      </c>
      <c r="DG22">
        <v>15</v>
      </c>
      <c r="DH22">
        <v>1595611537.2</v>
      </c>
      <c r="DI22" t="s">
        <v>312</v>
      </c>
      <c r="DJ22">
        <v>48</v>
      </c>
      <c r="DK22">
        <v>-0.39200000000000002</v>
      </c>
      <c r="DL22">
        <v>0.10100000000000001</v>
      </c>
      <c r="DM22">
        <v>400</v>
      </c>
      <c r="DN22">
        <v>16</v>
      </c>
      <c r="DO22">
        <v>0.31</v>
      </c>
      <c r="DP22">
        <v>0.03</v>
      </c>
      <c r="DQ22">
        <v>387.76625490196102</v>
      </c>
      <c r="DR22">
        <v>0.23682166704430699</v>
      </c>
      <c r="DS22">
        <v>4.1809016354367901E-2</v>
      </c>
      <c r="DT22">
        <v>1</v>
      </c>
      <c r="DU22">
        <v>19.813123529411801</v>
      </c>
      <c r="DV22">
        <v>6.0561971775083399E-2</v>
      </c>
      <c r="DW22">
        <v>1.17989628695981E-2</v>
      </c>
      <c r="DX22">
        <v>1</v>
      </c>
      <c r="DY22">
        <v>2</v>
      </c>
      <c r="DZ22">
        <v>2</v>
      </c>
      <c r="EA22" t="s">
        <v>283</v>
      </c>
      <c r="EB22">
        <v>1.8667199999999999</v>
      </c>
      <c r="EC22">
        <v>1.8632299999999999</v>
      </c>
      <c r="ED22">
        <v>1.8689</v>
      </c>
      <c r="EE22">
        <v>1.86677</v>
      </c>
      <c r="EF22">
        <v>1.8714900000000001</v>
      </c>
      <c r="EG22">
        <v>1.86398</v>
      </c>
      <c r="EH22">
        <v>1.86551</v>
      </c>
      <c r="EI22">
        <v>1.8653900000000001</v>
      </c>
      <c r="EJ22" t="s">
        <v>284</v>
      </c>
      <c r="EK22" t="s">
        <v>19</v>
      </c>
      <c r="EL22" t="s">
        <v>19</v>
      </c>
      <c r="EM22" t="s">
        <v>19</v>
      </c>
      <c r="EN22" t="s">
        <v>285</v>
      </c>
      <c r="EO22" t="s">
        <v>286</v>
      </c>
      <c r="EP22" t="s">
        <v>287</v>
      </c>
      <c r="EQ22" t="s">
        <v>287</v>
      </c>
      <c r="ER22" t="s">
        <v>287</v>
      </c>
      <c r="ES22" t="s">
        <v>287</v>
      </c>
      <c r="ET22">
        <v>0</v>
      </c>
      <c r="EU22">
        <v>100</v>
      </c>
      <c r="EV22">
        <v>100</v>
      </c>
      <c r="EW22">
        <v>-0.39200000000000002</v>
      </c>
      <c r="EX22">
        <v>0.10100000000000001</v>
      </c>
      <c r="EY22">
        <v>2</v>
      </c>
      <c r="EZ22">
        <v>329.49299999999999</v>
      </c>
      <c r="FA22">
        <v>471.15699999999998</v>
      </c>
      <c r="FB22">
        <v>21.7439</v>
      </c>
      <c r="FC22">
        <v>36.027099999999997</v>
      </c>
      <c r="FD22">
        <v>30.000900000000001</v>
      </c>
      <c r="FE22">
        <v>36.1374</v>
      </c>
      <c r="FF22">
        <v>36.153599999999997</v>
      </c>
      <c r="FG22">
        <v>22.081399999999999</v>
      </c>
      <c r="FH22">
        <v>50.797800000000002</v>
      </c>
      <c r="FI22">
        <v>0</v>
      </c>
      <c r="FJ22">
        <v>21.6312</v>
      </c>
      <c r="FK22">
        <v>400</v>
      </c>
      <c r="FL22">
        <v>16.229600000000001</v>
      </c>
      <c r="FM22">
        <v>100.414</v>
      </c>
      <c r="FN22">
        <v>100.691</v>
      </c>
    </row>
    <row r="23" spans="1:170" x14ac:dyDescent="0.25">
      <c r="A23">
        <v>7</v>
      </c>
      <c r="B23">
        <v>1595611634.0999999</v>
      </c>
      <c r="C23">
        <v>756</v>
      </c>
      <c r="D23" t="s">
        <v>313</v>
      </c>
      <c r="E23" t="s">
        <v>314</v>
      </c>
      <c r="G23">
        <v>1595611626.16452</v>
      </c>
      <c r="H23">
        <f t="shared" si="0"/>
        <v>8.9756162477675604E-3</v>
      </c>
      <c r="I23">
        <f t="shared" si="1"/>
        <v>27.489603606605112</v>
      </c>
      <c r="J23">
        <f t="shared" si="2"/>
        <v>387.59800000000001</v>
      </c>
      <c r="K23">
        <f t="shared" si="3"/>
        <v>298.95724931784315</v>
      </c>
      <c r="L23">
        <f t="shared" si="4"/>
        <v>29.879734364295494</v>
      </c>
      <c r="M23">
        <f t="shared" si="5"/>
        <v>38.739068233194971</v>
      </c>
      <c r="N23">
        <f t="shared" si="6"/>
        <v>0.59773101600995482</v>
      </c>
      <c r="O23">
        <f t="shared" si="7"/>
        <v>3.3955760414323359</v>
      </c>
      <c r="P23">
        <f t="shared" si="8"/>
        <v>0.54483509509109851</v>
      </c>
      <c r="Q23">
        <f t="shared" si="9"/>
        <v>0.344883494292683</v>
      </c>
      <c r="R23">
        <f t="shared" si="10"/>
        <v>353.33757993037352</v>
      </c>
      <c r="S23">
        <f t="shared" si="11"/>
        <v>26.760891928237417</v>
      </c>
      <c r="T23">
        <f t="shared" si="12"/>
        <v>26.984490322580601</v>
      </c>
      <c r="U23">
        <f t="shared" si="13"/>
        <v>3.57590065434281</v>
      </c>
      <c r="V23">
        <f t="shared" si="14"/>
        <v>55.251214320586165</v>
      </c>
      <c r="W23">
        <f t="shared" si="15"/>
        <v>1.975104929812648</v>
      </c>
      <c r="X23">
        <f t="shared" si="16"/>
        <v>3.5747719830236195</v>
      </c>
      <c r="Y23">
        <f t="shared" si="17"/>
        <v>1.6007957245301621</v>
      </c>
      <c r="Z23">
        <f t="shared" si="18"/>
        <v>-395.82467652654941</v>
      </c>
      <c r="AA23">
        <f t="shared" si="19"/>
        <v>-0.98381220765914434</v>
      </c>
      <c r="AB23">
        <f t="shared" si="20"/>
        <v>-6.25165047007014E-2</v>
      </c>
      <c r="AC23">
        <f t="shared" si="21"/>
        <v>-43.533425308535712</v>
      </c>
      <c r="AD23">
        <v>-4.1379188051129702E-2</v>
      </c>
      <c r="AE23">
        <v>4.6451763603362298E-2</v>
      </c>
      <c r="AF23">
        <v>3.4681892664301301</v>
      </c>
      <c r="AG23">
        <v>154</v>
      </c>
      <c r="AH23">
        <v>31</v>
      </c>
      <c r="AI23">
        <f t="shared" si="22"/>
        <v>1</v>
      </c>
      <c r="AJ23">
        <f t="shared" si="23"/>
        <v>0</v>
      </c>
      <c r="AK23">
        <f t="shared" si="24"/>
        <v>52767.808569430716</v>
      </c>
      <c r="AL23">
        <v>0</v>
      </c>
      <c r="AM23">
        <v>0</v>
      </c>
      <c r="AN23">
        <v>0</v>
      </c>
      <c r="AO23">
        <f t="shared" si="25"/>
        <v>0</v>
      </c>
      <c r="AP23" t="e">
        <f t="shared" si="26"/>
        <v>#DIV/0!</v>
      </c>
      <c r="AQ23">
        <v>-1</v>
      </c>
      <c r="AR23" t="s">
        <v>315</v>
      </c>
      <c r="AS23">
        <v>277.80984615384602</v>
      </c>
      <c r="AT23">
        <v>347.52199999999999</v>
      </c>
      <c r="AU23">
        <f t="shared" si="27"/>
        <v>0.20059781494741047</v>
      </c>
      <c r="AV23">
        <v>0.5</v>
      </c>
      <c r="AW23">
        <f t="shared" si="28"/>
        <v>1849.1812932573707</v>
      </c>
      <c r="AX23">
        <f t="shared" si="29"/>
        <v>27.489603606605112</v>
      </c>
      <c r="AY23">
        <f t="shared" si="30"/>
        <v>185.47086343452762</v>
      </c>
      <c r="AZ23">
        <f t="shared" si="31"/>
        <v>0.45465323058684048</v>
      </c>
      <c r="BA23">
        <f t="shared" si="32"/>
        <v>1.5406603836241546E-2</v>
      </c>
      <c r="BB23">
        <f t="shared" si="33"/>
        <v>-1</v>
      </c>
      <c r="BC23" t="s">
        <v>316</v>
      </c>
      <c r="BD23">
        <v>189.52</v>
      </c>
      <c r="BE23">
        <f t="shared" si="34"/>
        <v>158.00199999999998</v>
      </c>
      <c r="BF23">
        <f t="shared" si="35"/>
        <v>0.44121057863921959</v>
      </c>
      <c r="BG23">
        <f t="shared" si="36"/>
        <v>1.8336956521739129</v>
      </c>
      <c r="BH23">
        <f t="shared" si="37"/>
        <v>0.20059781494741044</v>
      </c>
      <c r="BI23" t="e">
        <f t="shared" si="38"/>
        <v>#DIV/0!</v>
      </c>
      <c r="BJ23">
        <v>5305</v>
      </c>
      <c r="BK23">
        <v>300</v>
      </c>
      <c r="BL23">
        <v>300</v>
      </c>
      <c r="BM23">
        <v>300</v>
      </c>
      <c r="BN23">
        <v>9862.9</v>
      </c>
      <c r="BO23">
        <v>326.22800000000001</v>
      </c>
      <c r="BP23">
        <v>-6.3959500000000001E-3</v>
      </c>
      <c r="BQ23">
        <v>0.11666899999999999</v>
      </c>
      <c r="BR23">
        <f t="shared" si="39"/>
        <v>2199.9948387096802</v>
      </c>
      <c r="BS23">
        <f t="shared" si="40"/>
        <v>1849.1812932573707</v>
      </c>
      <c r="BT23">
        <f t="shared" si="41"/>
        <v>0.84053892341944525</v>
      </c>
      <c r="BU23">
        <f t="shared" si="42"/>
        <v>0.19107784683889059</v>
      </c>
      <c r="BV23">
        <v>0.5</v>
      </c>
      <c r="BW23" t="s">
        <v>281</v>
      </c>
      <c r="BX23">
        <v>1595611626.16452</v>
      </c>
      <c r="BY23">
        <v>387.59800000000001</v>
      </c>
      <c r="BZ23">
        <v>399.98393548387099</v>
      </c>
      <c r="CA23">
        <v>19.7616193548387</v>
      </c>
      <c r="CB23">
        <v>16.242741935483899</v>
      </c>
      <c r="CC23">
        <v>500.05967741935501</v>
      </c>
      <c r="CD23">
        <v>99.746512903225806</v>
      </c>
      <c r="CE23">
        <v>0.19999929032258101</v>
      </c>
      <c r="CF23">
        <v>26.979116129032299</v>
      </c>
      <c r="CG23">
        <v>26.984490322580601</v>
      </c>
      <c r="CH23">
        <v>999.9</v>
      </c>
      <c r="CI23">
        <v>10004.151612903201</v>
      </c>
      <c r="CJ23">
        <v>0</v>
      </c>
      <c r="CK23">
        <v>260.23235483871002</v>
      </c>
      <c r="CL23">
        <v>2199.9948387096802</v>
      </c>
      <c r="CM23">
        <v>0.98199396774193504</v>
      </c>
      <c r="CN23">
        <v>1.8005583870967699E-2</v>
      </c>
      <c r="CO23">
        <v>0</v>
      </c>
      <c r="CP23">
        <v>277.80641935483902</v>
      </c>
      <c r="CQ23">
        <v>5.00054</v>
      </c>
      <c r="CR23">
        <v>8075.9467741935496</v>
      </c>
      <c r="CS23">
        <v>20590.4483870968</v>
      </c>
      <c r="CT23">
        <v>50.618741935483897</v>
      </c>
      <c r="CU23">
        <v>52.717483870967698</v>
      </c>
      <c r="CV23">
        <v>51.054129032257997</v>
      </c>
      <c r="CW23">
        <v>51.648838709677399</v>
      </c>
      <c r="CX23">
        <v>51.860548387096799</v>
      </c>
      <c r="CY23">
        <v>2155.4738709677399</v>
      </c>
      <c r="CZ23">
        <v>39.5209677419355</v>
      </c>
      <c r="DA23">
        <v>0</v>
      </c>
      <c r="DB23">
        <v>124.90000009536701</v>
      </c>
      <c r="DC23">
        <v>277.80984615384602</v>
      </c>
      <c r="DD23">
        <v>-0.40252992058246401</v>
      </c>
      <c r="DE23">
        <v>-10.689914648429999</v>
      </c>
      <c r="DF23">
        <v>8075.4992307692301</v>
      </c>
      <c r="DG23">
        <v>15</v>
      </c>
      <c r="DH23">
        <v>1595611661.2</v>
      </c>
      <c r="DI23" t="s">
        <v>317</v>
      </c>
      <c r="DJ23">
        <v>49</v>
      </c>
      <c r="DK23">
        <v>-0.374</v>
      </c>
      <c r="DL23">
        <v>0.10100000000000001</v>
      </c>
      <c r="DM23">
        <v>400</v>
      </c>
      <c r="DN23">
        <v>16</v>
      </c>
      <c r="DO23">
        <v>0.17</v>
      </c>
      <c r="DP23">
        <v>0.03</v>
      </c>
      <c r="DQ23">
        <v>387.61031372549002</v>
      </c>
      <c r="DR23">
        <v>-0.26823517484186099</v>
      </c>
      <c r="DS23">
        <v>4.20636726488419E-2</v>
      </c>
      <c r="DT23">
        <v>1</v>
      </c>
      <c r="DU23">
        <v>19.763794117647102</v>
      </c>
      <c r="DV23">
        <v>-4.3504551156440398E-2</v>
      </c>
      <c r="DW23">
        <v>1.04832155627545E-2</v>
      </c>
      <c r="DX23">
        <v>1</v>
      </c>
      <c r="DY23">
        <v>2</v>
      </c>
      <c r="DZ23">
        <v>2</v>
      </c>
      <c r="EA23" t="s">
        <v>283</v>
      </c>
      <c r="EB23">
        <v>1.86676</v>
      </c>
      <c r="EC23">
        <v>1.8632500000000001</v>
      </c>
      <c r="ED23">
        <v>1.8689</v>
      </c>
      <c r="EE23">
        <v>1.8668499999999999</v>
      </c>
      <c r="EF23">
        <v>1.8715299999999999</v>
      </c>
      <c r="EG23">
        <v>1.8640000000000001</v>
      </c>
      <c r="EH23">
        <v>1.8655299999999999</v>
      </c>
      <c r="EI23">
        <v>1.8653900000000001</v>
      </c>
      <c r="EJ23" t="s">
        <v>284</v>
      </c>
      <c r="EK23" t="s">
        <v>19</v>
      </c>
      <c r="EL23" t="s">
        <v>19</v>
      </c>
      <c r="EM23" t="s">
        <v>19</v>
      </c>
      <c r="EN23" t="s">
        <v>285</v>
      </c>
      <c r="EO23" t="s">
        <v>286</v>
      </c>
      <c r="EP23" t="s">
        <v>287</v>
      </c>
      <c r="EQ23" t="s">
        <v>287</v>
      </c>
      <c r="ER23" t="s">
        <v>287</v>
      </c>
      <c r="ES23" t="s">
        <v>287</v>
      </c>
      <c r="ET23">
        <v>0</v>
      </c>
      <c r="EU23">
        <v>100</v>
      </c>
      <c r="EV23">
        <v>100</v>
      </c>
      <c r="EW23">
        <v>-0.374</v>
      </c>
      <c r="EX23">
        <v>0.10100000000000001</v>
      </c>
      <c r="EY23">
        <v>2</v>
      </c>
      <c r="EZ23">
        <v>327.91</v>
      </c>
      <c r="FA23">
        <v>470.82900000000001</v>
      </c>
      <c r="FB23">
        <v>21.856999999999999</v>
      </c>
      <c r="FC23">
        <v>36.082799999999999</v>
      </c>
      <c r="FD23">
        <v>30.000800000000002</v>
      </c>
      <c r="FE23">
        <v>36.174399999999999</v>
      </c>
      <c r="FF23">
        <v>36.187600000000003</v>
      </c>
      <c r="FG23">
        <v>22.082000000000001</v>
      </c>
      <c r="FH23">
        <v>50.749400000000001</v>
      </c>
      <c r="FI23">
        <v>0</v>
      </c>
      <c r="FJ23">
        <v>21.844200000000001</v>
      </c>
      <c r="FK23">
        <v>400</v>
      </c>
      <c r="FL23">
        <v>16.172000000000001</v>
      </c>
      <c r="FM23">
        <v>100.405</v>
      </c>
      <c r="FN23">
        <v>100.684</v>
      </c>
    </row>
    <row r="24" spans="1:170" x14ac:dyDescent="0.25">
      <c r="A24">
        <v>8</v>
      </c>
      <c r="B24">
        <v>1595611782.7</v>
      </c>
      <c r="C24">
        <v>904.60000014305103</v>
      </c>
      <c r="D24" t="s">
        <v>318</v>
      </c>
      <c r="E24" t="s">
        <v>319</v>
      </c>
      <c r="G24">
        <v>1595611774.7</v>
      </c>
      <c r="H24">
        <f t="shared" si="0"/>
        <v>7.6783844956246315E-3</v>
      </c>
      <c r="I24">
        <f t="shared" si="1"/>
        <v>31.753841584079236</v>
      </c>
      <c r="J24">
        <f t="shared" si="2"/>
        <v>485.83590322580699</v>
      </c>
      <c r="K24">
        <f t="shared" si="3"/>
        <v>365.45571826141713</v>
      </c>
      <c r="L24">
        <f t="shared" si="4"/>
        <v>36.525456094197018</v>
      </c>
      <c r="M24">
        <f t="shared" si="5"/>
        <v>48.556848519647929</v>
      </c>
      <c r="N24">
        <f t="shared" si="6"/>
        <v>0.49780518271739982</v>
      </c>
      <c r="O24">
        <f t="shared" si="7"/>
        <v>3.3926710367330708</v>
      </c>
      <c r="P24">
        <f t="shared" si="8"/>
        <v>0.46049692749706972</v>
      </c>
      <c r="Q24">
        <f t="shared" si="9"/>
        <v>0.29092922384427794</v>
      </c>
      <c r="R24">
        <f t="shared" si="10"/>
        <v>353.33984521245372</v>
      </c>
      <c r="S24">
        <f t="shared" si="11"/>
        <v>26.754476520066106</v>
      </c>
      <c r="T24">
        <f t="shared" si="12"/>
        <v>26.9771838709677</v>
      </c>
      <c r="U24">
        <f t="shared" si="13"/>
        <v>3.5743662522411914</v>
      </c>
      <c r="V24">
        <f t="shared" si="14"/>
        <v>55.633722604537702</v>
      </c>
      <c r="W24">
        <f t="shared" si="15"/>
        <v>1.953961310630733</v>
      </c>
      <c r="X24">
        <f t="shared" si="16"/>
        <v>3.5121886854850874</v>
      </c>
      <c r="Y24">
        <f t="shared" si="17"/>
        <v>1.6204049416104584</v>
      </c>
      <c r="Z24">
        <f t="shared" si="18"/>
        <v>-338.61675625704623</v>
      </c>
      <c r="AA24">
        <f t="shared" si="19"/>
        <v>-54.57964520853033</v>
      </c>
      <c r="AB24">
        <f t="shared" si="20"/>
        <v>-3.4659058308920403</v>
      </c>
      <c r="AC24">
        <f t="shared" si="21"/>
        <v>-43.32246208401488</v>
      </c>
      <c r="AD24">
        <v>-4.1334190288755998E-2</v>
      </c>
      <c r="AE24">
        <v>4.6401249673077301E-2</v>
      </c>
      <c r="AF24">
        <v>3.4652052985419401</v>
      </c>
      <c r="AG24">
        <v>153</v>
      </c>
      <c r="AH24">
        <v>31</v>
      </c>
      <c r="AI24">
        <f t="shared" si="22"/>
        <v>1</v>
      </c>
      <c r="AJ24">
        <f t="shared" si="23"/>
        <v>0</v>
      </c>
      <c r="AK24">
        <f t="shared" si="24"/>
        <v>52765.563005734504</v>
      </c>
      <c r="AL24">
        <v>0</v>
      </c>
      <c r="AM24">
        <v>0</v>
      </c>
      <c r="AN24">
        <v>0</v>
      </c>
      <c r="AO24">
        <f t="shared" si="25"/>
        <v>0</v>
      </c>
      <c r="AP24" t="e">
        <f t="shared" si="26"/>
        <v>#DIV/0!</v>
      </c>
      <c r="AQ24">
        <v>-1</v>
      </c>
      <c r="AR24" t="s">
        <v>320</v>
      </c>
      <c r="AS24">
        <v>280.89576923076902</v>
      </c>
      <c r="AT24">
        <v>355.92099999999999</v>
      </c>
      <c r="AU24">
        <f t="shared" si="27"/>
        <v>0.21079180708424339</v>
      </c>
      <c r="AV24">
        <v>0.5</v>
      </c>
      <c r="AW24">
        <f t="shared" si="28"/>
        <v>1849.1932158380114</v>
      </c>
      <c r="AX24">
        <f t="shared" si="29"/>
        <v>31.753841584079236</v>
      </c>
      <c r="AY24">
        <f t="shared" si="30"/>
        <v>194.89738980720887</v>
      </c>
      <c r="AZ24">
        <f t="shared" si="31"/>
        <v>0.45982394969670237</v>
      </c>
      <c r="BA24">
        <f t="shared" si="32"/>
        <v>1.771250364945556E-2</v>
      </c>
      <c r="BB24">
        <f t="shared" si="33"/>
        <v>-1</v>
      </c>
      <c r="BC24" t="s">
        <v>321</v>
      </c>
      <c r="BD24">
        <v>192.26</v>
      </c>
      <c r="BE24">
        <f t="shared" si="34"/>
        <v>163.661</v>
      </c>
      <c r="BF24">
        <f t="shared" si="35"/>
        <v>0.45841850391498873</v>
      </c>
      <c r="BG24">
        <f t="shared" si="36"/>
        <v>1.8512483095807761</v>
      </c>
      <c r="BH24">
        <f t="shared" si="37"/>
        <v>0.21079180708424333</v>
      </c>
      <c r="BI24" t="e">
        <f t="shared" si="38"/>
        <v>#DIV/0!</v>
      </c>
      <c r="BJ24">
        <v>5307</v>
      </c>
      <c r="BK24">
        <v>300</v>
      </c>
      <c r="BL24">
        <v>300</v>
      </c>
      <c r="BM24">
        <v>300</v>
      </c>
      <c r="BN24">
        <v>9862.92</v>
      </c>
      <c r="BO24">
        <v>334.68200000000002</v>
      </c>
      <c r="BP24">
        <v>-6.39597E-3</v>
      </c>
      <c r="BQ24">
        <v>0.83645599999999998</v>
      </c>
      <c r="BR24">
        <f t="shared" si="39"/>
        <v>2200.00903225806</v>
      </c>
      <c r="BS24">
        <f t="shared" si="40"/>
        <v>1849.1932158380114</v>
      </c>
      <c r="BT24">
        <f t="shared" si="41"/>
        <v>0.84053891994253505</v>
      </c>
      <c r="BU24">
        <f t="shared" si="42"/>
        <v>0.19107783988507027</v>
      </c>
      <c r="BV24">
        <v>0.5</v>
      </c>
      <c r="BW24" t="s">
        <v>281</v>
      </c>
      <c r="BX24">
        <v>1595611774.7</v>
      </c>
      <c r="BY24">
        <v>485.83590322580699</v>
      </c>
      <c r="BZ24">
        <v>500.02793548387098</v>
      </c>
      <c r="CA24">
        <v>19.5503741935484</v>
      </c>
      <c r="CB24">
        <v>16.539422580645201</v>
      </c>
      <c r="CC24">
        <v>500.059129032258</v>
      </c>
      <c r="CD24">
        <v>99.744938709677399</v>
      </c>
      <c r="CE24">
        <v>0.20001841935483899</v>
      </c>
      <c r="CF24">
        <v>26.6787806451613</v>
      </c>
      <c r="CG24">
        <v>26.9771838709677</v>
      </c>
      <c r="CH24">
        <v>999.9</v>
      </c>
      <c r="CI24">
        <v>9993.4303225806398</v>
      </c>
      <c r="CJ24">
        <v>0</v>
      </c>
      <c r="CK24">
        <v>257.44548387096802</v>
      </c>
      <c r="CL24">
        <v>2200.00903225806</v>
      </c>
      <c r="CM24">
        <v>0.98199416129032302</v>
      </c>
      <c r="CN24">
        <v>1.8005380645161301E-2</v>
      </c>
      <c r="CO24">
        <v>0</v>
      </c>
      <c r="CP24">
        <v>280.91177419354801</v>
      </c>
      <c r="CQ24">
        <v>5.00054</v>
      </c>
      <c r="CR24">
        <v>8191.82322580645</v>
      </c>
      <c r="CS24">
        <v>20590.587096774201</v>
      </c>
      <c r="CT24">
        <v>50.693258064516101</v>
      </c>
      <c r="CU24">
        <v>52.719516129032201</v>
      </c>
      <c r="CV24">
        <v>51.076225806451603</v>
      </c>
      <c r="CW24">
        <v>51.727677419354798</v>
      </c>
      <c r="CX24">
        <v>51.893000000000001</v>
      </c>
      <c r="CY24">
        <v>2155.4880645161302</v>
      </c>
      <c r="CZ24">
        <v>39.5209677419355</v>
      </c>
      <c r="DA24">
        <v>0</v>
      </c>
      <c r="DB24">
        <v>147.90000009536701</v>
      </c>
      <c r="DC24">
        <v>280.89576923076902</v>
      </c>
      <c r="DD24">
        <v>-0.44170941541171099</v>
      </c>
      <c r="DE24">
        <v>-26.649230777536701</v>
      </c>
      <c r="DF24">
        <v>8191.6096153846202</v>
      </c>
      <c r="DG24">
        <v>15</v>
      </c>
      <c r="DH24">
        <v>1595611808.2</v>
      </c>
      <c r="DI24" t="s">
        <v>322</v>
      </c>
      <c r="DJ24">
        <v>50</v>
      </c>
      <c r="DK24">
        <v>-0.308</v>
      </c>
      <c r="DL24">
        <v>0.104</v>
      </c>
      <c r="DM24">
        <v>500</v>
      </c>
      <c r="DN24">
        <v>16</v>
      </c>
      <c r="DO24">
        <v>0.39</v>
      </c>
      <c r="DP24">
        <v>0.03</v>
      </c>
      <c r="DQ24">
        <v>485.743019607843</v>
      </c>
      <c r="DR24">
        <v>0.24933936651591301</v>
      </c>
      <c r="DS24">
        <v>3.4041779518513803E-2</v>
      </c>
      <c r="DT24">
        <v>1</v>
      </c>
      <c r="DU24">
        <v>19.594294117647099</v>
      </c>
      <c r="DV24">
        <v>-0.525468597285079</v>
      </c>
      <c r="DW24">
        <v>6.5332313152593205E-2</v>
      </c>
      <c r="DX24">
        <v>0</v>
      </c>
      <c r="DY24">
        <v>1</v>
      </c>
      <c r="DZ24">
        <v>2</v>
      </c>
      <c r="EA24" t="s">
        <v>323</v>
      </c>
      <c r="EB24">
        <v>1.8666499999999999</v>
      </c>
      <c r="EC24">
        <v>1.8631800000000001</v>
      </c>
      <c r="ED24">
        <v>1.8688800000000001</v>
      </c>
      <c r="EE24">
        <v>1.86676</v>
      </c>
      <c r="EF24">
        <v>1.87148</v>
      </c>
      <c r="EG24">
        <v>1.8639399999999999</v>
      </c>
      <c r="EH24">
        <v>1.8654299999999999</v>
      </c>
      <c r="EI24">
        <v>1.8653900000000001</v>
      </c>
      <c r="EJ24" t="s">
        <v>284</v>
      </c>
      <c r="EK24" t="s">
        <v>19</v>
      </c>
      <c r="EL24" t="s">
        <v>19</v>
      </c>
      <c r="EM24" t="s">
        <v>19</v>
      </c>
      <c r="EN24" t="s">
        <v>285</v>
      </c>
      <c r="EO24" t="s">
        <v>286</v>
      </c>
      <c r="EP24" t="s">
        <v>287</v>
      </c>
      <c r="EQ24" t="s">
        <v>287</v>
      </c>
      <c r="ER24" t="s">
        <v>287</v>
      </c>
      <c r="ES24" t="s">
        <v>287</v>
      </c>
      <c r="ET24">
        <v>0</v>
      </c>
      <c r="EU24">
        <v>100</v>
      </c>
      <c r="EV24">
        <v>100</v>
      </c>
      <c r="EW24">
        <v>-0.308</v>
      </c>
      <c r="EX24">
        <v>0.104</v>
      </c>
      <c r="EY24">
        <v>2</v>
      </c>
      <c r="EZ24">
        <v>328.51100000000002</v>
      </c>
      <c r="FA24">
        <v>470.62299999999999</v>
      </c>
      <c r="FB24">
        <v>20.288900000000002</v>
      </c>
      <c r="FC24">
        <v>36.151000000000003</v>
      </c>
      <c r="FD24">
        <v>30</v>
      </c>
      <c r="FE24">
        <v>36.207999999999998</v>
      </c>
      <c r="FF24">
        <v>36.220300000000002</v>
      </c>
      <c r="FG24">
        <v>26.391400000000001</v>
      </c>
      <c r="FH24">
        <v>50.101599999999998</v>
      </c>
      <c r="FI24">
        <v>0</v>
      </c>
      <c r="FJ24">
        <v>21.376200000000001</v>
      </c>
      <c r="FK24">
        <v>500</v>
      </c>
      <c r="FL24">
        <v>16.401599999999998</v>
      </c>
      <c r="FM24">
        <v>100.396</v>
      </c>
      <c r="FN24">
        <v>100.676</v>
      </c>
    </row>
    <row r="25" spans="1:170" x14ac:dyDescent="0.25">
      <c r="A25">
        <v>9</v>
      </c>
      <c r="B25">
        <v>1595611907.2</v>
      </c>
      <c r="C25">
        <v>1029.10000014305</v>
      </c>
      <c r="D25" t="s">
        <v>324</v>
      </c>
      <c r="E25" t="s">
        <v>325</v>
      </c>
      <c r="G25">
        <v>1595611899.2</v>
      </c>
      <c r="H25">
        <f t="shared" si="0"/>
        <v>6.7204170431564734E-3</v>
      </c>
      <c r="I25">
        <f t="shared" si="1"/>
        <v>34.509663092885447</v>
      </c>
      <c r="J25">
        <f t="shared" si="2"/>
        <v>584.55845161290301</v>
      </c>
      <c r="K25">
        <f t="shared" si="3"/>
        <v>430.76332351362015</v>
      </c>
      <c r="L25">
        <f t="shared" si="4"/>
        <v>43.05397252499013</v>
      </c>
      <c r="M25">
        <f t="shared" si="5"/>
        <v>58.425502221748303</v>
      </c>
      <c r="N25">
        <f t="shared" si="6"/>
        <v>0.41748738467963659</v>
      </c>
      <c r="O25">
        <f t="shared" si="7"/>
        <v>3.3950172099079965</v>
      </c>
      <c r="P25">
        <f t="shared" si="8"/>
        <v>0.39091933944146556</v>
      </c>
      <c r="Q25">
        <f t="shared" si="9"/>
        <v>0.24657059324616115</v>
      </c>
      <c r="R25">
        <f t="shared" si="10"/>
        <v>353.34066608218399</v>
      </c>
      <c r="S25">
        <f t="shared" si="11"/>
        <v>26.917359304825307</v>
      </c>
      <c r="T25">
        <f t="shared" si="12"/>
        <v>27.061990322580598</v>
      </c>
      <c r="U25">
        <f t="shared" si="13"/>
        <v>3.5922115849781608</v>
      </c>
      <c r="V25">
        <f t="shared" si="14"/>
        <v>54.88033153475218</v>
      </c>
      <c r="W25">
        <f t="shared" si="15"/>
        <v>1.921365376045191</v>
      </c>
      <c r="X25">
        <f t="shared" si="16"/>
        <v>3.5010090542702246</v>
      </c>
      <c r="Y25">
        <f t="shared" si="17"/>
        <v>1.6708462089329699</v>
      </c>
      <c r="Z25">
        <f t="shared" si="18"/>
        <v>-296.37039160320046</v>
      </c>
      <c r="AA25">
        <f t="shared" si="19"/>
        <v>-80.049413809491028</v>
      </c>
      <c r="AB25">
        <f t="shared" si="20"/>
        <v>-5.0805499395622009</v>
      </c>
      <c r="AC25">
        <f t="shared" si="21"/>
        <v>-28.15968927006972</v>
      </c>
      <c r="AD25">
        <v>-4.1370530546024901E-2</v>
      </c>
      <c r="AE25">
        <v>4.6442044795442998E-2</v>
      </c>
      <c r="AF25">
        <v>3.4676152425012101</v>
      </c>
      <c r="AG25">
        <v>154</v>
      </c>
      <c r="AH25">
        <v>31</v>
      </c>
      <c r="AI25">
        <f t="shared" si="22"/>
        <v>1</v>
      </c>
      <c r="AJ25">
        <f t="shared" si="23"/>
        <v>0</v>
      </c>
      <c r="AK25">
        <f t="shared" si="24"/>
        <v>52819.671052952173</v>
      </c>
      <c r="AL25">
        <v>0</v>
      </c>
      <c r="AM25">
        <v>0</v>
      </c>
      <c r="AN25">
        <v>0</v>
      </c>
      <c r="AO25">
        <f t="shared" si="25"/>
        <v>0</v>
      </c>
      <c r="AP25" t="e">
        <f t="shared" si="26"/>
        <v>#DIV/0!</v>
      </c>
      <c r="AQ25">
        <v>-1</v>
      </c>
      <c r="AR25" t="s">
        <v>326</v>
      </c>
      <c r="AS25">
        <v>282.08</v>
      </c>
      <c r="AT25">
        <v>360.89400000000001</v>
      </c>
      <c r="AU25">
        <f t="shared" si="27"/>
        <v>0.21838545390059139</v>
      </c>
      <c r="AV25">
        <v>0.5</v>
      </c>
      <c r="AW25">
        <f t="shared" si="28"/>
        <v>1849.1977932573761</v>
      </c>
      <c r="AX25">
        <f t="shared" si="29"/>
        <v>34.509663092885447</v>
      </c>
      <c r="AY25">
        <f t="shared" si="30"/>
        <v>201.91894971624203</v>
      </c>
      <c r="AZ25">
        <f t="shared" si="31"/>
        <v>0.4778522225362572</v>
      </c>
      <c r="BA25">
        <f t="shared" si="32"/>
        <v>1.920273927557252E-2</v>
      </c>
      <c r="BB25">
        <f t="shared" si="33"/>
        <v>-1</v>
      </c>
      <c r="BC25" t="s">
        <v>327</v>
      </c>
      <c r="BD25">
        <v>188.44</v>
      </c>
      <c r="BE25">
        <f t="shared" si="34"/>
        <v>172.45400000000001</v>
      </c>
      <c r="BF25">
        <f t="shared" si="35"/>
        <v>0.45701462418963906</v>
      </c>
      <c r="BG25">
        <f t="shared" si="36"/>
        <v>1.9151666312884739</v>
      </c>
      <c r="BH25">
        <f t="shared" si="37"/>
        <v>0.21838545390059136</v>
      </c>
      <c r="BI25" t="e">
        <f t="shared" si="38"/>
        <v>#DIV/0!</v>
      </c>
      <c r="BJ25">
        <v>5309</v>
      </c>
      <c r="BK25">
        <v>300</v>
      </c>
      <c r="BL25">
        <v>300</v>
      </c>
      <c r="BM25">
        <v>300</v>
      </c>
      <c r="BN25">
        <v>9862.4699999999993</v>
      </c>
      <c r="BO25">
        <v>336.88600000000002</v>
      </c>
      <c r="BP25">
        <v>-6.3956799999999999E-3</v>
      </c>
      <c r="BQ25">
        <v>1.06155</v>
      </c>
      <c r="BR25">
        <f t="shared" si="39"/>
        <v>2200.0145161290302</v>
      </c>
      <c r="BS25">
        <f t="shared" si="40"/>
        <v>1849.1977932573761</v>
      </c>
      <c r="BT25">
        <f t="shared" si="41"/>
        <v>0.84053890540280474</v>
      </c>
      <c r="BU25">
        <f t="shared" si="42"/>
        <v>0.19107781080560976</v>
      </c>
      <c r="BV25">
        <v>0.5</v>
      </c>
      <c r="BW25" t="s">
        <v>281</v>
      </c>
      <c r="BX25">
        <v>1595611899.2</v>
      </c>
      <c r="BY25">
        <v>584.55845161290301</v>
      </c>
      <c r="BZ25">
        <v>599.93203225806496</v>
      </c>
      <c r="CA25">
        <v>19.223632258064502</v>
      </c>
      <c r="CB25">
        <v>16.5874290322581</v>
      </c>
      <c r="CC25">
        <v>500.054483870968</v>
      </c>
      <c r="CD25">
        <v>99.748135483870996</v>
      </c>
      <c r="CE25">
        <v>0.19995706451612899</v>
      </c>
      <c r="CF25">
        <v>26.624638709677399</v>
      </c>
      <c r="CG25">
        <v>27.061990322580598</v>
      </c>
      <c r="CH25">
        <v>999.9</v>
      </c>
      <c r="CI25">
        <v>10001.895806451599</v>
      </c>
      <c r="CJ25">
        <v>0</v>
      </c>
      <c r="CK25">
        <v>247.38916129032299</v>
      </c>
      <c r="CL25">
        <v>2200.0145161290302</v>
      </c>
      <c r="CM25">
        <v>0.98199499999999995</v>
      </c>
      <c r="CN25">
        <v>1.80045E-2</v>
      </c>
      <c r="CO25">
        <v>0</v>
      </c>
      <c r="CP25">
        <v>282.12838709677402</v>
      </c>
      <c r="CQ25">
        <v>5.00054</v>
      </c>
      <c r="CR25">
        <v>8231.4622580645191</v>
      </c>
      <c r="CS25">
        <v>20590.638709677401</v>
      </c>
      <c r="CT25">
        <v>50.830419354838703</v>
      </c>
      <c r="CU25">
        <v>52.875</v>
      </c>
      <c r="CV25">
        <v>51.262</v>
      </c>
      <c r="CW25">
        <v>51.9151290322581</v>
      </c>
      <c r="CX25">
        <v>52.033999999999999</v>
      </c>
      <c r="CY25">
        <v>2155.4945161290302</v>
      </c>
      <c r="CZ25">
        <v>39.520000000000003</v>
      </c>
      <c r="DA25">
        <v>0</v>
      </c>
      <c r="DB25">
        <v>123.700000047684</v>
      </c>
      <c r="DC25">
        <v>282.08</v>
      </c>
      <c r="DD25">
        <v>-1.68088891102817</v>
      </c>
      <c r="DE25">
        <v>-46.029059879729999</v>
      </c>
      <c r="DF25">
        <v>8231.0973076923092</v>
      </c>
      <c r="DG25">
        <v>15</v>
      </c>
      <c r="DH25">
        <v>1595611933.7</v>
      </c>
      <c r="DI25" t="s">
        <v>328</v>
      </c>
      <c r="DJ25">
        <v>51</v>
      </c>
      <c r="DK25">
        <v>-0.36399999999999999</v>
      </c>
      <c r="DL25">
        <v>0.11</v>
      </c>
      <c r="DM25">
        <v>600</v>
      </c>
      <c r="DN25">
        <v>17</v>
      </c>
      <c r="DO25">
        <v>0.14000000000000001</v>
      </c>
      <c r="DP25">
        <v>0.03</v>
      </c>
      <c r="DQ25">
        <v>584.59149019607798</v>
      </c>
      <c r="DR25">
        <v>0.296340271493228</v>
      </c>
      <c r="DS25">
        <v>3.98356292138543E-2</v>
      </c>
      <c r="DT25">
        <v>1</v>
      </c>
      <c r="DU25">
        <v>19.2234431372549</v>
      </c>
      <c r="DV25">
        <v>-5.7793303167419902E-2</v>
      </c>
      <c r="DW25">
        <v>7.8047812118903796E-3</v>
      </c>
      <c r="DX25">
        <v>1</v>
      </c>
      <c r="DY25">
        <v>2</v>
      </c>
      <c r="DZ25">
        <v>2</v>
      </c>
      <c r="EA25" t="s">
        <v>283</v>
      </c>
      <c r="EB25">
        <v>1.8666199999999999</v>
      </c>
      <c r="EC25">
        <v>1.86313</v>
      </c>
      <c r="ED25">
        <v>1.8687800000000001</v>
      </c>
      <c r="EE25">
        <v>1.86676</v>
      </c>
      <c r="EF25">
        <v>1.8714599999999999</v>
      </c>
      <c r="EG25">
        <v>1.8638600000000001</v>
      </c>
      <c r="EH25">
        <v>1.8653999999999999</v>
      </c>
      <c r="EI25">
        <v>1.8653299999999999</v>
      </c>
      <c r="EJ25" t="s">
        <v>284</v>
      </c>
      <c r="EK25" t="s">
        <v>19</v>
      </c>
      <c r="EL25" t="s">
        <v>19</v>
      </c>
      <c r="EM25" t="s">
        <v>19</v>
      </c>
      <c r="EN25" t="s">
        <v>285</v>
      </c>
      <c r="EO25" t="s">
        <v>286</v>
      </c>
      <c r="EP25" t="s">
        <v>287</v>
      </c>
      <c r="EQ25" t="s">
        <v>287</v>
      </c>
      <c r="ER25" t="s">
        <v>287</v>
      </c>
      <c r="ES25" t="s">
        <v>287</v>
      </c>
      <c r="ET25">
        <v>0</v>
      </c>
      <c r="EU25">
        <v>100</v>
      </c>
      <c r="EV25">
        <v>100</v>
      </c>
      <c r="EW25">
        <v>-0.36399999999999999</v>
      </c>
      <c r="EX25">
        <v>0.11</v>
      </c>
      <c r="EY25">
        <v>2</v>
      </c>
      <c r="EZ25">
        <v>328.08199999999999</v>
      </c>
      <c r="FA25">
        <v>469.88200000000001</v>
      </c>
      <c r="FB25">
        <v>20.453299999999999</v>
      </c>
      <c r="FC25">
        <v>36.308</v>
      </c>
      <c r="FD25">
        <v>30.001000000000001</v>
      </c>
      <c r="FE25">
        <v>36.320900000000002</v>
      </c>
      <c r="FF25">
        <v>36.327800000000003</v>
      </c>
      <c r="FG25">
        <v>30.567599999999999</v>
      </c>
      <c r="FH25">
        <v>49.246699999999997</v>
      </c>
      <c r="FI25">
        <v>0</v>
      </c>
      <c r="FJ25">
        <v>20.3904</v>
      </c>
      <c r="FK25">
        <v>600</v>
      </c>
      <c r="FL25">
        <v>16.711400000000001</v>
      </c>
      <c r="FM25">
        <v>100.366</v>
      </c>
      <c r="FN25">
        <v>100.63800000000001</v>
      </c>
    </row>
    <row r="26" spans="1:170" x14ac:dyDescent="0.25">
      <c r="A26">
        <v>10</v>
      </c>
      <c r="B26">
        <v>1595612055.2</v>
      </c>
      <c r="C26">
        <v>1177.10000014305</v>
      </c>
      <c r="D26" t="s">
        <v>329</v>
      </c>
      <c r="E26" t="s">
        <v>330</v>
      </c>
      <c r="G26">
        <v>1595612047.2</v>
      </c>
      <c r="H26">
        <f t="shared" si="0"/>
        <v>5.8789935753456452E-3</v>
      </c>
      <c r="I26">
        <f t="shared" si="1"/>
        <v>35.345238828893912</v>
      </c>
      <c r="J26">
        <f t="shared" si="2"/>
        <v>684.25977419354797</v>
      </c>
      <c r="K26">
        <f t="shared" si="3"/>
        <v>502.55578511736059</v>
      </c>
      <c r="L26">
        <f t="shared" si="4"/>
        <v>50.228980600905423</v>
      </c>
      <c r="M26">
        <f t="shared" si="5"/>
        <v>68.389762772149538</v>
      </c>
      <c r="N26">
        <f t="shared" si="6"/>
        <v>0.35910878658199186</v>
      </c>
      <c r="O26">
        <f t="shared" si="7"/>
        <v>3.3917357811387738</v>
      </c>
      <c r="P26">
        <f t="shared" si="8"/>
        <v>0.33924384510496658</v>
      </c>
      <c r="Q26">
        <f t="shared" si="9"/>
        <v>0.21372056579762622</v>
      </c>
      <c r="R26">
        <f t="shared" si="10"/>
        <v>353.33680480590925</v>
      </c>
      <c r="S26">
        <f t="shared" si="11"/>
        <v>26.824481854918233</v>
      </c>
      <c r="T26">
        <f t="shared" si="12"/>
        <v>27.0410677419355</v>
      </c>
      <c r="U26">
        <f t="shared" si="13"/>
        <v>3.587801755986614</v>
      </c>
      <c r="V26">
        <f t="shared" si="14"/>
        <v>55.28326658824102</v>
      </c>
      <c r="W26">
        <f t="shared" si="15"/>
        <v>1.9033288984270882</v>
      </c>
      <c r="X26">
        <f t="shared" si="16"/>
        <v>3.442866197837763</v>
      </c>
      <c r="Y26">
        <f t="shared" si="17"/>
        <v>1.6844728575595258</v>
      </c>
      <c r="Z26">
        <f t="shared" si="18"/>
        <v>-259.26361667274296</v>
      </c>
      <c r="AA26">
        <f t="shared" si="19"/>
        <v>-128.08421067589117</v>
      </c>
      <c r="AB26">
        <f t="shared" si="20"/>
        <v>-8.1246706419791881</v>
      </c>
      <c r="AC26">
        <f t="shared" si="21"/>
        <v>-42.135693184704081</v>
      </c>
      <c r="AD26">
        <v>-4.1319707123882499E-2</v>
      </c>
      <c r="AE26">
        <v>4.6384991051711899E-2</v>
      </c>
      <c r="AF26">
        <v>3.46424462753088</v>
      </c>
      <c r="AG26">
        <v>155</v>
      </c>
      <c r="AH26">
        <v>31</v>
      </c>
      <c r="AI26">
        <f t="shared" si="22"/>
        <v>1</v>
      </c>
      <c r="AJ26">
        <f t="shared" si="23"/>
        <v>0</v>
      </c>
      <c r="AK26">
        <f t="shared" si="24"/>
        <v>52807.463082835529</v>
      </c>
      <c r="AL26">
        <v>0</v>
      </c>
      <c r="AM26">
        <v>0</v>
      </c>
      <c r="AN26">
        <v>0</v>
      </c>
      <c r="AO26">
        <f t="shared" si="25"/>
        <v>0</v>
      </c>
      <c r="AP26" t="e">
        <f t="shared" si="26"/>
        <v>#DIV/0!</v>
      </c>
      <c r="AQ26">
        <v>-1</v>
      </c>
      <c r="AR26" t="s">
        <v>331</v>
      </c>
      <c r="AS26">
        <v>280.24196153846202</v>
      </c>
      <c r="AT26">
        <v>356.62799999999999</v>
      </c>
      <c r="AU26">
        <f t="shared" si="27"/>
        <v>0.21418968354009771</v>
      </c>
      <c r="AV26">
        <v>0.5</v>
      </c>
      <c r="AW26">
        <f t="shared" si="28"/>
        <v>1849.1774706767339</v>
      </c>
      <c r="AX26">
        <f t="shared" si="29"/>
        <v>35.345238828893912</v>
      </c>
      <c r="AY26">
        <f t="shared" si="30"/>
        <v>198.03736862686398</v>
      </c>
      <c r="AZ26">
        <f t="shared" si="31"/>
        <v>0.47469071413349484</v>
      </c>
      <c r="BA26">
        <f t="shared" si="32"/>
        <v>1.9654813778145822E-2</v>
      </c>
      <c r="BB26">
        <f t="shared" si="33"/>
        <v>-1</v>
      </c>
      <c r="BC26" t="s">
        <v>332</v>
      </c>
      <c r="BD26">
        <v>187.34</v>
      </c>
      <c r="BE26">
        <f t="shared" si="34"/>
        <v>169.28799999999998</v>
      </c>
      <c r="BF26">
        <f t="shared" si="35"/>
        <v>0.45121945124012319</v>
      </c>
      <c r="BG26">
        <f t="shared" si="36"/>
        <v>1.9036404398419984</v>
      </c>
      <c r="BH26">
        <f t="shared" si="37"/>
        <v>0.21418968354009771</v>
      </c>
      <c r="BI26" t="e">
        <f t="shared" si="38"/>
        <v>#DIV/0!</v>
      </c>
      <c r="BJ26">
        <v>5311</v>
      </c>
      <c r="BK26">
        <v>300</v>
      </c>
      <c r="BL26">
        <v>300</v>
      </c>
      <c r="BM26">
        <v>300</v>
      </c>
      <c r="BN26">
        <v>9862.27</v>
      </c>
      <c r="BO26">
        <v>334.79899999999998</v>
      </c>
      <c r="BP26">
        <v>-6.3954299999999997E-3</v>
      </c>
      <c r="BQ26">
        <v>0.76345799999999997</v>
      </c>
      <c r="BR26">
        <f t="shared" si="39"/>
        <v>2199.9903225806502</v>
      </c>
      <c r="BS26">
        <f t="shared" si="40"/>
        <v>1849.1774706767339</v>
      </c>
      <c r="BT26">
        <f t="shared" si="41"/>
        <v>0.84053891132920855</v>
      </c>
      <c r="BU26">
        <f t="shared" si="42"/>
        <v>0.19107782265841711</v>
      </c>
      <c r="BV26">
        <v>0.5</v>
      </c>
      <c r="BW26" t="s">
        <v>281</v>
      </c>
      <c r="BX26">
        <v>1595612047.2</v>
      </c>
      <c r="BY26">
        <v>684.25977419354797</v>
      </c>
      <c r="BZ26">
        <v>700.00506451612898</v>
      </c>
      <c r="CA26">
        <v>19.043367741935501</v>
      </c>
      <c r="CB26">
        <v>16.736832258064499</v>
      </c>
      <c r="CC26">
        <v>500.060612903226</v>
      </c>
      <c r="CD26">
        <v>99.747025806451603</v>
      </c>
      <c r="CE26">
        <v>0.20004890322580601</v>
      </c>
      <c r="CF26">
        <v>26.340599999999998</v>
      </c>
      <c r="CG26">
        <v>27.0410677419355</v>
      </c>
      <c r="CH26">
        <v>999.9</v>
      </c>
      <c r="CI26">
        <v>9989.7196774193508</v>
      </c>
      <c r="CJ26">
        <v>0</v>
      </c>
      <c r="CK26">
        <v>242.042225806452</v>
      </c>
      <c r="CL26">
        <v>2199.9903225806502</v>
      </c>
      <c r="CM26">
        <v>0.98199509677419405</v>
      </c>
      <c r="CN26">
        <v>1.8004432258064501E-2</v>
      </c>
      <c r="CO26">
        <v>0</v>
      </c>
      <c r="CP26">
        <v>280.25741935483899</v>
      </c>
      <c r="CQ26">
        <v>5.00054</v>
      </c>
      <c r="CR26">
        <v>8195.1780645161307</v>
      </c>
      <c r="CS26">
        <v>20590.416129032299</v>
      </c>
      <c r="CT26">
        <v>50.975548387096801</v>
      </c>
      <c r="CU26">
        <v>53.033999999999999</v>
      </c>
      <c r="CV26">
        <v>51.401000000000003</v>
      </c>
      <c r="CW26">
        <v>51.957322580645098</v>
      </c>
      <c r="CX26">
        <v>52.098580645161299</v>
      </c>
      <c r="CY26">
        <v>2155.4703225806502</v>
      </c>
      <c r="CZ26">
        <v>39.520000000000003</v>
      </c>
      <c r="DA26">
        <v>0</v>
      </c>
      <c r="DB26">
        <v>147.5</v>
      </c>
      <c r="DC26">
        <v>280.24196153846202</v>
      </c>
      <c r="DD26">
        <v>-0.90355555457312697</v>
      </c>
      <c r="DE26">
        <v>-44.256068290924297</v>
      </c>
      <c r="DF26">
        <v>8194.8765384615399</v>
      </c>
      <c r="DG26">
        <v>15</v>
      </c>
      <c r="DH26">
        <v>1595612078.2</v>
      </c>
      <c r="DI26" t="s">
        <v>333</v>
      </c>
      <c r="DJ26">
        <v>52</v>
      </c>
      <c r="DK26">
        <v>-0.23100000000000001</v>
      </c>
      <c r="DL26">
        <v>0.108</v>
      </c>
      <c r="DM26">
        <v>700</v>
      </c>
      <c r="DN26">
        <v>17</v>
      </c>
      <c r="DO26">
        <v>0.16</v>
      </c>
      <c r="DP26">
        <v>0.04</v>
      </c>
      <c r="DQ26">
        <v>684.10182352941194</v>
      </c>
      <c r="DR26">
        <v>0.291475113122241</v>
      </c>
      <c r="DS26">
        <v>3.8708921747283201E-2</v>
      </c>
      <c r="DT26">
        <v>1</v>
      </c>
      <c r="DU26">
        <v>19.0768666666667</v>
      </c>
      <c r="DV26">
        <v>-0.361428054298645</v>
      </c>
      <c r="DW26">
        <v>4.4785557312495602E-2</v>
      </c>
      <c r="DX26">
        <v>0</v>
      </c>
      <c r="DY26">
        <v>1</v>
      </c>
      <c r="DZ26">
        <v>2</v>
      </c>
      <c r="EA26" t="s">
        <v>323</v>
      </c>
      <c r="EB26">
        <v>1.8666199999999999</v>
      </c>
      <c r="EC26">
        <v>1.8631200000000001</v>
      </c>
      <c r="ED26">
        <v>1.86883</v>
      </c>
      <c r="EE26">
        <v>1.86676</v>
      </c>
      <c r="EF26">
        <v>1.8714900000000001</v>
      </c>
      <c r="EG26">
        <v>1.86389</v>
      </c>
      <c r="EH26">
        <v>1.8654200000000001</v>
      </c>
      <c r="EI26">
        <v>1.8653500000000001</v>
      </c>
      <c r="EJ26" t="s">
        <v>284</v>
      </c>
      <c r="EK26" t="s">
        <v>19</v>
      </c>
      <c r="EL26" t="s">
        <v>19</v>
      </c>
      <c r="EM26" t="s">
        <v>19</v>
      </c>
      <c r="EN26" t="s">
        <v>285</v>
      </c>
      <c r="EO26" t="s">
        <v>286</v>
      </c>
      <c r="EP26" t="s">
        <v>287</v>
      </c>
      <c r="EQ26" t="s">
        <v>287</v>
      </c>
      <c r="ER26" t="s">
        <v>287</v>
      </c>
      <c r="ES26" t="s">
        <v>287</v>
      </c>
      <c r="ET26">
        <v>0</v>
      </c>
      <c r="EU26">
        <v>100</v>
      </c>
      <c r="EV26">
        <v>100</v>
      </c>
      <c r="EW26">
        <v>-0.23100000000000001</v>
      </c>
      <c r="EX26">
        <v>0.108</v>
      </c>
      <c r="EY26">
        <v>2</v>
      </c>
      <c r="EZ26">
        <v>327.18400000000003</v>
      </c>
      <c r="FA26">
        <v>468.64699999999999</v>
      </c>
      <c r="FB26">
        <v>20.135100000000001</v>
      </c>
      <c r="FC26">
        <v>36.5687</v>
      </c>
      <c r="FD26">
        <v>30.000800000000002</v>
      </c>
      <c r="FE26">
        <v>36.521099999999997</v>
      </c>
      <c r="FF26">
        <v>36.518300000000004</v>
      </c>
      <c r="FG26">
        <v>34.612900000000003</v>
      </c>
      <c r="FH26">
        <v>49.419499999999999</v>
      </c>
      <c r="FI26">
        <v>0</v>
      </c>
      <c r="FJ26">
        <v>18.452999999999999</v>
      </c>
      <c r="FK26">
        <v>700</v>
      </c>
      <c r="FL26">
        <v>16.732900000000001</v>
      </c>
      <c r="FM26">
        <v>100.32</v>
      </c>
      <c r="FN26">
        <v>100.58499999999999</v>
      </c>
    </row>
    <row r="27" spans="1:170" x14ac:dyDescent="0.25">
      <c r="A27">
        <v>11</v>
      </c>
      <c r="B27">
        <v>1595612199.7</v>
      </c>
      <c r="C27">
        <v>1321.60000014305</v>
      </c>
      <c r="D27" t="s">
        <v>334</v>
      </c>
      <c r="E27" t="s">
        <v>335</v>
      </c>
      <c r="G27">
        <v>1595612191.7</v>
      </c>
      <c r="H27">
        <f t="shared" si="0"/>
        <v>4.9764736045824027E-3</v>
      </c>
      <c r="I27">
        <f t="shared" si="1"/>
        <v>36.37132886620477</v>
      </c>
      <c r="J27">
        <f t="shared" si="2"/>
        <v>783.90054838709705</v>
      </c>
      <c r="K27">
        <f t="shared" si="3"/>
        <v>559.68249857715557</v>
      </c>
      <c r="L27">
        <f t="shared" si="4"/>
        <v>55.93814457222561</v>
      </c>
      <c r="M27">
        <f t="shared" si="5"/>
        <v>78.347888878786151</v>
      </c>
      <c r="N27">
        <f t="shared" si="6"/>
        <v>0.29508149111010451</v>
      </c>
      <c r="O27">
        <f t="shared" si="7"/>
        <v>3.3942183648839972</v>
      </c>
      <c r="P27">
        <f t="shared" si="8"/>
        <v>0.28153450513052325</v>
      </c>
      <c r="Q27">
        <f t="shared" si="9"/>
        <v>0.17712437372575396</v>
      </c>
      <c r="R27">
        <f t="shared" si="10"/>
        <v>353.33968789219375</v>
      </c>
      <c r="S27">
        <f t="shared" si="11"/>
        <v>27.003973282836714</v>
      </c>
      <c r="T27">
        <f t="shared" si="12"/>
        <v>27.089745161290299</v>
      </c>
      <c r="U27">
        <f t="shared" si="13"/>
        <v>3.5980687419617357</v>
      </c>
      <c r="V27">
        <f t="shared" si="14"/>
        <v>54.680051810763018</v>
      </c>
      <c r="W27">
        <f t="shared" si="15"/>
        <v>1.8798089529496895</v>
      </c>
      <c r="X27">
        <f t="shared" si="16"/>
        <v>3.4378331598063241</v>
      </c>
      <c r="Y27">
        <f t="shared" si="17"/>
        <v>1.7182597890120461</v>
      </c>
      <c r="Z27">
        <f t="shared" si="18"/>
        <v>-219.46248596208397</v>
      </c>
      <c r="AA27">
        <f t="shared" si="19"/>
        <v>-141.62057745415029</v>
      </c>
      <c r="AB27">
        <f t="shared" si="20"/>
        <v>-8.9778186978923067</v>
      </c>
      <c r="AC27">
        <f t="shared" si="21"/>
        <v>-16.721194221932819</v>
      </c>
      <c r="AD27">
        <v>-4.1358155832218899E-2</v>
      </c>
      <c r="AE27">
        <v>4.6428153095111301E-2</v>
      </c>
      <c r="AF27">
        <v>3.4667946820226501</v>
      </c>
      <c r="AG27">
        <v>155</v>
      </c>
      <c r="AH27">
        <v>31</v>
      </c>
      <c r="AI27">
        <f t="shared" si="22"/>
        <v>1</v>
      </c>
      <c r="AJ27">
        <f t="shared" si="23"/>
        <v>0</v>
      </c>
      <c r="AK27">
        <f t="shared" si="24"/>
        <v>52858.957633809099</v>
      </c>
      <c r="AL27">
        <v>0</v>
      </c>
      <c r="AM27">
        <v>0</v>
      </c>
      <c r="AN27">
        <v>0</v>
      </c>
      <c r="AO27">
        <f t="shared" si="25"/>
        <v>0</v>
      </c>
      <c r="AP27" t="e">
        <f t="shared" si="26"/>
        <v>#DIV/0!</v>
      </c>
      <c r="AQ27">
        <v>-1</v>
      </c>
      <c r="AR27" t="s">
        <v>336</v>
      </c>
      <c r="AS27">
        <v>278.39769230769201</v>
      </c>
      <c r="AT27">
        <v>358.70600000000002</v>
      </c>
      <c r="AU27">
        <f t="shared" si="27"/>
        <v>0.22388336880985538</v>
      </c>
      <c r="AV27">
        <v>0.5</v>
      </c>
      <c r="AW27">
        <f t="shared" si="28"/>
        <v>1849.192644870277</v>
      </c>
      <c r="AX27">
        <f t="shared" si="29"/>
        <v>36.37132886620477</v>
      </c>
      <c r="AY27">
        <f t="shared" si="30"/>
        <v>207.00173945598206</v>
      </c>
      <c r="AZ27">
        <f t="shared" si="31"/>
        <v>0.47121040629373362</v>
      </c>
      <c r="BA27">
        <f t="shared" si="32"/>
        <v>2.0209537913680384E-2</v>
      </c>
      <c r="BB27">
        <f t="shared" si="33"/>
        <v>-1</v>
      </c>
      <c r="BC27" t="s">
        <v>337</v>
      </c>
      <c r="BD27">
        <v>189.68</v>
      </c>
      <c r="BE27">
        <f t="shared" si="34"/>
        <v>169.02600000000001</v>
      </c>
      <c r="BF27">
        <f t="shared" si="35"/>
        <v>0.47512399093812785</v>
      </c>
      <c r="BG27">
        <f t="shared" si="36"/>
        <v>1.8911113454238717</v>
      </c>
      <c r="BH27">
        <f t="shared" si="37"/>
        <v>0.22388336880985543</v>
      </c>
      <c r="BI27" t="e">
        <f t="shared" si="38"/>
        <v>#DIV/0!</v>
      </c>
      <c r="BJ27">
        <v>5313</v>
      </c>
      <c r="BK27">
        <v>300</v>
      </c>
      <c r="BL27">
        <v>300</v>
      </c>
      <c r="BM27">
        <v>300</v>
      </c>
      <c r="BN27">
        <v>9861.73</v>
      </c>
      <c r="BO27">
        <v>332.70800000000003</v>
      </c>
      <c r="BP27">
        <v>-6.3950300000000003E-3</v>
      </c>
      <c r="BQ27">
        <v>0.26327499999999998</v>
      </c>
      <c r="BR27">
        <f t="shared" si="39"/>
        <v>2200.0083870967701</v>
      </c>
      <c r="BS27">
        <f t="shared" si="40"/>
        <v>1849.192644870277</v>
      </c>
      <c r="BT27">
        <f t="shared" si="41"/>
        <v>0.84053890690414812</v>
      </c>
      <c r="BU27">
        <f t="shared" si="42"/>
        <v>0.19107781380829628</v>
      </c>
      <c r="BV27">
        <v>0.5</v>
      </c>
      <c r="BW27" t="s">
        <v>281</v>
      </c>
      <c r="BX27">
        <v>1595612191.7</v>
      </c>
      <c r="BY27">
        <v>783.90054838709705</v>
      </c>
      <c r="BZ27">
        <v>800.00754838709702</v>
      </c>
      <c r="CA27">
        <v>18.8082064516129</v>
      </c>
      <c r="CB27">
        <v>16.855293548387099</v>
      </c>
      <c r="CC27">
        <v>500.06070967741903</v>
      </c>
      <c r="CD27">
        <v>99.746216129032206</v>
      </c>
      <c r="CE27">
        <v>0.19999393548387101</v>
      </c>
      <c r="CF27">
        <v>26.315816129032299</v>
      </c>
      <c r="CG27">
        <v>27.089745161290299</v>
      </c>
      <c r="CH27">
        <v>999.9</v>
      </c>
      <c r="CI27">
        <v>9999.0964516129006</v>
      </c>
      <c r="CJ27">
        <v>0</v>
      </c>
      <c r="CK27">
        <v>242.15012903225801</v>
      </c>
      <c r="CL27">
        <v>2200.0083870967701</v>
      </c>
      <c r="CM27">
        <v>0.98199625806451596</v>
      </c>
      <c r="CN27">
        <v>1.8003619354838699E-2</v>
      </c>
      <c r="CO27">
        <v>0</v>
      </c>
      <c r="CP27">
        <v>278.42729032258097</v>
      </c>
      <c r="CQ27">
        <v>5.00054</v>
      </c>
      <c r="CR27">
        <v>8168.4106451612897</v>
      </c>
      <c r="CS27">
        <v>20590.596774193498</v>
      </c>
      <c r="CT27">
        <v>51.052064516129001</v>
      </c>
      <c r="CU27">
        <v>53.086387096774203</v>
      </c>
      <c r="CV27">
        <v>51.479612903225799</v>
      </c>
      <c r="CW27">
        <v>52.015935483870997</v>
      </c>
      <c r="CX27">
        <v>52.140870967741897</v>
      </c>
      <c r="CY27">
        <v>2155.4883870967701</v>
      </c>
      <c r="CZ27">
        <v>39.520000000000003</v>
      </c>
      <c r="DA27">
        <v>0</v>
      </c>
      <c r="DB27">
        <v>144.09999990463299</v>
      </c>
      <c r="DC27">
        <v>278.39769230769201</v>
      </c>
      <c r="DD27">
        <v>-2.1151453014636501</v>
      </c>
      <c r="DE27">
        <v>-50.005811911157501</v>
      </c>
      <c r="DF27">
        <v>8167.7442307692299</v>
      </c>
      <c r="DG27">
        <v>15</v>
      </c>
      <c r="DH27">
        <v>1595612229.2</v>
      </c>
      <c r="DI27" t="s">
        <v>338</v>
      </c>
      <c r="DJ27">
        <v>53</v>
      </c>
      <c r="DK27">
        <v>-0.40100000000000002</v>
      </c>
      <c r="DL27">
        <v>0.11</v>
      </c>
      <c r="DM27">
        <v>800</v>
      </c>
      <c r="DN27">
        <v>17</v>
      </c>
      <c r="DO27">
        <v>0.24</v>
      </c>
      <c r="DP27">
        <v>0.05</v>
      </c>
      <c r="DQ27">
        <v>784.04266666666695</v>
      </c>
      <c r="DR27">
        <v>0.36383348416299599</v>
      </c>
      <c r="DS27">
        <v>4.9479513156680303E-2</v>
      </c>
      <c r="DT27">
        <v>0</v>
      </c>
      <c r="DU27">
        <v>18.800292156862699</v>
      </c>
      <c r="DV27">
        <v>6.4310226244337104E-2</v>
      </c>
      <c r="DW27">
        <v>9.7886657773613509E-3</v>
      </c>
      <c r="DX27">
        <v>1</v>
      </c>
      <c r="DY27">
        <v>1</v>
      </c>
      <c r="DZ27">
        <v>2</v>
      </c>
      <c r="EA27" t="s">
        <v>323</v>
      </c>
      <c r="EB27">
        <v>1.86663</v>
      </c>
      <c r="EC27">
        <v>1.8631500000000001</v>
      </c>
      <c r="ED27">
        <v>1.86887</v>
      </c>
      <c r="EE27">
        <v>1.86676</v>
      </c>
      <c r="EF27">
        <v>1.8714599999999999</v>
      </c>
      <c r="EG27">
        <v>1.86388</v>
      </c>
      <c r="EH27">
        <v>1.8653999999999999</v>
      </c>
      <c r="EI27">
        <v>1.86537</v>
      </c>
      <c r="EJ27" t="s">
        <v>284</v>
      </c>
      <c r="EK27" t="s">
        <v>19</v>
      </c>
      <c r="EL27" t="s">
        <v>19</v>
      </c>
      <c r="EM27" t="s">
        <v>19</v>
      </c>
      <c r="EN27" t="s">
        <v>285</v>
      </c>
      <c r="EO27" t="s">
        <v>286</v>
      </c>
      <c r="EP27" t="s">
        <v>287</v>
      </c>
      <c r="EQ27" t="s">
        <v>287</v>
      </c>
      <c r="ER27" t="s">
        <v>287</v>
      </c>
      <c r="ES27" t="s">
        <v>287</v>
      </c>
      <c r="ET27">
        <v>0</v>
      </c>
      <c r="EU27">
        <v>100</v>
      </c>
      <c r="EV27">
        <v>100</v>
      </c>
      <c r="EW27">
        <v>-0.40100000000000002</v>
      </c>
      <c r="EX27">
        <v>0.11</v>
      </c>
      <c r="EY27">
        <v>2</v>
      </c>
      <c r="EZ27">
        <v>326.99599999999998</v>
      </c>
      <c r="FA27">
        <v>468.05099999999999</v>
      </c>
      <c r="FB27">
        <v>20.0763</v>
      </c>
      <c r="FC27">
        <v>36.745199999999997</v>
      </c>
      <c r="FD27">
        <v>30.000699999999998</v>
      </c>
      <c r="FE27">
        <v>36.704799999999999</v>
      </c>
      <c r="FF27">
        <v>36.698599999999999</v>
      </c>
      <c r="FG27">
        <v>38.565199999999997</v>
      </c>
      <c r="FH27">
        <v>49.273600000000002</v>
      </c>
      <c r="FI27">
        <v>0</v>
      </c>
      <c r="FJ27">
        <v>19.7776</v>
      </c>
      <c r="FK27">
        <v>800</v>
      </c>
      <c r="FL27">
        <v>16.804600000000001</v>
      </c>
      <c r="FM27">
        <v>100.283</v>
      </c>
      <c r="FN27">
        <v>100.545</v>
      </c>
    </row>
    <row r="28" spans="1:170" x14ac:dyDescent="0.25">
      <c r="A28">
        <v>12</v>
      </c>
      <c r="B28">
        <v>1595612350.7</v>
      </c>
      <c r="C28">
        <v>1472.60000014305</v>
      </c>
      <c r="D28" t="s">
        <v>339</v>
      </c>
      <c r="E28" t="s">
        <v>340</v>
      </c>
      <c r="G28">
        <v>1595612342.7</v>
      </c>
      <c r="H28">
        <f t="shared" si="0"/>
        <v>4.6785269391646702E-3</v>
      </c>
      <c r="I28">
        <f t="shared" si="1"/>
        <v>37.073546832549539</v>
      </c>
      <c r="J28">
        <f t="shared" si="2"/>
        <v>983.35777419354804</v>
      </c>
      <c r="K28">
        <f t="shared" si="3"/>
        <v>736.86979234140381</v>
      </c>
      <c r="L28">
        <f t="shared" si="4"/>
        <v>73.635973630054309</v>
      </c>
      <c r="M28">
        <f t="shared" si="5"/>
        <v>98.267710092091875</v>
      </c>
      <c r="N28">
        <f t="shared" si="6"/>
        <v>0.27710139727901256</v>
      </c>
      <c r="O28">
        <f t="shared" si="7"/>
        <v>3.3941967935181023</v>
      </c>
      <c r="P28">
        <f t="shared" si="8"/>
        <v>0.26511892006307075</v>
      </c>
      <c r="Q28">
        <f t="shared" si="9"/>
        <v>0.16673272274575093</v>
      </c>
      <c r="R28">
        <f t="shared" si="10"/>
        <v>353.33886415325532</v>
      </c>
      <c r="S28">
        <f t="shared" si="11"/>
        <v>26.885425855878115</v>
      </c>
      <c r="T28">
        <f t="shared" si="12"/>
        <v>27.033925806451599</v>
      </c>
      <c r="U28">
        <f t="shared" si="13"/>
        <v>3.5862975404275037</v>
      </c>
      <c r="V28">
        <f t="shared" si="14"/>
        <v>55.02511715450504</v>
      </c>
      <c r="W28">
        <f t="shared" si="15"/>
        <v>1.8709811198549298</v>
      </c>
      <c r="X28">
        <f t="shared" si="16"/>
        <v>3.4002310519419727</v>
      </c>
      <c r="Y28">
        <f t="shared" si="17"/>
        <v>1.7153164205725739</v>
      </c>
      <c r="Z28">
        <f t="shared" si="18"/>
        <v>-206.32303801716196</v>
      </c>
      <c r="AA28">
        <f t="shared" si="19"/>
        <v>-165.47245020830647</v>
      </c>
      <c r="AB28">
        <f t="shared" si="20"/>
        <v>-10.477244776630842</v>
      </c>
      <c r="AC28">
        <f t="shared" si="21"/>
        <v>-28.933868848843986</v>
      </c>
      <c r="AD28">
        <v>-4.1357821693678E-2</v>
      </c>
      <c r="AE28">
        <v>4.6427777995327102E-2</v>
      </c>
      <c r="AF28">
        <v>3.4667725243021601</v>
      </c>
      <c r="AG28">
        <v>155</v>
      </c>
      <c r="AH28">
        <v>31</v>
      </c>
      <c r="AI28">
        <f t="shared" si="22"/>
        <v>1</v>
      </c>
      <c r="AJ28">
        <f t="shared" si="23"/>
        <v>0</v>
      </c>
      <c r="AK28">
        <f t="shared" si="24"/>
        <v>52891.111720409986</v>
      </c>
      <c r="AL28">
        <v>0</v>
      </c>
      <c r="AM28">
        <v>0</v>
      </c>
      <c r="AN28">
        <v>0</v>
      </c>
      <c r="AO28">
        <f t="shared" si="25"/>
        <v>0</v>
      </c>
      <c r="AP28" t="e">
        <f t="shared" si="26"/>
        <v>#DIV/0!</v>
      </c>
      <c r="AQ28">
        <v>-1</v>
      </c>
      <c r="AR28" t="s">
        <v>341</v>
      </c>
      <c r="AS28">
        <v>277.289346153846</v>
      </c>
      <c r="AT28">
        <v>351.15300000000002</v>
      </c>
      <c r="AU28">
        <f t="shared" si="27"/>
        <v>0.21034607093248248</v>
      </c>
      <c r="AV28">
        <v>0.5</v>
      </c>
      <c r="AW28">
        <f t="shared" si="28"/>
        <v>1849.1883093864074</v>
      </c>
      <c r="AX28">
        <f t="shared" si="29"/>
        <v>37.073546832549539</v>
      </c>
      <c r="AY28">
        <f t="shared" si="30"/>
        <v>194.48474764685528</v>
      </c>
      <c r="AZ28">
        <f t="shared" si="31"/>
        <v>0.46695599923679992</v>
      </c>
      <c r="BA28">
        <f t="shared" si="32"/>
        <v>2.0589329187995463E-2</v>
      </c>
      <c r="BB28">
        <f t="shared" si="33"/>
        <v>-1</v>
      </c>
      <c r="BC28" t="s">
        <v>342</v>
      </c>
      <c r="BD28">
        <v>187.18</v>
      </c>
      <c r="BE28">
        <f t="shared" si="34"/>
        <v>163.97300000000001</v>
      </c>
      <c r="BF28">
        <f t="shared" si="35"/>
        <v>0.45046229468360044</v>
      </c>
      <c r="BG28">
        <f t="shared" si="36"/>
        <v>1.8760177369377071</v>
      </c>
      <c r="BH28">
        <f t="shared" si="37"/>
        <v>0.21034607093248248</v>
      </c>
      <c r="BI28" t="e">
        <f t="shared" si="38"/>
        <v>#DIV/0!</v>
      </c>
      <c r="BJ28">
        <v>5315</v>
      </c>
      <c r="BK28">
        <v>300</v>
      </c>
      <c r="BL28">
        <v>300</v>
      </c>
      <c r="BM28">
        <v>300</v>
      </c>
      <c r="BN28">
        <v>9861.58</v>
      </c>
      <c r="BO28">
        <v>328.31900000000002</v>
      </c>
      <c r="BP28">
        <v>-6.39479E-3</v>
      </c>
      <c r="BQ28">
        <v>0.213837</v>
      </c>
      <c r="BR28">
        <f t="shared" si="39"/>
        <v>2200.0032258064498</v>
      </c>
      <c r="BS28">
        <f t="shared" si="40"/>
        <v>1849.1883093864074</v>
      </c>
      <c r="BT28">
        <f t="shared" si="41"/>
        <v>0.84053890816844368</v>
      </c>
      <c r="BU28">
        <f t="shared" si="42"/>
        <v>0.19107781633688742</v>
      </c>
      <c r="BV28">
        <v>0.5</v>
      </c>
      <c r="BW28" t="s">
        <v>281</v>
      </c>
      <c r="BX28">
        <v>1595612342.7</v>
      </c>
      <c r="BY28">
        <v>983.35777419354804</v>
      </c>
      <c r="BZ28">
        <v>1000.0254516129</v>
      </c>
      <c r="CA28">
        <v>18.722770967741901</v>
      </c>
      <c r="CB28">
        <v>16.8866193548387</v>
      </c>
      <c r="CC28">
        <v>500.06022580645202</v>
      </c>
      <c r="CD28">
        <v>99.730796774193493</v>
      </c>
      <c r="CE28">
        <v>0.199983935483871</v>
      </c>
      <c r="CF28">
        <v>26.129645161290298</v>
      </c>
      <c r="CG28">
        <v>27.033925806451599</v>
      </c>
      <c r="CH28">
        <v>999.9</v>
      </c>
      <c r="CI28">
        <v>10000.561612903201</v>
      </c>
      <c r="CJ28">
        <v>0</v>
      </c>
      <c r="CK28">
        <v>241.521548387097</v>
      </c>
      <c r="CL28">
        <v>2200.0032258064498</v>
      </c>
      <c r="CM28">
        <v>0.98199654838709705</v>
      </c>
      <c r="CN28">
        <v>1.80034161290323E-2</v>
      </c>
      <c r="CO28">
        <v>0</v>
      </c>
      <c r="CP28">
        <v>277.26948387096797</v>
      </c>
      <c r="CQ28">
        <v>5.00054</v>
      </c>
      <c r="CR28">
        <v>8167.1648387096802</v>
      </c>
      <c r="CS28">
        <v>20590.554838709701</v>
      </c>
      <c r="CT28">
        <v>51.1811935483871</v>
      </c>
      <c r="CU28">
        <v>53.219516129032201</v>
      </c>
      <c r="CV28">
        <v>51.616806451612902</v>
      </c>
      <c r="CW28">
        <v>52.158999999999999</v>
      </c>
      <c r="CX28">
        <v>52.290064516129</v>
      </c>
      <c r="CY28">
        <v>2155.4832258064498</v>
      </c>
      <c r="CZ28">
        <v>39.520000000000003</v>
      </c>
      <c r="DA28">
        <v>0</v>
      </c>
      <c r="DB28">
        <v>150.200000047684</v>
      </c>
      <c r="DC28">
        <v>277.289346153846</v>
      </c>
      <c r="DD28">
        <v>-1.74690596269708</v>
      </c>
      <c r="DE28">
        <v>-36.1459829859634</v>
      </c>
      <c r="DF28">
        <v>8166.9119230769202</v>
      </c>
      <c r="DG28">
        <v>15</v>
      </c>
      <c r="DH28">
        <v>1595612386.7</v>
      </c>
      <c r="DI28" t="s">
        <v>343</v>
      </c>
      <c r="DJ28">
        <v>54</v>
      </c>
      <c r="DK28">
        <v>-4.1000000000000002E-2</v>
      </c>
      <c r="DL28">
        <v>0.108</v>
      </c>
      <c r="DM28">
        <v>1000</v>
      </c>
      <c r="DN28">
        <v>17</v>
      </c>
      <c r="DO28">
        <v>0.13</v>
      </c>
      <c r="DP28">
        <v>0.05</v>
      </c>
      <c r="DQ28">
        <v>982.98554901960802</v>
      </c>
      <c r="DR28">
        <v>0.17629683257936199</v>
      </c>
      <c r="DS28">
        <v>3.9990839012463898E-2</v>
      </c>
      <c r="DT28">
        <v>1</v>
      </c>
      <c r="DU28">
        <v>18.754801960784299</v>
      </c>
      <c r="DV28">
        <v>-0.33802968325786698</v>
      </c>
      <c r="DW28">
        <v>4.1931370119242299E-2</v>
      </c>
      <c r="DX28">
        <v>0</v>
      </c>
      <c r="DY28">
        <v>1</v>
      </c>
      <c r="DZ28">
        <v>2</v>
      </c>
      <c r="EA28" t="s">
        <v>323</v>
      </c>
      <c r="EB28">
        <v>1.8666199999999999</v>
      </c>
      <c r="EC28">
        <v>1.86317</v>
      </c>
      <c r="ED28">
        <v>1.8688499999999999</v>
      </c>
      <c r="EE28">
        <v>1.86676</v>
      </c>
      <c r="EF28">
        <v>1.8714900000000001</v>
      </c>
      <c r="EG28">
        <v>1.86388</v>
      </c>
      <c r="EH28">
        <v>1.8653999999999999</v>
      </c>
      <c r="EI28">
        <v>1.86537</v>
      </c>
      <c r="EJ28" t="s">
        <v>284</v>
      </c>
      <c r="EK28" t="s">
        <v>19</v>
      </c>
      <c r="EL28" t="s">
        <v>19</v>
      </c>
      <c r="EM28" t="s">
        <v>19</v>
      </c>
      <c r="EN28" t="s">
        <v>285</v>
      </c>
      <c r="EO28" t="s">
        <v>286</v>
      </c>
      <c r="EP28" t="s">
        <v>287</v>
      </c>
      <c r="EQ28" t="s">
        <v>287</v>
      </c>
      <c r="ER28" t="s">
        <v>287</v>
      </c>
      <c r="ES28" t="s">
        <v>287</v>
      </c>
      <c r="ET28">
        <v>0</v>
      </c>
      <c r="EU28">
        <v>100</v>
      </c>
      <c r="EV28">
        <v>100</v>
      </c>
      <c r="EW28">
        <v>-4.1000000000000002E-2</v>
      </c>
      <c r="EX28">
        <v>0.108</v>
      </c>
      <c r="EY28">
        <v>2</v>
      </c>
      <c r="EZ28">
        <v>326.58199999999999</v>
      </c>
      <c r="FA28">
        <v>467.505</v>
      </c>
      <c r="FB28">
        <v>19.975300000000001</v>
      </c>
      <c r="FC28">
        <v>36.962200000000003</v>
      </c>
      <c r="FD28">
        <v>30.000599999999999</v>
      </c>
      <c r="FE28">
        <v>36.906599999999997</v>
      </c>
      <c r="FF28">
        <v>36.899500000000003</v>
      </c>
      <c r="FG28">
        <v>46.165700000000001</v>
      </c>
      <c r="FH28">
        <v>49.393999999999998</v>
      </c>
      <c r="FI28">
        <v>0</v>
      </c>
      <c r="FJ28">
        <v>18.363199999999999</v>
      </c>
      <c r="FK28">
        <v>1000</v>
      </c>
      <c r="FL28">
        <v>16.986699999999999</v>
      </c>
      <c r="FM28">
        <v>100.246</v>
      </c>
      <c r="FN28">
        <v>100.502</v>
      </c>
    </row>
    <row r="29" spans="1:170" x14ac:dyDescent="0.25">
      <c r="A29">
        <v>13</v>
      </c>
      <c r="B29">
        <v>1595612492.2</v>
      </c>
      <c r="C29">
        <v>1614.10000014305</v>
      </c>
      <c r="D29" t="s">
        <v>344</v>
      </c>
      <c r="E29" t="s">
        <v>345</v>
      </c>
      <c r="G29">
        <v>1595612484.2</v>
      </c>
      <c r="H29">
        <f t="shared" si="0"/>
        <v>4.2023083112789975E-3</v>
      </c>
      <c r="I29">
        <f t="shared" si="1"/>
        <v>37.16757990030608</v>
      </c>
      <c r="J29">
        <f t="shared" si="2"/>
        <v>1183.19132258064</v>
      </c>
      <c r="K29">
        <f t="shared" si="3"/>
        <v>900.26159803700796</v>
      </c>
      <c r="L29">
        <f t="shared" si="4"/>
        <v>89.960304302891615</v>
      </c>
      <c r="M29">
        <f t="shared" si="5"/>
        <v>118.23258001894648</v>
      </c>
      <c r="N29">
        <f t="shared" si="6"/>
        <v>0.24291895854803661</v>
      </c>
      <c r="O29">
        <f t="shared" si="7"/>
        <v>3.3948458200347313</v>
      </c>
      <c r="P29">
        <f t="shared" si="8"/>
        <v>0.23365896581008716</v>
      </c>
      <c r="Q29">
        <f t="shared" si="9"/>
        <v>0.14683941650017118</v>
      </c>
      <c r="R29">
        <f t="shared" si="10"/>
        <v>353.34529961371635</v>
      </c>
      <c r="S29">
        <f t="shared" si="11"/>
        <v>27.029261432319263</v>
      </c>
      <c r="T29">
        <f t="shared" si="12"/>
        <v>27.175451612903199</v>
      </c>
      <c r="U29">
        <f t="shared" si="13"/>
        <v>3.6162081886487782</v>
      </c>
      <c r="V29">
        <f t="shared" si="14"/>
        <v>54.831303826669895</v>
      </c>
      <c r="W29">
        <f t="shared" si="15"/>
        <v>1.8683638758808467</v>
      </c>
      <c r="X29">
        <f t="shared" si="16"/>
        <v>3.4074766519997945</v>
      </c>
      <c r="Y29">
        <f t="shared" si="17"/>
        <v>1.7478443127679315</v>
      </c>
      <c r="Z29">
        <f t="shared" si="18"/>
        <v>-185.32179652740379</v>
      </c>
      <c r="AA29">
        <f t="shared" si="19"/>
        <v>-184.8153717495569</v>
      </c>
      <c r="AB29">
        <f t="shared" si="20"/>
        <v>-11.710156290898821</v>
      </c>
      <c r="AC29">
        <f t="shared" si="21"/>
        <v>-28.502024954143138</v>
      </c>
      <c r="AD29">
        <v>-4.1367875476390301E-2</v>
      </c>
      <c r="AE29">
        <v>4.6439064247181298E-2</v>
      </c>
      <c r="AF29">
        <v>3.4674391934459301</v>
      </c>
      <c r="AG29">
        <v>156</v>
      </c>
      <c r="AH29">
        <v>31</v>
      </c>
      <c r="AI29">
        <f t="shared" si="22"/>
        <v>1</v>
      </c>
      <c r="AJ29">
        <f t="shared" si="23"/>
        <v>0</v>
      </c>
      <c r="AK29">
        <f t="shared" si="24"/>
        <v>52896.989222730088</v>
      </c>
      <c r="AL29">
        <v>0</v>
      </c>
      <c r="AM29">
        <v>0</v>
      </c>
      <c r="AN29">
        <v>0</v>
      </c>
      <c r="AO29">
        <f t="shared" si="25"/>
        <v>0</v>
      </c>
      <c r="AP29" t="e">
        <f t="shared" si="26"/>
        <v>#DIV/0!</v>
      </c>
      <c r="AQ29">
        <v>-1</v>
      </c>
      <c r="AR29" t="s">
        <v>346</v>
      </c>
      <c r="AS29">
        <v>275.33773076923097</v>
      </c>
      <c r="AT29">
        <v>345.73</v>
      </c>
      <c r="AU29">
        <f t="shared" si="27"/>
        <v>0.20360474714594923</v>
      </c>
      <c r="AV29">
        <v>0.5</v>
      </c>
      <c r="AW29">
        <f t="shared" si="28"/>
        <v>1849.222180354159</v>
      </c>
      <c r="AX29">
        <f t="shared" si="29"/>
        <v>37.16757990030608</v>
      </c>
      <c r="AY29">
        <f t="shared" si="30"/>
        <v>188.25520722384474</v>
      </c>
      <c r="AZ29">
        <f t="shared" si="31"/>
        <v>0.46385908078558413</v>
      </c>
      <c r="BA29">
        <f t="shared" si="32"/>
        <v>2.0639802131832696E-2</v>
      </c>
      <c r="BB29">
        <f t="shared" si="33"/>
        <v>-1</v>
      </c>
      <c r="BC29" t="s">
        <v>347</v>
      </c>
      <c r="BD29">
        <v>185.36</v>
      </c>
      <c r="BE29">
        <f t="shared" si="34"/>
        <v>160.37</v>
      </c>
      <c r="BF29">
        <f t="shared" si="35"/>
        <v>0.43893664170835595</v>
      </c>
      <c r="BG29">
        <f t="shared" si="36"/>
        <v>1.8651812688821752</v>
      </c>
      <c r="BH29">
        <f t="shared" si="37"/>
        <v>0.20360474714594928</v>
      </c>
      <c r="BI29" t="e">
        <f t="shared" si="38"/>
        <v>#DIV/0!</v>
      </c>
      <c r="BJ29">
        <v>5317</v>
      </c>
      <c r="BK29">
        <v>300</v>
      </c>
      <c r="BL29">
        <v>300</v>
      </c>
      <c r="BM29">
        <v>300</v>
      </c>
      <c r="BN29">
        <v>9861.58</v>
      </c>
      <c r="BO29">
        <v>325.05900000000003</v>
      </c>
      <c r="BP29">
        <v>-6.3947400000000003E-3</v>
      </c>
      <c r="BQ29">
        <v>0.29244999999999999</v>
      </c>
      <c r="BR29">
        <f t="shared" si="39"/>
        <v>2200.0435483871001</v>
      </c>
      <c r="BS29">
        <f t="shared" si="40"/>
        <v>1849.222180354159</v>
      </c>
      <c r="BT29">
        <f t="shared" si="41"/>
        <v>0.84053889829129247</v>
      </c>
      <c r="BU29">
        <f t="shared" si="42"/>
        <v>0.19107779658258503</v>
      </c>
      <c r="BV29">
        <v>0.5</v>
      </c>
      <c r="BW29" t="s">
        <v>281</v>
      </c>
      <c r="BX29">
        <v>1595612484.2</v>
      </c>
      <c r="BY29">
        <v>1183.19132258064</v>
      </c>
      <c r="BZ29">
        <v>1200.04548387097</v>
      </c>
      <c r="CA29">
        <v>18.697316129032298</v>
      </c>
      <c r="CB29">
        <v>17.047990322580599</v>
      </c>
      <c r="CC29">
        <v>500.05116129032302</v>
      </c>
      <c r="CD29">
        <v>99.726864516128998</v>
      </c>
      <c r="CE29">
        <v>0.199983967741936</v>
      </c>
      <c r="CF29">
        <v>26.165658064516101</v>
      </c>
      <c r="CG29">
        <v>27.175451612903199</v>
      </c>
      <c r="CH29">
        <v>999.9</v>
      </c>
      <c r="CI29">
        <v>10003.3870967742</v>
      </c>
      <c r="CJ29">
        <v>0</v>
      </c>
      <c r="CK29">
        <v>272.88525806451599</v>
      </c>
      <c r="CL29">
        <v>2200.0435483871001</v>
      </c>
      <c r="CM29">
        <v>0.98199700000000001</v>
      </c>
      <c r="CN29">
        <v>1.80030774193548E-2</v>
      </c>
      <c r="CO29">
        <v>0</v>
      </c>
      <c r="CP29">
        <v>275.35325806451601</v>
      </c>
      <c r="CQ29">
        <v>5.00054</v>
      </c>
      <c r="CR29">
        <v>7679.1716129032202</v>
      </c>
      <c r="CS29">
        <v>20590.938709677401</v>
      </c>
      <c r="CT29">
        <v>51.249806451612898</v>
      </c>
      <c r="CU29">
        <v>53.288032258064497</v>
      </c>
      <c r="CV29">
        <v>51.677129032258101</v>
      </c>
      <c r="CW29">
        <v>52.2236451612903</v>
      </c>
      <c r="CX29">
        <v>52.400838709677402</v>
      </c>
      <c r="CY29">
        <v>2155.5235483871002</v>
      </c>
      <c r="CZ29">
        <v>39.520000000000003</v>
      </c>
      <c r="DA29">
        <v>0</v>
      </c>
      <c r="DB29">
        <v>141.09999990463299</v>
      </c>
      <c r="DC29">
        <v>275.33773076923097</v>
      </c>
      <c r="DD29">
        <v>-0.90280342866365504</v>
      </c>
      <c r="DE29">
        <v>-243.86085477276399</v>
      </c>
      <c r="DF29">
        <v>7678.3973076923103</v>
      </c>
      <c r="DG29">
        <v>15</v>
      </c>
      <c r="DH29">
        <v>1595612513.7</v>
      </c>
      <c r="DI29" t="s">
        <v>348</v>
      </c>
      <c r="DJ29">
        <v>55</v>
      </c>
      <c r="DK29">
        <v>0.04</v>
      </c>
      <c r="DL29">
        <v>0.112</v>
      </c>
      <c r="DM29">
        <v>1200</v>
      </c>
      <c r="DN29">
        <v>17</v>
      </c>
      <c r="DO29">
        <v>0.17</v>
      </c>
      <c r="DP29">
        <v>0.06</v>
      </c>
      <c r="DQ29">
        <v>1183.0905882352899</v>
      </c>
      <c r="DR29">
        <v>0.262914027149455</v>
      </c>
      <c r="DS29">
        <v>4.72959710884625E-2</v>
      </c>
      <c r="DT29">
        <v>1</v>
      </c>
      <c r="DU29">
        <v>18.706241176470598</v>
      </c>
      <c r="DV29">
        <v>-0.14045104072398101</v>
      </c>
      <c r="DW29">
        <v>1.7761151442873699E-2</v>
      </c>
      <c r="DX29">
        <v>1</v>
      </c>
      <c r="DY29">
        <v>2</v>
      </c>
      <c r="DZ29">
        <v>2</v>
      </c>
      <c r="EA29" t="s">
        <v>283</v>
      </c>
      <c r="EB29">
        <v>1.86663</v>
      </c>
      <c r="EC29">
        <v>1.86313</v>
      </c>
      <c r="ED29">
        <v>1.8688</v>
      </c>
      <c r="EE29">
        <v>1.86676</v>
      </c>
      <c r="EF29">
        <v>1.8714900000000001</v>
      </c>
      <c r="EG29">
        <v>1.8638600000000001</v>
      </c>
      <c r="EH29">
        <v>1.8653900000000001</v>
      </c>
      <c r="EI29">
        <v>1.8653500000000001</v>
      </c>
      <c r="EJ29" t="s">
        <v>284</v>
      </c>
      <c r="EK29" t="s">
        <v>19</v>
      </c>
      <c r="EL29" t="s">
        <v>19</v>
      </c>
      <c r="EM29" t="s">
        <v>19</v>
      </c>
      <c r="EN29" t="s">
        <v>285</v>
      </c>
      <c r="EO29" t="s">
        <v>286</v>
      </c>
      <c r="EP29" t="s">
        <v>287</v>
      </c>
      <c r="EQ29" t="s">
        <v>287</v>
      </c>
      <c r="ER29" t="s">
        <v>287</v>
      </c>
      <c r="ES29" t="s">
        <v>287</v>
      </c>
      <c r="ET29">
        <v>0</v>
      </c>
      <c r="EU29">
        <v>100</v>
      </c>
      <c r="EV29">
        <v>100</v>
      </c>
      <c r="EW29">
        <v>0.04</v>
      </c>
      <c r="EX29">
        <v>0.112</v>
      </c>
      <c r="EY29">
        <v>2</v>
      </c>
      <c r="EZ29">
        <v>326.36799999999999</v>
      </c>
      <c r="FA29">
        <v>467.06</v>
      </c>
      <c r="FB29">
        <v>20.037500000000001</v>
      </c>
      <c r="FC29">
        <v>37.1297</v>
      </c>
      <c r="FD29">
        <v>30.000499999999999</v>
      </c>
      <c r="FE29">
        <v>37.079700000000003</v>
      </c>
      <c r="FF29">
        <v>37.0715</v>
      </c>
      <c r="FG29">
        <v>53.451599999999999</v>
      </c>
      <c r="FH29">
        <v>49.292299999999997</v>
      </c>
      <c r="FI29">
        <v>0</v>
      </c>
      <c r="FJ29">
        <v>17.053100000000001</v>
      </c>
      <c r="FK29">
        <v>1200</v>
      </c>
      <c r="FL29">
        <v>17.061599999999999</v>
      </c>
      <c r="FM29">
        <v>100.215</v>
      </c>
      <c r="FN29">
        <v>100.46599999999999</v>
      </c>
    </row>
    <row r="30" spans="1:170" x14ac:dyDescent="0.25">
      <c r="A30">
        <v>14</v>
      </c>
      <c r="B30">
        <v>1595612635.2</v>
      </c>
      <c r="C30">
        <v>1757.10000014305</v>
      </c>
      <c r="D30" t="s">
        <v>349</v>
      </c>
      <c r="E30" t="s">
        <v>350</v>
      </c>
      <c r="G30">
        <v>1595612627.2</v>
      </c>
      <c r="H30">
        <f t="shared" si="0"/>
        <v>3.9094040690423951E-3</v>
      </c>
      <c r="I30">
        <f t="shared" si="1"/>
        <v>37.102681860605387</v>
      </c>
      <c r="J30">
        <f t="shared" si="2"/>
        <v>1582.69380645161</v>
      </c>
      <c r="K30">
        <f t="shared" si="3"/>
        <v>1276.6148263300686</v>
      </c>
      <c r="L30">
        <f t="shared" si="4"/>
        <v>127.57075794131755</v>
      </c>
      <c r="M30">
        <f t="shared" si="5"/>
        <v>158.15690395707361</v>
      </c>
      <c r="N30">
        <f t="shared" si="6"/>
        <v>0.23034924750141306</v>
      </c>
      <c r="O30">
        <f t="shared" si="7"/>
        <v>3.3963649026013938</v>
      </c>
      <c r="P30">
        <f t="shared" si="8"/>
        <v>0.22200864963786318</v>
      </c>
      <c r="Q30">
        <f t="shared" si="9"/>
        <v>0.13947961485455546</v>
      </c>
      <c r="R30">
        <f t="shared" si="10"/>
        <v>353.33480257752865</v>
      </c>
      <c r="S30">
        <f t="shared" si="11"/>
        <v>26.998170412606736</v>
      </c>
      <c r="T30">
        <f t="shared" si="12"/>
        <v>26.988722580645199</v>
      </c>
      <c r="U30">
        <f t="shared" si="13"/>
        <v>3.576789718881173</v>
      </c>
      <c r="V30">
        <f t="shared" si="14"/>
        <v>55.048546539669395</v>
      </c>
      <c r="W30">
        <f t="shared" si="15"/>
        <v>1.8650300952980383</v>
      </c>
      <c r="X30">
        <f t="shared" si="16"/>
        <v>3.3879733662977816</v>
      </c>
      <c r="Y30">
        <f t="shared" si="17"/>
        <v>1.7117596235831347</v>
      </c>
      <c r="Z30">
        <f t="shared" si="18"/>
        <v>-172.40471944476963</v>
      </c>
      <c r="AA30">
        <f t="shared" si="19"/>
        <v>-168.48479037350791</v>
      </c>
      <c r="AB30">
        <f t="shared" si="20"/>
        <v>-10.655496145184062</v>
      </c>
      <c r="AC30">
        <f t="shared" si="21"/>
        <v>1.7897966140670292</v>
      </c>
      <c r="AD30">
        <v>-4.13914103074366E-2</v>
      </c>
      <c r="AE30">
        <v>4.64654841567953E-2</v>
      </c>
      <c r="AF30">
        <v>3.4689995755175498</v>
      </c>
      <c r="AG30">
        <v>154</v>
      </c>
      <c r="AH30">
        <v>31</v>
      </c>
      <c r="AI30">
        <f t="shared" si="22"/>
        <v>1</v>
      </c>
      <c r="AJ30">
        <f t="shared" si="23"/>
        <v>0</v>
      </c>
      <c r="AK30">
        <f t="shared" si="24"/>
        <v>52943.075984045972</v>
      </c>
      <c r="AL30">
        <v>0</v>
      </c>
      <c r="AM30">
        <v>0</v>
      </c>
      <c r="AN30">
        <v>0</v>
      </c>
      <c r="AO30">
        <f t="shared" si="25"/>
        <v>0</v>
      </c>
      <c r="AP30" t="e">
        <f t="shared" si="26"/>
        <v>#DIV/0!</v>
      </c>
      <c r="AQ30">
        <v>-1</v>
      </c>
      <c r="AR30" t="s">
        <v>351</v>
      </c>
      <c r="AS30">
        <v>275.92565384615398</v>
      </c>
      <c r="AT30">
        <v>340.10700000000003</v>
      </c>
      <c r="AU30">
        <f t="shared" si="27"/>
        <v>0.18870927723876907</v>
      </c>
      <c r="AV30">
        <v>0.5</v>
      </c>
      <c r="AW30">
        <f t="shared" si="28"/>
        <v>1849.1712883698215</v>
      </c>
      <c r="AX30">
        <f t="shared" si="29"/>
        <v>37.102681860605387</v>
      </c>
      <c r="AY30">
        <f t="shared" si="30"/>
        <v>174.47788865947621</v>
      </c>
      <c r="AZ30">
        <f t="shared" si="31"/>
        <v>0.46069913291993408</v>
      </c>
      <c r="BA30">
        <f t="shared" si="32"/>
        <v>2.0605274427657624E-2</v>
      </c>
      <c r="BB30">
        <f t="shared" si="33"/>
        <v>-1</v>
      </c>
      <c r="BC30" t="s">
        <v>352</v>
      </c>
      <c r="BD30">
        <v>183.42</v>
      </c>
      <c r="BE30">
        <f t="shared" si="34"/>
        <v>156.68700000000004</v>
      </c>
      <c r="BF30">
        <f t="shared" si="35"/>
        <v>0.40961500414103297</v>
      </c>
      <c r="BG30">
        <f t="shared" si="36"/>
        <v>1.8542525351651948</v>
      </c>
      <c r="BH30">
        <f t="shared" si="37"/>
        <v>0.1887092772387691</v>
      </c>
      <c r="BI30" t="e">
        <f t="shared" si="38"/>
        <v>#DIV/0!</v>
      </c>
      <c r="BJ30">
        <v>5319</v>
      </c>
      <c r="BK30">
        <v>300</v>
      </c>
      <c r="BL30">
        <v>300</v>
      </c>
      <c r="BM30">
        <v>300</v>
      </c>
      <c r="BN30">
        <v>9865.4500000000007</v>
      </c>
      <c r="BO30">
        <v>321.25599999999997</v>
      </c>
      <c r="BP30">
        <v>-6.39771E-3</v>
      </c>
      <c r="BQ30">
        <v>0.36395300000000003</v>
      </c>
      <c r="BR30">
        <f t="shared" si="39"/>
        <v>2199.9835483871002</v>
      </c>
      <c r="BS30">
        <f t="shared" si="40"/>
        <v>1849.1712883698215</v>
      </c>
      <c r="BT30">
        <f t="shared" si="41"/>
        <v>0.84053868935771181</v>
      </c>
      <c r="BU30">
        <f t="shared" si="42"/>
        <v>0.19107737871542388</v>
      </c>
      <c r="BV30">
        <v>0.5</v>
      </c>
      <c r="BW30" t="s">
        <v>281</v>
      </c>
      <c r="BX30">
        <v>1595612627.2</v>
      </c>
      <c r="BY30">
        <v>1582.69380645161</v>
      </c>
      <c r="BZ30">
        <v>1600.0080645161299</v>
      </c>
      <c r="CA30">
        <v>18.663564516129</v>
      </c>
      <c r="CB30">
        <v>17.1291451612903</v>
      </c>
      <c r="CC30">
        <v>500.05112903225802</v>
      </c>
      <c r="CD30">
        <v>99.728961290322601</v>
      </c>
      <c r="CE30">
        <v>0.199972096774194</v>
      </c>
      <c r="CF30">
        <v>26.0685677419355</v>
      </c>
      <c r="CG30">
        <v>26.988722580645199</v>
      </c>
      <c r="CH30">
        <v>999.9</v>
      </c>
      <c r="CI30">
        <v>10008.867741935501</v>
      </c>
      <c r="CJ30">
        <v>0</v>
      </c>
      <c r="CK30">
        <v>204.30503225806501</v>
      </c>
      <c r="CL30">
        <v>2199.9835483871002</v>
      </c>
      <c r="CM30">
        <v>0.98200225806451602</v>
      </c>
      <c r="CN30">
        <v>1.7997929032258098E-2</v>
      </c>
      <c r="CO30">
        <v>0</v>
      </c>
      <c r="CP30">
        <v>275.94364516129002</v>
      </c>
      <c r="CQ30">
        <v>5.00054</v>
      </c>
      <c r="CR30">
        <v>7960.5335483870904</v>
      </c>
      <c r="CS30">
        <v>20590.396774193599</v>
      </c>
      <c r="CT30">
        <v>50.308129032258002</v>
      </c>
      <c r="CU30">
        <v>51.919096774193498</v>
      </c>
      <c r="CV30">
        <v>50.614677419354798</v>
      </c>
      <c r="CW30">
        <v>50.860677419354801</v>
      </c>
      <c r="CX30">
        <v>51.493741935483897</v>
      </c>
      <c r="CY30">
        <v>2155.4770967741902</v>
      </c>
      <c r="CZ30">
        <v>39.503548387096799</v>
      </c>
      <c r="DA30">
        <v>0</v>
      </c>
      <c r="DB30">
        <v>142.40000009536701</v>
      </c>
      <c r="DC30">
        <v>275.92565384615398</v>
      </c>
      <c r="DD30">
        <v>-2.0974700787059999</v>
      </c>
      <c r="DE30">
        <v>-27.7476922025755</v>
      </c>
      <c r="DF30">
        <v>7960.1230769230797</v>
      </c>
      <c r="DG30">
        <v>15</v>
      </c>
      <c r="DH30">
        <v>1595612675.7</v>
      </c>
      <c r="DI30" t="s">
        <v>353</v>
      </c>
      <c r="DJ30">
        <v>56</v>
      </c>
      <c r="DK30">
        <v>-0.252</v>
      </c>
      <c r="DL30">
        <v>0.115</v>
      </c>
      <c r="DM30">
        <v>1600</v>
      </c>
      <c r="DN30">
        <v>17</v>
      </c>
      <c r="DO30">
        <v>0.65</v>
      </c>
      <c r="DP30">
        <v>0.06</v>
      </c>
      <c r="DQ30">
        <v>1582.9454901960801</v>
      </c>
      <c r="DR30">
        <v>0.39605429864226299</v>
      </c>
      <c r="DS30">
        <v>5.56710832634413E-2</v>
      </c>
      <c r="DT30">
        <v>0</v>
      </c>
      <c r="DU30">
        <v>18.663731372549002</v>
      </c>
      <c r="DV30">
        <v>-3.1158733031681499E-2</v>
      </c>
      <c r="DW30">
        <v>5.3165848612335099E-3</v>
      </c>
      <c r="DX30">
        <v>1</v>
      </c>
      <c r="DY30">
        <v>1</v>
      </c>
      <c r="DZ30">
        <v>2</v>
      </c>
      <c r="EA30" t="s">
        <v>323</v>
      </c>
      <c r="EB30">
        <v>1.8667499999999999</v>
      </c>
      <c r="EC30">
        <v>1.86324</v>
      </c>
      <c r="ED30">
        <v>1.8689</v>
      </c>
      <c r="EE30">
        <v>1.86677</v>
      </c>
      <c r="EF30">
        <v>1.8714900000000001</v>
      </c>
      <c r="EG30">
        <v>1.8639699999999999</v>
      </c>
      <c r="EH30">
        <v>1.86547</v>
      </c>
      <c r="EI30">
        <v>1.8653900000000001</v>
      </c>
      <c r="EJ30" t="s">
        <v>284</v>
      </c>
      <c r="EK30" t="s">
        <v>19</v>
      </c>
      <c r="EL30" t="s">
        <v>19</v>
      </c>
      <c r="EM30" t="s">
        <v>19</v>
      </c>
      <c r="EN30" t="s">
        <v>285</v>
      </c>
      <c r="EO30" t="s">
        <v>286</v>
      </c>
      <c r="EP30" t="s">
        <v>287</v>
      </c>
      <c r="EQ30" t="s">
        <v>287</v>
      </c>
      <c r="ER30" t="s">
        <v>287</v>
      </c>
      <c r="ES30" t="s">
        <v>287</v>
      </c>
      <c r="ET30">
        <v>0</v>
      </c>
      <c r="EU30">
        <v>100</v>
      </c>
      <c r="EV30">
        <v>100</v>
      </c>
      <c r="EW30">
        <v>-0.252</v>
      </c>
      <c r="EX30">
        <v>0.115</v>
      </c>
      <c r="EY30">
        <v>2</v>
      </c>
      <c r="EZ30">
        <v>328.21</v>
      </c>
      <c r="FA30">
        <v>469.11599999999999</v>
      </c>
      <c r="FB30">
        <v>20.776</v>
      </c>
      <c r="FC30">
        <v>36.956099999999999</v>
      </c>
      <c r="FD30">
        <v>29.998999999999999</v>
      </c>
      <c r="FE30">
        <v>37.014899999999997</v>
      </c>
      <c r="FF30">
        <v>37.009099999999997</v>
      </c>
      <c r="FG30">
        <v>67.210499999999996</v>
      </c>
      <c r="FH30">
        <v>49.496200000000002</v>
      </c>
      <c r="FI30">
        <v>0</v>
      </c>
      <c r="FJ30">
        <v>20.773199999999999</v>
      </c>
      <c r="FK30">
        <v>1600</v>
      </c>
      <c r="FL30">
        <v>17.0868</v>
      </c>
      <c r="FM30">
        <v>100.25</v>
      </c>
      <c r="FN30">
        <v>100.52200000000001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/>
  </sheetViews>
  <sheetFormatPr defaultRowHeight="14.4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13</v>
      </c>
    </row>
    <row r="8" spans="1:2" x14ac:dyDescent="0.25">
      <c r="A8" t="s">
        <v>14</v>
      </c>
      <c r="B8" t="s">
        <v>15</v>
      </c>
    </row>
    <row r="9" spans="1:2" x14ac:dyDescent="0.25">
      <c r="A9" t="s">
        <v>16</v>
      </c>
      <c r="B9" t="s">
        <v>17</v>
      </c>
    </row>
    <row r="10" spans="1:2" x14ac:dyDescent="0.25">
      <c r="A10" t="s">
        <v>18</v>
      </c>
      <c r="B10" t="s">
        <v>19</v>
      </c>
    </row>
    <row r="11" spans="1:2" x14ac:dyDescent="0.25">
      <c r="A11" t="s">
        <v>20</v>
      </c>
      <c r="B11" t="s">
        <v>19</v>
      </c>
    </row>
    <row r="12" spans="1:2" x14ac:dyDescent="0.25">
      <c r="A12" t="s">
        <v>21</v>
      </c>
      <c r="B12" t="s">
        <v>17</v>
      </c>
    </row>
    <row r="13" spans="1:2" x14ac:dyDescent="0.25">
      <c r="A13" t="s">
        <v>22</v>
      </c>
      <c r="B13" t="s">
        <v>11</v>
      </c>
    </row>
    <row r="14" spans="1:2" x14ac:dyDescent="0.25">
      <c r="A14" t="s">
        <v>23</v>
      </c>
      <c r="B14" t="s">
        <v>24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DELL</cp:lastModifiedBy>
  <dcterms:created xsi:type="dcterms:W3CDTF">2020-07-24T12:44:52Z</dcterms:created>
  <dcterms:modified xsi:type="dcterms:W3CDTF">2024-11-20T09:02:43Z</dcterms:modified>
</cp:coreProperties>
</file>