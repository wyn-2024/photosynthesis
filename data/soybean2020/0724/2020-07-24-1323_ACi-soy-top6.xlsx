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724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AJ30" i="1" s="1"/>
  <c r="X30" i="1"/>
  <c r="W30" i="1"/>
  <c r="V30" i="1"/>
  <c r="O30" i="1"/>
  <c r="BU29" i="1"/>
  <c r="BT29" i="1"/>
  <c r="BR29" i="1"/>
  <c r="BS29" i="1" s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/>
  <c r="M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H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 s="1"/>
  <c r="X27" i="1"/>
  <c r="W27" i="1"/>
  <c r="V27" i="1" s="1"/>
  <c r="O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P26" i="1"/>
  <c r="AO26" i="1"/>
  <c r="AK26" i="1"/>
  <c r="AI26" i="1" s="1"/>
  <c r="X26" i="1"/>
  <c r="W26" i="1"/>
  <c r="V26" i="1"/>
  <c r="O26" i="1"/>
  <c r="BU25" i="1"/>
  <c r="R25" i="1" s="1"/>
  <c r="BT25" i="1"/>
  <c r="BS25" i="1"/>
  <c r="BR25" i="1"/>
  <c r="BI25" i="1"/>
  <c r="BH25" i="1"/>
  <c r="BG25" i="1"/>
  <c r="BF25" i="1"/>
  <c r="BE25" i="1"/>
  <c r="BB25" i="1"/>
  <c r="AZ25" i="1"/>
  <c r="AW25" i="1"/>
  <c r="AU25" i="1"/>
  <c r="AY25" i="1" s="1"/>
  <c r="AO25" i="1"/>
  <c r="AP25" i="1" s="1"/>
  <c r="AK25" i="1"/>
  <c r="AI25" i="1"/>
  <c r="M25" i="1" s="1"/>
  <c r="X25" i="1"/>
  <c r="W25" i="1"/>
  <c r="V25" i="1"/>
  <c r="O25" i="1"/>
  <c r="BU24" i="1"/>
  <c r="BT24" i="1"/>
  <c r="BS24" i="1"/>
  <c r="AW24" i="1" s="1"/>
  <c r="BR24" i="1"/>
  <c r="BI24" i="1"/>
  <c r="BH24" i="1"/>
  <c r="BG24" i="1"/>
  <c r="BF24" i="1"/>
  <c r="BE24" i="1"/>
  <c r="BB24" i="1"/>
  <c r="AZ24" i="1"/>
  <c r="AU24" i="1"/>
  <c r="AY24" i="1" s="1"/>
  <c r="AO24" i="1"/>
  <c r="AP24" i="1" s="1"/>
  <c r="AK24" i="1"/>
  <c r="AI24" i="1"/>
  <c r="I24" i="1" s="1"/>
  <c r="AX24" i="1" s="1"/>
  <c r="X24" i="1"/>
  <c r="V24" i="1" s="1"/>
  <c r="W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J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/>
  <c r="J22" i="1" s="1"/>
  <c r="X22" i="1"/>
  <c r="W22" i="1"/>
  <c r="V22" i="1"/>
  <c r="O22" i="1"/>
  <c r="M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M21" i="1" s="1"/>
  <c r="X21" i="1"/>
  <c r="W21" i="1"/>
  <c r="V21" i="1"/>
  <c r="O21" i="1"/>
  <c r="I21" i="1"/>
  <c r="AX21" i="1" s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M20" i="1" s="1"/>
  <c r="X20" i="1"/>
  <c r="W20" i="1"/>
  <c r="V20" i="1"/>
  <c r="O20" i="1"/>
  <c r="BU19" i="1"/>
  <c r="BT19" i="1"/>
  <c r="BR19" i="1"/>
  <c r="BS19" i="1" s="1"/>
  <c r="BI19" i="1"/>
  <c r="BH19" i="1"/>
  <c r="BG19" i="1"/>
  <c r="BF19" i="1"/>
  <c r="BE19" i="1"/>
  <c r="BB19" i="1"/>
  <c r="AZ19" i="1"/>
  <c r="AU19" i="1"/>
  <c r="AO19" i="1"/>
  <c r="AP19" i="1" s="1"/>
  <c r="AK19" i="1"/>
  <c r="AI19" i="1" s="1"/>
  <c r="X19" i="1"/>
  <c r="W19" i="1"/>
  <c r="V19" i="1" s="1"/>
  <c r="O19" i="1"/>
  <c r="BU18" i="1"/>
  <c r="BT18" i="1"/>
  <c r="BR18" i="1"/>
  <c r="BS18" i="1" s="1"/>
  <c r="BI18" i="1"/>
  <c r="BH18" i="1"/>
  <c r="BG18" i="1"/>
  <c r="BF18" i="1"/>
  <c r="BE18" i="1"/>
  <c r="AZ18" i="1" s="1"/>
  <c r="BB18" i="1"/>
  <c r="AU18" i="1"/>
  <c r="AO18" i="1"/>
  <c r="AP18" i="1" s="1"/>
  <c r="AK18" i="1"/>
  <c r="AI18" i="1"/>
  <c r="M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/>
  <c r="I17" i="1" s="1"/>
  <c r="AX17" i="1" s="1"/>
  <c r="X17" i="1"/>
  <c r="W17" i="1"/>
  <c r="V17" i="1"/>
  <c r="O17" i="1"/>
  <c r="M17" i="1"/>
  <c r="J17" i="1"/>
  <c r="AW26" i="1" l="1"/>
  <c r="R26" i="1"/>
  <c r="R17" i="1"/>
  <c r="AW17" i="1"/>
  <c r="AY17" i="1" s="1"/>
  <c r="AY23" i="1"/>
  <c r="R19" i="1"/>
  <c r="AW19" i="1"/>
  <c r="AY19" i="1" s="1"/>
  <c r="AY18" i="1"/>
  <c r="AY26" i="1"/>
  <c r="BA17" i="1"/>
  <c r="R30" i="1"/>
  <c r="AW30" i="1"/>
  <c r="AY30" i="1" s="1"/>
  <c r="AY20" i="1"/>
  <c r="AW29" i="1"/>
  <c r="AY29" i="1" s="1"/>
  <c r="R29" i="1"/>
  <c r="AJ27" i="1"/>
  <c r="J27" i="1"/>
  <c r="H27" i="1"/>
  <c r="I27" i="1"/>
  <c r="AX27" i="1" s="1"/>
  <c r="BA27" i="1" s="1"/>
  <c r="M27" i="1"/>
  <c r="R20" i="1"/>
  <c r="AW20" i="1"/>
  <c r="AW23" i="1"/>
  <c r="R23" i="1"/>
  <c r="BA24" i="1"/>
  <c r="Z28" i="1"/>
  <c r="AW21" i="1"/>
  <c r="BA21" i="1" s="1"/>
  <c r="R21" i="1"/>
  <c r="I19" i="1"/>
  <c r="AX19" i="1" s="1"/>
  <c r="BA19" i="1" s="1"/>
  <c r="M19" i="1"/>
  <c r="H19" i="1"/>
  <c r="AJ19" i="1"/>
  <c r="J19" i="1"/>
  <c r="AW28" i="1"/>
  <c r="AY28" i="1" s="1"/>
  <c r="R28" i="1"/>
  <c r="M26" i="1"/>
  <c r="J26" i="1"/>
  <c r="I26" i="1"/>
  <c r="AX26" i="1" s="1"/>
  <c r="BA26" i="1" s="1"/>
  <c r="H26" i="1"/>
  <c r="AJ26" i="1"/>
  <c r="R27" i="1"/>
  <c r="AW27" i="1"/>
  <c r="AY27" i="1" s="1"/>
  <c r="AW18" i="1"/>
  <c r="R18" i="1"/>
  <c r="R22" i="1"/>
  <c r="AW22" i="1"/>
  <c r="AY22" i="1" s="1"/>
  <c r="AJ21" i="1"/>
  <c r="H21" i="1"/>
  <c r="AJ29" i="1"/>
  <c r="AJ24" i="1"/>
  <c r="H29" i="1"/>
  <c r="M30" i="1"/>
  <c r="J28" i="1"/>
  <c r="J21" i="1"/>
  <c r="H25" i="1"/>
  <c r="I30" i="1"/>
  <c r="AX30" i="1" s="1"/>
  <c r="BA30" i="1" s="1"/>
  <c r="J30" i="1"/>
  <c r="J25" i="1"/>
  <c r="H24" i="1"/>
  <c r="I29" i="1"/>
  <c r="AX29" i="1" s="1"/>
  <c r="AJ25" i="1"/>
  <c r="H30" i="1"/>
  <c r="I25" i="1"/>
  <c r="AX25" i="1" s="1"/>
  <c r="BA25" i="1" s="1"/>
  <c r="J29" i="1"/>
  <c r="J24" i="1"/>
  <c r="AJ28" i="1"/>
  <c r="AJ23" i="1"/>
  <c r="H23" i="1"/>
  <c r="M24" i="1"/>
  <c r="H18" i="1"/>
  <c r="I23" i="1"/>
  <c r="AX23" i="1" s="1"/>
  <c r="BA23" i="1" s="1"/>
  <c r="M28" i="1"/>
  <c r="AJ17" i="1"/>
  <c r="H22" i="1"/>
  <c r="M23" i="1"/>
  <c r="R24" i="1"/>
  <c r="AJ20" i="1"/>
  <c r="H20" i="1"/>
  <c r="J20" i="1"/>
  <c r="AJ18" i="1"/>
  <c r="I28" i="1"/>
  <c r="AX28" i="1" s="1"/>
  <c r="BA28" i="1" s="1"/>
  <c r="I18" i="1"/>
  <c r="AX18" i="1" s="1"/>
  <c r="J18" i="1"/>
  <c r="AJ22" i="1"/>
  <c r="H17" i="1"/>
  <c r="I22" i="1"/>
  <c r="AX22" i="1" s="1"/>
  <c r="I20" i="1"/>
  <c r="AX20" i="1" s="1"/>
  <c r="BA20" i="1" s="1"/>
  <c r="Z25" i="1" l="1"/>
  <c r="Z18" i="1"/>
  <c r="S29" i="1"/>
  <c r="T29" i="1" s="1"/>
  <c r="Z22" i="1"/>
  <c r="P22" i="1"/>
  <c r="N22" i="1" s="1"/>
  <c r="Q22" i="1" s="1"/>
  <c r="K22" i="1" s="1"/>
  <c r="L22" i="1" s="1"/>
  <c r="S18" i="1"/>
  <c r="T18" i="1" s="1"/>
  <c r="S19" i="1"/>
  <c r="T19" i="1" s="1"/>
  <c r="S27" i="1"/>
  <c r="T27" i="1" s="1"/>
  <c r="Z26" i="1"/>
  <c r="S17" i="1"/>
  <c r="T17" i="1" s="1"/>
  <c r="Z27" i="1"/>
  <c r="P27" i="1"/>
  <c r="N27" i="1" s="1"/>
  <c r="Q27" i="1" s="1"/>
  <c r="K27" i="1" s="1"/>
  <c r="L27" i="1" s="1"/>
  <c r="Z21" i="1"/>
  <c r="Z23" i="1"/>
  <c r="P23" i="1"/>
  <c r="N23" i="1" s="1"/>
  <c r="Q23" i="1" s="1"/>
  <c r="K23" i="1" s="1"/>
  <c r="L23" i="1" s="1"/>
  <c r="AY21" i="1"/>
  <c r="BA22" i="1"/>
  <c r="Z20" i="1"/>
  <c r="S24" i="1"/>
  <c r="T24" i="1" s="1"/>
  <c r="P29" i="1"/>
  <c r="N29" i="1" s="1"/>
  <c r="Q29" i="1" s="1"/>
  <c r="K29" i="1" s="1"/>
  <c r="L29" i="1" s="1"/>
  <c r="Z29" i="1"/>
  <c r="Z17" i="1"/>
  <c r="P24" i="1"/>
  <c r="N24" i="1" s="1"/>
  <c r="Q24" i="1" s="1"/>
  <c r="K24" i="1" s="1"/>
  <c r="L24" i="1" s="1"/>
  <c r="Z24" i="1"/>
  <c r="S20" i="1"/>
  <c r="T20" i="1" s="1"/>
  <c r="S26" i="1"/>
  <c r="T26" i="1" s="1"/>
  <c r="P26" i="1" s="1"/>
  <c r="N26" i="1" s="1"/>
  <c r="Q26" i="1" s="1"/>
  <c r="K26" i="1" s="1"/>
  <c r="L26" i="1" s="1"/>
  <c r="S25" i="1"/>
  <c r="T25" i="1" s="1"/>
  <c r="Z19" i="1"/>
  <c r="P19" i="1"/>
  <c r="N19" i="1" s="1"/>
  <c r="Q19" i="1" s="1"/>
  <c r="K19" i="1" s="1"/>
  <c r="L19" i="1" s="1"/>
  <c r="S21" i="1"/>
  <c r="T21" i="1" s="1"/>
  <c r="S30" i="1"/>
  <c r="T30" i="1" s="1"/>
  <c r="S22" i="1"/>
  <c r="T22" i="1" s="1"/>
  <c r="S23" i="1"/>
  <c r="T23" i="1" s="1"/>
  <c r="Z30" i="1"/>
  <c r="BA29" i="1"/>
  <c r="BA18" i="1"/>
  <c r="S28" i="1"/>
  <c r="T28" i="1" s="1"/>
  <c r="U21" i="1" l="1"/>
  <c r="Y21" i="1" s="1"/>
  <c r="AB21" i="1"/>
  <c r="AA21" i="1"/>
  <c r="U20" i="1"/>
  <c r="Y20" i="1" s="1"/>
  <c r="AB20" i="1"/>
  <c r="AA20" i="1"/>
  <c r="AB17" i="1"/>
  <c r="U17" i="1"/>
  <c r="Y17" i="1" s="1"/>
  <c r="AA17" i="1"/>
  <c r="AB18" i="1"/>
  <c r="U18" i="1"/>
  <c r="Y18" i="1" s="1"/>
  <c r="AA18" i="1"/>
  <c r="U30" i="1"/>
  <c r="Y30" i="1" s="1"/>
  <c r="AB30" i="1"/>
  <c r="AA30" i="1"/>
  <c r="P21" i="1"/>
  <c r="N21" i="1" s="1"/>
  <c r="Q21" i="1" s="1"/>
  <c r="K21" i="1" s="1"/>
  <c r="L21" i="1" s="1"/>
  <c r="AB28" i="1"/>
  <c r="U28" i="1"/>
  <c r="Y28" i="1" s="1"/>
  <c r="AA28" i="1"/>
  <c r="P28" i="1"/>
  <c r="N28" i="1" s="1"/>
  <c r="Q28" i="1" s="1"/>
  <c r="K28" i="1" s="1"/>
  <c r="L28" i="1" s="1"/>
  <c r="AB24" i="1"/>
  <c r="AA24" i="1"/>
  <c r="U24" i="1"/>
  <c r="Y24" i="1" s="1"/>
  <c r="P18" i="1"/>
  <c r="N18" i="1" s="1"/>
  <c r="Q18" i="1" s="1"/>
  <c r="K18" i="1" s="1"/>
  <c r="L18" i="1" s="1"/>
  <c r="U25" i="1"/>
  <c r="Y25" i="1" s="1"/>
  <c r="AB25" i="1"/>
  <c r="AC25" i="1" s="1"/>
  <c r="AA25" i="1"/>
  <c r="U26" i="1"/>
  <c r="Y26" i="1" s="1"/>
  <c r="AB26" i="1"/>
  <c r="AA26" i="1"/>
  <c r="AB27" i="1"/>
  <c r="U27" i="1"/>
  <c r="Y27" i="1" s="1"/>
  <c r="AA27" i="1"/>
  <c r="AB19" i="1"/>
  <c r="AC19" i="1" s="1"/>
  <c r="AA19" i="1"/>
  <c r="U19" i="1"/>
  <c r="Y19" i="1" s="1"/>
  <c r="P17" i="1"/>
  <c r="N17" i="1" s="1"/>
  <c r="Q17" i="1" s="1"/>
  <c r="K17" i="1" s="1"/>
  <c r="L17" i="1" s="1"/>
  <c r="U29" i="1"/>
  <c r="Y29" i="1" s="1"/>
  <c r="AA29" i="1"/>
  <c r="AB29" i="1"/>
  <c r="AC29" i="1" s="1"/>
  <c r="P30" i="1"/>
  <c r="N30" i="1" s="1"/>
  <c r="Q30" i="1" s="1"/>
  <c r="K30" i="1" s="1"/>
  <c r="L30" i="1" s="1"/>
  <c r="P20" i="1"/>
  <c r="N20" i="1" s="1"/>
  <c r="Q20" i="1" s="1"/>
  <c r="K20" i="1" s="1"/>
  <c r="L20" i="1" s="1"/>
  <c r="U23" i="1"/>
  <c r="Y23" i="1" s="1"/>
  <c r="AB23" i="1"/>
  <c r="AA23" i="1"/>
  <c r="AB22" i="1"/>
  <c r="U22" i="1"/>
  <c r="Y22" i="1" s="1"/>
  <c r="AA22" i="1"/>
  <c r="P25" i="1"/>
  <c r="N25" i="1" s="1"/>
  <c r="Q25" i="1" s="1"/>
  <c r="K25" i="1" s="1"/>
  <c r="L25" i="1" s="1"/>
  <c r="AC22" i="1" l="1"/>
  <c r="AC23" i="1"/>
  <c r="AC26" i="1"/>
  <c r="AC28" i="1"/>
  <c r="AC30" i="1"/>
  <c r="AC17" i="1"/>
  <c r="AC18" i="1"/>
  <c r="AC27" i="1"/>
  <c r="AC20" i="1"/>
  <c r="AC21" i="1"/>
  <c r="AC24" i="1"/>
</calcChain>
</file>

<file path=xl/sharedStrings.xml><?xml version="1.0" encoding="utf-8"?>
<sst xmlns="http://schemas.openxmlformats.org/spreadsheetml/2006/main" count="771" uniqueCount="354">
  <si>
    <t>File opened</t>
  </si>
  <si>
    <t>2020-07-24 13:23:22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</si>
  <si>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</si>
  <si>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</si>
  <si>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</si>
  <si>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</si>
  <si>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</si>
  <si>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</si>
  <si>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</si>
  <si>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</si>
  <si>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</si>
  <si>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</si>
  <si>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</si>
  <si>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{"co2bzero": "0.880288", "tbzero": "0.197721", "co2aspan2b": "0.163711", "h2obspanconc1": "20", "co2bspan2b": "0.162103", "h2obspan1": "0.998578", "h2oazero": "1.00263", "h2obspanconc2": "0", "co2bspan1": "0.992131", "flowmeterzero": "0.990908", "h2oaspan1": "1.00223", "h2oaspan2b": "0.0662632", "flowazero": "0.42932", "h2obspan2a": "0.0975941", "h2oaspanconc2": "0", "h2obzero": "1.01783", "co2aspan2": "0", "co2bspanconc2": "0", "co2aspan2a": "0.164928", "co2aspanconc1": "1002", "tazero": "0.00774765", "h2obspan2": "0", "flowbzero": "0.22736", "ssa_ref": "36614.9", "co2aspan1": "0.992625", "co2bspan2": "0", "h2oaspanconc1": "12.19", "ssb_ref": "36526.8", "co2bspanconc1": "1002", "h2oaspan2a": "0.0661155", "co2azero": "0.869071", "oxygen": "21", "chamberpressurezero": "2.59209", "co2bspan2a": "0.163389", "co2aspanconc2": "0", "h2obspan2b": "0.0963575", "h2oaspan2": "0"}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</si>
  <si>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</si>
  <si>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</si>
  <si>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</si>
  <si>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</si>
  <si>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</si>
  <si>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</si>
  <si>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</si>
  <si>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</si>
  <si>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</si>
  <si>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13:23:22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</si>
  <si>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</si>
  <si>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</si>
  <si>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</si>
  <si>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</si>
  <si>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</si>
  <si>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</si>
  <si>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</si>
  <si>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</si>
  <si>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</si>
  <si>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</si>
  <si>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</si>
  <si>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</si>
  <si>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</si>
  <si>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</si>
  <si>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</si>
  <si>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</si>
  <si>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</si>
  <si>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</si>
  <si>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</si>
  <si>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</si>
  <si>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</si>
  <si>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</si>
  <si>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</si>
  <si>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</si>
  <si>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</si>
  <si>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</si>
  <si>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</si>
  <si>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</si>
  <si>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</si>
  <si>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</si>
  <si>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</si>
  <si>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</si>
  <si>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</si>
  <si>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</si>
  <si>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</si>
  <si>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</si>
  <si>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</si>
  <si>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</si>
  <si>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</si>
  <si>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</si>
  <si>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</si>
  <si>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</si>
  <si>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</si>
  <si>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</si>
  <si>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</si>
  <si>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</si>
  <si>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</si>
  <si>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3.46935 75.7742 386.148 617.459 845.313 1047.31 1232.25 1386.61</t>
  </si>
  <si>
    <t>Fs_true</t>
  </si>
  <si>
    <t>0.0901397 100.218 402.746 600.792 800.086 1000.08 1200.42 1401.29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</si>
  <si>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</si>
  <si>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</si>
  <si>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</si>
  <si>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</si>
  <si>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</si>
  <si>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</si>
  <si>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</si>
  <si>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</si>
  <si>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</si>
  <si>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</si>
  <si>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</si>
  <si>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</si>
  <si>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</si>
  <si>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</si>
  <si>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</si>
  <si>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</si>
  <si>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</si>
  <si>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</si>
  <si>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</si>
  <si>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</si>
  <si>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</si>
  <si>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</si>
  <si>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</si>
  <si>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</si>
  <si>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</si>
  <si>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</si>
  <si>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</si>
  <si>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</si>
  <si>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</si>
  <si>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</si>
  <si>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</si>
  <si>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</si>
  <si>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</si>
  <si>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</si>
  <si>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</si>
  <si>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</si>
  <si>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</si>
  <si>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</si>
  <si>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</si>
  <si>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</si>
  <si>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</si>
  <si>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</si>
  <si>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</si>
  <si>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</si>
  <si>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</si>
  <si>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</si>
  <si>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</si>
  <si>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</si>
  <si>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</si>
  <si>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</si>
  <si>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</si>
  <si>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</si>
  <si>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</si>
  <si>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</si>
  <si>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</si>
  <si>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</si>
  <si>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</si>
  <si>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</si>
  <si>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</si>
  <si>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</si>
  <si>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</si>
  <si>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</si>
  <si>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</si>
  <si>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</si>
  <si>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</si>
  <si>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</si>
  <si>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</si>
  <si>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</si>
  <si>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</si>
  <si>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</si>
  <si>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</si>
  <si>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</si>
  <si>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</si>
  <si>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</si>
  <si>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</si>
  <si>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</si>
  <si>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</si>
  <si>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</si>
  <si>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</si>
  <si>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</si>
  <si>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</si>
  <si>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</si>
  <si>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</si>
  <si>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</si>
  <si>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</si>
  <si>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</si>
  <si>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</si>
  <si>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</si>
  <si>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</si>
  <si>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</si>
  <si>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</si>
  <si>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</si>
  <si>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</si>
  <si>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</si>
  <si>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</si>
  <si>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</si>
  <si>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</si>
  <si>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</si>
  <si>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</si>
  <si>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</si>
  <si>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</si>
  <si>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</si>
  <si>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</si>
  <si>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</si>
  <si>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</si>
  <si>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</si>
  <si>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</si>
  <si>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</si>
  <si>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</si>
  <si>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</si>
  <si>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</si>
  <si>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</si>
  <si>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</si>
  <si>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</si>
  <si>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</si>
  <si>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</si>
  <si>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</si>
  <si>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</si>
  <si>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</si>
  <si>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</si>
  <si>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</si>
  <si>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</si>
  <si>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</si>
  <si>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</si>
  <si>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</si>
  <si>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</si>
  <si>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</si>
  <si>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</si>
  <si>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</si>
  <si>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</si>
  <si>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</si>
  <si>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</si>
  <si>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</si>
  <si>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</si>
  <si>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</si>
  <si>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</si>
  <si>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</si>
  <si>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</si>
  <si>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</si>
  <si>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</si>
  <si>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</si>
  <si>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</si>
  <si>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</si>
  <si>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</si>
  <si>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</si>
  <si>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</si>
  <si>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</si>
  <si>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</si>
  <si>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</si>
  <si>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</si>
  <si>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</si>
  <si>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</si>
  <si>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</si>
  <si>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</si>
  <si>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</si>
  <si>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</si>
  <si>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</si>
  <si>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</si>
  <si>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</si>
  <si>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</si>
  <si>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</si>
  <si>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</si>
  <si>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</si>
  <si>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</si>
  <si>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</si>
  <si>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</si>
  <si>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</si>
  <si>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</si>
  <si>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</si>
  <si>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</si>
  <si>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</si>
  <si>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</si>
  <si>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</si>
  <si>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</si>
  <si>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</si>
  <si>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</si>
  <si>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</si>
  <si>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</si>
  <si>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</si>
  <si>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</si>
  <si>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</si>
  <si>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</si>
  <si>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</si>
  <si>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</si>
  <si>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</si>
  <si>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</si>
  <si>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</si>
  <si>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</si>
  <si>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</si>
  <si>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</si>
  <si>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</si>
  <si>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</si>
  <si>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</si>
  <si>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</si>
  <si>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</si>
  <si>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</si>
  <si>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</si>
  <si>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</si>
  <si>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</si>
  <si>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</si>
  <si>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</si>
  <si>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</si>
  <si>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</si>
  <si>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20200724 13:31:16</t>
  </si>
  <si>
    <t>13:31:16</t>
  </si>
  <si>
    <t>MPF-5349-20200724-13_31_17</t>
  </si>
  <si>
    <t>DARK-5350-20200724-13_31_25</t>
  </si>
  <si>
    <t>0: Broadleaf</t>
  </si>
  <si>
    <t>13:31:41</t>
  </si>
  <si>
    <t>1/2</t>
  </si>
  <si>
    <t>5</t>
  </si>
  <si>
    <t>11111111</t>
  </si>
  <si>
    <t>oooooooo</t>
  </si>
  <si>
    <t>off</t>
  </si>
  <si>
    <t>20200724 13:33:23</t>
  </si>
  <si>
    <t>13:33:23</t>
  </si>
  <si>
    <t>MPF-5351-20200724-13_33_25</t>
  </si>
  <si>
    <t>DARK-5352-20200724-13_33_32</t>
  </si>
  <si>
    <t>13:33:49</t>
  </si>
  <si>
    <t>2/2</t>
  </si>
  <si>
    <t>20200724 13:35:21</t>
  </si>
  <si>
    <t>13:35:21</t>
  </si>
  <si>
    <t>MPF-5353-20200724-13_35_22</t>
  </si>
  <si>
    <t>DARK-5354-20200724-13_35_30</t>
  </si>
  <si>
    <t>13:35:51</t>
  </si>
  <si>
    <t>20200724 13:37:32</t>
  </si>
  <si>
    <t>13:37:32</t>
  </si>
  <si>
    <t>MPF-5355-20200724-13_37_34</t>
  </si>
  <si>
    <t>DARK-5356-20200724-13_37_41</t>
  </si>
  <si>
    <t>13:37:58</t>
  </si>
  <si>
    <t>20200724 13:39:44</t>
  </si>
  <si>
    <t>13:39:44</t>
  </si>
  <si>
    <t>MPF-5357-20200724-13_39_46</t>
  </si>
  <si>
    <t>DARK-5358-20200724-13_39_53</t>
  </si>
  <si>
    <t>13:40:11</t>
  </si>
  <si>
    <t>20200724 13:42:04</t>
  </si>
  <si>
    <t>13:42:04</t>
  </si>
  <si>
    <t>MPF-5359-20200724-13_42_05</t>
  </si>
  <si>
    <t>DARK-5360-20200724-13_42_13</t>
  </si>
  <si>
    <t>13:42:32</t>
  </si>
  <si>
    <t>20200724 13:44:04</t>
  </si>
  <si>
    <t>13:44:04</t>
  </si>
  <si>
    <t>MPF-5361-20200724-13_44_05</t>
  </si>
  <si>
    <t>DARK-5362-20200724-13_44_13</t>
  </si>
  <si>
    <t>13:44:29</t>
  </si>
  <si>
    <t>20200724 13:46:30</t>
  </si>
  <si>
    <t>13:46:30</t>
  </si>
  <si>
    <t>MPF-5363-20200724-13_46_32</t>
  </si>
  <si>
    <t>DARK-5364-20200724-13_46_39</t>
  </si>
  <si>
    <t>13:46:54</t>
  </si>
  <si>
    <t>20200724 13:48:56</t>
  </si>
  <si>
    <t>13:48:56</t>
  </si>
  <si>
    <t>MPF-5365-20200724-13_48_57</t>
  </si>
  <si>
    <t>DARK-5366-20200724-13_49_05</t>
  </si>
  <si>
    <t>13:49:20</t>
  </si>
  <si>
    <t>20200724 13:51:21</t>
  </si>
  <si>
    <t>13:51:21</t>
  </si>
  <si>
    <t>MPF-5367-20200724-13_51_23</t>
  </si>
  <si>
    <t>DARK-5368-20200724-13_51_31</t>
  </si>
  <si>
    <t>13:51:49</t>
  </si>
  <si>
    <t>20200724 13:53:51</t>
  </si>
  <si>
    <t>13:53:51</t>
  </si>
  <si>
    <t>MPF-5369-20200724-13_53_52</t>
  </si>
  <si>
    <t>DARK-5370-20200724-13_54_00</t>
  </si>
  <si>
    <t>13:54:21</t>
  </si>
  <si>
    <t>20200724 13:56:23</t>
  </si>
  <si>
    <t>13:56:23</t>
  </si>
  <si>
    <t>MPF-5371-20200724-13_56_24</t>
  </si>
  <si>
    <t>DARK-5372-20200724-13_56_32</t>
  </si>
  <si>
    <t>13:56:45</t>
  </si>
  <si>
    <t>20200724 13:58:46</t>
  </si>
  <si>
    <t>13:58:46</t>
  </si>
  <si>
    <t>MPF-5373-20200724-13_58_48</t>
  </si>
  <si>
    <t>DARK-5374-20200724-13_58_56</t>
  </si>
  <si>
    <t>13:59:09</t>
  </si>
  <si>
    <t>20200724 14:00:45</t>
  </si>
  <si>
    <t>14:00:45</t>
  </si>
  <si>
    <t>MPF-5375-20200724-14_00_47</t>
  </si>
  <si>
    <t>DARK-5376-20200724-14_00_54</t>
  </si>
  <si>
    <t>14:01:08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</si>
</sst>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1595615476</v>
      </c>
      <c r="C17">
        <v>0</v>
      </c>
      <c r="D17" t="s">
        <v>277</v>
      </c>
      <c r="E17" t="s">
        <v>278</v>
      </c>
      <c r="G17">
        <v>1595615468</v>
      </c>
      <c r="H17">
        <f t="shared" ref="H17:H30" si="0">CC17*AI17*(CA17-CB17)/(100*$B$5*(1000-AI17*CA17))</f>
        <v>6.182136164042366E-3</v>
      </c>
      <c r="I17">
        <f t="shared" ref="I17:I30" si="1">CC17*AI17*(BZ17-BY17*(1000-AI17*CB17)/(1000-AI17*CA17))/(100*$B$5)</f>
        <v>28.564346571239593</v>
      </c>
      <c r="J17">
        <f t="shared" ref="J17:J30" si="2">BY17 - IF(AI17&gt;1, I17*$B$5*100/(AK17*CI17), 0)</f>
        <v>387.598322580645</v>
      </c>
      <c r="K17">
        <f t="shared" ref="K17:K30" si="3">((Q17-H17/2)*J17-I17)/(Q17+H17/2)</f>
        <v>251.45288857616154</v>
      </c>
      <c r="L17">
        <f t="shared" ref="L17:L30" si="4">K17*(CD17+CE17)/1000</f>
        <v>25.118220173168293</v>
      </c>
      <c r="M17">
        <f t="shared" ref="M17:M30" si="5">(BY17 - IF(AI17&gt;1, I17*$B$5*100/(AK17*CI17), 0))*(CD17+CE17)/1000</f>
        <v>38.718107636224339</v>
      </c>
      <c r="N17">
        <f t="shared" ref="N17:N30" si="6">2/((1/P17-1/O17)+SIGN(P17)*SQRT((1/P17-1/O17)*(1/P17-1/O17) + 4*BV17/((BV17+1)*(BV17+1))*(2*1/P17*1/O17-1/O17*1/O17)))</f>
        <v>0.37784215286088657</v>
      </c>
      <c r="O17">
        <f t="shared" ref="O17:O30" si="7">AF17+AE17*$B$5+AD17*$B$5*$B$5</f>
        <v>3.3929416212339354</v>
      </c>
      <c r="P17">
        <f t="shared" ref="P17:P30" si="8">H17*(1000-(1000*0.61365*EXP(17.502*T17/(240.97+T17))/(CD17+CE17)+CA17)/2)/(1000*0.61365*EXP(17.502*T17/(240.97+T17))/(CD17+CE17)-CA17)</f>
        <v>0.35592581267307599</v>
      </c>
      <c r="Q17">
        <f t="shared" ref="Q17:Q30" si="9">1/((BV17+1)/(N17/1.6)+1/(O17/1.37)) + BV17/((BV17+1)/(N17/1.6) + BV17/(O17/1.37))</f>
        <v>0.22431672127775987</v>
      </c>
      <c r="R17">
        <f t="shared" ref="R17:R30" si="10">(BS17*BU17)</f>
        <v>353.33865821852072</v>
      </c>
      <c r="S17">
        <f t="shared" ref="S17:S30" si="11">(CF17+(R17+2*0.95*0.0000000567*(((CF17+$B$7)+273)^4-(CF17+273)^4)-44100*H17)/(1.84*29.3*O17+8*0.95*0.0000000567*(CF17+273)^3))</f>
        <v>26.99061790649931</v>
      </c>
      <c r="T17">
        <f t="shared" ref="T17:T30" si="12">($C$7*CG17+$D$7*CH17+$E$7*S17)</f>
        <v>27.147564516128998</v>
      </c>
      <c r="U17">
        <f t="shared" ref="U17:U30" si="13">0.61365*EXP(17.502*T17/(240.97+T17))</f>
        <v>3.6102972493184726</v>
      </c>
      <c r="V17">
        <f t="shared" ref="V17:V30" si="14">(W17/X17*100)</f>
        <v>55.094435303252652</v>
      </c>
      <c r="W17">
        <f t="shared" ref="W17:W30" si="15">CA17*(CD17+CE17)/1000</f>
        <v>1.9233070229660445</v>
      </c>
      <c r="X17">
        <f t="shared" ref="X17:X30" si="16">0.61365*EXP(17.502*CF17/(240.97+CF17))</f>
        <v>3.4909279174561152</v>
      </c>
      <c r="Y17">
        <f t="shared" ref="Y17:Y30" si="17">(U17-CA17*(CD17+CE17)/1000)</f>
        <v>1.6869902263524281</v>
      </c>
      <c r="Z17">
        <f t="shared" ref="Z17:Z30" si="18">(-H17*44100)</f>
        <v>-272.63220483426835</v>
      </c>
      <c r="AA17">
        <f t="shared" ref="AA17:AA30" si="19">2*29.3*O17*0.92*(CF17-T17)</f>
        <v>-104.60797120267169</v>
      </c>
      <c r="AB17">
        <f t="shared" ref="AB17:AB30" si="20">2*0.95*0.0000000567*(((CF17+$B$7)+273)^4-(T17+273)^4)</f>
        <v>-6.6445055547990135</v>
      </c>
      <c r="AC17">
        <f t="shared" ref="AC17:AC30" si="21">R17+AB17+Z17+AA17</f>
        <v>-30.546023373218347</v>
      </c>
      <c r="AD17">
        <v>-4.1338380837491001E-2</v>
      </c>
      <c r="AE17">
        <v>4.6405953931144599E-2</v>
      </c>
      <c r="AF17">
        <v>3.4654832367216102</v>
      </c>
      <c r="AG17">
        <v>148</v>
      </c>
      <c r="AH17">
        <v>30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52787.718900209409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320.084807692308</v>
      </c>
      <c r="AT17">
        <v>421.97800000000001</v>
      </c>
      <c r="AU17">
        <f t="shared" ref="AU17:AU30" si="27">1-AS17/AT17</f>
        <v>0.24146565059716862</v>
      </c>
      <c r="AV17">
        <v>0.5</v>
      </c>
      <c r="AW17">
        <f t="shared" ref="AW17:AW30" si="28">BS17</f>
        <v>1849.1872255154403</v>
      </c>
      <c r="AX17">
        <f t="shared" ref="AX17:AX30" si="29">I17</f>
        <v>28.564346571239593</v>
      </c>
      <c r="AY17">
        <f t="shared" ref="AY17:AY30" si="30">AU17*AV17*AW17</f>
        <v>223.2575982425295</v>
      </c>
      <c r="AZ17">
        <f t="shared" ref="AZ17:AZ30" si="31">BE17/AT17</f>
        <v>0.52049632919251709</v>
      </c>
      <c r="BA17">
        <f t="shared" ref="BA17:BA30" si="32">(AX17-AQ17)/AW17</f>
        <v>1.598775189624126E-2</v>
      </c>
      <c r="BB17">
        <f t="shared" ref="BB17:BB30" si="33">(AN17-AT17)/AT17</f>
        <v>-1</v>
      </c>
      <c r="BC17" t="s">
        <v>280</v>
      </c>
      <c r="BD17">
        <v>202.34</v>
      </c>
      <c r="BE17">
        <f t="shared" ref="BE17:BE30" si="34">AT17-BD17</f>
        <v>219.63800000000001</v>
      </c>
      <c r="BF17">
        <f t="shared" ref="BF17:BF30" si="35">(AT17-AS17)/(AT17-BD17)</f>
        <v>0.46391422389428061</v>
      </c>
      <c r="BG17">
        <f t="shared" ref="BG17:BG30" si="36">(AN17-AT17)/(AN17-BD17)</f>
        <v>2.0854897696945733</v>
      </c>
      <c r="BH17">
        <f t="shared" ref="BH17:BH30" si="37">(AT17-AS17)/(AT17-AM17)</f>
        <v>0.24146565059716857</v>
      </c>
      <c r="BI17" t="e">
        <f t="shared" ref="BI17:BI30" si="38">(AN17-AT17)/(AN17-AM17)</f>
        <v>#DIV/0!</v>
      </c>
      <c r="BJ17">
        <v>5349</v>
      </c>
      <c r="BK17">
        <v>300</v>
      </c>
      <c r="BL17">
        <v>300</v>
      </c>
      <c r="BM17">
        <v>300</v>
      </c>
      <c r="BN17">
        <v>9876.73</v>
      </c>
      <c r="BO17">
        <v>393.18</v>
      </c>
      <c r="BP17">
        <v>-6.4064300000000003E-3</v>
      </c>
      <c r="BQ17">
        <v>4.27856E-2</v>
      </c>
      <c r="BR17">
        <f t="shared" ref="BR17:BR30" si="39">$B$11*CJ17+$C$11*CK17+$F$11*CL17</f>
        <v>2200.0019354838701</v>
      </c>
      <c r="BS17">
        <f t="shared" ref="BS17:BS30" si="40">BR17*BT17</f>
        <v>1849.1872255154403</v>
      </c>
      <c r="BT17">
        <f t="shared" ref="BT17:BT30" si="41">($B$11*$D$9+$C$11*$D$9+$F$11*((CY17+CQ17)/MAX(CY17+CQ17+CZ17, 0.1)*$I$9+CZ17/MAX(CY17+CQ17+CZ17, 0.1)*$J$9))/($B$11+$C$11+$F$11)</f>
        <v>0.84053890848451851</v>
      </c>
      <c r="BU17">
        <f t="shared" ref="BU17:BU30" si="42">($B$11*$K$9+$C$11*$K$9+$F$11*((CY17+CQ17)/MAX(CY17+CQ17+CZ17, 0.1)*$P$9+CZ17/MAX(CY17+CQ17+CZ17, 0.1)*$Q$9))/($B$11+$C$11+$F$11)</f>
        <v>0.19107781696903703</v>
      </c>
      <c r="BV17">
        <v>0.5</v>
      </c>
      <c r="BW17" t="s">
        <v>281</v>
      </c>
      <c r="BX17">
        <v>1595615468</v>
      </c>
      <c r="BY17">
        <v>387.598322580645</v>
      </c>
      <c r="BZ17">
        <v>399.98099999999999</v>
      </c>
      <c r="CA17">
        <v>19.2537967741935</v>
      </c>
      <c r="CB17">
        <v>16.828854838709699</v>
      </c>
      <c r="CC17">
        <v>500.06200000000001</v>
      </c>
      <c r="CD17">
        <v>99.692354838709704</v>
      </c>
      <c r="CE17">
        <v>0.199996032258065</v>
      </c>
      <c r="CF17">
        <v>26.5756870967742</v>
      </c>
      <c r="CG17">
        <v>27.147564516128998</v>
      </c>
      <c r="CH17">
        <v>999.9</v>
      </c>
      <c r="CI17">
        <v>9999.7151612903199</v>
      </c>
      <c r="CJ17">
        <v>0</v>
      </c>
      <c r="CK17">
        <v>264.86364516128998</v>
      </c>
      <c r="CL17">
        <v>2200.0019354838701</v>
      </c>
      <c r="CM17">
        <v>0.98199674193548403</v>
      </c>
      <c r="CN17">
        <v>1.8003380645161299E-2</v>
      </c>
      <c r="CO17">
        <v>0</v>
      </c>
      <c r="CP17">
        <v>320.156935483871</v>
      </c>
      <c r="CQ17">
        <v>5.00054</v>
      </c>
      <c r="CR17">
        <v>9461.8241935483893</v>
      </c>
      <c r="CS17">
        <v>20590.5419354839</v>
      </c>
      <c r="CT17">
        <v>48.155000000000001</v>
      </c>
      <c r="CU17">
        <v>49.336387096774203</v>
      </c>
      <c r="CV17">
        <v>48.276000000000003</v>
      </c>
      <c r="CW17">
        <v>48.473483870967698</v>
      </c>
      <c r="CX17">
        <v>49.521935483870998</v>
      </c>
      <c r="CY17">
        <v>2155.4819354838701</v>
      </c>
      <c r="CZ17">
        <v>39.520000000000003</v>
      </c>
      <c r="DA17">
        <v>0</v>
      </c>
      <c r="DB17">
        <v>536.70000004768394</v>
      </c>
      <c r="DC17">
        <v>320.084807692308</v>
      </c>
      <c r="DD17">
        <v>-14.697743608548199</v>
      </c>
      <c r="DE17">
        <v>-348.16923100970502</v>
      </c>
      <c r="DF17">
        <v>9459.71653846154</v>
      </c>
      <c r="DG17">
        <v>15</v>
      </c>
      <c r="DH17">
        <v>1595615501</v>
      </c>
      <c r="DI17" t="s">
        <v>282</v>
      </c>
      <c r="DJ17">
        <v>71</v>
      </c>
      <c r="DK17">
        <v>-0.41099999999999998</v>
      </c>
      <c r="DL17">
        <v>0.112</v>
      </c>
      <c r="DM17">
        <v>400</v>
      </c>
      <c r="DN17">
        <v>17</v>
      </c>
      <c r="DO17">
        <v>0.18</v>
      </c>
      <c r="DP17">
        <v>0.04</v>
      </c>
      <c r="DQ17">
        <v>387.51231372549</v>
      </c>
      <c r="DR17">
        <v>0.59733936651577202</v>
      </c>
      <c r="DS17">
        <v>7.6574323807091602E-2</v>
      </c>
      <c r="DT17">
        <v>0</v>
      </c>
      <c r="DU17">
        <v>19.257556862745101</v>
      </c>
      <c r="DV17">
        <v>-4.8596199095036603E-2</v>
      </c>
      <c r="DW17">
        <v>1.0672784793842101E-2</v>
      </c>
      <c r="DX17">
        <v>1</v>
      </c>
      <c r="DY17">
        <v>1</v>
      </c>
      <c r="DZ17">
        <v>2</v>
      </c>
      <c r="EA17" t="s">
        <v>283</v>
      </c>
      <c r="EB17">
        <v>1.86663</v>
      </c>
      <c r="EC17">
        <v>1.86314</v>
      </c>
      <c r="ED17">
        <v>1.86886</v>
      </c>
      <c r="EE17">
        <v>1.86676</v>
      </c>
      <c r="EF17">
        <v>1.8714900000000001</v>
      </c>
      <c r="EG17">
        <v>1.8638999999999999</v>
      </c>
      <c r="EH17">
        <v>1.8653999999999999</v>
      </c>
      <c r="EI17">
        <v>1.86538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-0.41099999999999998</v>
      </c>
      <c r="EX17">
        <v>0.112</v>
      </c>
      <c r="EY17">
        <v>2</v>
      </c>
      <c r="EZ17">
        <v>334.25099999999998</v>
      </c>
      <c r="FA17">
        <v>472.37700000000001</v>
      </c>
      <c r="FB17">
        <v>20.133600000000001</v>
      </c>
      <c r="FC17">
        <v>34.758400000000002</v>
      </c>
      <c r="FD17">
        <v>29.9998</v>
      </c>
      <c r="FE17">
        <v>34.833599999999997</v>
      </c>
      <c r="FF17">
        <v>34.8386</v>
      </c>
      <c r="FG17">
        <v>22.1038</v>
      </c>
      <c r="FH17">
        <v>49.017499999999998</v>
      </c>
      <c r="FI17">
        <v>0</v>
      </c>
      <c r="FJ17">
        <v>19.869</v>
      </c>
      <c r="FK17">
        <v>400</v>
      </c>
      <c r="FL17">
        <v>16.8064</v>
      </c>
      <c r="FM17">
        <v>100.631</v>
      </c>
      <c r="FN17">
        <v>101.032</v>
      </c>
    </row>
    <row r="18" spans="1:170" x14ac:dyDescent="0.25">
      <c r="A18">
        <v>2</v>
      </c>
      <c r="B18">
        <v>1595615603.5</v>
      </c>
      <c r="C18">
        <v>127.5</v>
      </c>
      <c r="D18" t="s">
        <v>288</v>
      </c>
      <c r="E18" t="s">
        <v>289</v>
      </c>
      <c r="G18">
        <v>1595615595.5</v>
      </c>
      <c r="H18">
        <f t="shared" si="0"/>
        <v>6.0667614184283557E-3</v>
      </c>
      <c r="I18">
        <f t="shared" si="1"/>
        <v>20.27459622769188</v>
      </c>
      <c r="J18">
        <f t="shared" si="2"/>
        <v>291.151903225806</v>
      </c>
      <c r="K18">
        <f t="shared" si="3"/>
        <v>192.15277545584547</v>
      </c>
      <c r="L18">
        <f t="shared" si="4"/>
        <v>19.194704913230108</v>
      </c>
      <c r="M18">
        <f t="shared" si="5"/>
        <v>29.084018453997643</v>
      </c>
      <c r="N18">
        <f t="shared" si="6"/>
        <v>0.36948860734049188</v>
      </c>
      <c r="O18">
        <f t="shared" si="7"/>
        <v>3.394401189999666</v>
      </c>
      <c r="P18">
        <f t="shared" si="8"/>
        <v>0.34851021788121878</v>
      </c>
      <c r="Q18">
        <f t="shared" si="9"/>
        <v>0.21960439254773478</v>
      </c>
      <c r="R18">
        <f t="shared" si="10"/>
        <v>353.3348819839552</v>
      </c>
      <c r="S18">
        <f t="shared" si="11"/>
        <v>26.518867621529971</v>
      </c>
      <c r="T18">
        <f t="shared" si="12"/>
        <v>26.8773290322581</v>
      </c>
      <c r="U18">
        <f t="shared" si="13"/>
        <v>3.5534536186182488</v>
      </c>
      <c r="V18">
        <f t="shared" si="14"/>
        <v>54.919518545931233</v>
      </c>
      <c r="W18">
        <f t="shared" si="15"/>
        <v>1.8616798373180083</v>
      </c>
      <c r="X18">
        <f t="shared" si="16"/>
        <v>3.3898327709501244</v>
      </c>
      <c r="Y18">
        <f t="shared" si="17"/>
        <v>1.6917737813002405</v>
      </c>
      <c r="Z18">
        <f t="shared" si="18"/>
        <v>-267.54417855269048</v>
      </c>
      <c r="AA18">
        <f t="shared" si="19"/>
        <v>-146.30471448966293</v>
      </c>
      <c r="AB18">
        <f t="shared" si="20"/>
        <v>-9.2533738264055785</v>
      </c>
      <c r="AC18">
        <f t="shared" si="21"/>
        <v>-69.767384884803818</v>
      </c>
      <c r="AD18">
        <v>-4.1360987815519001E-2</v>
      </c>
      <c r="AE18">
        <v>4.6431332244460999E-2</v>
      </c>
      <c r="AF18">
        <v>3.4669824767728201</v>
      </c>
      <c r="AG18">
        <v>149</v>
      </c>
      <c r="AH18">
        <v>30</v>
      </c>
      <c r="AI18">
        <f t="shared" si="22"/>
        <v>1</v>
      </c>
      <c r="AJ18">
        <f t="shared" si="23"/>
        <v>0</v>
      </c>
      <c r="AK18">
        <f t="shared" si="24"/>
        <v>52903.334559027906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291.776461538462</v>
      </c>
      <c r="AT18">
        <v>378.07400000000001</v>
      </c>
      <c r="AU18">
        <f t="shared" si="27"/>
        <v>0.22825568132571405</v>
      </c>
      <c r="AV18">
        <v>0.5</v>
      </c>
      <c r="AW18">
        <f t="shared" si="28"/>
        <v>1849.1686526356946</v>
      </c>
      <c r="AX18">
        <f t="shared" si="29"/>
        <v>20.27459622769188</v>
      </c>
      <c r="AY18">
        <f t="shared" si="30"/>
        <v>211.04162534675658</v>
      </c>
      <c r="AZ18">
        <f t="shared" si="31"/>
        <v>0.45957669662552836</v>
      </c>
      <c r="BA18">
        <f t="shared" si="32"/>
        <v>1.1504951804892615E-2</v>
      </c>
      <c r="BB18">
        <f t="shared" si="33"/>
        <v>-1</v>
      </c>
      <c r="BC18" t="s">
        <v>291</v>
      </c>
      <c r="BD18">
        <v>204.32</v>
      </c>
      <c r="BE18">
        <f t="shared" si="34"/>
        <v>173.75400000000002</v>
      </c>
      <c r="BF18">
        <f t="shared" si="35"/>
        <v>0.49666504633872027</v>
      </c>
      <c r="BG18">
        <f t="shared" si="36"/>
        <v>1.8504013312451058</v>
      </c>
      <c r="BH18">
        <f t="shared" si="37"/>
        <v>0.22825568132571403</v>
      </c>
      <c r="BI18" t="e">
        <f t="shared" si="38"/>
        <v>#DIV/0!</v>
      </c>
      <c r="BJ18">
        <v>5351</v>
      </c>
      <c r="BK18">
        <v>300</v>
      </c>
      <c r="BL18">
        <v>300</v>
      </c>
      <c r="BM18">
        <v>300</v>
      </c>
      <c r="BN18">
        <v>9876.2099999999991</v>
      </c>
      <c r="BO18">
        <v>350.346</v>
      </c>
      <c r="BP18">
        <v>-6.4060799999999998E-3</v>
      </c>
      <c r="BQ18">
        <v>0.57727099999999998</v>
      </c>
      <c r="BR18">
        <f t="shared" si="39"/>
        <v>2199.98</v>
      </c>
      <c r="BS18">
        <f t="shared" si="40"/>
        <v>1849.1686526356946</v>
      </c>
      <c r="BT18">
        <f t="shared" si="41"/>
        <v>0.840538847005743</v>
      </c>
      <c r="BU18">
        <f t="shared" si="42"/>
        <v>0.19107769401148605</v>
      </c>
      <c r="BV18">
        <v>0.5</v>
      </c>
      <c r="BW18" t="s">
        <v>281</v>
      </c>
      <c r="BX18">
        <v>1595615595.5</v>
      </c>
      <c r="BY18">
        <v>291.151903225806</v>
      </c>
      <c r="BZ18">
        <v>299.96722580645201</v>
      </c>
      <c r="CA18">
        <v>18.6367516129032</v>
      </c>
      <c r="CB18">
        <v>16.255558064516102</v>
      </c>
      <c r="CC18">
        <v>500.05987096774197</v>
      </c>
      <c r="CD18">
        <v>99.692964516129095</v>
      </c>
      <c r="CE18">
        <v>0.19997154838709699</v>
      </c>
      <c r="CF18">
        <v>26.077845161290298</v>
      </c>
      <c r="CG18">
        <v>26.8773290322581</v>
      </c>
      <c r="CH18">
        <v>999.9</v>
      </c>
      <c r="CI18">
        <v>10005.1225806452</v>
      </c>
      <c r="CJ18">
        <v>0</v>
      </c>
      <c r="CK18">
        <v>309.93283870967701</v>
      </c>
      <c r="CL18">
        <v>2199.98</v>
      </c>
      <c r="CM18">
        <v>0.98199800000000004</v>
      </c>
      <c r="CN18">
        <v>1.8002500000000001E-2</v>
      </c>
      <c r="CO18">
        <v>0</v>
      </c>
      <c r="CP18">
        <v>291.82664516129</v>
      </c>
      <c r="CQ18">
        <v>5.00054</v>
      </c>
      <c r="CR18">
        <v>8825.5980645161308</v>
      </c>
      <c r="CS18">
        <v>20590.3322580645</v>
      </c>
      <c r="CT18">
        <v>48.249741935483897</v>
      </c>
      <c r="CU18">
        <v>49.888935483871002</v>
      </c>
      <c r="CV18">
        <v>48.511935483871</v>
      </c>
      <c r="CW18">
        <v>48.858548387096803</v>
      </c>
      <c r="CX18">
        <v>49.531999999999996</v>
      </c>
      <c r="CY18">
        <v>2155.4683870967701</v>
      </c>
      <c r="CZ18">
        <v>39.515161290322602</v>
      </c>
      <c r="DA18">
        <v>0</v>
      </c>
      <c r="DB18">
        <v>126.90000009536701</v>
      </c>
      <c r="DC18">
        <v>291.776461538462</v>
      </c>
      <c r="DD18">
        <v>-6.8196239166614001</v>
      </c>
      <c r="DE18">
        <v>-126.15794858102799</v>
      </c>
      <c r="DF18">
        <v>8824.4046153846193</v>
      </c>
      <c r="DG18">
        <v>15</v>
      </c>
      <c r="DH18">
        <v>1595615629.5</v>
      </c>
      <c r="DI18" t="s">
        <v>292</v>
      </c>
      <c r="DJ18">
        <v>72</v>
      </c>
      <c r="DK18">
        <v>-0.45100000000000001</v>
      </c>
      <c r="DL18">
        <v>0.106</v>
      </c>
      <c r="DM18">
        <v>300</v>
      </c>
      <c r="DN18">
        <v>16</v>
      </c>
      <c r="DO18">
        <v>0.21</v>
      </c>
      <c r="DP18">
        <v>0.04</v>
      </c>
      <c r="DQ18">
        <v>291.21762745097999</v>
      </c>
      <c r="DR18">
        <v>-0.28277647058827898</v>
      </c>
      <c r="DS18">
        <v>3.6088649448170099E-2</v>
      </c>
      <c r="DT18">
        <v>1</v>
      </c>
      <c r="DU18">
        <v>18.660958823529398</v>
      </c>
      <c r="DV18">
        <v>-0.18243149321267099</v>
      </c>
      <c r="DW18">
        <v>2.75838626912343E-2</v>
      </c>
      <c r="DX18">
        <v>1</v>
      </c>
      <c r="DY18">
        <v>2</v>
      </c>
      <c r="DZ18">
        <v>2</v>
      </c>
      <c r="EA18" t="s">
        <v>293</v>
      </c>
      <c r="EB18">
        <v>1.86676</v>
      </c>
      <c r="EC18">
        <v>1.86328</v>
      </c>
      <c r="ED18">
        <v>1.86894</v>
      </c>
      <c r="EE18">
        <v>1.8668899999999999</v>
      </c>
      <c r="EF18">
        <v>1.8715599999999999</v>
      </c>
      <c r="EG18">
        <v>1.8640099999999999</v>
      </c>
      <c r="EH18">
        <v>1.86554</v>
      </c>
      <c r="EI18">
        <v>1.8654599999999999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-0.45100000000000001</v>
      </c>
      <c r="EX18">
        <v>0.106</v>
      </c>
      <c r="EY18">
        <v>2</v>
      </c>
      <c r="EZ18">
        <v>333.36200000000002</v>
      </c>
      <c r="FA18">
        <v>471.73200000000003</v>
      </c>
      <c r="FB18">
        <v>21.626200000000001</v>
      </c>
      <c r="FC18">
        <v>34.726300000000002</v>
      </c>
      <c r="FD18">
        <v>29.999500000000001</v>
      </c>
      <c r="FE18">
        <v>34.781700000000001</v>
      </c>
      <c r="FF18">
        <v>34.791499999999999</v>
      </c>
      <c r="FG18">
        <v>17.5931</v>
      </c>
      <c r="FH18">
        <v>50.518799999999999</v>
      </c>
      <c r="FI18">
        <v>0</v>
      </c>
      <c r="FJ18">
        <v>21.638000000000002</v>
      </c>
      <c r="FK18">
        <v>300</v>
      </c>
      <c r="FL18">
        <v>16.302199999999999</v>
      </c>
      <c r="FM18">
        <v>100.639</v>
      </c>
      <c r="FN18">
        <v>101.039</v>
      </c>
    </row>
    <row r="19" spans="1:170" x14ac:dyDescent="0.25">
      <c r="A19">
        <v>3</v>
      </c>
      <c r="B19">
        <v>1595615721</v>
      </c>
      <c r="C19">
        <v>245</v>
      </c>
      <c r="D19" t="s">
        <v>294</v>
      </c>
      <c r="E19" t="s">
        <v>295</v>
      </c>
      <c r="G19">
        <v>1595615713.0451601</v>
      </c>
      <c r="H19">
        <f t="shared" si="0"/>
        <v>5.3424569092700774E-3</v>
      </c>
      <c r="I19">
        <f t="shared" si="1"/>
        <v>12.503486739478969</v>
      </c>
      <c r="J19">
        <f t="shared" si="2"/>
        <v>194.579096774193</v>
      </c>
      <c r="K19">
        <f t="shared" si="3"/>
        <v>125.42795346266098</v>
      </c>
      <c r="L19">
        <f t="shared" si="4"/>
        <v>12.529271433237531</v>
      </c>
      <c r="M19">
        <f t="shared" si="5"/>
        <v>19.436929738663189</v>
      </c>
      <c r="N19">
        <f t="shared" si="6"/>
        <v>0.32303242331461285</v>
      </c>
      <c r="O19">
        <f t="shared" si="7"/>
        <v>3.392298119429944</v>
      </c>
      <c r="P19">
        <f t="shared" si="8"/>
        <v>0.30686432269469349</v>
      </c>
      <c r="Q19">
        <f t="shared" si="9"/>
        <v>0.19317538420984831</v>
      </c>
      <c r="R19">
        <f t="shared" si="10"/>
        <v>353.33531645312621</v>
      </c>
      <c r="S19">
        <f t="shared" si="11"/>
        <v>26.914858192141477</v>
      </c>
      <c r="T19">
        <f t="shared" si="12"/>
        <v>27.0753387096774</v>
      </c>
      <c r="U19">
        <f t="shared" si="13"/>
        <v>3.595027481115284</v>
      </c>
      <c r="V19">
        <f t="shared" si="14"/>
        <v>55.39866222796109</v>
      </c>
      <c r="W19">
        <f t="shared" si="15"/>
        <v>1.9037879822167536</v>
      </c>
      <c r="X19">
        <f t="shared" si="16"/>
        <v>3.436523384595132</v>
      </c>
      <c r="Y19">
        <f t="shared" si="17"/>
        <v>1.6912394988985304</v>
      </c>
      <c r="Z19">
        <f t="shared" si="18"/>
        <v>-235.6023496988104</v>
      </c>
      <c r="AA19">
        <f t="shared" si="19"/>
        <v>-140.08622170615718</v>
      </c>
      <c r="AB19">
        <f t="shared" si="20"/>
        <v>-8.8846494909089611</v>
      </c>
      <c r="AC19">
        <f t="shared" si="21"/>
        <v>-31.237904442750306</v>
      </c>
      <c r="AD19">
        <v>-4.1328415156538102E-2</v>
      </c>
      <c r="AE19">
        <v>4.6394766581233302E-2</v>
      </c>
      <c r="AF19">
        <v>3.4648222468936298</v>
      </c>
      <c r="AG19">
        <v>149</v>
      </c>
      <c r="AH19">
        <v>30</v>
      </c>
      <c r="AI19">
        <f t="shared" si="22"/>
        <v>1</v>
      </c>
      <c r="AJ19">
        <f t="shared" si="23"/>
        <v>0</v>
      </c>
      <c r="AK19">
        <f t="shared" si="24"/>
        <v>52822.469047009145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296</v>
      </c>
      <c r="AS19">
        <v>283.99326923076899</v>
      </c>
      <c r="AT19">
        <v>352.988</v>
      </c>
      <c r="AU19">
        <f t="shared" si="27"/>
        <v>0.19545913960030092</v>
      </c>
      <c r="AV19">
        <v>0.5</v>
      </c>
      <c r="AW19">
        <f t="shared" si="28"/>
        <v>1849.1722932574457</v>
      </c>
      <c r="AX19">
        <f t="shared" si="29"/>
        <v>12.503486739478969</v>
      </c>
      <c r="AY19">
        <f t="shared" si="30"/>
        <v>180.71881270640785</v>
      </c>
      <c r="AZ19">
        <f t="shared" si="31"/>
        <v>0.40961165818668055</v>
      </c>
      <c r="BA19">
        <f t="shared" si="32"/>
        <v>7.3024492032008753E-3</v>
      </c>
      <c r="BB19">
        <f t="shared" si="33"/>
        <v>-1</v>
      </c>
      <c r="BC19" t="s">
        <v>297</v>
      </c>
      <c r="BD19">
        <v>208.4</v>
      </c>
      <c r="BE19">
        <f t="shared" si="34"/>
        <v>144.58799999999999</v>
      </c>
      <c r="BF19">
        <f t="shared" si="35"/>
        <v>0.47718158332109867</v>
      </c>
      <c r="BG19">
        <f t="shared" si="36"/>
        <v>1.6938003838771594</v>
      </c>
      <c r="BH19">
        <f t="shared" si="37"/>
        <v>0.1954591396003009</v>
      </c>
      <c r="BI19" t="e">
        <f t="shared" si="38"/>
        <v>#DIV/0!</v>
      </c>
      <c r="BJ19">
        <v>5353</v>
      </c>
      <c r="BK19">
        <v>300</v>
      </c>
      <c r="BL19">
        <v>300</v>
      </c>
      <c r="BM19">
        <v>300</v>
      </c>
      <c r="BN19">
        <v>9874.92</v>
      </c>
      <c r="BO19">
        <v>333.50400000000002</v>
      </c>
      <c r="BP19">
        <v>-6.40501E-3</v>
      </c>
      <c r="BQ19">
        <v>1.2889699999999999</v>
      </c>
      <c r="BR19">
        <f t="shared" si="39"/>
        <v>2199.98451612903</v>
      </c>
      <c r="BS19">
        <f t="shared" si="40"/>
        <v>1849.1722932574457</v>
      </c>
      <c r="BT19">
        <f t="shared" si="41"/>
        <v>0.84053877638700214</v>
      </c>
      <c r="BU19">
        <f t="shared" si="42"/>
        <v>0.19107755277400434</v>
      </c>
      <c r="BV19">
        <v>0.5</v>
      </c>
      <c r="BW19" t="s">
        <v>281</v>
      </c>
      <c r="BX19">
        <v>1595615713.0451601</v>
      </c>
      <c r="BY19">
        <v>194.579096774193</v>
      </c>
      <c r="BZ19">
        <v>199.99567741935499</v>
      </c>
      <c r="CA19">
        <v>19.0584290322581</v>
      </c>
      <c r="CB19">
        <v>16.962416129032299</v>
      </c>
      <c r="CC19">
        <v>500.05780645161298</v>
      </c>
      <c r="CD19">
        <v>99.6922</v>
      </c>
      <c r="CE19">
        <v>0.199977838709677</v>
      </c>
      <c r="CF19">
        <v>26.309361290322599</v>
      </c>
      <c r="CG19">
        <v>27.0753387096774</v>
      </c>
      <c r="CH19">
        <v>999.9</v>
      </c>
      <c r="CI19">
        <v>9997.32</v>
      </c>
      <c r="CJ19">
        <v>0</v>
      </c>
      <c r="CK19">
        <v>319.52735483870998</v>
      </c>
      <c r="CL19">
        <v>2199.98451612903</v>
      </c>
      <c r="CM19">
        <v>0.98200019354838697</v>
      </c>
      <c r="CN19">
        <v>1.8000196774193601E-2</v>
      </c>
      <c r="CO19">
        <v>0</v>
      </c>
      <c r="CP19">
        <v>283.997322580645</v>
      </c>
      <c r="CQ19">
        <v>5.00054</v>
      </c>
      <c r="CR19">
        <v>8633.60419354839</v>
      </c>
      <c r="CS19">
        <v>20590.3870967742</v>
      </c>
      <c r="CT19">
        <v>48.503935483870997</v>
      </c>
      <c r="CU19">
        <v>50.564096774193501</v>
      </c>
      <c r="CV19">
        <v>48.893000000000001</v>
      </c>
      <c r="CW19">
        <v>49.435161290322597</v>
      </c>
      <c r="CX19">
        <v>49.795999999999999</v>
      </c>
      <c r="CY19">
        <v>2155.4745161290298</v>
      </c>
      <c r="CZ19">
        <v>39.51</v>
      </c>
      <c r="DA19">
        <v>0</v>
      </c>
      <c r="DB19">
        <v>116.60000014305101</v>
      </c>
      <c r="DC19">
        <v>283.99326923076899</v>
      </c>
      <c r="DD19">
        <v>-2.7142222385288699</v>
      </c>
      <c r="DE19">
        <v>-24.165812057792099</v>
      </c>
      <c r="DF19">
        <v>8633.5165384615393</v>
      </c>
      <c r="DG19">
        <v>15</v>
      </c>
      <c r="DH19">
        <v>1595615751.5999999</v>
      </c>
      <c r="DI19" t="s">
        <v>298</v>
      </c>
      <c r="DJ19">
        <v>73</v>
      </c>
      <c r="DK19">
        <v>-0.442</v>
      </c>
      <c r="DL19">
        <v>0.11899999999999999</v>
      </c>
      <c r="DM19">
        <v>200</v>
      </c>
      <c r="DN19">
        <v>17</v>
      </c>
      <c r="DO19">
        <v>0.34</v>
      </c>
      <c r="DP19">
        <v>0.05</v>
      </c>
      <c r="DQ19">
        <v>194.57441176470601</v>
      </c>
      <c r="DR19">
        <v>-4.2591704762086798E-2</v>
      </c>
      <c r="DS19">
        <v>8.7428995741851406E-3</v>
      </c>
      <c r="DT19">
        <v>1</v>
      </c>
      <c r="DU19">
        <v>19.032847058823499</v>
      </c>
      <c r="DV19">
        <v>0.14393126456317601</v>
      </c>
      <c r="DW19">
        <v>1.7962863138536501E-2</v>
      </c>
      <c r="DX19">
        <v>1</v>
      </c>
      <c r="DY19">
        <v>2</v>
      </c>
      <c r="DZ19">
        <v>2</v>
      </c>
      <c r="EA19" t="s">
        <v>293</v>
      </c>
      <c r="EB19">
        <v>1.8666100000000001</v>
      </c>
      <c r="EC19">
        <v>1.86317</v>
      </c>
      <c r="ED19">
        <v>1.8688499999999999</v>
      </c>
      <c r="EE19">
        <v>1.86676</v>
      </c>
      <c r="EF19">
        <v>1.8714599999999999</v>
      </c>
      <c r="EG19">
        <v>1.86389</v>
      </c>
      <c r="EH19">
        <v>1.8654200000000001</v>
      </c>
      <c r="EI19">
        <v>1.86537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-0.442</v>
      </c>
      <c r="EX19">
        <v>0.11899999999999999</v>
      </c>
      <c r="EY19">
        <v>2</v>
      </c>
      <c r="EZ19">
        <v>333.59100000000001</v>
      </c>
      <c r="FA19">
        <v>471.96499999999997</v>
      </c>
      <c r="FB19">
        <v>19.9346</v>
      </c>
      <c r="FC19">
        <v>34.753</v>
      </c>
      <c r="FD19">
        <v>30.000499999999999</v>
      </c>
      <c r="FE19">
        <v>34.801000000000002</v>
      </c>
      <c r="FF19">
        <v>34.813099999999999</v>
      </c>
      <c r="FG19">
        <v>12.931800000000001</v>
      </c>
      <c r="FH19">
        <v>48.514000000000003</v>
      </c>
      <c r="FI19">
        <v>0</v>
      </c>
      <c r="FJ19">
        <v>19.534300000000002</v>
      </c>
      <c r="FK19">
        <v>200</v>
      </c>
      <c r="FL19">
        <v>16.839200000000002</v>
      </c>
      <c r="FM19">
        <v>100.627</v>
      </c>
      <c r="FN19">
        <v>101.026</v>
      </c>
    </row>
    <row r="20" spans="1:170" x14ac:dyDescent="0.25">
      <c r="A20">
        <v>4</v>
      </c>
      <c r="B20">
        <v>1595615852.5</v>
      </c>
      <c r="C20">
        <v>376.5</v>
      </c>
      <c r="D20" t="s">
        <v>299</v>
      </c>
      <c r="E20" t="s">
        <v>300</v>
      </c>
      <c r="G20">
        <v>1595615844.53548</v>
      </c>
      <c r="H20">
        <f t="shared" si="0"/>
        <v>6.2382757695076656E-3</v>
      </c>
      <c r="I20">
        <f t="shared" si="1"/>
        <v>4.6510318112580897</v>
      </c>
      <c r="J20">
        <f t="shared" si="2"/>
        <v>97.891061290322497</v>
      </c>
      <c r="K20">
        <f t="shared" si="3"/>
        <v>75.167512029567533</v>
      </c>
      <c r="L20">
        <f t="shared" si="4"/>
        <v>7.5084727502573045</v>
      </c>
      <c r="M20">
        <f t="shared" si="5"/>
        <v>9.7783250548858547</v>
      </c>
      <c r="N20">
        <f t="shared" si="6"/>
        <v>0.38514726256498588</v>
      </c>
      <c r="O20">
        <f t="shared" si="7"/>
        <v>3.3931112958832612</v>
      </c>
      <c r="P20">
        <f t="shared" si="8"/>
        <v>0.36240372015914185</v>
      </c>
      <c r="Q20">
        <f t="shared" si="9"/>
        <v>0.22843374087456025</v>
      </c>
      <c r="R20">
        <f t="shared" si="10"/>
        <v>353.33693523915741</v>
      </c>
      <c r="S20">
        <f t="shared" si="11"/>
        <v>26.67465050878462</v>
      </c>
      <c r="T20">
        <f t="shared" si="12"/>
        <v>26.9230290322581</v>
      </c>
      <c r="U20">
        <f t="shared" si="13"/>
        <v>3.5630112918876939</v>
      </c>
      <c r="V20">
        <f t="shared" si="14"/>
        <v>55.131685318574284</v>
      </c>
      <c r="W20">
        <f t="shared" si="15"/>
        <v>1.8904833929781866</v>
      </c>
      <c r="X20">
        <f t="shared" si="16"/>
        <v>3.4290324738925917</v>
      </c>
      <c r="Y20">
        <f t="shared" si="17"/>
        <v>1.6725278989095074</v>
      </c>
      <c r="Z20">
        <f t="shared" si="18"/>
        <v>-275.10796143528808</v>
      </c>
      <c r="AA20">
        <f t="shared" si="19"/>
        <v>-119.01859892823138</v>
      </c>
      <c r="AB20">
        <f t="shared" si="20"/>
        <v>-7.5395242683075709</v>
      </c>
      <c r="AC20">
        <f t="shared" si="21"/>
        <v>-48.329149392669606</v>
      </c>
      <c r="AD20">
        <v>-4.1341008669835901E-2</v>
      </c>
      <c r="AE20">
        <v>4.6408903903162498E-2</v>
      </c>
      <c r="AF20">
        <v>3.4656575227562798</v>
      </c>
      <c r="AG20">
        <v>149</v>
      </c>
      <c r="AH20">
        <v>30</v>
      </c>
      <c r="AI20">
        <f t="shared" si="22"/>
        <v>1</v>
      </c>
      <c r="AJ20">
        <f t="shared" si="23"/>
        <v>0</v>
      </c>
      <c r="AK20">
        <f t="shared" si="24"/>
        <v>52844.382112442538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301</v>
      </c>
      <c r="AS20">
        <v>283.25242307692298</v>
      </c>
      <c r="AT20">
        <v>336.7</v>
      </c>
      <c r="AU20">
        <f t="shared" si="27"/>
        <v>0.15873946220100088</v>
      </c>
      <c r="AV20">
        <v>0.5</v>
      </c>
      <c r="AW20">
        <f t="shared" si="28"/>
        <v>1849.1833835801021</v>
      </c>
      <c r="AX20">
        <f t="shared" si="29"/>
        <v>4.6510318112580897</v>
      </c>
      <c r="AY20">
        <f t="shared" si="30"/>
        <v>146.76918791026628</v>
      </c>
      <c r="AZ20">
        <f t="shared" si="31"/>
        <v>0.36198396198396199</v>
      </c>
      <c r="BA20">
        <f t="shared" si="32"/>
        <v>3.0559607345797355E-3</v>
      </c>
      <c r="BB20">
        <f t="shared" si="33"/>
        <v>-1</v>
      </c>
      <c r="BC20" t="s">
        <v>302</v>
      </c>
      <c r="BD20">
        <v>214.82</v>
      </c>
      <c r="BE20">
        <f t="shared" si="34"/>
        <v>121.88</v>
      </c>
      <c r="BF20">
        <f t="shared" si="35"/>
        <v>0.43852623008760266</v>
      </c>
      <c r="BG20">
        <f t="shared" si="36"/>
        <v>1.5673587189274742</v>
      </c>
      <c r="BH20">
        <f t="shared" si="37"/>
        <v>0.15873946220100091</v>
      </c>
      <c r="BI20" t="e">
        <f t="shared" si="38"/>
        <v>#DIV/0!</v>
      </c>
      <c r="BJ20">
        <v>5355</v>
      </c>
      <c r="BK20">
        <v>300</v>
      </c>
      <c r="BL20">
        <v>300</v>
      </c>
      <c r="BM20">
        <v>300</v>
      </c>
      <c r="BN20">
        <v>9872.85</v>
      </c>
      <c r="BO20">
        <v>322.447</v>
      </c>
      <c r="BP20">
        <v>-6.4034699999999996E-3</v>
      </c>
      <c r="BQ20">
        <v>1.33185</v>
      </c>
      <c r="BR20">
        <f t="shared" si="39"/>
        <v>2199.9980645161299</v>
      </c>
      <c r="BS20">
        <f t="shared" si="40"/>
        <v>1849.1833835801021</v>
      </c>
      <c r="BT20">
        <f t="shared" si="41"/>
        <v>0.84053864110412913</v>
      </c>
      <c r="BU20">
        <f t="shared" si="42"/>
        <v>0.19107728220825845</v>
      </c>
      <c r="BV20">
        <v>0.5</v>
      </c>
      <c r="BW20" t="s">
        <v>281</v>
      </c>
      <c r="BX20">
        <v>1595615844.53548</v>
      </c>
      <c r="BY20">
        <v>97.891061290322497</v>
      </c>
      <c r="BZ20">
        <v>99.995503225806402</v>
      </c>
      <c r="CA20">
        <v>18.925677419354798</v>
      </c>
      <c r="CB20">
        <v>16.4778709677419</v>
      </c>
      <c r="CC20">
        <v>500.05687096774199</v>
      </c>
      <c r="CD20">
        <v>99.689870967741996</v>
      </c>
      <c r="CE20">
        <v>0.19999564516129001</v>
      </c>
      <c r="CF20">
        <v>26.2724032258064</v>
      </c>
      <c r="CG20">
        <v>26.9230290322581</v>
      </c>
      <c r="CH20">
        <v>999.9</v>
      </c>
      <c r="CI20">
        <v>10000.6</v>
      </c>
      <c r="CJ20">
        <v>0</v>
      </c>
      <c r="CK20">
        <v>325.77480645161302</v>
      </c>
      <c r="CL20">
        <v>2199.9980645161299</v>
      </c>
      <c r="CM20">
        <v>0.98200367741935501</v>
      </c>
      <c r="CN20">
        <v>1.79965387096774E-2</v>
      </c>
      <c r="CO20">
        <v>0</v>
      </c>
      <c r="CP20">
        <v>283.26587096774199</v>
      </c>
      <c r="CQ20">
        <v>5.00054</v>
      </c>
      <c r="CR20">
        <v>8619.8619354838702</v>
      </c>
      <c r="CS20">
        <v>20590.538709677399</v>
      </c>
      <c r="CT20">
        <v>49.033999999999999</v>
      </c>
      <c r="CU20">
        <v>51.292064516129003</v>
      </c>
      <c r="CV20">
        <v>49.471548387096803</v>
      </c>
      <c r="CW20">
        <v>50.201419354838698</v>
      </c>
      <c r="CX20">
        <v>50.269935483871002</v>
      </c>
      <c r="CY20">
        <v>2155.49774193548</v>
      </c>
      <c r="CZ20">
        <v>39.500322580645197</v>
      </c>
      <c r="DA20">
        <v>0</v>
      </c>
      <c r="DB20">
        <v>130.60000014305101</v>
      </c>
      <c r="DC20">
        <v>283.25242307692298</v>
      </c>
      <c r="DD20">
        <v>-1.8649914542663399</v>
      </c>
      <c r="DE20">
        <v>-10.7206837780745</v>
      </c>
      <c r="DF20">
        <v>8619.7999999999993</v>
      </c>
      <c r="DG20">
        <v>15</v>
      </c>
      <c r="DH20">
        <v>1595615878</v>
      </c>
      <c r="DI20" t="s">
        <v>303</v>
      </c>
      <c r="DJ20">
        <v>74</v>
      </c>
      <c r="DK20">
        <v>-0.40899999999999997</v>
      </c>
      <c r="DL20">
        <v>0.107</v>
      </c>
      <c r="DM20">
        <v>100</v>
      </c>
      <c r="DN20">
        <v>16</v>
      </c>
      <c r="DO20">
        <v>0.32</v>
      </c>
      <c r="DP20">
        <v>0.04</v>
      </c>
      <c r="DQ20">
        <v>97.858219607843097</v>
      </c>
      <c r="DR20">
        <v>-7.55957262138412E-3</v>
      </c>
      <c r="DS20">
        <v>8.5359452101414508E-3</v>
      </c>
      <c r="DT20">
        <v>1</v>
      </c>
      <c r="DU20">
        <v>18.918239215686299</v>
      </c>
      <c r="DV20">
        <v>0.187294170657404</v>
      </c>
      <c r="DW20">
        <v>3.4646704726488203E-2</v>
      </c>
      <c r="DX20">
        <v>1</v>
      </c>
      <c r="DY20">
        <v>2</v>
      </c>
      <c r="DZ20">
        <v>2</v>
      </c>
      <c r="EA20" t="s">
        <v>293</v>
      </c>
      <c r="EB20">
        <v>1.8667199999999999</v>
      </c>
      <c r="EC20">
        <v>1.8632500000000001</v>
      </c>
      <c r="ED20">
        <v>1.8689</v>
      </c>
      <c r="EE20">
        <v>1.8668</v>
      </c>
      <c r="EF20">
        <v>1.8714900000000001</v>
      </c>
      <c r="EG20">
        <v>1.86399</v>
      </c>
      <c r="EH20">
        <v>1.8655200000000001</v>
      </c>
      <c r="EI20">
        <v>1.8653900000000001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-0.40899999999999997</v>
      </c>
      <c r="EX20">
        <v>0.107</v>
      </c>
      <c r="EY20">
        <v>2</v>
      </c>
      <c r="EZ20">
        <v>333.46800000000002</v>
      </c>
      <c r="FA20">
        <v>470.21699999999998</v>
      </c>
      <c r="FB20">
        <v>20.699300000000001</v>
      </c>
      <c r="FC20">
        <v>34.990299999999998</v>
      </c>
      <c r="FD20">
        <v>30.000399999999999</v>
      </c>
      <c r="FE20">
        <v>34.951900000000002</v>
      </c>
      <c r="FF20">
        <v>34.954000000000001</v>
      </c>
      <c r="FG20">
        <v>8.0678699999999992</v>
      </c>
      <c r="FH20">
        <v>50.183599999999998</v>
      </c>
      <c r="FI20">
        <v>0</v>
      </c>
      <c r="FJ20">
        <v>20.740200000000002</v>
      </c>
      <c r="FK20">
        <v>100</v>
      </c>
      <c r="FL20">
        <v>16.4026</v>
      </c>
      <c r="FM20">
        <v>100.586</v>
      </c>
      <c r="FN20">
        <v>100.976</v>
      </c>
    </row>
    <row r="21" spans="1:170" x14ac:dyDescent="0.25">
      <c r="A21">
        <v>5</v>
      </c>
      <c r="B21">
        <v>1595615984.5999999</v>
      </c>
      <c r="C21">
        <v>508.59999990463302</v>
      </c>
      <c r="D21" t="s">
        <v>304</v>
      </c>
      <c r="E21" t="s">
        <v>305</v>
      </c>
      <c r="G21">
        <v>1595615976.5741899</v>
      </c>
      <c r="H21">
        <f t="shared" si="0"/>
        <v>7.0050388166498813E-3</v>
      </c>
      <c r="I21">
        <f t="shared" si="1"/>
        <v>0.45697210361744545</v>
      </c>
      <c r="J21">
        <f t="shared" si="2"/>
        <v>49.673806451612897</v>
      </c>
      <c r="K21">
        <f t="shared" si="3"/>
        <v>46.637985124511857</v>
      </c>
      <c r="L21">
        <f t="shared" si="4"/>
        <v>4.658714997648282</v>
      </c>
      <c r="M21">
        <f t="shared" si="5"/>
        <v>4.9619662274985377</v>
      </c>
      <c r="N21">
        <f t="shared" si="6"/>
        <v>0.44458820900616852</v>
      </c>
      <c r="O21">
        <f t="shared" si="7"/>
        <v>3.3946651143878488</v>
      </c>
      <c r="P21">
        <f t="shared" si="8"/>
        <v>0.41458893506597433</v>
      </c>
      <c r="Q21">
        <f t="shared" si="9"/>
        <v>0.26164452294096896</v>
      </c>
      <c r="R21">
        <f t="shared" si="10"/>
        <v>353.33682141593692</v>
      </c>
      <c r="S21">
        <f t="shared" si="11"/>
        <v>27.002580813784736</v>
      </c>
      <c r="T21">
        <f t="shared" si="12"/>
        <v>27.006487096774201</v>
      </c>
      <c r="U21">
        <f t="shared" si="13"/>
        <v>3.5805235910463096</v>
      </c>
      <c r="V21">
        <f t="shared" si="14"/>
        <v>54.908319069124559</v>
      </c>
      <c r="W21">
        <f t="shared" si="15"/>
        <v>1.9393634752177968</v>
      </c>
      <c r="X21">
        <f t="shared" si="16"/>
        <v>3.5320029971711855</v>
      </c>
      <c r="Y21">
        <f t="shared" si="17"/>
        <v>1.6411601158285127</v>
      </c>
      <c r="Z21">
        <f t="shared" si="18"/>
        <v>-308.92221181425975</v>
      </c>
      <c r="AA21">
        <f t="shared" si="19"/>
        <v>-42.480312214223424</v>
      </c>
      <c r="AB21">
        <f t="shared" si="20"/>
        <v>-2.6976763965518327</v>
      </c>
      <c r="AC21">
        <f t="shared" si="21"/>
        <v>-0.76337900909810941</v>
      </c>
      <c r="AD21">
        <v>-4.1365076157925902E-2</v>
      </c>
      <c r="AE21">
        <v>4.6435921766971297E-2</v>
      </c>
      <c r="AF21">
        <v>3.4672535754856102</v>
      </c>
      <c r="AG21">
        <v>150</v>
      </c>
      <c r="AH21">
        <v>30</v>
      </c>
      <c r="AI21">
        <f t="shared" si="22"/>
        <v>1</v>
      </c>
      <c r="AJ21">
        <f t="shared" si="23"/>
        <v>0</v>
      </c>
      <c r="AK21">
        <f t="shared" si="24"/>
        <v>52785.374828875443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306</v>
      </c>
      <c r="AS21">
        <v>282.914346153846</v>
      </c>
      <c r="AT21">
        <v>331.34300000000002</v>
      </c>
      <c r="AU21">
        <f t="shared" si="27"/>
        <v>0.14615867498680823</v>
      </c>
      <c r="AV21">
        <v>0.5</v>
      </c>
      <c r="AW21">
        <f t="shared" si="28"/>
        <v>1849.1779664849942</v>
      </c>
      <c r="AX21">
        <f t="shared" si="29"/>
        <v>0.45697210361744545</v>
      </c>
      <c r="AY21">
        <f t="shared" si="30"/>
        <v>135.1367006981236</v>
      </c>
      <c r="AZ21">
        <f t="shared" si="31"/>
        <v>0.35601476415678018</v>
      </c>
      <c r="BA21">
        <f t="shared" si="32"/>
        <v>7.8790258700028079E-4</v>
      </c>
      <c r="BB21">
        <f t="shared" si="33"/>
        <v>-1</v>
      </c>
      <c r="BC21" t="s">
        <v>307</v>
      </c>
      <c r="BD21">
        <v>213.38</v>
      </c>
      <c r="BE21">
        <f t="shared" si="34"/>
        <v>117.96300000000002</v>
      </c>
      <c r="BF21">
        <f t="shared" si="35"/>
        <v>0.41054104970333077</v>
      </c>
      <c r="BG21">
        <f t="shared" si="36"/>
        <v>1.5528306307995128</v>
      </c>
      <c r="BH21">
        <f t="shared" si="37"/>
        <v>0.14615867498680829</v>
      </c>
      <c r="BI21" t="e">
        <f t="shared" si="38"/>
        <v>#DIV/0!</v>
      </c>
      <c r="BJ21">
        <v>5357</v>
      </c>
      <c r="BK21">
        <v>300</v>
      </c>
      <c r="BL21">
        <v>300</v>
      </c>
      <c r="BM21">
        <v>300</v>
      </c>
      <c r="BN21">
        <v>9870.86</v>
      </c>
      <c r="BO21">
        <v>315.90800000000002</v>
      </c>
      <c r="BP21">
        <v>-6.4017700000000002E-3</v>
      </c>
      <c r="BQ21">
        <v>0.47164899999999998</v>
      </c>
      <c r="BR21">
        <f t="shared" si="39"/>
        <v>2199.99096774194</v>
      </c>
      <c r="BS21">
        <f t="shared" si="40"/>
        <v>1849.1779664849942</v>
      </c>
      <c r="BT21">
        <f t="shared" si="41"/>
        <v>0.84053889020416361</v>
      </c>
      <c r="BU21">
        <f t="shared" si="42"/>
        <v>0.19107778040832729</v>
      </c>
      <c r="BV21">
        <v>0.5</v>
      </c>
      <c r="BW21" t="s">
        <v>281</v>
      </c>
      <c r="BX21">
        <v>1595615976.5741899</v>
      </c>
      <c r="BY21">
        <v>49.673806451612897</v>
      </c>
      <c r="BZ21">
        <v>49.995745161290301</v>
      </c>
      <c r="CA21">
        <v>19.414796774193601</v>
      </c>
      <c r="CB21">
        <v>16.667496774193499</v>
      </c>
      <c r="CC21">
        <v>500.05732258064501</v>
      </c>
      <c r="CD21">
        <v>99.691032258064496</v>
      </c>
      <c r="CE21">
        <v>0.19996829032258101</v>
      </c>
      <c r="CF21">
        <v>26.774370967741898</v>
      </c>
      <c r="CG21">
        <v>27.006487096774201</v>
      </c>
      <c r="CH21">
        <v>999.9</v>
      </c>
      <c r="CI21">
        <v>10006.305483871</v>
      </c>
      <c r="CJ21">
        <v>0</v>
      </c>
      <c r="CK21">
        <v>328.01016129032303</v>
      </c>
      <c r="CL21">
        <v>2199.99096774194</v>
      </c>
      <c r="CM21">
        <v>0.98199448387096799</v>
      </c>
      <c r="CN21">
        <v>1.8005254838709701E-2</v>
      </c>
      <c r="CO21">
        <v>0</v>
      </c>
      <c r="CP21">
        <v>282.93332258064498</v>
      </c>
      <c r="CQ21">
        <v>5.00054</v>
      </c>
      <c r="CR21">
        <v>8654.6299999999992</v>
      </c>
      <c r="CS21">
        <v>20590.412903225799</v>
      </c>
      <c r="CT21">
        <v>49.483741935483899</v>
      </c>
      <c r="CU21">
        <v>51.858612903225797</v>
      </c>
      <c r="CV21">
        <v>49.957322580645098</v>
      </c>
      <c r="CW21">
        <v>50.731645161290302</v>
      </c>
      <c r="CX21">
        <v>50.745741935483899</v>
      </c>
      <c r="CY21">
        <v>2155.4683870967701</v>
      </c>
      <c r="CZ21">
        <v>39.518387096774198</v>
      </c>
      <c r="DA21">
        <v>0</v>
      </c>
      <c r="DB21">
        <v>131.60000014305101</v>
      </c>
      <c r="DC21">
        <v>282.914346153846</v>
      </c>
      <c r="DD21">
        <v>-0.89186324570225195</v>
      </c>
      <c r="DE21">
        <v>25.751795151049699</v>
      </c>
      <c r="DF21">
        <v>8654.40769230769</v>
      </c>
      <c r="DG21">
        <v>15</v>
      </c>
      <c r="DH21">
        <v>1595616011.0999999</v>
      </c>
      <c r="DI21" t="s">
        <v>308</v>
      </c>
      <c r="DJ21">
        <v>75</v>
      </c>
      <c r="DK21">
        <v>-0.41</v>
      </c>
      <c r="DL21">
        <v>0.11</v>
      </c>
      <c r="DM21">
        <v>50</v>
      </c>
      <c r="DN21">
        <v>17</v>
      </c>
      <c r="DO21">
        <v>0.32</v>
      </c>
      <c r="DP21">
        <v>0.03</v>
      </c>
      <c r="DQ21">
        <v>49.672923529411797</v>
      </c>
      <c r="DR21">
        <v>1.36292296523776E-2</v>
      </c>
      <c r="DS21">
        <v>8.2954886921319491E-3</v>
      </c>
      <c r="DT21">
        <v>1</v>
      </c>
      <c r="DU21">
        <v>19.393970588235302</v>
      </c>
      <c r="DV21">
        <v>0.196561061621468</v>
      </c>
      <c r="DW21">
        <v>2.42395341807768E-2</v>
      </c>
      <c r="DX21">
        <v>1</v>
      </c>
      <c r="DY21">
        <v>2</v>
      </c>
      <c r="DZ21">
        <v>2</v>
      </c>
      <c r="EA21" t="s">
        <v>293</v>
      </c>
      <c r="EB21">
        <v>1.8667</v>
      </c>
      <c r="EC21">
        <v>1.8632500000000001</v>
      </c>
      <c r="ED21">
        <v>1.8689</v>
      </c>
      <c r="EE21">
        <v>1.86677</v>
      </c>
      <c r="EF21">
        <v>1.8714900000000001</v>
      </c>
      <c r="EG21">
        <v>1.86398</v>
      </c>
      <c r="EH21">
        <v>1.86548</v>
      </c>
      <c r="EI21">
        <v>1.8653900000000001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-0.41</v>
      </c>
      <c r="EX21">
        <v>0.11</v>
      </c>
      <c r="EY21">
        <v>2</v>
      </c>
      <c r="EZ21">
        <v>331.60399999999998</v>
      </c>
      <c r="FA21">
        <v>469.24400000000003</v>
      </c>
      <c r="FB21">
        <v>21.2607</v>
      </c>
      <c r="FC21">
        <v>35.182600000000001</v>
      </c>
      <c r="FD21">
        <v>30.000499999999999</v>
      </c>
      <c r="FE21">
        <v>35.124899999999997</v>
      </c>
      <c r="FF21">
        <v>35.120800000000003</v>
      </c>
      <c r="FG21">
        <v>5.6207099999999999</v>
      </c>
      <c r="FH21">
        <v>49.624099999999999</v>
      </c>
      <c r="FI21">
        <v>0</v>
      </c>
      <c r="FJ21">
        <v>21.261299999999999</v>
      </c>
      <c r="FK21">
        <v>50</v>
      </c>
      <c r="FL21">
        <v>16.667200000000001</v>
      </c>
      <c r="FM21">
        <v>100.548</v>
      </c>
      <c r="FN21">
        <v>100.934</v>
      </c>
    </row>
    <row r="22" spans="1:170" x14ac:dyDescent="0.25">
      <c r="A22">
        <v>6</v>
      </c>
      <c r="B22">
        <v>1595616124.0999999</v>
      </c>
      <c r="C22">
        <v>648.09999990463302</v>
      </c>
      <c r="D22" t="s">
        <v>309</v>
      </c>
      <c r="E22" t="s">
        <v>310</v>
      </c>
      <c r="G22">
        <v>1595616116.0999999</v>
      </c>
      <c r="H22">
        <f t="shared" si="0"/>
        <v>8.0081168566931722E-3</v>
      </c>
      <c r="I22">
        <f t="shared" si="1"/>
        <v>30.832270614741333</v>
      </c>
      <c r="J22">
        <f t="shared" si="2"/>
        <v>386.45448387096798</v>
      </c>
      <c r="K22">
        <f t="shared" si="3"/>
        <v>277.5414102144282</v>
      </c>
      <c r="L22">
        <f t="shared" si="4"/>
        <v>27.723311175466311</v>
      </c>
      <c r="M22">
        <f t="shared" si="5"/>
        <v>38.602520262585692</v>
      </c>
      <c r="N22">
        <f t="shared" si="6"/>
        <v>0.52820686485293877</v>
      </c>
      <c r="O22">
        <f t="shared" si="7"/>
        <v>3.3955179316366166</v>
      </c>
      <c r="P22">
        <f t="shared" si="8"/>
        <v>0.48643952667075585</v>
      </c>
      <c r="Q22">
        <f t="shared" si="9"/>
        <v>0.30750164187318862</v>
      </c>
      <c r="R22">
        <f t="shared" si="10"/>
        <v>353.33381875225598</v>
      </c>
      <c r="S22">
        <f t="shared" si="11"/>
        <v>27.147506437800494</v>
      </c>
      <c r="T22">
        <f t="shared" si="12"/>
        <v>26.998764516129</v>
      </c>
      <c r="U22">
        <f t="shared" si="13"/>
        <v>3.5788999863444979</v>
      </c>
      <c r="V22">
        <f t="shared" si="14"/>
        <v>54.852204686133923</v>
      </c>
      <c r="W22">
        <f t="shared" si="15"/>
        <v>1.9802159555211927</v>
      </c>
      <c r="X22">
        <f t="shared" si="16"/>
        <v>3.6100936450085319</v>
      </c>
      <c r="Y22">
        <f t="shared" si="17"/>
        <v>1.5986840308233052</v>
      </c>
      <c r="Z22">
        <f t="shared" si="18"/>
        <v>-353.15795338016892</v>
      </c>
      <c r="AA22">
        <f t="shared" si="19"/>
        <v>27.063230412705007</v>
      </c>
      <c r="AB22">
        <f t="shared" si="20"/>
        <v>1.7213303608203878</v>
      </c>
      <c r="AC22">
        <f t="shared" si="21"/>
        <v>28.960426145612455</v>
      </c>
      <c r="AD22">
        <v>-4.1378287775119302E-2</v>
      </c>
      <c r="AE22">
        <v>4.6450752964672097E-2</v>
      </c>
      <c r="AF22">
        <v>3.4681295768077498</v>
      </c>
      <c r="AG22">
        <v>151</v>
      </c>
      <c r="AH22">
        <v>30</v>
      </c>
      <c r="AI22">
        <f t="shared" si="22"/>
        <v>1</v>
      </c>
      <c r="AJ22">
        <f t="shared" si="23"/>
        <v>0</v>
      </c>
      <c r="AK22">
        <f t="shared" si="24"/>
        <v>52736.013207775497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276.41384615384601</v>
      </c>
      <c r="AT22">
        <v>363.51499999999999</v>
      </c>
      <c r="AU22">
        <f t="shared" si="27"/>
        <v>0.23960814229441418</v>
      </c>
      <c r="AV22">
        <v>0.5</v>
      </c>
      <c r="AW22">
        <f t="shared" si="28"/>
        <v>1849.1617545476986</v>
      </c>
      <c r="AX22">
        <f t="shared" si="29"/>
        <v>30.832270614741333</v>
      </c>
      <c r="AY22">
        <f t="shared" si="30"/>
        <v>221.53710640452678</v>
      </c>
      <c r="AZ22">
        <f t="shared" si="31"/>
        <v>0.48717384427052529</v>
      </c>
      <c r="BA22">
        <f t="shared" si="32"/>
        <v>1.7214432721450831E-2</v>
      </c>
      <c r="BB22">
        <f t="shared" si="33"/>
        <v>-1</v>
      </c>
      <c r="BC22" t="s">
        <v>312</v>
      </c>
      <c r="BD22">
        <v>186.42</v>
      </c>
      <c r="BE22">
        <f t="shared" si="34"/>
        <v>177.095</v>
      </c>
      <c r="BF22">
        <f t="shared" si="35"/>
        <v>0.49183293625542213</v>
      </c>
      <c r="BG22">
        <f t="shared" si="36"/>
        <v>1.9499785430747774</v>
      </c>
      <c r="BH22">
        <f t="shared" si="37"/>
        <v>0.23960814229441421</v>
      </c>
      <c r="BI22" t="e">
        <f t="shared" si="38"/>
        <v>#DIV/0!</v>
      </c>
      <c r="BJ22">
        <v>5359</v>
      </c>
      <c r="BK22">
        <v>300</v>
      </c>
      <c r="BL22">
        <v>300</v>
      </c>
      <c r="BM22">
        <v>300</v>
      </c>
      <c r="BN22">
        <v>9869.0400000000009</v>
      </c>
      <c r="BO22">
        <v>337.53899999999999</v>
      </c>
      <c r="BP22">
        <v>-6.40049E-3</v>
      </c>
      <c r="BQ22">
        <v>0.65164200000000005</v>
      </c>
      <c r="BR22">
        <f t="shared" si="39"/>
        <v>2199.9716129032299</v>
      </c>
      <c r="BS22">
        <f t="shared" si="40"/>
        <v>1849.1617545476986</v>
      </c>
      <c r="BT22">
        <f t="shared" si="41"/>
        <v>0.8405389159123835</v>
      </c>
      <c r="BU22">
        <f t="shared" si="42"/>
        <v>0.19107783182476687</v>
      </c>
      <c r="BV22">
        <v>0.5</v>
      </c>
      <c r="BW22" t="s">
        <v>281</v>
      </c>
      <c r="BX22">
        <v>1595616116.0999999</v>
      </c>
      <c r="BY22">
        <v>386.45448387096798</v>
      </c>
      <c r="BZ22">
        <v>400.02393548387101</v>
      </c>
      <c r="CA22">
        <v>19.824180645161299</v>
      </c>
      <c r="CB22">
        <v>16.684751612903199</v>
      </c>
      <c r="CC22">
        <v>500.050322580645</v>
      </c>
      <c r="CD22">
        <v>99.688935483870907</v>
      </c>
      <c r="CE22">
        <v>0.199982548387097</v>
      </c>
      <c r="CF22">
        <v>27.146603225806501</v>
      </c>
      <c r="CG22">
        <v>26.998764516129</v>
      </c>
      <c r="CH22">
        <v>999.9</v>
      </c>
      <c r="CI22">
        <v>10009.7119354839</v>
      </c>
      <c r="CJ22">
        <v>0</v>
      </c>
      <c r="CK22">
        <v>336.39787096774199</v>
      </c>
      <c r="CL22">
        <v>2199.9716129032299</v>
      </c>
      <c r="CM22">
        <v>0.98199674193548403</v>
      </c>
      <c r="CN22">
        <v>1.8003322580645201E-2</v>
      </c>
      <c r="CO22">
        <v>0</v>
      </c>
      <c r="CP22">
        <v>276.37770967741898</v>
      </c>
      <c r="CQ22">
        <v>5.00054</v>
      </c>
      <c r="CR22">
        <v>8544.2738709677396</v>
      </c>
      <c r="CS22">
        <v>20590.251612903201</v>
      </c>
      <c r="CT22">
        <v>49.945193548387103</v>
      </c>
      <c r="CU22">
        <v>52.322161290322597</v>
      </c>
      <c r="CV22">
        <v>50.429000000000002</v>
      </c>
      <c r="CW22">
        <v>51.1591290322581</v>
      </c>
      <c r="CX22">
        <v>51.199290322580602</v>
      </c>
      <c r="CY22">
        <v>2155.4516129032299</v>
      </c>
      <c r="CZ22">
        <v>39.520000000000003</v>
      </c>
      <c r="DA22">
        <v>0</v>
      </c>
      <c r="DB22">
        <v>138.700000047684</v>
      </c>
      <c r="DC22">
        <v>276.41384615384601</v>
      </c>
      <c r="DD22">
        <v>2.0102559624244499E-2</v>
      </c>
      <c r="DE22">
        <v>-6.2594870816176797</v>
      </c>
      <c r="DF22">
        <v>8544.29653846154</v>
      </c>
      <c r="DG22">
        <v>15</v>
      </c>
      <c r="DH22">
        <v>1595616152.5999999</v>
      </c>
      <c r="DI22" t="s">
        <v>313</v>
      </c>
      <c r="DJ22">
        <v>76</v>
      </c>
      <c r="DK22">
        <v>-0.38</v>
      </c>
      <c r="DL22">
        <v>0.108</v>
      </c>
      <c r="DM22">
        <v>400</v>
      </c>
      <c r="DN22">
        <v>17</v>
      </c>
      <c r="DO22">
        <v>0.14000000000000001</v>
      </c>
      <c r="DP22">
        <v>0.03</v>
      </c>
      <c r="DQ22">
        <v>386.41029411764703</v>
      </c>
      <c r="DR22">
        <v>0.112137556561206</v>
      </c>
      <c r="DS22">
        <v>2.15327330557189E-2</v>
      </c>
      <c r="DT22">
        <v>1</v>
      </c>
      <c r="DU22">
        <v>19.807823529411799</v>
      </c>
      <c r="DV22">
        <v>0.195986606334835</v>
      </c>
      <c r="DW22">
        <v>2.4392087983005802E-2</v>
      </c>
      <c r="DX22">
        <v>1</v>
      </c>
      <c r="DY22">
        <v>2</v>
      </c>
      <c r="DZ22">
        <v>2</v>
      </c>
      <c r="EA22" t="s">
        <v>293</v>
      </c>
      <c r="EB22">
        <v>1.86676</v>
      </c>
      <c r="EC22">
        <v>1.8632500000000001</v>
      </c>
      <c r="ED22">
        <v>1.8689</v>
      </c>
      <c r="EE22">
        <v>1.8668199999999999</v>
      </c>
      <c r="EF22">
        <v>1.8714999999999999</v>
      </c>
      <c r="EG22">
        <v>1.8640099999999999</v>
      </c>
      <c r="EH22">
        <v>1.86551</v>
      </c>
      <c r="EI22">
        <v>1.86541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-0.38</v>
      </c>
      <c r="EX22">
        <v>0.108</v>
      </c>
      <c r="EY22">
        <v>2</v>
      </c>
      <c r="EZ22">
        <v>331.13600000000002</v>
      </c>
      <c r="FA22">
        <v>470.20699999999999</v>
      </c>
      <c r="FB22">
        <v>21.9726</v>
      </c>
      <c r="FC22">
        <v>35.315199999999997</v>
      </c>
      <c r="FD22">
        <v>30.0002</v>
      </c>
      <c r="FE22">
        <v>35.279800000000002</v>
      </c>
      <c r="FF22">
        <v>35.277099999999997</v>
      </c>
      <c r="FG22">
        <v>22.0989</v>
      </c>
      <c r="FH22">
        <v>49.750100000000003</v>
      </c>
      <c r="FI22">
        <v>0</v>
      </c>
      <c r="FJ22">
        <v>21.973600000000001</v>
      </c>
      <c r="FK22">
        <v>400</v>
      </c>
      <c r="FL22">
        <v>16.741</v>
      </c>
      <c r="FM22">
        <v>100.52</v>
      </c>
      <c r="FN22">
        <v>100.905</v>
      </c>
    </row>
    <row r="23" spans="1:170" x14ac:dyDescent="0.25">
      <c r="A23">
        <v>7</v>
      </c>
      <c r="B23">
        <v>1595616244.0999999</v>
      </c>
      <c r="C23">
        <v>768.09999990463302</v>
      </c>
      <c r="D23" t="s">
        <v>314</v>
      </c>
      <c r="E23" t="s">
        <v>315</v>
      </c>
      <c r="G23">
        <v>1595616236.0999999</v>
      </c>
      <c r="H23">
        <f t="shared" si="0"/>
        <v>7.7734919623215553E-3</v>
      </c>
      <c r="I23">
        <f t="shared" si="1"/>
        <v>31.773164026163432</v>
      </c>
      <c r="J23">
        <f t="shared" si="2"/>
        <v>386.08967741935498</v>
      </c>
      <c r="K23">
        <f t="shared" si="3"/>
        <v>269.74302268786704</v>
      </c>
      <c r="L23">
        <f t="shared" si="4"/>
        <v>26.943774119596767</v>
      </c>
      <c r="M23">
        <f t="shared" si="5"/>
        <v>38.565272067602557</v>
      </c>
      <c r="N23">
        <f t="shared" si="6"/>
        <v>0.50524182989261601</v>
      </c>
      <c r="O23">
        <f t="shared" si="7"/>
        <v>3.3942316123747682</v>
      </c>
      <c r="P23">
        <f t="shared" si="8"/>
        <v>0.46687281598241898</v>
      </c>
      <c r="Q23">
        <f t="shared" si="9"/>
        <v>0.29499962174958927</v>
      </c>
      <c r="R23">
        <f t="shared" si="10"/>
        <v>353.33629751231274</v>
      </c>
      <c r="S23">
        <f t="shared" si="11"/>
        <v>27.076059937826866</v>
      </c>
      <c r="T23">
        <f t="shared" si="12"/>
        <v>27.092467741935501</v>
      </c>
      <c r="U23">
        <f t="shared" si="13"/>
        <v>3.5986437421067272</v>
      </c>
      <c r="V23">
        <f t="shared" si="14"/>
        <v>55.303973725314236</v>
      </c>
      <c r="W23">
        <f t="shared" si="15"/>
        <v>1.981974360295141</v>
      </c>
      <c r="X23">
        <f t="shared" si="16"/>
        <v>3.5837829124888612</v>
      </c>
      <c r="Y23">
        <f t="shared" si="17"/>
        <v>1.6166693818115863</v>
      </c>
      <c r="Z23">
        <f t="shared" si="18"/>
        <v>-342.81099553838061</v>
      </c>
      <c r="AA23">
        <f t="shared" si="19"/>
        <v>-12.898420776489768</v>
      </c>
      <c r="AB23">
        <f t="shared" si="20"/>
        <v>-0.82057549297391486</v>
      </c>
      <c r="AC23">
        <f t="shared" si="21"/>
        <v>-3.1936942955315253</v>
      </c>
      <c r="AD23">
        <v>-4.1358361035148901E-2</v>
      </c>
      <c r="AE23">
        <v>4.6428383453376999E-2</v>
      </c>
      <c r="AF23">
        <v>3.4668082896086099</v>
      </c>
      <c r="AG23">
        <v>151</v>
      </c>
      <c r="AH23">
        <v>30</v>
      </c>
      <c r="AI23">
        <f t="shared" si="22"/>
        <v>1</v>
      </c>
      <c r="AJ23">
        <f t="shared" si="23"/>
        <v>0</v>
      </c>
      <c r="AK23">
        <f t="shared" si="24"/>
        <v>52733.5097567302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275.72076923076901</v>
      </c>
      <c r="AT23">
        <v>369.17700000000002</v>
      </c>
      <c r="AU23">
        <f t="shared" si="27"/>
        <v>0.25314748960317413</v>
      </c>
      <c r="AV23">
        <v>0.5</v>
      </c>
      <c r="AW23">
        <f t="shared" si="28"/>
        <v>1849.1771997090586</v>
      </c>
      <c r="AX23">
        <f t="shared" si="29"/>
        <v>31.773164026163432</v>
      </c>
      <c r="AY23">
        <f t="shared" si="30"/>
        <v>234.05728296888779</v>
      </c>
      <c r="AZ23">
        <f t="shared" si="31"/>
        <v>0.48610016333628586</v>
      </c>
      <c r="BA23">
        <f t="shared" si="32"/>
        <v>1.7723106271978591E-2</v>
      </c>
      <c r="BB23">
        <f t="shared" si="33"/>
        <v>-1</v>
      </c>
      <c r="BC23" t="s">
        <v>317</v>
      </c>
      <c r="BD23">
        <v>189.72</v>
      </c>
      <c r="BE23">
        <f t="shared" si="34"/>
        <v>179.45700000000002</v>
      </c>
      <c r="BF23">
        <f t="shared" si="35"/>
        <v>0.52077227842453067</v>
      </c>
      <c r="BG23">
        <f t="shared" si="36"/>
        <v>1.9459044908285896</v>
      </c>
      <c r="BH23">
        <f t="shared" si="37"/>
        <v>0.25314748960317413</v>
      </c>
      <c r="BI23" t="e">
        <f t="shared" si="38"/>
        <v>#DIV/0!</v>
      </c>
      <c r="BJ23">
        <v>5361</v>
      </c>
      <c r="BK23">
        <v>300</v>
      </c>
      <c r="BL23">
        <v>300</v>
      </c>
      <c r="BM23">
        <v>300</v>
      </c>
      <c r="BN23">
        <v>9867.81</v>
      </c>
      <c r="BO23">
        <v>340.94</v>
      </c>
      <c r="BP23">
        <v>-6.3994799999999999E-3</v>
      </c>
      <c r="BQ23">
        <v>0.60882599999999998</v>
      </c>
      <c r="BR23">
        <f t="shared" si="39"/>
        <v>2199.9903225806502</v>
      </c>
      <c r="BS23">
        <f t="shared" si="40"/>
        <v>1849.1771997090586</v>
      </c>
      <c r="BT23">
        <f t="shared" si="41"/>
        <v>0.84053878816154159</v>
      </c>
      <c r="BU23">
        <f t="shared" si="42"/>
        <v>0.19107757632308311</v>
      </c>
      <c r="BV23">
        <v>0.5</v>
      </c>
      <c r="BW23" t="s">
        <v>281</v>
      </c>
      <c r="BX23">
        <v>1595616236.0999999</v>
      </c>
      <c r="BY23">
        <v>386.08967741935498</v>
      </c>
      <c r="BZ23">
        <v>399.99809677419398</v>
      </c>
      <c r="CA23">
        <v>19.842199999999998</v>
      </c>
      <c r="CB23">
        <v>16.7947967741935</v>
      </c>
      <c r="CC23">
        <v>500.048612903226</v>
      </c>
      <c r="CD23">
        <v>99.686877419354801</v>
      </c>
      <c r="CE23">
        <v>0.19994764516128999</v>
      </c>
      <c r="CF23">
        <v>27.0219806451613</v>
      </c>
      <c r="CG23">
        <v>27.092467741935501</v>
      </c>
      <c r="CH23">
        <v>999.9</v>
      </c>
      <c r="CI23">
        <v>10005.0980645161</v>
      </c>
      <c r="CJ23">
        <v>0</v>
      </c>
      <c r="CK23">
        <v>343.17816129032298</v>
      </c>
      <c r="CL23">
        <v>2199.9903225806502</v>
      </c>
      <c r="CM23">
        <v>0.98199890322580696</v>
      </c>
      <c r="CN23">
        <v>1.8001451612903199E-2</v>
      </c>
      <c r="CO23">
        <v>0</v>
      </c>
      <c r="CP23">
        <v>275.71912903225802</v>
      </c>
      <c r="CQ23">
        <v>5.00054</v>
      </c>
      <c r="CR23">
        <v>8536.9432258064498</v>
      </c>
      <c r="CS23">
        <v>20590.4290322581</v>
      </c>
      <c r="CT23">
        <v>50.205451612903197</v>
      </c>
      <c r="CU23">
        <v>52.664999999999999</v>
      </c>
      <c r="CV23">
        <v>50.719516129032201</v>
      </c>
      <c r="CW23">
        <v>51.451322580645197</v>
      </c>
      <c r="CX23">
        <v>51.4898387096774</v>
      </c>
      <c r="CY23">
        <v>2155.4793548387102</v>
      </c>
      <c r="CZ23">
        <v>39.510967741935502</v>
      </c>
      <c r="DA23">
        <v>0</v>
      </c>
      <c r="DB23">
        <v>119.10000014305101</v>
      </c>
      <c r="DC23">
        <v>275.72076923076901</v>
      </c>
      <c r="DD23">
        <v>0.24847862453599701</v>
      </c>
      <c r="DE23">
        <v>-14.081025654899401</v>
      </c>
      <c r="DF23">
        <v>8536.9719230769206</v>
      </c>
      <c r="DG23">
        <v>15</v>
      </c>
      <c r="DH23">
        <v>1595616269.0999999</v>
      </c>
      <c r="DI23" t="s">
        <v>318</v>
      </c>
      <c r="DJ23">
        <v>77</v>
      </c>
      <c r="DK23">
        <v>-0.375</v>
      </c>
      <c r="DL23">
        <v>0.108</v>
      </c>
      <c r="DM23">
        <v>400</v>
      </c>
      <c r="DN23">
        <v>17</v>
      </c>
      <c r="DO23">
        <v>0.1</v>
      </c>
      <c r="DP23">
        <v>0.03</v>
      </c>
      <c r="DQ23">
        <v>386.07411764705898</v>
      </c>
      <c r="DR23">
        <v>0.123116742081434</v>
      </c>
      <c r="DS23">
        <v>2.1235973048733599E-2</v>
      </c>
      <c r="DT23">
        <v>1</v>
      </c>
      <c r="DU23">
        <v>19.851770588235301</v>
      </c>
      <c r="DV23">
        <v>-0.121542081447974</v>
      </c>
      <c r="DW23">
        <v>1.53968839999814E-2</v>
      </c>
      <c r="DX23">
        <v>1</v>
      </c>
      <c r="DY23">
        <v>2</v>
      </c>
      <c r="DZ23">
        <v>2</v>
      </c>
      <c r="EA23" t="s">
        <v>293</v>
      </c>
      <c r="EB23">
        <v>1.8666100000000001</v>
      </c>
      <c r="EC23">
        <v>1.86311</v>
      </c>
      <c r="ED23">
        <v>1.86883</v>
      </c>
      <c r="EE23">
        <v>1.86676</v>
      </c>
      <c r="EF23">
        <v>1.87147</v>
      </c>
      <c r="EG23">
        <v>1.8638600000000001</v>
      </c>
      <c r="EH23">
        <v>1.8653999999999999</v>
      </c>
      <c r="EI23">
        <v>1.8653599999999999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-0.375</v>
      </c>
      <c r="EX23">
        <v>0.108</v>
      </c>
      <c r="EY23">
        <v>2</v>
      </c>
      <c r="EZ23">
        <v>331.09300000000002</v>
      </c>
      <c r="FA23">
        <v>470.21199999999999</v>
      </c>
      <c r="FB23">
        <v>20.628399999999999</v>
      </c>
      <c r="FC23">
        <v>35.414000000000001</v>
      </c>
      <c r="FD23">
        <v>30.000699999999998</v>
      </c>
      <c r="FE23">
        <v>35.386000000000003</v>
      </c>
      <c r="FF23">
        <v>35.3857</v>
      </c>
      <c r="FG23">
        <v>22.093</v>
      </c>
      <c r="FH23">
        <v>49.535699999999999</v>
      </c>
      <c r="FI23">
        <v>0</v>
      </c>
      <c r="FJ23">
        <v>20.514099999999999</v>
      </c>
      <c r="FK23">
        <v>400</v>
      </c>
      <c r="FL23">
        <v>16.772500000000001</v>
      </c>
      <c r="FM23">
        <v>100.503</v>
      </c>
      <c r="FN23">
        <v>100.88500000000001</v>
      </c>
    </row>
    <row r="24" spans="1:170" x14ac:dyDescent="0.25">
      <c r="A24">
        <v>8</v>
      </c>
      <c r="B24">
        <v>1595616390.5999999</v>
      </c>
      <c r="C24">
        <v>914.59999990463302</v>
      </c>
      <c r="D24" t="s">
        <v>319</v>
      </c>
      <c r="E24" t="s">
        <v>320</v>
      </c>
      <c r="G24">
        <v>1595616382.5999999</v>
      </c>
      <c r="H24">
        <f t="shared" si="0"/>
        <v>7.1168852443783907E-3</v>
      </c>
      <c r="I24">
        <f t="shared" si="1"/>
        <v>36.840699529225972</v>
      </c>
      <c r="J24">
        <f t="shared" si="2"/>
        <v>483.90616129032298</v>
      </c>
      <c r="K24">
        <f t="shared" si="3"/>
        <v>333.34247847785264</v>
      </c>
      <c r="L24">
        <f t="shared" si="4"/>
        <v>33.297725738285962</v>
      </c>
      <c r="M24">
        <f t="shared" si="5"/>
        <v>48.337597762184082</v>
      </c>
      <c r="N24">
        <f t="shared" si="6"/>
        <v>0.44885643975852774</v>
      </c>
      <c r="O24">
        <f t="shared" si="7"/>
        <v>3.392695806513335</v>
      </c>
      <c r="P24">
        <f t="shared" si="8"/>
        <v>0.41828317236052165</v>
      </c>
      <c r="Q24">
        <f t="shared" si="9"/>
        <v>0.26400013057206523</v>
      </c>
      <c r="R24">
        <f t="shared" si="10"/>
        <v>353.34010443571714</v>
      </c>
      <c r="S24">
        <f t="shared" si="11"/>
        <v>26.66375114519748</v>
      </c>
      <c r="T24">
        <f t="shared" si="12"/>
        <v>26.969216129032301</v>
      </c>
      <c r="U24">
        <f t="shared" si="13"/>
        <v>3.5726936300498853</v>
      </c>
      <c r="V24">
        <f t="shared" si="14"/>
        <v>55.368858371786864</v>
      </c>
      <c r="W24">
        <f t="shared" si="15"/>
        <v>1.9198326475419136</v>
      </c>
      <c r="X24">
        <f t="shared" si="16"/>
        <v>3.4673509694759428</v>
      </c>
      <c r="Y24">
        <f t="shared" si="17"/>
        <v>1.6528609825079716</v>
      </c>
      <c r="Z24">
        <f t="shared" si="18"/>
        <v>-313.85463927708702</v>
      </c>
      <c r="AA24">
        <f t="shared" si="19"/>
        <v>-93.007627776475786</v>
      </c>
      <c r="AB24">
        <f t="shared" si="20"/>
        <v>-5.8994355679372905</v>
      </c>
      <c r="AC24">
        <f t="shared" si="21"/>
        <v>-59.421598185782969</v>
      </c>
      <c r="AD24">
        <v>-4.1334573892674198E-2</v>
      </c>
      <c r="AE24">
        <v>4.6401680302081E-2</v>
      </c>
      <c r="AF24">
        <v>3.46523074147987</v>
      </c>
      <c r="AG24">
        <v>152</v>
      </c>
      <c r="AH24">
        <v>30</v>
      </c>
      <c r="AI24">
        <f t="shared" si="22"/>
        <v>1</v>
      </c>
      <c r="AJ24">
        <f t="shared" si="23"/>
        <v>0</v>
      </c>
      <c r="AK24">
        <f t="shared" si="24"/>
        <v>52803.278821855085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283.40923076923099</v>
      </c>
      <c r="AT24">
        <v>387.97800000000001</v>
      </c>
      <c r="AU24">
        <f t="shared" si="27"/>
        <v>0.26952241939174137</v>
      </c>
      <c r="AV24">
        <v>0.5</v>
      </c>
      <c r="AW24">
        <f t="shared" si="28"/>
        <v>1849.1974932574499</v>
      </c>
      <c r="AX24">
        <f t="shared" si="29"/>
        <v>36.840699529225972</v>
      </c>
      <c r="AY24">
        <f t="shared" si="30"/>
        <v>249.20009115794562</v>
      </c>
      <c r="AZ24">
        <f t="shared" si="31"/>
        <v>0.51033306012196566</v>
      </c>
      <c r="BA24">
        <f t="shared" si="32"/>
        <v>2.0463308904106164E-2</v>
      </c>
      <c r="BB24">
        <f t="shared" si="33"/>
        <v>-1</v>
      </c>
      <c r="BC24" t="s">
        <v>322</v>
      </c>
      <c r="BD24">
        <v>189.98</v>
      </c>
      <c r="BE24">
        <f t="shared" si="34"/>
        <v>197.99800000000002</v>
      </c>
      <c r="BF24">
        <f t="shared" si="35"/>
        <v>0.528130431775922</v>
      </c>
      <c r="BG24">
        <f t="shared" si="36"/>
        <v>2.0422044425729027</v>
      </c>
      <c r="BH24">
        <f t="shared" si="37"/>
        <v>0.26952241939174132</v>
      </c>
      <c r="BI24" t="e">
        <f t="shared" si="38"/>
        <v>#DIV/0!</v>
      </c>
      <c r="BJ24">
        <v>5363</v>
      </c>
      <c r="BK24">
        <v>300</v>
      </c>
      <c r="BL24">
        <v>300</v>
      </c>
      <c r="BM24">
        <v>300</v>
      </c>
      <c r="BN24">
        <v>9866.8700000000008</v>
      </c>
      <c r="BO24">
        <v>355.09399999999999</v>
      </c>
      <c r="BP24">
        <v>-6.3987200000000001E-3</v>
      </c>
      <c r="BQ24">
        <v>-0.39370699999999997</v>
      </c>
      <c r="BR24">
        <f t="shared" si="39"/>
        <v>2200.0145161290302</v>
      </c>
      <c r="BS24">
        <f t="shared" si="40"/>
        <v>1849.1974932574499</v>
      </c>
      <c r="BT24">
        <f t="shared" si="41"/>
        <v>0.84053876904010161</v>
      </c>
      <c r="BU24">
        <f t="shared" si="42"/>
        <v>0.19107753808020345</v>
      </c>
      <c r="BV24">
        <v>0.5</v>
      </c>
      <c r="BW24" t="s">
        <v>281</v>
      </c>
      <c r="BX24">
        <v>1595616382.5999999</v>
      </c>
      <c r="BY24">
        <v>483.90616129032298</v>
      </c>
      <c r="BZ24">
        <v>500.01790322580598</v>
      </c>
      <c r="CA24">
        <v>19.2193838709677</v>
      </c>
      <c r="CB24">
        <v>16.427706451612899</v>
      </c>
      <c r="CC24">
        <v>500.06516129032298</v>
      </c>
      <c r="CD24">
        <v>99.690432258064504</v>
      </c>
      <c r="CE24">
        <v>0.20000441935483901</v>
      </c>
      <c r="CF24">
        <v>26.460719354838702</v>
      </c>
      <c r="CG24">
        <v>26.969216129032301</v>
      </c>
      <c r="CH24">
        <v>999.9</v>
      </c>
      <c r="CI24">
        <v>9998.9870967742008</v>
      </c>
      <c r="CJ24">
        <v>0</v>
      </c>
      <c r="CK24">
        <v>342.23700000000002</v>
      </c>
      <c r="CL24">
        <v>2200.0145161290302</v>
      </c>
      <c r="CM24">
        <v>0.98200064516129004</v>
      </c>
      <c r="CN24">
        <v>1.7999622580645198E-2</v>
      </c>
      <c r="CO24">
        <v>0</v>
      </c>
      <c r="CP24">
        <v>283.42693548387098</v>
      </c>
      <c r="CQ24">
        <v>5.00054</v>
      </c>
      <c r="CR24">
        <v>8720.7887096774193</v>
      </c>
      <c r="CS24">
        <v>20590.674193548399</v>
      </c>
      <c r="CT24">
        <v>50.548064516129003</v>
      </c>
      <c r="CU24">
        <v>53.152999999999999</v>
      </c>
      <c r="CV24">
        <v>51.116806451612902</v>
      </c>
      <c r="CW24">
        <v>51.895000000000003</v>
      </c>
      <c r="CX24">
        <v>51.749935483870999</v>
      </c>
      <c r="CY24">
        <v>2155.50451612903</v>
      </c>
      <c r="CZ24">
        <v>39.51</v>
      </c>
      <c r="DA24">
        <v>0</v>
      </c>
      <c r="DB24">
        <v>146</v>
      </c>
      <c r="DC24">
        <v>283.40923076923099</v>
      </c>
      <c r="DD24">
        <v>-1.6812307663813599</v>
      </c>
      <c r="DE24">
        <v>33.0523079069389</v>
      </c>
      <c r="DF24">
        <v>8721.4115384615397</v>
      </c>
      <c r="DG24">
        <v>15</v>
      </c>
      <c r="DH24">
        <v>1595616414.5999999</v>
      </c>
      <c r="DI24" t="s">
        <v>323</v>
      </c>
      <c r="DJ24">
        <v>78</v>
      </c>
      <c r="DK24">
        <v>-0.39</v>
      </c>
      <c r="DL24">
        <v>0.10199999999999999</v>
      </c>
      <c r="DM24">
        <v>500</v>
      </c>
      <c r="DN24">
        <v>16</v>
      </c>
      <c r="DO24">
        <v>0.16</v>
      </c>
      <c r="DP24">
        <v>0.03</v>
      </c>
      <c r="DQ24">
        <v>483.88801960784298</v>
      </c>
      <c r="DR24">
        <v>0.36197647058816101</v>
      </c>
      <c r="DS24">
        <v>4.6893074113840298E-2</v>
      </c>
      <c r="DT24">
        <v>0</v>
      </c>
      <c r="DU24">
        <v>19.2434117647059</v>
      </c>
      <c r="DV24">
        <v>-0.194228416289597</v>
      </c>
      <c r="DW24">
        <v>2.3962426855545799E-2</v>
      </c>
      <c r="DX24">
        <v>1</v>
      </c>
      <c r="DY24">
        <v>1</v>
      </c>
      <c r="DZ24">
        <v>2</v>
      </c>
      <c r="EA24" t="s">
        <v>283</v>
      </c>
      <c r="EB24">
        <v>1.8666100000000001</v>
      </c>
      <c r="EC24">
        <v>1.86314</v>
      </c>
      <c r="ED24">
        <v>1.86883</v>
      </c>
      <c r="EE24">
        <v>1.86676</v>
      </c>
      <c r="EF24">
        <v>1.8714500000000001</v>
      </c>
      <c r="EG24">
        <v>1.8638699999999999</v>
      </c>
      <c r="EH24">
        <v>1.8653900000000001</v>
      </c>
      <c r="EI24">
        <v>1.86537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-0.39</v>
      </c>
      <c r="EX24">
        <v>0.10199999999999999</v>
      </c>
      <c r="EY24">
        <v>2</v>
      </c>
      <c r="EZ24">
        <v>329.947</v>
      </c>
      <c r="FA24">
        <v>468.48599999999999</v>
      </c>
      <c r="FB24">
        <v>20.385899999999999</v>
      </c>
      <c r="FC24">
        <v>35.7136</v>
      </c>
      <c r="FD24">
        <v>30.000699999999998</v>
      </c>
      <c r="FE24">
        <v>35.595300000000002</v>
      </c>
      <c r="FF24">
        <v>35.587400000000002</v>
      </c>
      <c r="FG24">
        <v>26.3964</v>
      </c>
      <c r="FH24">
        <v>51.258699999999997</v>
      </c>
      <c r="FI24">
        <v>0</v>
      </c>
      <c r="FJ24">
        <v>20.588899999999999</v>
      </c>
      <c r="FK24">
        <v>500</v>
      </c>
      <c r="FL24">
        <v>16.351700000000001</v>
      </c>
      <c r="FM24">
        <v>100.46299999999999</v>
      </c>
      <c r="FN24">
        <v>100.83799999999999</v>
      </c>
    </row>
    <row r="25" spans="1:170" x14ac:dyDescent="0.25">
      <c r="A25">
        <v>9</v>
      </c>
      <c r="B25">
        <v>1595616536.0999999</v>
      </c>
      <c r="C25">
        <v>1060.0999999046301</v>
      </c>
      <c r="D25" t="s">
        <v>324</v>
      </c>
      <c r="E25" t="s">
        <v>325</v>
      </c>
      <c r="G25">
        <v>1595616528.0999999</v>
      </c>
      <c r="H25">
        <f t="shared" si="0"/>
        <v>6.2076533372585219E-3</v>
      </c>
      <c r="I25">
        <f t="shared" si="1"/>
        <v>39.547446876725274</v>
      </c>
      <c r="J25">
        <f t="shared" si="2"/>
        <v>582.70383870967703</v>
      </c>
      <c r="K25">
        <f t="shared" si="3"/>
        <v>394.61496222684229</v>
      </c>
      <c r="L25">
        <f t="shared" si="4"/>
        <v>39.416059415785433</v>
      </c>
      <c r="M25">
        <f t="shared" si="5"/>
        <v>58.203290110383385</v>
      </c>
      <c r="N25">
        <f t="shared" si="6"/>
        <v>0.38151341385444093</v>
      </c>
      <c r="O25">
        <f t="shared" si="7"/>
        <v>3.3930969171967926</v>
      </c>
      <c r="P25">
        <f t="shared" si="8"/>
        <v>0.35918357488755875</v>
      </c>
      <c r="Q25">
        <f t="shared" si="9"/>
        <v>0.22638699231483161</v>
      </c>
      <c r="R25">
        <f t="shared" si="10"/>
        <v>353.33886882730712</v>
      </c>
      <c r="S25">
        <f t="shared" si="11"/>
        <v>26.815273402738093</v>
      </c>
      <c r="T25">
        <f t="shared" si="12"/>
        <v>27.0306580645161</v>
      </c>
      <c r="U25">
        <f t="shared" si="13"/>
        <v>3.5856094808473267</v>
      </c>
      <c r="V25">
        <f t="shared" si="14"/>
        <v>55.170241678838053</v>
      </c>
      <c r="W25">
        <f t="shared" si="15"/>
        <v>1.9067935593170855</v>
      </c>
      <c r="X25">
        <f t="shared" si="16"/>
        <v>3.4561993953499117</v>
      </c>
      <c r="Y25">
        <f t="shared" si="17"/>
        <v>1.6788159215302412</v>
      </c>
      <c r="Z25">
        <f t="shared" si="18"/>
        <v>-273.75751217310079</v>
      </c>
      <c r="AA25">
        <f t="shared" si="19"/>
        <v>-114.24896787506718</v>
      </c>
      <c r="AB25">
        <f t="shared" si="20"/>
        <v>-7.2461585503663581</v>
      </c>
      <c r="AC25">
        <f t="shared" si="21"/>
        <v>-41.913769771227223</v>
      </c>
      <c r="AD25">
        <v>-4.1340785977950399E-2</v>
      </c>
      <c r="AE25">
        <v>4.6408653912012203E-2</v>
      </c>
      <c r="AF25">
        <v>3.4656427532845702</v>
      </c>
      <c r="AG25">
        <v>152</v>
      </c>
      <c r="AH25">
        <v>30</v>
      </c>
      <c r="AI25">
        <f t="shared" si="22"/>
        <v>1</v>
      </c>
      <c r="AJ25">
        <f t="shared" si="23"/>
        <v>0</v>
      </c>
      <c r="AK25">
        <f t="shared" si="24"/>
        <v>52820.402906073083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284.80984615384602</v>
      </c>
      <c r="AT25">
        <v>385.92099999999999</v>
      </c>
      <c r="AU25">
        <f t="shared" si="27"/>
        <v>0.26199961610317646</v>
      </c>
      <c r="AV25">
        <v>0.5</v>
      </c>
      <c r="AW25">
        <f t="shared" si="28"/>
        <v>1849.1909900316455</v>
      </c>
      <c r="AX25">
        <f t="shared" si="29"/>
        <v>39.547446876725274</v>
      </c>
      <c r="AY25">
        <f t="shared" si="30"/>
        <v>242.24366474487195</v>
      </c>
      <c r="AZ25">
        <f t="shared" si="31"/>
        <v>0.5110916482907123</v>
      </c>
      <c r="BA25">
        <f t="shared" si="32"/>
        <v>2.1927127644090123E-2</v>
      </c>
      <c r="BB25">
        <f t="shared" si="33"/>
        <v>-1</v>
      </c>
      <c r="BC25" t="s">
        <v>327</v>
      </c>
      <c r="BD25">
        <v>188.68</v>
      </c>
      <c r="BE25">
        <f t="shared" si="34"/>
        <v>197.24099999999999</v>
      </c>
      <c r="BF25">
        <f t="shared" si="35"/>
        <v>0.51262746511198976</v>
      </c>
      <c r="BG25">
        <f t="shared" si="36"/>
        <v>2.0453731185075257</v>
      </c>
      <c r="BH25">
        <f t="shared" si="37"/>
        <v>0.26199961610317646</v>
      </c>
      <c r="BI25" t="e">
        <f t="shared" si="38"/>
        <v>#DIV/0!</v>
      </c>
      <c r="BJ25">
        <v>5365</v>
      </c>
      <c r="BK25">
        <v>300</v>
      </c>
      <c r="BL25">
        <v>300</v>
      </c>
      <c r="BM25">
        <v>300</v>
      </c>
      <c r="BN25">
        <v>9866.4599999999991</v>
      </c>
      <c r="BO25">
        <v>358.80200000000002</v>
      </c>
      <c r="BP25">
        <v>-6.39844E-3</v>
      </c>
      <c r="BQ25">
        <v>0.91671800000000003</v>
      </c>
      <c r="BR25">
        <f t="shared" si="39"/>
        <v>2200.00677419355</v>
      </c>
      <c r="BS25">
        <f t="shared" si="40"/>
        <v>1849.1909900316455</v>
      </c>
      <c r="BT25">
        <f t="shared" si="41"/>
        <v>0.84053877093605678</v>
      </c>
      <c r="BU25">
        <f t="shared" si="42"/>
        <v>0.1910775418721137</v>
      </c>
      <c r="BV25">
        <v>0.5</v>
      </c>
      <c r="BW25" t="s">
        <v>281</v>
      </c>
      <c r="BX25">
        <v>1595616528.0999999</v>
      </c>
      <c r="BY25">
        <v>582.70383870967703</v>
      </c>
      <c r="BZ25">
        <v>599.96761290322604</v>
      </c>
      <c r="CA25">
        <v>19.0899161290323</v>
      </c>
      <c r="CB25">
        <v>16.654551612903202</v>
      </c>
      <c r="CC25">
        <v>500.06064516128998</v>
      </c>
      <c r="CD25">
        <v>99.684858064516106</v>
      </c>
      <c r="CE25">
        <v>0.199999806451613</v>
      </c>
      <c r="CF25">
        <v>26.4061032258065</v>
      </c>
      <c r="CG25">
        <v>27.0306580645161</v>
      </c>
      <c r="CH25">
        <v>999.9</v>
      </c>
      <c r="CI25">
        <v>10001.049032258101</v>
      </c>
      <c r="CJ25">
        <v>0</v>
      </c>
      <c r="CK25">
        <v>340.61280645161298</v>
      </c>
      <c r="CL25">
        <v>2200.00677419355</v>
      </c>
      <c r="CM25">
        <v>0.98200090322580602</v>
      </c>
      <c r="CN25">
        <v>1.7999351612903201E-2</v>
      </c>
      <c r="CO25">
        <v>0</v>
      </c>
      <c r="CP25">
        <v>284.83335483871002</v>
      </c>
      <c r="CQ25">
        <v>5.00054</v>
      </c>
      <c r="CR25">
        <v>8759.5822580645108</v>
      </c>
      <c r="CS25">
        <v>20590.603225806499</v>
      </c>
      <c r="CT25">
        <v>50.749806451612898</v>
      </c>
      <c r="CU25">
        <v>53.433064516129001</v>
      </c>
      <c r="CV25">
        <v>51.362741935483903</v>
      </c>
      <c r="CW25">
        <v>52.126935483871002</v>
      </c>
      <c r="CX25">
        <v>51.9371935483871</v>
      </c>
      <c r="CY25">
        <v>2155.4967741935502</v>
      </c>
      <c r="CZ25">
        <v>39.51</v>
      </c>
      <c r="DA25">
        <v>0</v>
      </c>
      <c r="DB25">
        <v>144.700000047684</v>
      </c>
      <c r="DC25">
        <v>284.80984615384602</v>
      </c>
      <c r="DD25">
        <v>-2.5407179444539199</v>
      </c>
      <c r="DE25">
        <v>-92.103247942354201</v>
      </c>
      <c r="DF25">
        <v>8758.98</v>
      </c>
      <c r="DG25">
        <v>15</v>
      </c>
      <c r="DH25">
        <v>1595616560.0999999</v>
      </c>
      <c r="DI25" t="s">
        <v>328</v>
      </c>
      <c r="DJ25">
        <v>79</v>
      </c>
      <c r="DK25">
        <v>-0.33600000000000002</v>
      </c>
      <c r="DL25">
        <v>0.106</v>
      </c>
      <c r="DM25">
        <v>600</v>
      </c>
      <c r="DN25">
        <v>17</v>
      </c>
      <c r="DO25">
        <v>0.12</v>
      </c>
      <c r="DP25">
        <v>0.04</v>
      </c>
      <c r="DQ25">
        <v>582.618843137255</v>
      </c>
      <c r="DR25">
        <v>0.324347511312359</v>
      </c>
      <c r="DS25">
        <v>4.3520278144402201E-2</v>
      </c>
      <c r="DT25">
        <v>0</v>
      </c>
      <c r="DU25">
        <v>19.094731372548999</v>
      </c>
      <c r="DV25">
        <v>-9.5375565610854904E-2</v>
      </c>
      <c r="DW25">
        <v>1.17232714800322E-2</v>
      </c>
      <c r="DX25">
        <v>1</v>
      </c>
      <c r="DY25">
        <v>1</v>
      </c>
      <c r="DZ25">
        <v>2</v>
      </c>
      <c r="EA25" t="s">
        <v>283</v>
      </c>
      <c r="EB25">
        <v>1.8666100000000001</v>
      </c>
      <c r="EC25">
        <v>1.8631899999999999</v>
      </c>
      <c r="ED25">
        <v>1.86883</v>
      </c>
      <c r="EE25">
        <v>1.8667499999999999</v>
      </c>
      <c r="EF25">
        <v>1.87148</v>
      </c>
      <c r="EG25">
        <v>1.8638600000000001</v>
      </c>
      <c r="EH25">
        <v>1.8653900000000001</v>
      </c>
      <c r="EI25">
        <v>1.86538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-0.33600000000000002</v>
      </c>
      <c r="EX25">
        <v>0.106</v>
      </c>
      <c r="EY25">
        <v>2</v>
      </c>
      <c r="EZ25">
        <v>329.85899999999998</v>
      </c>
      <c r="FA25">
        <v>467.99799999999999</v>
      </c>
      <c r="FB25">
        <v>20.317399999999999</v>
      </c>
      <c r="FC25">
        <v>35.9255</v>
      </c>
      <c r="FD25">
        <v>30.000499999999999</v>
      </c>
      <c r="FE25">
        <v>35.794400000000003</v>
      </c>
      <c r="FF25">
        <v>35.780799999999999</v>
      </c>
      <c r="FG25">
        <v>30.570499999999999</v>
      </c>
      <c r="FH25">
        <v>50.576599999999999</v>
      </c>
      <c r="FI25">
        <v>0</v>
      </c>
      <c r="FJ25">
        <v>20.241900000000001</v>
      </c>
      <c r="FK25">
        <v>600</v>
      </c>
      <c r="FL25">
        <v>16.602900000000002</v>
      </c>
      <c r="FM25">
        <v>100.429</v>
      </c>
      <c r="FN25">
        <v>100.80500000000001</v>
      </c>
    </row>
    <row r="26" spans="1:170" x14ac:dyDescent="0.25">
      <c r="A26">
        <v>10</v>
      </c>
      <c r="B26">
        <v>1595616681.5999999</v>
      </c>
      <c r="C26">
        <v>1205.5999999046301</v>
      </c>
      <c r="D26" t="s">
        <v>329</v>
      </c>
      <c r="E26" t="s">
        <v>330</v>
      </c>
      <c r="G26">
        <v>1595616673.5999999</v>
      </c>
      <c r="H26">
        <f t="shared" si="0"/>
        <v>5.497816419216657E-3</v>
      </c>
      <c r="I26">
        <f t="shared" si="1"/>
        <v>41.273164886711946</v>
      </c>
      <c r="J26">
        <f t="shared" si="2"/>
        <v>682.00367741935497</v>
      </c>
      <c r="K26">
        <f t="shared" si="3"/>
        <v>455.13631093411817</v>
      </c>
      <c r="L26">
        <f t="shared" si="4"/>
        <v>45.461753687691669</v>
      </c>
      <c r="M26">
        <f t="shared" si="5"/>
        <v>68.12263151077542</v>
      </c>
      <c r="N26">
        <f t="shared" si="6"/>
        <v>0.32745038313029995</v>
      </c>
      <c r="O26">
        <f t="shared" si="7"/>
        <v>3.3933975807433447</v>
      </c>
      <c r="P26">
        <f t="shared" si="8"/>
        <v>0.31085430460659569</v>
      </c>
      <c r="Q26">
        <f t="shared" si="9"/>
        <v>0.19570491350971786</v>
      </c>
      <c r="R26">
        <f t="shared" si="10"/>
        <v>353.33735160432894</v>
      </c>
      <c r="S26">
        <f t="shared" si="11"/>
        <v>26.929064303332847</v>
      </c>
      <c r="T26">
        <f t="shared" si="12"/>
        <v>27.124538709677399</v>
      </c>
      <c r="U26">
        <f t="shared" si="13"/>
        <v>3.605423065498734</v>
      </c>
      <c r="V26">
        <f t="shared" si="14"/>
        <v>54.761074465755414</v>
      </c>
      <c r="W26">
        <f t="shared" si="15"/>
        <v>1.8873972173197584</v>
      </c>
      <c r="X26">
        <f t="shared" si="16"/>
        <v>3.446603697485946</v>
      </c>
      <c r="Y26">
        <f t="shared" si="17"/>
        <v>1.7180258481789756</v>
      </c>
      <c r="Z26">
        <f t="shared" si="18"/>
        <v>-242.45370408745458</v>
      </c>
      <c r="AA26">
        <f t="shared" si="19"/>
        <v>-140.0543154200993</v>
      </c>
      <c r="AB26">
        <f t="shared" si="20"/>
        <v>-8.8841407408349014</v>
      </c>
      <c r="AC26">
        <f t="shared" si="21"/>
        <v>-38.054808644059818</v>
      </c>
      <c r="AD26">
        <v>-4.1345442634661903E-2</v>
      </c>
      <c r="AE26">
        <v>4.6413881417116297E-2</v>
      </c>
      <c r="AF26">
        <v>3.4659515884477599</v>
      </c>
      <c r="AG26">
        <v>152</v>
      </c>
      <c r="AH26">
        <v>30</v>
      </c>
      <c r="AI26">
        <f t="shared" si="22"/>
        <v>1</v>
      </c>
      <c r="AJ26">
        <f t="shared" si="23"/>
        <v>0</v>
      </c>
      <c r="AK26">
        <f t="shared" si="24"/>
        <v>52834.449621712316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282.56680769230798</v>
      </c>
      <c r="AT26">
        <v>383.892</v>
      </c>
      <c r="AU26">
        <f t="shared" si="27"/>
        <v>0.26394192196683453</v>
      </c>
      <c r="AV26">
        <v>0.5</v>
      </c>
      <c r="AW26">
        <f t="shared" si="28"/>
        <v>1849.1853102553473</v>
      </c>
      <c r="AX26">
        <f t="shared" si="29"/>
        <v>41.273164886711946</v>
      </c>
      <c r="AY26">
        <f t="shared" si="30"/>
        <v>244.03876243081677</v>
      </c>
      <c r="AZ26">
        <f t="shared" si="31"/>
        <v>0.51621810300813775</v>
      </c>
      <c r="BA26">
        <f t="shared" si="32"/>
        <v>2.2860426509052571E-2</v>
      </c>
      <c r="BB26">
        <f t="shared" si="33"/>
        <v>-1</v>
      </c>
      <c r="BC26" t="s">
        <v>332</v>
      </c>
      <c r="BD26">
        <v>185.72</v>
      </c>
      <c r="BE26">
        <f t="shared" si="34"/>
        <v>198.172</v>
      </c>
      <c r="BF26">
        <f t="shared" si="35"/>
        <v>0.51129923656062426</v>
      </c>
      <c r="BG26">
        <f t="shared" si="36"/>
        <v>2.0670471677794531</v>
      </c>
      <c r="BH26">
        <f t="shared" si="37"/>
        <v>0.26394192196683447</v>
      </c>
      <c r="BI26" t="e">
        <f t="shared" si="38"/>
        <v>#DIV/0!</v>
      </c>
      <c r="BJ26">
        <v>5367</v>
      </c>
      <c r="BK26">
        <v>300</v>
      </c>
      <c r="BL26">
        <v>300</v>
      </c>
      <c r="BM26">
        <v>300</v>
      </c>
      <c r="BN26">
        <v>9865.58</v>
      </c>
      <c r="BO26">
        <v>355.82600000000002</v>
      </c>
      <c r="BP26">
        <v>-6.39772E-3</v>
      </c>
      <c r="BQ26">
        <v>0.48190300000000003</v>
      </c>
      <c r="BR26">
        <f t="shared" si="39"/>
        <v>2200.0003225806499</v>
      </c>
      <c r="BS26">
        <f t="shared" si="40"/>
        <v>1849.1853102553473</v>
      </c>
      <c r="BT26">
        <f t="shared" si="41"/>
        <v>0.84053865414265538</v>
      </c>
      <c r="BU26">
        <f t="shared" si="42"/>
        <v>0.19107730828531072</v>
      </c>
      <c r="BV26">
        <v>0.5</v>
      </c>
      <c r="BW26" t="s">
        <v>281</v>
      </c>
      <c r="BX26">
        <v>1595616673.5999999</v>
      </c>
      <c r="BY26">
        <v>682.00367741935497</v>
      </c>
      <c r="BZ26">
        <v>700.01109677419402</v>
      </c>
      <c r="CA26">
        <v>18.895509677419401</v>
      </c>
      <c r="CB26">
        <v>16.738135483871002</v>
      </c>
      <c r="CC26">
        <v>500.04606451612898</v>
      </c>
      <c r="CD26">
        <v>99.686035483870995</v>
      </c>
      <c r="CE26">
        <v>0.19998238709677399</v>
      </c>
      <c r="CF26">
        <v>26.358983870967698</v>
      </c>
      <c r="CG26">
        <v>27.124538709677399</v>
      </c>
      <c r="CH26">
        <v>999.9</v>
      </c>
      <c r="CI26">
        <v>10002.0574193548</v>
      </c>
      <c r="CJ26">
        <v>0</v>
      </c>
      <c r="CK26">
        <v>338.07351612903199</v>
      </c>
      <c r="CL26">
        <v>2200.0003225806499</v>
      </c>
      <c r="CM26">
        <v>0.982002516129033</v>
      </c>
      <c r="CN26">
        <v>1.7997658064516101E-2</v>
      </c>
      <c r="CO26">
        <v>0</v>
      </c>
      <c r="CP26">
        <v>282.58535483870997</v>
      </c>
      <c r="CQ26">
        <v>5.00054</v>
      </c>
      <c r="CR26">
        <v>8725.1009677419406</v>
      </c>
      <c r="CS26">
        <v>20590.545161290302</v>
      </c>
      <c r="CT26">
        <v>50.959483870967702</v>
      </c>
      <c r="CU26">
        <v>53.652999999999999</v>
      </c>
      <c r="CV26">
        <v>51.558258064516103</v>
      </c>
      <c r="CW26">
        <v>52.302322580645203</v>
      </c>
      <c r="CX26">
        <v>52.108612903225797</v>
      </c>
      <c r="CY26">
        <v>2155.4974193548401</v>
      </c>
      <c r="CZ26">
        <v>39.501290322580601</v>
      </c>
      <c r="DA26">
        <v>0</v>
      </c>
      <c r="DB26">
        <v>144.90000009536701</v>
      </c>
      <c r="DC26">
        <v>282.56680769230798</v>
      </c>
      <c r="DD26">
        <v>-2.9464273461796999</v>
      </c>
      <c r="DE26">
        <v>-71.242734922473105</v>
      </c>
      <c r="DF26">
        <v>8724.3726923076902</v>
      </c>
      <c r="DG26">
        <v>15</v>
      </c>
      <c r="DH26">
        <v>1595616709.5999999</v>
      </c>
      <c r="DI26" t="s">
        <v>333</v>
      </c>
      <c r="DJ26">
        <v>80</v>
      </c>
      <c r="DK26">
        <v>-0.35699999999999998</v>
      </c>
      <c r="DL26">
        <v>0.109</v>
      </c>
      <c r="DM26">
        <v>700</v>
      </c>
      <c r="DN26">
        <v>17</v>
      </c>
      <c r="DO26">
        <v>0.31</v>
      </c>
      <c r="DP26">
        <v>0.04</v>
      </c>
      <c r="DQ26">
        <v>681.98800000000006</v>
      </c>
      <c r="DR26">
        <v>0.44613936651592001</v>
      </c>
      <c r="DS26">
        <v>5.8611716689872202E-2</v>
      </c>
      <c r="DT26">
        <v>0</v>
      </c>
      <c r="DU26">
        <v>18.8996294117647</v>
      </c>
      <c r="DV26">
        <v>-7.8163981900451096E-2</v>
      </c>
      <c r="DW26">
        <v>9.6250346394619202E-3</v>
      </c>
      <c r="DX26">
        <v>1</v>
      </c>
      <c r="DY26">
        <v>1</v>
      </c>
      <c r="DZ26">
        <v>2</v>
      </c>
      <c r="EA26" t="s">
        <v>283</v>
      </c>
      <c r="EB26">
        <v>1.8666100000000001</v>
      </c>
      <c r="EC26">
        <v>1.86313</v>
      </c>
      <c r="ED26">
        <v>1.8688499999999999</v>
      </c>
      <c r="EE26">
        <v>1.8667499999999999</v>
      </c>
      <c r="EF26">
        <v>1.8714900000000001</v>
      </c>
      <c r="EG26">
        <v>1.8638600000000001</v>
      </c>
      <c r="EH26">
        <v>1.8653900000000001</v>
      </c>
      <c r="EI26">
        <v>1.86537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-0.35699999999999998</v>
      </c>
      <c r="EX26">
        <v>0.109</v>
      </c>
      <c r="EY26">
        <v>2</v>
      </c>
      <c r="EZ26">
        <v>329.54899999999998</v>
      </c>
      <c r="FA26">
        <v>467.62900000000002</v>
      </c>
      <c r="FB26">
        <v>20.2928</v>
      </c>
      <c r="FC26">
        <v>36.109900000000003</v>
      </c>
      <c r="FD26">
        <v>30.000800000000002</v>
      </c>
      <c r="FE26">
        <v>35.9786</v>
      </c>
      <c r="FF26">
        <v>35.9636</v>
      </c>
      <c r="FG26">
        <v>34.613300000000002</v>
      </c>
      <c r="FH26">
        <v>50.454799999999999</v>
      </c>
      <c r="FI26">
        <v>0</v>
      </c>
      <c r="FJ26">
        <v>19.0136</v>
      </c>
      <c r="FK26">
        <v>700</v>
      </c>
      <c r="FL26">
        <v>16.821100000000001</v>
      </c>
      <c r="FM26">
        <v>100.396</v>
      </c>
      <c r="FN26">
        <v>100.76600000000001</v>
      </c>
    </row>
    <row r="27" spans="1:170" x14ac:dyDescent="0.25">
      <c r="A27">
        <v>11</v>
      </c>
      <c r="B27">
        <v>1595616831.0999999</v>
      </c>
      <c r="C27">
        <v>1355.0999999046301</v>
      </c>
      <c r="D27" t="s">
        <v>334</v>
      </c>
      <c r="E27" t="s">
        <v>335</v>
      </c>
      <c r="G27">
        <v>1595616823.0999999</v>
      </c>
      <c r="H27">
        <f t="shared" si="0"/>
        <v>4.7968966614637381E-3</v>
      </c>
      <c r="I27">
        <f t="shared" si="1"/>
        <v>41.663748414378659</v>
      </c>
      <c r="J27">
        <f t="shared" si="2"/>
        <v>781.80987096774197</v>
      </c>
      <c r="K27">
        <f t="shared" si="3"/>
        <v>521.1659102981406</v>
      </c>
      <c r="L27">
        <f t="shared" si="4"/>
        <v>52.056133212013535</v>
      </c>
      <c r="M27">
        <f t="shared" si="5"/>
        <v>78.090293293131921</v>
      </c>
      <c r="N27">
        <f t="shared" si="6"/>
        <v>0.28593529988280564</v>
      </c>
      <c r="O27">
        <f t="shared" si="7"/>
        <v>3.3914935632785261</v>
      </c>
      <c r="P27">
        <f t="shared" si="8"/>
        <v>0.27318586061334266</v>
      </c>
      <c r="Q27">
        <f t="shared" si="9"/>
        <v>0.17183927218906608</v>
      </c>
      <c r="R27">
        <f t="shared" si="10"/>
        <v>353.33816395490783</v>
      </c>
      <c r="S27">
        <f t="shared" si="11"/>
        <v>26.848776423258176</v>
      </c>
      <c r="T27">
        <f t="shared" si="12"/>
        <v>26.996735483870999</v>
      </c>
      <c r="U27">
        <f t="shared" si="13"/>
        <v>3.5784735067724016</v>
      </c>
      <c r="V27">
        <f t="shared" si="14"/>
        <v>55.102281896175228</v>
      </c>
      <c r="W27">
        <f t="shared" si="15"/>
        <v>1.8724575921229922</v>
      </c>
      <c r="X27">
        <f t="shared" si="16"/>
        <v>3.398148910876527</v>
      </c>
      <c r="Y27">
        <f t="shared" si="17"/>
        <v>1.7060159146494094</v>
      </c>
      <c r="Z27">
        <f t="shared" si="18"/>
        <v>-211.54314277055084</v>
      </c>
      <c r="AA27">
        <f t="shared" si="19"/>
        <v>-160.43518415973682</v>
      </c>
      <c r="AB27">
        <f t="shared" si="20"/>
        <v>-10.163974539920146</v>
      </c>
      <c r="AC27">
        <f t="shared" si="21"/>
        <v>-28.804137515299999</v>
      </c>
      <c r="AD27">
        <v>-4.1315956484349499E-2</v>
      </c>
      <c r="AE27">
        <v>4.6380780630262103E-2</v>
      </c>
      <c r="AF27">
        <v>3.4639958279554</v>
      </c>
      <c r="AG27">
        <v>153</v>
      </c>
      <c r="AH27">
        <v>31</v>
      </c>
      <c r="AI27">
        <f t="shared" si="22"/>
        <v>1</v>
      </c>
      <c r="AJ27">
        <f t="shared" si="23"/>
        <v>0</v>
      </c>
      <c r="AK27">
        <f t="shared" si="24"/>
        <v>52840.57403062602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280.18657692307698</v>
      </c>
      <c r="AT27">
        <v>378.05099999999999</v>
      </c>
      <c r="AU27">
        <f t="shared" si="27"/>
        <v>0.25886566383086673</v>
      </c>
      <c r="AV27">
        <v>0.5</v>
      </c>
      <c r="AW27">
        <f t="shared" si="28"/>
        <v>1849.1874484437524</v>
      </c>
      <c r="AX27">
        <f t="shared" si="29"/>
        <v>41.663748414378659</v>
      </c>
      <c r="AY27">
        <f t="shared" si="30"/>
        <v>239.34556819454932</v>
      </c>
      <c r="AZ27">
        <f t="shared" si="31"/>
        <v>0.51048932551428239</v>
      </c>
      <c r="BA27">
        <f t="shared" si="32"/>
        <v>2.3071619078035496E-2</v>
      </c>
      <c r="BB27">
        <f t="shared" si="33"/>
        <v>-1</v>
      </c>
      <c r="BC27" t="s">
        <v>337</v>
      </c>
      <c r="BD27">
        <v>185.06</v>
      </c>
      <c r="BE27">
        <f t="shared" si="34"/>
        <v>192.99099999999999</v>
      </c>
      <c r="BF27">
        <f t="shared" si="35"/>
        <v>0.50709319645435802</v>
      </c>
      <c r="BG27">
        <f t="shared" si="36"/>
        <v>2.0428563709067329</v>
      </c>
      <c r="BH27">
        <f t="shared" si="37"/>
        <v>0.25886566383086673</v>
      </c>
      <c r="BI27" t="e">
        <f t="shared" si="38"/>
        <v>#DIV/0!</v>
      </c>
      <c r="BJ27">
        <v>5369</v>
      </c>
      <c r="BK27">
        <v>300</v>
      </c>
      <c r="BL27">
        <v>300</v>
      </c>
      <c r="BM27">
        <v>300</v>
      </c>
      <c r="BN27">
        <v>9865.69</v>
      </c>
      <c r="BO27">
        <v>350.608</v>
      </c>
      <c r="BP27">
        <v>-6.39772E-3</v>
      </c>
      <c r="BQ27">
        <v>0.62365700000000002</v>
      </c>
      <c r="BR27">
        <f t="shared" si="39"/>
        <v>2200.0025806451599</v>
      </c>
      <c r="BS27">
        <f t="shared" si="40"/>
        <v>1849.1874484437524</v>
      </c>
      <c r="BT27">
        <f t="shared" si="41"/>
        <v>0.84053876332339139</v>
      </c>
      <c r="BU27">
        <f t="shared" si="42"/>
        <v>0.19107752664678304</v>
      </c>
      <c r="BV27">
        <v>0.5</v>
      </c>
      <c r="BW27" t="s">
        <v>281</v>
      </c>
      <c r="BX27">
        <v>1595616823.0999999</v>
      </c>
      <c r="BY27">
        <v>781.80987096774197</v>
      </c>
      <c r="BZ27">
        <v>799.97293548387097</v>
      </c>
      <c r="CA27">
        <v>18.746322580645199</v>
      </c>
      <c r="CB27">
        <v>16.863796774193499</v>
      </c>
      <c r="CC27">
        <v>500.069903225806</v>
      </c>
      <c r="CD27">
        <v>99.683993548387093</v>
      </c>
      <c r="CE27">
        <v>0.200001516129032</v>
      </c>
      <c r="CF27">
        <v>26.119283870967699</v>
      </c>
      <c r="CG27">
        <v>26.996735483870999</v>
      </c>
      <c r="CH27">
        <v>999.9</v>
      </c>
      <c r="CI27">
        <v>9995.1290322580608</v>
      </c>
      <c r="CJ27">
        <v>0</v>
      </c>
      <c r="CK27">
        <v>335.98516129032299</v>
      </c>
      <c r="CL27">
        <v>2200.0025806451599</v>
      </c>
      <c r="CM27">
        <v>0.98200219354838703</v>
      </c>
      <c r="CN27">
        <v>1.79979967741935E-2</v>
      </c>
      <c r="CO27">
        <v>0</v>
      </c>
      <c r="CP27">
        <v>280.24516129032202</v>
      </c>
      <c r="CQ27">
        <v>5.00054</v>
      </c>
      <c r="CR27">
        <v>8683.84064516129</v>
      </c>
      <c r="CS27">
        <v>20590.561290322599</v>
      </c>
      <c r="CT27">
        <v>50.977612903225797</v>
      </c>
      <c r="CU27">
        <v>53.703258064516099</v>
      </c>
      <c r="CV27">
        <v>51.612741935483903</v>
      </c>
      <c r="CW27">
        <v>52.322290322580599</v>
      </c>
      <c r="CX27">
        <v>52.112741935483903</v>
      </c>
      <c r="CY27">
        <v>2155.4925806451602</v>
      </c>
      <c r="CZ27">
        <v>39.509354838709697</v>
      </c>
      <c r="DA27">
        <v>0</v>
      </c>
      <c r="DB27">
        <v>148.90000009536701</v>
      </c>
      <c r="DC27">
        <v>280.18657692307698</v>
      </c>
      <c r="DD27">
        <v>-3.5121025559513201</v>
      </c>
      <c r="DE27">
        <v>-98.562734917263697</v>
      </c>
      <c r="DF27">
        <v>8682.9676923076895</v>
      </c>
      <c r="DG27">
        <v>15</v>
      </c>
      <c r="DH27">
        <v>1595616861.5999999</v>
      </c>
      <c r="DI27" t="s">
        <v>338</v>
      </c>
      <c r="DJ27">
        <v>81</v>
      </c>
      <c r="DK27">
        <v>-0.49</v>
      </c>
      <c r="DL27">
        <v>0.111</v>
      </c>
      <c r="DM27">
        <v>800</v>
      </c>
      <c r="DN27">
        <v>17</v>
      </c>
      <c r="DO27">
        <v>0.18</v>
      </c>
      <c r="DP27">
        <v>0.05</v>
      </c>
      <c r="DQ27">
        <v>781.91272549019595</v>
      </c>
      <c r="DR27">
        <v>0.34804343891385903</v>
      </c>
      <c r="DS27">
        <v>4.7133551777803998E-2</v>
      </c>
      <c r="DT27">
        <v>0</v>
      </c>
      <c r="DU27">
        <v>18.750572549019601</v>
      </c>
      <c r="DV27">
        <v>-6.95337556561125E-2</v>
      </c>
      <c r="DW27">
        <v>8.6056542842109906E-3</v>
      </c>
      <c r="DX27">
        <v>1</v>
      </c>
      <c r="DY27">
        <v>1</v>
      </c>
      <c r="DZ27">
        <v>2</v>
      </c>
      <c r="EA27" t="s">
        <v>283</v>
      </c>
      <c r="EB27">
        <v>1.8666100000000001</v>
      </c>
      <c r="EC27">
        <v>1.8631800000000001</v>
      </c>
      <c r="ED27">
        <v>1.8688199999999999</v>
      </c>
      <c r="EE27">
        <v>1.86676</v>
      </c>
      <c r="EF27">
        <v>1.8714200000000001</v>
      </c>
      <c r="EG27">
        <v>1.8638600000000001</v>
      </c>
      <c r="EH27">
        <v>1.8653900000000001</v>
      </c>
      <c r="EI27">
        <v>1.86537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-0.49</v>
      </c>
      <c r="EX27">
        <v>0.111</v>
      </c>
      <c r="EY27">
        <v>2</v>
      </c>
      <c r="EZ27">
        <v>329.14</v>
      </c>
      <c r="FA27">
        <v>467.17700000000002</v>
      </c>
      <c r="FB27">
        <v>20.100999999999999</v>
      </c>
      <c r="FC27">
        <v>36.271599999999999</v>
      </c>
      <c r="FD27">
        <v>30.000399999999999</v>
      </c>
      <c r="FE27">
        <v>36.147100000000002</v>
      </c>
      <c r="FF27">
        <v>36.130600000000001</v>
      </c>
      <c r="FG27">
        <v>38.569499999999998</v>
      </c>
      <c r="FH27">
        <v>50.3917</v>
      </c>
      <c r="FI27">
        <v>0</v>
      </c>
      <c r="FJ27">
        <v>20.114699999999999</v>
      </c>
      <c r="FK27">
        <v>800</v>
      </c>
      <c r="FL27">
        <v>16.847300000000001</v>
      </c>
      <c r="FM27">
        <v>100.36799999999999</v>
      </c>
      <c r="FN27">
        <v>100.732</v>
      </c>
    </row>
    <row r="28" spans="1:170" x14ac:dyDescent="0.25">
      <c r="A28">
        <v>12</v>
      </c>
      <c r="B28">
        <v>1595616983.0999999</v>
      </c>
      <c r="C28">
        <v>1507.0999999046301</v>
      </c>
      <c r="D28" t="s">
        <v>339</v>
      </c>
      <c r="E28" t="s">
        <v>340</v>
      </c>
      <c r="G28">
        <v>1595616975.10323</v>
      </c>
      <c r="H28">
        <f t="shared" si="0"/>
        <v>4.2564896136551905E-3</v>
      </c>
      <c r="I28">
        <f t="shared" si="1"/>
        <v>42.335659568778937</v>
      </c>
      <c r="J28">
        <f t="shared" si="2"/>
        <v>981.37609677419402</v>
      </c>
      <c r="K28">
        <f t="shared" si="3"/>
        <v>676.56361856235401</v>
      </c>
      <c r="L28">
        <f t="shared" si="4"/>
        <v>67.576726040702596</v>
      </c>
      <c r="M28">
        <f t="shared" si="5"/>
        <v>98.022095505999587</v>
      </c>
      <c r="N28">
        <f t="shared" si="6"/>
        <v>0.24912800317946598</v>
      </c>
      <c r="O28">
        <f t="shared" si="7"/>
        <v>3.3949112638882903</v>
      </c>
      <c r="P28">
        <f t="shared" si="8"/>
        <v>0.23939896264443369</v>
      </c>
      <c r="Q28">
        <f t="shared" si="9"/>
        <v>0.15046680971538937</v>
      </c>
      <c r="R28">
        <f t="shared" si="10"/>
        <v>353.33604476808955</v>
      </c>
      <c r="S28">
        <f t="shared" si="11"/>
        <v>27.054772486276558</v>
      </c>
      <c r="T28">
        <f t="shared" si="12"/>
        <v>27.1208483870968</v>
      </c>
      <c r="U28">
        <f t="shared" si="13"/>
        <v>3.604642419310653</v>
      </c>
      <c r="V28">
        <f t="shared" si="14"/>
        <v>54.975691210277148</v>
      </c>
      <c r="W28">
        <f t="shared" si="15"/>
        <v>1.8774810302355083</v>
      </c>
      <c r="X28">
        <f t="shared" si="16"/>
        <v>3.4151112771903311</v>
      </c>
      <c r="Y28">
        <f t="shared" si="17"/>
        <v>1.7271613890751447</v>
      </c>
      <c r="Z28">
        <f t="shared" si="18"/>
        <v>-187.71119196219391</v>
      </c>
      <c r="AA28">
        <f t="shared" si="19"/>
        <v>-167.89312018230896</v>
      </c>
      <c r="AB28">
        <f t="shared" si="20"/>
        <v>-10.636838051575202</v>
      </c>
      <c r="AC28">
        <f t="shared" si="21"/>
        <v>-12.905105427988502</v>
      </c>
      <c r="AD28">
        <v>-4.1368889286367803E-2</v>
      </c>
      <c r="AE28">
        <v>4.6440202337695802E-2</v>
      </c>
      <c r="AF28">
        <v>3.4675064163583702</v>
      </c>
      <c r="AG28">
        <v>153</v>
      </c>
      <c r="AH28">
        <v>31</v>
      </c>
      <c r="AI28">
        <f t="shared" si="22"/>
        <v>1</v>
      </c>
      <c r="AJ28">
        <f t="shared" si="23"/>
        <v>0</v>
      </c>
      <c r="AK28">
        <f t="shared" si="24"/>
        <v>52890.567629623729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277.65699999999998</v>
      </c>
      <c r="AT28">
        <v>370.03699999999998</v>
      </c>
      <c r="AU28">
        <f t="shared" si="27"/>
        <v>0.24965071060461519</v>
      </c>
      <c r="AV28">
        <v>0.5</v>
      </c>
      <c r="AW28">
        <f t="shared" si="28"/>
        <v>1849.1785255155828</v>
      </c>
      <c r="AX28">
        <f t="shared" si="29"/>
        <v>42.335659568778937</v>
      </c>
      <c r="AY28">
        <f t="shared" si="30"/>
        <v>230.82436646487989</v>
      </c>
      <c r="AZ28">
        <f t="shared" si="31"/>
        <v>0.50469817883076551</v>
      </c>
      <c r="BA28">
        <f t="shared" si="32"/>
        <v>2.3435086970143248E-2</v>
      </c>
      <c r="BB28">
        <f t="shared" si="33"/>
        <v>-1</v>
      </c>
      <c r="BC28" t="s">
        <v>342</v>
      </c>
      <c r="BD28">
        <v>183.28</v>
      </c>
      <c r="BE28">
        <f t="shared" si="34"/>
        <v>186.75699999999998</v>
      </c>
      <c r="BF28">
        <f t="shared" si="35"/>
        <v>0.49465348019083627</v>
      </c>
      <c r="BG28">
        <f t="shared" si="36"/>
        <v>2.0189709733740724</v>
      </c>
      <c r="BH28">
        <f t="shared" si="37"/>
        <v>0.24965071060461522</v>
      </c>
      <c r="BI28" t="e">
        <f t="shared" si="38"/>
        <v>#DIV/0!</v>
      </c>
      <c r="BJ28">
        <v>5371</v>
      </c>
      <c r="BK28">
        <v>300</v>
      </c>
      <c r="BL28">
        <v>300</v>
      </c>
      <c r="BM28">
        <v>300</v>
      </c>
      <c r="BN28">
        <v>9865.2199999999993</v>
      </c>
      <c r="BO28">
        <v>343.54399999999998</v>
      </c>
      <c r="BP28">
        <v>-6.39742E-3</v>
      </c>
      <c r="BQ28">
        <v>0.197632</v>
      </c>
      <c r="BR28">
        <f t="shared" si="39"/>
        <v>2199.9922580645198</v>
      </c>
      <c r="BS28">
        <f t="shared" si="40"/>
        <v>1849.1785255155828</v>
      </c>
      <c r="BT28">
        <f t="shared" si="41"/>
        <v>0.84053865132344996</v>
      </c>
      <c r="BU28">
        <f t="shared" si="42"/>
        <v>0.19107730264690012</v>
      </c>
      <c r="BV28">
        <v>0.5</v>
      </c>
      <c r="BW28" t="s">
        <v>281</v>
      </c>
      <c r="BX28">
        <v>1595616975.10323</v>
      </c>
      <c r="BY28">
        <v>981.37609677419402</v>
      </c>
      <c r="BZ28">
        <v>999.97964516129002</v>
      </c>
      <c r="CA28">
        <v>18.796935483871</v>
      </c>
      <c r="CB28">
        <v>17.126487096774198</v>
      </c>
      <c r="CC28">
        <v>500.04306451612899</v>
      </c>
      <c r="CD28">
        <v>99.682335483871</v>
      </c>
      <c r="CE28">
        <v>0.19995819354838701</v>
      </c>
      <c r="CF28">
        <v>26.203532258064499</v>
      </c>
      <c r="CG28">
        <v>27.1208483870968</v>
      </c>
      <c r="CH28">
        <v>999.9</v>
      </c>
      <c r="CI28">
        <v>10008.100967741901</v>
      </c>
      <c r="CJ28">
        <v>0</v>
      </c>
      <c r="CK28">
        <v>326.14558064516098</v>
      </c>
      <c r="CL28">
        <v>2199.9922580645198</v>
      </c>
      <c r="CM28">
        <v>0.98200277419354898</v>
      </c>
      <c r="CN28">
        <v>1.79973870967742E-2</v>
      </c>
      <c r="CO28">
        <v>0</v>
      </c>
      <c r="CP28">
        <v>277.64806451612901</v>
      </c>
      <c r="CQ28">
        <v>5.00054</v>
      </c>
      <c r="CR28">
        <v>8635.2829032258105</v>
      </c>
      <c r="CS28">
        <v>20590.474193548402</v>
      </c>
      <c r="CT28">
        <v>51.054064516129003</v>
      </c>
      <c r="CU28">
        <v>53.792000000000002</v>
      </c>
      <c r="CV28">
        <v>51.7033225806451</v>
      </c>
      <c r="CW28">
        <v>52.386870967741899</v>
      </c>
      <c r="CX28">
        <v>52.2296774193548</v>
      </c>
      <c r="CY28">
        <v>2155.49129032258</v>
      </c>
      <c r="CZ28">
        <v>39.500967741935497</v>
      </c>
      <c r="DA28">
        <v>0</v>
      </c>
      <c r="DB28">
        <v>151.40000009536701</v>
      </c>
      <c r="DC28">
        <v>277.65699999999998</v>
      </c>
      <c r="DD28">
        <v>-2.6738461481295799</v>
      </c>
      <c r="DE28">
        <v>-65.200683448655994</v>
      </c>
      <c r="DF28">
        <v>8635.2246153846208</v>
      </c>
      <c r="DG28">
        <v>15</v>
      </c>
      <c r="DH28">
        <v>1595617005.0999999</v>
      </c>
      <c r="DI28" t="s">
        <v>343</v>
      </c>
      <c r="DJ28">
        <v>82</v>
      </c>
      <c r="DK28">
        <v>-8.2000000000000003E-2</v>
      </c>
      <c r="DL28">
        <v>0.112</v>
      </c>
      <c r="DM28">
        <v>1000</v>
      </c>
      <c r="DN28">
        <v>17</v>
      </c>
      <c r="DO28">
        <v>0.37</v>
      </c>
      <c r="DP28">
        <v>0.05</v>
      </c>
      <c r="DQ28">
        <v>980.92654901960805</v>
      </c>
      <c r="DR28">
        <v>0.53702635603309201</v>
      </c>
      <c r="DS28">
        <v>7.1666250904084197E-2</v>
      </c>
      <c r="DT28">
        <v>0</v>
      </c>
      <c r="DU28">
        <v>18.797233333333299</v>
      </c>
      <c r="DV28">
        <v>-1.3560715237071599E-2</v>
      </c>
      <c r="DW28">
        <v>1.7895849739771E-3</v>
      </c>
      <c r="DX28">
        <v>1</v>
      </c>
      <c r="DY28">
        <v>1</v>
      </c>
      <c r="DZ28">
        <v>2</v>
      </c>
      <c r="EA28" t="s">
        <v>283</v>
      </c>
      <c r="EB28">
        <v>1.8666100000000001</v>
      </c>
      <c r="EC28">
        <v>1.86313</v>
      </c>
      <c r="ED28">
        <v>1.8687800000000001</v>
      </c>
      <c r="EE28">
        <v>1.86676</v>
      </c>
      <c r="EF28">
        <v>1.87144</v>
      </c>
      <c r="EG28">
        <v>1.8638600000000001</v>
      </c>
      <c r="EH28">
        <v>1.8653900000000001</v>
      </c>
      <c r="EI28">
        <v>1.86538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-8.2000000000000003E-2</v>
      </c>
      <c r="EX28">
        <v>0.112</v>
      </c>
      <c r="EY28">
        <v>2</v>
      </c>
      <c r="EZ28">
        <v>328.64699999999999</v>
      </c>
      <c r="FA28">
        <v>467.36700000000002</v>
      </c>
      <c r="FB28">
        <v>20.1464</v>
      </c>
      <c r="FC28">
        <v>36.378100000000003</v>
      </c>
      <c r="FD28">
        <v>30.000399999999999</v>
      </c>
      <c r="FE28">
        <v>36.2791</v>
      </c>
      <c r="FF28">
        <v>36.264800000000001</v>
      </c>
      <c r="FG28">
        <v>46.177399999999999</v>
      </c>
      <c r="FH28">
        <v>50.053199999999997</v>
      </c>
      <c r="FI28">
        <v>0</v>
      </c>
      <c r="FJ28">
        <v>18.017600000000002</v>
      </c>
      <c r="FK28">
        <v>1000</v>
      </c>
      <c r="FL28">
        <v>17.1145</v>
      </c>
      <c r="FM28">
        <v>100.346</v>
      </c>
      <c r="FN28">
        <v>100.71</v>
      </c>
    </row>
    <row r="29" spans="1:170" x14ac:dyDescent="0.25">
      <c r="A29">
        <v>13</v>
      </c>
      <c r="B29">
        <v>1595617126.7</v>
      </c>
      <c r="C29">
        <v>1650.7000000476801</v>
      </c>
      <c r="D29" t="s">
        <v>344</v>
      </c>
      <c r="E29" t="s">
        <v>345</v>
      </c>
      <c r="G29">
        <v>1595617118.6516099</v>
      </c>
      <c r="H29">
        <f t="shared" si="0"/>
        <v>3.8918430006858562E-3</v>
      </c>
      <c r="I29">
        <f t="shared" si="1"/>
        <v>41.947832149386606</v>
      </c>
      <c r="J29">
        <f t="shared" si="2"/>
        <v>1181.3733548387099</v>
      </c>
      <c r="K29">
        <f t="shared" si="3"/>
        <v>850.12744653017444</v>
      </c>
      <c r="L29">
        <f t="shared" si="4"/>
        <v>84.912858243100729</v>
      </c>
      <c r="M29">
        <f t="shared" si="5"/>
        <v>117.99852906882377</v>
      </c>
      <c r="N29">
        <f t="shared" si="6"/>
        <v>0.22880554325982314</v>
      </c>
      <c r="O29">
        <f t="shared" si="7"/>
        <v>3.3939262729489803</v>
      </c>
      <c r="P29">
        <f t="shared" si="8"/>
        <v>0.22056852698153839</v>
      </c>
      <c r="Q29">
        <f t="shared" si="9"/>
        <v>0.13857068747240261</v>
      </c>
      <c r="R29">
        <f t="shared" si="10"/>
        <v>353.33885825308073</v>
      </c>
      <c r="S29">
        <f t="shared" si="11"/>
        <v>26.96306534819843</v>
      </c>
      <c r="T29">
        <f t="shared" si="12"/>
        <v>27.009809677419302</v>
      </c>
      <c r="U29">
        <f t="shared" si="13"/>
        <v>3.5812223322223518</v>
      </c>
      <c r="V29">
        <f t="shared" si="14"/>
        <v>55.233501752085402</v>
      </c>
      <c r="W29">
        <f t="shared" si="15"/>
        <v>1.86690066386535</v>
      </c>
      <c r="X29">
        <f t="shared" si="16"/>
        <v>3.3800150355211964</v>
      </c>
      <c r="Y29">
        <f t="shared" si="17"/>
        <v>1.7143216683570017</v>
      </c>
      <c r="Z29">
        <f t="shared" si="18"/>
        <v>-171.63027633024626</v>
      </c>
      <c r="AA29">
        <f t="shared" si="19"/>
        <v>-179.49685951589026</v>
      </c>
      <c r="AB29">
        <f t="shared" si="20"/>
        <v>-11.359031439405173</v>
      </c>
      <c r="AC29">
        <f t="shared" si="21"/>
        <v>-9.1473090324609529</v>
      </c>
      <c r="AD29">
        <v>-4.1353631435517298E-2</v>
      </c>
      <c r="AE29">
        <v>4.6423074063454903E-2</v>
      </c>
      <c r="AF29">
        <v>3.4664946505641399</v>
      </c>
      <c r="AG29">
        <v>153</v>
      </c>
      <c r="AH29">
        <v>31</v>
      </c>
      <c r="AI29">
        <f t="shared" si="22"/>
        <v>1</v>
      </c>
      <c r="AJ29">
        <f t="shared" si="23"/>
        <v>0</v>
      </c>
      <c r="AK29">
        <f t="shared" si="24"/>
        <v>52902.757031095367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275.46684615384601</v>
      </c>
      <c r="AT29">
        <v>358.69</v>
      </c>
      <c r="AU29">
        <f t="shared" si="27"/>
        <v>0.23201972133640192</v>
      </c>
      <c r="AV29">
        <v>0.5</v>
      </c>
      <c r="AW29">
        <f t="shared" si="28"/>
        <v>1849.1934190639718</v>
      </c>
      <c r="AX29">
        <f t="shared" si="29"/>
        <v>41.947832149386606</v>
      </c>
      <c r="AY29">
        <f t="shared" si="30"/>
        <v>214.52467089416552</v>
      </c>
      <c r="AZ29">
        <f t="shared" si="31"/>
        <v>0.4980066352560707</v>
      </c>
      <c r="BA29">
        <f t="shared" si="32"/>
        <v>2.3225170340010197E-2</v>
      </c>
      <c r="BB29">
        <f t="shared" si="33"/>
        <v>-1</v>
      </c>
      <c r="BC29" t="s">
        <v>347</v>
      </c>
      <c r="BD29">
        <v>180.06</v>
      </c>
      <c r="BE29">
        <f t="shared" si="34"/>
        <v>178.63</v>
      </c>
      <c r="BF29">
        <f t="shared" si="35"/>
        <v>0.46589684737252418</v>
      </c>
      <c r="BG29">
        <f t="shared" si="36"/>
        <v>1.9920582028212817</v>
      </c>
      <c r="BH29">
        <f t="shared" si="37"/>
        <v>0.23201972133640189</v>
      </c>
      <c r="BI29" t="e">
        <f t="shared" si="38"/>
        <v>#DIV/0!</v>
      </c>
      <c r="BJ29">
        <v>5373</v>
      </c>
      <c r="BK29">
        <v>300</v>
      </c>
      <c r="BL29">
        <v>300</v>
      </c>
      <c r="BM29">
        <v>300</v>
      </c>
      <c r="BN29">
        <v>9865.14</v>
      </c>
      <c r="BO29">
        <v>334.858</v>
      </c>
      <c r="BP29">
        <v>-6.3972100000000004E-3</v>
      </c>
      <c r="BQ29">
        <v>0.330017</v>
      </c>
      <c r="BR29">
        <f t="shared" si="39"/>
        <v>2200.0100000000002</v>
      </c>
      <c r="BS29">
        <f t="shared" si="40"/>
        <v>1849.1934190639718</v>
      </c>
      <c r="BT29">
        <f t="shared" si="41"/>
        <v>0.84053864258070266</v>
      </c>
      <c r="BU29">
        <f t="shared" si="42"/>
        <v>0.19107728516140537</v>
      </c>
      <c r="BV29">
        <v>0.5</v>
      </c>
      <c r="BW29" t="s">
        <v>281</v>
      </c>
      <c r="BX29">
        <v>1595617118.6516099</v>
      </c>
      <c r="BY29">
        <v>1181.3733548387099</v>
      </c>
      <c r="BZ29">
        <v>1199.9893548387099</v>
      </c>
      <c r="CA29">
        <v>18.690967741935498</v>
      </c>
      <c r="CB29">
        <v>17.163509677419398</v>
      </c>
      <c r="CC29">
        <v>500.05964516129001</v>
      </c>
      <c r="CD29">
        <v>99.682500000000005</v>
      </c>
      <c r="CE29">
        <v>0.200004193548387</v>
      </c>
      <c r="CF29">
        <v>26.0288096774194</v>
      </c>
      <c r="CG29">
        <v>27.009809677419302</v>
      </c>
      <c r="CH29">
        <v>999.9</v>
      </c>
      <c r="CI29">
        <v>10004.3932258065</v>
      </c>
      <c r="CJ29">
        <v>0</v>
      </c>
      <c r="CK29">
        <v>323.05506451612899</v>
      </c>
      <c r="CL29">
        <v>2200.0100000000002</v>
      </c>
      <c r="CM29">
        <v>0.98200309677419395</v>
      </c>
      <c r="CN29">
        <v>1.7997048387096801E-2</v>
      </c>
      <c r="CO29">
        <v>0</v>
      </c>
      <c r="CP29">
        <v>275.47054838709698</v>
      </c>
      <c r="CQ29">
        <v>5.00054</v>
      </c>
      <c r="CR29">
        <v>8600.9735483871009</v>
      </c>
      <c r="CS29">
        <v>20590.6451612903</v>
      </c>
      <c r="CT29">
        <v>51.1309677419355</v>
      </c>
      <c r="CU29">
        <v>53.727645161290297</v>
      </c>
      <c r="CV29">
        <v>51.749935483870999</v>
      </c>
      <c r="CW29">
        <v>52.394870967741902</v>
      </c>
      <c r="CX29">
        <v>52.231645161290302</v>
      </c>
      <c r="CY29">
        <v>2155.5093548387099</v>
      </c>
      <c r="CZ29">
        <v>39.500645161290301</v>
      </c>
      <c r="DA29">
        <v>0</v>
      </c>
      <c r="DB29">
        <v>143</v>
      </c>
      <c r="DC29">
        <v>275.46684615384601</v>
      </c>
      <c r="DD29">
        <v>-1.22933333946984</v>
      </c>
      <c r="DE29">
        <v>-48.205128346673902</v>
      </c>
      <c r="DF29">
        <v>8600.3799999999992</v>
      </c>
      <c r="DG29">
        <v>15</v>
      </c>
      <c r="DH29">
        <v>1595617149.5999999</v>
      </c>
      <c r="DI29" t="s">
        <v>348</v>
      </c>
      <c r="DJ29">
        <v>83</v>
      </c>
      <c r="DK29">
        <v>-0.158</v>
      </c>
      <c r="DL29">
        <v>0.112</v>
      </c>
      <c r="DM29">
        <v>1200</v>
      </c>
      <c r="DN29">
        <v>17</v>
      </c>
      <c r="DO29">
        <v>0.16</v>
      </c>
      <c r="DP29">
        <v>7.0000000000000007E-2</v>
      </c>
      <c r="DQ29">
        <v>1181.4211764705899</v>
      </c>
      <c r="DR29">
        <v>0.35019001187841198</v>
      </c>
      <c r="DS29">
        <v>4.9966540130768101E-2</v>
      </c>
      <c r="DT29">
        <v>0</v>
      </c>
      <c r="DU29">
        <v>18.6963823529412</v>
      </c>
      <c r="DV29">
        <v>-6.0603204483310399E-2</v>
      </c>
      <c r="DW29">
        <v>7.4874458558351099E-3</v>
      </c>
      <c r="DX29">
        <v>1</v>
      </c>
      <c r="DY29">
        <v>1</v>
      </c>
      <c r="DZ29">
        <v>2</v>
      </c>
      <c r="EA29" t="s">
        <v>283</v>
      </c>
      <c r="EB29">
        <v>1.8666100000000001</v>
      </c>
      <c r="EC29">
        <v>1.8631500000000001</v>
      </c>
      <c r="ED29">
        <v>1.8688100000000001</v>
      </c>
      <c r="EE29">
        <v>1.8667499999999999</v>
      </c>
      <c r="EF29">
        <v>1.8714</v>
      </c>
      <c r="EG29">
        <v>1.8638699999999999</v>
      </c>
      <c r="EH29">
        <v>1.8653900000000001</v>
      </c>
      <c r="EI29">
        <v>1.86537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-0.158</v>
      </c>
      <c r="EX29">
        <v>0.112</v>
      </c>
      <c r="EY29">
        <v>2</v>
      </c>
      <c r="EZ29">
        <v>328.87299999999999</v>
      </c>
      <c r="FA29">
        <v>467.589</v>
      </c>
      <c r="FB29">
        <v>19.968800000000002</v>
      </c>
      <c r="FC29">
        <v>36.463900000000002</v>
      </c>
      <c r="FD29">
        <v>30.0002</v>
      </c>
      <c r="FE29">
        <v>36.380200000000002</v>
      </c>
      <c r="FF29">
        <v>36.367699999999999</v>
      </c>
      <c r="FG29">
        <v>53.467300000000002</v>
      </c>
      <c r="FH29">
        <v>50.101900000000001</v>
      </c>
      <c r="FI29">
        <v>0</v>
      </c>
      <c r="FJ29">
        <v>18.604800000000001</v>
      </c>
      <c r="FK29">
        <v>1200</v>
      </c>
      <c r="FL29">
        <v>17.124300000000002</v>
      </c>
      <c r="FM29">
        <v>100.33</v>
      </c>
      <c r="FN29">
        <v>100.693</v>
      </c>
    </row>
    <row r="30" spans="1:170" x14ac:dyDescent="0.25">
      <c r="A30">
        <v>14</v>
      </c>
      <c r="B30">
        <v>1595617245.5999999</v>
      </c>
      <c r="C30">
        <v>1769.5999999046301</v>
      </c>
      <c r="D30" t="s">
        <v>349</v>
      </c>
      <c r="E30" t="s">
        <v>350</v>
      </c>
      <c r="G30">
        <v>1595617237.65484</v>
      </c>
      <c r="H30">
        <f t="shared" si="0"/>
        <v>3.4909754772502908E-3</v>
      </c>
      <c r="I30">
        <f t="shared" si="1"/>
        <v>42.391935688704628</v>
      </c>
      <c r="J30">
        <f t="shared" si="2"/>
        <v>1580.9068709677399</v>
      </c>
      <c r="K30">
        <f t="shared" si="3"/>
        <v>1194.1825929311988</v>
      </c>
      <c r="L30">
        <f t="shared" si="4"/>
        <v>119.27377533381127</v>
      </c>
      <c r="M30">
        <f t="shared" si="5"/>
        <v>157.89941342944064</v>
      </c>
      <c r="N30">
        <f t="shared" si="6"/>
        <v>0.20092279507712957</v>
      </c>
      <c r="O30">
        <f t="shared" si="7"/>
        <v>3.3927516807685789</v>
      </c>
      <c r="P30">
        <f t="shared" si="8"/>
        <v>0.19453875560512718</v>
      </c>
      <c r="Q30">
        <f t="shared" si="9"/>
        <v>0.12214340553262291</v>
      </c>
      <c r="R30">
        <f t="shared" si="10"/>
        <v>353.3418053344306</v>
      </c>
      <c r="S30">
        <f t="shared" si="11"/>
        <v>27.116024426351441</v>
      </c>
      <c r="T30">
        <f t="shared" si="12"/>
        <v>27.1074032258065</v>
      </c>
      <c r="U30">
        <f t="shared" si="13"/>
        <v>3.6017994946626515</v>
      </c>
      <c r="V30">
        <f t="shared" si="14"/>
        <v>54.783729899971256</v>
      </c>
      <c r="W30">
        <f t="shared" si="15"/>
        <v>1.8584741951092054</v>
      </c>
      <c r="X30">
        <f t="shared" si="16"/>
        <v>3.3923834658621526</v>
      </c>
      <c r="Y30">
        <f t="shared" si="17"/>
        <v>1.7433252995534461</v>
      </c>
      <c r="Z30">
        <f t="shared" si="18"/>
        <v>-153.95201854673783</v>
      </c>
      <c r="AA30">
        <f t="shared" si="19"/>
        <v>-185.98999748252331</v>
      </c>
      <c r="AB30">
        <f t="shared" si="20"/>
        <v>-11.783409778333219</v>
      </c>
      <c r="AC30">
        <f t="shared" si="21"/>
        <v>1.6163795268362264</v>
      </c>
      <c r="AD30">
        <v>-4.1335439209117898E-2</v>
      </c>
      <c r="AE30">
        <v>4.6402651695595001E-2</v>
      </c>
      <c r="AF30">
        <v>3.4652881342138602</v>
      </c>
      <c r="AG30">
        <v>153</v>
      </c>
      <c r="AH30">
        <v>31</v>
      </c>
      <c r="AI30">
        <f t="shared" si="22"/>
        <v>1</v>
      </c>
      <c r="AJ30">
        <f t="shared" si="23"/>
        <v>0</v>
      </c>
      <c r="AK30">
        <f t="shared" si="24"/>
        <v>52869.442624393538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351</v>
      </c>
      <c r="AS30">
        <v>274.91980769230798</v>
      </c>
      <c r="AT30">
        <v>352.37200000000001</v>
      </c>
      <c r="AU30">
        <f t="shared" si="27"/>
        <v>0.21980234612197347</v>
      </c>
      <c r="AV30">
        <v>0.5</v>
      </c>
      <c r="AW30">
        <f t="shared" si="28"/>
        <v>1849.2081405039999</v>
      </c>
      <c r="AX30">
        <f t="shared" si="29"/>
        <v>42.391935688704628</v>
      </c>
      <c r="AY30">
        <f t="shared" si="30"/>
        <v>203.23014387531555</v>
      </c>
      <c r="AZ30">
        <f t="shared" si="31"/>
        <v>0.49156005585006757</v>
      </c>
      <c r="BA30">
        <f t="shared" si="32"/>
        <v>2.3465144208633108E-2</v>
      </c>
      <c r="BB30">
        <f t="shared" si="33"/>
        <v>-1</v>
      </c>
      <c r="BC30" t="s">
        <v>352</v>
      </c>
      <c r="BD30">
        <v>179.16</v>
      </c>
      <c r="BE30">
        <f t="shared" si="34"/>
        <v>173.21200000000002</v>
      </c>
      <c r="BF30">
        <f t="shared" si="35"/>
        <v>0.44715257781038276</v>
      </c>
      <c r="BG30">
        <f t="shared" si="36"/>
        <v>1.9668006251395402</v>
      </c>
      <c r="BH30">
        <f t="shared" si="37"/>
        <v>0.21980234612197344</v>
      </c>
      <c r="BI30" t="e">
        <f t="shared" si="38"/>
        <v>#DIV/0!</v>
      </c>
      <c r="BJ30">
        <v>5375</v>
      </c>
      <c r="BK30">
        <v>300</v>
      </c>
      <c r="BL30">
        <v>300</v>
      </c>
      <c r="BM30">
        <v>300</v>
      </c>
      <c r="BN30">
        <v>9865.44</v>
      </c>
      <c r="BO30">
        <v>329.52</v>
      </c>
      <c r="BP30">
        <v>-6.3974499999999998E-3</v>
      </c>
      <c r="BQ30">
        <v>1.2002299999999999</v>
      </c>
      <c r="BR30">
        <f t="shared" si="39"/>
        <v>2200.0274193548398</v>
      </c>
      <c r="BS30">
        <f t="shared" si="40"/>
        <v>1849.2081405039999</v>
      </c>
      <c r="BT30">
        <f t="shared" si="41"/>
        <v>0.84053867885259448</v>
      </c>
      <c r="BU30">
        <f t="shared" si="42"/>
        <v>0.19107735770518924</v>
      </c>
      <c r="BV30">
        <v>0.5</v>
      </c>
      <c r="BW30" t="s">
        <v>281</v>
      </c>
      <c r="BX30">
        <v>1595617237.65484</v>
      </c>
      <c r="BY30">
        <v>1580.9068709677399</v>
      </c>
      <c r="BZ30">
        <v>1600.0690322580599</v>
      </c>
      <c r="CA30">
        <v>18.6072548387097</v>
      </c>
      <c r="CB30">
        <v>17.2370032258065</v>
      </c>
      <c r="CC30">
        <v>500.05677419354902</v>
      </c>
      <c r="CD30">
        <v>99.6790290322581</v>
      </c>
      <c r="CE30">
        <v>0.19998112903225801</v>
      </c>
      <c r="CF30">
        <v>26.090564516129</v>
      </c>
      <c r="CG30">
        <v>27.1074032258065</v>
      </c>
      <c r="CH30">
        <v>999.9</v>
      </c>
      <c r="CI30">
        <v>10000.3403225806</v>
      </c>
      <c r="CJ30">
        <v>0</v>
      </c>
      <c r="CK30">
        <v>318.26264516128998</v>
      </c>
      <c r="CL30">
        <v>2200.0274193548398</v>
      </c>
      <c r="CM30">
        <v>0.982002516129032</v>
      </c>
      <c r="CN30">
        <v>1.7997658064516101E-2</v>
      </c>
      <c r="CO30">
        <v>0</v>
      </c>
      <c r="CP30">
        <v>274.95483870967701</v>
      </c>
      <c r="CQ30">
        <v>5.00054</v>
      </c>
      <c r="CR30">
        <v>8577.6622580645108</v>
      </c>
      <c r="CS30">
        <v>20590.806451612902</v>
      </c>
      <c r="CT30">
        <v>51.044064516128998</v>
      </c>
      <c r="CU30">
        <v>53.670999999999999</v>
      </c>
      <c r="CV30">
        <v>51.673129032257997</v>
      </c>
      <c r="CW30">
        <v>52.261870967741899</v>
      </c>
      <c r="CX30">
        <v>52.177258064516103</v>
      </c>
      <c r="CY30">
        <v>2155.52</v>
      </c>
      <c r="CZ30">
        <v>39.503548387096799</v>
      </c>
      <c r="DA30">
        <v>0</v>
      </c>
      <c r="DB30">
        <v>118.40000009536701</v>
      </c>
      <c r="DC30">
        <v>274.91980769230798</v>
      </c>
      <c r="DD30">
        <v>-2.22847862127227</v>
      </c>
      <c r="DE30">
        <v>-81.507692105521599</v>
      </c>
      <c r="DF30">
        <v>8576.7792307692307</v>
      </c>
      <c r="DG30">
        <v>15</v>
      </c>
      <c r="DH30">
        <v>1595617268.0999999</v>
      </c>
      <c r="DI30" t="s">
        <v>353</v>
      </c>
      <c r="DJ30">
        <v>84</v>
      </c>
      <c r="DK30">
        <v>-0.36499999999999999</v>
      </c>
      <c r="DL30">
        <v>0.11600000000000001</v>
      </c>
      <c r="DM30">
        <v>1600</v>
      </c>
      <c r="DN30">
        <v>17</v>
      </c>
      <c r="DO30">
        <v>0.25</v>
      </c>
      <c r="DP30">
        <v>0.05</v>
      </c>
      <c r="DQ30">
        <v>1581.08196078431</v>
      </c>
      <c r="DR30">
        <v>0.29942706703182398</v>
      </c>
      <c r="DS30">
        <v>6.6273929687697894E-2</v>
      </c>
      <c r="DT30">
        <v>1</v>
      </c>
      <c r="DU30">
        <v>18.591794117647101</v>
      </c>
      <c r="DV30">
        <v>0.120305604063542</v>
      </c>
      <c r="DW30">
        <v>1.5690579311274998E-2</v>
      </c>
      <c r="DX30">
        <v>1</v>
      </c>
      <c r="DY30">
        <v>2</v>
      </c>
      <c r="DZ30">
        <v>2</v>
      </c>
      <c r="EA30" t="s">
        <v>293</v>
      </c>
      <c r="EB30">
        <v>1.8666100000000001</v>
      </c>
      <c r="EC30">
        <v>1.86321</v>
      </c>
      <c r="ED30">
        <v>1.8688400000000001</v>
      </c>
      <c r="EE30">
        <v>1.86676</v>
      </c>
      <c r="EF30">
        <v>1.8714500000000001</v>
      </c>
      <c r="EG30">
        <v>1.8638600000000001</v>
      </c>
      <c r="EH30">
        <v>1.8653900000000001</v>
      </c>
      <c r="EI30">
        <v>1.86537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-0.36499999999999999</v>
      </c>
      <c r="EX30">
        <v>0.11600000000000001</v>
      </c>
      <c r="EY30">
        <v>2</v>
      </c>
      <c r="EZ30">
        <v>329.37</v>
      </c>
      <c r="FA30">
        <v>468.75099999999998</v>
      </c>
      <c r="FB30">
        <v>20.024699999999999</v>
      </c>
      <c r="FC30">
        <v>36.460700000000003</v>
      </c>
      <c r="FD30">
        <v>29.9999</v>
      </c>
      <c r="FE30">
        <v>36.410699999999999</v>
      </c>
      <c r="FF30">
        <v>36.401299999999999</v>
      </c>
      <c r="FG30">
        <v>67.240799999999993</v>
      </c>
      <c r="FH30">
        <v>49.735500000000002</v>
      </c>
      <c r="FI30">
        <v>0</v>
      </c>
      <c r="FJ30">
        <v>18.908999999999999</v>
      </c>
      <c r="FK30">
        <v>1600</v>
      </c>
      <c r="FL30">
        <v>17.2544</v>
      </c>
      <c r="FM30">
        <v>100.33</v>
      </c>
      <c r="FN30">
        <v>100.69799999999999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2020-07-24T14:02:49Z</dcterms:created>
  <dcterms:modified xsi:type="dcterms:W3CDTF">2024-11-20T09:03:04Z</dcterms:modified>
</cp:coreProperties>
</file>