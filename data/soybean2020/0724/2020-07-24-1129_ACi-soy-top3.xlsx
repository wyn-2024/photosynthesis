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24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AZ30" i="1" s="1"/>
  <c r="BB30" i="1"/>
  <c r="AU30" i="1"/>
  <c r="AO30" i="1"/>
  <c r="AP30" i="1" s="1"/>
  <c r="AK30" i="1"/>
  <c r="AI30" i="1"/>
  <c r="M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M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J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R25" i="1" s="1"/>
  <c r="BT25" i="1"/>
  <c r="BS25" i="1"/>
  <c r="BR25" i="1"/>
  <c r="BI25" i="1"/>
  <c r="BH25" i="1"/>
  <c r="BG25" i="1"/>
  <c r="BF25" i="1"/>
  <c r="BE25" i="1"/>
  <c r="AZ25" i="1" s="1"/>
  <c r="BB25" i="1"/>
  <c r="AW25" i="1"/>
  <c r="AU25" i="1"/>
  <c r="AY25" i="1" s="1"/>
  <c r="AO25" i="1"/>
  <c r="AP25" i="1" s="1"/>
  <c r="AK25" i="1"/>
  <c r="AI25" i="1"/>
  <c r="AJ25" i="1" s="1"/>
  <c r="X25" i="1"/>
  <c r="V25" i="1" s="1"/>
  <c r="W25" i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M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P23" i="1"/>
  <c r="AO23" i="1"/>
  <c r="AK23" i="1"/>
  <c r="AI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 s="1"/>
  <c r="X22" i="1"/>
  <c r="W22" i="1"/>
  <c r="V22" i="1"/>
  <c r="O22" i="1"/>
  <c r="BU21" i="1"/>
  <c r="BT21" i="1"/>
  <c r="BS21" i="1"/>
  <c r="BR21" i="1"/>
  <c r="BI21" i="1"/>
  <c r="BH21" i="1"/>
  <c r="BG21" i="1"/>
  <c r="BF21" i="1"/>
  <c r="BE21" i="1"/>
  <c r="BB21" i="1"/>
  <c r="AZ21" i="1"/>
  <c r="AW21" i="1"/>
  <c r="AU21" i="1"/>
  <c r="AY21" i="1" s="1"/>
  <c r="AO21" i="1"/>
  <c r="AP21" i="1" s="1"/>
  <c r="AK21" i="1"/>
  <c r="AI21" i="1"/>
  <c r="M21" i="1" s="1"/>
  <c r="X21" i="1"/>
  <c r="W21" i="1"/>
  <c r="V21" i="1"/>
  <c r="R21" i="1"/>
  <c r="O21" i="1"/>
  <c r="BU20" i="1"/>
  <c r="BT20" i="1"/>
  <c r="BR20" i="1"/>
  <c r="BS20" i="1" s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/>
  <c r="M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AJ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 s="1"/>
  <c r="X17" i="1"/>
  <c r="W17" i="1"/>
  <c r="V17" i="1"/>
  <c r="O17" i="1"/>
  <c r="AW17" i="1" l="1"/>
  <c r="R17" i="1"/>
  <c r="AW20" i="1"/>
  <c r="AY20" i="1" s="1"/>
  <c r="R20" i="1"/>
  <c r="AJ26" i="1"/>
  <c r="M26" i="1"/>
  <c r="J26" i="1"/>
  <c r="H26" i="1"/>
  <c r="I26" i="1"/>
  <c r="AX26" i="1" s="1"/>
  <c r="BA26" i="1" s="1"/>
  <c r="R27" i="1"/>
  <c r="AW27" i="1"/>
  <c r="AY27" i="1" s="1"/>
  <c r="AW30" i="1"/>
  <c r="AY30" i="1" s="1"/>
  <c r="R30" i="1"/>
  <c r="AW22" i="1"/>
  <c r="AY22" i="1" s="1"/>
  <c r="R22" i="1"/>
  <c r="AW18" i="1"/>
  <c r="AY18" i="1" s="1"/>
  <c r="R18" i="1"/>
  <c r="R29" i="1"/>
  <c r="AW29" i="1"/>
  <c r="AY29" i="1" s="1"/>
  <c r="R28" i="1"/>
  <c r="AW28" i="1"/>
  <c r="AY28" i="1" s="1"/>
  <c r="AW19" i="1"/>
  <c r="AY19" i="1" s="1"/>
  <c r="R19" i="1"/>
  <c r="R26" i="1"/>
  <c r="AW26" i="1"/>
  <c r="AY26" i="1" s="1"/>
  <c r="M28" i="1"/>
  <c r="I28" i="1"/>
  <c r="AX28" i="1" s="1"/>
  <c r="BA28" i="1" s="1"/>
  <c r="H28" i="1"/>
  <c r="J28" i="1"/>
  <c r="AJ28" i="1"/>
  <c r="AJ23" i="1"/>
  <c r="M23" i="1"/>
  <c r="J23" i="1"/>
  <c r="H23" i="1"/>
  <c r="I23" i="1"/>
  <c r="AX23" i="1" s="1"/>
  <c r="BA23" i="1" s="1"/>
  <c r="AW24" i="1"/>
  <c r="AY24" i="1" s="1"/>
  <c r="R24" i="1"/>
  <c r="J22" i="1"/>
  <c r="M22" i="1"/>
  <c r="I22" i="1"/>
  <c r="AX22" i="1" s="1"/>
  <c r="H22" i="1"/>
  <c r="AJ22" i="1"/>
  <c r="AW23" i="1"/>
  <c r="AY23" i="1" s="1"/>
  <c r="R23" i="1"/>
  <c r="I17" i="1"/>
  <c r="AX17" i="1" s="1"/>
  <c r="BA17" i="1" s="1"/>
  <c r="H17" i="1"/>
  <c r="M17" i="1"/>
  <c r="AJ17" i="1"/>
  <c r="J17" i="1"/>
  <c r="AY17" i="1"/>
  <c r="I21" i="1"/>
  <c r="AX21" i="1" s="1"/>
  <c r="BA21" i="1" s="1"/>
  <c r="J21" i="1"/>
  <c r="AJ30" i="1"/>
  <c r="H30" i="1"/>
  <c r="I30" i="1"/>
  <c r="AX30" i="1" s="1"/>
  <c r="BA30" i="1" s="1"/>
  <c r="H20" i="1"/>
  <c r="I24" i="1"/>
  <c r="AX24" i="1" s="1"/>
  <c r="BA24" i="1" s="1"/>
  <c r="J29" i="1"/>
  <c r="I19" i="1"/>
  <c r="AX19" i="1" s="1"/>
  <c r="J24" i="1"/>
  <c r="J19" i="1"/>
  <c r="J30" i="1"/>
  <c r="J20" i="1"/>
  <c r="H18" i="1"/>
  <c r="M19" i="1"/>
  <c r="H21" i="1"/>
  <c r="S21" i="1" s="1"/>
  <c r="T21" i="1" s="1"/>
  <c r="J25" i="1"/>
  <c r="AJ24" i="1"/>
  <c r="H24" i="1"/>
  <c r="H19" i="1"/>
  <c r="AJ18" i="1"/>
  <c r="J18" i="1"/>
  <c r="AJ27" i="1"/>
  <c r="AJ20" i="1"/>
  <c r="H25" i="1"/>
  <c r="S25" i="1" s="1"/>
  <c r="T25" i="1" s="1"/>
  <c r="I25" i="1"/>
  <c r="AX25" i="1" s="1"/>
  <c r="BA25" i="1" s="1"/>
  <c r="H29" i="1"/>
  <c r="H27" i="1"/>
  <c r="I20" i="1"/>
  <c r="AX20" i="1" s="1"/>
  <c r="BA20" i="1" s="1"/>
  <c r="AJ29" i="1"/>
  <c r="M25" i="1"/>
  <c r="I18" i="1"/>
  <c r="AX18" i="1" s="1"/>
  <c r="I27" i="1"/>
  <c r="AX27" i="1" s="1"/>
  <c r="AJ21" i="1"/>
  <c r="I29" i="1"/>
  <c r="AX29" i="1" s="1"/>
  <c r="BA29" i="1" s="1"/>
  <c r="AB21" i="1" l="1"/>
  <c r="U21" i="1"/>
  <c r="Y21" i="1" s="1"/>
  <c r="AA21" i="1"/>
  <c r="AB25" i="1"/>
  <c r="AA25" i="1"/>
  <c r="U25" i="1"/>
  <c r="Y25" i="1" s="1"/>
  <c r="S30" i="1"/>
  <c r="T30" i="1" s="1"/>
  <c r="S27" i="1"/>
  <c r="T27" i="1" s="1"/>
  <c r="P24" i="1"/>
  <c r="N24" i="1" s="1"/>
  <c r="Q24" i="1" s="1"/>
  <c r="K24" i="1" s="1"/>
  <c r="L24" i="1" s="1"/>
  <c r="Z24" i="1"/>
  <c r="S19" i="1"/>
  <c r="T19" i="1" s="1"/>
  <c r="S18" i="1"/>
  <c r="T18" i="1" s="1"/>
  <c r="P18" i="1" s="1"/>
  <c r="N18" i="1" s="1"/>
  <c r="Q18" i="1" s="1"/>
  <c r="K18" i="1" s="1"/>
  <c r="L18" i="1" s="1"/>
  <c r="Z28" i="1"/>
  <c r="S26" i="1"/>
  <c r="T26" i="1" s="1"/>
  <c r="BA22" i="1"/>
  <c r="BA27" i="1"/>
  <c r="P23" i="1"/>
  <c r="N23" i="1" s="1"/>
  <c r="Q23" i="1" s="1"/>
  <c r="K23" i="1" s="1"/>
  <c r="L23" i="1" s="1"/>
  <c r="Z23" i="1"/>
  <c r="Z25" i="1"/>
  <c r="P25" i="1"/>
  <c r="N25" i="1" s="1"/>
  <c r="Q25" i="1" s="1"/>
  <c r="K25" i="1" s="1"/>
  <c r="L25" i="1" s="1"/>
  <c r="Z22" i="1"/>
  <c r="S20" i="1"/>
  <c r="T20" i="1" s="1"/>
  <c r="BA19" i="1"/>
  <c r="S24" i="1"/>
  <c r="T24" i="1" s="1"/>
  <c r="Z27" i="1"/>
  <c r="Z29" i="1"/>
  <c r="S22" i="1"/>
  <c r="T22" i="1" s="1"/>
  <c r="P19" i="1"/>
  <c r="N19" i="1" s="1"/>
  <c r="Q19" i="1" s="1"/>
  <c r="K19" i="1" s="1"/>
  <c r="L19" i="1" s="1"/>
  <c r="Z19" i="1"/>
  <c r="Z26" i="1"/>
  <c r="S28" i="1"/>
  <c r="T28" i="1" s="1"/>
  <c r="BA18" i="1"/>
  <c r="P20" i="1"/>
  <c r="N20" i="1" s="1"/>
  <c r="Q20" i="1" s="1"/>
  <c r="K20" i="1" s="1"/>
  <c r="L20" i="1" s="1"/>
  <c r="Z20" i="1"/>
  <c r="Z30" i="1"/>
  <c r="Z17" i="1"/>
  <c r="S23" i="1"/>
  <c r="T23" i="1" s="1"/>
  <c r="Z21" i="1"/>
  <c r="P21" i="1"/>
  <c r="N21" i="1" s="1"/>
  <c r="Q21" i="1" s="1"/>
  <c r="K21" i="1" s="1"/>
  <c r="L21" i="1" s="1"/>
  <c r="Z18" i="1"/>
  <c r="S17" i="1"/>
  <c r="T17" i="1" s="1"/>
  <c r="S29" i="1"/>
  <c r="T29" i="1" s="1"/>
  <c r="U22" i="1" l="1"/>
  <c r="Y22" i="1" s="1"/>
  <c r="AB22" i="1"/>
  <c r="AA22" i="1"/>
  <c r="AB26" i="1"/>
  <c r="AC26" i="1" s="1"/>
  <c r="U26" i="1"/>
  <c r="Y26" i="1" s="1"/>
  <c r="AA26" i="1"/>
  <c r="U29" i="1"/>
  <c r="Y29" i="1" s="1"/>
  <c r="AB29" i="1"/>
  <c r="AA29" i="1"/>
  <c r="U27" i="1"/>
  <c r="Y27" i="1" s="1"/>
  <c r="AB27" i="1"/>
  <c r="AC27" i="1" s="1"/>
  <c r="AA27" i="1"/>
  <c r="P26" i="1"/>
  <c r="N26" i="1" s="1"/>
  <c r="Q26" i="1" s="1"/>
  <c r="K26" i="1" s="1"/>
  <c r="L26" i="1" s="1"/>
  <c r="AA24" i="1"/>
  <c r="AB24" i="1"/>
  <c r="AC24" i="1" s="1"/>
  <c r="U24" i="1"/>
  <c r="Y24" i="1" s="1"/>
  <c r="AA23" i="1"/>
  <c r="U23" i="1"/>
  <c r="Y23" i="1" s="1"/>
  <c r="AB23" i="1"/>
  <c r="AC23" i="1" s="1"/>
  <c r="U28" i="1"/>
  <c r="Y28" i="1" s="1"/>
  <c r="AB28" i="1"/>
  <c r="AA28" i="1"/>
  <c r="P28" i="1"/>
  <c r="N28" i="1" s="1"/>
  <c r="Q28" i="1" s="1"/>
  <c r="K28" i="1" s="1"/>
  <c r="L28" i="1" s="1"/>
  <c r="U18" i="1"/>
  <c r="Y18" i="1" s="1"/>
  <c r="AB18" i="1"/>
  <c r="AA18" i="1"/>
  <c r="P29" i="1"/>
  <c r="N29" i="1" s="1"/>
  <c r="Q29" i="1" s="1"/>
  <c r="K29" i="1" s="1"/>
  <c r="L29" i="1" s="1"/>
  <c r="AB17" i="1"/>
  <c r="U17" i="1"/>
  <c r="Y17" i="1" s="1"/>
  <c r="AA17" i="1"/>
  <c r="P27" i="1"/>
  <c r="N27" i="1" s="1"/>
  <c r="Q27" i="1" s="1"/>
  <c r="K27" i="1" s="1"/>
  <c r="L27" i="1" s="1"/>
  <c r="AA19" i="1"/>
  <c r="U19" i="1"/>
  <c r="Y19" i="1" s="1"/>
  <c r="AB19" i="1"/>
  <c r="AC19" i="1" s="1"/>
  <c r="AA30" i="1"/>
  <c r="U30" i="1"/>
  <c r="Y30" i="1" s="1"/>
  <c r="AB30" i="1"/>
  <c r="AC30" i="1" s="1"/>
  <c r="AB20" i="1"/>
  <c r="AA20" i="1"/>
  <c r="U20" i="1"/>
  <c r="Y20" i="1" s="1"/>
  <c r="P17" i="1"/>
  <c r="N17" i="1" s="1"/>
  <c r="Q17" i="1" s="1"/>
  <c r="K17" i="1" s="1"/>
  <c r="L17" i="1" s="1"/>
  <c r="AC25" i="1"/>
  <c r="P22" i="1"/>
  <c r="N22" i="1" s="1"/>
  <c r="Q22" i="1" s="1"/>
  <c r="K22" i="1" s="1"/>
  <c r="L22" i="1" s="1"/>
  <c r="P30" i="1"/>
  <c r="N30" i="1" s="1"/>
  <c r="Q30" i="1" s="1"/>
  <c r="K30" i="1" s="1"/>
  <c r="L30" i="1" s="1"/>
  <c r="AC21" i="1"/>
  <c r="AC20" i="1" l="1"/>
  <c r="AC29" i="1"/>
  <c r="AC22" i="1"/>
  <c r="AC28" i="1"/>
  <c r="AC17" i="1"/>
  <c r="AC18" i="1"/>
</calcChain>
</file>

<file path=xl/sharedStrings.xml><?xml version="1.0" encoding="utf-8"?>
<sst xmlns="http://schemas.openxmlformats.org/spreadsheetml/2006/main" count="771" uniqueCount="355">
  <si>
    <t>File opened</t>
  </si>
  <si>
    <t>2020-07-24 11:29:44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</si>
  <si>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</si>
  <si>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</si>
  <si>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</si>
  <si>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</si>
  <si>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</si>
  <si>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</si>
  <si>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</si>
  <si>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</si>
  <si>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</si>
  <si>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</si>
  <si>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</si>
  <si>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{"co2bzero": "0.880288", "tbzero": "0.197721", "co2aspan2b": "0.163711", "h2obspanconc1": "20", "co2bspan2b": "0.162103", "h2obspan1": "0.998578", "h2oazero": "1.00263", "h2obspanconc2": "0", "co2bspan1": "0.992131", "flowmeterzero": "0.990908", "h2oaspan1": "1.00223", "h2oaspan2b": "0.0662632", "flowazero": "0.42932", "h2obspan2a": "0.0975941", "h2oaspanconc2": "0", "h2obzero": "1.01783", "co2aspan2": "0", "co2bspanconc2": "0", "co2aspan2a": "0.164928", "co2aspanconc1": "1002", "tazero": "0.00774765", "h2obspan2": "0", "flowbzero": "0.22736", "ssa_ref": "36614.9", "co2aspan1": "0.992625", "co2bspan2": "0", "h2oaspanconc1": "12.19", "ssb_ref": "36526.8", "co2bspanconc1": "1002", "h2oaspan2a": "0.0661155", "co2azero": "0.869071", "oxygen": "21", "chamberpressurezero": "2.59209", "co2bspan2a": "0.163389", "co2aspanconc2": "0", "h2obspan2b": "0.0963575", "h2oaspan2": "0"}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</si>
  <si>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</si>
  <si>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</si>
  <si>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</si>
  <si>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</si>
  <si>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</si>
  <si>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</si>
  <si>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</si>
  <si>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</si>
  <si>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</si>
  <si>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11:29:44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</si>
  <si>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</si>
  <si>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</si>
  <si>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</si>
  <si>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</si>
  <si>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</si>
  <si>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</si>
  <si>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</si>
  <si>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</si>
  <si>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</si>
  <si>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</si>
  <si>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</si>
  <si>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</si>
  <si>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</si>
  <si>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</si>
  <si>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</si>
  <si>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</si>
  <si>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</si>
  <si>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</si>
  <si>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</si>
  <si>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</si>
  <si>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</si>
  <si>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</si>
  <si>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</si>
  <si>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</si>
  <si>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</si>
  <si>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</si>
  <si>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</si>
  <si>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</si>
  <si>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</si>
  <si>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</si>
  <si>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</si>
  <si>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</si>
  <si>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</si>
  <si>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</si>
  <si>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</si>
  <si>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</si>
  <si>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</si>
  <si>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</si>
  <si>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</si>
  <si>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</si>
  <si>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</si>
  <si>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</si>
  <si>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</si>
  <si>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</si>
  <si>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</si>
  <si>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</si>
  <si>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</si>
  <si>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3.46935 75.7742 386.148 617.459 845.313 1047.31 1232.25 1386.61</t>
  </si>
  <si>
    <t>Fs_true</t>
  </si>
  <si>
    <t>0.0901397 100.218 402.746 600.792 800.086 1000.08 1200.42 1401.29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</si>
  <si>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</si>
  <si>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</si>
  <si>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</si>
  <si>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</si>
  <si>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</si>
  <si>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</si>
  <si>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</si>
  <si>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</si>
  <si>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</si>
  <si>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</si>
  <si>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</si>
  <si>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</si>
  <si>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</si>
  <si>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</si>
  <si>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</si>
  <si>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</si>
  <si>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</si>
  <si>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</si>
  <si>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</si>
  <si>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</si>
  <si>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</si>
  <si>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</si>
  <si>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</si>
  <si>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</si>
  <si>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</si>
  <si>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</si>
  <si>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</si>
  <si>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</si>
  <si>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</si>
  <si>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</si>
  <si>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</si>
  <si>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</si>
  <si>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</si>
  <si>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</si>
  <si>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</si>
  <si>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</si>
  <si>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</si>
  <si>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</si>
  <si>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</si>
  <si>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</si>
  <si>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</si>
  <si>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</si>
  <si>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</si>
  <si>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</si>
  <si>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</si>
  <si>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</si>
  <si>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</si>
  <si>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</si>
  <si>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</si>
  <si>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</si>
  <si>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</si>
  <si>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</si>
  <si>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</si>
  <si>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</si>
  <si>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</si>
  <si>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</si>
  <si>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</si>
  <si>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</si>
  <si>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</si>
  <si>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</si>
  <si>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</si>
  <si>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</si>
  <si>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</si>
  <si>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</si>
  <si>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</si>
  <si>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</si>
  <si>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</si>
  <si>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</si>
  <si>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</si>
  <si>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</si>
  <si>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</si>
  <si>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</si>
  <si>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</si>
  <si>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</si>
  <si>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</si>
  <si>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</si>
  <si>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</si>
  <si>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</si>
  <si>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</si>
  <si>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</si>
  <si>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</si>
  <si>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</si>
  <si>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</si>
  <si>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</si>
  <si>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</si>
  <si>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</si>
  <si>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</si>
  <si>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</si>
  <si>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</si>
  <si>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</si>
  <si>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</si>
  <si>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</si>
  <si>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</si>
  <si>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</si>
  <si>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</si>
  <si>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</si>
  <si>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</si>
  <si>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</si>
  <si>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</si>
  <si>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</si>
  <si>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</si>
  <si>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</si>
  <si>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</si>
  <si>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</si>
  <si>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</si>
  <si>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</si>
  <si>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</si>
  <si>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</si>
  <si>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</si>
  <si>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</si>
  <si>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</si>
  <si>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</si>
  <si>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</si>
  <si>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</si>
  <si>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</si>
  <si>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</si>
  <si>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</si>
  <si>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</si>
  <si>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</si>
  <si>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</si>
  <si>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</si>
  <si>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</si>
  <si>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</si>
  <si>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</si>
  <si>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</si>
  <si>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</si>
  <si>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</si>
  <si>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</si>
  <si>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</si>
  <si>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</si>
  <si>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</si>
  <si>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</si>
  <si>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</si>
  <si>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</si>
  <si>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</si>
  <si>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</si>
  <si>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</si>
  <si>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</si>
  <si>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</si>
  <si>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</si>
  <si>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</si>
  <si>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</si>
  <si>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</si>
  <si>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</si>
  <si>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</si>
  <si>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</si>
  <si>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</si>
  <si>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</si>
  <si>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</si>
  <si>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</si>
  <si>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</si>
  <si>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</si>
  <si>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</si>
  <si>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</si>
  <si>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</si>
  <si>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</si>
  <si>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</si>
  <si>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</si>
  <si>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</si>
  <si>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</si>
  <si>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</si>
  <si>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</si>
  <si>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</si>
  <si>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</si>
  <si>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</si>
  <si>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</si>
  <si>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</si>
  <si>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</si>
  <si>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</si>
  <si>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</si>
  <si>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</si>
  <si>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</si>
  <si>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</si>
  <si>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</si>
  <si>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</si>
  <si>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</si>
  <si>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</si>
  <si>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</si>
  <si>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</si>
  <si>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</si>
  <si>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</si>
  <si>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</si>
  <si>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</si>
  <si>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</si>
  <si>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</si>
  <si>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</si>
  <si>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</si>
  <si>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</si>
  <si>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</si>
  <si>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</si>
  <si>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</si>
  <si>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</si>
  <si>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</si>
  <si>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</si>
  <si>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</si>
  <si>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</si>
  <si>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</si>
  <si>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</si>
  <si>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</si>
  <si>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</si>
  <si>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</si>
  <si>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</si>
  <si>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</si>
  <si>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20200724 11:36:31</t>
  </si>
  <si>
    <t>11:36:31</t>
  </si>
  <si>
    <t>MPF-5265-20200724-11_36_32</t>
  </si>
  <si>
    <t>DARK-5266-20200724-11_36_40</t>
  </si>
  <si>
    <t>0: Broadleaf</t>
  </si>
  <si>
    <t>11:37:04</t>
  </si>
  <si>
    <t>2/2</t>
  </si>
  <si>
    <t>5</t>
  </si>
  <si>
    <t>11111111</t>
  </si>
  <si>
    <t>oooooooo</t>
  </si>
  <si>
    <t>off</t>
  </si>
  <si>
    <t>20200724 11:38:53</t>
  </si>
  <si>
    <t>11:38:53</t>
  </si>
  <si>
    <t>MPF-5267-20200724-11_38_55</t>
  </si>
  <si>
    <t>DARK-5268-20200724-11_39_02</t>
  </si>
  <si>
    <t>11:39:28</t>
  </si>
  <si>
    <t>20200724 11:41:00</t>
  </si>
  <si>
    <t>11:41:00</t>
  </si>
  <si>
    <t>MPF-5269-20200724-11_41_02</t>
  </si>
  <si>
    <t>DARK-5270-20200724-11_41_09</t>
  </si>
  <si>
    <t>11:41:27</t>
  </si>
  <si>
    <t>20200724 11:42:58</t>
  </si>
  <si>
    <t>11:42:58</t>
  </si>
  <si>
    <t>MPF-5271-20200724-11_43_00</t>
  </si>
  <si>
    <t>DARK-5272-20200724-11_43_08</t>
  </si>
  <si>
    <t>11:43:25</t>
  </si>
  <si>
    <t>20200724 11:44:56</t>
  </si>
  <si>
    <t>11:44:56</t>
  </si>
  <si>
    <t>MPF-5273-20200724-11_44_58</t>
  </si>
  <si>
    <t>DARK-5274-20200724-11_45_06</t>
  </si>
  <si>
    <t>11:45:26</t>
  </si>
  <si>
    <t>20200724 11:47:27</t>
  </si>
  <si>
    <t>11:47:27</t>
  </si>
  <si>
    <t>MPF-5275-20200724-11_47_29</t>
  </si>
  <si>
    <t>DARK-5276-20200724-11_47_37</t>
  </si>
  <si>
    <t>11:47:56</t>
  </si>
  <si>
    <t>1/2</t>
  </si>
  <si>
    <t>20200724 11:49:28</t>
  </si>
  <si>
    <t>11:49:28</t>
  </si>
  <si>
    <t>MPF-5277-20200724-11_49_29</t>
  </si>
  <si>
    <t>DARK-5278-20200724-11_49_37</t>
  </si>
  <si>
    <t>11:49:56</t>
  </si>
  <si>
    <t>20200724 11:51:58</t>
  </si>
  <si>
    <t>11:51:58</t>
  </si>
  <si>
    <t>MPF-5279-20200724-11_52_00</t>
  </si>
  <si>
    <t>DARK-5280-20200724-11_52_07</t>
  </si>
  <si>
    <t>11:52:29</t>
  </si>
  <si>
    <t>20200724 11:54:09</t>
  </si>
  <si>
    <t>11:54:09</t>
  </si>
  <si>
    <t>MPF-5281-20200724-11_54_11</t>
  </si>
  <si>
    <t>DARK-5282-20200724-11_54_19</t>
  </si>
  <si>
    <t>11:54:40</t>
  </si>
  <si>
    <t>20200724 11:56:42</t>
  </si>
  <si>
    <t>11:56:42</t>
  </si>
  <si>
    <t>MPF-5283-20200724-11_56_44</t>
  </si>
  <si>
    <t>DARK-5284-20200724-11_56_51</t>
  </si>
  <si>
    <t>11:57:13</t>
  </si>
  <si>
    <t>0/2</t>
  </si>
  <si>
    <t>20200724 11:59:15</t>
  </si>
  <si>
    <t>11:59:15</t>
  </si>
  <si>
    <t>MPF-5285-20200724-11_59_16</t>
  </si>
  <si>
    <t>DARK-5286-20200724-11_59_24</t>
  </si>
  <si>
    <t>11:59:42</t>
  </si>
  <si>
    <t>20200724 12:01:33</t>
  </si>
  <si>
    <t>12:01:33</t>
  </si>
  <si>
    <t>MPF-5287-20200724-12_01_35</t>
  </si>
  <si>
    <t>DARK-5288-20200724-12_01_42</t>
  </si>
  <si>
    <t>12:02:01</t>
  </si>
  <si>
    <t>20200724 12:03:32</t>
  </si>
  <si>
    <t>12:03:32</t>
  </si>
  <si>
    <t>MPF-5289-20200724-12_03_34</t>
  </si>
  <si>
    <t>DARK-5290-20200724-12_03_41</t>
  </si>
  <si>
    <t>12:03:58</t>
  </si>
  <si>
    <t>20200724 12:05:36</t>
  </si>
  <si>
    <t>12:05:36</t>
  </si>
  <si>
    <t>MPF-5291-20200724-12_05_37</t>
  </si>
  <si>
    <t>DARK-5292-20200724-12_05_45</t>
  </si>
  <si>
    <t>12:06:00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</si>
</sst>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1595608591.3</v>
      </c>
      <c r="C17">
        <v>0</v>
      </c>
      <c r="D17" t="s">
        <v>277</v>
      </c>
      <c r="E17" t="s">
        <v>278</v>
      </c>
      <c r="G17">
        <v>1595608583.34516</v>
      </c>
      <c r="H17">
        <f t="shared" ref="H17:H30" si="0">CC17*AI17*(CA17-CB17)/(100*$B$5*(1000-AI17*CA17))</f>
        <v>1.2217269569272221E-2</v>
      </c>
      <c r="I17">
        <f t="shared" ref="I17:I30" si="1">CC17*AI17*(BZ17-BY17*(1000-AI17*CB17)/(1000-AI17*CA17))/(100*$B$5)</f>
        <v>34.579284221914342</v>
      </c>
      <c r="J17">
        <f t="shared" ref="J17:J30" si="2">BY17 - IF(AI17&gt;1, I17*$B$5*100/(AK17*CI17), 0)</f>
        <v>384.29467741935503</v>
      </c>
      <c r="K17">
        <f t="shared" ref="K17:K30" si="3">((Q17-H17/2)*J17-I17)/(Q17+H17/2)</f>
        <v>306.12034249304077</v>
      </c>
      <c r="L17">
        <f t="shared" ref="L17:L30" si="4">K17*(CD17+CE17)/1000</f>
        <v>30.594596103993968</v>
      </c>
      <c r="M17">
        <f t="shared" ref="M17:M30" si="5">(BY17 - IF(AI17&gt;1, I17*$B$5*100/(AK17*CI17), 0))*(CD17+CE17)/1000</f>
        <v>38.407576395636312</v>
      </c>
      <c r="N17">
        <f t="shared" ref="N17:N30" si="6">2/((1/P17-1/O17)+SIGN(P17)*SQRT((1/P17-1/O17)*(1/P17-1/O17) + 4*BV17/((BV17+1)*(BV17+1))*(2*1/P17*1/O17-1/O17*1/O17)))</f>
        <v>0.89254089354410471</v>
      </c>
      <c r="O17">
        <f t="shared" ref="O17:O30" si="7">AF17+AE17*$B$5+AD17*$B$5*$B$5</f>
        <v>3.3921067968498266</v>
      </c>
      <c r="P17">
        <f t="shared" ref="P17:P30" si="8">H17*(1000-(1000*0.61365*EXP(17.502*T17/(240.97+T17))/(CD17+CE17)+CA17)/2)/(1000*0.61365*EXP(17.502*T17/(240.97+T17))/(CD17+CE17)-CA17)</f>
        <v>0.77975080959066068</v>
      </c>
      <c r="Q17">
        <f t="shared" ref="Q17:Q30" si="9">1/((BV17+1)/(N17/1.6)+1/(O17/1.37)) + BV17/((BV17+1)/(N17/1.6) + BV17/(O17/1.37))</f>
        <v>0.49628535330624324</v>
      </c>
      <c r="R17">
        <f t="shared" ref="R17:R30" si="10">(BS17*BU17)</f>
        <v>353.33933218046002</v>
      </c>
      <c r="S17">
        <f t="shared" ref="S17:S30" si="11">(CF17+(R17+2*0.95*0.0000000567*(((CF17+$B$7)+273)^4-(CF17+273)^4)-44100*H17)/(1.84*29.3*O17+8*0.95*0.0000000567*(CF17+273)^3))</f>
        <v>27.1328172299038</v>
      </c>
      <c r="T17">
        <f t="shared" ref="T17:T30" si="12">($C$7*CG17+$D$7*CH17+$E$7*S17)</f>
        <v>27.1677322580645</v>
      </c>
      <c r="U17">
        <f t="shared" ref="U17:U30" si="13">0.61365*EXP(17.502*T17/(240.97+T17))</f>
        <v>3.614571152005944</v>
      </c>
      <c r="V17">
        <f t="shared" ref="V17:V30" si="14">(W17/X17*100)</f>
        <v>54.888979210259428</v>
      </c>
      <c r="W17">
        <f t="shared" ref="W17:W30" si="15">CA17*(CD17+CE17)/1000</f>
        <v>2.0933629651333572</v>
      </c>
      <c r="X17">
        <f t="shared" ref="X17:X30" si="16">0.61365*EXP(17.502*CF17/(240.97+CF17))</f>
        <v>3.8138128914995049</v>
      </c>
      <c r="Y17">
        <f t="shared" ref="Y17:Y30" si="17">(U17-CA17*(CD17+CE17)/1000)</f>
        <v>1.5212081868725869</v>
      </c>
      <c r="Z17">
        <f t="shared" ref="Z17:Z30" si="18">(-H17*44100)</f>
        <v>-538.78158800490496</v>
      </c>
      <c r="AA17">
        <f t="shared" ref="AA17:AA30" si="19">2*29.3*O17*0.92*(CF17-T17)</f>
        <v>167.85117400841548</v>
      </c>
      <c r="AB17">
        <f t="shared" ref="AB17:AB30" si="20">2*0.95*0.0000000567*(((CF17+$B$7)+273)^4-(T17+273)^4)</f>
        <v>10.746066877359874</v>
      </c>
      <c r="AC17">
        <f t="shared" ref="AC17:AC30" si="21">R17+AB17+Z17+AA17</f>
        <v>-6.8450149386696069</v>
      </c>
      <c r="AD17">
        <v>-4.1325452377022703E-2</v>
      </c>
      <c r="AE17">
        <v>4.6391440601673599E-2</v>
      </c>
      <c r="AF17">
        <v>3.46462572515457</v>
      </c>
      <c r="AG17">
        <v>152</v>
      </c>
      <c r="AH17">
        <v>30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52508.329555078766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325.18030769230802</v>
      </c>
      <c r="AT17">
        <v>439.71199999999999</v>
      </c>
      <c r="AU17">
        <f t="shared" ref="AU17:AU30" si="27">1-AS17/AT17</f>
        <v>0.26046979001640158</v>
      </c>
      <c r="AV17">
        <v>0.5</v>
      </c>
      <c r="AW17">
        <f t="shared" ref="AW17:AW30" si="28">BS17</f>
        <v>1849.1934287413178</v>
      </c>
      <c r="AX17">
        <f t="shared" ref="AX17:AX30" si="29">I17</f>
        <v>34.579284221914342</v>
      </c>
      <c r="AY17">
        <f t="shared" ref="AY17:AY30" si="30">AU17*AV17*AW17</f>
        <v>240.82951204198037</v>
      </c>
      <c r="AZ17">
        <f t="shared" ref="AZ17:AZ30" si="31">BE17/AT17</f>
        <v>0.55157011862309868</v>
      </c>
      <c r="BA17">
        <f t="shared" ref="BA17:BA30" si="32">(AX17-AQ17)/AW17</f>
        <v>1.9240434055690935E-2</v>
      </c>
      <c r="BB17">
        <f t="shared" ref="BB17:BB30" si="33">(AN17-AT17)/AT17</f>
        <v>-1</v>
      </c>
      <c r="BC17" t="s">
        <v>280</v>
      </c>
      <c r="BD17">
        <v>197.18</v>
      </c>
      <c r="BE17">
        <f t="shared" ref="BE17:BE30" si="34">AT17-BD17</f>
        <v>242.53199999999998</v>
      </c>
      <c r="BF17">
        <f t="shared" ref="BF17:BF30" si="35">(AT17-AS17)/(AT17-BD17)</f>
        <v>0.47223332305713051</v>
      </c>
      <c r="BG17">
        <f t="shared" ref="BG17:BG30" si="36">(AN17-AT17)/(AN17-BD17)</f>
        <v>2.23000304290496</v>
      </c>
      <c r="BH17">
        <f t="shared" ref="BH17:BH30" si="37">(AT17-AS17)/(AT17-AM17)</f>
        <v>0.26046979001640158</v>
      </c>
      <c r="BI17" t="e">
        <f t="shared" ref="BI17:BI30" si="38">(AN17-AT17)/(AN17-AM17)</f>
        <v>#DIV/0!</v>
      </c>
      <c r="BJ17">
        <v>5265</v>
      </c>
      <c r="BK17">
        <v>300</v>
      </c>
      <c r="BL17">
        <v>300</v>
      </c>
      <c r="BM17">
        <v>300</v>
      </c>
      <c r="BN17">
        <v>9874.42</v>
      </c>
      <c r="BO17">
        <v>406.99400000000003</v>
      </c>
      <c r="BP17">
        <v>-6.4047599999999998E-3</v>
      </c>
      <c r="BQ17">
        <v>1.4512</v>
      </c>
      <c r="BR17">
        <f t="shared" ref="BR17:BR30" si="39">$B$11*CJ17+$C$11*CK17+$F$11*CL17</f>
        <v>2200.0096774193498</v>
      </c>
      <c r="BS17">
        <f t="shared" ref="BS17:BS30" si="40">BR17*BT17</f>
        <v>1849.1934287413178</v>
      </c>
      <c r="BT17">
        <f t="shared" ref="BT17:BT30" si="41">($B$11*$D$9+$C$11*$D$9+$F$11*((CY17+CQ17)/MAX(CY17+CQ17+CZ17, 0.1)*$I$9+CZ17/MAX(CY17+CQ17+CZ17, 0.1)*$J$9))/($B$11+$C$11+$F$11)</f>
        <v>0.84053877022507206</v>
      </c>
      <c r="BU17">
        <f t="shared" ref="BU17:BU30" si="42">($B$11*$K$9+$C$11*$K$9+$F$11*((CY17+CQ17)/MAX(CY17+CQ17+CZ17, 0.1)*$P$9+CZ17/MAX(CY17+CQ17+CZ17, 0.1)*$Q$9))/($B$11+$C$11+$F$11)</f>
        <v>0.19107754045014422</v>
      </c>
      <c r="BV17">
        <v>0.5</v>
      </c>
      <c r="BW17" t="s">
        <v>281</v>
      </c>
      <c r="BX17">
        <v>1595608583.34516</v>
      </c>
      <c r="BY17">
        <v>384.29467741935503</v>
      </c>
      <c r="BZ17">
        <v>400.002580645161</v>
      </c>
      <c r="CA17">
        <v>20.945561290322601</v>
      </c>
      <c r="CB17">
        <v>16.161567741935499</v>
      </c>
      <c r="CC17">
        <v>500.05803225806397</v>
      </c>
      <c r="CD17">
        <v>99.743061290322601</v>
      </c>
      <c r="CE17">
        <v>0.19997370967741901</v>
      </c>
      <c r="CF17">
        <v>28.085577419354799</v>
      </c>
      <c r="CG17">
        <v>27.1677322580645</v>
      </c>
      <c r="CH17">
        <v>999.9</v>
      </c>
      <c r="CI17">
        <v>9991.5058064516106</v>
      </c>
      <c r="CJ17">
        <v>0</v>
      </c>
      <c r="CK17">
        <v>119.954096774194</v>
      </c>
      <c r="CL17">
        <v>2200.0096774193498</v>
      </c>
      <c r="CM17">
        <v>0.982001096774194</v>
      </c>
      <c r="CN17">
        <v>1.7999248387096801E-2</v>
      </c>
      <c r="CO17">
        <v>0</v>
      </c>
      <c r="CP17">
        <v>325.22406451612898</v>
      </c>
      <c r="CQ17">
        <v>5.00054</v>
      </c>
      <c r="CR17">
        <v>9630.1996774193594</v>
      </c>
      <c r="CS17">
        <v>20590.625806451601</v>
      </c>
      <c r="CT17">
        <v>48.600548387096801</v>
      </c>
      <c r="CU17">
        <v>50.251870967741901</v>
      </c>
      <c r="CV17">
        <v>48.795999999999999</v>
      </c>
      <c r="CW17">
        <v>49.384741935483802</v>
      </c>
      <c r="CX17">
        <v>50.033999999999999</v>
      </c>
      <c r="CY17">
        <v>2155.4996774193601</v>
      </c>
      <c r="CZ17">
        <v>39.51</v>
      </c>
      <c r="DA17">
        <v>0</v>
      </c>
      <c r="DB17">
        <v>467.59999990463302</v>
      </c>
      <c r="DC17">
        <v>325.18030769230802</v>
      </c>
      <c r="DD17">
        <v>-11.6003418538224</v>
      </c>
      <c r="DE17">
        <v>-231.541196235038</v>
      </c>
      <c r="DF17">
        <v>9629.1776923076904</v>
      </c>
      <c r="DG17">
        <v>15</v>
      </c>
      <c r="DH17">
        <v>1595608624.3</v>
      </c>
      <c r="DI17" t="s">
        <v>282</v>
      </c>
      <c r="DJ17">
        <v>29</v>
      </c>
      <c r="DK17">
        <v>-0.39300000000000002</v>
      </c>
      <c r="DL17">
        <v>0.1</v>
      </c>
      <c r="DM17">
        <v>400</v>
      </c>
      <c r="DN17">
        <v>16</v>
      </c>
      <c r="DO17">
        <v>0.17</v>
      </c>
      <c r="DP17">
        <v>0.02</v>
      </c>
      <c r="DQ17">
        <v>384.59741176470601</v>
      </c>
      <c r="DR17">
        <v>-4.4095437153537703E-3</v>
      </c>
      <c r="DS17">
        <v>2.11040154812983E-2</v>
      </c>
      <c r="DT17">
        <v>1</v>
      </c>
      <c r="DU17">
        <v>20.969803921568602</v>
      </c>
      <c r="DV17">
        <v>-0.123672553356698</v>
      </c>
      <c r="DW17">
        <v>1.64438791375968E-2</v>
      </c>
      <c r="DX17">
        <v>1</v>
      </c>
      <c r="DY17">
        <v>2</v>
      </c>
      <c r="DZ17">
        <v>2</v>
      </c>
      <c r="EA17" t="s">
        <v>283</v>
      </c>
      <c r="EB17">
        <v>1.86673</v>
      </c>
      <c r="EC17">
        <v>1.8632200000000001</v>
      </c>
      <c r="ED17">
        <v>1.8688899999999999</v>
      </c>
      <c r="EE17">
        <v>1.86677</v>
      </c>
      <c r="EF17">
        <v>1.8714900000000001</v>
      </c>
      <c r="EG17">
        <v>1.8639600000000001</v>
      </c>
      <c r="EH17">
        <v>1.8654900000000001</v>
      </c>
      <c r="EI17">
        <v>1.8653999999999999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-0.39300000000000002</v>
      </c>
      <c r="EX17">
        <v>0.1</v>
      </c>
      <c r="EY17">
        <v>2</v>
      </c>
      <c r="EZ17">
        <v>330.46499999999997</v>
      </c>
      <c r="FA17">
        <v>477.62900000000002</v>
      </c>
      <c r="FB17">
        <v>22.314499999999999</v>
      </c>
      <c r="FC17">
        <v>35.334699999999998</v>
      </c>
      <c r="FD17">
        <v>30.001300000000001</v>
      </c>
      <c r="FE17">
        <v>35.387999999999998</v>
      </c>
      <c r="FF17">
        <v>35.3934</v>
      </c>
      <c r="FG17">
        <v>22.038</v>
      </c>
      <c r="FH17">
        <v>50.181800000000003</v>
      </c>
      <c r="FI17">
        <v>0</v>
      </c>
      <c r="FJ17">
        <v>22.253699999999998</v>
      </c>
      <c r="FK17">
        <v>400</v>
      </c>
      <c r="FL17">
        <v>16.2041</v>
      </c>
      <c r="FM17">
        <v>100.571</v>
      </c>
      <c r="FN17">
        <v>100.79300000000001</v>
      </c>
    </row>
    <row r="18" spans="1:170" x14ac:dyDescent="0.25">
      <c r="A18">
        <v>2</v>
      </c>
      <c r="B18">
        <v>1595608733.4000001</v>
      </c>
      <c r="C18">
        <v>142.10000014305101</v>
      </c>
      <c r="D18" t="s">
        <v>288</v>
      </c>
      <c r="E18" t="s">
        <v>289</v>
      </c>
      <c r="G18">
        <v>1595608725.3580699</v>
      </c>
      <c r="H18">
        <f t="shared" si="0"/>
        <v>1.1814149860642876E-2</v>
      </c>
      <c r="I18">
        <f t="shared" si="1"/>
        <v>26.889982734508251</v>
      </c>
      <c r="J18">
        <f t="shared" si="2"/>
        <v>287.88267741935499</v>
      </c>
      <c r="K18">
        <f t="shared" si="3"/>
        <v>224.90447780285868</v>
      </c>
      <c r="L18">
        <f t="shared" si="4"/>
        <v>22.47720594875657</v>
      </c>
      <c r="M18">
        <f t="shared" si="5"/>
        <v>28.771317906379394</v>
      </c>
      <c r="N18">
        <f t="shared" si="6"/>
        <v>0.84979370702057255</v>
      </c>
      <c r="O18">
        <f t="shared" si="7"/>
        <v>3.3964354372860011</v>
      </c>
      <c r="P18">
        <f t="shared" si="8"/>
        <v>0.74699922472757918</v>
      </c>
      <c r="Q18">
        <f t="shared" si="9"/>
        <v>0.47507002527705372</v>
      </c>
      <c r="R18">
        <f t="shared" si="10"/>
        <v>353.33672930442214</v>
      </c>
      <c r="S18">
        <f t="shared" si="11"/>
        <v>26.617452403322226</v>
      </c>
      <c r="T18">
        <f t="shared" si="12"/>
        <v>26.944151612903202</v>
      </c>
      <c r="U18">
        <f t="shared" si="13"/>
        <v>3.5674364349527292</v>
      </c>
      <c r="V18">
        <f t="shared" si="14"/>
        <v>55.178938438104865</v>
      </c>
      <c r="W18">
        <f t="shared" si="15"/>
        <v>2.0310915024720027</v>
      </c>
      <c r="X18">
        <f t="shared" si="16"/>
        <v>3.680918045841552</v>
      </c>
      <c r="Y18">
        <f t="shared" si="17"/>
        <v>1.5363449324807266</v>
      </c>
      <c r="Z18">
        <f t="shared" si="18"/>
        <v>-521.00400885435079</v>
      </c>
      <c r="AA18">
        <f t="shared" si="19"/>
        <v>97.78355101345565</v>
      </c>
      <c r="AB18">
        <f t="shared" si="20"/>
        <v>6.2263638487919639</v>
      </c>
      <c r="AC18">
        <f t="shared" si="21"/>
        <v>-63.657364687681053</v>
      </c>
      <c r="AD18">
        <v>-4.1392503202279197E-2</v>
      </c>
      <c r="AE18">
        <v>4.6466711026998897E-2</v>
      </c>
      <c r="AF18">
        <v>3.4690720280411198</v>
      </c>
      <c r="AG18">
        <v>153</v>
      </c>
      <c r="AH18">
        <v>31</v>
      </c>
      <c r="AI18">
        <f t="shared" si="22"/>
        <v>1</v>
      </c>
      <c r="AJ18">
        <f t="shared" si="23"/>
        <v>0</v>
      </c>
      <c r="AK18">
        <f t="shared" si="24"/>
        <v>52696.307754401227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288.54892307692302</v>
      </c>
      <c r="AT18">
        <v>383.94499999999999</v>
      </c>
      <c r="AU18">
        <f t="shared" si="27"/>
        <v>0.24846287078377627</v>
      </c>
      <c r="AV18">
        <v>0.5</v>
      </c>
      <c r="AW18">
        <f t="shared" si="28"/>
        <v>1849.1822997091349</v>
      </c>
      <c r="AX18">
        <f t="shared" si="29"/>
        <v>26.889982734508251</v>
      </c>
      <c r="AY18">
        <f t="shared" si="30"/>
        <v>229.72657139413852</v>
      </c>
      <c r="AZ18">
        <f t="shared" si="31"/>
        <v>0.49711547226816338</v>
      </c>
      <c r="BA18">
        <f t="shared" si="32"/>
        <v>1.5082332736418241E-2</v>
      </c>
      <c r="BB18">
        <f t="shared" si="33"/>
        <v>-1</v>
      </c>
      <c r="BC18" t="s">
        <v>291</v>
      </c>
      <c r="BD18">
        <v>193.08</v>
      </c>
      <c r="BE18">
        <f t="shared" si="34"/>
        <v>190.86499999999998</v>
      </c>
      <c r="BF18">
        <f t="shared" si="35"/>
        <v>0.49980916838119605</v>
      </c>
      <c r="BG18">
        <f t="shared" si="36"/>
        <v>1.9885280712657964</v>
      </c>
      <c r="BH18">
        <f t="shared" si="37"/>
        <v>0.24846287078377627</v>
      </c>
      <c r="BI18" t="e">
        <f t="shared" si="38"/>
        <v>#DIV/0!</v>
      </c>
      <c r="BJ18">
        <v>5267</v>
      </c>
      <c r="BK18">
        <v>300</v>
      </c>
      <c r="BL18">
        <v>300</v>
      </c>
      <c r="BM18">
        <v>300</v>
      </c>
      <c r="BN18">
        <v>9872.83</v>
      </c>
      <c r="BO18">
        <v>355.46100000000001</v>
      </c>
      <c r="BP18">
        <v>-6.4034699999999996E-3</v>
      </c>
      <c r="BQ18">
        <v>1.0904199999999999</v>
      </c>
      <c r="BR18">
        <f t="shared" si="39"/>
        <v>2199.9967741935502</v>
      </c>
      <c r="BS18">
        <f t="shared" si="40"/>
        <v>1849.1822997091349</v>
      </c>
      <c r="BT18">
        <f t="shared" si="41"/>
        <v>0.84053864142004808</v>
      </c>
      <c r="BU18">
        <f t="shared" si="42"/>
        <v>0.19107728284009631</v>
      </c>
      <c r="BV18">
        <v>0.5</v>
      </c>
      <c r="BW18" t="s">
        <v>281</v>
      </c>
      <c r="BX18">
        <v>1595608725.3580699</v>
      </c>
      <c r="BY18">
        <v>287.88267741935499</v>
      </c>
      <c r="BZ18">
        <v>299.997903225806</v>
      </c>
      <c r="CA18">
        <v>20.322880645161302</v>
      </c>
      <c r="CB18">
        <v>15.6937193548387</v>
      </c>
      <c r="CC18">
        <v>500.04964516129002</v>
      </c>
      <c r="CD18">
        <v>99.741132258064496</v>
      </c>
      <c r="CE18">
        <v>0.19999016129032299</v>
      </c>
      <c r="CF18">
        <v>27.478170967741899</v>
      </c>
      <c r="CG18">
        <v>26.944151612903202</v>
      </c>
      <c r="CH18">
        <v>999.9</v>
      </c>
      <c r="CI18">
        <v>10007.910645161301</v>
      </c>
      <c r="CJ18">
        <v>0</v>
      </c>
      <c r="CK18">
        <v>149.56619354838699</v>
      </c>
      <c r="CL18">
        <v>2199.9967741935502</v>
      </c>
      <c r="CM18">
        <v>0.98200361290322602</v>
      </c>
      <c r="CN18">
        <v>1.7996606451612902E-2</v>
      </c>
      <c r="CO18">
        <v>0</v>
      </c>
      <c r="CP18">
        <v>288.59796774193597</v>
      </c>
      <c r="CQ18">
        <v>5.00054</v>
      </c>
      <c r="CR18">
        <v>8913.1532258064508</v>
      </c>
      <c r="CS18">
        <v>20590.512903225801</v>
      </c>
      <c r="CT18">
        <v>49.0238709677419</v>
      </c>
      <c r="CU18">
        <v>50.8</v>
      </c>
      <c r="CV18">
        <v>49.247870967741903</v>
      </c>
      <c r="CW18">
        <v>49.866806451612902</v>
      </c>
      <c r="CX18">
        <v>50.346548387096803</v>
      </c>
      <c r="CY18">
        <v>2155.4964516128998</v>
      </c>
      <c r="CZ18">
        <v>39.500322580645197</v>
      </c>
      <c r="DA18">
        <v>0</v>
      </c>
      <c r="DB18">
        <v>141.39999985694899</v>
      </c>
      <c r="DC18">
        <v>288.54892307692302</v>
      </c>
      <c r="DD18">
        <v>-4.3552820585089496</v>
      </c>
      <c r="DE18">
        <v>-79.944615493646097</v>
      </c>
      <c r="DF18">
        <v>8912.5023076923098</v>
      </c>
      <c r="DG18">
        <v>15</v>
      </c>
      <c r="DH18">
        <v>1595608768.9000001</v>
      </c>
      <c r="DI18" t="s">
        <v>292</v>
      </c>
      <c r="DJ18">
        <v>30</v>
      </c>
      <c r="DK18">
        <v>-0.436</v>
      </c>
      <c r="DL18">
        <v>9.5000000000000001E-2</v>
      </c>
      <c r="DM18">
        <v>300</v>
      </c>
      <c r="DN18">
        <v>16</v>
      </c>
      <c r="DO18">
        <v>0.17</v>
      </c>
      <c r="DP18">
        <v>0.02</v>
      </c>
      <c r="DQ18">
        <v>287.91213725490201</v>
      </c>
      <c r="DR18">
        <v>0.13799576103892799</v>
      </c>
      <c r="DS18">
        <v>1.93786011027543E-2</v>
      </c>
      <c r="DT18">
        <v>1</v>
      </c>
      <c r="DU18">
        <v>20.346464705882401</v>
      </c>
      <c r="DV18">
        <v>-0.19680538512683499</v>
      </c>
      <c r="DW18">
        <v>2.4870691653930101E-2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1.8632500000000001</v>
      </c>
      <c r="ED18">
        <v>1.86894</v>
      </c>
      <c r="EE18">
        <v>1.8668800000000001</v>
      </c>
      <c r="EF18">
        <v>1.8715999999999999</v>
      </c>
      <c r="EG18">
        <v>1.8640099999999999</v>
      </c>
      <c r="EH18">
        <v>1.86554</v>
      </c>
      <c r="EI18">
        <v>1.8654900000000001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-0.436</v>
      </c>
      <c r="EX18">
        <v>9.5000000000000001E-2</v>
      </c>
      <c r="EY18">
        <v>2</v>
      </c>
      <c r="EZ18">
        <v>329.411</v>
      </c>
      <c r="FA18">
        <v>476.23099999999999</v>
      </c>
      <c r="FB18">
        <v>22.5014</v>
      </c>
      <c r="FC18">
        <v>35.387599999999999</v>
      </c>
      <c r="FD18">
        <v>30</v>
      </c>
      <c r="FE18">
        <v>35.407499999999999</v>
      </c>
      <c r="FF18">
        <v>35.412700000000001</v>
      </c>
      <c r="FG18">
        <v>17.5594</v>
      </c>
      <c r="FH18">
        <v>53.043700000000001</v>
      </c>
      <c r="FI18">
        <v>0</v>
      </c>
      <c r="FJ18">
        <v>22.5212</v>
      </c>
      <c r="FK18">
        <v>300</v>
      </c>
      <c r="FL18">
        <v>15.656700000000001</v>
      </c>
      <c r="FM18">
        <v>100.563</v>
      </c>
      <c r="FN18">
        <v>100.783</v>
      </c>
    </row>
    <row r="19" spans="1:170" x14ac:dyDescent="0.25">
      <c r="A19">
        <v>3</v>
      </c>
      <c r="B19">
        <v>1595608860.4000001</v>
      </c>
      <c r="C19">
        <v>269.10000014305098</v>
      </c>
      <c r="D19" t="s">
        <v>293</v>
      </c>
      <c r="E19" t="s">
        <v>294</v>
      </c>
      <c r="G19">
        <v>1595608852.4000001</v>
      </c>
      <c r="H19">
        <f t="shared" si="0"/>
        <v>1.1052287147667917E-2</v>
      </c>
      <c r="I19">
        <f t="shared" si="1"/>
        <v>17.307675316239987</v>
      </c>
      <c r="J19">
        <f t="shared" si="2"/>
        <v>192.21048387096801</v>
      </c>
      <c r="K19">
        <f t="shared" si="3"/>
        <v>148.45294876132385</v>
      </c>
      <c r="L19">
        <f t="shared" si="4"/>
        <v>14.836591367074798</v>
      </c>
      <c r="M19">
        <f t="shared" si="5"/>
        <v>19.209779458447738</v>
      </c>
      <c r="N19">
        <f t="shared" si="6"/>
        <v>0.77748894309048244</v>
      </c>
      <c r="O19">
        <f t="shared" si="7"/>
        <v>3.3964965974302226</v>
      </c>
      <c r="P19">
        <f t="shared" si="8"/>
        <v>0.69048912351154734</v>
      </c>
      <c r="Q19">
        <f t="shared" si="9"/>
        <v>0.43855830332389134</v>
      </c>
      <c r="R19">
        <f t="shared" si="10"/>
        <v>353.33665970311716</v>
      </c>
      <c r="S19">
        <f t="shared" si="11"/>
        <v>26.778670331343175</v>
      </c>
      <c r="T19">
        <f t="shared" si="12"/>
        <v>27.026493548387101</v>
      </c>
      <c r="U19">
        <f t="shared" si="13"/>
        <v>3.5847327624484797</v>
      </c>
      <c r="V19">
        <f t="shared" si="14"/>
        <v>55.184589486065697</v>
      </c>
      <c r="W19">
        <f t="shared" si="15"/>
        <v>2.0299607880251966</v>
      </c>
      <c r="X19">
        <f t="shared" si="16"/>
        <v>3.6784921423358035</v>
      </c>
      <c r="Y19">
        <f t="shared" si="17"/>
        <v>1.5547719744232831</v>
      </c>
      <c r="Z19">
        <f t="shared" si="18"/>
        <v>-487.40586321215517</v>
      </c>
      <c r="AA19">
        <f t="shared" si="19"/>
        <v>80.644854311022854</v>
      </c>
      <c r="AB19">
        <f t="shared" si="20"/>
        <v>5.1367880619639772</v>
      </c>
      <c r="AC19">
        <f t="shared" si="21"/>
        <v>-48.287561136051195</v>
      </c>
      <c r="AD19">
        <v>-4.1393450852254099E-2</v>
      </c>
      <c r="AE19">
        <v>4.64677748471145E-2</v>
      </c>
      <c r="AF19">
        <v>3.46913485114501</v>
      </c>
      <c r="AG19">
        <v>151</v>
      </c>
      <c r="AH19">
        <v>30</v>
      </c>
      <c r="AI19">
        <f t="shared" si="22"/>
        <v>1</v>
      </c>
      <c r="AJ19">
        <f t="shared" si="23"/>
        <v>0</v>
      </c>
      <c r="AK19">
        <f t="shared" si="24"/>
        <v>52699.446092020815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273.741923076923</v>
      </c>
      <c r="AT19">
        <v>349.95</v>
      </c>
      <c r="AU19">
        <f t="shared" si="27"/>
        <v>0.21776847241913699</v>
      </c>
      <c r="AV19">
        <v>0.5</v>
      </c>
      <c r="AW19">
        <f t="shared" si="28"/>
        <v>1849.1820190639717</v>
      </c>
      <c r="AX19">
        <f t="shared" si="29"/>
        <v>17.307675316239987</v>
      </c>
      <c r="AY19">
        <f t="shared" si="30"/>
        <v>201.34677175824828</v>
      </c>
      <c r="AZ19">
        <f t="shared" si="31"/>
        <v>0.45323617659665666</v>
      </c>
      <c r="BA19">
        <f t="shared" si="32"/>
        <v>9.9004181997762765E-3</v>
      </c>
      <c r="BB19">
        <f t="shared" si="33"/>
        <v>-1</v>
      </c>
      <c r="BC19" t="s">
        <v>296</v>
      </c>
      <c r="BD19">
        <v>191.34</v>
      </c>
      <c r="BE19">
        <f t="shared" si="34"/>
        <v>158.60999999999999</v>
      </c>
      <c r="BF19">
        <f t="shared" si="35"/>
        <v>0.48047460389053021</v>
      </c>
      <c r="BG19">
        <f t="shared" si="36"/>
        <v>1.8289432423957352</v>
      </c>
      <c r="BH19">
        <f t="shared" si="37"/>
        <v>0.21776847241913699</v>
      </c>
      <c r="BI19" t="e">
        <f t="shared" si="38"/>
        <v>#DIV/0!</v>
      </c>
      <c r="BJ19">
        <v>5269</v>
      </c>
      <c r="BK19">
        <v>300</v>
      </c>
      <c r="BL19">
        <v>300</v>
      </c>
      <c r="BM19">
        <v>300</v>
      </c>
      <c r="BN19">
        <v>9871.6</v>
      </c>
      <c r="BO19">
        <v>327.75900000000001</v>
      </c>
      <c r="BP19">
        <v>-6.4024800000000003E-3</v>
      </c>
      <c r="BQ19">
        <v>1.3435999999999999</v>
      </c>
      <c r="BR19">
        <f t="shared" si="39"/>
        <v>2199.9964516128998</v>
      </c>
      <c r="BS19">
        <f t="shared" si="40"/>
        <v>1849.1820190639717</v>
      </c>
      <c r="BT19">
        <f t="shared" si="41"/>
        <v>0.84053863710019494</v>
      </c>
      <c r="BU19">
        <f t="shared" si="42"/>
        <v>0.19107727420038992</v>
      </c>
      <c r="BV19">
        <v>0.5</v>
      </c>
      <c r="BW19" t="s">
        <v>281</v>
      </c>
      <c r="BX19">
        <v>1595608852.4000001</v>
      </c>
      <c r="BY19">
        <v>192.21048387096801</v>
      </c>
      <c r="BZ19">
        <v>199.982483870968</v>
      </c>
      <c r="CA19">
        <v>20.311516129032299</v>
      </c>
      <c r="CB19">
        <v>15.9808516129032</v>
      </c>
      <c r="CC19">
        <v>500.05251612903203</v>
      </c>
      <c r="CD19">
        <v>99.741399999999999</v>
      </c>
      <c r="CE19">
        <v>0.19997193548387099</v>
      </c>
      <c r="CF19">
        <v>27.4669064516129</v>
      </c>
      <c r="CG19">
        <v>27.026493548387101</v>
      </c>
      <c r="CH19">
        <v>999.9</v>
      </c>
      <c r="CI19">
        <v>10008.1129032258</v>
      </c>
      <c r="CJ19">
        <v>0</v>
      </c>
      <c r="CK19">
        <v>155.89351612903201</v>
      </c>
      <c r="CL19">
        <v>2199.9964516128998</v>
      </c>
      <c r="CM19">
        <v>0.98200554838709697</v>
      </c>
      <c r="CN19">
        <v>1.79944967741935E-2</v>
      </c>
      <c r="CO19">
        <v>0</v>
      </c>
      <c r="CP19">
        <v>273.76564516129002</v>
      </c>
      <c r="CQ19">
        <v>5.00054</v>
      </c>
      <c r="CR19">
        <v>8631.4593548387093</v>
      </c>
      <c r="CS19">
        <v>20590.538709677399</v>
      </c>
      <c r="CT19">
        <v>49.294064516128998</v>
      </c>
      <c r="CU19">
        <v>51.205290322580602</v>
      </c>
      <c r="CV19">
        <v>49.578258064516099</v>
      </c>
      <c r="CW19">
        <v>50.231645161290302</v>
      </c>
      <c r="CX19">
        <v>50.630870967741899</v>
      </c>
      <c r="CY19">
        <v>2155.4964516128998</v>
      </c>
      <c r="CZ19">
        <v>39.5</v>
      </c>
      <c r="DA19">
        <v>0</v>
      </c>
      <c r="DB19">
        <v>126.19999980926499</v>
      </c>
      <c r="DC19">
        <v>273.741923076923</v>
      </c>
      <c r="DD19">
        <v>-3.2397264807240602</v>
      </c>
      <c r="DE19">
        <v>-68.008888890039302</v>
      </c>
      <c r="DF19">
        <v>8631.0953846153807</v>
      </c>
      <c r="DG19">
        <v>15</v>
      </c>
      <c r="DH19">
        <v>1595608887.4000001</v>
      </c>
      <c r="DI19" t="s">
        <v>297</v>
      </c>
      <c r="DJ19">
        <v>31</v>
      </c>
      <c r="DK19">
        <v>-0.41499999999999998</v>
      </c>
      <c r="DL19">
        <v>9.7000000000000003E-2</v>
      </c>
      <c r="DM19">
        <v>200</v>
      </c>
      <c r="DN19">
        <v>16</v>
      </c>
      <c r="DO19">
        <v>0.34</v>
      </c>
      <c r="DP19">
        <v>0.02</v>
      </c>
      <c r="DQ19">
        <v>192.183490196078</v>
      </c>
      <c r="DR19">
        <v>7.40850678734363E-2</v>
      </c>
      <c r="DS19">
        <v>1.2875531664667201E-2</v>
      </c>
      <c r="DT19">
        <v>1</v>
      </c>
      <c r="DU19">
        <v>20.294899999999998</v>
      </c>
      <c r="DV19">
        <v>0.14984253393667399</v>
      </c>
      <c r="DW19">
        <v>1.9120177208137901E-2</v>
      </c>
      <c r="DX19">
        <v>1</v>
      </c>
      <c r="DY19">
        <v>2</v>
      </c>
      <c r="DZ19">
        <v>2</v>
      </c>
      <c r="EA19" t="s">
        <v>283</v>
      </c>
      <c r="EB19">
        <v>1.8667499999999999</v>
      </c>
      <c r="EC19">
        <v>1.86324</v>
      </c>
      <c r="ED19">
        <v>1.8689</v>
      </c>
      <c r="EE19">
        <v>1.8667899999999999</v>
      </c>
      <c r="EF19">
        <v>1.87151</v>
      </c>
      <c r="EG19">
        <v>1.86395</v>
      </c>
      <c r="EH19">
        <v>1.8655299999999999</v>
      </c>
      <c r="EI19">
        <v>1.86541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-0.41499999999999998</v>
      </c>
      <c r="EX19">
        <v>9.7000000000000003E-2</v>
      </c>
      <c r="EY19">
        <v>2</v>
      </c>
      <c r="EZ19">
        <v>330.80399999999997</v>
      </c>
      <c r="FA19">
        <v>475.62400000000002</v>
      </c>
      <c r="FB19">
        <v>21.599900000000002</v>
      </c>
      <c r="FC19">
        <v>35.402999999999999</v>
      </c>
      <c r="FD19">
        <v>30.0002</v>
      </c>
      <c r="FE19">
        <v>35.433500000000002</v>
      </c>
      <c r="FF19">
        <v>35.438600000000001</v>
      </c>
      <c r="FG19">
        <v>12.918900000000001</v>
      </c>
      <c r="FH19">
        <v>50.865299999999998</v>
      </c>
      <c r="FI19">
        <v>0</v>
      </c>
      <c r="FJ19">
        <v>21.604399999999998</v>
      </c>
      <c r="FK19">
        <v>200</v>
      </c>
      <c r="FL19">
        <v>15.9855</v>
      </c>
      <c r="FM19">
        <v>100.55500000000001</v>
      </c>
      <c r="FN19">
        <v>100.777</v>
      </c>
    </row>
    <row r="20" spans="1:170" x14ac:dyDescent="0.25">
      <c r="A20">
        <v>4</v>
      </c>
      <c r="B20">
        <v>1595608978.9000001</v>
      </c>
      <c r="C20">
        <v>387.60000014305098</v>
      </c>
      <c r="D20" t="s">
        <v>298</v>
      </c>
      <c r="E20" t="s">
        <v>299</v>
      </c>
      <c r="G20">
        <v>1595608970.9000001</v>
      </c>
      <c r="H20">
        <f t="shared" si="0"/>
        <v>1.1064771519453495E-2</v>
      </c>
      <c r="I20">
        <f t="shared" si="1"/>
        <v>6.3463643763307171</v>
      </c>
      <c r="J20">
        <f t="shared" si="2"/>
        <v>97.029622580645196</v>
      </c>
      <c r="K20">
        <f t="shared" si="3"/>
        <v>80.211827969783315</v>
      </c>
      <c r="L20">
        <f t="shared" si="4"/>
        <v>8.0164762411857691</v>
      </c>
      <c r="M20">
        <f t="shared" si="5"/>
        <v>9.6972688915901983</v>
      </c>
      <c r="N20">
        <f t="shared" si="6"/>
        <v>0.77189401983008488</v>
      </c>
      <c r="O20">
        <f t="shared" si="7"/>
        <v>3.3932312391685753</v>
      </c>
      <c r="P20">
        <f t="shared" si="8"/>
        <v>0.68599528562295375</v>
      </c>
      <c r="Q20">
        <f t="shared" si="9"/>
        <v>0.43566547356078855</v>
      </c>
      <c r="R20">
        <f t="shared" si="10"/>
        <v>353.33922453904165</v>
      </c>
      <c r="S20">
        <f t="shared" si="11"/>
        <v>26.577789053638817</v>
      </c>
      <c r="T20">
        <f t="shared" si="12"/>
        <v>26.956499999999998</v>
      </c>
      <c r="U20">
        <f t="shared" si="13"/>
        <v>3.5700256216387252</v>
      </c>
      <c r="V20">
        <f t="shared" si="14"/>
        <v>55.083804088821545</v>
      </c>
      <c r="W20">
        <f t="shared" si="15"/>
        <v>2.0029653287421212</v>
      </c>
      <c r="X20">
        <f t="shared" si="16"/>
        <v>3.6362146040465526</v>
      </c>
      <c r="Y20">
        <f t="shared" si="17"/>
        <v>1.567060292896604</v>
      </c>
      <c r="Z20">
        <f t="shared" si="18"/>
        <v>-487.95642400789916</v>
      </c>
      <c r="AA20">
        <f t="shared" si="19"/>
        <v>57.267192863674623</v>
      </c>
      <c r="AB20">
        <f t="shared" si="20"/>
        <v>3.6463494500486546</v>
      </c>
      <c r="AC20">
        <f t="shared" si="21"/>
        <v>-73.703657155134223</v>
      </c>
      <c r="AD20">
        <v>-4.1342866324568003E-2</v>
      </c>
      <c r="AE20">
        <v>4.6410989283338699E-2</v>
      </c>
      <c r="AF20">
        <v>3.4657807259001698</v>
      </c>
      <c r="AG20">
        <v>153</v>
      </c>
      <c r="AH20">
        <v>31</v>
      </c>
      <c r="AI20">
        <f t="shared" si="22"/>
        <v>1</v>
      </c>
      <c r="AJ20">
        <f t="shared" si="23"/>
        <v>0</v>
      </c>
      <c r="AK20">
        <f t="shared" si="24"/>
        <v>52672.275698537676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271.90488461538501</v>
      </c>
      <c r="AT20">
        <v>332.10599999999999</v>
      </c>
      <c r="AU20">
        <f t="shared" si="27"/>
        <v>0.1812707851848957</v>
      </c>
      <c r="AV20">
        <v>0.5</v>
      </c>
      <c r="AW20">
        <f t="shared" si="28"/>
        <v>1849.1902061606045</v>
      </c>
      <c r="AX20">
        <f t="shared" si="29"/>
        <v>6.3463643763307171</v>
      </c>
      <c r="AY20">
        <f t="shared" si="30"/>
        <v>167.60208031347597</v>
      </c>
      <c r="AZ20">
        <f t="shared" si="31"/>
        <v>0.40856232648612195</v>
      </c>
      <c r="BA20">
        <f t="shared" si="32"/>
        <v>3.9727467471200074E-3</v>
      </c>
      <c r="BB20">
        <f t="shared" si="33"/>
        <v>-1</v>
      </c>
      <c r="BC20" t="s">
        <v>301</v>
      </c>
      <c r="BD20">
        <v>196.42</v>
      </c>
      <c r="BE20">
        <f t="shared" si="34"/>
        <v>135.68600000000001</v>
      </c>
      <c r="BF20">
        <f t="shared" si="35"/>
        <v>0.44367963816911821</v>
      </c>
      <c r="BG20">
        <f t="shared" si="36"/>
        <v>1.6907952347011508</v>
      </c>
      <c r="BH20">
        <f t="shared" si="37"/>
        <v>0.18127078518489573</v>
      </c>
      <c r="BI20" t="e">
        <f t="shared" si="38"/>
        <v>#DIV/0!</v>
      </c>
      <c r="BJ20">
        <v>5271</v>
      </c>
      <c r="BK20">
        <v>300</v>
      </c>
      <c r="BL20">
        <v>300</v>
      </c>
      <c r="BM20">
        <v>300</v>
      </c>
      <c r="BN20">
        <v>9870.34</v>
      </c>
      <c r="BO20">
        <v>313.661</v>
      </c>
      <c r="BP20">
        <v>-6.4014199999999997E-3</v>
      </c>
      <c r="BQ20">
        <v>0.66207899999999997</v>
      </c>
      <c r="BR20">
        <f t="shared" si="39"/>
        <v>2200.0054838709698</v>
      </c>
      <c r="BS20">
        <f t="shared" si="40"/>
        <v>1849.1902061606045</v>
      </c>
      <c r="BT20">
        <f t="shared" si="41"/>
        <v>0.84053890761531369</v>
      </c>
      <c r="BU20">
        <f t="shared" si="42"/>
        <v>0.19107781523062733</v>
      </c>
      <c r="BV20">
        <v>0.5</v>
      </c>
      <c r="BW20" t="s">
        <v>281</v>
      </c>
      <c r="BX20">
        <v>1595608970.9000001</v>
      </c>
      <c r="BY20">
        <v>97.029622580645196</v>
      </c>
      <c r="BZ20">
        <v>99.997309677419395</v>
      </c>
      <c r="CA20">
        <v>20.041412903225801</v>
      </c>
      <c r="CB20">
        <v>15.7046483870968</v>
      </c>
      <c r="CC20">
        <v>500.05103225806499</v>
      </c>
      <c r="CD20">
        <v>99.741354838709697</v>
      </c>
      <c r="CE20">
        <v>0.19996858064516099</v>
      </c>
      <c r="CF20">
        <v>27.269545161290299</v>
      </c>
      <c r="CG20">
        <v>26.956499999999998</v>
      </c>
      <c r="CH20">
        <v>999.9</v>
      </c>
      <c r="CI20">
        <v>9995.8870967741896</v>
      </c>
      <c r="CJ20">
        <v>0</v>
      </c>
      <c r="CK20">
        <v>160.71654838709699</v>
      </c>
      <c r="CL20">
        <v>2200.0054838709698</v>
      </c>
      <c r="CM20">
        <v>0.98199448387096799</v>
      </c>
      <c r="CN20">
        <v>1.8005141935483901E-2</v>
      </c>
      <c r="CO20">
        <v>0</v>
      </c>
      <c r="CP20">
        <v>271.92812903225803</v>
      </c>
      <c r="CQ20">
        <v>5.00054</v>
      </c>
      <c r="CR20">
        <v>8627.1467741935503</v>
      </c>
      <c r="CS20">
        <v>20590.5419354839</v>
      </c>
      <c r="CT20">
        <v>49.628999999999998</v>
      </c>
      <c r="CU20">
        <v>51.576322580645197</v>
      </c>
      <c r="CV20">
        <v>49.9431935483871</v>
      </c>
      <c r="CW20">
        <v>50.650967741935503</v>
      </c>
      <c r="CX20">
        <v>50.906999999999996</v>
      </c>
      <c r="CY20">
        <v>2155.4854838709698</v>
      </c>
      <c r="CZ20">
        <v>39.520000000000003</v>
      </c>
      <c r="DA20">
        <v>0</v>
      </c>
      <c r="DB20">
        <v>117.799999952316</v>
      </c>
      <c r="DC20">
        <v>271.90488461538501</v>
      </c>
      <c r="DD20">
        <v>-1.0412649528157201</v>
      </c>
      <c r="DE20">
        <v>-23.124102599932101</v>
      </c>
      <c r="DF20">
        <v>8626.9423076923104</v>
      </c>
      <c r="DG20">
        <v>15</v>
      </c>
      <c r="DH20">
        <v>1595609005.4000001</v>
      </c>
      <c r="DI20" t="s">
        <v>302</v>
      </c>
      <c r="DJ20">
        <v>32</v>
      </c>
      <c r="DK20">
        <v>-0.39800000000000002</v>
      </c>
      <c r="DL20">
        <v>9.2999999999999999E-2</v>
      </c>
      <c r="DM20">
        <v>100</v>
      </c>
      <c r="DN20">
        <v>16</v>
      </c>
      <c r="DO20">
        <v>0.22</v>
      </c>
      <c r="DP20">
        <v>0.02</v>
      </c>
      <c r="DQ20">
        <v>97.006229411764707</v>
      </c>
      <c r="DR20">
        <v>7.8866606334824299E-2</v>
      </c>
      <c r="DS20">
        <v>1.44572024809626E-2</v>
      </c>
      <c r="DT20">
        <v>1</v>
      </c>
      <c r="DU20">
        <v>20.050833333333301</v>
      </c>
      <c r="DV20">
        <v>-5.5266244343899103E-2</v>
      </c>
      <c r="DW20">
        <v>7.5179697579232201E-3</v>
      </c>
      <c r="DX20">
        <v>1</v>
      </c>
      <c r="DY20">
        <v>2</v>
      </c>
      <c r="DZ20">
        <v>2</v>
      </c>
      <c r="EA20" t="s">
        <v>283</v>
      </c>
      <c r="EB20">
        <v>1.86676</v>
      </c>
      <c r="EC20">
        <v>1.8632500000000001</v>
      </c>
      <c r="ED20">
        <v>1.8689</v>
      </c>
      <c r="EE20">
        <v>1.86687</v>
      </c>
      <c r="EF20">
        <v>1.8715299999999999</v>
      </c>
      <c r="EG20">
        <v>1.8640099999999999</v>
      </c>
      <c r="EH20">
        <v>1.86554</v>
      </c>
      <c r="EI20">
        <v>1.8654599999999999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-0.39800000000000002</v>
      </c>
      <c r="EX20">
        <v>9.2999999999999999E-2</v>
      </c>
      <c r="EY20">
        <v>2</v>
      </c>
      <c r="EZ20">
        <v>329.19600000000003</v>
      </c>
      <c r="FA20">
        <v>474.70400000000001</v>
      </c>
      <c r="FB20">
        <v>22.0825</v>
      </c>
      <c r="FC20">
        <v>35.476799999999997</v>
      </c>
      <c r="FD20">
        <v>30.0002</v>
      </c>
      <c r="FE20">
        <v>35.482900000000001</v>
      </c>
      <c r="FF20">
        <v>35.487099999999998</v>
      </c>
      <c r="FG20">
        <v>8.08216</v>
      </c>
      <c r="FH20">
        <v>52.7271</v>
      </c>
      <c r="FI20">
        <v>0</v>
      </c>
      <c r="FJ20">
        <v>22.112500000000001</v>
      </c>
      <c r="FK20">
        <v>100</v>
      </c>
      <c r="FL20">
        <v>15.7613</v>
      </c>
      <c r="FM20">
        <v>100.539</v>
      </c>
      <c r="FN20">
        <v>100.765</v>
      </c>
    </row>
    <row r="21" spans="1:170" x14ac:dyDescent="0.25">
      <c r="A21">
        <v>5</v>
      </c>
      <c r="B21">
        <v>1595609096.9000001</v>
      </c>
      <c r="C21">
        <v>505.60000014305098</v>
      </c>
      <c r="D21" t="s">
        <v>303</v>
      </c>
      <c r="E21" t="s">
        <v>304</v>
      </c>
      <c r="G21">
        <v>1595609088.9000001</v>
      </c>
      <c r="H21">
        <f t="shared" si="0"/>
        <v>1.0470294738451574E-2</v>
      </c>
      <c r="I21">
        <f t="shared" si="1"/>
        <v>0.74142142492700069</v>
      </c>
      <c r="J21">
        <f t="shared" si="2"/>
        <v>49.485393548387101</v>
      </c>
      <c r="K21">
        <f t="shared" si="3"/>
        <v>46.452208845337623</v>
      </c>
      <c r="L21">
        <f t="shared" si="4"/>
        <v>4.6424115508441313</v>
      </c>
      <c r="M21">
        <f t="shared" si="5"/>
        <v>4.9455465804002969</v>
      </c>
      <c r="N21">
        <f t="shared" si="6"/>
        <v>0.72191610095836822</v>
      </c>
      <c r="O21">
        <f t="shared" si="7"/>
        <v>3.3939417750559326</v>
      </c>
      <c r="P21">
        <f t="shared" si="8"/>
        <v>0.64621229710326078</v>
      </c>
      <c r="Q21">
        <f t="shared" si="9"/>
        <v>0.4100208307321308</v>
      </c>
      <c r="R21">
        <f t="shared" si="10"/>
        <v>353.34081185189137</v>
      </c>
      <c r="S21">
        <f t="shared" si="11"/>
        <v>26.781567277458276</v>
      </c>
      <c r="T21">
        <f t="shared" si="12"/>
        <v>27.046451612903201</v>
      </c>
      <c r="U21">
        <f t="shared" si="13"/>
        <v>3.5889360566841684</v>
      </c>
      <c r="V21">
        <f t="shared" si="14"/>
        <v>55.193046760714047</v>
      </c>
      <c r="W21">
        <f t="shared" si="15"/>
        <v>2.0150593059402064</v>
      </c>
      <c r="X21">
        <f t="shared" si="16"/>
        <v>3.6509296445915882</v>
      </c>
      <c r="Y21">
        <f t="shared" si="17"/>
        <v>1.5738767507439619</v>
      </c>
      <c r="Z21">
        <f t="shared" si="18"/>
        <v>-461.73999796571439</v>
      </c>
      <c r="AA21">
        <f t="shared" si="19"/>
        <v>53.430824138505983</v>
      </c>
      <c r="AB21">
        <f t="shared" si="20"/>
        <v>3.4040672157483995</v>
      </c>
      <c r="AC21">
        <f t="shared" si="21"/>
        <v>-51.564294759568639</v>
      </c>
      <c r="AD21">
        <v>-4.1353871553037803E-2</v>
      </c>
      <c r="AE21">
        <v>4.6423343616407098E-2</v>
      </c>
      <c r="AF21">
        <v>3.46651057403527</v>
      </c>
      <c r="AG21">
        <v>153</v>
      </c>
      <c r="AH21">
        <v>31</v>
      </c>
      <c r="AI21">
        <f t="shared" si="22"/>
        <v>1</v>
      </c>
      <c r="AJ21">
        <f t="shared" si="23"/>
        <v>0</v>
      </c>
      <c r="AK21">
        <f t="shared" si="24"/>
        <v>52673.595801456584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271.72303846153801</v>
      </c>
      <c r="AT21">
        <v>317.93400000000003</v>
      </c>
      <c r="AU21">
        <f t="shared" si="27"/>
        <v>0.1453476556092208</v>
      </c>
      <c r="AV21">
        <v>0.5</v>
      </c>
      <c r="AW21">
        <f t="shared" si="28"/>
        <v>1849.2007927360273</v>
      </c>
      <c r="AX21">
        <f t="shared" si="29"/>
        <v>0.74142142492700069</v>
      </c>
      <c r="AY21">
        <f t="shared" si="30"/>
        <v>134.38849998744709</v>
      </c>
      <c r="AZ21">
        <f t="shared" si="31"/>
        <v>0.36024457906357926</v>
      </c>
      <c r="BA21">
        <f t="shared" si="32"/>
        <v>9.4171570322033047E-4</v>
      </c>
      <c r="BB21">
        <f t="shared" si="33"/>
        <v>-1</v>
      </c>
      <c r="BC21" t="s">
        <v>306</v>
      </c>
      <c r="BD21">
        <v>203.4</v>
      </c>
      <c r="BE21">
        <f t="shared" si="34"/>
        <v>114.53400000000002</v>
      </c>
      <c r="BF21">
        <f t="shared" si="35"/>
        <v>0.40346937624165757</v>
      </c>
      <c r="BG21">
        <f t="shared" si="36"/>
        <v>1.5630973451327435</v>
      </c>
      <c r="BH21">
        <f t="shared" si="37"/>
        <v>0.14534765560922083</v>
      </c>
      <c r="BI21" t="e">
        <f t="shared" si="38"/>
        <v>#DIV/0!</v>
      </c>
      <c r="BJ21">
        <v>5273</v>
      </c>
      <c r="BK21">
        <v>300</v>
      </c>
      <c r="BL21">
        <v>300</v>
      </c>
      <c r="BM21">
        <v>300</v>
      </c>
      <c r="BN21">
        <v>9868.6200000000008</v>
      </c>
      <c r="BO21">
        <v>306.47000000000003</v>
      </c>
      <c r="BP21">
        <v>-6.4000699999999999E-3</v>
      </c>
      <c r="BQ21">
        <v>0.76190199999999997</v>
      </c>
      <c r="BR21">
        <f t="shared" si="39"/>
        <v>2200.0183870967699</v>
      </c>
      <c r="BS21">
        <f t="shared" si="40"/>
        <v>1849.2007927360273</v>
      </c>
      <c r="BT21">
        <f t="shared" si="41"/>
        <v>0.84053878984907249</v>
      </c>
      <c r="BU21">
        <f t="shared" si="42"/>
        <v>0.19107757969814512</v>
      </c>
      <c r="BV21">
        <v>0.5</v>
      </c>
      <c r="BW21" t="s">
        <v>281</v>
      </c>
      <c r="BX21">
        <v>1595609088.9000001</v>
      </c>
      <c r="BY21">
        <v>49.485393548387101</v>
      </c>
      <c r="BZ21">
        <v>49.989164516129001</v>
      </c>
      <c r="CA21">
        <v>20.162787096774199</v>
      </c>
      <c r="CB21">
        <v>16.059506451612901</v>
      </c>
      <c r="CC21">
        <v>500.04790322580601</v>
      </c>
      <c r="CD21">
        <v>99.739554838709694</v>
      </c>
      <c r="CE21">
        <v>0.19996722580645199</v>
      </c>
      <c r="CF21">
        <v>27.338464516129001</v>
      </c>
      <c r="CG21">
        <v>27.046451612903201</v>
      </c>
      <c r="CH21">
        <v>999.9</v>
      </c>
      <c r="CI21">
        <v>9998.7283870967694</v>
      </c>
      <c r="CJ21">
        <v>0</v>
      </c>
      <c r="CK21">
        <v>162.655</v>
      </c>
      <c r="CL21">
        <v>2200.0183870967699</v>
      </c>
      <c r="CM21">
        <v>0.98199883870967797</v>
      </c>
      <c r="CN21">
        <v>1.8001519354838701E-2</v>
      </c>
      <c r="CO21">
        <v>0</v>
      </c>
      <c r="CP21">
        <v>271.72058064516102</v>
      </c>
      <c r="CQ21">
        <v>5.00054</v>
      </c>
      <c r="CR21">
        <v>8641.9838709677406</v>
      </c>
      <c r="CS21">
        <v>20590.693548387098</v>
      </c>
      <c r="CT21">
        <v>50.096483870967703</v>
      </c>
      <c r="CU21">
        <v>52.0783870967742</v>
      </c>
      <c r="CV21">
        <v>50.417064516129003</v>
      </c>
      <c r="CW21">
        <v>51.164999999999999</v>
      </c>
      <c r="CX21">
        <v>51.324258064516101</v>
      </c>
      <c r="CY21">
        <v>2155.5077419354802</v>
      </c>
      <c r="CZ21">
        <v>39.511612903225803</v>
      </c>
      <c r="DA21">
        <v>0</v>
      </c>
      <c r="DB21">
        <v>117.299999952316</v>
      </c>
      <c r="DC21">
        <v>271.72303846153801</v>
      </c>
      <c r="DD21">
        <v>-1.48181195345786</v>
      </c>
      <c r="DE21">
        <v>14.827008560447901</v>
      </c>
      <c r="DF21">
        <v>8642.1042307692296</v>
      </c>
      <c r="DG21">
        <v>15</v>
      </c>
      <c r="DH21">
        <v>1595609126.4000001</v>
      </c>
      <c r="DI21" t="s">
        <v>307</v>
      </c>
      <c r="DJ21">
        <v>33</v>
      </c>
      <c r="DK21">
        <v>-0.49299999999999999</v>
      </c>
      <c r="DL21">
        <v>0.10100000000000001</v>
      </c>
      <c r="DM21">
        <v>50</v>
      </c>
      <c r="DN21">
        <v>16</v>
      </c>
      <c r="DO21">
        <v>0.47</v>
      </c>
      <c r="DP21">
        <v>0.02</v>
      </c>
      <c r="DQ21">
        <v>49.585378431372597</v>
      </c>
      <c r="DR21">
        <v>-5.34733031674322E-2</v>
      </c>
      <c r="DS21">
        <v>1.3265631751813001E-2</v>
      </c>
      <c r="DT21">
        <v>1</v>
      </c>
      <c r="DU21">
        <v>20.156270588235301</v>
      </c>
      <c r="DV21">
        <v>-1.42023529411845E-2</v>
      </c>
      <c r="DW21">
        <v>3.3792500686582899E-3</v>
      </c>
      <c r="DX21">
        <v>1</v>
      </c>
      <c r="DY21">
        <v>2</v>
      </c>
      <c r="DZ21">
        <v>2</v>
      </c>
      <c r="EA21" t="s">
        <v>283</v>
      </c>
      <c r="EB21">
        <v>1.86666</v>
      </c>
      <c r="EC21">
        <v>1.8632</v>
      </c>
      <c r="ED21">
        <v>1.86887</v>
      </c>
      <c r="EE21">
        <v>1.86676</v>
      </c>
      <c r="EF21">
        <v>1.8714900000000001</v>
      </c>
      <c r="EG21">
        <v>1.86388</v>
      </c>
      <c r="EH21">
        <v>1.8654599999999999</v>
      </c>
      <c r="EI21">
        <v>1.8653900000000001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-0.49299999999999999</v>
      </c>
      <c r="EX21">
        <v>0.10100000000000001</v>
      </c>
      <c r="EY21">
        <v>2</v>
      </c>
      <c r="EZ21">
        <v>329.38099999999997</v>
      </c>
      <c r="FA21">
        <v>474.34699999999998</v>
      </c>
      <c r="FB21">
        <v>21.0502</v>
      </c>
      <c r="FC21">
        <v>35.580300000000001</v>
      </c>
      <c r="FD21">
        <v>30.000800000000002</v>
      </c>
      <c r="FE21">
        <v>35.564599999999999</v>
      </c>
      <c r="FF21">
        <v>35.566899999999997</v>
      </c>
      <c r="FG21">
        <v>5.6442300000000003</v>
      </c>
      <c r="FH21">
        <v>50.622799999999998</v>
      </c>
      <c r="FI21">
        <v>0</v>
      </c>
      <c r="FJ21">
        <v>21.040099999999999</v>
      </c>
      <c r="FK21">
        <v>50</v>
      </c>
      <c r="FL21">
        <v>15.980399999999999</v>
      </c>
      <c r="FM21">
        <v>100.51900000000001</v>
      </c>
      <c r="FN21">
        <v>100.742</v>
      </c>
    </row>
    <row r="22" spans="1:170" x14ac:dyDescent="0.25">
      <c r="A22">
        <v>6</v>
      </c>
      <c r="B22">
        <v>1595609247.9000001</v>
      </c>
      <c r="C22">
        <v>656.60000014305103</v>
      </c>
      <c r="D22" t="s">
        <v>308</v>
      </c>
      <c r="E22" t="s">
        <v>309</v>
      </c>
      <c r="G22">
        <v>1595609239.9000001</v>
      </c>
      <c r="H22">
        <f t="shared" si="0"/>
        <v>1.0320862709828472E-2</v>
      </c>
      <c r="I22">
        <f t="shared" si="1"/>
        <v>33.19532845488613</v>
      </c>
      <c r="J22">
        <f t="shared" si="2"/>
        <v>385.11554838709702</v>
      </c>
      <c r="K22">
        <f t="shared" si="3"/>
        <v>295.03602656021513</v>
      </c>
      <c r="L22">
        <f t="shared" si="4"/>
        <v>29.484918823911904</v>
      </c>
      <c r="M22">
        <f t="shared" si="5"/>
        <v>38.487166514569239</v>
      </c>
      <c r="N22">
        <f t="shared" si="6"/>
        <v>0.71701212061876662</v>
      </c>
      <c r="O22">
        <f t="shared" si="7"/>
        <v>3.39293816547878</v>
      </c>
      <c r="P22">
        <f t="shared" si="8"/>
        <v>0.64225683431262259</v>
      </c>
      <c r="Q22">
        <f t="shared" si="9"/>
        <v>0.40747556407859203</v>
      </c>
      <c r="R22">
        <f t="shared" si="10"/>
        <v>353.33562535522867</v>
      </c>
      <c r="S22">
        <f t="shared" si="11"/>
        <v>26.993677777843722</v>
      </c>
      <c r="T22">
        <f t="shared" si="12"/>
        <v>27.0298612903226</v>
      </c>
      <c r="U22">
        <f t="shared" si="13"/>
        <v>3.5854417286123512</v>
      </c>
      <c r="V22">
        <f t="shared" si="14"/>
        <v>54.877381802704861</v>
      </c>
      <c r="W22">
        <f t="shared" si="15"/>
        <v>2.0245667617126308</v>
      </c>
      <c r="X22">
        <f t="shared" si="16"/>
        <v>3.6892553821014138</v>
      </c>
      <c r="Y22">
        <f t="shared" si="17"/>
        <v>1.5608749668997204</v>
      </c>
      <c r="Z22">
        <f t="shared" si="18"/>
        <v>-455.15004550343565</v>
      </c>
      <c r="AA22">
        <f t="shared" si="19"/>
        <v>89.077359599488418</v>
      </c>
      <c r="AB22">
        <f t="shared" si="20"/>
        <v>5.681372233289153</v>
      </c>
      <c r="AC22">
        <f t="shared" si="21"/>
        <v>-7.055688315429407</v>
      </c>
      <c r="AD22">
        <v>-4.1338327317176397E-2</v>
      </c>
      <c r="AE22">
        <v>4.6405893849902798E-2</v>
      </c>
      <c r="AF22">
        <v>3.4654796870476798</v>
      </c>
      <c r="AG22">
        <v>151</v>
      </c>
      <c r="AH22">
        <v>30</v>
      </c>
      <c r="AI22">
        <f t="shared" si="22"/>
        <v>1</v>
      </c>
      <c r="AJ22">
        <f t="shared" si="23"/>
        <v>0</v>
      </c>
      <c r="AK22">
        <f t="shared" si="24"/>
        <v>52623.289391668222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267.943692307692</v>
      </c>
      <c r="AT22">
        <v>359.25099999999998</v>
      </c>
      <c r="AU22">
        <f t="shared" si="27"/>
        <v>0.25416020468226386</v>
      </c>
      <c r="AV22">
        <v>0.5</v>
      </c>
      <c r="AW22">
        <f t="shared" si="28"/>
        <v>1849.1739190638966</v>
      </c>
      <c r="AX22">
        <f t="shared" si="29"/>
        <v>33.19532845488613</v>
      </c>
      <c r="AY22">
        <f t="shared" si="30"/>
        <v>234.993210881192</v>
      </c>
      <c r="AZ22">
        <f t="shared" si="31"/>
        <v>0.49439249995128753</v>
      </c>
      <c r="BA22">
        <f t="shared" si="32"/>
        <v>1.8492218661723694E-2</v>
      </c>
      <c r="BB22">
        <f t="shared" si="33"/>
        <v>-1</v>
      </c>
      <c r="BC22" t="s">
        <v>311</v>
      </c>
      <c r="BD22">
        <v>181.64</v>
      </c>
      <c r="BE22">
        <f t="shared" si="34"/>
        <v>177.61099999999999</v>
      </c>
      <c r="BF22">
        <f t="shared" si="35"/>
        <v>0.51408588258783505</v>
      </c>
      <c r="BG22">
        <f t="shared" si="36"/>
        <v>1.9778187623871395</v>
      </c>
      <c r="BH22">
        <f t="shared" si="37"/>
        <v>0.25416020468226386</v>
      </c>
      <c r="BI22" t="e">
        <f t="shared" si="38"/>
        <v>#DIV/0!</v>
      </c>
      <c r="BJ22">
        <v>5275</v>
      </c>
      <c r="BK22">
        <v>300</v>
      </c>
      <c r="BL22">
        <v>300</v>
      </c>
      <c r="BM22">
        <v>300</v>
      </c>
      <c r="BN22">
        <v>9866.9699999999993</v>
      </c>
      <c r="BO22">
        <v>330.17200000000003</v>
      </c>
      <c r="BP22">
        <v>-6.39888E-3</v>
      </c>
      <c r="BQ22">
        <v>0.82867400000000002</v>
      </c>
      <c r="BR22">
        <f t="shared" si="39"/>
        <v>2199.9864516129001</v>
      </c>
      <c r="BS22">
        <f t="shared" si="40"/>
        <v>1849.1739190638966</v>
      </c>
      <c r="BT22">
        <f t="shared" si="41"/>
        <v>0.84053877591300241</v>
      </c>
      <c r="BU22">
        <f t="shared" si="42"/>
        <v>0.19107755182600511</v>
      </c>
      <c r="BV22">
        <v>0.5</v>
      </c>
      <c r="BW22" t="s">
        <v>281</v>
      </c>
      <c r="BX22">
        <v>1595609239.9000001</v>
      </c>
      <c r="BY22">
        <v>385.11554838709702</v>
      </c>
      <c r="BZ22">
        <v>399.98177419354801</v>
      </c>
      <c r="CA22">
        <v>20.2584967741935</v>
      </c>
      <c r="CB22">
        <v>16.214274193548398</v>
      </c>
      <c r="CC22">
        <v>500.06038709677398</v>
      </c>
      <c r="CD22">
        <v>99.736677419354805</v>
      </c>
      <c r="CE22">
        <v>0.19999529032258101</v>
      </c>
      <c r="CF22">
        <v>27.516835483870999</v>
      </c>
      <c r="CG22">
        <v>27.0298612903226</v>
      </c>
      <c r="CH22">
        <v>999.9</v>
      </c>
      <c r="CI22">
        <v>9995.2583870967701</v>
      </c>
      <c r="CJ22">
        <v>0</v>
      </c>
      <c r="CK22">
        <v>166.23429032258099</v>
      </c>
      <c r="CL22">
        <v>2199.9864516129001</v>
      </c>
      <c r="CM22">
        <v>0.98200038709677395</v>
      </c>
      <c r="CN22">
        <v>1.7999893548387099E-2</v>
      </c>
      <c r="CO22">
        <v>0</v>
      </c>
      <c r="CP22">
        <v>267.96703225806402</v>
      </c>
      <c r="CQ22">
        <v>5.00054</v>
      </c>
      <c r="CR22">
        <v>8627.7067741935498</v>
      </c>
      <c r="CS22">
        <v>20590.4258064516</v>
      </c>
      <c r="CT22">
        <v>50.483677419354798</v>
      </c>
      <c r="CU22">
        <v>52.628999999999998</v>
      </c>
      <c r="CV22">
        <v>50.878999999999998</v>
      </c>
      <c r="CW22">
        <v>51.614677419354798</v>
      </c>
      <c r="CX22">
        <v>51.739774193548399</v>
      </c>
      <c r="CY22">
        <v>2155.4764516128998</v>
      </c>
      <c r="CZ22">
        <v>39.51</v>
      </c>
      <c r="DA22">
        <v>0</v>
      </c>
      <c r="DB22">
        <v>150.5</v>
      </c>
      <c r="DC22">
        <v>267.943692307692</v>
      </c>
      <c r="DD22">
        <v>-0.66201709945859899</v>
      </c>
      <c r="DE22">
        <v>40.592478674696601</v>
      </c>
      <c r="DF22">
        <v>8627.875</v>
      </c>
      <c r="DG22">
        <v>15</v>
      </c>
      <c r="DH22">
        <v>1595609276.9000001</v>
      </c>
      <c r="DI22" t="s">
        <v>312</v>
      </c>
      <c r="DJ22">
        <v>34</v>
      </c>
      <c r="DK22">
        <v>-0.36199999999999999</v>
      </c>
      <c r="DL22">
        <v>9.9000000000000005E-2</v>
      </c>
      <c r="DM22">
        <v>400</v>
      </c>
      <c r="DN22">
        <v>16</v>
      </c>
      <c r="DO22">
        <v>7.0000000000000007E-2</v>
      </c>
      <c r="DP22">
        <v>0.02</v>
      </c>
      <c r="DQ22">
        <v>384.99513725490198</v>
      </c>
      <c r="DR22">
        <v>-0.101820814479512</v>
      </c>
      <c r="DS22">
        <v>1.9459379116548499E-2</v>
      </c>
      <c r="DT22">
        <v>1</v>
      </c>
      <c r="DU22">
        <v>20.224852941176501</v>
      </c>
      <c r="DV22">
        <v>0.38006877828055402</v>
      </c>
      <c r="DW22">
        <v>4.7594510117347298E-2</v>
      </c>
      <c r="DX22">
        <v>0</v>
      </c>
      <c r="DY22">
        <v>1</v>
      </c>
      <c r="DZ22">
        <v>2</v>
      </c>
      <c r="EA22" t="s">
        <v>313</v>
      </c>
      <c r="EB22">
        <v>1.86676</v>
      </c>
      <c r="EC22">
        <v>1.86324</v>
      </c>
      <c r="ED22">
        <v>1.8689</v>
      </c>
      <c r="EE22">
        <v>1.86683</v>
      </c>
      <c r="EF22">
        <v>1.8714999999999999</v>
      </c>
      <c r="EG22">
        <v>1.8640000000000001</v>
      </c>
      <c r="EH22">
        <v>1.8655200000000001</v>
      </c>
      <c r="EI22">
        <v>1.86541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-0.36199999999999999</v>
      </c>
      <c r="EX22">
        <v>9.9000000000000005E-2</v>
      </c>
      <c r="EY22">
        <v>2</v>
      </c>
      <c r="EZ22">
        <v>330.80099999999999</v>
      </c>
      <c r="FA22">
        <v>474.108</v>
      </c>
      <c r="FB22">
        <v>21.816099999999999</v>
      </c>
      <c r="FC22">
        <v>35.756799999999998</v>
      </c>
      <c r="FD22">
        <v>30.0001</v>
      </c>
      <c r="FE22">
        <v>35.722999999999999</v>
      </c>
      <c r="FF22">
        <v>35.720700000000001</v>
      </c>
      <c r="FG22">
        <v>22.079599999999999</v>
      </c>
      <c r="FH22">
        <v>50.347299999999997</v>
      </c>
      <c r="FI22">
        <v>0</v>
      </c>
      <c r="FJ22">
        <v>21.802499999999998</v>
      </c>
      <c r="FK22">
        <v>400</v>
      </c>
      <c r="FL22">
        <v>16.2606</v>
      </c>
      <c r="FM22">
        <v>100.48399999999999</v>
      </c>
      <c r="FN22">
        <v>100.706</v>
      </c>
    </row>
    <row r="23" spans="1:170" x14ac:dyDescent="0.25">
      <c r="A23">
        <v>7</v>
      </c>
      <c r="B23">
        <v>1595609368.4000001</v>
      </c>
      <c r="C23">
        <v>777.10000014305103</v>
      </c>
      <c r="D23" t="s">
        <v>314</v>
      </c>
      <c r="E23" t="s">
        <v>315</v>
      </c>
      <c r="G23">
        <v>1595609360.4000001</v>
      </c>
      <c r="H23">
        <f t="shared" si="0"/>
        <v>1.0055286822950604E-2</v>
      </c>
      <c r="I23">
        <f t="shared" si="1"/>
        <v>33.935711905435589</v>
      </c>
      <c r="J23">
        <f t="shared" si="2"/>
        <v>384.88341935483902</v>
      </c>
      <c r="K23">
        <f t="shared" si="3"/>
        <v>290.44317834596245</v>
      </c>
      <c r="L23">
        <f t="shared" si="4"/>
        <v>29.026477203091058</v>
      </c>
      <c r="M23">
        <f t="shared" si="5"/>
        <v>38.464700260384937</v>
      </c>
      <c r="N23">
        <f t="shared" si="6"/>
        <v>0.69353411773569817</v>
      </c>
      <c r="O23">
        <f t="shared" si="7"/>
        <v>3.3917237895424388</v>
      </c>
      <c r="P23">
        <f t="shared" si="8"/>
        <v>0.62331589070940419</v>
      </c>
      <c r="Q23">
        <f t="shared" si="9"/>
        <v>0.39528714482474991</v>
      </c>
      <c r="R23">
        <f t="shared" si="10"/>
        <v>353.33953811519666</v>
      </c>
      <c r="S23">
        <f t="shared" si="11"/>
        <v>26.889098727659192</v>
      </c>
      <c r="T23">
        <f t="shared" si="12"/>
        <v>27.012303225806502</v>
      </c>
      <c r="U23">
        <f t="shared" si="13"/>
        <v>3.5817468054826027</v>
      </c>
      <c r="V23">
        <f t="shared" si="14"/>
        <v>55.1382380774712</v>
      </c>
      <c r="W23">
        <f t="shared" si="15"/>
        <v>2.014685578674932</v>
      </c>
      <c r="X23">
        <f t="shared" si="16"/>
        <v>3.6538809525328442</v>
      </c>
      <c r="Y23">
        <f t="shared" si="17"/>
        <v>1.5670612268076707</v>
      </c>
      <c r="Z23">
        <f t="shared" si="18"/>
        <v>-443.4381488921216</v>
      </c>
      <c r="AA23">
        <f t="shared" si="19"/>
        <v>62.162310449939717</v>
      </c>
      <c r="AB23">
        <f t="shared" si="20"/>
        <v>3.9625355908083453</v>
      </c>
      <c r="AC23">
        <f t="shared" si="21"/>
        <v>-23.973764736176896</v>
      </c>
      <c r="AD23">
        <v>-4.13195214363219E-2</v>
      </c>
      <c r="AE23">
        <v>4.6384782601157998E-2</v>
      </c>
      <c r="AF23">
        <v>3.4642323100854102</v>
      </c>
      <c r="AG23">
        <v>154</v>
      </c>
      <c r="AH23">
        <v>31</v>
      </c>
      <c r="AI23">
        <f t="shared" si="22"/>
        <v>1</v>
      </c>
      <c r="AJ23">
        <f t="shared" si="23"/>
        <v>0</v>
      </c>
      <c r="AK23">
        <f t="shared" si="24"/>
        <v>52629.186281842951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268.18292307692298</v>
      </c>
      <c r="AT23">
        <v>362.45600000000002</v>
      </c>
      <c r="AU23">
        <f t="shared" si="27"/>
        <v>0.26009523065717499</v>
      </c>
      <c r="AV23">
        <v>0.5</v>
      </c>
      <c r="AW23">
        <f t="shared" si="28"/>
        <v>1849.1945126122937</v>
      </c>
      <c r="AX23">
        <f t="shared" si="29"/>
        <v>33.935711905435589</v>
      </c>
      <c r="AY23">
        <f t="shared" si="30"/>
        <v>240.4833366439384</v>
      </c>
      <c r="AZ23">
        <f t="shared" si="31"/>
        <v>0.49450416050499924</v>
      </c>
      <c r="BA23">
        <f t="shared" si="32"/>
        <v>1.8892394319342375E-2</v>
      </c>
      <c r="BB23">
        <f t="shared" si="33"/>
        <v>-1</v>
      </c>
      <c r="BC23" t="s">
        <v>317</v>
      </c>
      <c r="BD23">
        <v>183.22</v>
      </c>
      <c r="BE23">
        <f t="shared" si="34"/>
        <v>179.23600000000002</v>
      </c>
      <c r="BF23">
        <f t="shared" si="35"/>
        <v>0.5259717742143154</v>
      </c>
      <c r="BG23">
        <f t="shared" si="36"/>
        <v>1.9782556489466216</v>
      </c>
      <c r="BH23">
        <f t="shared" si="37"/>
        <v>0.26009523065717505</v>
      </c>
      <c r="BI23" t="e">
        <f t="shared" si="38"/>
        <v>#DIV/0!</v>
      </c>
      <c r="BJ23">
        <v>5277</v>
      </c>
      <c r="BK23">
        <v>300</v>
      </c>
      <c r="BL23">
        <v>300</v>
      </c>
      <c r="BM23">
        <v>300</v>
      </c>
      <c r="BN23">
        <v>9866.31</v>
      </c>
      <c r="BO23">
        <v>335.13099999999997</v>
      </c>
      <c r="BP23">
        <v>-6.3983900000000003E-3</v>
      </c>
      <c r="BQ23">
        <v>0.94555699999999998</v>
      </c>
      <c r="BR23">
        <f t="shared" si="39"/>
        <v>2200.01096774194</v>
      </c>
      <c r="BS23">
        <f t="shared" si="40"/>
        <v>1849.1945126122937</v>
      </c>
      <c r="BT23">
        <f t="shared" si="41"/>
        <v>0.84053876990907939</v>
      </c>
      <c r="BU23">
        <f t="shared" si="42"/>
        <v>0.191077539818159</v>
      </c>
      <c r="BV23">
        <v>0.5</v>
      </c>
      <c r="BW23" t="s">
        <v>281</v>
      </c>
      <c r="BX23">
        <v>1595609360.4000001</v>
      </c>
      <c r="BY23">
        <v>384.88341935483902</v>
      </c>
      <c r="BZ23">
        <v>400.00412903225799</v>
      </c>
      <c r="CA23">
        <v>20.1592387096774</v>
      </c>
      <c r="CB23">
        <v>16.2186290322581</v>
      </c>
      <c r="CC23">
        <v>500.05358064516099</v>
      </c>
      <c r="CD23">
        <v>99.738548387096799</v>
      </c>
      <c r="CE23">
        <v>0.200026064516129</v>
      </c>
      <c r="CF23">
        <v>27.3522580645161</v>
      </c>
      <c r="CG23">
        <v>27.012303225806502</v>
      </c>
      <c r="CH23">
        <v>999.9</v>
      </c>
      <c r="CI23">
        <v>9990.5238709677396</v>
      </c>
      <c r="CJ23">
        <v>0</v>
      </c>
      <c r="CK23">
        <v>171.763612903226</v>
      </c>
      <c r="CL23">
        <v>2200.01096774194</v>
      </c>
      <c r="CM23">
        <v>0.98200161290322596</v>
      </c>
      <c r="CN23">
        <v>1.79986064516129E-2</v>
      </c>
      <c r="CO23">
        <v>0</v>
      </c>
      <c r="CP23">
        <v>268.16267741935502</v>
      </c>
      <c r="CQ23">
        <v>5.00054</v>
      </c>
      <c r="CR23">
        <v>8656.2158064516098</v>
      </c>
      <c r="CS23">
        <v>20590.641935483902</v>
      </c>
      <c r="CT23">
        <v>50.659064516129</v>
      </c>
      <c r="CU23">
        <v>52.862741935483903</v>
      </c>
      <c r="CV23">
        <v>51.082322580645098</v>
      </c>
      <c r="CW23">
        <v>51.759935483870997</v>
      </c>
      <c r="CX23">
        <v>51.882935483871002</v>
      </c>
      <c r="CY23">
        <v>2155.5009677419398</v>
      </c>
      <c r="CZ23">
        <v>39.51</v>
      </c>
      <c r="DA23">
        <v>0</v>
      </c>
      <c r="DB23">
        <v>119.59999990463299</v>
      </c>
      <c r="DC23">
        <v>268.18292307692298</v>
      </c>
      <c r="DD23">
        <v>0.305777787032325</v>
      </c>
      <c r="DE23">
        <v>19.159316213560999</v>
      </c>
      <c r="DF23">
        <v>8656.28269230769</v>
      </c>
      <c r="DG23">
        <v>15</v>
      </c>
      <c r="DH23">
        <v>1595609396.9000001</v>
      </c>
      <c r="DI23" t="s">
        <v>318</v>
      </c>
      <c r="DJ23">
        <v>35</v>
      </c>
      <c r="DK23">
        <v>-0.376</v>
      </c>
      <c r="DL23">
        <v>0.1</v>
      </c>
      <c r="DM23">
        <v>400</v>
      </c>
      <c r="DN23">
        <v>16</v>
      </c>
      <c r="DO23">
        <v>0.18</v>
      </c>
      <c r="DP23">
        <v>0.02</v>
      </c>
      <c r="DQ23">
        <v>384.90231372548999</v>
      </c>
      <c r="DR23">
        <v>-6.9067873303185895E-2</v>
      </c>
      <c r="DS23">
        <v>1.3118599572674699E-2</v>
      </c>
      <c r="DT23">
        <v>1</v>
      </c>
      <c r="DU23">
        <v>20.160098039215701</v>
      </c>
      <c r="DV23">
        <v>-3.2076380090511697E-2</v>
      </c>
      <c r="DW23">
        <v>5.5979159355954199E-3</v>
      </c>
      <c r="DX23">
        <v>1</v>
      </c>
      <c r="DY23">
        <v>2</v>
      </c>
      <c r="DZ23">
        <v>2</v>
      </c>
      <c r="EA23" t="s">
        <v>283</v>
      </c>
      <c r="EB23">
        <v>1.86676</v>
      </c>
      <c r="EC23">
        <v>1.8632500000000001</v>
      </c>
      <c r="ED23">
        <v>1.8689</v>
      </c>
      <c r="EE23">
        <v>1.86683</v>
      </c>
      <c r="EF23">
        <v>1.8715299999999999</v>
      </c>
      <c r="EG23">
        <v>1.8640099999999999</v>
      </c>
      <c r="EH23">
        <v>1.86554</v>
      </c>
      <c r="EI23">
        <v>1.8654200000000001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-0.376</v>
      </c>
      <c r="EX23">
        <v>0.1</v>
      </c>
      <c r="EY23">
        <v>2</v>
      </c>
      <c r="EZ23">
        <v>328.39699999999999</v>
      </c>
      <c r="FA23">
        <v>473.57799999999997</v>
      </c>
      <c r="FB23">
        <v>21.933499999999999</v>
      </c>
      <c r="FC23">
        <v>35.831299999999999</v>
      </c>
      <c r="FD23">
        <v>30.000800000000002</v>
      </c>
      <c r="FE23">
        <v>35.803400000000003</v>
      </c>
      <c r="FF23">
        <v>35.799999999999997</v>
      </c>
      <c r="FG23">
        <v>22.0776</v>
      </c>
      <c r="FH23">
        <v>50.397500000000001</v>
      </c>
      <c r="FI23">
        <v>0</v>
      </c>
      <c r="FJ23">
        <v>21.9011</v>
      </c>
      <c r="FK23">
        <v>400</v>
      </c>
      <c r="FL23">
        <v>16.2605</v>
      </c>
      <c r="FM23">
        <v>100.47499999999999</v>
      </c>
      <c r="FN23">
        <v>100.697</v>
      </c>
    </row>
    <row r="24" spans="1:170" x14ac:dyDescent="0.25">
      <c r="A24">
        <v>8</v>
      </c>
      <c r="B24">
        <v>1595609518.4000001</v>
      </c>
      <c r="C24">
        <v>927.10000014305103</v>
      </c>
      <c r="D24" t="s">
        <v>319</v>
      </c>
      <c r="E24" t="s">
        <v>320</v>
      </c>
      <c r="G24">
        <v>1595609510.4000001</v>
      </c>
      <c r="H24">
        <f t="shared" si="0"/>
        <v>9.2876517280400563E-3</v>
      </c>
      <c r="I24">
        <f t="shared" si="1"/>
        <v>38.863369195278537</v>
      </c>
      <c r="J24">
        <f t="shared" si="2"/>
        <v>482.66638709677397</v>
      </c>
      <c r="K24">
        <f t="shared" si="3"/>
        <v>363.97558563283047</v>
      </c>
      <c r="L24">
        <f t="shared" si="4"/>
        <v>36.376368855720472</v>
      </c>
      <c r="M24">
        <f t="shared" si="5"/>
        <v>48.23853913378116</v>
      </c>
      <c r="N24">
        <f t="shared" si="6"/>
        <v>0.62726302204075801</v>
      </c>
      <c r="O24">
        <f t="shared" si="7"/>
        <v>3.3950834843976536</v>
      </c>
      <c r="P24">
        <f t="shared" si="8"/>
        <v>0.56927470659952206</v>
      </c>
      <c r="Q24">
        <f t="shared" si="9"/>
        <v>0.3605589191240377</v>
      </c>
      <c r="R24">
        <f t="shared" si="10"/>
        <v>353.33641955861566</v>
      </c>
      <c r="S24">
        <f t="shared" si="11"/>
        <v>26.741941334594667</v>
      </c>
      <c r="T24">
        <f t="shared" si="12"/>
        <v>26.976051612903198</v>
      </c>
      <c r="U24">
        <f t="shared" si="13"/>
        <v>3.5741285221651529</v>
      </c>
      <c r="V24">
        <f t="shared" si="14"/>
        <v>55.470191236985315</v>
      </c>
      <c r="W24">
        <f t="shared" si="15"/>
        <v>1.9889704311356242</v>
      </c>
      <c r="X24">
        <f t="shared" si="16"/>
        <v>3.58565634403196</v>
      </c>
      <c r="Y24">
        <f t="shared" si="17"/>
        <v>1.5851580910295286</v>
      </c>
      <c r="Z24">
        <f t="shared" si="18"/>
        <v>-409.58544120656649</v>
      </c>
      <c r="AA24">
        <f t="shared" si="19"/>
        <v>10.035672537303446</v>
      </c>
      <c r="AB24">
        <f t="shared" si="20"/>
        <v>0.63794913463395864</v>
      </c>
      <c r="AC24">
        <f t="shared" si="21"/>
        <v>-45.575399976013408</v>
      </c>
      <c r="AD24">
        <v>-4.1371557247102203E-2</v>
      </c>
      <c r="AE24">
        <v>4.64431973573462E-2</v>
      </c>
      <c r="AF24">
        <v>3.4676833186713698</v>
      </c>
      <c r="AG24">
        <v>154</v>
      </c>
      <c r="AH24">
        <v>31</v>
      </c>
      <c r="AI24">
        <f t="shared" si="22"/>
        <v>1</v>
      </c>
      <c r="AJ24">
        <f t="shared" si="23"/>
        <v>0</v>
      </c>
      <c r="AK24">
        <f t="shared" si="24"/>
        <v>52749.27119875027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275.075346153846</v>
      </c>
      <c r="AT24">
        <v>378.697</v>
      </c>
      <c r="AU24">
        <f t="shared" si="27"/>
        <v>0.27362681469922923</v>
      </c>
      <c r="AV24">
        <v>0.5</v>
      </c>
      <c r="AW24">
        <f t="shared" si="28"/>
        <v>1849.179456111789</v>
      </c>
      <c r="AX24">
        <f t="shared" si="29"/>
        <v>38.863369195278537</v>
      </c>
      <c r="AY24">
        <f t="shared" si="30"/>
        <v>252.992542191561</v>
      </c>
      <c r="AZ24">
        <f t="shared" si="31"/>
        <v>0.51174685830624478</v>
      </c>
      <c r="BA24">
        <f t="shared" si="32"/>
        <v>2.1557328610549233E-2</v>
      </c>
      <c r="BB24">
        <f t="shared" si="33"/>
        <v>-1</v>
      </c>
      <c r="BC24" t="s">
        <v>322</v>
      </c>
      <c r="BD24">
        <v>184.9</v>
      </c>
      <c r="BE24">
        <f t="shared" si="34"/>
        <v>193.797</v>
      </c>
      <c r="BF24">
        <f t="shared" si="35"/>
        <v>0.53469173334032005</v>
      </c>
      <c r="BG24">
        <f t="shared" si="36"/>
        <v>2.0481179015684154</v>
      </c>
      <c r="BH24">
        <f t="shared" si="37"/>
        <v>0.27362681469922923</v>
      </c>
      <c r="BI24" t="e">
        <f t="shared" si="38"/>
        <v>#DIV/0!</v>
      </c>
      <c r="BJ24">
        <v>5279</v>
      </c>
      <c r="BK24">
        <v>300</v>
      </c>
      <c r="BL24">
        <v>300</v>
      </c>
      <c r="BM24">
        <v>300</v>
      </c>
      <c r="BN24">
        <v>9865.7199999999993</v>
      </c>
      <c r="BO24">
        <v>348.529</v>
      </c>
      <c r="BP24">
        <v>-6.3977900000000004E-3</v>
      </c>
      <c r="BQ24">
        <v>1.7895799999999999</v>
      </c>
      <c r="BR24">
        <f t="shared" si="39"/>
        <v>2199.99322580645</v>
      </c>
      <c r="BS24">
        <f t="shared" si="40"/>
        <v>1849.179456111789</v>
      </c>
      <c r="BT24">
        <f t="shared" si="41"/>
        <v>0.8405387045834819</v>
      </c>
      <c r="BU24">
        <f t="shared" si="42"/>
        <v>0.19107740916696367</v>
      </c>
      <c r="BV24">
        <v>0.5</v>
      </c>
      <c r="BW24" t="s">
        <v>281</v>
      </c>
      <c r="BX24">
        <v>1595609510.4000001</v>
      </c>
      <c r="BY24">
        <v>482.66638709677397</v>
      </c>
      <c r="BZ24">
        <v>500.00287096774201</v>
      </c>
      <c r="CA24">
        <v>19.9012903225806</v>
      </c>
      <c r="CB24">
        <v>16.2605838709677</v>
      </c>
      <c r="CC24">
        <v>500.05764516129</v>
      </c>
      <c r="CD24">
        <v>99.741783870967694</v>
      </c>
      <c r="CE24">
        <v>0.199998741935484</v>
      </c>
      <c r="CF24">
        <v>27.0308806451613</v>
      </c>
      <c r="CG24">
        <v>26.976051612903198</v>
      </c>
      <c r="CH24">
        <v>999.9</v>
      </c>
      <c r="CI24">
        <v>10002.780967741901</v>
      </c>
      <c r="CJ24">
        <v>0</v>
      </c>
      <c r="CK24">
        <v>175.56877419354799</v>
      </c>
      <c r="CL24">
        <v>2199.99322580645</v>
      </c>
      <c r="CM24">
        <v>0.98200225806451602</v>
      </c>
      <c r="CN24">
        <v>1.7997929032258098E-2</v>
      </c>
      <c r="CO24">
        <v>0</v>
      </c>
      <c r="CP24">
        <v>275.11938709677401</v>
      </c>
      <c r="CQ24">
        <v>5.00054</v>
      </c>
      <c r="CR24">
        <v>8843.3061290322603</v>
      </c>
      <c r="CS24">
        <v>20590.483870967699</v>
      </c>
      <c r="CT24">
        <v>51.0783870967742</v>
      </c>
      <c r="CU24">
        <v>53.336387096774203</v>
      </c>
      <c r="CV24">
        <v>51.543999999999997</v>
      </c>
      <c r="CW24">
        <v>52.2033870967742</v>
      </c>
      <c r="CX24">
        <v>52.249935483870999</v>
      </c>
      <c r="CY24">
        <v>2155.4854838709698</v>
      </c>
      <c r="CZ24">
        <v>39.504838709677401</v>
      </c>
      <c r="DA24">
        <v>0</v>
      </c>
      <c r="DB24">
        <v>149.5</v>
      </c>
      <c r="DC24">
        <v>275.075346153846</v>
      </c>
      <c r="DD24">
        <v>-1.44030771409118</v>
      </c>
      <c r="DE24">
        <v>-2.36136744934511</v>
      </c>
      <c r="DF24">
        <v>8843.1826923076896</v>
      </c>
      <c r="DG24">
        <v>15</v>
      </c>
      <c r="DH24">
        <v>1595609549.4000001</v>
      </c>
      <c r="DI24" t="s">
        <v>323</v>
      </c>
      <c r="DJ24">
        <v>36</v>
      </c>
      <c r="DK24">
        <v>-0.33700000000000002</v>
      </c>
      <c r="DL24">
        <v>0.10100000000000001</v>
      </c>
      <c r="DM24">
        <v>500</v>
      </c>
      <c r="DN24">
        <v>16</v>
      </c>
      <c r="DO24">
        <v>0.21</v>
      </c>
      <c r="DP24">
        <v>0.02</v>
      </c>
      <c r="DQ24">
        <v>482.62835294117701</v>
      </c>
      <c r="DR24">
        <v>3.6651583710549301E-2</v>
      </c>
      <c r="DS24">
        <v>2.0834382903200301E-2</v>
      </c>
      <c r="DT24">
        <v>1</v>
      </c>
      <c r="DU24">
        <v>19.916345098039201</v>
      </c>
      <c r="DV24">
        <v>-0.21071565610860199</v>
      </c>
      <c r="DW24">
        <v>2.6539569523272001E-2</v>
      </c>
      <c r="DX24">
        <v>0</v>
      </c>
      <c r="DY24">
        <v>1</v>
      </c>
      <c r="DZ24">
        <v>2</v>
      </c>
      <c r="EA24" t="s">
        <v>313</v>
      </c>
      <c r="EB24">
        <v>1.86676</v>
      </c>
      <c r="EC24">
        <v>1.8632500000000001</v>
      </c>
      <c r="ED24">
        <v>1.8689</v>
      </c>
      <c r="EE24">
        <v>1.8668400000000001</v>
      </c>
      <c r="EF24">
        <v>1.87151</v>
      </c>
      <c r="EG24">
        <v>1.8640000000000001</v>
      </c>
      <c r="EH24">
        <v>1.86554</v>
      </c>
      <c r="EI24">
        <v>1.86541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-0.33700000000000002</v>
      </c>
      <c r="EX24">
        <v>0.10100000000000001</v>
      </c>
      <c r="EY24">
        <v>2</v>
      </c>
      <c r="EZ24">
        <v>328.17700000000002</v>
      </c>
      <c r="FA24">
        <v>473.072</v>
      </c>
      <c r="FB24">
        <v>21.6447</v>
      </c>
      <c r="FC24">
        <v>35.975000000000001</v>
      </c>
      <c r="FD24">
        <v>30.001300000000001</v>
      </c>
      <c r="FE24">
        <v>35.920400000000001</v>
      </c>
      <c r="FF24">
        <v>35.915700000000001</v>
      </c>
      <c r="FG24">
        <v>26.384399999999999</v>
      </c>
      <c r="FH24">
        <v>50.609900000000003</v>
      </c>
      <c r="FI24">
        <v>0</v>
      </c>
      <c r="FJ24">
        <v>21.6097</v>
      </c>
      <c r="FK24">
        <v>500</v>
      </c>
      <c r="FL24">
        <v>16.198399999999999</v>
      </c>
      <c r="FM24">
        <v>100.45399999999999</v>
      </c>
      <c r="FN24">
        <v>100.675</v>
      </c>
    </row>
    <row r="25" spans="1:170" x14ac:dyDescent="0.25">
      <c r="A25">
        <v>9</v>
      </c>
      <c r="B25">
        <v>1595609649.9000001</v>
      </c>
      <c r="C25">
        <v>1058.60000014305</v>
      </c>
      <c r="D25" t="s">
        <v>324</v>
      </c>
      <c r="E25" t="s">
        <v>325</v>
      </c>
      <c r="G25">
        <v>1595609641.9000001</v>
      </c>
      <c r="H25">
        <f t="shared" si="0"/>
        <v>8.4409959007030761E-3</v>
      </c>
      <c r="I25">
        <f t="shared" si="1"/>
        <v>42.033711053726392</v>
      </c>
      <c r="J25">
        <f t="shared" si="2"/>
        <v>581.23338709677398</v>
      </c>
      <c r="K25">
        <f t="shared" si="3"/>
        <v>438.10144028008909</v>
      </c>
      <c r="L25">
        <f t="shared" si="4"/>
        <v>43.785906277809985</v>
      </c>
      <c r="M25">
        <f t="shared" si="5"/>
        <v>58.091182253778229</v>
      </c>
      <c r="N25">
        <f t="shared" si="6"/>
        <v>0.55826669750233571</v>
      </c>
      <c r="O25">
        <f t="shared" si="7"/>
        <v>3.3929457624882908</v>
      </c>
      <c r="P25">
        <f t="shared" si="8"/>
        <v>0.51180184742051615</v>
      </c>
      <c r="Q25">
        <f t="shared" si="9"/>
        <v>0.32372794916802627</v>
      </c>
      <c r="R25">
        <f t="shared" si="10"/>
        <v>353.33494549310751</v>
      </c>
      <c r="S25">
        <f t="shared" si="11"/>
        <v>26.858705508025992</v>
      </c>
      <c r="T25">
        <f t="shared" si="12"/>
        <v>26.9922838709677</v>
      </c>
      <c r="U25">
        <f t="shared" si="13"/>
        <v>3.5775379836528076</v>
      </c>
      <c r="V25">
        <f t="shared" si="14"/>
        <v>55.322723931407026</v>
      </c>
      <c r="W25">
        <f t="shared" si="15"/>
        <v>1.9749680439752961</v>
      </c>
      <c r="X25">
        <f t="shared" si="16"/>
        <v>3.5699038363042273</v>
      </c>
      <c r="Y25">
        <f t="shared" si="17"/>
        <v>1.6025699396775115</v>
      </c>
      <c r="Z25">
        <f t="shared" si="18"/>
        <v>-372.24791922100565</v>
      </c>
      <c r="AA25">
        <f t="shared" si="19"/>
        <v>-6.6518151797413614</v>
      </c>
      <c r="AB25">
        <f t="shared" si="20"/>
        <v>-0.42298576298621121</v>
      </c>
      <c r="AC25">
        <f t="shared" si="21"/>
        <v>-25.987774670625726</v>
      </c>
      <c r="AD25">
        <v>-4.13384449743694E-2</v>
      </c>
      <c r="AE25">
        <v>4.6406025930409399E-2</v>
      </c>
      <c r="AF25">
        <v>3.46548749052495</v>
      </c>
      <c r="AG25">
        <v>154</v>
      </c>
      <c r="AH25">
        <v>31</v>
      </c>
      <c r="AI25">
        <f t="shared" si="22"/>
        <v>1</v>
      </c>
      <c r="AJ25">
        <f t="shared" si="23"/>
        <v>0</v>
      </c>
      <c r="AK25">
        <f t="shared" si="24"/>
        <v>52722.011435245207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277.43042307692298</v>
      </c>
      <c r="AT25">
        <v>385.27600000000001</v>
      </c>
      <c r="AU25">
        <f t="shared" si="27"/>
        <v>0.27991771333557514</v>
      </c>
      <c r="AV25">
        <v>0.5</v>
      </c>
      <c r="AW25">
        <f t="shared" si="28"/>
        <v>1849.1728255155829</v>
      </c>
      <c r="AX25">
        <f t="shared" si="29"/>
        <v>42.033711053726392</v>
      </c>
      <c r="AY25">
        <f t="shared" si="30"/>
        <v>258.8081144403032</v>
      </c>
      <c r="AZ25">
        <f t="shared" si="31"/>
        <v>0.52112251995971726</v>
      </c>
      <c r="BA25">
        <f t="shared" si="32"/>
        <v>2.3271870784564344E-2</v>
      </c>
      <c r="BB25">
        <f t="shared" si="33"/>
        <v>-1</v>
      </c>
      <c r="BC25" t="s">
        <v>327</v>
      </c>
      <c r="BD25">
        <v>184.5</v>
      </c>
      <c r="BE25">
        <f t="shared" si="34"/>
        <v>200.77600000000001</v>
      </c>
      <c r="BF25">
        <f t="shared" si="35"/>
        <v>0.53714376680020037</v>
      </c>
      <c r="BG25">
        <f t="shared" si="36"/>
        <v>2.0882168021680219</v>
      </c>
      <c r="BH25">
        <f t="shared" si="37"/>
        <v>0.27991771333557508</v>
      </c>
      <c r="BI25" t="e">
        <f t="shared" si="38"/>
        <v>#DIV/0!</v>
      </c>
      <c r="BJ25">
        <v>5281</v>
      </c>
      <c r="BK25">
        <v>300</v>
      </c>
      <c r="BL25">
        <v>300</v>
      </c>
      <c r="BM25">
        <v>300</v>
      </c>
      <c r="BN25">
        <v>9865.08</v>
      </c>
      <c r="BO25">
        <v>352.154</v>
      </c>
      <c r="BP25">
        <v>-6.3972500000000002E-3</v>
      </c>
      <c r="BQ25">
        <v>1.2657499999999999</v>
      </c>
      <c r="BR25">
        <f t="shared" si="39"/>
        <v>2199.9854838709698</v>
      </c>
      <c r="BS25">
        <f t="shared" si="40"/>
        <v>1849.1728255155829</v>
      </c>
      <c r="BT25">
        <f t="shared" si="41"/>
        <v>0.84053864858320937</v>
      </c>
      <c r="BU25">
        <f t="shared" si="42"/>
        <v>0.19107729716641891</v>
      </c>
      <c r="BV25">
        <v>0.5</v>
      </c>
      <c r="BW25" t="s">
        <v>281</v>
      </c>
      <c r="BX25">
        <v>1595609641.9000001</v>
      </c>
      <c r="BY25">
        <v>581.23338709677398</v>
      </c>
      <c r="BZ25">
        <v>600.00729032258096</v>
      </c>
      <c r="CA25">
        <v>19.760612903225802</v>
      </c>
      <c r="CB25">
        <v>16.451296774193501</v>
      </c>
      <c r="CC25">
        <v>500.05477419354798</v>
      </c>
      <c r="CD25">
        <v>99.744699999999995</v>
      </c>
      <c r="CE25">
        <v>0.199975483870968</v>
      </c>
      <c r="CF25">
        <v>26.955919354838699</v>
      </c>
      <c r="CG25">
        <v>26.9922838709677</v>
      </c>
      <c r="CH25">
        <v>999.9</v>
      </c>
      <c r="CI25">
        <v>9994.4829032258094</v>
      </c>
      <c r="CJ25">
        <v>0</v>
      </c>
      <c r="CK25">
        <v>178.66019354838701</v>
      </c>
      <c r="CL25">
        <v>2199.9854838709698</v>
      </c>
      <c r="CM25">
        <v>0.98200303225806496</v>
      </c>
      <c r="CN25">
        <v>1.7997116129032299E-2</v>
      </c>
      <c r="CO25">
        <v>0</v>
      </c>
      <c r="CP25">
        <v>277.46903225806398</v>
      </c>
      <c r="CQ25">
        <v>5.00054</v>
      </c>
      <c r="CR25">
        <v>8919.5970967741905</v>
      </c>
      <c r="CS25">
        <v>20590.4096774194</v>
      </c>
      <c r="CT25">
        <v>51.253741935483902</v>
      </c>
      <c r="CU25">
        <v>53.598580645161299</v>
      </c>
      <c r="CV25">
        <v>51.757935483871002</v>
      </c>
      <c r="CW25">
        <v>52.370677419354799</v>
      </c>
      <c r="CX25">
        <v>52.415064516129</v>
      </c>
      <c r="CY25">
        <v>2155.4848387096799</v>
      </c>
      <c r="CZ25">
        <v>39.500645161290301</v>
      </c>
      <c r="DA25">
        <v>0</v>
      </c>
      <c r="DB25">
        <v>131</v>
      </c>
      <c r="DC25">
        <v>277.43042307692298</v>
      </c>
      <c r="DD25">
        <v>-2.7579829079006002</v>
      </c>
      <c r="DE25">
        <v>-67.994529892620093</v>
      </c>
      <c r="DF25">
        <v>8918.8538461538392</v>
      </c>
      <c r="DG25">
        <v>15</v>
      </c>
      <c r="DH25">
        <v>1595609680.9000001</v>
      </c>
      <c r="DI25" t="s">
        <v>328</v>
      </c>
      <c r="DJ25">
        <v>37</v>
      </c>
      <c r="DK25">
        <v>-0.27200000000000002</v>
      </c>
      <c r="DL25">
        <v>0.104</v>
      </c>
      <c r="DM25">
        <v>600</v>
      </c>
      <c r="DN25">
        <v>16</v>
      </c>
      <c r="DO25">
        <v>0.14000000000000001</v>
      </c>
      <c r="DP25">
        <v>0.03</v>
      </c>
      <c r="DQ25">
        <v>581.13872549019595</v>
      </c>
      <c r="DR25">
        <v>0.29842533936528498</v>
      </c>
      <c r="DS25">
        <v>4.2553808350750698E-2</v>
      </c>
      <c r="DT25">
        <v>1</v>
      </c>
      <c r="DU25">
        <v>19.769298039215698</v>
      </c>
      <c r="DV25">
        <v>-9.2664977375601795E-2</v>
      </c>
      <c r="DW25">
        <v>2.09420909325196E-2</v>
      </c>
      <c r="DX25">
        <v>1</v>
      </c>
      <c r="DY25">
        <v>2</v>
      </c>
      <c r="DZ25">
        <v>2</v>
      </c>
      <c r="EA25" t="s">
        <v>283</v>
      </c>
      <c r="EB25">
        <v>1.86676</v>
      </c>
      <c r="EC25">
        <v>1.8632500000000001</v>
      </c>
      <c r="ED25">
        <v>1.8689100000000001</v>
      </c>
      <c r="EE25">
        <v>1.8668499999999999</v>
      </c>
      <c r="EF25">
        <v>1.87155</v>
      </c>
      <c r="EG25">
        <v>1.8640099999999999</v>
      </c>
      <c r="EH25">
        <v>1.86554</v>
      </c>
      <c r="EI25">
        <v>1.86544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-0.27200000000000002</v>
      </c>
      <c r="EX25">
        <v>0.104</v>
      </c>
      <c r="EY25">
        <v>2</v>
      </c>
      <c r="EZ25">
        <v>327.95499999999998</v>
      </c>
      <c r="FA25">
        <v>473.19600000000003</v>
      </c>
      <c r="FB25">
        <v>21.541</v>
      </c>
      <c r="FC25">
        <v>36.035899999999998</v>
      </c>
      <c r="FD25">
        <v>29.999199999999998</v>
      </c>
      <c r="FE25">
        <v>35.997</v>
      </c>
      <c r="FF25">
        <v>35.991</v>
      </c>
      <c r="FG25">
        <v>30.5427</v>
      </c>
      <c r="FH25">
        <v>50.2898</v>
      </c>
      <c r="FI25">
        <v>0</v>
      </c>
      <c r="FJ25">
        <v>21.510300000000001</v>
      </c>
      <c r="FK25">
        <v>600</v>
      </c>
      <c r="FL25">
        <v>16.394600000000001</v>
      </c>
      <c r="FM25">
        <v>100.446</v>
      </c>
      <c r="FN25">
        <v>100.672</v>
      </c>
    </row>
    <row r="26" spans="1:170" x14ac:dyDescent="0.25">
      <c r="A26">
        <v>10</v>
      </c>
      <c r="B26">
        <v>1595609802.4000001</v>
      </c>
      <c r="C26">
        <v>1211.10000014305</v>
      </c>
      <c r="D26" t="s">
        <v>329</v>
      </c>
      <c r="E26" t="s">
        <v>330</v>
      </c>
      <c r="G26">
        <v>1595609794.4161301</v>
      </c>
      <c r="H26">
        <f t="shared" si="0"/>
        <v>7.7343278301776905E-3</v>
      </c>
      <c r="I26">
        <f t="shared" si="1"/>
        <v>43.310875193112615</v>
      </c>
      <c r="J26">
        <f t="shared" si="2"/>
        <v>680.57448387096804</v>
      </c>
      <c r="K26">
        <f t="shared" si="3"/>
        <v>517.1219339942312</v>
      </c>
      <c r="L26">
        <f t="shared" si="4"/>
        <v>51.684387519493335</v>
      </c>
      <c r="M26">
        <f t="shared" si="5"/>
        <v>68.02085358974287</v>
      </c>
      <c r="N26">
        <f t="shared" si="6"/>
        <v>0.50216125633582176</v>
      </c>
      <c r="O26">
        <f t="shared" si="7"/>
        <v>3.3931290850508318</v>
      </c>
      <c r="P26">
        <f t="shared" si="8"/>
        <v>0.46422856987040018</v>
      </c>
      <c r="Q26">
        <f t="shared" si="9"/>
        <v>0.29331181188465172</v>
      </c>
      <c r="R26">
        <f t="shared" si="10"/>
        <v>353.33671118680189</v>
      </c>
      <c r="S26">
        <f t="shared" si="11"/>
        <v>26.79388891474655</v>
      </c>
      <c r="T26">
        <f t="shared" si="12"/>
        <v>26.969303225806499</v>
      </c>
      <c r="U26">
        <f t="shared" si="13"/>
        <v>3.5727119100800508</v>
      </c>
      <c r="V26">
        <f t="shared" si="14"/>
        <v>55.452564195609675</v>
      </c>
      <c r="W26">
        <f t="shared" si="15"/>
        <v>1.9535831779151394</v>
      </c>
      <c r="X26">
        <f t="shared" si="16"/>
        <v>3.5229807787135829</v>
      </c>
      <c r="Y26">
        <f t="shared" si="17"/>
        <v>1.6191287321649115</v>
      </c>
      <c r="Z26">
        <f t="shared" si="18"/>
        <v>-341.08385731083615</v>
      </c>
      <c r="AA26">
        <f t="shared" si="19"/>
        <v>-43.610601455609043</v>
      </c>
      <c r="AB26">
        <f t="shared" si="20"/>
        <v>-2.7695906152210799</v>
      </c>
      <c r="AC26">
        <f t="shared" si="21"/>
        <v>-34.127338194864393</v>
      </c>
      <c r="AD26">
        <v>-4.1341284182606297E-2</v>
      </c>
      <c r="AE26">
        <v>4.6409213190383602E-2</v>
      </c>
      <c r="AF26">
        <v>3.46567579540049</v>
      </c>
      <c r="AG26">
        <v>154</v>
      </c>
      <c r="AH26">
        <v>31</v>
      </c>
      <c r="AI26">
        <f t="shared" si="22"/>
        <v>1</v>
      </c>
      <c r="AJ26">
        <f t="shared" si="23"/>
        <v>0</v>
      </c>
      <c r="AK26">
        <f t="shared" si="24"/>
        <v>52765.100073676527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274.52449999999999</v>
      </c>
      <c r="AT26">
        <v>375.30700000000002</v>
      </c>
      <c r="AU26">
        <f t="shared" si="27"/>
        <v>0.26853349391298331</v>
      </c>
      <c r="AV26">
        <v>0.5</v>
      </c>
      <c r="AW26">
        <f t="shared" si="28"/>
        <v>1849.1822900317181</v>
      </c>
      <c r="AX26">
        <f t="shared" si="29"/>
        <v>43.310875193112615</v>
      </c>
      <c r="AY26">
        <f t="shared" si="30"/>
        <v>248.28369061211447</v>
      </c>
      <c r="AZ26">
        <f t="shared" si="31"/>
        <v>0.51447748110213776</v>
      </c>
      <c r="BA26">
        <f t="shared" si="32"/>
        <v>2.3962415945673249E-2</v>
      </c>
      <c r="BB26">
        <f t="shared" si="33"/>
        <v>-1</v>
      </c>
      <c r="BC26" t="s">
        <v>332</v>
      </c>
      <c r="BD26">
        <v>182.22</v>
      </c>
      <c r="BE26">
        <f t="shared" si="34"/>
        <v>193.08700000000002</v>
      </c>
      <c r="BF26">
        <f t="shared" si="35"/>
        <v>0.52195383428195585</v>
      </c>
      <c r="BG26">
        <f t="shared" si="36"/>
        <v>2.0596367028866207</v>
      </c>
      <c r="BH26">
        <f t="shared" si="37"/>
        <v>0.26853349391298331</v>
      </c>
      <c r="BI26" t="e">
        <f t="shared" si="38"/>
        <v>#DIV/0!</v>
      </c>
      <c r="BJ26">
        <v>5283</v>
      </c>
      <c r="BK26">
        <v>300</v>
      </c>
      <c r="BL26">
        <v>300</v>
      </c>
      <c r="BM26">
        <v>300</v>
      </c>
      <c r="BN26">
        <v>9864.91</v>
      </c>
      <c r="BO26">
        <v>346.89400000000001</v>
      </c>
      <c r="BP26">
        <v>-6.3969300000000003E-3</v>
      </c>
      <c r="BQ26">
        <v>1.4003000000000001</v>
      </c>
      <c r="BR26">
        <f t="shared" si="39"/>
        <v>2199.9967741935502</v>
      </c>
      <c r="BS26">
        <f t="shared" si="40"/>
        <v>1849.1822900317181</v>
      </c>
      <c r="BT26">
        <f t="shared" si="41"/>
        <v>0.84053863702121578</v>
      </c>
      <c r="BU26">
        <f t="shared" si="42"/>
        <v>0.19107727404243163</v>
      </c>
      <c r="BV26">
        <v>0.5</v>
      </c>
      <c r="BW26" t="s">
        <v>281</v>
      </c>
      <c r="BX26">
        <v>1595609794.4161301</v>
      </c>
      <c r="BY26">
        <v>680.57448387096804</v>
      </c>
      <c r="BZ26">
        <v>700.00229032258096</v>
      </c>
      <c r="CA26">
        <v>19.546341935483898</v>
      </c>
      <c r="CB26">
        <v>16.513403225806499</v>
      </c>
      <c r="CC26">
        <v>500.05296774193602</v>
      </c>
      <c r="CD26">
        <v>99.746216129032305</v>
      </c>
      <c r="CE26">
        <v>0.20001341935483899</v>
      </c>
      <c r="CF26">
        <v>26.7309032258065</v>
      </c>
      <c r="CG26">
        <v>26.969303225806499</v>
      </c>
      <c r="CH26">
        <v>999.9</v>
      </c>
      <c r="CI26">
        <v>9995.0174193548391</v>
      </c>
      <c r="CJ26">
        <v>0</v>
      </c>
      <c r="CK26">
        <v>182.00522580645199</v>
      </c>
      <c r="CL26">
        <v>2199.9967741935502</v>
      </c>
      <c r="CM26">
        <v>0.98200348387096803</v>
      </c>
      <c r="CN26">
        <v>1.7996641935483899E-2</v>
      </c>
      <c r="CO26">
        <v>0</v>
      </c>
      <c r="CP26">
        <v>274.54941935483902</v>
      </c>
      <c r="CQ26">
        <v>5.00054</v>
      </c>
      <c r="CR26">
        <v>8874.8780645161296</v>
      </c>
      <c r="CS26">
        <v>20590.5516129032</v>
      </c>
      <c r="CT26">
        <v>51.537999999999997</v>
      </c>
      <c r="CU26">
        <v>54</v>
      </c>
      <c r="CV26">
        <v>52.061999999999998</v>
      </c>
      <c r="CW26">
        <v>52.705290322580602</v>
      </c>
      <c r="CX26">
        <v>52.725612903225802</v>
      </c>
      <c r="CY26">
        <v>2155.4967741935502</v>
      </c>
      <c r="CZ26">
        <v>39.5</v>
      </c>
      <c r="DA26">
        <v>0</v>
      </c>
      <c r="DB26">
        <v>152.09999990463299</v>
      </c>
      <c r="DC26">
        <v>274.52449999999999</v>
      </c>
      <c r="DD26">
        <v>-3.1173675158427598</v>
      </c>
      <c r="DE26">
        <v>-57.813333196955902</v>
      </c>
      <c r="DF26">
        <v>8874.43461538462</v>
      </c>
      <c r="DG26">
        <v>15</v>
      </c>
      <c r="DH26">
        <v>1595609833.4000001</v>
      </c>
      <c r="DI26" t="s">
        <v>333</v>
      </c>
      <c r="DJ26">
        <v>38</v>
      </c>
      <c r="DK26">
        <v>-0.26200000000000001</v>
      </c>
      <c r="DL26">
        <v>0.105</v>
      </c>
      <c r="DM26">
        <v>700</v>
      </c>
      <c r="DN26">
        <v>17</v>
      </c>
      <c r="DO26">
        <v>0.18</v>
      </c>
      <c r="DP26">
        <v>0.03</v>
      </c>
      <c r="DQ26">
        <v>680.53088235294103</v>
      </c>
      <c r="DR26">
        <v>0.352990974248655</v>
      </c>
      <c r="DS26">
        <v>5.0118935820670299E-2</v>
      </c>
      <c r="DT26">
        <v>0</v>
      </c>
      <c r="DU26">
        <v>19.591319607843101</v>
      </c>
      <c r="DV26">
        <v>-0.46391888094211797</v>
      </c>
      <c r="DW26">
        <v>6.1140202170215603E-2</v>
      </c>
      <c r="DX26">
        <v>0</v>
      </c>
      <c r="DY26">
        <v>0</v>
      </c>
      <c r="DZ26">
        <v>2</v>
      </c>
      <c r="EA26" t="s">
        <v>334</v>
      </c>
      <c r="EB26">
        <v>1.86676</v>
      </c>
      <c r="EC26">
        <v>1.8632500000000001</v>
      </c>
      <c r="ED26">
        <v>1.8689100000000001</v>
      </c>
      <c r="EE26">
        <v>1.8668800000000001</v>
      </c>
      <c r="EF26">
        <v>1.87161</v>
      </c>
      <c r="EG26">
        <v>1.8640099999999999</v>
      </c>
      <c r="EH26">
        <v>1.86554</v>
      </c>
      <c r="EI26">
        <v>1.86548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-0.26200000000000001</v>
      </c>
      <c r="EX26">
        <v>0.105</v>
      </c>
      <c r="EY26">
        <v>2</v>
      </c>
      <c r="EZ26">
        <v>328.33100000000002</v>
      </c>
      <c r="FA26">
        <v>472.846</v>
      </c>
      <c r="FB26">
        <v>21.059899999999999</v>
      </c>
      <c r="FC26">
        <v>36.125399999999999</v>
      </c>
      <c r="FD26">
        <v>29.996099999999998</v>
      </c>
      <c r="FE26">
        <v>36.080399999999997</v>
      </c>
      <c r="FF26">
        <v>36.075299999999999</v>
      </c>
      <c r="FG26">
        <v>34.586399999999998</v>
      </c>
      <c r="FH26">
        <v>50.155299999999997</v>
      </c>
      <c r="FI26">
        <v>0</v>
      </c>
      <c r="FJ26">
        <v>21.258199999999999</v>
      </c>
      <c r="FK26">
        <v>700</v>
      </c>
      <c r="FL26">
        <v>16.394500000000001</v>
      </c>
      <c r="FM26">
        <v>100.43</v>
      </c>
      <c r="FN26">
        <v>100.65600000000001</v>
      </c>
    </row>
    <row r="27" spans="1:170" x14ac:dyDescent="0.25">
      <c r="A27">
        <v>11</v>
      </c>
      <c r="B27">
        <v>1595609955</v>
      </c>
      <c r="C27">
        <v>1363.7000000476801</v>
      </c>
      <c r="D27" t="s">
        <v>335</v>
      </c>
      <c r="E27" t="s">
        <v>336</v>
      </c>
      <c r="G27">
        <v>1595609946.9451599</v>
      </c>
      <c r="H27">
        <f t="shared" si="0"/>
        <v>6.7488484545413412E-3</v>
      </c>
      <c r="I27">
        <f t="shared" si="1"/>
        <v>43.793124829492712</v>
      </c>
      <c r="J27">
        <f t="shared" si="2"/>
        <v>780.36161290322605</v>
      </c>
      <c r="K27">
        <f t="shared" si="3"/>
        <v>586.86534433935424</v>
      </c>
      <c r="L27">
        <f t="shared" si="4"/>
        <v>58.655454518577706</v>
      </c>
      <c r="M27">
        <f t="shared" si="5"/>
        <v>77.99483396862712</v>
      </c>
      <c r="N27">
        <f t="shared" si="6"/>
        <v>0.42393915996569603</v>
      </c>
      <c r="O27">
        <f t="shared" si="7"/>
        <v>3.3949122258333233</v>
      </c>
      <c r="P27">
        <f t="shared" si="8"/>
        <v>0.39657169469620157</v>
      </c>
      <c r="Q27">
        <f t="shared" si="9"/>
        <v>0.25016879631562972</v>
      </c>
      <c r="R27">
        <f t="shared" si="10"/>
        <v>353.33712592544924</v>
      </c>
      <c r="S27">
        <f t="shared" si="11"/>
        <v>26.946504272116609</v>
      </c>
      <c r="T27">
        <f t="shared" si="12"/>
        <v>27.037629032258099</v>
      </c>
      <c r="U27">
        <f t="shared" si="13"/>
        <v>3.587077435317839</v>
      </c>
      <c r="V27">
        <f t="shared" si="14"/>
        <v>55.101358154562007</v>
      </c>
      <c r="W27">
        <f t="shared" si="15"/>
        <v>1.9331524497721364</v>
      </c>
      <c r="X27">
        <f t="shared" si="16"/>
        <v>3.5083571703433316</v>
      </c>
      <c r="Y27">
        <f t="shared" si="17"/>
        <v>1.6539249855457026</v>
      </c>
      <c r="Z27">
        <f t="shared" si="18"/>
        <v>-297.62421684527317</v>
      </c>
      <c r="AA27">
        <f t="shared" si="19"/>
        <v>-69.071842456319118</v>
      </c>
      <c r="AB27">
        <f t="shared" si="20"/>
        <v>-4.384210565792575</v>
      </c>
      <c r="AC27">
        <f t="shared" si="21"/>
        <v>-17.7431439419356</v>
      </c>
      <c r="AD27">
        <v>-4.1368904188206997E-2</v>
      </c>
      <c r="AE27">
        <v>4.6440219066315701E-2</v>
      </c>
      <c r="AF27">
        <v>3.4675074044535199</v>
      </c>
      <c r="AG27">
        <v>153</v>
      </c>
      <c r="AH27">
        <v>31</v>
      </c>
      <c r="AI27">
        <f t="shared" si="22"/>
        <v>1</v>
      </c>
      <c r="AJ27">
        <f t="shared" si="23"/>
        <v>0</v>
      </c>
      <c r="AK27">
        <f t="shared" si="24"/>
        <v>52811.380710512116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270.44626923076902</v>
      </c>
      <c r="AT27">
        <v>367.95100000000002</v>
      </c>
      <c r="AU27">
        <f t="shared" si="27"/>
        <v>0.26499379202456574</v>
      </c>
      <c r="AV27">
        <v>0.5</v>
      </c>
      <c r="AW27">
        <f t="shared" si="28"/>
        <v>1849.1842158381578</v>
      </c>
      <c r="AX27">
        <f t="shared" si="29"/>
        <v>43.793124829492712</v>
      </c>
      <c r="AY27">
        <f t="shared" si="30"/>
        <v>245.01116875346324</v>
      </c>
      <c r="AZ27">
        <f t="shared" si="31"/>
        <v>0.51841413666493641</v>
      </c>
      <c r="BA27">
        <f t="shared" si="32"/>
        <v>2.4223181468802372E-2</v>
      </c>
      <c r="BB27">
        <f t="shared" si="33"/>
        <v>-1</v>
      </c>
      <c r="BC27" t="s">
        <v>338</v>
      </c>
      <c r="BD27">
        <v>177.2</v>
      </c>
      <c r="BE27">
        <f t="shared" si="34"/>
        <v>190.75100000000003</v>
      </c>
      <c r="BF27">
        <f t="shared" si="35"/>
        <v>0.51116235704783186</v>
      </c>
      <c r="BG27">
        <f t="shared" si="36"/>
        <v>2.076472911963883</v>
      </c>
      <c r="BH27">
        <f t="shared" si="37"/>
        <v>0.26499379202456574</v>
      </c>
      <c r="BI27" t="e">
        <f t="shared" si="38"/>
        <v>#DIV/0!</v>
      </c>
      <c r="BJ27">
        <v>5285</v>
      </c>
      <c r="BK27">
        <v>300</v>
      </c>
      <c r="BL27">
        <v>300</v>
      </c>
      <c r="BM27">
        <v>300</v>
      </c>
      <c r="BN27">
        <v>9865.1299999999992</v>
      </c>
      <c r="BO27">
        <v>339.79399999999998</v>
      </c>
      <c r="BP27">
        <v>-6.3971399999999999E-3</v>
      </c>
      <c r="BQ27">
        <v>1.6282000000000001</v>
      </c>
      <c r="BR27">
        <f t="shared" si="39"/>
        <v>2199.9990322580602</v>
      </c>
      <c r="BS27">
        <f t="shared" si="40"/>
        <v>1849.1842158381578</v>
      </c>
      <c r="BT27">
        <f t="shared" si="41"/>
        <v>0.84053864966484593</v>
      </c>
      <c r="BU27">
        <f t="shared" si="42"/>
        <v>0.19107729932969189</v>
      </c>
      <c r="BV27">
        <v>0.5</v>
      </c>
      <c r="BW27" t="s">
        <v>281</v>
      </c>
      <c r="BX27">
        <v>1595609946.9451599</v>
      </c>
      <c r="BY27">
        <v>780.36161290322605</v>
      </c>
      <c r="BZ27">
        <v>799.98325806451601</v>
      </c>
      <c r="CA27">
        <v>19.341767741935499</v>
      </c>
      <c r="CB27">
        <v>16.694741935483901</v>
      </c>
      <c r="CC27">
        <v>500.05661290322598</v>
      </c>
      <c r="CD27">
        <v>99.747051612903206</v>
      </c>
      <c r="CE27">
        <v>0.19998919354838701</v>
      </c>
      <c r="CF27">
        <v>26.660241935483899</v>
      </c>
      <c r="CG27">
        <v>27.037629032258099</v>
      </c>
      <c r="CH27">
        <v>999.9</v>
      </c>
      <c r="CI27">
        <v>10001.6112903226</v>
      </c>
      <c r="CJ27">
        <v>0</v>
      </c>
      <c r="CK27">
        <v>315.88096774193502</v>
      </c>
      <c r="CL27">
        <v>2199.9990322580602</v>
      </c>
      <c r="CM27">
        <v>0.98200290322580697</v>
      </c>
      <c r="CN27">
        <v>1.7997251612903199E-2</v>
      </c>
      <c r="CO27">
        <v>0</v>
      </c>
      <c r="CP27">
        <v>270.48874193548397</v>
      </c>
      <c r="CQ27">
        <v>5.00054</v>
      </c>
      <c r="CR27">
        <v>8762.3806451612909</v>
      </c>
      <c r="CS27">
        <v>20590.548387096798</v>
      </c>
      <c r="CT27">
        <v>51.55</v>
      </c>
      <c r="CU27">
        <v>53.895000000000003</v>
      </c>
      <c r="CV27">
        <v>52.061999999999998</v>
      </c>
      <c r="CW27">
        <v>52.711451612903197</v>
      </c>
      <c r="CX27">
        <v>52.686999999999998</v>
      </c>
      <c r="CY27">
        <v>2155.4980645161299</v>
      </c>
      <c r="CZ27">
        <v>39.500967741935497</v>
      </c>
      <c r="DA27">
        <v>0</v>
      </c>
      <c r="DB27">
        <v>152.09999990463299</v>
      </c>
      <c r="DC27">
        <v>270.44626923076902</v>
      </c>
      <c r="DD27">
        <v>-3.3702906066255198</v>
      </c>
      <c r="DE27">
        <v>-51.322051217757704</v>
      </c>
      <c r="DF27">
        <v>8761.8726923076902</v>
      </c>
      <c r="DG27">
        <v>15</v>
      </c>
      <c r="DH27">
        <v>1595609982.9000001</v>
      </c>
      <c r="DI27" t="s">
        <v>339</v>
      </c>
      <c r="DJ27">
        <v>39</v>
      </c>
      <c r="DK27">
        <v>-0.34300000000000003</v>
      </c>
      <c r="DL27">
        <v>0.109</v>
      </c>
      <c r="DM27">
        <v>800</v>
      </c>
      <c r="DN27">
        <v>17</v>
      </c>
      <c r="DO27">
        <v>0.12</v>
      </c>
      <c r="DP27">
        <v>0.05</v>
      </c>
      <c r="DQ27">
        <v>780.40709803921595</v>
      </c>
      <c r="DR27">
        <v>0.38432572234457202</v>
      </c>
      <c r="DS27">
        <v>5.48431828219113E-2</v>
      </c>
      <c r="DT27">
        <v>0</v>
      </c>
      <c r="DU27">
        <v>19.369229411764699</v>
      </c>
      <c r="DV27">
        <v>-0.33186683144217999</v>
      </c>
      <c r="DW27">
        <v>4.3164170390919403E-2</v>
      </c>
      <c r="DX27">
        <v>0</v>
      </c>
      <c r="DY27">
        <v>0</v>
      </c>
      <c r="DZ27">
        <v>2</v>
      </c>
      <c r="EA27" t="s">
        <v>334</v>
      </c>
      <c r="EB27">
        <v>1.8666499999999999</v>
      </c>
      <c r="EC27">
        <v>1.8632200000000001</v>
      </c>
      <c r="ED27">
        <v>1.8688400000000001</v>
      </c>
      <c r="EE27">
        <v>1.86676</v>
      </c>
      <c r="EF27">
        <v>1.8714900000000001</v>
      </c>
      <c r="EG27">
        <v>1.86388</v>
      </c>
      <c r="EH27">
        <v>1.8654599999999999</v>
      </c>
      <c r="EI27">
        <v>1.8653900000000001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-0.34300000000000003</v>
      </c>
      <c r="EX27">
        <v>0.109</v>
      </c>
      <c r="EY27">
        <v>2</v>
      </c>
      <c r="EZ27">
        <v>328.548</v>
      </c>
      <c r="FA27">
        <v>472.84100000000001</v>
      </c>
      <c r="FB27">
        <v>20.263000000000002</v>
      </c>
      <c r="FC27">
        <v>36.162799999999997</v>
      </c>
      <c r="FD27">
        <v>30.000399999999999</v>
      </c>
      <c r="FE27">
        <v>36.1252</v>
      </c>
      <c r="FF27">
        <v>36.120399999999997</v>
      </c>
      <c r="FG27">
        <v>38.539700000000003</v>
      </c>
      <c r="FH27">
        <v>49.712200000000003</v>
      </c>
      <c r="FI27">
        <v>0</v>
      </c>
      <c r="FJ27">
        <v>19.142399999999999</v>
      </c>
      <c r="FK27">
        <v>800</v>
      </c>
      <c r="FL27">
        <v>16.753900000000002</v>
      </c>
      <c r="FM27">
        <v>100.422</v>
      </c>
      <c r="FN27">
        <v>100.652</v>
      </c>
    </row>
    <row r="28" spans="1:170" x14ac:dyDescent="0.25">
      <c r="A28">
        <v>12</v>
      </c>
      <c r="B28">
        <v>1595610093.4000001</v>
      </c>
      <c r="C28">
        <v>1502.10000014305</v>
      </c>
      <c r="D28" t="s">
        <v>340</v>
      </c>
      <c r="E28" t="s">
        <v>341</v>
      </c>
      <c r="G28">
        <v>1595610085.4548399</v>
      </c>
      <c r="H28">
        <f t="shared" si="0"/>
        <v>6.438155645368396E-3</v>
      </c>
      <c r="I28">
        <f t="shared" si="1"/>
        <v>44.054535508546643</v>
      </c>
      <c r="J28">
        <f t="shared" si="2"/>
        <v>979.84322580645198</v>
      </c>
      <c r="K28">
        <f t="shared" si="3"/>
        <v>770.82576720743361</v>
      </c>
      <c r="L28">
        <f t="shared" si="4"/>
        <v>77.040586036805465</v>
      </c>
      <c r="M28">
        <f t="shared" si="5"/>
        <v>97.930945684135139</v>
      </c>
      <c r="N28">
        <f t="shared" si="6"/>
        <v>0.40168945897022373</v>
      </c>
      <c r="O28">
        <f t="shared" si="7"/>
        <v>3.3945992909060561</v>
      </c>
      <c r="P28">
        <f t="shared" si="8"/>
        <v>0.37702752597309402</v>
      </c>
      <c r="Q28">
        <f t="shared" si="9"/>
        <v>0.2377316974949186</v>
      </c>
      <c r="R28">
        <f t="shared" si="10"/>
        <v>353.3375377949215</v>
      </c>
      <c r="S28">
        <f t="shared" si="11"/>
        <v>26.853818062796186</v>
      </c>
      <c r="T28">
        <f t="shared" si="12"/>
        <v>26.968377419354798</v>
      </c>
      <c r="U28">
        <f t="shared" si="13"/>
        <v>3.5725176043083784</v>
      </c>
      <c r="V28">
        <f t="shared" si="14"/>
        <v>55.044175503948608</v>
      </c>
      <c r="W28">
        <f t="shared" si="15"/>
        <v>1.9126716989761097</v>
      </c>
      <c r="X28">
        <f t="shared" si="16"/>
        <v>3.4747939840408795</v>
      </c>
      <c r="Y28">
        <f t="shared" si="17"/>
        <v>1.6598459053322687</v>
      </c>
      <c r="Z28">
        <f t="shared" si="18"/>
        <v>-283.92266396074626</v>
      </c>
      <c r="AA28">
        <f t="shared" si="19"/>
        <v>-86.250670843574724</v>
      </c>
      <c r="AB28">
        <f t="shared" si="20"/>
        <v>-5.4687486034254169</v>
      </c>
      <c r="AC28">
        <f t="shared" si="21"/>
        <v>-22.304545612824896</v>
      </c>
      <c r="AD28">
        <v>-4.1364056500438402E-2</v>
      </c>
      <c r="AE28">
        <v>4.6434777112114703E-2</v>
      </c>
      <c r="AF28">
        <v>3.4671859626835801</v>
      </c>
      <c r="AG28">
        <v>153</v>
      </c>
      <c r="AH28">
        <v>31</v>
      </c>
      <c r="AI28">
        <f t="shared" si="22"/>
        <v>1</v>
      </c>
      <c r="AJ28">
        <f t="shared" si="23"/>
        <v>0</v>
      </c>
      <c r="AK28">
        <f t="shared" si="24"/>
        <v>52834.178715252616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269.04092307692298</v>
      </c>
      <c r="AT28">
        <v>358.45499999999998</v>
      </c>
      <c r="AU28">
        <f t="shared" si="27"/>
        <v>0.24944296194243909</v>
      </c>
      <c r="AV28">
        <v>0.5</v>
      </c>
      <c r="AW28">
        <f t="shared" si="28"/>
        <v>1849.1863835801007</v>
      </c>
      <c r="AX28">
        <f t="shared" si="29"/>
        <v>44.054535508546643</v>
      </c>
      <c r="AY28">
        <f t="shared" si="30"/>
        <v>230.63326435192383</v>
      </c>
      <c r="AZ28">
        <f t="shared" si="31"/>
        <v>0.49985353810101685</v>
      </c>
      <c r="BA28">
        <f t="shared" si="32"/>
        <v>2.436451831389717E-2</v>
      </c>
      <c r="BB28">
        <f t="shared" si="33"/>
        <v>-1</v>
      </c>
      <c r="BC28" t="s">
        <v>343</v>
      </c>
      <c r="BD28">
        <v>179.28</v>
      </c>
      <c r="BE28">
        <f t="shared" si="34"/>
        <v>179.17499999999998</v>
      </c>
      <c r="BF28">
        <f t="shared" si="35"/>
        <v>0.49903210226358036</v>
      </c>
      <c r="BG28">
        <f t="shared" si="36"/>
        <v>1.9994143239625166</v>
      </c>
      <c r="BH28">
        <f t="shared" si="37"/>
        <v>0.24944296194243909</v>
      </c>
      <c r="BI28" t="e">
        <f t="shared" si="38"/>
        <v>#DIV/0!</v>
      </c>
      <c r="BJ28">
        <v>5287</v>
      </c>
      <c r="BK28">
        <v>300</v>
      </c>
      <c r="BL28">
        <v>300</v>
      </c>
      <c r="BM28">
        <v>300</v>
      </c>
      <c r="BN28">
        <v>9865.19</v>
      </c>
      <c r="BO28">
        <v>332.31099999999998</v>
      </c>
      <c r="BP28">
        <v>-6.3970700000000004E-3</v>
      </c>
      <c r="BQ28">
        <v>1.05731</v>
      </c>
      <c r="BR28">
        <f t="shared" si="39"/>
        <v>2200.0016129032301</v>
      </c>
      <c r="BS28">
        <f t="shared" si="40"/>
        <v>1849.1863835801007</v>
      </c>
      <c r="BT28">
        <f t="shared" si="41"/>
        <v>0.84053864903299935</v>
      </c>
      <c r="BU28">
        <f t="shared" si="42"/>
        <v>0.19107729806599891</v>
      </c>
      <c r="BV28">
        <v>0.5</v>
      </c>
      <c r="BW28" t="s">
        <v>281</v>
      </c>
      <c r="BX28">
        <v>1595610085.4548399</v>
      </c>
      <c r="BY28">
        <v>979.84322580645198</v>
      </c>
      <c r="BZ28">
        <v>999.98606451612898</v>
      </c>
      <c r="CA28">
        <v>19.1371419354839</v>
      </c>
      <c r="CB28">
        <v>16.611454838709701</v>
      </c>
      <c r="CC28">
        <v>500.05780645161298</v>
      </c>
      <c r="CD28">
        <v>99.745529032258105</v>
      </c>
      <c r="CE28">
        <v>0.199996032258065</v>
      </c>
      <c r="CF28">
        <v>26.497087096774202</v>
      </c>
      <c r="CG28">
        <v>26.968377419354798</v>
      </c>
      <c r="CH28">
        <v>999.9</v>
      </c>
      <c r="CI28">
        <v>10000.591935483901</v>
      </c>
      <c r="CJ28">
        <v>0</v>
      </c>
      <c r="CK28">
        <v>309.52941935483898</v>
      </c>
      <c r="CL28">
        <v>2200.0016129032301</v>
      </c>
      <c r="CM28">
        <v>0.98200277419354898</v>
      </c>
      <c r="CN28">
        <v>1.79973870967742E-2</v>
      </c>
      <c r="CO28">
        <v>0</v>
      </c>
      <c r="CP28">
        <v>269.06051612903201</v>
      </c>
      <c r="CQ28">
        <v>5.00054</v>
      </c>
      <c r="CR28">
        <v>8738.9551612903197</v>
      </c>
      <c r="CS28">
        <v>20590.561290322599</v>
      </c>
      <c r="CT28">
        <v>51.663064516128998</v>
      </c>
      <c r="CU28">
        <v>54.003999999999998</v>
      </c>
      <c r="CV28">
        <v>52.187064516128999</v>
      </c>
      <c r="CW28">
        <v>52.836451612903197</v>
      </c>
      <c r="CX28">
        <v>52.758000000000003</v>
      </c>
      <c r="CY28">
        <v>2155.5006451612899</v>
      </c>
      <c r="CZ28">
        <v>39.500967741935497</v>
      </c>
      <c r="DA28">
        <v>0</v>
      </c>
      <c r="DB28">
        <v>137.59999990463299</v>
      </c>
      <c r="DC28">
        <v>269.04092307692298</v>
      </c>
      <c r="DD28">
        <v>-2.4792478651082601</v>
      </c>
      <c r="DE28">
        <v>-55.690598153144698</v>
      </c>
      <c r="DF28">
        <v>8738.8342307692292</v>
      </c>
      <c r="DG28">
        <v>15</v>
      </c>
      <c r="DH28">
        <v>1595610121</v>
      </c>
      <c r="DI28" t="s">
        <v>344</v>
      </c>
      <c r="DJ28">
        <v>40</v>
      </c>
      <c r="DK28">
        <v>-8.0000000000000002E-3</v>
      </c>
      <c r="DL28">
        <v>0.107</v>
      </c>
      <c r="DM28">
        <v>1000</v>
      </c>
      <c r="DN28">
        <v>17</v>
      </c>
      <c r="DO28">
        <v>0.1</v>
      </c>
      <c r="DP28">
        <v>0.04</v>
      </c>
      <c r="DQ28">
        <v>979.487196078431</v>
      </c>
      <c r="DR28">
        <v>0.22640905865977801</v>
      </c>
      <c r="DS28">
        <v>3.6625834452299902E-2</v>
      </c>
      <c r="DT28">
        <v>1</v>
      </c>
      <c r="DU28">
        <v>19.140288235294101</v>
      </c>
      <c r="DV28">
        <v>-1.1960691286053199E-2</v>
      </c>
      <c r="DW28">
        <v>1.79516202325424E-3</v>
      </c>
      <c r="DX28">
        <v>1</v>
      </c>
      <c r="DY28">
        <v>2</v>
      </c>
      <c r="DZ28">
        <v>2</v>
      </c>
      <c r="EA28" t="s">
        <v>283</v>
      </c>
      <c r="EB28">
        <v>1.86673</v>
      </c>
      <c r="EC28">
        <v>1.8632500000000001</v>
      </c>
      <c r="ED28">
        <v>1.8688800000000001</v>
      </c>
      <c r="EE28">
        <v>1.86676</v>
      </c>
      <c r="EF28">
        <v>1.8714900000000001</v>
      </c>
      <c r="EG28">
        <v>1.8639699999999999</v>
      </c>
      <c r="EH28">
        <v>1.8654900000000001</v>
      </c>
      <c r="EI28">
        <v>1.8653900000000001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-8.0000000000000002E-3</v>
      </c>
      <c r="EX28">
        <v>0.107</v>
      </c>
      <c r="EY28">
        <v>2</v>
      </c>
      <c r="EZ28">
        <v>328.601</v>
      </c>
      <c r="FA28">
        <v>472.19200000000001</v>
      </c>
      <c r="FB28">
        <v>20.588899999999999</v>
      </c>
      <c r="FC28">
        <v>36.278100000000002</v>
      </c>
      <c r="FD28">
        <v>30.0002</v>
      </c>
      <c r="FE28">
        <v>36.2134</v>
      </c>
      <c r="FF28">
        <v>36.204599999999999</v>
      </c>
      <c r="FG28">
        <v>46.136699999999998</v>
      </c>
      <c r="FH28">
        <v>50.373399999999997</v>
      </c>
      <c r="FI28">
        <v>0</v>
      </c>
      <c r="FJ28">
        <v>20.6111</v>
      </c>
      <c r="FK28">
        <v>1000</v>
      </c>
      <c r="FL28">
        <v>16.645399999999999</v>
      </c>
      <c r="FM28">
        <v>100.402</v>
      </c>
      <c r="FN28">
        <v>100.634</v>
      </c>
    </row>
    <row r="29" spans="1:170" x14ac:dyDescent="0.25">
      <c r="A29">
        <v>13</v>
      </c>
      <c r="B29">
        <v>1595610212.5</v>
      </c>
      <c r="C29">
        <v>1621.2000000476801</v>
      </c>
      <c r="D29" t="s">
        <v>345</v>
      </c>
      <c r="E29" t="s">
        <v>346</v>
      </c>
      <c r="G29">
        <v>1595610204.48387</v>
      </c>
      <c r="H29">
        <f t="shared" si="0"/>
        <v>5.8526184817383762E-3</v>
      </c>
      <c r="I29">
        <f t="shared" si="1"/>
        <v>44.007479959778628</v>
      </c>
      <c r="J29">
        <f t="shared" si="2"/>
        <v>1179.52235483871</v>
      </c>
      <c r="K29">
        <f t="shared" si="3"/>
        <v>945.09641811148254</v>
      </c>
      <c r="L29">
        <f t="shared" si="4"/>
        <v>94.460969985842155</v>
      </c>
      <c r="M29">
        <f t="shared" si="5"/>
        <v>117.89149088162813</v>
      </c>
      <c r="N29">
        <f t="shared" si="6"/>
        <v>0.36002736525122325</v>
      </c>
      <c r="O29">
        <f t="shared" si="7"/>
        <v>3.3932723914177423</v>
      </c>
      <c r="P29">
        <f t="shared" si="8"/>
        <v>0.34007220233283902</v>
      </c>
      <c r="Q29">
        <f t="shared" si="9"/>
        <v>0.21424579638910568</v>
      </c>
      <c r="R29">
        <f t="shared" si="10"/>
        <v>353.33624783364644</v>
      </c>
      <c r="S29">
        <f t="shared" si="11"/>
        <v>27.055880854873891</v>
      </c>
      <c r="T29">
        <f t="shared" si="12"/>
        <v>27.066880645161302</v>
      </c>
      <c r="U29">
        <f t="shared" si="13"/>
        <v>3.5932429947176701</v>
      </c>
      <c r="V29">
        <f t="shared" si="14"/>
        <v>55.04685285964662</v>
      </c>
      <c r="W29">
        <f t="shared" si="15"/>
        <v>1.9205826613687198</v>
      </c>
      <c r="X29">
        <f t="shared" si="16"/>
        <v>3.4889963033229967</v>
      </c>
      <c r="Y29">
        <f t="shared" si="17"/>
        <v>1.6726603333489503</v>
      </c>
      <c r="Z29">
        <f t="shared" si="18"/>
        <v>-258.1004750446624</v>
      </c>
      <c r="AA29">
        <f t="shared" si="19"/>
        <v>-91.576452952129671</v>
      </c>
      <c r="AB29">
        <f t="shared" si="20"/>
        <v>-5.8135789308874681</v>
      </c>
      <c r="AC29">
        <f t="shared" si="21"/>
        <v>-2.1542590940330797</v>
      </c>
      <c r="AD29">
        <v>-4.1343503688211901E-2</v>
      </c>
      <c r="AE29">
        <v>4.6411704779865198E-2</v>
      </c>
      <c r="AF29">
        <v>3.4658229966108598</v>
      </c>
      <c r="AG29">
        <v>153</v>
      </c>
      <c r="AH29">
        <v>31</v>
      </c>
      <c r="AI29">
        <f t="shared" si="22"/>
        <v>1</v>
      </c>
      <c r="AJ29">
        <f t="shared" si="23"/>
        <v>0</v>
      </c>
      <c r="AK29">
        <f t="shared" si="24"/>
        <v>52796.862615780832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266.61915384615401</v>
      </c>
      <c r="AT29">
        <v>348.63099999999997</v>
      </c>
      <c r="AU29">
        <f t="shared" si="27"/>
        <v>0.23523968365935899</v>
      </c>
      <c r="AV29">
        <v>0.5</v>
      </c>
      <c r="AW29">
        <f t="shared" si="28"/>
        <v>1849.1798513220372</v>
      </c>
      <c r="AX29">
        <f t="shared" si="29"/>
        <v>44.007479959778628</v>
      </c>
      <c r="AY29">
        <f t="shared" si="30"/>
        <v>217.50024162712825</v>
      </c>
      <c r="AZ29">
        <f t="shared" si="31"/>
        <v>0.48576001560389059</v>
      </c>
      <c r="BA29">
        <f t="shared" si="32"/>
        <v>2.4339157669061424E-2</v>
      </c>
      <c r="BB29">
        <f t="shared" si="33"/>
        <v>-1</v>
      </c>
      <c r="BC29" t="s">
        <v>348</v>
      </c>
      <c r="BD29">
        <v>179.28</v>
      </c>
      <c r="BE29">
        <f t="shared" si="34"/>
        <v>169.35099999999997</v>
      </c>
      <c r="BF29">
        <f t="shared" si="35"/>
        <v>0.484271401726863</v>
      </c>
      <c r="BG29">
        <f t="shared" si="36"/>
        <v>1.9446173583221775</v>
      </c>
      <c r="BH29">
        <f t="shared" si="37"/>
        <v>0.23523968365935896</v>
      </c>
      <c r="BI29" t="e">
        <f t="shared" si="38"/>
        <v>#DIV/0!</v>
      </c>
      <c r="BJ29">
        <v>5289</v>
      </c>
      <c r="BK29">
        <v>300</v>
      </c>
      <c r="BL29">
        <v>300</v>
      </c>
      <c r="BM29">
        <v>300</v>
      </c>
      <c r="BN29">
        <v>9864.3799999999992</v>
      </c>
      <c r="BO29">
        <v>326.649</v>
      </c>
      <c r="BP29">
        <v>-6.39654E-3</v>
      </c>
      <c r="BQ29">
        <v>2.1690700000000001</v>
      </c>
      <c r="BR29">
        <f t="shared" si="39"/>
        <v>2199.9938709677399</v>
      </c>
      <c r="BS29">
        <f t="shared" si="40"/>
        <v>1849.1798513220372</v>
      </c>
      <c r="BT29">
        <f t="shared" si="41"/>
        <v>0.84053863773202897</v>
      </c>
      <c r="BU29">
        <f t="shared" si="42"/>
        <v>0.19107727546405787</v>
      </c>
      <c r="BV29">
        <v>0.5</v>
      </c>
      <c r="BW29" t="s">
        <v>281</v>
      </c>
      <c r="BX29">
        <v>1595610204.48387</v>
      </c>
      <c r="BY29">
        <v>1179.52235483871</v>
      </c>
      <c r="BZ29">
        <v>1199.8841935483899</v>
      </c>
      <c r="CA29">
        <v>19.215722580645199</v>
      </c>
      <c r="CB29">
        <v>16.9199387096774</v>
      </c>
      <c r="CC29">
        <v>500.06067741935499</v>
      </c>
      <c r="CD29">
        <v>99.748516129032296</v>
      </c>
      <c r="CE29">
        <v>0.19998454838709701</v>
      </c>
      <c r="CF29">
        <v>26.566293548387101</v>
      </c>
      <c r="CG29">
        <v>27.066880645161302</v>
      </c>
      <c r="CH29">
        <v>999.9</v>
      </c>
      <c r="CI29">
        <v>9995.3235483870994</v>
      </c>
      <c r="CJ29">
        <v>0</v>
      </c>
      <c r="CK29">
        <v>307.13458064516101</v>
      </c>
      <c r="CL29">
        <v>2199.9938709677399</v>
      </c>
      <c r="CM29">
        <v>0.98200419354838697</v>
      </c>
      <c r="CN29">
        <v>1.7995896774193498E-2</v>
      </c>
      <c r="CO29">
        <v>0</v>
      </c>
      <c r="CP29">
        <v>266.65577419354798</v>
      </c>
      <c r="CQ29">
        <v>5.00054</v>
      </c>
      <c r="CR29">
        <v>8700.3874193548399</v>
      </c>
      <c r="CS29">
        <v>20590.490322580601</v>
      </c>
      <c r="CT29">
        <v>51.806258064516101</v>
      </c>
      <c r="CU29">
        <v>54.177064516129001</v>
      </c>
      <c r="CV29">
        <v>52.320129032258002</v>
      </c>
      <c r="CW29">
        <v>52.985580645161299</v>
      </c>
      <c r="CX29">
        <v>52.882870967741901</v>
      </c>
      <c r="CY29">
        <v>2155.4938709677399</v>
      </c>
      <c r="CZ29">
        <v>39.5</v>
      </c>
      <c r="DA29">
        <v>0</v>
      </c>
      <c r="DB29">
        <v>118.299999952316</v>
      </c>
      <c r="DC29">
        <v>266.61915384615401</v>
      </c>
      <c r="DD29">
        <v>-1.3087179522411401</v>
      </c>
      <c r="DE29">
        <v>-48.373333439758802</v>
      </c>
      <c r="DF29">
        <v>8700.0815384615398</v>
      </c>
      <c r="DG29">
        <v>15</v>
      </c>
      <c r="DH29">
        <v>1595610238.5</v>
      </c>
      <c r="DI29" t="s">
        <v>349</v>
      </c>
      <c r="DJ29">
        <v>41</v>
      </c>
      <c r="DK29">
        <v>-5.0000000000000001E-3</v>
      </c>
      <c r="DL29">
        <v>0.111</v>
      </c>
      <c r="DM29">
        <v>1200</v>
      </c>
      <c r="DN29">
        <v>17</v>
      </c>
      <c r="DO29">
        <v>0.25</v>
      </c>
      <c r="DP29">
        <v>0.04</v>
      </c>
      <c r="DQ29">
        <v>1179.4974509803901</v>
      </c>
      <c r="DR29">
        <v>0.17197915718100701</v>
      </c>
      <c r="DS29">
        <v>6.2114478033594801E-2</v>
      </c>
      <c r="DT29">
        <v>1</v>
      </c>
      <c r="DU29">
        <v>19.2150215686274</v>
      </c>
      <c r="DV29">
        <v>-1.6787394490081702E-2</v>
      </c>
      <c r="DW29">
        <v>1.66621246406158E-2</v>
      </c>
      <c r="DX29">
        <v>1</v>
      </c>
      <c r="DY29">
        <v>2</v>
      </c>
      <c r="DZ29">
        <v>2</v>
      </c>
      <c r="EA29" t="s">
        <v>283</v>
      </c>
      <c r="EB29">
        <v>1.8666400000000001</v>
      </c>
      <c r="EC29">
        <v>1.8631800000000001</v>
      </c>
      <c r="ED29">
        <v>1.8688400000000001</v>
      </c>
      <c r="EE29">
        <v>1.86676</v>
      </c>
      <c r="EF29">
        <v>1.87148</v>
      </c>
      <c r="EG29">
        <v>1.8638699999999999</v>
      </c>
      <c r="EH29">
        <v>1.8654200000000001</v>
      </c>
      <c r="EI29">
        <v>1.86538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-5.0000000000000001E-3</v>
      </c>
      <c r="EX29">
        <v>0.111</v>
      </c>
      <c r="EY29">
        <v>2</v>
      </c>
      <c r="EZ29">
        <v>328.488</v>
      </c>
      <c r="FA29">
        <v>472.62</v>
      </c>
      <c r="FB29">
        <v>20.225300000000001</v>
      </c>
      <c r="FC29">
        <v>36.338099999999997</v>
      </c>
      <c r="FD29">
        <v>30.0001</v>
      </c>
      <c r="FE29">
        <v>36.281599999999997</v>
      </c>
      <c r="FF29">
        <v>36.273800000000001</v>
      </c>
      <c r="FG29">
        <v>53.434399999999997</v>
      </c>
      <c r="FH29">
        <v>49.243699999999997</v>
      </c>
      <c r="FI29">
        <v>0</v>
      </c>
      <c r="FJ29">
        <v>19.258400000000002</v>
      </c>
      <c r="FK29">
        <v>1200</v>
      </c>
      <c r="FL29">
        <v>16.944700000000001</v>
      </c>
      <c r="FM29">
        <v>100.39</v>
      </c>
      <c r="FN29">
        <v>100.622</v>
      </c>
    </row>
    <row r="30" spans="1:170" x14ac:dyDescent="0.25">
      <c r="A30">
        <v>14</v>
      </c>
      <c r="B30">
        <v>1595610336</v>
      </c>
      <c r="C30">
        <v>1744.7000000476801</v>
      </c>
      <c r="D30" t="s">
        <v>350</v>
      </c>
      <c r="E30" t="s">
        <v>351</v>
      </c>
      <c r="G30">
        <v>1595610328</v>
      </c>
      <c r="H30">
        <f t="shared" si="0"/>
        <v>5.7263438330790147E-3</v>
      </c>
      <c r="I30">
        <f t="shared" si="1"/>
        <v>43.749200845431275</v>
      </c>
      <c r="J30">
        <f t="shared" si="2"/>
        <v>1578.8727096774201</v>
      </c>
      <c r="K30">
        <f t="shared" si="3"/>
        <v>1330.4519704299623</v>
      </c>
      <c r="L30">
        <f t="shared" si="4"/>
        <v>132.98219589333362</v>
      </c>
      <c r="M30">
        <f t="shared" si="5"/>
        <v>157.8125063027324</v>
      </c>
      <c r="N30">
        <f t="shared" si="6"/>
        <v>0.35191043332100269</v>
      </c>
      <c r="O30">
        <f t="shared" si="7"/>
        <v>3.3931765506544269</v>
      </c>
      <c r="P30">
        <f t="shared" si="8"/>
        <v>0.33281879612809251</v>
      </c>
      <c r="Q30">
        <f t="shared" si="9"/>
        <v>0.2096406995783586</v>
      </c>
      <c r="R30">
        <f t="shared" si="10"/>
        <v>353.33727750732487</v>
      </c>
      <c r="S30">
        <f t="shared" si="11"/>
        <v>26.918478819123909</v>
      </c>
      <c r="T30">
        <f t="shared" si="12"/>
        <v>26.9984741935484</v>
      </c>
      <c r="U30">
        <f t="shared" si="13"/>
        <v>3.5788389611103097</v>
      </c>
      <c r="V30">
        <f t="shared" si="14"/>
        <v>55.174674682438905</v>
      </c>
      <c r="W30">
        <f t="shared" si="15"/>
        <v>1.9062820482095679</v>
      </c>
      <c r="X30">
        <f t="shared" si="16"/>
        <v>3.4549946314704827</v>
      </c>
      <c r="Y30">
        <f t="shared" si="17"/>
        <v>1.6725569129007418</v>
      </c>
      <c r="Z30">
        <f t="shared" si="18"/>
        <v>-252.53176303878456</v>
      </c>
      <c r="AA30">
        <f t="shared" si="19"/>
        <v>-109.44523389375634</v>
      </c>
      <c r="AB30">
        <f t="shared" si="20"/>
        <v>-6.9399983968884635</v>
      </c>
      <c r="AC30">
        <f t="shared" si="21"/>
        <v>-15.579717822104513</v>
      </c>
      <c r="AD30">
        <v>-4.1342019317437098E-2</v>
      </c>
      <c r="AE30">
        <v>4.6410038443632499E-2</v>
      </c>
      <c r="AF30">
        <v>3.4657245510369101</v>
      </c>
      <c r="AG30">
        <v>153</v>
      </c>
      <c r="AH30">
        <v>31</v>
      </c>
      <c r="AI30">
        <f t="shared" si="22"/>
        <v>1</v>
      </c>
      <c r="AJ30">
        <f t="shared" si="23"/>
        <v>0</v>
      </c>
      <c r="AK30">
        <f t="shared" si="24"/>
        <v>52824.422379912692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265.88857692307698</v>
      </c>
      <c r="AT30">
        <v>344.64</v>
      </c>
      <c r="AU30">
        <f t="shared" si="27"/>
        <v>0.22850343279051477</v>
      </c>
      <c r="AV30">
        <v>0.5</v>
      </c>
      <c r="AW30">
        <f t="shared" si="28"/>
        <v>1849.1852706768823</v>
      </c>
      <c r="AX30">
        <f t="shared" si="29"/>
        <v>43.749200845431275</v>
      </c>
      <c r="AY30">
        <f t="shared" si="30"/>
        <v>211.27259110766241</v>
      </c>
      <c r="AZ30">
        <f t="shared" si="31"/>
        <v>0.48485376044568246</v>
      </c>
      <c r="BA30">
        <f t="shared" si="32"/>
        <v>2.4199414496228991E-2</v>
      </c>
      <c r="BB30">
        <f t="shared" si="33"/>
        <v>-1</v>
      </c>
      <c r="BC30" t="s">
        <v>353</v>
      </c>
      <c r="BD30">
        <v>177.54</v>
      </c>
      <c r="BE30">
        <f t="shared" si="34"/>
        <v>167.1</v>
      </c>
      <c r="BF30">
        <f t="shared" si="35"/>
        <v>0.47128320213598446</v>
      </c>
      <c r="BG30">
        <f t="shared" si="36"/>
        <v>1.9411963501182832</v>
      </c>
      <c r="BH30">
        <f t="shared" si="37"/>
        <v>0.22850343279051477</v>
      </c>
      <c r="BI30" t="e">
        <f t="shared" si="38"/>
        <v>#DIV/0!</v>
      </c>
      <c r="BJ30">
        <v>5291</v>
      </c>
      <c r="BK30">
        <v>300</v>
      </c>
      <c r="BL30">
        <v>300</v>
      </c>
      <c r="BM30">
        <v>300</v>
      </c>
      <c r="BN30">
        <v>9864.07</v>
      </c>
      <c r="BO30">
        <v>321.11399999999998</v>
      </c>
      <c r="BP30">
        <v>-6.3960700000000002E-3</v>
      </c>
      <c r="BQ30">
        <v>1.79095</v>
      </c>
      <c r="BR30">
        <f t="shared" si="39"/>
        <v>2200.0003225806499</v>
      </c>
      <c r="BS30">
        <f t="shared" si="40"/>
        <v>1849.1852706768823</v>
      </c>
      <c r="BT30">
        <f t="shared" si="41"/>
        <v>0.84053863615244673</v>
      </c>
      <c r="BU30">
        <f t="shared" si="42"/>
        <v>0.19107727230489352</v>
      </c>
      <c r="BV30">
        <v>0.5</v>
      </c>
      <c r="BW30" t="s">
        <v>281</v>
      </c>
      <c r="BX30">
        <v>1595610328</v>
      </c>
      <c r="BY30">
        <v>1578.8727096774201</v>
      </c>
      <c r="BZ30">
        <v>1599.9864516129001</v>
      </c>
      <c r="CA30">
        <v>19.071851612903199</v>
      </c>
      <c r="CB30">
        <v>16.8252548387097</v>
      </c>
      <c r="CC30">
        <v>500.05696774193501</v>
      </c>
      <c r="CD30">
        <v>99.752625806451604</v>
      </c>
      <c r="CE30">
        <v>0.200021</v>
      </c>
      <c r="CF30">
        <v>26.400193548387101</v>
      </c>
      <c r="CG30">
        <v>26.9984741935484</v>
      </c>
      <c r="CH30">
        <v>999.9</v>
      </c>
      <c r="CI30">
        <v>9994.5529032258091</v>
      </c>
      <c r="CJ30">
        <v>0</v>
      </c>
      <c r="CK30">
        <v>302.55374193548403</v>
      </c>
      <c r="CL30">
        <v>2200.0003225806499</v>
      </c>
      <c r="CM30">
        <v>0.98200470967741904</v>
      </c>
      <c r="CN30">
        <v>1.7995354838709701E-2</v>
      </c>
      <c r="CO30">
        <v>0</v>
      </c>
      <c r="CP30">
        <v>265.90819354838698</v>
      </c>
      <c r="CQ30">
        <v>5.00054</v>
      </c>
      <c r="CR30">
        <v>8698.8167741935504</v>
      </c>
      <c r="CS30">
        <v>20590.558064516099</v>
      </c>
      <c r="CT30">
        <v>51.991741935483901</v>
      </c>
      <c r="CU30">
        <v>54.368677419354803</v>
      </c>
      <c r="CV30">
        <v>52.524000000000001</v>
      </c>
      <c r="CW30">
        <v>53.189161290322602</v>
      </c>
      <c r="CX30">
        <v>53.03</v>
      </c>
      <c r="CY30">
        <v>2155.5003225806499</v>
      </c>
      <c r="CZ30">
        <v>39.5</v>
      </c>
      <c r="DA30">
        <v>0</v>
      </c>
      <c r="DB30">
        <v>123</v>
      </c>
      <c r="DC30">
        <v>265.88857692307698</v>
      </c>
      <c r="DD30">
        <v>-2.9118290734691001</v>
      </c>
      <c r="DE30">
        <v>61.485812092202003</v>
      </c>
      <c r="DF30">
        <v>8699.3453846153807</v>
      </c>
      <c r="DG30">
        <v>15</v>
      </c>
      <c r="DH30">
        <v>1595610360</v>
      </c>
      <c r="DI30" t="s">
        <v>354</v>
      </c>
      <c r="DJ30">
        <v>42</v>
      </c>
      <c r="DK30">
        <v>-0.161</v>
      </c>
      <c r="DL30">
        <v>0.109</v>
      </c>
      <c r="DM30">
        <v>1600</v>
      </c>
      <c r="DN30">
        <v>17</v>
      </c>
      <c r="DO30">
        <v>0.28000000000000003</v>
      </c>
      <c r="DP30">
        <v>0.04</v>
      </c>
      <c r="DQ30">
        <v>1579.00509803922</v>
      </c>
      <c r="DR30">
        <v>0.24792760180953699</v>
      </c>
      <c r="DS30">
        <v>4.5217233788078202E-2</v>
      </c>
      <c r="DT30">
        <v>1</v>
      </c>
      <c r="DU30">
        <v>19.0804803921569</v>
      </c>
      <c r="DV30">
        <v>-7.4072036199077998E-2</v>
      </c>
      <c r="DW30">
        <v>9.1741755970455099E-3</v>
      </c>
      <c r="DX30">
        <v>1</v>
      </c>
      <c r="DY30">
        <v>2</v>
      </c>
      <c r="DZ30">
        <v>2</v>
      </c>
      <c r="EA30" t="s">
        <v>283</v>
      </c>
      <c r="EB30">
        <v>1.8666400000000001</v>
      </c>
      <c r="EC30">
        <v>1.8631599999999999</v>
      </c>
      <c r="ED30">
        <v>1.8688899999999999</v>
      </c>
      <c r="EE30">
        <v>1.86676</v>
      </c>
      <c r="EF30">
        <v>1.87148</v>
      </c>
      <c r="EG30">
        <v>1.86389</v>
      </c>
      <c r="EH30">
        <v>1.86544</v>
      </c>
      <c r="EI30">
        <v>1.8653900000000001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-0.161</v>
      </c>
      <c r="EX30">
        <v>0.109</v>
      </c>
      <c r="EY30">
        <v>2</v>
      </c>
      <c r="EZ30">
        <v>329.267</v>
      </c>
      <c r="FA30">
        <v>472.90600000000001</v>
      </c>
      <c r="FB30">
        <v>20.3368</v>
      </c>
      <c r="FC30">
        <v>36.4071</v>
      </c>
      <c r="FD30">
        <v>30.000499999999999</v>
      </c>
      <c r="FE30">
        <v>36.349600000000002</v>
      </c>
      <c r="FF30">
        <v>36.3414</v>
      </c>
      <c r="FG30">
        <v>67.195400000000006</v>
      </c>
      <c r="FH30">
        <v>50.048200000000001</v>
      </c>
      <c r="FI30">
        <v>0</v>
      </c>
      <c r="FJ30">
        <v>20.336400000000001</v>
      </c>
      <c r="FK30">
        <v>1600</v>
      </c>
      <c r="FL30">
        <v>16.780100000000001</v>
      </c>
      <c r="FM30">
        <v>100.378</v>
      </c>
      <c r="FN30">
        <v>100.61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2020-07-24T12:06:17Z</dcterms:created>
  <dcterms:modified xsi:type="dcterms:W3CDTF">2024-11-20T09:02:31Z</dcterms:modified>
</cp:coreProperties>
</file>