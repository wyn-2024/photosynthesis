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24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S30" i="1"/>
  <c r="BR30" i="1"/>
  <c r="BI30" i="1"/>
  <c r="BH30" i="1"/>
  <c r="BG30" i="1"/>
  <c r="BF30" i="1"/>
  <c r="BE30" i="1"/>
  <c r="BB30" i="1"/>
  <c r="AZ30" i="1"/>
  <c r="AW30" i="1"/>
  <c r="AU30" i="1"/>
  <c r="AY30" i="1" s="1"/>
  <c r="AO30" i="1"/>
  <c r="AP30" i="1" s="1"/>
  <c r="AK30" i="1"/>
  <c r="AI30" i="1"/>
  <c r="M30" i="1" s="1"/>
  <c r="X30" i="1"/>
  <c r="W30" i="1"/>
  <c r="V30" i="1"/>
  <c r="R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P29" i="1"/>
  <c r="AO29" i="1"/>
  <c r="AK29" i="1"/>
  <c r="AI29" i="1"/>
  <c r="M29" i="1" s="1"/>
  <c r="X29" i="1"/>
  <c r="W29" i="1"/>
  <c r="V29" i="1"/>
  <c r="O29" i="1"/>
  <c r="J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J28" i="1" s="1"/>
  <c r="X28" i="1"/>
  <c r="W28" i="1"/>
  <c r="V28" i="1"/>
  <c r="O28" i="1"/>
  <c r="BU27" i="1"/>
  <c r="BT27" i="1"/>
  <c r="BS27" i="1"/>
  <c r="BR27" i="1"/>
  <c r="BI27" i="1"/>
  <c r="BH27" i="1"/>
  <c r="BG27" i="1"/>
  <c r="BF27" i="1"/>
  <c r="BE27" i="1"/>
  <c r="AZ27" i="1" s="1"/>
  <c r="BB27" i="1"/>
  <c r="AW27" i="1"/>
  <c r="AY27" i="1" s="1"/>
  <c r="AU27" i="1"/>
  <c r="AO27" i="1"/>
  <c r="AP27" i="1" s="1"/>
  <c r="AK27" i="1"/>
  <c r="AI27" i="1"/>
  <c r="I27" i="1" s="1"/>
  <c r="AX27" i="1" s="1"/>
  <c r="BA27" i="1" s="1"/>
  <c r="X27" i="1"/>
  <c r="V27" i="1" s="1"/>
  <c r="W27" i="1"/>
  <c r="R27" i="1"/>
  <c r="O27" i="1"/>
  <c r="M27" i="1"/>
  <c r="BU26" i="1"/>
  <c r="BT26" i="1"/>
  <c r="BR26" i="1"/>
  <c r="BS26" i="1" s="1"/>
  <c r="R26" i="1" s="1"/>
  <c r="BI26" i="1"/>
  <c r="BH26" i="1"/>
  <c r="BG26" i="1"/>
  <c r="BF26" i="1"/>
  <c r="BE26" i="1"/>
  <c r="BB26" i="1"/>
  <c r="AZ26" i="1"/>
  <c r="AW26" i="1"/>
  <c r="AU26" i="1"/>
  <c r="AY26" i="1" s="1"/>
  <c r="AP26" i="1"/>
  <c r="AO26" i="1"/>
  <c r="AK26" i="1"/>
  <c r="AI26" i="1" s="1"/>
  <c r="AJ26" i="1"/>
  <c r="X26" i="1"/>
  <c r="W26" i="1"/>
  <c r="V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X25" i="1"/>
  <c r="W25" i="1"/>
  <c r="V25" i="1" s="1"/>
  <c r="O25" i="1"/>
  <c r="BU24" i="1"/>
  <c r="BT24" i="1"/>
  <c r="BS24" i="1"/>
  <c r="BR24" i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M24" i="1" s="1"/>
  <c r="X24" i="1"/>
  <c r="V24" i="1" s="1"/>
  <c r="W24" i="1"/>
  <c r="O24" i="1"/>
  <c r="J24" i="1"/>
  <c r="I24" i="1"/>
  <c r="AX24" i="1" s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J23" i="1" s="1"/>
  <c r="X23" i="1"/>
  <c r="W23" i="1"/>
  <c r="V23" i="1"/>
  <c r="O23" i="1"/>
  <c r="BU22" i="1"/>
  <c r="BT22" i="1"/>
  <c r="BR22" i="1"/>
  <c r="BS22" i="1" s="1"/>
  <c r="AW22" i="1" s="1"/>
  <c r="BI22" i="1"/>
  <c r="BH22" i="1"/>
  <c r="BG22" i="1"/>
  <c r="BF22" i="1"/>
  <c r="BE22" i="1"/>
  <c r="BB22" i="1"/>
  <c r="AZ22" i="1"/>
  <c r="AU22" i="1"/>
  <c r="AY22" i="1" s="1"/>
  <c r="AO22" i="1"/>
  <c r="AP22" i="1" s="1"/>
  <c r="AK22" i="1"/>
  <c r="AI22" i="1"/>
  <c r="J22" i="1" s="1"/>
  <c r="X22" i="1"/>
  <c r="W22" i="1"/>
  <c r="V22" i="1" s="1"/>
  <c r="O22" i="1"/>
  <c r="M22" i="1"/>
  <c r="BU21" i="1"/>
  <c r="BT21" i="1"/>
  <c r="BR21" i="1"/>
  <c r="BS21" i="1" s="1"/>
  <c r="AW21" i="1" s="1"/>
  <c r="BI21" i="1"/>
  <c r="BH21" i="1"/>
  <c r="BG21" i="1"/>
  <c r="BF21" i="1"/>
  <c r="BE21" i="1"/>
  <c r="AZ21" i="1" s="1"/>
  <c r="BB21" i="1"/>
  <c r="AU21" i="1"/>
  <c r="AY21" i="1" s="1"/>
  <c r="AO21" i="1"/>
  <c r="AP21" i="1" s="1"/>
  <c r="AK21" i="1"/>
  <c r="AI21" i="1"/>
  <c r="H21" i="1" s="1"/>
  <c r="X21" i="1"/>
  <c r="W21" i="1"/>
  <c r="V21" i="1"/>
  <c r="O21" i="1"/>
  <c r="M21" i="1"/>
  <c r="J21" i="1"/>
  <c r="I21" i="1"/>
  <c r="AX21" i="1" s="1"/>
  <c r="BA21" i="1" s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 s="1"/>
  <c r="X19" i="1"/>
  <c r="W19" i="1"/>
  <c r="V19" i="1"/>
  <c r="O19" i="1"/>
  <c r="BU18" i="1"/>
  <c r="BT18" i="1"/>
  <c r="BR18" i="1"/>
  <c r="BS18" i="1" s="1"/>
  <c r="AW18" i="1" s="1"/>
  <c r="BI18" i="1"/>
  <c r="BH18" i="1"/>
  <c r="BG18" i="1"/>
  <c r="BF18" i="1"/>
  <c r="BE18" i="1"/>
  <c r="BB18" i="1"/>
  <c r="AZ18" i="1"/>
  <c r="AU18" i="1"/>
  <c r="AY18" i="1" s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R17" i="1" s="1"/>
  <c r="BI17" i="1"/>
  <c r="BH17" i="1"/>
  <c r="BG17" i="1"/>
  <c r="BF17" i="1"/>
  <c r="BE17" i="1"/>
  <c r="AZ17" i="1" s="1"/>
  <c r="BB17" i="1"/>
  <c r="AW17" i="1"/>
  <c r="AU17" i="1"/>
  <c r="AY17" i="1" s="1"/>
  <c r="AP17" i="1"/>
  <c r="AO17" i="1"/>
  <c r="AK17" i="1"/>
  <c r="AI17" i="1"/>
  <c r="I17" i="1" s="1"/>
  <c r="AX17" i="1" s="1"/>
  <c r="BA17" i="1" s="1"/>
  <c r="X17" i="1"/>
  <c r="W17" i="1"/>
  <c r="V17" i="1"/>
  <c r="O17" i="1"/>
  <c r="M17" i="1"/>
  <c r="J17" i="1"/>
  <c r="AW23" i="1" l="1"/>
  <c r="R23" i="1"/>
  <c r="AW28" i="1"/>
  <c r="AY28" i="1" s="1"/>
  <c r="R28" i="1"/>
  <c r="M25" i="1"/>
  <c r="AJ25" i="1"/>
  <c r="J25" i="1"/>
  <c r="I25" i="1"/>
  <c r="AX25" i="1" s="1"/>
  <c r="H25" i="1"/>
  <c r="J20" i="1"/>
  <c r="AJ20" i="1"/>
  <c r="I20" i="1"/>
  <c r="AX20" i="1" s="1"/>
  <c r="H20" i="1"/>
  <c r="M20" i="1"/>
  <c r="R19" i="1"/>
  <c r="AW19" i="1"/>
  <c r="S17" i="1"/>
  <c r="T17" i="1" s="1"/>
  <c r="R20" i="1"/>
  <c r="AW20" i="1"/>
  <c r="AY20" i="1" s="1"/>
  <c r="AY24" i="1"/>
  <c r="S30" i="1"/>
  <c r="T30" i="1" s="1"/>
  <c r="I19" i="1"/>
  <c r="AX19" i="1" s="1"/>
  <c r="M19" i="1"/>
  <c r="J19" i="1"/>
  <c r="AJ19" i="1"/>
  <c r="R24" i="1"/>
  <c r="AW24" i="1"/>
  <c r="AY29" i="1"/>
  <c r="R21" i="1"/>
  <c r="BA24" i="1"/>
  <c r="I26" i="1"/>
  <c r="AX26" i="1" s="1"/>
  <c r="BA26" i="1" s="1"/>
  <c r="H26" i="1"/>
  <c r="AJ30" i="1"/>
  <c r="AY19" i="1"/>
  <c r="R25" i="1"/>
  <c r="AW25" i="1"/>
  <c r="AY25" i="1" s="1"/>
  <c r="Z21" i="1"/>
  <c r="R22" i="1"/>
  <c r="J26" i="1"/>
  <c r="AJ21" i="1"/>
  <c r="M26" i="1"/>
  <c r="AW29" i="1"/>
  <c r="R29" i="1"/>
  <c r="H30" i="1"/>
  <c r="I30" i="1"/>
  <c r="AX30" i="1" s="1"/>
  <c r="BA30" i="1" s="1"/>
  <c r="R18" i="1"/>
  <c r="H19" i="1"/>
  <c r="AY23" i="1"/>
  <c r="J30" i="1"/>
  <c r="AJ29" i="1"/>
  <c r="AJ24" i="1"/>
  <c r="H29" i="1"/>
  <c r="H24" i="1"/>
  <c r="I29" i="1"/>
  <c r="AX29" i="1" s="1"/>
  <c r="BA29" i="1" s="1"/>
  <c r="AJ28" i="1"/>
  <c r="AJ18" i="1"/>
  <c r="AJ22" i="1"/>
  <c r="H27" i="1"/>
  <c r="M28" i="1"/>
  <c r="H23" i="1"/>
  <c r="H18" i="1"/>
  <c r="I18" i="1"/>
  <c r="AX18" i="1" s="1"/>
  <c r="BA18" i="1" s="1"/>
  <c r="AJ27" i="1"/>
  <c r="H22" i="1"/>
  <c r="M23" i="1"/>
  <c r="I22" i="1"/>
  <c r="AX22" i="1" s="1"/>
  <c r="BA22" i="1" s="1"/>
  <c r="J27" i="1"/>
  <c r="AJ23" i="1"/>
  <c r="H28" i="1"/>
  <c r="I28" i="1"/>
  <c r="AX28" i="1" s="1"/>
  <c r="BA28" i="1" s="1"/>
  <c r="I23" i="1"/>
  <c r="AX23" i="1" s="1"/>
  <c r="BA23" i="1" s="1"/>
  <c r="J18" i="1"/>
  <c r="AJ17" i="1"/>
  <c r="H17" i="1"/>
  <c r="Z27" i="1" l="1"/>
  <c r="AB17" i="1"/>
  <c r="U17" i="1"/>
  <c r="Y17" i="1" s="1"/>
  <c r="Z17" i="1"/>
  <c r="P17" i="1"/>
  <c r="N17" i="1" s="1"/>
  <c r="Q17" i="1" s="1"/>
  <c r="K17" i="1" s="1"/>
  <c r="L17" i="1" s="1"/>
  <c r="Z20" i="1"/>
  <c r="P19" i="1"/>
  <c r="N19" i="1" s="1"/>
  <c r="Q19" i="1" s="1"/>
  <c r="K19" i="1" s="1"/>
  <c r="L19" i="1" s="1"/>
  <c r="Z19" i="1"/>
  <c r="BA20" i="1"/>
  <c r="Z28" i="1"/>
  <c r="S21" i="1"/>
  <c r="T21" i="1" s="1"/>
  <c r="Z22" i="1"/>
  <c r="AA17" i="1"/>
  <c r="S22" i="1"/>
  <c r="T22" i="1" s="1"/>
  <c r="S20" i="1"/>
  <c r="T20" i="1" s="1"/>
  <c r="S27" i="1"/>
  <c r="T27" i="1" s="1"/>
  <c r="S25" i="1"/>
  <c r="T25" i="1" s="1"/>
  <c r="S19" i="1"/>
  <c r="T19" i="1" s="1"/>
  <c r="S18" i="1"/>
  <c r="T18" i="1" s="1"/>
  <c r="Z30" i="1"/>
  <c r="P30" i="1"/>
  <c r="N30" i="1" s="1"/>
  <c r="Q30" i="1" s="1"/>
  <c r="K30" i="1" s="1"/>
  <c r="L30" i="1" s="1"/>
  <c r="BA25" i="1"/>
  <c r="S24" i="1"/>
  <c r="T24" i="1" s="1"/>
  <c r="S28" i="1"/>
  <c r="T28" i="1" s="1"/>
  <c r="BA19" i="1"/>
  <c r="S23" i="1"/>
  <c r="T23" i="1" s="1"/>
  <c r="P23" i="1" s="1"/>
  <c r="N23" i="1" s="1"/>
  <c r="Q23" i="1" s="1"/>
  <c r="K23" i="1" s="1"/>
  <c r="L23" i="1" s="1"/>
  <c r="U30" i="1"/>
  <c r="Y30" i="1" s="1"/>
  <c r="AB30" i="1"/>
  <c r="AC30" i="1" s="1"/>
  <c r="P24" i="1"/>
  <c r="N24" i="1" s="1"/>
  <c r="Q24" i="1" s="1"/>
  <c r="K24" i="1" s="1"/>
  <c r="L24" i="1" s="1"/>
  <c r="Z24" i="1"/>
  <c r="P29" i="1"/>
  <c r="N29" i="1" s="1"/>
  <c r="Q29" i="1" s="1"/>
  <c r="K29" i="1" s="1"/>
  <c r="L29" i="1" s="1"/>
  <c r="Z29" i="1"/>
  <c r="Z26" i="1"/>
  <c r="P26" i="1"/>
  <c r="N26" i="1" s="1"/>
  <c r="Q26" i="1" s="1"/>
  <c r="K26" i="1" s="1"/>
  <c r="L26" i="1" s="1"/>
  <c r="Z25" i="1"/>
  <c r="S26" i="1"/>
  <c r="T26" i="1" s="1"/>
  <c r="S29" i="1"/>
  <c r="T29" i="1" s="1"/>
  <c r="AA30" i="1"/>
  <c r="Z18" i="1"/>
  <c r="P18" i="1"/>
  <c r="N18" i="1" s="1"/>
  <c r="Q18" i="1" s="1"/>
  <c r="K18" i="1" s="1"/>
  <c r="L18" i="1" s="1"/>
  <c r="Z23" i="1"/>
  <c r="AB28" i="1" l="1"/>
  <c r="AC28" i="1" s="1"/>
  <c r="AA28" i="1"/>
  <c r="U28" i="1"/>
  <c r="Y28" i="1" s="1"/>
  <c r="U25" i="1"/>
  <c r="Y25" i="1" s="1"/>
  <c r="AB25" i="1"/>
  <c r="AA25" i="1"/>
  <c r="P25" i="1"/>
  <c r="N25" i="1" s="1"/>
  <c r="Q25" i="1" s="1"/>
  <c r="K25" i="1" s="1"/>
  <c r="L25" i="1" s="1"/>
  <c r="AB27" i="1"/>
  <c r="AC27" i="1" s="1"/>
  <c r="U27" i="1"/>
  <c r="Y27" i="1" s="1"/>
  <c r="AA27" i="1"/>
  <c r="U20" i="1"/>
  <c r="Y20" i="1" s="1"/>
  <c r="AA20" i="1"/>
  <c r="AB20" i="1"/>
  <c r="AC20" i="1" s="1"/>
  <c r="AB22" i="1"/>
  <c r="U22" i="1"/>
  <c r="Y22" i="1" s="1"/>
  <c r="AA22" i="1"/>
  <c r="AA23" i="1"/>
  <c r="AB23" i="1"/>
  <c r="U23" i="1"/>
  <c r="Y23" i="1" s="1"/>
  <c r="P20" i="1"/>
  <c r="N20" i="1" s="1"/>
  <c r="Q20" i="1" s="1"/>
  <c r="K20" i="1" s="1"/>
  <c r="L20" i="1" s="1"/>
  <c r="AB26" i="1"/>
  <c r="U26" i="1"/>
  <c r="Y26" i="1" s="1"/>
  <c r="AA26" i="1"/>
  <c r="P27" i="1"/>
  <c r="N27" i="1" s="1"/>
  <c r="Q27" i="1" s="1"/>
  <c r="K27" i="1" s="1"/>
  <c r="L27" i="1" s="1"/>
  <c r="P22" i="1"/>
  <c r="N22" i="1" s="1"/>
  <c r="Q22" i="1" s="1"/>
  <c r="K22" i="1" s="1"/>
  <c r="L22" i="1" s="1"/>
  <c r="U21" i="1"/>
  <c r="Y21" i="1" s="1"/>
  <c r="AB21" i="1"/>
  <c r="P21" i="1"/>
  <c r="N21" i="1" s="1"/>
  <c r="Q21" i="1" s="1"/>
  <c r="K21" i="1" s="1"/>
  <c r="L21" i="1" s="1"/>
  <c r="AA21" i="1"/>
  <c r="P28" i="1"/>
  <c r="N28" i="1" s="1"/>
  <c r="Q28" i="1" s="1"/>
  <c r="K28" i="1" s="1"/>
  <c r="L28" i="1" s="1"/>
  <c r="AB24" i="1"/>
  <c r="AA24" i="1"/>
  <c r="U24" i="1"/>
  <c r="Y24" i="1" s="1"/>
  <c r="AB18" i="1"/>
  <c r="U18" i="1"/>
  <c r="Y18" i="1" s="1"/>
  <c r="AA18" i="1"/>
  <c r="U29" i="1"/>
  <c r="Y29" i="1" s="1"/>
  <c r="AA29" i="1"/>
  <c r="AB29" i="1"/>
  <c r="AC29" i="1" s="1"/>
  <c r="AC17" i="1"/>
  <c r="AA19" i="1"/>
  <c r="AB19" i="1"/>
  <c r="AC19" i="1" s="1"/>
  <c r="U19" i="1"/>
  <c r="Y19" i="1" s="1"/>
  <c r="AC25" i="1" l="1"/>
  <c r="AC26" i="1"/>
  <c r="AC22" i="1"/>
  <c r="AC24" i="1"/>
  <c r="AC21" i="1"/>
  <c r="AC23" i="1"/>
  <c r="AC18" i="1"/>
</calcChain>
</file>

<file path=xl/sharedStrings.xml><?xml version="1.0" encoding="utf-8"?>
<sst xmlns="http://schemas.openxmlformats.org/spreadsheetml/2006/main" count="771" uniqueCount="354">
  <si>
    <t>File opened</t>
  </si>
  <si>
    <t>2020-07-24 10:48:47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</si>
  <si>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</si>
  <si>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</si>
  <si>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</si>
  <si>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</si>
  <si>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</si>
  <si>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</si>
  <si>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</si>
  <si>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</si>
  <si>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</si>
  <si>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</si>
  <si>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</si>
  <si>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{"co2bzero": "0.880288", "tbzero": "0.197721", "co2aspan2b": "0.163711", "h2obspanconc1": "20", "co2bspan2b": "0.162103", "h2obspan1": "0.998578", "h2oazero": "1.00263", "h2obspanconc2": "0", "co2bspan1": "0.992131", "flowmeterzero": "0.990908", "h2oaspan1": "1.00223", "h2oaspan2b": "0.0662632", "flowazero": "0.42932", "h2obspan2a": "0.0975941", "h2oaspanconc2": "0", "h2obzero": "1.01783", "co2aspan2": "0", "co2bspanconc2": "0", "co2aspan2a": "0.164928", "co2aspanconc1": "1002", "tazero": "0.00774765", "h2obspan2": "0", "flowbzero": "0.22736", "ssa_ref": "36614.9", "co2aspan1": "0.992625", "co2bspan2": "0", "h2oaspanconc1": "12.19", "ssb_ref": "36526.8", "co2bspanconc1": "1002", "h2oaspan2a": "0.0661155", "co2azero": "0.869071", "oxygen": "21", "chamberpressurezero": "2.59209", "co2bspan2a": "0.163389", "co2aspanconc2": "0", "h2obspan2b": "0.0963575", "h2oaspan2": "0"}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</si>
  <si>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</si>
  <si>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</si>
  <si>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</si>
  <si>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</si>
  <si>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</si>
  <si>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</si>
  <si>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</si>
  <si>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</si>
  <si>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</si>
  <si>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10:48:47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</si>
  <si>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</si>
  <si>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</si>
  <si>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</si>
  <si>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</si>
  <si>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</si>
  <si>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</si>
  <si>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</si>
  <si>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</si>
  <si>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</si>
  <si>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</si>
  <si>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</si>
  <si>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</si>
  <si>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</si>
  <si>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</si>
  <si>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</si>
  <si>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</si>
  <si>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</si>
  <si>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</si>
  <si>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</si>
  <si>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</si>
  <si>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</si>
  <si>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</si>
  <si>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</si>
  <si>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</si>
  <si>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</si>
  <si>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</si>
  <si>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</si>
  <si>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</si>
  <si>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</si>
  <si>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</si>
  <si>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</si>
  <si>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</si>
  <si>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</si>
  <si>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</si>
  <si>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</si>
  <si>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</si>
  <si>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</si>
  <si>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</si>
  <si>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</si>
  <si>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</si>
  <si>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</si>
  <si>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</si>
  <si>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</si>
  <si>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</si>
  <si>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</si>
  <si>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</si>
  <si>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</si>
  <si>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3.46935 75.7742 386.148 617.459 845.313 1047.31 1232.25 1386.61</t>
  </si>
  <si>
    <t>Fs_true</t>
  </si>
  <si>
    <t>0.0901397 100.218 402.746 600.792 800.086 1000.08 1200.42 1401.29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</si>
  <si>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</si>
  <si>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</si>
  <si>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</si>
  <si>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</si>
  <si>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</si>
  <si>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</si>
  <si>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</si>
  <si>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</si>
  <si>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</si>
  <si>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</si>
  <si>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</si>
  <si>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</si>
  <si>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</si>
  <si>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</si>
  <si>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</si>
  <si>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</si>
  <si>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</si>
  <si>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</si>
  <si>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</si>
  <si>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</si>
  <si>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</si>
  <si>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</si>
  <si>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</si>
  <si>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</si>
  <si>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</si>
  <si>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</si>
  <si>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</si>
  <si>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</si>
  <si>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</si>
  <si>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</si>
  <si>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</si>
  <si>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</si>
  <si>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</si>
  <si>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</si>
  <si>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</si>
  <si>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</si>
  <si>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</si>
  <si>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</si>
  <si>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</si>
  <si>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</si>
  <si>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</si>
  <si>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</si>
  <si>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</si>
  <si>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</si>
  <si>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</si>
  <si>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</si>
  <si>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</si>
  <si>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</si>
  <si>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</si>
  <si>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</si>
  <si>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</si>
  <si>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</si>
  <si>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</si>
  <si>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</si>
  <si>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</si>
  <si>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</si>
  <si>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</si>
  <si>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</si>
  <si>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</si>
  <si>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</si>
  <si>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</si>
  <si>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</si>
  <si>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</si>
  <si>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</si>
  <si>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</si>
  <si>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</si>
  <si>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</si>
  <si>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</si>
  <si>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</si>
  <si>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</si>
  <si>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</si>
  <si>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</si>
  <si>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</si>
  <si>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</si>
  <si>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</si>
  <si>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</si>
  <si>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</si>
  <si>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</si>
  <si>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</si>
  <si>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</si>
  <si>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</si>
  <si>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</si>
  <si>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</si>
  <si>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</si>
  <si>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</si>
  <si>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</si>
  <si>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</si>
  <si>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</si>
  <si>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</si>
  <si>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</si>
  <si>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</si>
  <si>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</si>
  <si>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</si>
  <si>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</si>
  <si>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</si>
  <si>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</si>
  <si>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</si>
  <si>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</si>
  <si>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</si>
  <si>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</si>
  <si>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</si>
  <si>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</si>
  <si>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</si>
  <si>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</si>
  <si>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</si>
  <si>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</si>
  <si>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</si>
  <si>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</si>
  <si>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</si>
  <si>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</si>
  <si>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</si>
  <si>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</si>
  <si>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</si>
  <si>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</si>
  <si>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</si>
  <si>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</si>
  <si>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</si>
  <si>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</si>
  <si>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</si>
  <si>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</si>
  <si>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</si>
  <si>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</si>
  <si>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</si>
  <si>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</si>
  <si>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</si>
  <si>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</si>
  <si>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</si>
  <si>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</si>
  <si>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</si>
  <si>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</si>
  <si>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</si>
  <si>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</si>
  <si>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</si>
  <si>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</si>
  <si>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</si>
  <si>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</si>
  <si>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</si>
  <si>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</si>
  <si>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</si>
  <si>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</si>
  <si>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</si>
  <si>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</si>
  <si>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</si>
  <si>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</si>
  <si>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</si>
  <si>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</si>
  <si>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</si>
  <si>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</si>
  <si>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</si>
  <si>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</si>
  <si>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</si>
  <si>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</si>
  <si>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</si>
  <si>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</si>
  <si>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</si>
  <si>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</si>
  <si>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</si>
  <si>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</si>
  <si>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</si>
  <si>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</si>
  <si>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</si>
  <si>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</si>
  <si>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</si>
  <si>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</si>
  <si>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</si>
  <si>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</si>
  <si>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</si>
  <si>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</si>
  <si>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</si>
  <si>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</si>
  <si>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</si>
  <si>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</si>
  <si>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</si>
  <si>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</si>
  <si>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</si>
  <si>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</si>
  <si>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</si>
  <si>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</si>
  <si>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</si>
  <si>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</si>
  <si>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</si>
  <si>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</si>
  <si>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</si>
  <si>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</si>
  <si>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</si>
  <si>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</si>
  <si>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</si>
  <si>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</si>
  <si>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</si>
  <si>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</si>
  <si>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</si>
  <si>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</si>
  <si>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</si>
  <si>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</si>
  <si>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</si>
  <si>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</si>
  <si>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</si>
  <si>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</si>
  <si>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</si>
  <si>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</si>
  <si>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</si>
  <si>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</si>
  <si>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</si>
  <si>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20200724 10:59:32</t>
  </si>
  <si>
    <t>10:59:32</t>
  </si>
  <si>
    <t>MPF-5237-20200724-10_59_33</t>
  </si>
  <si>
    <t>DARK-5238-20200724-10_59_41</t>
  </si>
  <si>
    <t>0: Broadleaf</t>
  </si>
  <si>
    <t>11:00:02</t>
  </si>
  <si>
    <t>1/2</t>
  </si>
  <si>
    <t>5</t>
  </si>
  <si>
    <t>11111111</t>
  </si>
  <si>
    <t>oooooooo</t>
  </si>
  <si>
    <t>off</t>
  </si>
  <si>
    <t>20200724 11:01:34</t>
  </si>
  <si>
    <t>11:01:34</t>
  </si>
  <si>
    <t>MPF-5239-20200724-11_01_36</t>
  </si>
  <si>
    <t>DARK-5240-20200724-11_01_43</t>
  </si>
  <si>
    <t>11:02:01</t>
  </si>
  <si>
    <t>2/2</t>
  </si>
  <si>
    <t>20200724 11:03:32</t>
  </si>
  <si>
    <t>11:03:32</t>
  </si>
  <si>
    <t>MPF-5241-20200724-11_03_34</t>
  </si>
  <si>
    <t>DARK-5242-20200724-11_03_42</t>
  </si>
  <si>
    <t>11:04:01</t>
  </si>
  <si>
    <t>20200724 11:05:32</t>
  </si>
  <si>
    <t>11:05:32</t>
  </si>
  <si>
    <t>MPF-5243-20200724-11_05_34</t>
  </si>
  <si>
    <t>DARK-5244-20200724-11_05_42</t>
  </si>
  <si>
    <t>11:06:00</t>
  </si>
  <si>
    <t>20200724 11:07:32</t>
  </si>
  <si>
    <t>11:07:32</t>
  </si>
  <si>
    <t>MPF-5245-20200724-11_07_33</t>
  </si>
  <si>
    <t>DARK-5246-20200724-11_07_41</t>
  </si>
  <si>
    <t>11:08:01</t>
  </si>
  <si>
    <t>20200724 11:09:35</t>
  </si>
  <si>
    <t>11:09:35</t>
  </si>
  <si>
    <t>MPF-5247-20200724-11_09_36</t>
  </si>
  <si>
    <t>DARK-5248-20200724-11_09_44</t>
  </si>
  <si>
    <t>11:10:00</t>
  </si>
  <si>
    <t>20200724 11:11:32</t>
  </si>
  <si>
    <t>11:11:32</t>
  </si>
  <si>
    <t>MPF-5249-20200724-11_11_33</t>
  </si>
  <si>
    <t>DARK-5250-20200724-11_11_41</t>
  </si>
  <si>
    <t>11:11:58</t>
  </si>
  <si>
    <t>20200724 11:13:48</t>
  </si>
  <si>
    <t>11:13:48</t>
  </si>
  <si>
    <t>MPF-5251-20200724-11_13_50</t>
  </si>
  <si>
    <t>DARK-5252-20200724-11_13_57</t>
  </si>
  <si>
    <t>11:14:15</t>
  </si>
  <si>
    <t>20200724 11:16:16</t>
  </si>
  <si>
    <t>11:16:16</t>
  </si>
  <si>
    <t>MPF-5253-20200724-11_16_18</t>
  </si>
  <si>
    <t>DARK-5254-20200724-11_16_25</t>
  </si>
  <si>
    <t>11:16:44</t>
  </si>
  <si>
    <t>20200724 11:18:44</t>
  </si>
  <si>
    <t>11:18:44</t>
  </si>
  <si>
    <t>MPF-5255-20200724-11_18_45</t>
  </si>
  <si>
    <t>DARK-5256-20200724-11_18_53</t>
  </si>
  <si>
    <t>11:19:12</t>
  </si>
  <si>
    <t>20200724 11:21:13</t>
  </si>
  <si>
    <t>11:21:13</t>
  </si>
  <si>
    <t>MPF-5257-20200724-11_21_15</t>
  </si>
  <si>
    <t>DARK-5258-20200724-11_21_23</t>
  </si>
  <si>
    <t>11:21:39</t>
  </si>
  <si>
    <t>20200724 11:23:41</t>
  </si>
  <si>
    <t>11:23:41</t>
  </si>
  <si>
    <t>MPF-5259-20200724-11_23_42</t>
  </si>
  <si>
    <t>DARK-5260-20200724-11_23_50</t>
  </si>
  <si>
    <t>11:24:12</t>
  </si>
  <si>
    <t>20200724 11:26:14</t>
  </si>
  <si>
    <t>11:26:14</t>
  </si>
  <si>
    <t>MPF-5261-20200724-11_26_15</t>
  </si>
  <si>
    <t>DARK-5262-20200724-11_26_23</t>
  </si>
  <si>
    <t>11:26:41</t>
  </si>
  <si>
    <t>20200724 11:28:42</t>
  </si>
  <si>
    <t>11:28:42</t>
  </si>
  <si>
    <t>MPF-5263-20200724-11_28_44</t>
  </si>
  <si>
    <t>DARK-5264-20200724-11_28_52</t>
  </si>
  <si>
    <t>11:29:05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</si>
</sst>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1595606372.0999999</v>
      </c>
      <c r="C17">
        <v>0</v>
      </c>
      <c r="D17" t="s">
        <v>277</v>
      </c>
      <c r="E17" t="s">
        <v>278</v>
      </c>
      <c r="G17">
        <v>1595606364.0999999</v>
      </c>
      <c r="H17">
        <f t="shared" ref="H17:H30" si="0">CC17*AI17*(CA17-CB17)/(100*$B$5*(1000-AI17*CA17))</f>
        <v>1.2144122730205266E-2</v>
      </c>
      <c r="I17">
        <f t="shared" ref="I17:I30" si="1">CC17*AI17*(BZ17-BY17*(1000-AI17*CB17)/(1000-AI17*CA17))/(100*$B$5)</f>
        <v>36.459488793338345</v>
      </c>
      <c r="J17">
        <f t="shared" ref="J17:J30" si="2">BY17 - IF(AI17&gt;1, I17*$B$5*100/(AK17*CI17), 0)</f>
        <v>383.57806451612902</v>
      </c>
      <c r="K17">
        <f t="shared" ref="K17:K30" si="3">((Q17-H17/2)*J17-I17)/(Q17+H17/2)</f>
        <v>303.13183725876632</v>
      </c>
      <c r="L17">
        <f t="shared" ref="L17:L30" si="4">K17*(CD17+CE17)/1000</f>
        <v>30.30143200859424</v>
      </c>
      <c r="M17">
        <f t="shared" ref="M17:M30" si="5">(BY17 - IF(AI17&gt;1, I17*$B$5*100/(AK17*CI17), 0))*(CD17+CE17)/1000</f>
        <v>38.342936020942595</v>
      </c>
      <c r="N17">
        <f t="shared" ref="N17:N30" si="6">2/((1/P17-1/O17)+SIGN(P17)*SQRT((1/P17-1/O17)*(1/P17-1/O17) + 4*BV17/((BV17+1)*(BV17+1))*(2*1/P17*1/O17-1/O17*1/O17)))</f>
        <v>0.91017711082922304</v>
      </c>
      <c r="O17">
        <f t="shared" ref="O17:O30" si="7">AF17+AE17*$B$5+AD17*$B$5*$B$5</f>
        <v>3.3950236272603154</v>
      </c>
      <c r="P17">
        <f t="shared" ref="P17:P30" si="8">H17*(1000-(1000*0.61365*EXP(17.502*T17/(240.97+T17))/(CD17+CE17)+CA17)/2)/(1000*0.61365*EXP(17.502*T17/(240.97+T17))/(CD17+CE17)-CA17)</f>
        <v>0.79328357175972075</v>
      </c>
      <c r="Q17">
        <f t="shared" ref="Q17:Q30" si="9">1/((BV17+1)/(N17/1.6)+1/(O17/1.37)) + BV17/((BV17+1)/(N17/1.6) + BV17/(O17/1.37))</f>
        <v>0.50504833902227009</v>
      </c>
      <c r="R17">
        <f t="shared" ref="R17:R30" si="10">(BS17*BU17)</f>
        <v>353.33748163703791</v>
      </c>
      <c r="S17">
        <f t="shared" ref="S17:S30" si="11">(CF17+(R17+2*0.95*0.0000000567*(((CF17+$B$7)+273)^4-(CF17+273)^4)-44100*H17)/(1.84*29.3*O17+8*0.95*0.0000000567*(CF17+273)^3))</f>
        <v>26.913068050922067</v>
      </c>
      <c r="T17">
        <f t="shared" ref="T17:T30" si="12">($C$7*CG17+$D$7*CH17+$E$7*S17)</f>
        <v>26.9988548387097</v>
      </c>
      <c r="U17">
        <f t="shared" ref="U17:U30" si="13">0.61365*EXP(17.502*T17/(240.97+T17))</f>
        <v>3.5789189721581844</v>
      </c>
      <c r="V17">
        <f t="shared" ref="V17:V30" si="14">(W17/X17*100)</f>
        <v>55.617735814013137</v>
      </c>
      <c r="W17">
        <f t="shared" ref="W17:W30" si="15">CA17*(CD17+CE17)/1000</f>
        <v>2.0920521937978331</v>
      </c>
      <c r="X17">
        <f t="shared" ref="X17:X30" si="16">0.61365*EXP(17.502*CF17/(240.97+CF17))</f>
        <v>3.7614839280651395</v>
      </c>
      <c r="Y17">
        <f t="shared" ref="Y17:Y30" si="17">(U17-CA17*(CD17+CE17)/1000)</f>
        <v>1.4868667783603513</v>
      </c>
      <c r="Z17">
        <f t="shared" ref="Z17:Z30" si="18">(-H17*44100)</f>
        <v>-535.5558124020522</v>
      </c>
      <c r="AA17">
        <f t="shared" ref="AA17:AA30" si="19">2*29.3*O17*0.92*(CF17-T17)</f>
        <v>155.5386685113167</v>
      </c>
      <c r="AB17">
        <f t="shared" ref="AB17:AB30" si="20">2*0.95*0.0000000567*(((CF17+$B$7)+273)^4-(T17+273)^4)</f>
        <v>9.9291125557688087</v>
      </c>
      <c r="AC17">
        <f t="shared" ref="AC17:AC30" si="21">R17+AB17+Z17+AA17</f>
        <v>-16.750549697928761</v>
      </c>
      <c r="AD17">
        <v>-4.1370629960993402E-2</v>
      </c>
      <c r="AE17">
        <v>4.6442156397454401E-2</v>
      </c>
      <c r="AF17">
        <v>3.4676218343093801</v>
      </c>
      <c r="AG17">
        <v>148</v>
      </c>
      <c r="AH17">
        <v>30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52605.178143528821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310.03165384615397</v>
      </c>
      <c r="AT17">
        <v>430.78300000000002</v>
      </c>
      <c r="AU17">
        <f t="shared" ref="AU17:AU30" si="27">1-AS17/AT17</f>
        <v>0.28030666519766578</v>
      </c>
      <c r="AV17">
        <v>0.5</v>
      </c>
      <c r="AW17">
        <f t="shared" ref="AW17:AW30" si="28">BS17</f>
        <v>1849.1834319671166</v>
      </c>
      <c r="AX17">
        <f t="shared" ref="AX17:AX30" si="29">I17</f>
        <v>36.459488793338345</v>
      </c>
      <c r="AY17">
        <f t="shared" ref="AY17:AY30" si="30">AU17*AV17*AW17</f>
        <v>259.16922057673855</v>
      </c>
      <c r="AZ17">
        <f t="shared" ref="AZ17:AZ30" si="31">BE17/AT17</f>
        <v>0.54682519969450982</v>
      </c>
      <c r="BA17">
        <f t="shared" ref="BA17:BA30" si="32">(AX17-AQ17)/AW17</f>
        <v>2.0257313658434549E-2</v>
      </c>
      <c r="BB17">
        <f t="shared" ref="BB17:BB30" si="33">(AN17-AT17)/AT17</f>
        <v>-1</v>
      </c>
      <c r="BC17" t="s">
        <v>280</v>
      </c>
      <c r="BD17">
        <v>195.22</v>
      </c>
      <c r="BE17">
        <f t="shared" ref="BE17:BE30" si="34">AT17-BD17</f>
        <v>235.56300000000002</v>
      </c>
      <c r="BF17">
        <f t="shared" ref="BF17:BF30" si="35">(AT17-AS17)/(AT17-BD17)</f>
        <v>0.51260743900292505</v>
      </c>
      <c r="BG17">
        <f t="shared" ref="BG17:BG30" si="36">(AN17-AT17)/(AN17-BD17)</f>
        <v>2.2066540313492471</v>
      </c>
      <c r="BH17">
        <f t="shared" ref="BH17:BH30" si="37">(AT17-AS17)/(AT17-AM17)</f>
        <v>0.28030666519766573</v>
      </c>
      <c r="BI17" t="e">
        <f t="shared" ref="BI17:BI30" si="38">(AN17-AT17)/(AN17-AM17)</f>
        <v>#DIV/0!</v>
      </c>
      <c r="BJ17">
        <v>5237</v>
      </c>
      <c r="BK17">
        <v>300</v>
      </c>
      <c r="BL17">
        <v>300</v>
      </c>
      <c r="BM17">
        <v>300</v>
      </c>
      <c r="BN17">
        <v>9877.24</v>
      </c>
      <c r="BO17">
        <v>397.51799999999997</v>
      </c>
      <c r="BP17">
        <v>-6.4069799999999996E-3</v>
      </c>
      <c r="BQ17">
        <v>1.2130099999999999</v>
      </c>
      <c r="BR17">
        <f t="shared" ref="BR17:BR30" si="39">$B$11*CJ17+$C$11*CK17+$F$11*CL17</f>
        <v>2199.99774193548</v>
      </c>
      <c r="BS17">
        <f t="shared" ref="BS17:BS30" si="40">BR17*BT17</f>
        <v>1849.1834319671166</v>
      </c>
      <c r="BT17">
        <f t="shared" ref="BT17:BT30" si="41">($B$11*$D$9+$C$11*$D$9+$F$11*((CY17+CQ17)/MAX(CY17+CQ17+CZ17, 0.1)*$I$9+CZ17/MAX(CY17+CQ17+CZ17, 0.1)*$J$9))/($B$11+$C$11+$F$11)</f>
        <v>0.84053878634451262</v>
      </c>
      <c r="BU17">
        <f t="shared" ref="BU17:BU30" si="42">($B$11*$K$9+$C$11*$K$9+$F$11*((CY17+CQ17)/MAX(CY17+CQ17+CZ17, 0.1)*$P$9+CZ17/MAX(CY17+CQ17+CZ17, 0.1)*$Q$9))/($B$11+$C$11+$F$11)</f>
        <v>0.19107757268902525</v>
      </c>
      <c r="BV17">
        <v>0.5</v>
      </c>
      <c r="BW17" t="s">
        <v>281</v>
      </c>
      <c r="BX17">
        <v>1595606364.0999999</v>
      </c>
      <c r="BY17">
        <v>383.57806451612902</v>
      </c>
      <c r="BZ17">
        <v>400.02325806451603</v>
      </c>
      <c r="CA17">
        <v>20.928635483870998</v>
      </c>
      <c r="CB17">
        <v>16.173196774193499</v>
      </c>
      <c r="CC17">
        <v>500.05745161290298</v>
      </c>
      <c r="CD17">
        <v>99.761245161290304</v>
      </c>
      <c r="CE17">
        <v>0.19998716129032301</v>
      </c>
      <c r="CF17">
        <v>27.848641935483901</v>
      </c>
      <c r="CG17">
        <v>26.9988548387097</v>
      </c>
      <c r="CH17">
        <v>999.9</v>
      </c>
      <c r="CI17">
        <v>10000.605483871001</v>
      </c>
      <c r="CJ17">
        <v>0</v>
      </c>
      <c r="CK17">
        <v>249.82396774193501</v>
      </c>
      <c r="CL17">
        <v>2199.99774193548</v>
      </c>
      <c r="CM17">
        <v>0.98199812903225803</v>
      </c>
      <c r="CN17">
        <v>1.8002364516129001E-2</v>
      </c>
      <c r="CO17">
        <v>0</v>
      </c>
      <c r="CP17">
        <v>310.16870967741897</v>
      </c>
      <c r="CQ17">
        <v>5.00054</v>
      </c>
      <c r="CR17">
        <v>8962.0093548387104</v>
      </c>
      <c r="CS17">
        <v>20590.490322580601</v>
      </c>
      <c r="CT17">
        <v>48.302225806451602</v>
      </c>
      <c r="CU17">
        <v>49.578419354838701</v>
      </c>
      <c r="CV17">
        <v>48.388806451612901</v>
      </c>
      <c r="CW17">
        <v>49.009870967741897</v>
      </c>
      <c r="CX17">
        <v>49.852612903225797</v>
      </c>
      <c r="CY17">
        <v>2155.48677419355</v>
      </c>
      <c r="CZ17">
        <v>39.510967741935502</v>
      </c>
      <c r="DA17">
        <v>0</v>
      </c>
      <c r="DB17">
        <v>728.60000014305103</v>
      </c>
      <c r="DC17">
        <v>310.03165384615397</v>
      </c>
      <c r="DD17">
        <v>-11.539999992269999</v>
      </c>
      <c r="DE17">
        <v>-208.38461537672299</v>
      </c>
      <c r="DF17">
        <v>8959.44115384615</v>
      </c>
      <c r="DG17">
        <v>15</v>
      </c>
      <c r="DH17">
        <v>1595606402.5999999</v>
      </c>
      <c r="DI17" t="s">
        <v>282</v>
      </c>
      <c r="DJ17">
        <v>15</v>
      </c>
      <c r="DK17">
        <v>-0.376</v>
      </c>
      <c r="DL17">
        <v>9.8000000000000004E-2</v>
      </c>
      <c r="DM17">
        <v>400</v>
      </c>
      <c r="DN17">
        <v>16</v>
      </c>
      <c r="DO17">
        <v>0.12</v>
      </c>
      <c r="DP17">
        <v>0.02</v>
      </c>
      <c r="DQ17">
        <v>383.75486274509802</v>
      </c>
      <c r="DR17">
        <v>0.29986968325794</v>
      </c>
      <c r="DS17">
        <v>4.39201680448916E-2</v>
      </c>
      <c r="DT17">
        <v>1</v>
      </c>
      <c r="DU17">
        <v>20.996298039215699</v>
      </c>
      <c r="DV17">
        <v>-0.450496289592758</v>
      </c>
      <c r="DW17">
        <v>5.6156257801539801E-2</v>
      </c>
      <c r="DX17">
        <v>0</v>
      </c>
      <c r="DY17">
        <v>1</v>
      </c>
      <c r="DZ17">
        <v>2</v>
      </c>
      <c r="EA17" t="s">
        <v>283</v>
      </c>
      <c r="EB17">
        <v>1.8667899999999999</v>
      </c>
      <c r="EC17">
        <v>1.86328</v>
      </c>
      <c r="ED17">
        <v>1.86894</v>
      </c>
      <c r="EE17">
        <v>1.8668499999999999</v>
      </c>
      <c r="EF17">
        <v>1.8716200000000001</v>
      </c>
      <c r="EG17">
        <v>1.8640300000000001</v>
      </c>
      <c r="EH17">
        <v>1.8656299999999999</v>
      </c>
      <c r="EI17">
        <v>1.8655600000000001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-0.376</v>
      </c>
      <c r="EX17">
        <v>9.8000000000000004E-2</v>
      </c>
      <c r="EY17">
        <v>2</v>
      </c>
      <c r="EZ17">
        <v>334.596</v>
      </c>
      <c r="FA17">
        <v>494.34199999999998</v>
      </c>
      <c r="FB17">
        <v>21.9556</v>
      </c>
      <c r="FC17">
        <v>33.529200000000003</v>
      </c>
      <c r="FD17">
        <v>30.000399999999999</v>
      </c>
      <c r="FE17">
        <v>33.461100000000002</v>
      </c>
      <c r="FF17">
        <v>33.458300000000001</v>
      </c>
      <c r="FG17">
        <v>22.005299999999998</v>
      </c>
      <c r="FH17">
        <v>48.025799999999997</v>
      </c>
      <c r="FI17">
        <v>0</v>
      </c>
      <c r="FJ17">
        <v>23.048500000000001</v>
      </c>
      <c r="FK17">
        <v>400</v>
      </c>
      <c r="FL17">
        <v>15.932600000000001</v>
      </c>
      <c r="FM17">
        <v>100.91200000000001</v>
      </c>
      <c r="FN17">
        <v>101.087</v>
      </c>
    </row>
    <row r="18" spans="1:170" x14ac:dyDescent="0.25">
      <c r="A18">
        <v>2</v>
      </c>
      <c r="B18">
        <v>1595606494.5999999</v>
      </c>
      <c r="C18">
        <v>122.5</v>
      </c>
      <c r="D18" t="s">
        <v>288</v>
      </c>
      <c r="E18" t="s">
        <v>289</v>
      </c>
      <c r="G18">
        <v>1595606486.5999999</v>
      </c>
      <c r="H18">
        <f t="shared" si="0"/>
        <v>1.0850270261832946E-2</v>
      </c>
      <c r="I18">
        <f t="shared" si="1"/>
        <v>27.64160745332741</v>
      </c>
      <c r="J18">
        <f t="shared" si="2"/>
        <v>287.68722580645198</v>
      </c>
      <c r="K18">
        <f t="shared" si="3"/>
        <v>217.50793912498159</v>
      </c>
      <c r="L18">
        <f t="shared" si="4"/>
        <v>21.74269353094396</v>
      </c>
      <c r="M18">
        <f t="shared" si="5"/>
        <v>28.758008597943345</v>
      </c>
      <c r="N18">
        <f t="shared" si="6"/>
        <v>0.76644118316737886</v>
      </c>
      <c r="O18">
        <f t="shared" si="7"/>
        <v>3.3967414594405692</v>
      </c>
      <c r="P18">
        <f t="shared" si="8"/>
        <v>0.68175792817760617</v>
      </c>
      <c r="Q18">
        <f t="shared" si="9"/>
        <v>0.43292488321326872</v>
      </c>
      <c r="R18">
        <f t="shared" si="10"/>
        <v>353.33394918549328</v>
      </c>
      <c r="S18">
        <f t="shared" si="11"/>
        <v>26.880067793776682</v>
      </c>
      <c r="T18">
        <f t="shared" si="12"/>
        <v>27.023274193548399</v>
      </c>
      <c r="U18">
        <f t="shared" si="13"/>
        <v>3.584055148662447</v>
      </c>
      <c r="V18">
        <f t="shared" si="14"/>
        <v>55.21964014582251</v>
      </c>
      <c r="W18">
        <f t="shared" si="15"/>
        <v>2.0378711004792733</v>
      </c>
      <c r="X18">
        <f t="shared" si="16"/>
        <v>3.6904823991929665</v>
      </c>
      <c r="Y18">
        <f t="shared" si="17"/>
        <v>1.5461840481831737</v>
      </c>
      <c r="Z18">
        <f t="shared" si="18"/>
        <v>-478.49691854683294</v>
      </c>
      <c r="AA18">
        <f t="shared" si="19"/>
        <v>91.424332847187671</v>
      </c>
      <c r="AB18">
        <f t="shared" si="20"/>
        <v>5.8245076060710783</v>
      </c>
      <c r="AC18">
        <f t="shared" si="21"/>
        <v>-27.91412890808094</v>
      </c>
      <c r="AD18">
        <v>-4.1397244960452301E-2</v>
      </c>
      <c r="AE18">
        <v>4.6472034065948999E-2</v>
      </c>
      <c r="AF18">
        <v>3.4693863711504802</v>
      </c>
      <c r="AG18">
        <v>148</v>
      </c>
      <c r="AH18">
        <v>30</v>
      </c>
      <c r="AI18">
        <f t="shared" si="22"/>
        <v>1</v>
      </c>
      <c r="AJ18">
        <f t="shared" si="23"/>
        <v>0</v>
      </c>
      <c r="AK18">
        <f t="shared" si="24"/>
        <v>52694.788621772423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274.48269230769199</v>
      </c>
      <c r="AT18">
        <v>369.78</v>
      </c>
      <c r="AU18">
        <f t="shared" si="27"/>
        <v>0.25771352612988263</v>
      </c>
      <c r="AV18">
        <v>0.5</v>
      </c>
      <c r="AW18">
        <f t="shared" si="28"/>
        <v>1849.167667451067</v>
      </c>
      <c r="AX18">
        <f t="shared" si="29"/>
        <v>27.64160745332741</v>
      </c>
      <c r="AY18">
        <f t="shared" si="30"/>
        <v>238.27775999209234</v>
      </c>
      <c r="AZ18">
        <f t="shared" si="31"/>
        <v>0.49586240467304882</v>
      </c>
      <c r="BA18">
        <f t="shared" si="32"/>
        <v>1.5488918586169974E-2</v>
      </c>
      <c r="BB18">
        <f t="shared" si="33"/>
        <v>-1</v>
      </c>
      <c r="BC18" t="s">
        <v>291</v>
      </c>
      <c r="BD18">
        <v>186.42</v>
      </c>
      <c r="BE18">
        <f t="shared" si="34"/>
        <v>183.35999999999999</v>
      </c>
      <c r="BF18">
        <f t="shared" si="35"/>
        <v>0.51972789971808453</v>
      </c>
      <c r="BG18">
        <f t="shared" si="36"/>
        <v>1.983585452204699</v>
      </c>
      <c r="BH18">
        <f t="shared" si="37"/>
        <v>0.25771352612988258</v>
      </c>
      <c r="BI18" t="e">
        <f t="shared" si="38"/>
        <v>#DIV/0!</v>
      </c>
      <c r="BJ18">
        <v>5239</v>
      </c>
      <c r="BK18">
        <v>300</v>
      </c>
      <c r="BL18">
        <v>300</v>
      </c>
      <c r="BM18">
        <v>300</v>
      </c>
      <c r="BN18">
        <v>9874.09</v>
      </c>
      <c r="BO18">
        <v>343.78300000000002</v>
      </c>
      <c r="BP18">
        <v>-6.4043800000000003E-3</v>
      </c>
      <c r="BQ18">
        <v>1.09839</v>
      </c>
      <c r="BR18">
        <f t="shared" si="39"/>
        <v>2199.9793548387102</v>
      </c>
      <c r="BS18">
        <f t="shared" si="40"/>
        <v>1849.167667451067</v>
      </c>
      <c r="BT18">
        <f t="shared" si="41"/>
        <v>0.84053864568498982</v>
      </c>
      <c r="BU18">
        <f t="shared" si="42"/>
        <v>0.19107729136997972</v>
      </c>
      <c r="BV18">
        <v>0.5</v>
      </c>
      <c r="BW18" t="s">
        <v>281</v>
      </c>
      <c r="BX18">
        <v>1595606486.5999999</v>
      </c>
      <c r="BY18">
        <v>287.68722580645198</v>
      </c>
      <c r="BZ18">
        <v>299.990967741936</v>
      </c>
      <c r="CA18">
        <v>20.3863032258065</v>
      </c>
      <c r="CB18">
        <v>16.135190322580598</v>
      </c>
      <c r="CC18">
        <v>500.06074193548397</v>
      </c>
      <c r="CD18">
        <v>99.762774193548395</v>
      </c>
      <c r="CE18">
        <v>0.19998403225806499</v>
      </c>
      <c r="CF18">
        <v>27.5225193548387</v>
      </c>
      <c r="CG18">
        <v>27.023274193548399</v>
      </c>
      <c r="CH18">
        <v>999.9</v>
      </c>
      <c r="CI18">
        <v>10006.885806451601</v>
      </c>
      <c r="CJ18">
        <v>0</v>
      </c>
      <c r="CK18">
        <v>246.016548387097</v>
      </c>
      <c r="CL18">
        <v>2199.9793548387102</v>
      </c>
      <c r="CM18">
        <v>0.98200258064516099</v>
      </c>
      <c r="CN18">
        <v>1.7997690322580601E-2</v>
      </c>
      <c r="CO18">
        <v>0</v>
      </c>
      <c r="CP18">
        <v>274.54429032258099</v>
      </c>
      <c r="CQ18">
        <v>5.00054</v>
      </c>
      <c r="CR18">
        <v>8213.1661290322609</v>
      </c>
      <c r="CS18">
        <v>20590.348387096801</v>
      </c>
      <c r="CT18">
        <v>49.289967741935499</v>
      </c>
      <c r="CU18">
        <v>50.709419354838701</v>
      </c>
      <c r="CV18">
        <v>49.451419354838698</v>
      </c>
      <c r="CW18">
        <v>50.005870967741899</v>
      </c>
      <c r="CX18">
        <v>50.699322580645102</v>
      </c>
      <c r="CY18">
        <v>2155.4790322580702</v>
      </c>
      <c r="CZ18">
        <v>39.500322580645197</v>
      </c>
      <c r="DA18">
        <v>0</v>
      </c>
      <c r="DB18">
        <v>122</v>
      </c>
      <c r="DC18">
        <v>274.48269230769199</v>
      </c>
      <c r="DD18">
        <v>-6.10892309430933</v>
      </c>
      <c r="DE18">
        <v>-152.085128212418</v>
      </c>
      <c r="DF18">
        <v>8211.3003846153806</v>
      </c>
      <c r="DG18">
        <v>15</v>
      </c>
      <c r="DH18">
        <v>1595606521.0999999</v>
      </c>
      <c r="DI18" t="s">
        <v>292</v>
      </c>
      <c r="DJ18">
        <v>16</v>
      </c>
      <c r="DK18">
        <v>-0.49399999999999999</v>
      </c>
      <c r="DL18">
        <v>0.1</v>
      </c>
      <c r="DM18">
        <v>300</v>
      </c>
      <c r="DN18">
        <v>16</v>
      </c>
      <c r="DO18">
        <v>0.09</v>
      </c>
      <c r="DP18">
        <v>0.02</v>
      </c>
      <c r="DQ18">
        <v>287.77798039215702</v>
      </c>
      <c r="DR18">
        <v>0.29613393665153598</v>
      </c>
      <c r="DS18">
        <v>3.8566210038179997E-2</v>
      </c>
      <c r="DT18">
        <v>1</v>
      </c>
      <c r="DU18">
        <v>20.3796607843137</v>
      </c>
      <c r="DV18">
        <v>4.8091221719452799E-2</v>
      </c>
      <c r="DW18">
        <v>9.8795506453215193E-3</v>
      </c>
      <c r="DX18">
        <v>1</v>
      </c>
      <c r="DY18">
        <v>2</v>
      </c>
      <c r="DZ18">
        <v>2</v>
      </c>
      <c r="EA18" t="s">
        <v>293</v>
      </c>
      <c r="EB18">
        <v>1.86676</v>
      </c>
      <c r="EC18">
        <v>1.86327</v>
      </c>
      <c r="ED18">
        <v>1.86893</v>
      </c>
      <c r="EE18">
        <v>1.8668899999999999</v>
      </c>
      <c r="EF18">
        <v>1.87157</v>
      </c>
      <c r="EG18">
        <v>1.8640099999999999</v>
      </c>
      <c r="EH18">
        <v>1.86557</v>
      </c>
      <c r="EI18">
        <v>1.86554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-0.49399999999999999</v>
      </c>
      <c r="EX18">
        <v>0.1</v>
      </c>
      <c r="EY18">
        <v>2</v>
      </c>
      <c r="EZ18">
        <v>333.74299999999999</v>
      </c>
      <c r="FA18">
        <v>492.50299999999999</v>
      </c>
      <c r="FB18">
        <v>22.1296</v>
      </c>
      <c r="FC18">
        <v>33.761499999999998</v>
      </c>
      <c r="FD18">
        <v>30.000900000000001</v>
      </c>
      <c r="FE18">
        <v>33.657499999999999</v>
      </c>
      <c r="FF18">
        <v>33.649299999999997</v>
      </c>
      <c r="FG18">
        <v>17.550899999999999</v>
      </c>
      <c r="FH18">
        <v>47.602200000000003</v>
      </c>
      <c r="FI18">
        <v>0</v>
      </c>
      <c r="FJ18">
        <v>22.130600000000001</v>
      </c>
      <c r="FK18">
        <v>300</v>
      </c>
      <c r="FL18">
        <v>16.084700000000002</v>
      </c>
      <c r="FM18">
        <v>100.86799999999999</v>
      </c>
      <c r="FN18">
        <v>101.036</v>
      </c>
    </row>
    <row r="19" spans="1:170" x14ac:dyDescent="0.25">
      <c r="A19">
        <v>3</v>
      </c>
      <c r="B19">
        <v>1595606612.5999999</v>
      </c>
      <c r="C19">
        <v>240.5</v>
      </c>
      <c r="D19" t="s">
        <v>294</v>
      </c>
      <c r="E19" t="s">
        <v>295</v>
      </c>
      <c r="G19">
        <v>1595606604.5999999</v>
      </c>
      <c r="H19">
        <f t="shared" si="0"/>
        <v>1.0315883949552462E-2</v>
      </c>
      <c r="I19">
        <f t="shared" si="1"/>
        <v>17.201493942839324</v>
      </c>
      <c r="J19">
        <f t="shared" si="2"/>
        <v>192.311193548387</v>
      </c>
      <c r="K19">
        <f t="shared" si="3"/>
        <v>145.62477242699057</v>
      </c>
      <c r="L19">
        <f t="shared" si="4"/>
        <v>14.55640709484639</v>
      </c>
      <c r="M19">
        <f t="shared" si="5"/>
        <v>19.223103154304226</v>
      </c>
      <c r="N19">
        <f t="shared" si="6"/>
        <v>0.71369318420571493</v>
      </c>
      <c r="O19">
        <f t="shared" si="7"/>
        <v>3.395193382477272</v>
      </c>
      <c r="P19">
        <f t="shared" si="8"/>
        <v>0.63963392836237465</v>
      </c>
      <c r="Q19">
        <f t="shared" si="9"/>
        <v>0.40578282917145636</v>
      </c>
      <c r="R19">
        <f t="shared" si="10"/>
        <v>353.33423665640976</v>
      </c>
      <c r="S19">
        <f t="shared" si="11"/>
        <v>26.887226522513672</v>
      </c>
      <c r="T19">
        <f t="shared" si="12"/>
        <v>26.994274193548399</v>
      </c>
      <c r="U19">
        <f t="shared" si="13"/>
        <v>3.5779562310038249</v>
      </c>
      <c r="V19">
        <f t="shared" si="14"/>
        <v>54.852612526368738</v>
      </c>
      <c r="W19">
        <f t="shared" si="15"/>
        <v>2.0109172365445054</v>
      </c>
      <c r="X19">
        <f t="shared" si="16"/>
        <v>3.6660373023761039</v>
      </c>
      <c r="Y19">
        <f t="shared" si="17"/>
        <v>1.5670389944593195</v>
      </c>
      <c r="Z19">
        <f t="shared" si="18"/>
        <v>-454.93048217526359</v>
      </c>
      <c r="AA19">
        <f t="shared" si="19"/>
        <v>75.906788282302259</v>
      </c>
      <c r="AB19">
        <f t="shared" si="20"/>
        <v>4.8346676118310521</v>
      </c>
      <c r="AC19">
        <f t="shared" si="21"/>
        <v>-20.854789624720539</v>
      </c>
      <c r="AD19">
        <v>-4.1373259769444101E-2</v>
      </c>
      <c r="AE19">
        <v>4.6445108587824198E-2</v>
      </c>
      <c r="AF19">
        <v>3.4677962043793999</v>
      </c>
      <c r="AG19">
        <v>148</v>
      </c>
      <c r="AH19">
        <v>30</v>
      </c>
      <c r="AI19">
        <f t="shared" si="22"/>
        <v>1</v>
      </c>
      <c r="AJ19">
        <f t="shared" si="23"/>
        <v>0</v>
      </c>
      <c r="AK19">
        <f t="shared" si="24"/>
        <v>52685.318646984582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260.82942307692298</v>
      </c>
      <c r="AT19">
        <v>336.71100000000001</v>
      </c>
      <c r="AU19">
        <f t="shared" si="27"/>
        <v>0.22536114627403625</v>
      </c>
      <c r="AV19">
        <v>0.5</v>
      </c>
      <c r="AW19">
        <f t="shared" si="28"/>
        <v>1849.166847129698</v>
      </c>
      <c r="AX19">
        <f t="shared" si="29"/>
        <v>17.201493942839324</v>
      </c>
      <c r="AY19">
        <f t="shared" si="30"/>
        <v>208.36518016054714</v>
      </c>
      <c r="AZ19">
        <f t="shared" si="31"/>
        <v>0.44753809646848486</v>
      </c>
      <c r="BA19">
        <f t="shared" si="32"/>
        <v>9.8430782333632748E-3</v>
      </c>
      <c r="BB19">
        <f t="shared" si="33"/>
        <v>-1</v>
      </c>
      <c r="BC19" t="s">
        <v>297</v>
      </c>
      <c r="BD19">
        <v>186.02</v>
      </c>
      <c r="BE19">
        <f t="shared" si="34"/>
        <v>150.691</v>
      </c>
      <c r="BF19">
        <f t="shared" si="35"/>
        <v>0.50355745813006103</v>
      </c>
      <c r="BG19">
        <f t="shared" si="36"/>
        <v>1.8100795613374905</v>
      </c>
      <c r="BH19">
        <f t="shared" si="37"/>
        <v>0.22536114627403628</v>
      </c>
      <c r="BI19" t="e">
        <f t="shared" si="38"/>
        <v>#DIV/0!</v>
      </c>
      <c r="BJ19">
        <v>5241</v>
      </c>
      <c r="BK19">
        <v>300</v>
      </c>
      <c r="BL19">
        <v>300</v>
      </c>
      <c r="BM19">
        <v>300</v>
      </c>
      <c r="BN19">
        <v>9871.43</v>
      </c>
      <c r="BO19">
        <v>315.30399999999997</v>
      </c>
      <c r="BP19">
        <v>-6.4021499999999997E-3</v>
      </c>
      <c r="BQ19">
        <v>1.0579499999999999</v>
      </c>
      <c r="BR19">
        <f t="shared" si="39"/>
        <v>2199.97806451613</v>
      </c>
      <c r="BS19">
        <f t="shared" si="40"/>
        <v>1849.166847129698</v>
      </c>
      <c r="BT19">
        <f t="shared" si="41"/>
        <v>0.84053876579738063</v>
      </c>
      <c r="BU19">
        <f t="shared" si="42"/>
        <v>0.19107753159476118</v>
      </c>
      <c r="BV19">
        <v>0.5</v>
      </c>
      <c r="BW19" t="s">
        <v>281</v>
      </c>
      <c r="BX19">
        <v>1595606604.5999999</v>
      </c>
      <c r="BY19">
        <v>192.311193548387</v>
      </c>
      <c r="BZ19">
        <v>199.98438709677399</v>
      </c>
      <c r="CA19">
        <v>20.1175580645161</v>
      </c>
      <c r="CB19">
        <v>16.0747161290323</v>
      </c>
      <c r="CC19">
        <v>500.06177419354799</v>
      </c>
      <c r="CD19">
        <v>99.758329032258104</v>
      </c>
      <c r="CE19">
        <v>0.19998748387096801</v>
      </c>
      <c r="CF19">
        <v>27.408970967741901</v>
      </c>
      <c r="CG19">
        <v>26.994274193548399</v>
      </c>
      <c r="CH19">
        <v>999.9</v>
      </c>
      <c r="CI19">
        <v>10001.5335483871</v>
      </c>
      <c r="CJ19">
        <v>0</v>
      </c>
      <c r="CK19">
        <v>250.69561290322599</v>
      </c>
      <c r="CL19">
        <v>2199.97806451613</v>
      </c>
      <c r="CM19">
        <v>0.98200022580645097</v>
      </c>
      <c r="CN19">
        <v>1.7999664516128999E-2</v>
      </c>
      <c r="CO19">
        <v>0</v>
      </c>
      <c r="CP19">
        <v>260.84441935483898</v>
      </c>
      <c r="CQ19">
        <v>5.00054</v>
      </c>
      <c r="CR19">
        <v>7929.6209677419301</v>
      </c>
      <c r="CS19">
        <v>20590.3322580645</v>
      </c>
      <c r="CT19">
        <v>50.076354838709698</v>
      </c>
      <c r="CU19">
        <v>51.681161290322599</v>
      </c>
      <c r="CV19">
        <v>50.346483870967703</v>
      </c>
      <c r="CW19">
        <v>50.810290322580599</v>
      </c>
      <c r="CX19">
        <v>51.419032258064497</v>
      </c>
      <c r="CY19">
        <v>2155.46483870968</v>
      </c>
      <c r="CZ19">
        <v>39.509032258064501</v>
      </c>
      <c r="DA19">
        <v>0</v>
      </c>
      <c r="DB19">
        <v>117.10000014305101</v>
      </c>
      <c r="DC19">
        <v>260.82942307692298</v>
      </c>
      <c r="DD19">
        <v>-3.5854700801655301</v>
      </c>
      <c r="DE19">
        <v>-77.870769251475295</v>
      </c>
      <c r="DF19">
        <v>7929.3453846153898</v>
      </c>
      <c r="DG19">
        <v>15</v>
      </c>
      <c r="DH19">
        <v>1595606641.0999999</v>
      </c>
      <c r="DI19" t="s">
        <v>298</v>
      </c>
      <c r="DJ19">
        <v>17</v>
      </c>
      <c r="DK19">
        <v>-0.42399999999999999</v>
      </c>
      <c r="DL19">
        <v>0.104</v>
      </c>
      <c r="DM19">
        <v>200</v>
      </c>
      <c r="DN19">
        <v>16</v>
      </c>
      <c r="DO19">
        <v>0.17</v>
      </c>
      <c r="DP19">
        <v>0.02</v>
      </c>
      <c r="DQ19">
        <v>192.22380392156899</v>
      </c>
      <c r="DR19">
        <v>0.21760723981910399</v>
      </c>
      <c r="DS19">
        <v>2.8387389915061501E-2</v>
      </c>
      <c r="DT19">
        <v>1</v>
      </c>
      <c r="DU19">
        <v>20.1103450980392</v>
      </c>
      <c r="DV19">
        <v>3.3416470588242299E-2</v>
      </c>
      <c r="DW19">
        <v>4.8093174977652496E-3</v>
      </c>
      <c r="DX19">
        <v>1</v>
      </c>
      <c r="DY19">
        <v>2</v>
      </c>
      <c r="DZ19">
        <v>2</v>
      </c>
      <c r="EA19" t="s">
        <v>293</v>
      </c>
      <c r="EB19">
        <v>1.86676</v>
      </c>
      <c r="EC19">
        <v>1.86327</v>
      </c>
      <c r="ED19">
        <v>1.8689499999999999</v>
      </c>
      <c r="EE19">
        <v>1.8669</v>
      </c>
      <c r="EF19">
        <v>1.87164</v>
      </c>
      <c r="EG19">
        <v>1.8640099999999999</v>
      </c>
      <c r="EH19">
        <v>1.86565</v>
      </c>
      <c r="EI19">
        <v>1.86554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-0.42399999999999999</v>
      </c>
      <c r="EX19">
        <v>0.104</v>
      </c>
      <c r="EY19">
        <v>2</v>
      </c>
      <c r="EZ19">
        <v>333.86399999999998</v>
      </c>
      <c r="FA19">
        <v>491.46699999999998</v>
      </c>
      <c r="FB19">
        <v>22.439499999999999</v>
      </c>
      <c r="FC19">
        <v>33.914900000000003</v>
      </c>
      <c r="FD19">
        <v>30.000699999999998</v>
      </c>
      <c r="FE19">
        <v>33.825099999999999</v>
      </c>
      <c r="FF19">
        <v>33.816000000000003</v>
      </c>
      <c r="FG19">
        <v>12.9185</v>
      </c>
      <c r="FH19">
        <v>47.308900000000001</v>
      </c>
      <c r="FI19">
        <v>0</v>
      </c>
      <c r="FJ19">
        <v>22.434000000000001</v>
      </c>
      <c r="FK19">
        <v>200</v>
      </c>
      <c r="FL19">
        <v>16.199100000000001</v>
      </c>
      <c r="FM19">
        <v>100.837</v>
      </c>
      <c r="FN19">
        <v>101.011</v>
      </c>
    </row>
    <row r="20" spans="1:170" x14ac:dyDescent="0.25">
      <c r="A20">
        <v>4</v>
      </c>
      <c r="B20">
        <v>1595606732.5999999</v>
      </c>
      <c r="C20">
        <v>360.5</v>
      </c>
      <c r="D20" t="s">
        <v>299</v>
      </c>
      <c r="E20" t="s">
        <v>300</v>
      </c>
      <c r="G20">
        <v>1595606724.5999999</v>
      </c>
      <c r="H20">
        <f t="shared" si="0"/>
        <v>9.6212023844172677E-3</v>
      </c>
      <c r="I20">
        <f t="shared" si="1"/>
        <v>6.1344634215746439</v>
      </c>
      <c r="J20">
        <f t="shared" si="2"/>
        <v>97.169703225806401</v>
      </c>
      <c r="K20">
        <f t="shared" si="3"/>
        <v>78.821354338728426</v>
      </c>
      <c r="L20">
        <f t="shared" si="4"/>
        <v>7.8787896682484906</v>
      </c>
      <c r="M20">
        <f t="shared" si="5"/>
        <v>9.7128457163047273</v>
      </c>
      <c r="N20">
        <f t="shared" si="6"/>
        <v>0.66495456435920308</v>
      </c>
      <c r="O20">
        <f t="shared" si="7"/>
        <v>3.4029381026635916</v>
      </c>
      <c r="P20">
        <f t="shared" si="8"/>
        <v>0.60030667967272189</v>
      </c>
      <c r="Q20">
        <f t="shared" si="9"/>
        <v>0.38047490026904562</v>
      </c>
      <c r="R20">
        <f t="shared" si="10"/>
        <v>353.34098433256327</v>
      </c>
      <c r="S20">
        <f t="shared" si="11"/>
        <v>26.944543153022199</v>
      </c>
      <c r="T20">
        <f t="shared" si="12"/>
        <v>26.9856129032258</v>
      </c>
      <c r="U20">
        <f t="shared" si="13"/>
        <v>3.5761364544904461</v>
      </c>
      <c r="V20">
        <f t="shared" si="14"/>
        <v>55.397556573434812</v>
      </c>
      <c r="W20">
        <f t="shared" si="15"/>
        <v>2.018938777047711</v>
      </c>
      <c r="X20">
        <f t="shared" si="16"/>
        <v>3.6444545606833985</v>
      </c>
      <c r="Y20">
        <f t="shared" si="17"/>
        <v>1.5571976774427352</v>
      </c>
      <c r="Z20">
        <f t="shared" si="18"/>
        <v>-424.29502515280149</v>
      </c>
      <c r="AA20">
        <f t="shared" si="19"/>
        <v>59.175652340287975</v>
      </c>
      <c r="AB20">
        <f t="shared" si="20"/>
        <v>3.7583903329811044</v>
      </c>
      <c r="AC20">
        <f t="shared" si="21"/>
        <v>-8.0199981469691508</v>
      </c>
      <c r="AD20">
        <v>-4.1493302425056097E-2</v>
      </c>
      <c r="AE20">
        <v>4.6579866985062897E-2</v>
      </c>
      <c r="AF20">
        <v>3.4757515783936901</v>
      </c>
      <c r="AG20">
        <v>150</v>
      </c>
      <c r="AH20">
        <v>30</v>
      </c>
      <c r="AI20">
        <f t="shared" si="22"/>
        <v>1</v>
      </c>
      <c r="AJ20">
        <f t="shared" si="23"/>
        <v>0</v>
      </c>
      <c r="AK20">
        <f t="shared" si="24"/>
        <v>52849.586687155708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258.63234615384602</v>
      </c>
      <c r="AT20">
        <v>316.81</v>
      </c>
      <c r="AU20">
        <f t="shared" si="27"/>
        <v>0.1836357875261323</v>
      </c>
      <c r="AV20">
        <v>0.5</v>
      </c>
      <c r="AW20">
        <f t="shared" si="28"/>
        <v>1849.2047803543037</v>
      </c>
      <c r="AX20">
        <f t="shared" si="29"/>
        <v>6.1344634215746439</v>
      </c>
      <c r="AY20">
        <f t="shared" si="30"/>
        <v>169.79008806872554</v>
      </c>
      <c r="AZ20">
        <f t="shared" si="31"/>
        <v>0.39673621413465482</v>
      </c>
      <c r="BA20">
        <f t="shared" si="32"/>
        <v>3.858125123496434E-3</v>
      </c>
      <c r="BB20">
        <f t="shared" si="33"/>
        <v>-1</v>
      </c>
      <c r="BC20" t="s">
        <v>302</v>
      </c>
      <c r="BD20">
        <v>191.12</v>
      </c>
      <c r="BE20">
        <f t="shared" si="34"/>
        <v>125.69</v>
      </c>
      <c r="BF20">
        <f t="shared" si="35"/>
        <v>0.46286620929392941</v>
      </c>
      <c r="BG20">
        <f t="shared" si="36"/>
        <v>1.6576496442025952</v>
      </c>
      <c r="BH20">
        <f t="shared" si="37"/>
        <v>0.18363578752613233</v>
      </c>
      <c r="BI20" t="e">
        <f t="shared" si="38"/>
        <v>#DIV/0!</v>
      </c>
      <c r="BJ20">
        <v>5243</v>
      </c>
      <c r="BK20">
        <v>300</v>
      </c>
      <c r="BL20">
        <v>300</v>
      </c>
      <c r="BM20">
        <v>300</v>
      </c>
      <c r="BN20">
        <v>9872.19</v>
      </c>
      <c r="BO20">
        <v>300.87400000000002</v>
      </c>
      <c r="BP20">
        <v>-6.4023099999999996E-3</v>
      </c>
      <c r="BQ20">
        <v>1.0917399999999999</v>
      </c>
      <c r="BR20">
        <f t="shared" si="39"/>
        <v>2200.0235483871002</v>
      </c>
      <c r="BS20">
        <f t="shared" si="40"/>
        <v>1849.2047803543037</v>
      </c>
      <c r="BT20">
        <f t="shared" si="41"/>
        <v>0.84053863046602761</v>
      </c>
      <c r="BU20">
        <f t="shared" si="42"/>
        <v>0.19107726093205529</v>
      </c>
      <c r="BV20">
        <v>0.5</v>
      </c>
      <c r="BW20" t="s">
        <v>281</v>
      </c>
      <c r="BX20">
        <v>1595606724.5999999</v>
      </c>
      <c r="BY20">
        <v>97.169703225806401</v>
      </c>
      <c r="BZ20">
        <v>99.997225806451596</v>
      </c>
      <c r="CA20">
        <v>20.197961290322599</v>
      </c>
      <c r="CB20">
        <v>16.4275032258065</v>
      </c>
      <c r="CC20">
        <v>500.03864516128999</v>
      </c>
      <c r="CD20">
        <v>99.757683870967796</v>
      </c>
      <c r="CE20">
        <v>0.19986867741935499</v>
      </c>
      <c r="CF20">
        <v>27.308167741935499</v>
      </c>
      <c r="CG20">
        <v>26.9856129032258</v>
      </c>
      <c r="CH20">
        <v>999.9</v>
      </c>
      <c r="CI20">
        <v>10030.617419354799</v>
      </c>
      <c r="CJ20">
        <v>0</v>
      </c>
      <c r="CK20">
        <v>255.705451612903</v>
      </c>
      <c r="CL20">
        <v>2200.0235483871002</v>
      </c>
      <c r="CM20">
        <v>0.982003870967742</v>
      </c>
      <c r="CN20">
        <v>1.7996335483871001E-2</v>
      </c>
      <c r="CO20">
        <v>0</v>
      </c>
      <c r="CP20">
        <v>258.63287096774201</v>
      </c>
      <c r="CQ20">
        <v>5.00054</v>
      </c>
      <c r="CR20">
        <v>7880.25677419355</v>
      </c>
      <c r="CS20">
        <v>20590.783870967702</v>
      </c>
      <c r="CT20">
        <v>50.084419354838701</v>
      </c>
      <c r="CU20">
        <v>51.816064516129003</v>
      </c>
      <c r="CV20">
        <v>50.408999999999999</v>
      </c>
      <c r="CW20">
        <v>50.683193548387102</v>
      </c>
      <c r="CX20">
        <v>51.328258064516099</v>
      </c>
      <c r="CY20">
        <v>2155.5235483871002</v>
      </c>
      <c r="CZ20">
        <v>39.5</v>
      </c>
      <c r="DA20">
        <v>0</v>
      </c>
      <c r="DB20">
        <v>119.200000047684</v>
      </c>
      <c r="DC20">
        <v>258.63234615384602</v>
      </c>
      <c r="DD20">
        <v>-0.64994872421962402</v>
      </c>
      <c r="DE20">
        <v>-38.627008380167801</v>
      </c>
      <c r="DF20">
        <v>7880.0930769230799</v>
      </c>
      <c r="DG20">
        <v>15</v>
      </c>
      <c r="DH20">
        <v>1595606760.5999999</v>
      </c>
      <c r="DI20" t="s">
        <v>303</v>
      </c>
      <c r="DJ20">
        <v>18</v>
      </c>
      <c r="DK20">
        <v>-0.39700000000000002</v>
      </c>
      <c r="DL20">
        <v>0.105</v>
      </c>
      <c r="DM20">
        <v>100</v>
      </c>
      <c r="DN20">
        <v>16</v>
      </c>
      <c r="DO20">
        <v>0.24</v>
      </c>
      <c r="DP20">
        <v>0.02</v>
      </c>
      <c r="DQ20">
        <v>97.142023529411802</v>
      </c>
      <c r="DR20">
        <v>4.5523981900460503E-2</v>
      </c>
      <c r="DS20">
        <v>1.8518444311013901E-2</v>
      </c>
      <c r="DT20">
        <v>1</v>
      </c>
      <c r="DU20">
        <v>20.183499999999999</v>
      </c>
      <c r="DV20">
        <v>0.176814841628952</v>
      </c>
      <c r="DW20">
        <v>2.3272975154651199E-2</v>
      </c>
      <c r="DX20">
        <v>1</v>
      </c>
      <c r="DY20">
        <v>2</v>
      </c>
      <c r="DZ20">
        <v>2</v>
      </c>
      <c r="EA20" t="s">
        <v>293</v>
      </c>
      <c r="EB20">
        <v>1.8668100000000001</v>
      </c>
      <c r="EC20">
        <v>1.8633200000000001</v>
      </c>
      <c r="ED20">
        <v>1.8690199999999999</v>
      </c>
      <c r="EE20">
        <v>1.8669100000000001</v>
      </c>
      <c r="EF20">
        <v>1.87164</v>
      </c>
      <c r="EG20">
        <v>1.8640300000000001</v>
      </c>
      <c r="EH20">
        <v>1.8656600000000001</v>
      </c>
      <c r="EI20">
        <v>1.86554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-0.39700000000000002</v>
      </c>
      <c r="EX20">
        <v>0.105</v>
      </c>
      <c r="EY20">
        <v>2</v>
      </c>
      <c r="EZ20">
        <v>332.49299999999999</v>
      </c>
      <c r="FA20">
        <v>490.21</v>
      </c>
      <c r="FB20">
        <v>21.898099999999999</v>
      </c>
      <c r="FC20">
        <v>34.0642</v>
      </c>
      <c r="FD20">
        <v>29.9938</v>
      </c>
      <c r="FE20">
        <v>33.985999999999997</v>
      </c>
      <c r="FF20">
        <v>33.979500000000002</v>
      </c>
      <c r="FG20">
        <v>8.1002399999999994</v>
      </c>
      <c r="FH20">
        <v>47.410299999999999</v>
      </c>
      <c r="FI20">
        <v>0</v>
      </c>
      <c r="FJ20">
        <v>22.086099999999998</v>
      </c>
      <c r="FK20">
        <v>100</v>
      </c>
      <c r="FL20">
        <v>16.188199999999998</v>
      </c>
      <c r="FM20">
        <v>100.809</v>
      </c>
      <c r="FN20">
        <v>100.98399999999999</v>
      </c>
    </row>
    <row r="21" spans="1:170" x14ac:dyDescent="0.25">
      <c r="A21">
        <v>5</v>
      </c>
      <c r="B21">
        <v>1595606852.0999999</v>
      </c>
      <c r="C21">
        <v>480</v>
      </c>
      <c r="D21" t="s">
        <v>304</v>
      </c>
      <c r="E21" t="s">
        <v>305</v>
      </c>
      <c r="G21">
        <v>1595606844.0999999</v>
      </c>
      <c r="H21">
        <f t="shared" si="0"/>
        <v>1.0044800939139429E-2</v>
      </c>
      <c r="I21">
        <f t="shared" si="1"/>
        <v>0.42368147905123638</v>
      </c>
      <c r="J21">
        <f t="shared" si="2"/>
        <v>49.6314225806452</v>
      </c>
      <c r="K21">
        <f t="shared" si="3"/>
        <v>47.309251701624262</v>
      </c>
      <c r="L21">
        <f t="shared" si="4"/>
        <v>4.7289379114703936</v>
      </c>
      <c r="M21">
        <f t="shared" si="5"/>
        <v>4.9610574549367223</v>
      </c>
      <c r="N21">
        <f t="shared" si="6"/>
        <v>0.68737066155211601</v>
      </c>
      <c r="O21">
        <f t="shared" si="7"/>
        <v>3.3952434070613453</v>
      </c>
      <c r="P21">
        <f t="shared" si="8"/>
        <v>0.61839247598155123</v>
      </c>
      <c r="Q21">
        <f t="shared" si="9"/>
        <v>0.39211428207678467</v>
      </c>
      <c r="R21">
        <f t="shared" si="10"/>
        <v>353.33858558621887</v>
      </c>
      <c r="S21">
        <f t="shared" si="11"/>
        <v>26.950820110452224</v>
      </c>
      <c r="T21">
        <f t="shared" si="12"/>
        <v>27.013558064516101</v>
      </c>
      <c r="U21">
        <f t="shared" si="13"/>
        <v>3.5820107636987202</v>
      </c>
      <c r="V21">
        <f t="shared" si="14"/>
        <v>54.649287901939246</v>
      </c>
      <c r="W21">
        <f t="shared" si="15"/>
        <v>2.003717970346091</v>
      </c>
      <c r="X21">
        <f t="shared" si="16"/>
        <v>3.6665033475669282</v>
      </c>
      <c r="Y21">
        <f t="shared" si="17"/>
        <v>1.5782927933526292</v>
      </c>
      <c r="Z21">
        <f t="shared" si="18"/>
        <v>-442.97572141604883</v>
      </c>
      <c r="AA21">
        <f t="shared" si="19"/>
        <v>72.775486226031163</v>
      </c>
      <c r="AB21">
        <f t="shared" si="20"/>
        <v>4.6356566513376043</v>
      </c>
      <c r="AC21">
        <f t="shared" si="21"/>
        <v>-12.225992952461169</v>
      </c>
      <c r="AD21">
        <v>-4.1374034750031402E-2</v>
      </c>
      <c r="AE21">
        <v>4.6445978571425503E-2</v>
      </c>
      <c r="AF21">
        <v>3.46784758891862</v>
      </c>
      <c r="AG21">
        <v>149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52685.878054941299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258.87626923076903</v>
      </c>
      <c r="AT21">
        <v>304.03399999999999</v>
      </c>
      <c r="AU21">
        <f t="shared" si="27"/>
        <v>0.14852855525773756</v>
      </c>
      <c r="AV21">
        <v>0.5</v>
      </c>
      <c r="AW21">
        <f t="shared" si="28"/>
        <v>1849.1918126123546</v>
      </c>
      <c r="AX21">
        <f t="shared" si="29"/>
        <v>0.42368147905123638</v>
      </c>
      <c r="AY21">
        <f t="shared" si="30"/>
        <v>137.328894160875</v>
      </c>
      <c r="AZ21">
        <f t="shared" si="31"/>
        <v>0.35632199030371603</v>
      </c>
      <c r="BA21">
        <f t="shared" si="32"/>
        <v>7.6989389058563942E-4</v>
      </c>
      <c r="BB21">
        <f t="shared" si="33"/>
        <v>-1</v>
      </c>
      <c r="BC21" t="s">
        <v>307</v>
      </c>
      <c r="BD21">
        <v>195.7</v>
      </c>
      <c r="BE21">
        <f t="shared" si="34"/>
        <v>108.334</v>
      </c>
      <c r="BF21">
        <f t="shared" si="35"/>
        <v>0.41683802655889163</v>
      </c>
      <c r="BG21">
        <f t="shared" si="36"/>
        <v>1.5535717935615738</v>
      </c>
      <c r="BH21">
        <f t="shared" si="37"/>
        <v>0.1485285552577375</v>
      </c>
      <c r="BI21" t="e">
        <f t="shared" si="38"/>
        <v>#DIV/0!</v>
      </c>
      <c r="BJ21">
        <v>5245</v>
      </c>
      <c r="BK21">
        <v>300</v>
      </c>
      <c r="BL21">
        <v>300</v>
      </c>
      <c r="BM21">
        <v>300</v>
      </c>
      <c r="BN21">
        <v>9872.4</v>
      </c>
      <c r="BO21">
        <v>293.60399999999998</v>
      </c>
      <c r="BP21">
        <v>-6.4026400000000002E-3</v>
      </c>
      <c r="BQ21">
        <v>2.16547</v>
      </c>
      <c r="BR21">
        <f t="shared" si="39"/>
        <v>2200.0080645161302</v>
      </c>
      <c r="BS21">
        <f t="shared" si="40"/>
        <v>1849.1918126123546</v>
      </c>
      <c r="BT21">
        <f t="shared" si="41"/>
        <v>0.84053865185219945</v>
      </c>
      <c r="BU21">
        <f t="shared" si="42"/>
        <v>0.19107730370439896</v>
      </c>
      <c r="BV21">
        <v>0.5</v>
      </c>
      <c r="BW21" t="s">
        <v>281</v>
      </c>
      <c r="BX21">
        <v>1595606844.0999999</v>
      </c>
      <c r="BY21">
        <v>49.6314225806452</v>
      </c>
      <c r="BZ21">
        <v>50.000264516129</v>
      </c>
      <c r="CA21">
        <v>20.0456</v>
      </c>
      <c r="CB21">
        <v>16.108709677419402</v>
      </c>
      <c r="CC21">
        <v>500.06203225806502</v>
      </c>
      <c r="CD21">
        <v>99.758035483870998</v>
      </c>
      <c r="CE21">
        <v>0.19995880645161301</v>
      </c>
      <c r="CF21">
        <v>27.411141935483901</v>
      </c>
      <c r="CG21">
        <v>27.013558064516101</v>
      </c>
      <c r="CH21">
        <v>999.9</v>
      </c>
      <c r="CI21">
        <v>10001.750322580599</v>
      </c>
      <c r="CJ21">
        <v>0</v>
      </c>
      <c r="CK21">
        <v>259.15612903225798</v>
      </c>
      <c r="CL21">
        <v>2200.0080645161302</v>
      </c>
      <c r="CM21">
        <v>0.98200283870967797</v>
      </c>
      <c r="CN21">
        <v>1.7997419354838701E-2</v>
      </c>
      <c r="CO21">
        <v>0</v>
      </c>
      <c r="CP21">
        <v>258.86961290322603</v>
      </c>
      <c r="CQ21">
        <v>5.00054</v>
      </c>
      <c r="CR21">
        <v>7881.4567741935498</v>
      </c>
      <c r="CS21">
        <v>20590.622580645198</v>
      </c>
      <c r="CT21">
        <v>49.816193548387098</v>
      </c>
      <c r="CU21">
        <v>51.701225806451603</v>
      </c>
      <c r="CV21">
        <v>50.174999999999997</v>
      </c>
      <c r="CW21">
        <v>50.562258064516101</v>
      </c>
      <c r="CX21">
        <v>51.082322580645098</v>
      </c>
      <c r="CY21">
        <v>2155.50677419355</v>
      </c>
      <c r="CZ21">
        <v>39.501290322580601</v>
      </c>
      <c r="DA21">
        <v>0</v>
      </c>
      <c r="DB21">
        <v>119.10000014305101</v>
      </c>
      <c r="DC21">
        <v>258.87626923076903</v>
      </c>
      <c r="DD21">
        <v>-0.95750428273978005</v>
      </c>
      <c r="DE21">
        <v>-6.3661538715574899</v>
      </c>
      <c r="DF21">
        <v>7881.3773076923098</v>
      </c>
      <c r="DG21">
        <v>15</v>
      </c>
      <c r="DH21">
        <v>1595606881.0999999</v>
      </c>
      <c r="DI21" t="s">
        <v>308</v>
      </c>
      <c r="DJ21">
        <v>19</v>
      </c>
      <c r="DK21">
        <v>-0.35799999999999998</v>
      </c>
      <c r="DL21">
        <v>0.10100000000000001</v>
      </c>
      <c r="DM21">
        <v>50</v>
      </c>
      <c r="DN21">
        <v>16</v>
      </c>
      <c r="DO21">
        <v>0.27</v>
      </c>
      <c r="DP21">
        <v>0.02</v>
      </c>
      <c r="DQ21">
        <v>49.593286274509801</v>
      </c>
      <c r="DR21">
        <v>-2.8229864253413599E-2</v>
      </c>
      <c r="DS21">
        <v>7.2280775956381996E-3</v>
      </c>
      <c r="DT21">
        <v>1</v>
      </c>
      <c r="DU21">
        <v>20.047107843137301</v>
      </c>
      <c r="DV21">
        <v>3.5332126696829898E-2</v>
      </c>
      <c r="DW21">
        <v>5.71203899370374E-3</v>
      </c>
      <c r="DX21">
        <v>1</v>
      </c>
      <c r="DY21">
        <v>2</v>
      </c>
      <c r="DZ21">
        <v>2</v>
      </c>
      <c r="EA21" t="s">
        <v>293</v>
      </c>
      <c r="EB21">
        <v>1.86677</v>
      </c>
      <c r="EC21">
        <v>1.8632899999999999</v>
      </c>
      <c r="ED21">
        <v>1.8689899999999999</v>
      </c>
      <c r="EE21">
        <v>1.8669</v>
      </c>
      <c r="EF21">
        <v>1.8716200000000001</v>
      </c>
      <c r="EG21">
        <v>1.8640099999999999</v>
      </c>
      <c r="EH21">
        <v>1.86561</v>
      </c>
      <c r="EI21">
        <v>1.8655299999999999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-0.35799999999999998</v>
      </c>
      <c r="EX21">
        <v>0.10100000000000001</v>
      </c>
      <c r="EY21">
        <v>2</v>
      </c>
      <c r="EZ21">
        <v>332.97399999999999</v>
      </c>
      <c r="FA21">
        <v>488.99</v>
      </c>
      <c r="FB21">
        <v>22.328199999999999</v>
      </c>
      <c r="FC21">
        <v>34.199199999999998</v>
      </c>
      <c r="FD21">
        <v>30.000599999999999</v>
      </c>
      <c r="FE21">
        <v>34.135100000000001</v>
      </c>
      <c r="FF21">
        <v>34.128999999999998</v>
      </c>
      <c r="FG21">
        <v>5.6618700000000004</v>
      </c>
      <c r="FH21">
        <v>47.880400000000002</v>
      </c>
      <c r="FI21">
        <v>0</v>
      </c>
      <c r="FJ21">
        <v>22.313099999999999</v>
      </c>
      <c r="FK21">
        <v>50</v>
      </c>
      <c r="FL21">
        <v>16.214600000000001</v>
      </c>
      <c r="FM21">
        <v>100.779</v>
      </c>
      <c r="FN21">
        <v>100.958</v>
      </c>
    </row>
    <row r="22" spans="1:170" x14ac:dyDescent="0.25">
      <c r="A22">
        <v>6</v>
      </c>
      <c r="B22">
        <v>1595606975.0999999</v>
      </c>
      <c r="C22">
        <v>603</v>
      </c>
      <c r="D22" t="s">
        <v>309</v>
      </c>
      <c r="E22" t="s">
        <v>310</v>
      </c>
      <c r="G22">
        <v>1595606967.0999999</v>
      </c>
      <c r="H22">
        <f t="shared" si="0"/>
        <v>9.9521606793429151E-3</v>
      </c>
      <c r="I22">
        <f t="shared" si="1"/>
        <v>34.704973229260887</v>
      </c>
      <c r="J22">
        <f t="shared" si="2"/>
        <v>384.59296774193598</v>
      </c>
      <c r="K22">
        <f t="shared" si="3"/>
        <v>288.63089384419828</v>
      </c>
      <c r="L22">
        <f t="shared" si="4"/>
        <v>28.85123146830129</v>
      </c>
      <c r="M22">
        <f t="shared" si="5"/>
        <v>38.443496417237604</v>
      </c>
      <c r="N22">
        <f t="shared" si="6"/>
        <v>0.69611455676030043</v>
      </c>
      <c r="O22">
        <f t="shared" si="7"/>
        <v>3.3853029173312077</v>
      </c>
      <c r="P22">
        <f t="shared" si="8"/>
        <v>0.62528175186316626</v>
      </c>
      <c r="Q22">
        <f t="shared" si="9"/>
        <v>0.39656280554806245</v>
      </c>
      <c r="R22">
        <f t="shared" si="10"/>
        <v>353.33655673574947</v>
      </c>
      <c r="S22">
        <f t="shared" si="11"/>
        <v>27.057052019993378</v>
      </c>
      <c r="T22">
        <f t="shared" si="12"/>
        <v>27.007941935483899</v>
      </c>
      <c r="U22">
        <f t="shared" si="13"/>
        <v>3.5808295300592681</v>
      </c>
      <c r="V22">
        <f t="shared" si="14"/>
        <v>55.209922977099311</v>
      </c>
      <c r="W22">
        <f t="shared" si="15"/>
        <v>2.0345431533726215</v>
      </c>
      <c r="X22">
        <f t="shared" si="16"/>
        <v>3.6851041328504217</v>
      </c>
      <c r="Y22">
        <f t="shared" si="17"/>
        <v>1.5462863766866466</v>
      </c>
      <c r="Z22">
        <f t="shared" si="18"/>
        <v>-438.89028595902255</v>
      </c>
      <c r="AA22">
        <f t="shared" si="19"/>
        <v>89.365557341445594</v>
      </c>
      <c r="AB22">
        <f t="shared" si="20"/>
        <v>5.7114343298993084</v>
      </c>
      <c r="AC22">
        <f t="shared" si="21"/>
        <v>9.5232624480718187</v>
      </c>
      <c r="AD22">
        <v>-4.1220137947699201E-2</v>
      </c>
      <c r="AE22">
        <v>4.6273215928707201E-2</v>
      </c>
      <c r="AF22">
        <v>3.4576370372645902</v>
      </c>
      <c r="AG22">
        <v>150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52482.732186982714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256.07680769230802</v>
      </c>
      <c r="AT22">
        <v>347.21100000000001</v>
      </c>
      <c r="AU22">
        <f t="shared" si="27"/>
        <v>0.26247495703676438</v>
      </c>
      <c r="AV22">
        <v>0.5</v>
      </c>
      <c r="AW22">
        <f t="shared" si="28"/>
        <v>1849.181477128488</v>
      </c>
      <c r="AX22">
        <f t="shared" si="29"/>
        <v>34.704973229260887</v>
      </c>
      <c r="AY22">
        <f t="shared" si="30"/>
        <v>242.6819143812402</v>
      </c>
      <c r="AZ22">
        <f t="shared" si="31"/>
        <v>0.48515456019538555</v>
      </c>
      <c r="BA22">
        <f t="shared" si="32"/>
        <v>1.9308528487266462E-2</v>
      </c>
      <c r="BB22">
        <f t="shared" si="33"/>
        <v>-1</v>
      </c>
      <c r="BC22" t="s">
        <v>312</v>
      </c>
      <c r="BD22">
        <v>178.76</v>
      </c>
      <c r="BE22">
        <f t="shared" si="34"/>
        <v>168.45100000000002</v>
      </c>
      <c r="BF22">
        <f t="shared" si="35"/>
        <v>0.54101306794077786</v>
      </c>
      <c r="BG22">
        <f t="shared" si="36"/>
        <v>1.9423304989930634</v>
      </c>
      <c r="BH22">
        <f t="shared" si="37"/>
        <v>0.26247495703676432</v>
      </c>
      <c r="BI22" t="e">
        <f t="shared" si="38"/>
        <v>#DIV/0!</v>
      </c>
      <c r="BJ22">
        <v>5247</v>
      </c>
      <c r="BK22">
        <v>300</v>
      </c>
      <c r="BL22">
        <v>300</v>
      </c>
      <c r="BM22">
        <v>300</v>
      </c>
      <c r="BN22">
        <v>9871.9699999999993</v>
      </c>
      <c r="BO22">
        <v>320.64999999999998</v>
      </c>
      <c r="BP22">
        <v>-6.4024599999999996E-3</v>
      </c>
      <c r="BQ22">
        <v>0.704681</v>
      </c>
      <c r="BR22">
        <f t="shared" si="39"/>
        <v>2199.99580645161</v>
      </c>
      <c r="BS22">
        <f t="shared" si="40"/>
        <v>1849.181477128488</v>
      </c>
      <c r="BT22">
        <f t="shared" si="41"/>
        <v>0.84053863725815325</v>
      </c>
      <c r="BU22">
        <f t="shared" si="42"/>
        <v>0.19107727451630663</v>
      </c>
      <c r="BV22">
        <v>0.5</v>
      </c>
      <c r="BW22" t="s">
        <v>281</v>
      </c>
      <c r="BX22">
        <v>1595606967.0999999</v>
      </c>
      <c r="BY22">
        <v>384.59296774193598</v>
      </c>
      <c r="BZ22">
        <v>400.00348387096801</v>
      </c>
      <c r="CA22">
        <v>20.353793548387099</v>
      </c>
      <c r="CB22">
        <v>16.454583870967699</v>
      </c>
      <c r="CC22">
        <v>500.08064516129002</v>
      </c>
      <c r="CD22">
        <v>99.758712903225799</v>
      </c>
      <c r="CE22">
        <v>0.20020377419354801</v>
      </c>
      <c r="CF22">
        <v>27.497593548387101</v>
      </c>
      <c r="CG22">
        <v>27.007941935483899</v>
      </c>
      <c r="CH22">
        <v>999.9</v>
      </c>
      <c r="CI22">
        <v>9964.4796774193492</v>
      </c>
      <c r="CJ22">
        <v>0</v>
      </c>
      <c r="CK22">
        <v>262.359193548387</v>
      </c>
      <c r="CL22">
        <v>2199.99580645161</v>
      </c>
      <c r="CM22">
        <v>0.98200412903225798</v>
      </c>
      <c r="CN22">
        <v>1.79960580645161E-2</v>
      </c>
      <c r="CO22">
        <v>0</v>
      </c>
      <c r="CP22">
        <v>256.061225806452</v>
      </c>
      <c r="CQ22">
        <v>5.00054</v>
      </c>
      <c r="CR22">
        <v>7841.47129032258</v>
      </c>
      <c r="CS22">
        <v>20590.5193548387</v>
      </c>
      <c r="CT22">
        <v>49.767935483871</v>
      </c>
      <c r="CU22">
        <v>51.745870967741901</v>
      </c>
      <c r="CV22">
        <v>50.137</v>
      </c>
      <c r="CW22">
        <v>50.642870967741899</v>
      </c>
      <c r="CX22">
        <v>51.0741935483871</v>
      </c>
      <c r="CY22">
        <v>2155.49580645161</v>
      </c>
      <c r="CZ22">
        <v>39.5</v>
      </c>
      <c r="DA22">
        <v>0</v>
      </c>
      <c r="DB22">
        <v>122.60000014305101</v>
      </c>
      <c r="DC22">
        <v>256.07680769230802</v>
      </c>
      <c r="DD22">
        <v>0.87360684136904998</v>
      </c>
      <c r="DE22">
        <v>18.454700850774898</v>
      </c>
      <c r="DF22">
        <v>7841.6215384615398</v>
      </c>
      <c r="DG22">
        <v>15</v>
      </c>
      <c r="DH22">
        <v>1595607000.7</v>
      </c>
      <c r="DI22" t="s">
        <v>313</v>
      </c>
      <c r="DJ22">
        <v>20</v>
      </c>
      <c r="DK22">
        <v>-0.377</v>
      </c>
      <c r="DL22">
        <v>0.104</v>
      </c>
      <c r="DM22">
        <v>400</v>
      </c>
      <c r="DN22">
        <v>16</v>
      </c>
      <c r="DO22">
        <v>0.18</v>
      </c>
      <c r="DP22">
        <v>0.02</v>
      </c>
      <c r="DQ22">
        <v>384.58888235294103</v>
      </c>
      <c r="DR22">
        <v>0.24917647058808401</v>
      </c>
      <c r="DS22">
        <v>3.6775229866291399E-2</v>
      </c>
      <c r="DT22">
        <v>1</v>
      </c>
      <c r="DU22">
        <v>20.3361647058824</v>
      </c>
      <c r="DV22">
        <v>0.15693502262442</v>
      </c>
      <c r="DW22">
        <v>1.9455820476240299E-2</v>
      </c>
      <c r="DX22">
        <v>1</v>
      </c>
      <c r="DY22">
        <v>2</v>
      </c>
      <c r="DZ22">
        <v>2</v>
      </c>
      <c r="EA22" t="s">
        <v>293</v>
      </c>
      <c r="EB22">
        <v>1.86677</v>
      </c>
      <c r="EC22">
        <v>1.8632899999999999</v>
      </c>
      <c r="ED22">
        <v>1.8689199999999999</v>
      </c>
      <c r="EE22">
        <v>1.8668800000000001</v>
      </c>
      <c r="EF22">
        <v>1.8715900000000001</v>
      </c>
      <c r="EG22">
        <v>1.8640099999999999</v>
      </c>
      <c r="EH22">
        <v>1.8655999999999999</v>
      </c>
      <c r="EI22">
        <v>1.86554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-0.377</v>
      </c>
      <c r="EX22">
        <v>0.104</v>
      </c>
      <c r="EY22">
        <v>2</v>
      </c>
      <c r="EZ22">
        <v>332.23099999999999</v>
      </c>
      <c r="FA22">
        <v>488.84899999999999</v>
      </c>
      <c r="FB22">
        <v>22.4758</v>
      </c>
      <c r="FC22">
        <v>34.3401</v>
      </c>
      <c r="FD22">
        <v>30.001300000000001</v>
      </c>
      <c r="FE22">
        <v>34.287399999999998</v>
      </c>
      <c r="FF22">
        <v>34.284599999999998</v>
      </c>
      <c r="FG22">
        <v>22.032</v>
      </c>
      <c r="FH22">
        <v>47.374099999999999</v>
      </c>
      <c r="FI22">
        <v>0</v>
      </c>
      <c r="FJ22">
        <v>22.428599999999999</v>
      </c>
      <c r="FK22">
        <v>400</v>
      </c>
      <c r="FL22">
        <v>16.452400000000001</v>
      </c>
      <c r="FM22">
        <v>100.755</v>
      </c>
      <c r="FN22">
        <v>100.93300000000001</v>
      </c>
    </row>
    <row r="23" spans="1:170" x14ac:dyDescent="0.25">
      <c r="A23">
        <v>7</v>
      </c>
      <c r="B23">
        <v>1595607092.0999999</v>
      </c>
      <c r="C23">
        <v>720</v>
      </c>
      <c r="D23" t="s">
        <v>314</v>
      </c>
      <c r="E23" t="s">
        <v>315</v>
      </c>
      <c r="G23">
        <v>1595607084.1322601</v>
      </c>
      <c r="H23">
        <f t="shared" si="0"/>
        <v>9.5731417507080585E-3</v>
      </c>
      <c r="I23">
        <f t="shared" si="1"/>
        <v>35.345874202669144</v>
      </c>
      <c r="J23">
        <f t="shared" si="2"/>
        <v>384.395193548387</v>
      </c>
      <c r="K23">
        <f t="shared" si="3"/>
        <v>282.33497310806166</v>
      </c>
      <c r="L23">
        <f t="shared" si="4"/>
        <v>28.220747172711551</v>
      </c>
      <c r="M23">
        <f t="shared" si="5"/>
        <v>38.422160216696184</v>
      </c>
      <c r="N23">
        <f t="shared" si="6"/>
        <v>0.65959845340972156</v>
      </c>
      <c r="O23">
        <f t="shared" si="7"/>
        <v>3.3951007185593838</v>
      </c>
      <c r="P23">
        <f t="shared" si="8"/>
        <v>0.59580277322347197</v>
      </c>
      <c r="Q23">
        <f t="shared" si="9"/>
        <v>0.37759300571606713</v>
      </c>
      <c r="R23">
        <f t="shared" si="10"/>
        <v>353.33765601073117</v>
      </c>
      <c r="S23">
        <f t="shared" si="11"/>
        <v>27.052094646986049</v>
      </c>
      <c r="T23">
        <f t="shared" si="12"/>
        <v>27.022183870967702</v>
      </c>
      <c r="U23">
        <f t="shared" si="13"/>
        <v>3.5838256815653113</v>
      </c>
      <c r="V23">
        <f t="shared" si="14"/>
        <v>55.188407987802393</v>
      </c>
      <c r="W23">
        <f t="shared" si="15"/>
        <v>2.022830600939395</v>
      </c>
      <c r="X23">
        <f t="shared" si="16"/>
        <v>3.6653179076781419</v>
      </c>
      <c r="Y23">
        <f t="shared" si="17"/>
        <v>1.5609950806259163</v>
      </c>
      <c r="Z23">
        <f t="shared" si="18"/>
        <v>-422.17555120622541</v>
      </c>
      <c r="AA23">
        <f t="shared" si="19"/>
        <v>70.182754104186287</v>
      </c>
      <c r="AB23">
        <f t="shared" si="20"/>
        <v>4.4707617351723403</v>
      </c>
      <c r="AC23">
        <f t="shared" si="21"/>
        <v>5.815620643864392</v>
      </c>
      <c r="AD23">
        <v>-4.13718242341558E-2</v>
      </c>
      <c r="AE23">
        <v>4.6443497073703301E-2</v>
      </c>
      <c r="AF23">
        <v>3.4677010213486001</v>
      </c>
      <c r="AG23">
        <v>148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52684.078055117752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258.03165384615397</v>
      </c>
      <c r="AT23">
        <v>355.27</v>
      </c>
      <c r="AU23">
        <f t="shared" si="27"/>
        <v>0.27370266601133231</v>
      </c>
      <c r="AV23">
        <v>0.5</v>
      </c>
      <c r="AW23">
        <f t="shared" si="28"/>
        <v>1849.1871771284877</v>
      </c>
      <c r="AX23">
        <f t="shared" si="29"/>
        <v>35.345874202669144</v>
      </c>
      <c r="AY23">
        <f t="shared" si="30"/>
        <v>253.06373016701843</v>
      </c>
      <c r="AZ23">
        <f t="shared" si="31"/>
        <v>0.49503194753286228</v>
      </c>
      <c r="BA23">
        <f t="shared" si="32"/>
        <v>1.9655054205550394E-2</v>
      </c>
      <c r="BB23">
        <f t="shared" si="33"/>
        <v>-1</v>
      </c>
      <c r="BC23" t="s">
        <v>317</v>
      </c>
      <c r="BD23">
        <v>179.4</v>
      </c>
      <c r="BE23">
        <f t="shared" si="34"/>
        <v>175.86999999999998</v>
      </c>
      <c r="BF23">
        <f t="shared" si="35"/>
        <v>0.5528989944495708</v>
      </c>
      <c r="BG23">
        <f t="shared" si="36"/>
        <v>1.9803232998885172</v>
      </c>
      <c r="BH23">
        <f t="shared" si="37"/>
        <v>0.27370266601133225</v>
      </c>
      <c r="BI23" t="e">
        <f t="shared" si="38"/>
        <v>#DIV/0!</v>
      </c>
      <c r="BJ23">
        <v>5249</v>
      </c>
      <c r="BK23">
        <v>300</v>
      </c>
      <c r="BL23">
        <v>300</v>
      </c>
      <c r="BM23">
        <v>300</v>
      </c>
      <c r="BN23">
        <v>9871.91</v>
      </c>
      <c r="BO23">
        <v>326.95</v>
      </c>
      <c r="BP23">
        <v>-6.4024499999999996E-3</v>
      </c>
      <c r="BQ23">
        <v>0.45138499999999998</v>
      </c>
      <c r="BR23">
        <f t="shared" si="39"/>
        <v>2200.0025806451599</v>
      </c>
      <c r="BS23">
        <f t="shared" si="40"/>
        <v>1849.1871771284877</v>
      </c>
      <c r="BT23">
        <f t="shared" si="41"/>
        <v>0.84053863999841583</v>
      </c>
      <c r="BU23">
        <f t="shared" si="42"/>
        <v>0.19107727999683186</v>
      </c>
      <c r="BV23">
        <v>0.5</v>
      </c>
      <c r="BW23" t="s">
        <v>281</v>
      </c>
      <c r="BX23">
        <v>1595607084.1322601</v>
      </c>
      <c r="BY23">
        <v>384.395193548387</v>
      </c>
      <c r="BZ23">
        <v>400.00374193548402</v>
      </c>
      <c r="CA23">
        <v>20.237445161290299</v>
      </c>
      <c r="CB23">
        <v>16.486103225806399</v>
      </c>
      <c r="CC23">
        <v>500.05603225806499</v>
      </c>
      <c r="CD23">
        <v>99.754851612903195</v>
      </c>
      <c r="CE23">
        <v>0.19998877419354799</v>
      </c>
      <c r="CF23">
        <v>27.405619354838699</v>
      </c>
      <c r="CG23">
        <v>27.022183870967702</v>
      </c>
      <c r="CH23">
        <v>999.9</v>
      </c>
      <c r="CI23">
        <v>10001.5351612903</v>
      </c>
      <c r="CJ23">
        <v>0</v>
      </c>
      <c r="CK23">
        <v>264.549193548387</v>
      </c>
      <c r="CL23">
        <v>2200.0025806451599</v>
      </c>
      <c r="CM23">
        <v>0.98200438709677396</v>
      </c>
      <c r="CN23">
        <v>1.7995774193548399E-2</v>
      </c>
      <c r="CO23">
        <v>0</v>
      </c>
      <c r="CP23">
        <v>257.994741935484</v>
      </c>
      <c r="CQ23">
        <v>5.00054</v>
      </c>
      <c r="CR23">
        <v>7896.3270967741901</v>
      </c>
      <c r="CS23">
        <v>20590.583870967701</v>
      </c>
      <c r="CT23">
        <v>49.806064516128998</v>
      </c>
      <c r="CU23">
        <v>51.906870967741902</v>
      </c>
      <c r="CV23">
        <v>50.231709677419303</v>
      </c>
      <c r="CW23">
        <v>50.751903225806402</v>
      </c>
      <c r="CX23">
        <v>51.158903225806398</v>
      </c>
      <c r="CY23">
        <v>2155.50225806452</v>
      </c>
      <c r="CZ23">
        <v>39.500322580645197</v>
      </c>
      <c r="DA23">
        <v>0</v>
      </c>
      <c r="DB23">
        <v>116.299999952316</v>
      </c>
      <c r="DC23">
        <v>258.03165384615397</v>
      </c>
      <c r="DD23">
        <v>2.36557264187954</v>
      </c>
      <c r="DE23">
        <v>40.408205103013103</v>
      </c>
      <c r="DF23">
        <v>7896.5769230769201</v>
      </c>
      <c r="DG23">
        <v>15</v>
      </c>
      <c r="DH23">
        <v>1595607118.5999999</v>
      </c>
      <c r="DI23" t="s">
        <v>318</v>
      </c>
      <c r="DJ23">
        <v>21</v>
      </c>
      <c r="DK23">
        <v>-0.379</v>
      </c>
      <c r="DL23">
        <v>0.104</v>
      </c>
      <c r="DM23">
        <v>400</v>
      </c>
      <c r="DN23">
        <v>17</v>
      </c>
      <c r="DO23">
        <v>0.13</v>
      </c>
      <c r="DP23">
        <v>0.02</v>
      </c>
      <c r="DQ23">
        <v>384.410666666667</v>
      </c>
      <c r="DR23">
        <v>-0.145989094919213</v>
      </c>
      <c r="DS23">
        <v>1.98510795544534E-2</v>
      </c>
      <c r="DT23">
        <v>1</v>
      </c>
      <c r="DU23">
        <v>20.246098039215699</v>
      </c>
      <c r="DV23">
        <v>-0.102423203081875</v>
      </c>
      <c r="DW23">
        <v>1.2608485940982401E-2</v>
      </c>
      <c r="DX23">
        <v>1</v>
      </c>
      <c r="DY23">
        <v>2</v>
      </c>
      <c r="DZ23">
        <v>2</v>
      </c>
      <c r="EA23" t="s">
        <v>293</v>
      </c>
      <c r="EB23">
        <v>1.86676</v>
      </c>
      <c r="EC23">
        <v>1.8632500000000001</v>
      </c>
      <c r="ED23">
        <v>1.8689</v>
      </c>
      <c r="EE23">
        <v>1.8668100000000001</v>
      </c>
      <c r="EF23">
        <v>1.87151</v>
      </c>
      <c r="EG23">
        <v>1.8640099999999999</v>
      </c>
      <c r="EH23">
        <v>1.86554</v>
      </c>
      <c r="EI23">
        <v>1.86551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-0.379</v>
      </c>
      <c r="EX23">
        <v>0.104</v>
      </c>
      <c r="EY23">
        <v>2</v>
      </c>
      <c r="EZ23">
        <v>333.71699999999998</v>
      </c>
      <c r="FA23">
        <v>487.56700000000001</v>
      </c>
      <c r="FB23">
        <v>21.215699999999998</v>
      </c>
      <c r="FC23">
        <v>34.505899999999997</v>
      </c>
      <c r="FD23">
        <v>30.000499999999999</v>
      </c>
      <c r="FE23">
        <v>34.444800000000001</v>
      </c>
      <c r="FF23">
        <v>34.441600000000001</v>
      </c>
      <c r="FG23">
        <v>22.0259</v>
      </c>
      <c r="FH23">
        <v>47.653399999999998</v>
      </c>
      <c r="FI23">
        <v>0</v>
      </c>
      <c r="FJ23">
        <v>21.226400000000002</v>
      </c>
      <c r="FK23">
        <v>400</v>
      </c>
      <c r="FL23">
        <v>16.533200000000001</v>
      </c>
      <c r="FM23">
        <v>100.726</v>
      </c>
      <c r="FN23">
        <v>100.901</v>
      </c>
    </row>
    <row r="24" spans="1:170" x14ac:dyDescent="0.25">
      <c r="A24">
        <v>8</v>
      </c>
      <c r="B24">
        <v>1595607228.7</v>
      </c>
      <c r="C24">
        <v>856.60000014305103</v>
      </c>
      <c r="D24" t="s">
        <v>319</v>
      </c>
      <c r="E24" t="s">
        <v>320</v>
      </c>
      <c r="G24">
        <v>1595607220.6774199</v>
      </c>
      <c r="H24">
        <f t="shared" si="0"/>
        <v>8.2845557682126245E-3</v>
      </c>
      <c r="I24">
        <f t="shared" si="1"/>
        <v>40.55254009024091</v>
      </c>
      <c r="J24">
        <f t="shared" si="2"/>
        <v>482.13835483870997</v>
      </c>
      <c r="K24">
        <f t="shared" si="3"/>
        <v>342.53066787182303</v>
      </c>
      <c r="L24">
        <f t="shared" si="4"/>
        <v>34.23727990228015</v>
      </c>
      <c r="M24">
        <f t="shared" si="5"/>
        <v>48.191614224787706</v>
      </c>
      <c r="N24">
        <f t="shared" si="6"/>
        <v>0.54192920984232951</v>
      </c>
      <c r="O24">
        <f t="shared" si="7"/>
        <v>3.397230346413993</v>
      </c>
      <c r="P24">
        <f t="shared" si="8"/>
        <v>0.49808022168590194</v>
      </c>
      <c r="Q24">
        <f t="shared" si="9"/>
        <v>0.31494360590008974</v>
      </c>
      <c r="R24">
        <f t="shared" si="10"/>
        <v>353.33480629049899</v>
      </c>
      <c r="S24">
        <f t="shared" si="11"/>
        <v>26.991336485435589</v>
      </c>
      <c r="T24">
        <f t="shared" si="12"/>
        <v>27.0579161290323</v>
      </c>
      <c r="U24">
        <f t="shared" si="13"/>
        <v>3.5913525009881302</v>
      </c>
      <c r="V24">
        <f t="shared" si="14"/>
        <v>55.012247149769344</v>
      </c>
      <c r="W24">
        <f t="shared" si="15"/>
        <v>1.9751150765551031</v>
      </c>
      <c r="X24">
        <f t="shared" si="16"/>
        <v>3.5903188451435297</v>
      </c>
      <c r="Y24">
        <f t="shared" si="17"/>
        <v>1.6162374244330271</v>
      </c>
      <c r="Z24">
        <f t="shared" si="18"/>
        <v>-365.34890937817676</v>
      </c>
      <c r="AA24">
        <f t="shared" si="19"/>
        <v>-0.89803307517850661</v>
      </c>
      <c r="AB24">
        <f t="shared" si="20"/>
        <v>-5.7079895131580995E-2</v>
      </c>
      <c r="AC24">
        <f t="shared" si="21"/>
        <v>-12.969216057987882</v>
      </c>
      <c r="AD24">
        <v>-4.1404820576906198E-2</v>
      </c>
      <c r="AE24">
        <v>4.6480538359078998E-2</v>
      </c>
      <c r="AF24">
        <v>3.4698885520034599</v>
      </c>
      <c r="AG24">
        <v>148</v>
      </c>
      <c r="AH24">
        <v>30</v>
      </c>
      <c r="AI24">
        <f t="shared" si="22"/>
        <v>1</v>
      </c>
      <c r="AJ24">
        <f t="shared" si="23"/>
        <v>0</v>
      </c>
      <c r="AK24">
        <f t="shared" si="24"/>
        <v>52786.311870447556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265.83834615384598</v>
      </c>
      <c r="AT24">
        <v>375.39800000000002</v>
      </c>
      <c r="AU24">
        <f t="shared" si="27"/>
        <v>0.29184932750348713</v>
      </c>
      <c r="AV24">
        <v>0.5</v>
      </c>
      <c r="AW24">
        <f t="shared" si="28"/>
        <v>1849.1722642252657</v>
      </c>
      <c r="AX24">
        <f t="shared" si="29"/>
        <v>40.55254009024091</v>
      </c>
      <c r="AY24">
        <f t="shared" si="30"/>
        <v>269.8398408761222</v>
      </c>
      <c r="AZ24">
        <f t="shared" si="31"/>
        <v>0.51635331035327836</v>
      </c>
      <c r="BA24">
        <f t="shared" si="32"/>
        <v>2.2470886511836083E-2</v>
      </c>
      <c r="BB24">
        <f t="shared" si="33"/>
        <v>-1</v>
      </c>
      <c r="BC24" t="s">
        <v>322</v>
      </c>
      <c r="BD24">
        <v>181.56</v>
      </c>
      <c r="BE24">
        <f t="shared" si="34"/>
        <v>193.83800000000002</v>
      </c>
      <c r="BF24">
        <f t="shared" si="35"/>
        <v>0.56521246528623925</v>
      </c>
      <c r="BG24">
        <f t="shared" si="36"/>
        <v>2.0676250275391057</v>
      </c>
      <c r="BH24">
        <f t="shared" si="37"/>
        <v>0.29184932750348708</v>
      </c>
      <c r="BI24" t="e">
        <f t="shared" si="38"/>
        <v>#DIV/0!</v>
      </c>
      <c r="BJ24">
        <v>5251</v>
      </c>
      <c r="BK24">
        <v>300</v>
      </c>
      <c r="BL24">
        <v>300</v>
      </c>
      <c r="BM24">
        <v>300</v>
      </c>
      <c r="BN24">
        <v>9872.5</v>
      </c>
      <c r="BO24">
        <v>343.42200000000003</v>
      </c>
      <c r="BP24">
        <v>-6.4029300000000003E-3</v>
      </c>
      <c r="BQ24">
        <v>0.78640699999999997</v>
      </c>
      <c r="BR24">
        <f t="shared" si="39"/>
        <v>2199.9848387096799</v>
      </c>
      <c r="BS24">
        <f t="shared" si="40"/>
        <v>1849.1722642252657</v>
      </c>
      <c r="BT24">
        <f t="shared" si="41"/>
        <v>0.84053863994345956</v>
      </c>
      <c r="BU24">
        <f t="shared" si="42"/>
        <v>0.19107727988691908</v>
      </c>
      <c r="BV24">
        <v>0.5</v>
      </c>
      <c r="BW24" t="s">
        <v>281</v>
      </c>
      <c r="BX24">
        <v>1595607220.6774199</v>
      </c>
      <c r="BY24">
        <v>482.13835483870997</v>
      </c>
      <c r="BZ24">
        <v>499.95487096774201</v>
      </c>
      <c r="CA24">
        <v>19.760258064516101</v>
      </c>
      <c r="CB24">
        <v>16.512322580645201</v>
      </c>
      <c r="CC24">
        <v>500.062322580645</v>
      </c>
      <c r="CD24">
        <v>99.753935483871004</v>
      </c>
      <c r="CE24">
        <v>0.199975548387097</v>
      </c>
      <c r="CF24">
        <v>27.053012903225799</v>
      </c>
      <c r="CG24">
        <v>27.0579161290323</v>
      </c>
      <c r="CH24">
        <v>999.9</v>
      </c>
      <c r="CI24">
        <v>10009.6038709677</v>
      </c>
      <c r="CJ24">
        <v>0</v>
      </c>
      <c r="CK24">
        <v>268.06241935483899</v>
      </c>
      <c r="CL24">
        <v>2199.9848387096799</v>
      </c>
      <c r="CM24">
        <v>0.98200354838709702</v>
      </c>
      <c r="CN24">
        <v>1.79966741935484E-2</v>
      </c>
      <c r="CO24">
        <v>0</v>
      </c>
      <c r="CP24">
        <v>265.831677419355</v>
      </c>
      <c r="CQ24">
        <v>5.00054</v>
      </c>
      <c r="CR24">
        <v>8078.9477419354898</v>
      </c>
      <c r="CS24">
        <v>20590.422580645201</v>
      </c>
      <c r="CT24">
        <v>49.846548387096803</v>
      </c>
      <c r="CU24">
        <v>51.925129032258099</v>
      </c>
      <c r="CV24">
        <v>50.253935483870997</v>
      </c>
      <c r="CW24">
        <v>50.832322580645098</v>
      </c>
      <c r="CX24">
        <v>51.126741935483899</v>
      </c>
      <c r="CY24">
        <v>2155.4848387096799</v>
      </c>
      <c r="CZ24">
        <v>39.5</v>
      </c>
      <c r="DA24">
        <v>0</v>
      </c>
      <c r="DB24">
        <v>136.10000014305101</v>
      </c>
      <c r="DC24">
        <v>265.83834615384598</v>
      </c>
      <c r="DD24">
        <v>-0.38717950126865402</v>
      </c>
      <c r="DE24">
        <v>-27.4205128015331</v>
      </c>
      <c r="DF24">
        <v>8078.7488461538496</v>
      </c>
      <c r="DG24">
        <v>15</v>
      </c>
      <c r="DH24">
        <v>1595607255.2</v>
      </c>
      <c r="DI24" t="s">
        <v>323</v>
      </c>
      <c r="DJ24">
        <v>22</v>
      </c>
      <c r="DK24">
        <v>-0.32600000000000001</v>
      </c>
      <c r="DL24">
        <v>0.104</v>
      </c>
      <c r="DM24">
        <v>500</v>
      </c>
      <c r="DN24">
        <v>16</v>
      </c>
      <c r="DO24">
        <v>0.13</v>
      </c>
      <c r="DP24">
        <v>0.03</v>
      </c>
      <c r="DQ24">
        <v>482.05705882352902</v>
      </c>
      <c r="DR24">
        <v>0.268961240816878</v>
      </c>
      <c r="DS24">
        <v>3.9139975935906401E-2</v>
      </c>
      <c r="DT24">
        <v>1</v>
      </c>
      <c r="DU24">
        <v>19.764399999999998</v>
      </c>
      <c r="DV24">
        <v>-2.8879743520110201E-2</v>
      </c>
      <c r="DW24">
        <v>1.4170211782495799E-2</v>
      </c>
      <c r="DX24">
        <v>1</v>
      </c>
      <c r="DY24">
        <v>2</v>
      </c>
      <c r="DZ24">
        <v>2</v>
      </c>
      <c r="EA24" t="s">
        <v>293</v>
      </c>
      <c r="EB24">
        <v>1.8667400000000001</v>
      </c>
      <c r="EC24">
        <v>1.8632500000000001</v>
      </c>
      <c r="ED24">
        <v>1.8689</v>
      </c>
      <c r="EE24">
        <v>1.86677</v>
      </c>
      <c r="EF24">
        <v>1.8714999999999999</v>
      </c>
      <c r="EG24">
        <v>1.86398</v>
      </c>
      <c r="EH24">
        <v>1.86554</v>
      </c>
      <c r="EI24">
        <v>1.8654599999999999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-0.32600000000000001</v>
      </c>
      <c r="EX24">
        <v>0.104</v>
      </c>
      <c r="EY24">
        <v>2</v>
      </c>
      <c r="EZ24">
        <v>333.96300000000002</v>
      </c>
      <c r="FA24">
        <v>486.15199999999999</v>
      </c>
      <c r="FB24">
        <v>20.959199999999999</v>
      </c>
      <c r="FC24">
        <v>34.7515</v>
      </c>
      <c r="FD24">
        <v>30.001300000000001</v>
      </c>
      <c r="FE24">
        <v>34.655099999999997</v>
      </c>
      <c r="FF24">
        <v>34.647799999999997</v>
      </c>
      <c r="FG24">
        <v>26.313500000000001</v>
      </c>
      <c r="FH24">
        <v>48.003900000000002</v>
      </c>
      <c r="FI24">
        <v>0</v>
      </c>
      <c r="FJ24">
        <v>20.927299999999999</v>
      </c>
      <c r="FK24">
        <v>500</v>
      </c>
      <c r="FL24">
        <v>16.484300000000001</v>
      </c>
      <c r="FM24">
        <v>100.681</v>
      </c>
      <c r="FN24">
        <v>100.85599999999999</v>
      </c>
    </row>
    <row r="25" spans="1:170" x14ac:dyDescent="0.25">
      <c r="A25">
        <v>9</v>
      </c>
      <c r="B25">
        <v>1595607376.7</v>
      </c>
      <c r="C25">
        <v>1004.60000014305</v>
      </c>
      <c r="D25" t="s">
        <v>324</v>
      </c>
      <c r="E25" t="s">
        <v>325</v>
      </c>
      <c r="G25">
        <v>1595607368.7</v>
      </c>
      <c r="H25">
        <f t="shared" si="0"/>
        <v>7.0037240119790655E-3</v>
      </c>
      <c r="I25">
        <f t="shared" si="1"/>
        <v>43.997360816553545</v>
      </c>
      <c r="J25">
        <f t="shared" si="2"/>
        <v>580.78332258064495</v>
      </c>
      <c r="K25">
        <f t="shared" si="3"/>
        <v>398.11394917111204</v>
      </c>
      <c r="L25">
        <f t="shared" si="4"/>
        <v>39.793215338997172</v>
      </c>
      <c r="M25">
        <f t="shared" si="5"/>
        <v>58.051811218542596</v>
      </c>
      <c r="N25">
        <f t="shared" si="6"/>
        <v>0.44094818850928391</v>
      </c>
      <c r="O25">
        <f t="shared" si="7"/>
        <v>3.3942022524430855</v>
      </c>
      <c r="P25">
        <f t="shared" si="8"/>
        <v>0.41141690661894503</v>
      </c>
      <c r="Q25">
        <f t="shared" si="9"/>
        <v>0.25962383893409047</v>
      </c>
      <c r="R25">
        <f t="shared" si="10"/>
        <v>353.33917772940964</v>
      </c>
      <c r="S25">
        <f t="shared" si="11"/>
        <v>26.872363766767517</v>
      </c>
      <c r="T25">
        <f t="shared" si="12"/>
        <v>27.032019354838699</v>
      </c>
      <c r="U25">
        <f t="shared" si="13"/>
        <v>3.5858961017321769</v>
      </c>
      <c r="V25">
        <f t="shared" si="14"/>
        <v>55.101659093209761</v>
      </c>
      <c r="W25">
        <f t="shared" si="15"/>
        <v>1.9312918805383921</v>
      </c>
      <c r="X25">
        <f t="shared" si="16"/>
        <v>3.504961397389915</v>
      </c>
      <c r="Y25">
        <f t="shared" si="17"/>
        <v>1.6546042211937848</v>
      </c>
      <c r="Z25">
        <f t="shared" si="18"/>
        <v>-308.86422892827682</v>
      </c>
      <c r="AA25">
        <f t="shared" si="19"/>
        <v>-71.040163590167182</v>
      </c>
      <c r="AB25">
        <f t="shared" si="20"/>
        <v>-4.5095919124044865</v>
      </c>
      <c r="AC25">
        <f t="shared" si="21"/>
        <v>-31.074806701438817</v>
      </c>
      <c r="AD25">
        <v>-4.13579062518502E-2</v>
      </c>
      <c r="AE25">
        <v>4.6427872919283103E-2</v>
      </c>
      <c r="AF25">
        <v>3.4667781316119202</v>
      </c>
      <c r="AG25">
        <v>151</v>
      </c>
      <c r="AH25">
        <v>30</v>
      </c>
      <c r="AI25">
        <f t="shared" si="22"/>
        <v>1</v>
      </c>
      <c r="AJ25">
        <f t="shared" si="23"/>
        <v>0</v>
      </c>
      <c r="AK25">
        <f t="shared" si="24"/>
        <v>52800.969442116482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269.41219230769201</v>
      </c>
      <c r="AT25">
        <v>383.233</v>
      </c>
      <c r="AU25">
        <f t="shared" si="27"/>
        <v>0.29700158308994262</v>
      </c>
      <c r="AV25">
        <v>0.5</v>
      </c>
      <c r="AW25">
        <f t="shared" si="28"/>
        <v>1849.1926158380966</v>
      </c>
      <c r="AX25">
        <f t="shared" si="29"/>
        <v>43.997360816553545</v>
      </c>
      <c r="AY25">
        <f t="shared" si="30"/>
        <v>274.60656717107338</v>
      </c>
      <c r="AZ25">
        <f t="shared" si="31"/>
        <v>0.52149214707501701</v>
      </c>
      <c r="BA25">
        <f t="shared" si="32"/>
        <v>2.4333517466572679E-2</v>
      </c>
      <c r="BB25">
        <f t="shared" si="33"/>
        <v>-1</v>
      </c>
      <c r="BC25" t="s">
        <v>327</v>
      </c>
      <c r="BD25">
        <v>183.38</v>
      </c>
      <c r="BE25">
        <f t="shared" si="34"/>
        <v>199.85300000000001</v>
      </c>
      <c r="BF25">
        <f t="shared" si="35"/>
        <v>0.56952263760017607</v>
      </c>
      <c r="BG25">
        <f t="shared" si="36"/>
        <v>2.0898298614898025</v>
      </c>
      <c r="BH25">
        <f t="shared" si="37"/>
        <v>0.29700158308994268</v>
      </c>
      <c r="BI25" t="e">
        <f t="shared" si="38"/>
        <v>#DIV/0!</v>
      </c>
      <c r="BJ25">
        <v>5253</v>
      </c>
      <c r="BK25">
        <v>300</v>
      </c>
      <c r="BL25">
        <v>300</v>
      </c>
      <c r="BM25">
        <v>300</v>
      </c>
      <c r="BN25">
        <v>9873.69</v>
      </c>
      <c r="BO25">
        <v>351.59699999999998</v>
      </c>
      <c r="BP25">
        <v>-6.4036199999999996E-3</v>
      </c>
      <c r="BQ25">
        <v>1.46732</v>
      </c>
      <c r="BR25">
        <f t="shared" si="39"/>
        <v>2200.00870967742</v>
      </c>
      <c r="BS25">
        <f t="shared" si="40"/>
        <v>1849.1926158380966</v>
      </c>
      <c r="BT25">
        <f t="shared" si="41"/>
        <v>0.84053877046206671</v>
      </c>
      <c r="BU25">
        <f t="shared" si="42"/>
        <v>0.19107754092413365</v>
      </c>
      <c r="BV25">
        <v>0.5</v>
      </c>
      <c r="BW25" t="s">
        <v>281</v>
      </c>
      <c r="BX25">
        <v>1595607368.7</v>
      </c>
      <c r="BY25">
        <v>580.78332258064495</v>
      </c>
      <c r="BZ25">
        <v>600.00680645161299</v>
      </c>
      <c r="CA25">
        <v>19.3217419354839</v>
      </c>
      <c r="CB25">
        <v>16.5747419354839</v>
      </c>
      <c r="CC25">
        <v>500.06551612903201</v>
      </c>
      <c r="CD25">
        <v>99.754319354838699</v>
      </c>
      <c r="CE25">
        <v>0.200016387096774</v>
      </c>
      <c r="CF25">
        <v>26.6437967741936</v>
      </c>
      <c r="CG25">
        <v>27.032019354838699</v>
      </c>
      <c r="CH25">
        <v>999.9</v>
      </c>
      <c r="CI25">
        <v>9998.2238709677404</v>
      </c>
      <c r="CJ25">
        <v>0</v>
      </c>
      <c r="CK25">
        <v>272.88116129032301</v>
      </c>
      <c r="CL25">
        <v>2200.00870967742</v>
      </c>
      <c r="CM25">
        <v>0.98200200000000004</v>
      </c>
      <c r="CN25">
        <v>1.7998299999999998E-2</v>
      </c>
      <c r="CO25">
        <v>0</v>
      </c>
      <c r="CP25">
        <v>269.41261290322598</v>
      </c>
      <c r="CQ25">
        <v>5.00054</v>
      </c>
      <c r="CR25">
        <v>8171.1919354838701</v>
      </c>
      <c r="CS25">
        <v>20590.619354838698</v>
      </c>
      <c r="CT25">
        <v>50.023935483871</v>
      </c>
      <c r="CU25">
        <v>52.161225806451597</v>
      </c>
      <c r="CV25">
        <v>50.433064516129001</v>
      </c>
      <c r="CW25">
        <v>51.054129032257997</v>
      </c>
      <c r="CX25">
        <v>51.255741935483897</v>
      </c>
      <c r="CY25">
        <v>2155.4987096774198</v>
      </c>
      <c r="CZ25">
        <v>39.51</v>
      </c>
      <c r="DA25">
        <v>0</v>
      </c>
      <c r="DB25">
        <v>147.200000047684</v>
      </c>
      <c r="DC25">
        <v>269.41219230769201</v>
      </c>
      <c r="DD25">
        <v>-2.2567179386517902</v>
      </c>
      <c r="DE25">
        <v>-36.166837600780099</v>
      </c>
      <c r="DF25">
        <v>8171.0646153846201</v>
      </c>
      <c r="DG25">
        <v>15</v>
      </c>
      <c r="DH25">
        <v>1595607404.7</v>
      </c>
      <c r="DI25" t="s">
        <v>328</v>
      </c>
      <c r="DJ25">
        <v>23</v>
      </c>
      <c r="DK25">
        <v>-0.34300000000000003</v>
      </c>
      <c r="DL25">
        <v>0.105</v>
      </c>
      <c r="DM25">
        <v>600</v>
      </c>
      <c r="DN25">
        <v>17</v>
      </c>
      <c r="DO25">
        <v>0.2</v>
      </c>
      <c r="DP25">
        <v>0.03</v>
      </c>
      <c r="DQ25">
        <v>580.767294117647</v>
      </c>
      <c r="DR25">
        <v>0.39835656108629902</v>
      </c>
      <c r="DS25">
        <v>5.1049109042429403E-2</v>
      </c>
      <c r="DT25">
        <v>0</v>
      </c>
      <c r="DU25">
        <v>19.335337254902001</v>
      </c>
      <c r="DV25">
        <v>-0.17388488687782</v>
      </c>
      <c r="DW25">
        <v>2.1341398237672699E-2</v>
      </c>
      <c r="DX25">
        <v>1</v>
      </c>
      <c r="DY25">
        <v>1</v>
      </c>
      <c r="DZ25">
        <v>2</v>
      </c>
      <c r="EA25" t="s">
        <v>283</v>
      </c>
      <c r="EB25">
        <v>1.86666</v>
      </c>
      <c r="EC25">
        <v>1.8631899999999999</v>
      </c>
      <c r="ED25">
        <v>1.8688899999999999</v>
      </c>
      <c r="EE25">
        <v>1.86676</v>
      </c>
      <c r="EF25">
        <v>1.8714900000000001</v>
      </c>
      <c r="EG25">
        <v>1.8638999999999999</v>
      </c>
      <c r="EH25">
        <v>1.8655299999999999</v>
      </c>
      <c r="EI25">
        <v>1.8653900000000001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-0.34300000000000003</v>
      </c>
      <c r="EX25">
        <v>0.105</v>
      </c>
      <c r="EY25">
        <v>2</v>
      </c>
      <c r="EZ25">
        <v>331.47300000000001</v>
      </c>
      <c r="FA25">
        <v>484.08199999999999</v>
      </c>
      <c r="FB25">
        <v>20.130299999999998</v>
      </c>
      <c r="FC25">
        <v>35.058999999999997</v>
      </c>
      <c r="FD25">
        <v>30.001300000000001</v>
      </c>
      <c r="FE25">
        <v>34.920499999999997</v>
      </c>
      <c r="FF25">
        <v>34.9069</v>
      </c>
      <c r="FG25">
        <v>30.465399999999999</v>
      </c>
      <c r="FH25">
        <v>48.315899999999999</v>
      </c>
      <c r="FI25">
        <v>0</v>
      </c>
      <c r="FJ25">
        <v>20.110499999999998</v>
      </c>
      <c r="FK25">
        <v>600</v>
      </c>
      <c r="FL25">
        <v>16.600899999999999</v>
      </c>
      <c r="FM25">
        <v>100.631</v>
      </c>
      <c r="FN25">
        <v>100.79900000000001</v>
      </c>
    </row>
    <row r="26" spans="1:170" x14ac:dyDescent="0.25">
      <c r="A26">
        <v>10</v>
      </c>
      <c r="B26">
        <v>1595607524.2</v>
      </c>
      <c r="C26">
        <v>1152.10000014305</v>
      </c>
      <c r="D26" t="s">
        <v>329</v>
      </c>
      <c r="E26" t="s">
        <v>330</v>
      </c>
      <c r="G26">
        <v>1595607516.2</v>
      </c>
      <c r="H26">
        <f t="shared" si="0"/>
        <v>6.2124199772808936E-3</v>
      </c>
      <c r="I26">
        <f t="shared" si="1"/>
        <v>46.297358267032592</v>
      </c>
      <c r="J26">
        <f t="shared" si="2"/>
        <v>679.79767741935495</v>
      </c>
      <c r="K26">
        <f t="shared" si="3"/>
        <v>461.39448852460265</v>
      </c>
      <c r="L26">
        <f t="shared" si="4"/>
        <v>46.119963582745818</v>
      </c>
      <c r="M26">
        <f t="shared" si="5"/>
        <v>67.951059030788699</v>
      </c>
      <c r="N26">
        <f t="shared" si="6"/>
        <v>0.38474029119140407</v>
      </c>
      <c r="O26">
        <f t="shared" si="7"/>
        <v>3.3951563060090555</v>
      </c>
      <c r="P26">
        <f t="shared" si="8"/>
        <v>0.36205607413068902</v>
      </c>
      <c r="Q26">
        <f t="shared" si="9"/>
        <v>0.22821159811849029</v>
      </c>
      <c r="R26">
        <f t="shared" si="10"/>
        <v>353.33770568939906</v>
      </c>
      <c r="S26">
        <f t="shared" si="11"/>
        <v>26.782493708459242</v>
      </c>
      <c r="T26">
        <f t="shared" si="12"/>
        <v>26.947945161290299</v>
      </c>
      <c r="U26">
        <f t="shared" si="13"/>
        <v>3.568231684576729</v>
      </c>
      <c r="V26">
        <f t="shared" si="14"/>
        <v>55.075779470571149</v>
      </c>
      <c r="W26">
        <f t="shared" si="15"/>
        <v>1.8999979131355391</v>
      </c>
      <c r="X26">
        <f t="shared" si="16"/>
        <v>3.4497885121186025</v>
      </c>
      <c r="Y26">
        <f t="shared" si="17"/>
        <v>1.6682337714411899</v>
      </c>
      <c r="Z26">
        <f t="shared" si="18"/>
        <v>-273.96772099808743</v>
      </c>
      <c r="AA26">
        <f t="shared" si="19"/>
        <v>-104.93841231059262</v>
      </c>
      <c r="AB26">
        <f t="shared" si="20"/>
        <v>-6.6478047728877971</v>
      </c>
      <c r="AC26">
        <f t="shared" si="21"/>
        <v>-32.216232392168806</v>
      </c>
      <c r="AD26">
        <v>-4.1372685384326799E-2</v>
      </c>
      <c r="AE26">
        <v>4.64444637902112E-2</v>
      </c>
      <c r="AF26">
        <v>3.4677581199659402</v>
      </c>
      <c r="AG26">
        <v>150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52866.629848556033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270.83676923076899</v>
      </c>
      <c r="AT26">
        <v>391.36500000000001</v>
      </c>
      <c r="AU26">
        <f t="shared" si="27"/>
        <v>0.30796885457113188</v>
      </c>
      <c r="AV26">
        <v>0.5</v>
      </c>
      <c r="AW26">
        <f t="shared" si="28"/>
        <v>1849.1845255155013</v>
      </c>
      <c r="AX26">
        <f t="shared" si="29"/>
        <v>46.297358267032592</v>
      </c>
      <c r="AY26">
        <f t="shared" si="30"/>
        <v>284.74562010683547</v>
      </c>
      <c r="AZ26">
        <f t="shared" si="31"/>
        <v>0.53071940515886706</v>
      </c>
      <c r="BA26">
        <f t="shared" si="32"/>
        <v>2.5577414051660096E-2</v>
      </c>
      <c r="BB26">
        <f t="shared" si="33"/>
        <v>-1</v>
      </c>
      <c r="BC26" t="s">
        <v>332</v>
      </c>
      <c r="BD26">
        <v>183.66</v>
      </c>
      <c r="BE26">
        <f t="shared" si="34"/>
        <v>207.70500000000001</v>
      </c>
      <c r="BF26">
        <f t="shared" si="35"/>
        <v>0.58028564921032721</v>
      </c>
      <c r="BG26">
        <f t="shared" si="36"/>
        <v>2.130921267559621</v>
      </c>
      <c r="BH26">
        <f t="shared" si="37"/>
        <v>0.30796885457113182</v>
      </c>
      <c r="BI26" t="e">
        <f t="shared" si="38"/>
        <v>#DIV/0!</v>
      </c>
      <c r="BJ26">
        <v>5255</v>
      </c>
      <c r="BK26">
        <v>300</v>
      </c>
      <c r="BL26">
        <v>300</v>
      </c>
      <c r="BM26">
        <v>300</v>
      </c>
      <c r="BN26">
        <v>9874.9</v>
      </c>
      <c r="BO26">
        <v>354.33800000000002</v>
      </c>
      <c r="BP26">
        <v>-6.4043399999999997E-3</v>
      </c>
      <c r="BQ26">
        <v>0.49038700000000002</v>
      </c>
      <c r="BR26">
        <f t="shared" si="39"/>
        <v>2199.9990322580602</v>
      </c>
      <c r="BS26">
        <f t="shared" si="40"/>
        <v>1849.1845255155013</v>
      </c>
      <c r="BT26">
        <f t="shared" si="41"/>
        <v>0.8405387904273367</v>
      </c>
      <c r="BU26">
        <f t="shared" si="42"/>
        <v>0.19107758085467338</v>
      </c>
      <c r="BV26">
        <v>0.5</v>
      </c>
      <c r="BW26" t="s">
        <v>281</v>
      </c>
      <c r="BX26">
        <v>1595607516.2</v>
      </c>
      <c r="BY26">
        <v>679.79767741935495</v>
      </c>
      <c r="BZ26">
        <v>700.00329032258105</v>
      </c>
      <c r="CA26">
        <v>19.0080064516129</v>
      </c>
      <c r="CB26">
        <v>16.570587096774201</v>
      </c>
      <c r="CC26">
        <v>500.06448387096799</v>
      </c>
      <c r="CD26">
        <v>99.757777419354795</v>
      </c>
      <c r="CE26">
        <v>0.199991322580645</v>
      </c>
      <c r="CF26">
        <v>26.374635483871</v>
      </c>
      <c r="CG26">
        <v>26.947945161290299</v>
      </c>
      <c r="CH26">
        <v>999.9</v>
      </c>
      <c r="CI26">
        <v>10001.450000000001</v>
      </c>
      <c r="CJ26">
        <v>0</v>
      </c>
      <c r="CK26">
        <v>286.957870967742</v>
      </c>
      <c r="CL26">
        <v>2199.9990322580602</v>
      </c>
      <c r="CM26">
        <v>0.98199877419354797</v>
      </c>
      <c r="CN26">
        <v>1.8001687096774199E-2</v>
      </c>
      <c r="CO26">
        <v>0</v>
      </c>
      <c r="CP26">
        <v>270.83248387096802</v>
      </c>
      <c r="CQ26">
        <v>5.00054</v>
      </c>
      <c r="CR26">
        <v>8234.8190322580595</v>
      </c>
      <c r="CS26">
        <v>20590.535483871001</v>
      </c>
      <c r="CT26">
        <v>50.04</v>
      </c>
      <c r="CU26">
        <v>52.181064516128998</v>
      </c>
      <c r="CV26">
        <v>50.485774193548401</v>
      </c>
      <c r="CW26">
        <v>51.0621935483871</v>
      </c>
      <c r="CX26">
        <v>51.274000000000001</v>
      </c>
      <c r="CY26">
        <v>2155.4877419354798</v>
      </c>
      <c r="CZ26">
        <v>39.511290322580599</v>
      </c>
      <c r="DA26">
        <v>0</v>
      </c>
      <c r="DB26">
        <v>147.10000014305101</v>
      </c>
      <c r="DC26">
        <v>270.83676923076899</v>
      </c>
      <c r="DD26">
        <v>-1.60273505111174</v>
      </c>
      <c r="DE26">
        <v>-27.8533333950223</v>
      </c>
      <c r="DF26">
        <v>8234.4457692307697</v>
      </c>
      <c r="DG26">
        <v>15</v>
      </c>
      <c r="DH26">
        <v>1595607552.2</v>
      </c>
      <c r="DI26" t="s">
        <v>333</v>
      </c>
      <c r="DJ26">
        <v>24</v>
      </c>
      <c r="DK26">
        <v>-0.29299999999999998</v>
      </c>
      <c r="DL26">
        <v>0.105</v>
      </c>
      <c r="DM26">
        <v>700</v>
      </c>
      <c r="DN26">
        <v>17</v>
      </c>
      <c r="DO26">
        <v>7.0000000000000007E-2</v>
      </c>
      <c r="DP26">
        <v>0.04</v>
      </c>
      <c r="DQ26">
        <v>679.71578431372495</v>
      </c>
      <c r="DR26">
        <v>0.27286153846148797</v>
      </c>
      <c r="DS26">
        <v>5.0386861703940897E-2</v>
      </c>
      <c r="DT26">
        <v>1</v>
      </c>
      <c r="DU26">
        <v>19.014864705882299</v>
      </c>
      <c r="DV26">
        <v>-7.4529230769234303E-2</v>
      </c>
      <c r="DW26">
        <v>9.1805383141200202E-3</v>
      </c>
      <c r="DX26">
        <v>1</v>
      </c>
      <c r="DY26">
        <v>2</v>
      </c>
      <c r="DZ26">
        <v>2</v>
      </c>
      <c r="EA26" t="s">
        <v>293</v>
      </c>
      <c r="EB26">
        <v>1.86676</v>
      </c>
      <c r="EC26">
        <v>1.8632500000000001</v>
      </c>
      <c r="ED26">
        <v>1.8689</v>
      </c>
      <c r="EE26">
        <v>1.86683</v>
      </c>
      <c r="EF26">
        <v>1.8715299999999999</v>
      </c>
      <c r="EG26">
        <v>1.8640099999999999</v>
      </c>
      <c r="EH26">
        <v>1.86554</v>
      </c>
      <c r="EI26">
        <v>1.8654999999999999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-0.29299999999999998</v>
      </c>
      <c r="EX26">
        <v>0.105</v>
      </c>
      <c r="EY26">
        <v>2</v>
      </c>
      <c r="EZ26">
        <v>331.7</v>
      </c>
      <c r="FA26">
        <v>481.90199999999999</v>
      </c>
      <c r="FB26">
        <v>20.6343</v>
      </c>
      <c r="FC26">
        <v>35.355499999999999</v>
      </c>
      <c r="FD26">
        <v>30.000299999999999</v>
      </c>
      <c r="FE26">
        <v>35.197800000000001</v>
      </c>
      <c r="FF26">
        <v>35.177199999999999</v>
      </c>
      <c r="FG26">
        <v>34.497700000000002</v>
      </c>
      <c r="FH26">
        <v>48.947200000000002</v>
      </c>
      <c r="FI26">
        <v>0</v>
      </c>
      <c r="FJ26">
        <v>20.662600000000001</v>
      </c>
      <c r="FK26">
        <v>700</v>
      </c>
      <c r="FL26">
        <v>16.6312</v>
      </c>
      <c r="FM26">
        <v>100.57899999999999</v>
      </c>
      <c r="FN26">
        <v>100.746</v>
      </c>
    </row>
    <row r="27" spans="1:170" x14ac:dyDescent="0.25">
      <c r="A27">
        <v>11</v>
      </c>
      <c r="B27">
        <v>1595607673.8</v>
      </c>
      <c r="C27">
        <v>1301.7000000476801</v>
      </c>
      <c r="D27" t="s">
        <v>334</v>
      </c>
      <c r="E27" t="s">
        <v>335</v>
      </c>
      <c r="G27">
        <v>1595607665.8</v>
      </c>
      <c r="H27">
        <f t="shared" si="0"/>
        <v>5.1500693802116236E-3</v>
      </c>
      <c r="I27">
        <f t="shared" si="1"/>
        <v>47.194009585548301</v>
      </c>
      <c r="J27">
        <f t="shared" si="2"/>
        <v>779.496806451613</v>
      </c>
      <c r="K27">
        <f t="shared" si="3"/>
        <v>509.38237945041669</v>
      </c>
      <c r="L27">
        <f t="shared" si="4"/>
        <v>50.917358492761537</v>
      </c>
      <c r="M27">
        <f t="shared" si="5"/>
        <v>77.917729272225344</v>
      </c>
      <c r="N27">
        <f t="shared" si="6"/>
        <v>0.31226872007559137</v>
      </c>
      <c r="O27">
        <f t="shared" si="7"/>
        <v>3.391758629772974</v>
      </c>
      <c r="P27">
        <f t="shared" si="8"/>
        <v>0.29713073621974068</v>
      </c>
      <c r="Q27">
        <f t="shared" si="9"/>
        <v>0.1870056285456298</v>
      </c>
      <c r="R27">
        <f t="shared" si="10"/>
        <v>353.33509526995999</v>
      </c>
      <c r="S27">
        <f t="shared" si="11"/>
        <v>26.970645227099226</v>
      </c>
      <c r="T27">
        <f t="shared" si="12"/>
        <v>27.008787096774199</v>
      </c>
      <c r="U27">
        <f t="shared" si="13"/>
        <v>3.5810072700751623</v>
      </c>
      <c r="V27">
        <f t="shared" si="14"/>
        <v>55.130310109047251</v>
      </c>
      <c r="W27">
        <f t="shared" si="15"/>
        <v>1.8959154536994702</v>
      </c>
      <c r="X27">
        <f t="shared" si="16"/>
        <v>3.438971139377534</v>
      </c>
      <c r="Y27">
        <f t="shared" si="17"/>
        <v>1.6850918163756921</v>
      </c>
      <c r="Z27">
        <f t="shared" si="18"/>
        <v>-227.1180596673326</v>
      </c>
      <c r="AA27">
        <f t="shared" si="19"/>
        <v>-125.68906362794822</v>
      </c>
      <c r="AB27">
        <f t="shared" si="20"/>
        <v>-7.9706337122016437</v>
      </c>
      <c r="AC27">
        <f t="shared" si="21"/>
        <v>-7.4426617375224424</v>
      </c>
      <c r="AD27">
        <v>-4.13200609314038E-2</v>
      </c>
      <c r="AE27">
        <v>4.6385388231649699E-2</v>
      </c>
      <c r="AF27">
        <v>3.4642680970352902</v>
      </c>
      <c r="AG27">
        <v>150</v>
      </c>
      <c r="AH27">
        <v>30</v>
      </c>
      <c r="AI27">
        <f t="shared" si="22"/>
        <v>1</v>
      </c>
      <c r="AJ27">
        <f t="shared" si="23"/>
        <v>0</v>
      </c>
      <c r="AK27">
        <f t="shared" si="24"/>
        <v>52811.537521533573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268.86115384615402</v>
      </c>
      <c r="AT27">
        <v>387.12799999999999</v>
      </c>
      <c r="AU27">
        <f t="shared" si="27"/>
        <v>0.30549804238868272</v>
      </c>
      <c r="AV27">
        <v>0.5</v>
      </c>
      <c r="AW27">
        <f t="shared" si="28"/>
        <v>1849.1709577735749</v>
      </c>
      <c r="AX27">
        <f t="shared" si="29"/>
        <v>47.194009585548301</v>
      </c>
      <c r="AY27">
        <f t="shared" si="30"/>
        <v>282.45905382091632</v>
      </c>
      <c r="AZ27">
        <f t="shared" si="31"/>
        <v>0.53116281953255773</v>
      </c>
      <c r="BA27">
        <f t="shared" si="32"/>
        <v>2.6062495402574621E-2</v>
      </c>
      <c r="BB27">
        <f t="shared" si="33"/>
        <v>-1</v>
      </c>
      <c r="BC27" t="s">
        <v>337</v>
      </c>
      <c r="BD27">
        <v>181.5</v>
      </c>
      <c r="BE27">
        <f t="shared" si="34"/>
        <v>205.62799999999999</v>
      </c>
      <c r="BF27">
        <f t="shared" si="35"/>
        <v>0.57514952318675461</v>
      </c>
      <c r="BG27">
        <f t="shared" si="36"/>
        <v>2.1329366391184572</v>
      </c>
      <c r="BH27">
        <f t="shared" si="37"/>
        <v>0.30549804238868272</v>
      </c>
      <c r="BI27" t="e">
        <f t="shared" si="38"/>
        <v>#DIV/0!</v>
      </c>
      <c r="BJ27">
        <v>5257</v>
      </c>
      <c r="BK27">
        <v>300</v>
      </c>
      <c r="BL27">
        <v>300</v>
      </c>
      <c r="BM27">
        <v>300</v>
      </c>
      <c r="BN27">
        <v>9874.89</v>
      </c>
      <c r="BO27">
        <v>351.74099999999999</v>
      </c>
      <c r="BP27">
        <v>-6.4043499999999996E-3</v>
      </c>
      <c r="BQ27">
        <v>1.4410700000000001</v>
      </c>
      <c r="BR27">
        <f t="shared" si="39"/>
        <v>2199.9829032258099</v>
      </c>
      <c r="BS27">
        <f t="shared" si="40"/>
        <v>1849.1709577735749</v>
      </c>
      <c r="BT27">
        <f t="shared" si="41"/>
        <v>0.84053878557972272</v>
      </c>
      <c r="BU27">
        <f t="shared" si="42"/>
        <v>0.19107757115944538</v>
      </c>
      <c r="BV27">
        <v>0.5</v>
      </c>
      <c r="BW27" t="s">
        <v>281</v>
      </c>
      <c r="BX27">
        <v>1595607665.8</v>
      </c>
      <c r="BY27">
        <v>779.496806451613</v>
      </c>
      <c r="BZ27">
        <v>799.97803225806501</v>
      </c>
      <c r="CA27">
        <v>18.966929032258101</v>
      </c>
      <c r="CB27">
        <v>16.946187096774199</v>
      </c>
      <c r="CC27">
        <v>500.05280645161298</v>
      </c>
      <c r="CD27">
        <v>99.758990322580701</v>
      </c>
      <c r="CE27">
        <v>0.20001993548387101</v>
      </c>
      <c r="CF27">
        <v>26.321422580645201</v>
      </c>
      <c r="CG27">
        <v>27.008787096774199</v>
      </c>
      <c r="CH27">
        <v>999.9</v>
      </c>
      <c r="CI27">
        <v>9988.6070967741907</v>
      </c>
      <c r="CJ27">
        <v>0</v>
      </c>
      <c r="CK27">
        <v>298.67916129032301</v>
      </c>
      <c r="CL27">
        <v>2199.9829032258099</v>
      </c>
      <c r="CM27">
        <v>0.98199896774193596</v>
      </c>
      <c r="CN27">
        <v>1.8001483870967699E-2</v>
      </c>
      <c r="CO27">
        <v>0</v>
      </c>
      <c r="CP27">
        <v>268.86858064516099</v>
      </c>
      <c r="CQ27">
        <v>5.00054</v>
      </c>
      <c r="CR27">
        <v>8214.9503225806493</v>
      </c>
      <c r="CS27">
        <v>20590.377419354802</v>
      </c>
      <c r="CT27">
        <v>49.854612903225799</v>
      </c>
      <c r="CU27">
        <v>52</v>
      </c>
      <c r="CV27">
        <v>50.320129032258002</v>
      </c>
      <c r="CW27">
        <v>50.830354838709702</v>
      </c>
      <c r="CX27">
        <v>51.076290322580597</v>
      </c>
      <c r="CY27">
        <v>2155.4722580645198</v>
      </c>
      <c r="CZ27">
        <v>39.510645161290299</v>
      </c>
      <c r="DA27">
        <v>0</v>
      </c>
      <c r="DB27">
        <v>148.90000009536701</v>
      </c>
      <c r="DC27">
        <v>268.86115384615402</v>
      </c>
      <c r="DD27">
        <v>-1.91500853321104</v>
      </c>
      <c r="DE27">
        <v>-48.968547068610199</v>
      </c>
      <c r="DF27">
        <v>8214.6703846153796</v>
      </c>
      <c r="DG27">
        <v>15</v>
      </c>
      <c r="DH27">
        <v>1595607699.8</v>
      </c>
      <c r="DI27" t="s">
        <v>338</v>
      </c>
      <c r="DJ27">
        <v>25</v>
      </c>
      <c r="DK27">
        <v>-0.27700000000000002</v>
      </c>
      <c r="DL27">
        <v>0.112</v>
      </c>
      <c r="DM27">
        <v>800</v>
      </c>
      <c r="DN27">
        <v>17</v>
      </c>
      <c r="DO27">
        <v>0.18</v>
      </c>
      <c r="DP27">
        <v>0.04</v>
      </c>
      <c r="DQ27">
        <v>779.440235294118</v>
      </c>
      <c r="DR27">
        <v>0.45367601809945002</v>
      </c>
      <c r="DS27">
        <v>5.8691479234360501E-2</v>
      </c>
      <c r="DT27">
        <v>0</v>
      </c>
      <c r="DU27">
        <v>18.9675137254902</v>
      </c>
      <c r="DV27">
        <v>-8.2716380090497907E-2</v>
      </c>
      <c r="DW27">
        <v>1.0362943400629E-2</v>
      </c>
      <c r="DX27">
        <v>1</v>
      </c>
      <c r="DY27">
        <v>1</v>
      </c>
      <c r="DZ27">
        <v>2</v>
      </c>
      <c r="EA27" t="s">
        <v>283</v>
      </c>
      <c r="EB27">
        <v>1.8667499999999999</v>
      </c>
      <c r="EC27">
        <v>1.86327</v>
      </c>
      <c r="ED27">
        <v>1.86893</v>
      </c>
      <c r="EE27">
        <v>1.8668100000000001</v>
      </c>
      <c r="EF27">
        <v>1.87155</v>
      </c>
      <c r="EG27">
        <v>1.86399</v>
      </c>
      <c r="EH27">
        <v>1.8655299999999999</v>
      </c>
      <c r="EI27">
        <v>1.86544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-0.27700000000000002</v>
      </c>
      <c r="EX27">
        <v>0.112</v>
      </c>
      <c r="EY27">
        <v>2</v>
      </c>
      <c r="EZ27">
        <v>331.71499999999997</v>
      </c>
      <c r="FA27">
        <v>482.23</v>
      </c>
      <c r="FB27">
        <v>20.0578</v>
      </c>
      <c r="FC27">
        <v>35.453600000000002</v>
      </c>
      <c r="FD27">
        <v>29.9998</v>
      </c>
      <c r="FE27">
        <v>35.3645</v>
      </c>
      <c r="FF27">
        <v>35.349800000000002</v>
      </c>
      <c r="FG27">
        <v>38.445</v>
      </c>
      <c r="FH27">
        <v>47.692300000000003</v>
      </c>
      <c r="FI27">
        <v>0</v>
      </c>
      <c r="FJ27">
        <v>20.643000000000001</v>
      </c>
      <c r="FK27">
        <v>800</v>
      </c>
      <c r="FL27">
        <v>16.957799999999999</v>
      </c>
      <c r="FM27">
        <v>100.557</v>
      </c>
      <c r="FN27">
        <v>100.72799999999999</v>
      </c>
    </row>
    <row r="28" spans="1:170" x14ac:dyDescent="0.25">
      <c r="A28">
        <v>12</v>
      </c>
      <c r="B28">
        <v>1595607821.3</v>
      </c>
      <c r="C28">
        <v>1449.2000000476801</v>
      </c>
      <c r="D28" t="s">
        <v>339</v>
      </c>
      <c r="E28" t="s">
        <v>340</v>
      </c>
      <c r="G28">
        <v>1595607813.3</v>
      </c>
      <c r="H28">
        <f t="shared" si="0"/>
        <v>4.6554734388688486E-3</v>
      </c>
      <c r="I28">
        <f t="shared" si="1"/>
        <v>49.348786693027051</v>
      </c>
      <c r="J28">
        <f t="shared" si="2"/>
        <v>978.44164516129001</v>
      </c>
      <c r="K28">
        <f t="shared" si="3"/>
        <v>661.28931101430078</v>
      </c>
      <c r="L28">
        <f t="shared" si="4"/>
        <v>66.099355491624735</v>
      </c>
      <c r="M28">
        <f t="shared" si="5"/>
        <v>97.800404534177673</v>
      </c>
      <c r="N28">
        <f t="shared" si="6"/>
        <v>0.27865475132783718</v>
      </c>
      <c r="O28">
        <f t="shared" si="7"/>
        <v>3.3952631976725214</v>
      </c>
      <c r="P28">
        <f t="shared" si="8"/>
        <v>0.26654434047906217</v>
      </c>
      <c r="Q28">
        <f t="shared" si="9"/>
        <v>0.16763442335275344</v>
      </c>
      <c r="R28">
        <f t="shared" si="10"/>
        <v>353.33564347285449</v>
      </c>
      <c r="S28">
        <f t="shared" si="11"/>
        <v>26.96753084198275</v>
      </c>
      <c r="T28">
        <f t="shared" si="12"/>
        <v>27.0261580645161</v>
      </c>
      <c r="U28">
        <f t="shared" si="13"/>
        <v>3.5846621441693709</v>
      </c>
      <c r="V28">
        <f t="shared" si="14"/>
        <v>55.23264113240829</v>
      </c>
      <c r="W28">
        <f t="shared" si="15"/>
        <v>1.8866203634545398</v>
      </c>
      <c r="X28">
        <f t="shared" si="16"/>
        <v>3.4157706833750283</v>
      </c>
      <c r="Y28">
        <f t="shared" si="17"/>
        <v>1.6980417807148311</v>
      </c>
      <c r="Z28">
        <f t="shared" si="18"/>
        <v>-205.30637865411623</v>
      </c>
      <c r="AA28">
        <f t="shared" si="19"/>
        <v>-149.97974884422487</v>
      </c>
      <c r="AB28">
        <f t="shared" si="20"/>
        <v>-9.4966030215021853</v>
      </c>
      <c r="AC28">
        <f t="shared" si="21"/>
        <v>-11.447087046988827</v>
      </c>
      <c r="AD28">
        <v>-4.1374341347497498E-2</v>
      </c>
      <c r="AE28">
        <v>4.6446322753940603E-2</v>
      </c>
      <c r="AF28">
        <v>3.4678679175546301</v>
      </c>
      <c r="AG28">
        <v>143</v>
      </c>
      <c r="AH28">
        <v>29</v>
      </c>
      <c r="AI28">
        <f t="shared" si="22"/>
        <v>1</v>
      </c>
      <c r="AJ28">
        <f t="shared" si="23"/>
        <v>0</v>
      </c>
      <c r="AK28">
        <f t="shared" si="24"/>
        <v>52898.261329267596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265.95976923076898</v>
      </c>
      <c r="AT28">
        <v>381.04500000000002</v>
      </c>
      <c r="AU28">
        <f t="shared" si="27"/>
        <v>0.30202530086795787</v>
      </c>
      <c r="AV28">
        <v>0.5</v>
      </c>
      <c r="AW28">
        <f t="shared" si="28"/>
        <v>1849.1739287413141</v>
      </c>
      <c r="AX28">
        <f t="shared" si="29"/>
        <v>49.348786693027051</v>
      </c>
      <c r="AY28">
        <f t="shared" si="30"/>
        <v>279.24865609263952</v>
      </c>
      <c r="AZ28">
        <f t="shared" si="31"/>
        <v>0.52226115025784359</v>
      </c>
      <c r="BA28">
        <f t="shared" si="32"/>
        <v>2.7227718231620429E-2</v>
      </c>
      <c r="BB28">
        <f t="shared" si="33"/>
        <v>-1</v>
      </c>
      <c r="BC28" t="s">
        <v>342</v>
      </c>
      <c r="BD28">
        <v>182.04</v>
      </c>
      <c r="BE28">
        <f t="shared" si="34"/>
        <v>199.00500000000002</v>
      </c>
      <c r="BF28">
        <f t="shared" si="35"/>
        <v>0.57830321232748427</v>
      </c>
      <c r="BG28">
        <f t="shared" si="36"/>
        <v>2.0931938035596573</v>
      </c>
      <c r="BH28">
        <f t="shared" si="37"/>
        <v>0.30202530086795792</v>
      </c>
      <c r="BI28" t="e">
        <f t="shared" si="38"/>
        <v>#DIV/0!</v>
      </c>
      <c r="BJ28">
        <v>5259</v>
      </c>
      <c r="BK28">
        <v>300</v>
      </c>
      <c r="BL28">
        <v>300</v>
      </c>
      <c r="BM28">
        <v>300</v>
      </c>
      <c r="BN28">
        <v>9875.26</v>
      </c>
      <c r="BO28">
        <v>345.15600000000001</v>
      </c>
      <c r="BP28">
        <v>-6.4046099999999998E-3</v>
      </c>
      <c r="BQ28">
        <v>0.62454200000000004</v>
      </c>
      <c r="BR28">
        <f t="shared" si="39"/>
        <v>2199.9864516129001</v>
      </c>
      <c r="BS28">
        <f t="shared" si="40"/>
        <v>1849.1739287413141</v>
      </c>
      <c r="BT28">
        <f t="shared" si="41"/>
        <v>0.84053878031185558</v>
      </c>
      <c r="BU28">
        <f t="shared" si="42"/>
        <v>0.19107756062371112</v>
      </c>
      <c r="BV28">
        <v>0.5</v>
      </c>
      <c r="BW28" t="s">
        <v>281</v>
      </c>
      <c r="BX28">
        <v>1595607813.3</v>
      </c>
      <c r="BY28">
        <v>978.44164516129001</v>
      </c>
      <c r="BZ28">
        <v>999.99970967741899</v>
      </c>
      <c r="CA28">
        <v>18.874645161290299</v>
      </c>
      <c r="CB28">
        <v>17.047899999999998</v>
      </c>
      <c r="CC28">
        <v>500.081032258064</v>
      </c>
      <c r="CD28">
        <v>99.755296774193596</v>
      </c>
      <c r="CE28">
        <v>0.19997906451612901</v>
      </c>
      <c r="CF28">
        <v>26.206800000000001</v>
      </c>
      <c r="CG28">
        <v>27.0261580645161</v>
      </c>
      <c r="CH28">
        <v>999.9</v>
      </c>
      <c r="CI28">
        <v>10002.0990322581</v>
      </c>
      <c r="CJ28">
        <v>0</v>
      </c>
      <c r="CK28">
        <v>308.07706451612898</v>
      </c>
      <c r="CL28">
        <v>2199.9864516129001</v>
      </c>
      <c r="CM28">
        <v>0.98199864516128998</v>
      </c>
      <c r="CN28">
        <v>1.8001822580645199E-2</v>
      </c>
      <c r="CO28">
        <v>0</v>
      </c>
      <c r="CP28">
        <v>265.97983870967698</v>
      </c>
      <c r="CQ28">
        <v>5.00054</v>
      </c>
      <c r="CR28">
        <v>8172.31193548387</v>
      </c>
      <c r="CS28">
        <v>20590.416129032299</v>
      </c>
      <c r="CT28">
        <v>49.838354838709698</v>
      </c>
      <c r="CU28">
        <v>51.963419354838699</v>
      </c>
      <c r="CV28">
        <v>50.287999999999997</v>
      </c>
      <c r="CW28">
        <v>50.771806451612903</v>
      </c>
      <c r="CX28">
        <v>51.038129032258098</v>
      </c>
      <c r="CY28">
        <v>2155.4761290322599</v>
      </c>
      <c r="CZ28">
        <v>39.510322580645202</v>
      </c>
      <c r="DA28">
        <v>0</v>
      </c>
      <c r="DB28">
        <v>146.89999985694899</v>
      </c>
      <c r="DC28">
        <v>265.95976923076898</v>
      </c>
      <c r="DD28">
        <v>-4.2185299163885004</v>
      </c>
      <c r="DE28">
        <v>-78.859487106111203</v>
      </c>
      <c r="DF28">
        <v>8171.5107692307702</v>
      </c>
      <c r="DG28">
        <v>15</v>
      </c>
      <c r="DH28">
        <v>1595607852.8</v>
      </c>
      <c r="DI28" t="s">
        <v>343</v>
      </c>
      <c r="DJ28">
        <v>26</v>
      </c>
      <c r="DK28">
        <v>-2.5000000000000001E-2</v>
      </c>
      <c r="DL28">
        <v>0.112</v>
      </c>
      <c r="DM28">
        <v>1000</v>
      </c>
      <c r="DN28">
        <v>17</v>
      </c>
      <c r="DO28">
        <v>0.09</v>
      </c>
      <c r="DP28">
        <v>0.05</v>
      </c>
      <c r="DQ28">
        <v>978.10462745098096</v>
      </c>
      <c r="DR28">
        <v>0.90460452488691301</v>
      </c>
      <c r="DS28">
        <v>0.115451536523589</v>
      </c>
      <c r="DT28">
        <v>0</v>
      </c>
      <c r="DU28">
        <v>18.865894117647098</v>
      </c>
      <c r="DV28">
        <v>9.9572850678738806E-2</v>
      </c>
      <c r="DW28">
        <v>2.37716127606242E-2</v>
      </c>
      <c r="DX28">
        <v>1</v>
      </c>
      <c r="DY28">
        <v>1</v>
      </c>
      <c r="DZ28">
        <v>2</v>
      </c>
      <c r="EA28" t="s">
        <v>283</v>
      </c>
      <c r="EB28">
        <v>1.86676</v>
      </c>
      <c r="EC28">
        <v>1.8632500000000001</v>
      </c>
      <c r="ED28">
        <v>1.8689</v>
      </c>
      <c r="EE28">
        <v>1.8667800000000001</v>
      </c>
      <c r="EF28">
        <v>1.87151</v>
      </c>
      <c r="EG28">
        <v>1.8640000000000001</v>
      </c>
      <c r="EH28">
        <v>1.86554</v>
      </c>
      <c r="EI28">
        <v>1.86544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-2.5000000000000001E-2</v>
      </c>
      <c r="EX28">
        <v>0.112</v>
      </c>
      <c r="EY28">
        <v>2</v>
      </c>
      <c r="EZ28">
        <v>338.89299999999997</v>
      </c>
      <c r="FA28">
        <v>482.32900000000001</v>
      </c>
      <c r="FB28">
        <v>20.406199999999998</v>
      </c>
      <c r="FC28">
        <v>35.533799999999999</v>
      </c>
      <c r="FD28">
        <v>30.001000000000001</v>
      </c>
      <c r="FE28">
        <v>35.482700000000001</v>
      </c>
      <c r="FF28">
        <v>35.475099999999998</v>
      </c>
      <c r="FG28">
        <v>46.0291</v>
      </c>
      <c r="FH28">
        <v>47.839199999999998</v>
      </c>
      <c r="FI28">
        <v>0</v>
      </c>
      <c r="FJ28">
        <v>20.379799999999999</v>
      </c>
      <c r="FK28">
        <v>1000</v>
      </c>
      <c r="FL28">
        <v>17.001300000000001</v>
      </c>
      <c r="FM28">
        <v>100.536</v>
      </c>
      <c r="FN28">
        <v>100.712</v>
      </c>
    </row>
    <row r="29" spans="1:170" x14ac:dyDescent="0.25">
      <c r="A29">
        <v>13</v>
      </c>
      <c r="B29">
        <v>1595607974.3</v>
      </c>
      <c r="C29">
        <v>1602.2000000476801</v>
      </c>
      <c r="D29" t="s">
        <v>344</v>
      </c>
      <c r="E29" t="s">
        <v>345</v>
      </c>
      <c r="G29">
        <v>1595607966.3</v>
      </c>
      <c r="H29">
        <f t="shared" si="0"/>
        <v>4.3501671540910362E-3</v>
      </c>
      <c r="I29">
        <f t="shared" si="1"/>
        <v>49.286415150180162</v>
      </c>
      <c r="J29">
        <f t="shared" si="2"/>
        <v>1178.22129032258</v>
      </c>
      <c r="K29">
        <f t="shared" si="3"/>
        <v>837.56506179610255</v>
      </c>
      <c r="L29">
        <f t="shared" si="4"/>
        <v>83.710478818331922</v>
      </c>
      <c r="M29">
        <f t="shared" si="5"/>
        <v>117.7573813255196</v>
      </c>
      <c r="N29">
        <f t="shared" si="6"/>
        <v>0.26128503431775701</v>
      </c>
      <c r="O29">
        <f t="shared" si="7"/>
        <v>3.3950004491252286</v>
      </c>
      <c r="P29">
        <f t="shared" si="8"/>
        <v>0.25060545956030184</v>
      </c>
      <c r="Q29">
        <f t="shared" si="9"/>
        <v>0.15755155621742711</v>
      </c>
      <c r="R29">
        <f t="shared" si="10"/>
        <v>353.33799647387679</v>
      </c>
      <c r="S29">
        <f t="shared" si="11"/>
        <v>26.775976003529554</v>
      </c>
      <c r="T29">
        <f t="shared" si="12"/>
        <v>26.911403225806499</v>
      </c>
      <c r="U29">
        <f t="shared" si="13"/>
        <v>3.5605777511972683</v>
      </c>
      <c r="V29">
        <f t="shared" si="14"/>
        <v>55.681528115023212</v>
      </c>
      <c r="W29">
        <f t="shared" si="15"/>
        <v>1.8728270191731495</v>
      </c>
      <c r="X29">
        <f t="shared" si="16"/>
        <v>3.3634619640904742</v>
      </c>
      <c r="Y29">
        <f t="shared" si="17"/>
        <v>1.6877507320241187</v>
      </c>
      <c r="Z29">
        <f t="shared" si="18"/>
        <v>-191.84237149541471</v>
      </c>
      <c r="AA29">
        <f t="shared" si="19"/>
        <v>-176.72613237282286</v>
      </c>
      <c r="AB29">
        <f t="shared" si="20"/>
        <v>-11.170001523016063</v>
      </c>
      <c r="AC29">
        <f t="shared" si="21"/>
        <v>-26.400508917376868</v>
      </c>
      <c r="AD29">
        <v>-4.1370270895309598E-2</v>
      </c>
      <c r="AE29">
        <v>4.6441753314768498E-2</v>
      </c>
      <c r="AF29">
        <v>3.4675980260769301</v>
      </c>
      <c r="AG29">
        <v>151</v>
      </c>
      <c r="AH29">
        <v>30</v>
      </c>
      <c r="AI29">
        <f t="shared" si="22"/>
        <v>1</v>
      </c>
      <c r="AJ29">
        <f t="shared" si="23"/>
        <v>0</v>
      </c>
      <c r="AK29">
        <f t="shared" si="24"/>
        <v>52939.218361376094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261.94976923076899</v>
      </c>
      <c r="AT29">
        <v>367.90499999999997</v>
      </c>
      <c r="AU29">
        <f t="shared" si="27"/>
        <v>0.28799616957973118</v>
      </c>
      <c r="AV29">
        <v>0.5</v>
      </c>
      <c r="AW29">
        <f t="shared" si="28"/>
        <v>1849.1861416445431</v>
      </c>
      <c r="AX29">
        <f t="shared" si="29"/>
        <v>49.286415150180162</v>
      </c>
      <c r="AY29">
        <f t="shared" si="30"/>
        <v>266.27926281677532</v>
      </c>
      <c r="AZ29">
        <f t="shared" si="31"/>
        <v>0.51270028947690294</v>
      </c>
      <c r="BA29">
        <f t="shared" si="32"/>
        <v>2.7193809221098084E-2</v>
      </c>
      <c r="BB29">
        <f t="shared" si="33"/>
        <v>-1</v>
      </c>
      <c r="BC29" t="s">
        <v>347</v>
      </c>
      <c r="BD29">
        <v>179.28</v>
      </c>
      <c r="BE29">
        <f t="shared" si="34"/>
        <v>188.62499999999997</v>
      </c>
      <c r="BF29">
        <f t="shared" si="35"/>
        <v>0.56172421878982637</v>
      </c>
      <c r="BG29">
        <f t="shared" si="36"/>
        <v>2.0521251673360106</v>
      </c>
      <c r="BH29">
        <f t="shared" si="37"/>
        <v>0.28799616957973112</v>
      </c>
      <c r="BI29" t="e">
        <f t="shared" si="38"/>
        <v>#DIV/0!</v>
      </c>
      <c r="BJ29">
        <v>5261</v>
      </c>
      <c r="BK29">
        <v>300</v>
      </c>
      <c r="BL29">
        <v>300</v>
      </c>
      <c r="BM29">
        <v>300</v>
      </c>
      <c r="BN29">
        <v>9875.4599999999991</v>
      </c>
      <c r="BO29">
        <v>335.62799999999999</v>
      </c>
      <c r="BP29">
        <v>-6.4048000000000004E-3</v>
      </c>
      <c r="BQ29">
        <v>1.1430100000000001</v>
      </c>
      <c r="BR29">
        <f t="shared" si="39"/>
        <v>2200.0009677419398</v>
      </c>
      <c r="BS29">
        <f t="shared" si="40"/>
        <v>1849.1861416445431</v>
      </c>
      <c r="BT29">
        <f t="shared" si="41"/>
        <v>0.84053878555450379</v>
      </c>
      <c r="BU29">
        <f t="shared" si="42"/>
        <v>0.19107757110900772</v>
      </c>
      <c r="BV29">
        <v>0.5</v>
      </c>
      <c r="BW29" t="s">
        <v>281</v>
      </c>
      <c r="BX29">
        <v>1595607966.3</v>
      </c>
      <c r="BY29">
        <v>1178.22129032258</v>
      </c>
      <c r="BZ29">
        <v>1199.9838709677399</v>
      </c>
      <c r="CA29">
        <v>18.738567741935501</v>
      </c>
      <c r="CB29">
        <v>17.031277419354801</v>
      </c>
      <c r="CC29">
        <v>500.04983870967698</v>
      </c>
      <c r="CD29">
        <v>99.745074193548405</v>
      </c>
      <c r="CE29">
        <v>0.19997203225806501</v>
      </c>
      <c r="CF29">
        <v>25.945851612903201</v>
      </c>
      <c r="CG29">
        <v>26.911403225806499</v>
      </c>
      <c r="CH29">
        <v>999.9</v>
      </c>
      <c r="CI29">
        <v>10002.14</v>
      </c>
      <c r="CJ29">
        <v>0</v>
      </c>
      <c r="CK29">
        <v>322.66167741935499</v>
      </c>
      <c r="CL29">
        <v>2200.0009677419398</v>
      </c>
      <c r="CM29">
        <v>0.98199832258064501</v>
      </c>
      <c r="CN29">
        <v>1.8002161290322598E-2</v>
      </c>
      <c r="CO29">
        <v>0</v>
      </c>
      <c r="CP29">
        <v>261.98954838709699</v>
      </c>
      <c r="CQ29">
        <v>5.00054</v>
      </c>
      <c r="CR29">
        <v>8079.4819354838701</v>
      </c>
      <c r="CS29">
        <v>20590.538709677399</v>
      </c>
      <c r="CT29">
        <v>49.854741935483901</v>
      </c>
      <c r="CU29">
        <v>52.017741935483798</v>
      </c>
      <c r="CV29">
        <v>50.295999999999999</v>
      </c>
      <c r="CW29">
        <v>50.783870967741898</v>
      </c>
      <c r="CX29">
        <v>51.035967741935501</v>
      </c>
      <c r="CY29">
        <v>2155.4899999999998</v>
      </c>
      <c r="CZ29">
        <v>39.510967741935502</v>
      </c>
      <c r="DA29">
        <v>0</v>
      </c>
      <c r="DB29">
        <v>152.59999990463299</v>
      </c>
      <c r="DC29">
        <v>261.94976923076899</v>
      </c>
      <c r="DD29">
        <v>-3.8512136543000599</v>
      </c>
      <c r="DE29">
        <v>-147.91931581328799</v>
      </c>
      <c r="DF29">
        <v>8078.3723076923097</v>
      </c>
      <c r="DG29">
        <v>15</v>
      </c>
      <c r="DH29">
        <v>1595608001.3</v>
      </c>
      <c r="DI29" t="s">
        <v>348</v>
      </c>
      <c r="DJ29">
        <v>27</v>
      </c>
      <c r="DK29">
        <v>4.4999999999999998E-2</v>
      </c>
      <c r="DL29">
        <v>0.112</v>
      </c>
      <c r="DM29">
        <v>1200</v>
      </c>
      <c r="DN29">
        <v>17</v>
      </c>
      <c r="DO29">
        <v>0.26</v>
      </c>
      <c r="DP29">
        <v>0.04</v>
      </c>
      <c r="DQ29">
        <v>1178.1454901960799</v>
      </c>
      <c r="DR29">
        <v>7.8298642533948998E-2</v>
      </c>
      <c r="DS29">
        <v>2.2864796598545602E-2</v>
      </c>
      <c r="DT29">
        <v>1</v>
      </c>
      <c r="DU29">
        <v>18.759103921568599</v>
      </c>
      <c r="DV29">
        <v>-0.18305809954749899</v>
      </c>
      <c r="DW29">
        <v>3.4227766281504299E-2</v>
      </c>
      <c r="DX29">
        <v>1</v>
      </c>
      <c r="DY29">
        <v>2</v>
      </c>
      <c r="DZ29">
        <v>2</v>
      </c>
      <c r="EA29" t="s">
        <v>293</v>
      </c>
      <c r="EB29">
        <v>1.86677</v>
      </c>
      <c r="EC29">
        <v>1.8632500000000001</v>
      </c>
      <c r="ED29">
        <v>1.8689100000000001</v>
      </c>
      <c r="EE29">
        <v>1.86683</v>
      </c>
      <c r="EF29">
        <v>1.8715299999999999</v>
      </c>
      <c r="EG29">
        <v>1.8640099999999999</v>
      </c>
      <c r="EH29">
        <v>1.86554</v>
      </c>
      <c r="EI29">
        <v>1.8654900000000001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4.4999999999999998E-2</v>
      </c>
      <c r="EX29">
        <v>0.112</v>
      </c>
      <c r="EY29">
        <v>2</v>
      </c>
      <c r="EZ29">
        <v>330.596</v>
      </c>
      <c r="FA29">
        <v>480.91300000000001</v>
      </c>
      <c r="FB29">
        <v>20.421299999999999</v>
      </c>
      <c r="FC29">
        <v>35.630299999999998</v>
      </c>
      <c r="FD29">
        <v>29.999199999999998</v>
      </c>
      <c r="FE29">
        <v>35.591299999999997</v>
      </c>
      <c r="FF29">
        <v>35.586100000000002</v>
      </c>
      <c r="FG29">
        <v>53.301400000000001</v>
      </c>
      <c r="FH29">
        <v>48.521599999999999</v>
      </c>
      <c r="FI29">
        <v>0</v>
      </c>
      <c r="FJ29">
        <v>20.473400000000002</v>
      </c>
      <c r="FK29">
        <v>1200</v>
      </c>
      <c r="FL29">
        <v>16.8522</v>
      </c>
      <c r="FM29">
        <v>100.52500000000001</v>
      </c>
      <c r="FN29">
        <v>100.70399999999999</v>
      </c>
    </row>
    <row r="30" spans="1:170" x14ac:dyDescent="0.25">
      <c r="A30">
        <v>14</v>
      </c>
      <c r="B30">
        <v>1595608122.8</v>
      </c>
      <c r="C30">
        <v>1750.7000000476801</v>
      </c>
      <c r="D30" t="s">
        <v>349</v>
      </c>
      <c r="E30" t="s">
        <v>350</v>
      </c>
      <c r="G30">
        <v>1595608114.80323</v>
      </c>
      <c r="H30">
        <f t="shared" si="0"/>
        <v>3.8619796702236901E-3</v>
      </c>
      <c r="I30">
        <f t="shared" si="1"/>
        <v>49.698379677352214</v>
      </c>
      <c r="J30">
        <f t="shared" si="2"/>
        <v>1577.77335483871</v>
      </c>
      <c r="K30">
        <f t="shared" si="3"/>
        <v>1181.4725012901856</v>
      </c>
      <c r="L30">
        <f t="shared" si="4"/>
        <v>118.07847371820525</v>
      </c>
      <c r="M30">
        <f t="shared" si="5"/>
        <v>157.68548942879633</v>
      </c>
      <c r="N30">
        <f t="shared" si="6"/>
        <v>0.22927852408359878</v>
      </c>
      <c r="O30">
        <f t="shared" si="7"/>
        <v>3.3954611251531364</v>
      </c>
      <c r="P30">
        <f t="shared" si="8"/>
        <v>0.22101167355001636</v>
      </c>
      <c r="Q30">
        <f t="shared" si="9"/>
        <v>0.13885020656755651</v>
      </c>
      <c r="R30">
        <f t="shared" si="10"/>
        <v>353.33689719889168</v>
      </c>
      <c r="S30">
        <f t="shared" si="11"/>
        <v>26.827966661489075</v>
      </c>
      <c r="T30">
        <f t="shared" si="12"/>
        <v>26.925312903225802</v>
      </c>
      <c r="U30">
        <f t="shared" si="13"/>
        <v>3.5634895276353413</v>
      </c>
      <c r="V30">
        <f t="shared" si="14"/>
        <v>55.6272142519461</v>
      </c>
      <c r="W30">
        <f t="shared" si="15"/>
        <v>1.8645217259314197</v>
      </c>
      <c r="X30">
        <f t="shared" si="16"/>
        <v>3.3518157452333508</v>
      </c>
      <c r="Y30">
        <f t="shared" si="17"/>
        <v>1.6989678017039216</v>
      </c>
      <c r="Z30">
        <f t="shared" si="18"/>
        <v>-170.31330345686473</v>
      </c>
      <c r="AA30">
        <f t="shared" si="19"/>
        <v>-190.01990853220948</v>
      </c>
      <c r="AB30">
        <f t="shared" si="20"/>
        <v>-12.005924917238151</v>
      </c>
      <c r="AC30">
        <f t="shared" si="21"/>
        <v>-19.002239707420671</v>
      </c>
      <c r="AD30">
        <v>-4.1377407697628002E-2</v>
      </c>
      <c r="AE30">
        <v>4.6449765000589102E-2</v>
      </c>
      <c r="AF30">
        <v>3.4680712259424702</v>
      </c>
      <c r="AG30">
        <v>151</v>
      </c>
      <c r="AH30">
        <v>30</v>
      </c>
      <c r="AI30">
        <f t="shared" si="22"/>
        <v>1</v>
      </c>
      <c r="AJ30">
        <f t="shared" si="23"/>
        <v>0</v>
      </c>
      <c r="AK30">
        <f t="shared" si="24"/>
        <v>52958.28304072826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258.82492307692303</v>
      </c>
      <c r="AT30">
        <v>353.221</v>
      </c>
      <c r="AU30">
        <f t="shared" si="27"/>
        <v>0.26724367159109164</v>
      </c>
      <c r="AV30">
        <v>0.5</v>
      </c>
      <c r="AW30">
        <f t="shared" si="28"/>
        <v>1849.1804416445436</v>
      </c>
      <c r="AX30">
        <f t="shared" si="29"/>
        <v>49.698379677352214</v>
      </c>
      <c r="AY30">
        <f t="shared" si="30"/>
        <v>247.0908853297621</v>
      </c>
      <c r="AZ30">
        <f t="shared" si="31"/>
        <v>0.50274757163362316</v>
      </c>
      <c r="BA30">
        <f t="shared" si="32"/>
        <v>2.7416675266294887E-2</v>
      </c>
      <c r="BB30">
        <f t="shared" si="33"/>
        <v>-1</v>
      </c>
      <c r="BC30" t="s">
        <v>352</v>
      </c>
      <c r="BD30">
        <v>175.64</v>
      </c>
      <c r="BE30">
        <f t="shared" si="34"/>
        <v>177.58100000000002</v>
      </c>
      <c r="BF30">
        <f t="shared" si="35"/>
        <v>0.53156631015185729</v>
      </c>
      <c r="BG30">
        <f t="shared" si="36"/>
        <v>2.0110510134365751</v>
      </c>
      <c r="BH30">
        <f t="shared" si="37"/>
        <v>0.26724367159109164</v>
      </c>
      <c r="BI30" t="e">
        <f t="shared" si="38"/>
        <v>#DIV/0!</v>
      </c>
      <c r="BJ30">
        <v>5263</v>
      </c>
      <c r="BK30">
        <v>300</v>
      </c>
      <c r="BL30">
        <v>300</v>
      </c>
      <c r="BM30">
        <v>300</v>
      </c>
      <c r="BN30">
        <v>9875.34</v>
      </c>
      <c r="BO30">
        <v>325.64299999999997</v>
      </c>
      <c r="BP30">
        <v>-6.40473E-3</v>
      </c>
      <c r="BQ30">
        <v>0.96102900000000002</v>
      </c>
      <c r="BR30">
        <f t="shared" si="39"/>
        <v>2199.9941935483898</v>
      </c>
      <c r="BS30">
        <f t="shared" si="40"/>
        <v>1849.1804416445436</v>
      </c>
      <c r="BT30">
        <f t="shared" si="41"/>
        <v>0.84053878281468752</v>
      </c>
      <c r="BU30">
        <f t="shared" si="42"/>
        <v>0.19107756562937486</v>
      </c>
      <c r="BV30">
        <v>0.5</v>
      </c>
      <c r="BW30" t="s">
        <v>281</v>
      </c>
      <c r="BX30">
        <v>1595608114.80323</v>
      </c>
      <c r="BY30">
        <v>1577.77335483871</v>
      </c>
      <c r="BZ30">
        <v>1600.0877419354799</v>
      </c>
      <c r="CA30">
        <v>18.656077419354801</v>
      </c>
      <c r="CB30">
        <v>17.140261290322599</v>
      </c>
      <c r="CC30">
        <v>500.05145161290301</v>
      </c>
      <c r="CD30">
        <v>99.741787096774203</v>
      </c>
      <c r="CE30">
        <v>0.200000451612903</v>
      </c>
      <c r="CF30">
        <v>25.887270967741902</v>
      </c>
      <c r="CG30">
        <v>26.925312903225802</v>
      </c>
      <c r="CH30">
        <v>999.9</v>
      </c>
      <c r="CI30">
        <v>10004.195161290299</v>
      </c>
      <c r="CJ30">
        <v>0</v>
      </c>
      <c r="CK30">
        <v>322.318451612903</v>
      </c>
      <c r="CL30">
        <v>2199.9941935483898</v>
      </c>
      <c r="CM30">
        <v>0.98199838709677401</v>
      </c>
      <c r="CN30">
        <v>1.80020935483871E-2</v>
      </c>
      <c r="CO30">
        <v>0</v>
      </c>
      <c r="CP30">
        <v>258.83809677419401</v>
      </c>
      <c r="CQ30">
        <v>5.00054</v>
      </c>
      <c r="CR30">
        <v>8032.66387096774</v>
      </c>
      <c r="CS30">
        <v>20590.467741935499</v>
      </c>
      <c r="CT30">
        <v>49.846580645161303</v>
      </c>
      <c r="CU30">
        <v>51.937129032257999</v>
      </c>
      <c r="CV30">
        <v>50.276000000000003</v>
      </c>
      <c r="CW30">
        <v>50.729612903225799</v>
      </c>
      <c r="CX30">
        <v>50.987741935483903</v>
      </c>
      <c r="CY30">
        <v>2155.4835483871002</v>
      </c>
      <c r="CZ30">
        <v>39.510645161290299</v>
      </c>
      <c r="DA30">
        <v>0</v>
      </c>
      <c r="DB30">
        <v>147.69999980926499</v>
      </c>
      <c r="DC30">
        <v>258.82492307692303</v>
      </c>
      <c r="DD30">
        <v>-1.5385299189811701</v>
      </c>
      <c r="DE30">
        <v>-36.369914566233703</v>
      </c>
      <c r="DF30">
        <v>8032.6130769230804</v>
      </c>
      <c r="DG30">
        <v>15</v>
      </c>
      <c r="DH30">
        <v>1595608145.8</v>
      </c>
      <c r="DI30" t="s">
        <v>353</v>
      </c>
      <c r="DJ30">
        <v>28</v>
      </c>
      <c r="DK30">
        <v>-9.0999999999999998E-2</v>
      </c>
      <c r="DL30">
        <v>0.113</v>
      </c>
      <c r="DM30">
        <v>1600</v>
      </c>
      <c r="DN30">
        <v>17</v>
      </c>
      <c r="DO30">
        <v>0.31</v>
      </c>
      <c r="DP30">
        <v>0.04</v>
      </c>
      <c r="DQ30">
        <v>1577.8705882352899</v>
      </c>
      <c r="DR30">
        <v>0.39694782441620702</v>
      </c>
      <c r="DS30">
        <v>0.100497034678832</v>
      </c>
      <c r="DT30">
        <v>0</v>
      </c>
      <c r="DU30">
        <v>18.672699999999999</v>
      </c>
      <c r="DV30">
        <v>-0.17437960880686501</v>
      </c>
      <c r="DW30">
        <v>2.4092403814660001E-2</v>
      </c>
      <c r="DX30">
        <v>1</v>
      </c>
      <c r="DY30">
        <v>1</v>
      </c>
      <c r="DZ30">
        <v>2</v>
      </c>
      <c r="EA30" t="s">
        <v>283</v>
      </c>
      <c r="EB30">
        <v>1.86676</v>
      </c>
      <c r="EC30">
        <v>1.86327</v>
      </c>
      <c r="ED30">
        <v>1.8689</v>
      </c>
      <c r="EE30">
        <v>1.8668499999999999</v>
      </c>
      <c r="EF30">
        <v>1.8715999999999999</v>
      </c>
      <c r="EG30">
        <v>1.8640099999999999</v>
      </c>
      <c r="EH30">
        <v>1.86554</v>
      </c>
      <c r="EI30">
        <v>1.8655299999999999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-9.0999999999999998E-2</v>
      </c>
      <c r="EX30">
        <v>0.113</v>
      </c>
      <c r="EY30">
        <v>2</v>
      </c>
      <c r="EZ30">
        <v>330.92700000000002</v>
      </c>
      <c r="FA30">
        <v>480.733</v>
      </c>
      <c r="FB30">
        <v>20.258500000000002</v>
      </c>
      <c r="FC30">
        <v>35.720399999999998</v>
      </c>
      <c r="FD30">
        <v>29.996500000000001</v>
      </c>
      <c r="FE30">
        <v>35.687800000000003</v>
      </c>
      <c r="FF30">
        <v>35.682200000000002</v>
      </c>
      <c r="FG30">
        <v>67.0458</v>
      </c>
      <c r="FH30">
        <v>48.252099999999999</v>
      </c>
      <c r="FI30">
        <v>0</v>
      </c>
      <c r="FJ30">
        <v>20.446999999999999</v>
      </c>
      <c r="FK30">
        <v>1600</v>
      </c>
      <c r="FL30">
        <v>16.939599999999999</v>
      </c>
      <c r="FM30">
        <v>100.50700000000001</v>
      </c>
      <c r="FN30">
        <v>100.68899999999999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2020-07-24T11:29:24Z</dcterms:created>
  <dcterms:modified xsi:type="dcterms:W3CDTF">2024-11-20T09:02:19Z</dcterms:modified>
</cp:coreProperties>
</file>