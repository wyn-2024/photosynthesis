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winter wheat\"/>
    </mc:Choice>
  </mc:AlternateContent>
  <xr:revisionPtr revIDLastSave="0" documentId="13_ncr:1_{349B08B9-0956-401A-9C1A-0A2597DCD0B2}" xr6:coauthVersionLast="47" xr6:coauthVersionMax="47" xr10:uidLastSave="{00000000-0000-0000-0000-000000000000}"/>
  <bookViews>
    <workbookView xWindow="8004" yWindow="3852" windowWidth="15576" windowHeight="1101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9" i="1" l="1"/>
  <c r="BK29" i="1"/>
  <c r="BI29" i="1"/>
  <c r="BJ29" i="1" s="1"/>
  <c r="BH29" i="1"/>
  <c r="BG29" i="1"/>
  <c r="BF29" i="1"/>
  <c r="BE29" i="1"/>
  <c r="BD29" i="1"/>
  <c r="AY29" i="1" s="1"/>
  <c r="BA29" i="1"/>
  <c r="AT29" i="1"/>
  <c r="AN29" i="1"/>
  <c r="AO29" i="1" s="1"/>
  <c r="AJ29" i="1"/>
  <c r="AH29" i="1"/>
  <c r="AI29" i="1" s="1"/>
  <c r="W29" i="1"/>
  <c r="V29" i="1"/>
  <c r="U29" i="1" s="1"/>
  <c r="N29" i="1"/>
  <c r="G29" i="1"/>
  <c r="BL28" i="1"/>
  <c r="BK28" i="1"/>
  <c r="BI28" i="1"/>
  <c r="BH28" i="1"/>
  <c r="BG28" i="1"/>
  <c r="BF28" i="1"/>
  <c r="BE28" i="1"/>
  <c r="BD28" i="1"/>
  <c r="BA28" i="1"/>
  <c r="AY28" i="1"/>
  <c r="AT28" i="1"/>
  <c r="AN28" i="1"/>
  <c r="AO28" i="1" s="1"/>
  <c r="AJ28" i="1"/>
  <c r="AH28" i="1" s="1"/>
  <c r="L28" i="1" s="1"/>
  <c r="W28" i="1"/>
  <c r="V28" i="1"/>
  <c r="U28" i="1"/>
  <c r="N28" i="1"/>
  <c r="BL27" i="1"/>
  <c r="BK27" i="1"/>
  <c r="BI27" i="1"/>
  <c r="BJ27" i="1" s="1"/>
  <c r="AV27" i="1" s="1"/>
  <c r="BH27" i="1"/>
  <c r="BG27" i="1"/>
  <c r="BF27" i="1"/>
  <c r="BE27" i="1"/>
  <c r="BD27" i="1"/>
  <c r="AY27" i="1" s="1"/>
  <c r="BA27" i="1"/>
  <c r="AT27" i="1"/>
  <c r="AN27" i="1"/>
  <c r="AO27" i="1" s="1"/>
  <c r="AJ27" i="1"/>
  <c r="AH27" i="1" s="1"/>
  <c r="I27" i="1" s="1"/>
  <c r="W27" i="1"/>
  <c r="U27" i="1" s="1"/>
  <c r="V27" i="1"/>
  <c r="N27" i="1"/>
  <c r="BL26" i="1"/>
  <c r="BK26" i="1"/>
  <c r="BI26" i="1"/>
  <c r="BJ26" i="1" s="1"/>
  <c r="Q26" i="1" s="1"/>
  <c r="BH26" i="1"/>
  <c r="BG26" i="1"/>
  <c r="BF26" i="1"/>
  <c r="BE26" i="1"/>
  <c r="BD26" i="1"/>
  <c r="BA26" i="1"/>
  <c r="AY26" i="1"/>
  <c r="AT26" i="1"/>
  <c r="AN26" i="1"/>
  <c r="AO26" i="1" s="1"/>
  <c r="AJ26" i="1"/>
  <c r="AH26" i="1"/>
  <c r="AI26" i="1" s="1"/>
  <c r="W26" i="1"/>
  <c r="V26" i="1"/>
  <c r="U26" i="1"/>
  <c r="N26" i="1"/>
  <c r="BL25" i="1"/>
  <c r="BK25" i="1"/>
  <c r="BI25" i="1"/>
  <c r="BH25" i="1"/>
  <c r="BG25" i="1"/>
  <c r="BF25" i="1"/>
  <c r="BE25" i="1"/>
  <c r="BD25" i="1"/>
  <c r="AY25" i="1" s="1"/>
  <c r="BA25" i="1"/>
  <c r="AT25" i="1"/>
  <c r="AN25" i="1"/>
  <c r="AO25" i="1" s="1"/>
  <c r="AJ25" i="1"/>
  <c r="AH25" i="1" s="1"/>
  <c r="L25" i="1" s="1"/>
  <c r="AI25" i="1"/>
  <c r="W25" i="1"/>
  <c r="V25" i="1"/>
  <c r="U25" i="1"/>
  <c r="N25" i="1"/>
  <c r="I25" i="1"/>
  <c r="H25" i="1"/>
  <c r="AW25" i="1" s="1"/>
  <c r="G25" i="1"/>
  <c r="BL24" i="1"/>
  <c r="BK24" i="1"/>
  <c r="BI24" i="1"/>
  <c r="BH24" i="1"/>
  <c r="BG24" i="1"/>
  <c r="BF24" i="1"/>
  <c r="BE24" i="1"/>
  <c r="BD24" i="1"/>
  <c r="BA24" i="1"/>
  <c r="AY24" i="1"/>
  <c r="AT24" i="1"/>
  <c r="AN24" i="1"/>
  <c r="AO24" i="1" s="1"/>
  <c r="AJ24" i="1"/>
  <c r="AH24" i="1" s="1"/>
  <c r="G24" i="1" s="1"/>
  <c r="W24" i="1"/>
  <c r="V24" i="1"/>
  <c r="U24" i="1" s="1"/>
  <c r="N24" i="1"/>
  <c r="BL23" i="1"/>
  <c r="BK23" i="1"/>
  <c r="BI23" i="1"/>
  <c r="BJ23" i="1" s="1"/>
  <c r="BH23" i="1"/>
  <c r="BG23" i="1"/>
  <c r="BF23" i="1"/>
  <c r="BE23" i="1"/>
  <c r="BD23" i="1"/>
  <c r="BA23" i="1"/>
  <c r="AY23" i="1"/>
  <c r="AT23" i="1"/>
  <c r="AN23" i="1"/>
  <c r="AO23" i="1" s="1"/>
  <c r="AJ23" i="1"/>
  <c r="AH23" i="1" s="1"/>
  <c r="L23" i="1" s="1"/>
  <c r="W23" i="1"/>
  <c r="V23" i="1"/>
  <c r="U23" i="1"/>
  <c r="N23" i="1"/>
  <c r="BL22" i="1"/>
  <c r="BK22" i="1"/>
  <c r="BI22" i="1"/>
  <c r="BH22" i="1"/>
  <c r="BG22" i="1"/>
  <c r="BF22" i="1"/>
  <c r="BE22" i="1"/>
  <c r="BD22" i="1"/>
  <c r="BA22" i="1"/>
  <c r="AY22" i="1"/>
  <c r="AT22" i="1"/>
  <c r="AN22" i="1"/>
  <c r="AO22" i="1" s="1"/>
  <c r="AJ22" i="1"/>
  <c r="AH22" i="1" s="1"/>
  <c r="W22" i="1"/>
  <c r="V22" i="1"/>
  <c r="U22" i="1" s="1"/>
  <c r="N22" i="1"/>
  <c r="BL21" i="1"/>
  <c r="BK21" i="1"/>
  <c r="BI21" i="1"/>
  <c r="BH21" i="1"/>
  <c r="BG21" i="1"/>
  <c r="BF21" i="1"/>
  <c r="BE21" i="1"/>
  <c r="BD21" i="1"/>
  <c r="BA21" i="1"/>
  <c r="AY21" i="1"/>
  <c r="AT21" i="1"/>
  <c r="AN21" i="1"/>
  <c r="AO21" i="1" s="1"/>
  <c r="AJ21" i="1"/>
  <c r="AH21" i="1"/>
  <c r="L21" i="1" s="1"/>
  <c r="W21" i="1"/>
  <c r="V21" i="1"/>
  <c r="U21" i="1"/>
  <c r="N21" i="1"/>
  <c r="BL20" i="1"/>
  <c r="BK20" i="1"/>
  <c r="BI20" i="1"/>
  <c r="BJ20" i="1" s="1"/>
  <c r="Q20" i="1" s="1"/>
  <c r="BH20" i="1"/>
  <c r="BG20" i="1"/>
  <c r="BF20" i="1"/>
  <c r="BE20" i="1"/>
  <c r="BD20" i="1"/>
  <c r="AY20" i="1" s="1"/>
  <c r="BA20" i="1"/>
  <c r="AT20" i="1"/>
  <c r="AN20" i="1"/>
  <c r="AO20" i="1" s="1"/>
  <c r="AJ20" i="1"/>
  <c r="AH20" i="1" s="1"/>
  <c r="L20" i="1" s="1"/>
  <c r="W20" i="1"/>
  <c r="V20" i="1"/>
  <c r="U20" i="1" s="1"/>
  <c r="N20" i="1"/>
  <c r="I20" i="1"/>
  <c r="BL19" i="1"/>
  <c r="BK19" i="1"/>
  <c r="BI19" i="1"/>
  <c r="BJ19" i="1" s="1"/>
  <c r="BH19" i="1"/>
  <c r="BG19" i="1"/>
  <c r="BF19" i="1"/>
  <c r="BE19" i="1"/>
  <c r="BD19" i="1"/>
  <c r="AY19" i="1" s="1"/>
  <c r="BA19" i="1"/>
  <c r="AT19" i="1"/>
  <c r="AN19" i="1"/>
  <c r="AO19" i="1" s="1"/>
  <c r="AJ19" i="1"/>
  <c r="AH19" i="1" s="1"/>
  <c r="W19" i="1"/>
  <c r="V19" i="1"/>
  <c r="U19" i="1" s="1"/>
  <c r="N19" i="1"/>
  <c r="BL18" i="1"/>
  <c r="BK18" i="1"/>
  <c r="BI18" i="1"/>
  <c r="BJ18" i="1" s="1"/>
  <c r="BH18" i="1"/>
  <c r="BG18" i="1"/>
  <c r="BF18" i="1"/>
  <c r="BE18" i="1"/>
  <c r="BD18" i="1"/>
  <c r="BA18" i="1"/>
  <c r="AY18" i="1"/>
  <c r="AT18" i="1"/>
  <c r="AN18" i="1"/>
  <c r="AO18" i="1" s="1"/>
  <c r="AJ18" i="1"/>
  <c r="AH18" i="1" s="1"/>
  <c r="W18" i="1"/>
  <c r="V18" i="1"/>
  <c r="U18" i="1" s="1"/>
  <c r="N18" i="1"/>
  <c r="BL17" i="1"/>
  <c r="BK17" i="1"/>
  <c r="BI17" i="1"/>
  <c r="BH17" i="1"/>
  <c r="BG17" i="1"/>
  <c r="BF17" i="1"/>
  <c r="BE17" i="1"/>
  <c r="BD17" i="1"/>
  <c r="AY17" i="1" s="1"/>
  <c r="BA17" i="1"/>
  <c r="AT17" i="1"/>
  <c r="AN17" i="1"/>
  <c r="AO17" i="1" s="1"/>
  <c r="AJ17" i="1"/>
  <c r="AH17" i="1" s="1"/>
  <c r="W17" i="1"/>
  <c r="U17" i="1" s="1"/>
  <c r="V17" i="1"/>
  <c r="N17" i="1"/>
  <c r="BJ21" i="1" l="1"/>
  <c r="AV21" i="1" s="1"/>
  <c r="BJ25" i="1"/>
  <c r="BJ22" i="1"/>
  <c r="AV22" i="1" s="1"/>
  <c r="BJ17" i="1"/>
  <c r="AV17" i="1" s="1"/>
  <c r="AX17" i="1" s="1"/>
  <c r="BJ28" i="1"/>
  <c r="AV20" i="1"/>
  <c r="AX20" i="1" s="1"/>
  <c r="L22" i="1"/>
  <c r="H22" i="1"/>
  <c r="AW22" i="1" s="1"/>
  <c r="I22" i="1"/>
  <c r="AX21" i="1"/>
  <c r="BJ24" i="1"/>
  <c r="L26" i="1"/>
  <c r="Q23" i="1"/>
  <c r="AV23" i="1"/>
  <c r="AX23" i="1" s="1"/>
  <c r="L19" i="1"/>
  <c r="AI19" i="1"/>
  <c r="H19" i="1"/>
  <c r="AW19" i="1" s="1"/>
  <c r="G19" i="1"/>
  <c r="I19" i="1"/>
  <c r="AV28" i="1"/>
  <c r="AX28" i="1" s="1"/>
  <c r="Q28" i="1"/>
  <c r="L17" i="1"/>
  <c r="I17" i="1"/>
  <c r="H17" i="1"/>
  <c r="AW17" i="1" s="1"/>
  <c r="G17" i="1"/>
  <c r="AI17" i="1"/>
  <c r="Q27" i="1"/>
  <c r="I29" i="1"/>
  <c r="L29" i="1"/>
  <c r="H29" i="1"/>
  <c r="AW29" i="1" s="1"/>
  <c r="Q19" i="1"/>
  <c r="AV19" i="1"/>
  <c r="AX19" i="1" s="1"/>
  <c r="H24" i="1"/>
  <c r="AW24" i="1" s="1"/>
  <c r="L24" i="1"/>
  <c r="I24" i="1"/>
  <c r="AI24" i="1"/>
  <c r="Y25" i="1"/>
  <c r="Y29" i="1"/>
  <c r="R20" i="1"/>
  <c r="S20" i="1" s="1"/>
  <c r="AV26" i="1"/>
  <c r="AX26" i="1" s="1"/>
  <c r="AX27" i="1"/>
  <c r="Q21" i="1"/>
  <c r="Q29" i="1"/>
  <c r="AV29" i="1"/>
  <c r="AX29" i="1" s="1"/>
  <c r="Y24" i="1"/>
  <c r="Q18" i="1"/>
  <c r="AV18" i="1"/>
  <c r="AX18" i="1" s="1"/>
  <c r="H18" i="1"/>
  <c r="AW18" i="1" s="1"/>
  <c r="AI18" i="1"/>
  <c r="L18" i="1"/>
  <c r="G18" i="1"/>
  <c r="I18" i="1"/>
  <c r="H20" i="1"/>
  <c r="AW20" i="1" s="1"/>
  <c r="AZ20" i="1" s="1"/>
  <c r="G20" i="1"/>
  <c r="AI20" i="1"/>
  <c r="Q24" i="1"/>
  <c r="AV24" i="1"/>
  <c r="AX24" i="1" s="1"/>
  <c r="AI28" i="1"/>
  <c r="AI23" i="1"/>
  <c r="G28" i="1"/>
  <c r="AI22" i="1"/>
  <c r="G23" i="1"/>
  <c r="H28" i="1"/>
  <c r="AW28" i="1" s="1"/>
  <c r="G22" i="1"/>
  <c r="H23" i="1"/>
  <c r="AW23" i="1" s="1"/>
  <c r="I28" i="1"/>
  <c r="I23" i="1"/>
  <c r="G26" i="1"/>
  <c r="R26" i="1" s="1"/>
  <c r="S26" i="1" s="1"/>
  <c r="Z26" i="1" s="1"/>
  <c r="L27" i="1"/>
  <c r="G21" i="1"/>
  <c r="H26" i="1"/>
  <c r="AW26" i="1" s="1"/>
  <c r="G27" i="1"/>
  <c r="AI21" i="1"/>
  <c r="H21" i="1"/>
  <c r="AW21" i="1" s="1"/>
  <c r="AZ21" i="1" s="1"/>
  <c r="I21" i="1"/>
  <c r="I26" i="1"/>
  <c r="AI27" i="1"/>
  <c r="H27" i="1"/>
  <c r="AW27" i="1" s="1"/>
  <c r="AZ27" i="1" s="1"/>
  <c r="AZ22" i="1" l="1"/>
  <c r="AX22" i="1"/>
  <c r="Q17" i="1"/>
  <c r="Q25" i="1"/>
  <c r="R25" i="1" s="1"/>
  <c r="S25" i="1" s="1"/>
  <c r="Z25" i="1" s="1"/>
  <c r="AV25" i="1"/>
  <c r="Q22" i="1"/>
  <c r="AZ17" i="1"/>
  <c r="AZ28" i="1"/>
  <c r="O25" i="1"/>
  <c r="M25" i="1" s="1"/>
  <c r="P25" i="1" s="1"/>
  <c r="J25" i="1" s="1"/>
  <c r="K25" i="1" s="1"/>
  <c r="AZ26" i="1"/>
  <c r="AZ23" i="1"/>
  <c r="Y17" i="1"/>
  <c r="Y22" i="1"/>
  <c r="AA26" i="1"/>
  <c r="T26" i="1"/>
  <c r="X26" i="1" s="1"/>
  <c r="Y21" i="1"/>
  <c r="R19" i="1"/>
  <c r="S19" i="1" s="1"/>
  <c r="R29" i="1"/>
  <c r="S29" i="1" s="1"/>
  <c r="AA20" i="1"/>
  <c r="T20" i="1"/>
  <c r="X20" i="1" s="1"/>
  <c r="Y23" i="1"/>
  <c r="R17" i="1"/>
  <c r="S17" i="1" s="1"/>
  <c r="O17" i="1" s="1"/>
  <c r="M17" i="1" s="1"/>
  <c r="P17" i="1" s="1"/>
  <c r="J17" i="1" s="1"/>
  <c r="K17" i="1" s="1"/>
  <c r="R22" i="1"/>
  <c r="S22" i="1" s="1"/>
  <c r="O22" i="1" s="1"/>
  <c r="M22" i="1" s="1"/>
  <c r="P22" i="1" s="1"/>
  <c r="J22" i="1" s="1"/>
  <c r="K22" i="1" s="1"/>
  <c r="AZ19" i="1"/>
  <c r="R18" i="1"/>
  <c r="S18" i="1" s="1"/>
  <c r="O18" i="1" s="1"/>
  <c r="M18" i="1" s="1"/>
  <c r="P18" i="1" s="1"/>
  <c r="J18" i="1" s="1"/>
  <c r="K18" i="1" s="1"/>
  <c r="Y28" i="1"/>
  <c r="AZ24" i="1"/>
  <c r="Y27" i="1"/>
  <c r="Y20" i="1"/>
  <c r="O20" i="1"/>
  <c r="M20" i="1" s="1"/>
  <c r="P20" i="1" s="1"/>
  <c r="J20" i="1" s="1"/>
  <c r="K20" i="1" s="1"/>
  <c r="R28" i="1"/>
  <c r="S28" i="1" s="1"/>
  <c r="O28" i="1" s="1"/>
  <c r="M28" i="1" s="1"/>
  <c r="P28" i="1" s="1"/>
  <c r="J28" i="1" s="1"/>
  <c r="K28" i="1" s="1"/>
  <c r="AZ29" i="1"/>
  <c r="Y26" i="1"/>
  <c r="O26" i="1"/>
  <c r="M26" i="1" s="1"/>
  <c r="P26" i="1" s="1"/>
  <c r="J26" i="1" s="1"/>
  <c r="K26" i="1" s="1"/>
  <c r="R21" i="1"/>
  <c r="S21" i="1" s="1"/>
  <c r="O21" i="1" s="1"/>
  <c r="M21" i="1" s="1"/>
  <c r="P21" i="1" s="1"/>
  <c r="J21" i="1" s="1"/>
  <c r="K21" i="1" s="1"/>
  <c r="AZ18" i="1"/>
  <c r="Z20" i="1"/>
  <c r="R27" i="1"/>
  <c r="S27" i="1" s="1"/>
  <c r="O27" i="1" s="1"/>
  <c r="M27" i="1" s="1"/>
  <c r="P27" i="1" s="1"/>
  <c r="J27" i="1" s="1"/>
  <c r="K27" i="1" s="1"/>
  <c r="R24" i="1"/>
  <c r="S24" i="1" s="1"/>
  <c r="Y18" i="1"/>
  <c r="Y19" i="1"/>
  <c r="O19" i="1"/>
  <c r="M19" i="1" s="1"/>
  <c r="P19" i="1" s="1"/>
  <c r="J19" i="1" s="1"/>
  <c r="K19" i="1" s="1"/>
  <c r="R23" i="1"/>
  <c r="S23" i="1" s="1"/>
  <c r="O23" i="1" s="1"/>
  <c r="M23" i="1" s="1"/>
  <c r="P23" i="1" s="1"/>
  <c r="J23" i="1" s="1"/>
  <c r="K23" i="1" s="1"/>
  <c r="T25" i="1" l="1"/>
  <c r="X25" i="1" s="1"/>
  <c r="AZ25" i="1"/>
  <c r="AX25" i="1"/>
  <c r="AA25" i="1"/>
  <c r="AB25" i="1" s="1"/>
  <c r="AB26" i="1"/>
  <c r="AA19" i="1"/>
  <c r="T19" i="1"/>
  <c r="X19" i="1" s="1"/>
  <c r="Z19" i="1"/>
  <c r="AA23" i="1"/>
  <c r="Z23" i="1"/>
  <c r="T23" i="1"/>
  <c r="X23" i="1" s="1"/>
  <c r="AB20" i="1"/>
  <c r="T29" i="1"/>
  <c r="X29" i="1" s="1"/>
  <c r="Z29" i="1"/>
  <c r="AA29" i="1"/>
  <c r="AB29" i="1" s="1"/>
  <c r="O29" i="1"/>
  <c r="M29" i="1" s="1"/>
  <c r="P29" i="1" s="1"/>
  <c r="J29" i="1" s="1"/>
  <c r="K29" i="1" s="1"/>
  <c r="T24" i="1"/>
  <c r="X24" i="1" s="1"/>
  <c r="AA24" i="1"/>
  <c r="Z24" i="1"/>
  <c r="O24" i="1"/>
  <c r="M24" i="1" s="1"/>
  <c r="P24" i="1" s="1"/>
  <c r="J24" i="1" s="1"/>
  <c r="K24" i="1" s="1"/>
  <c r="AA27" i="1"/>
  <c r="Z27" i="1"/>
  <c r="T27" i="1"/>
  <c r="X27" i="1" s="1"/>
  <c r="T18" i="1"/>
  <c r="X18" i="1" s="1"/>
  <c r="AA18" i="1"/>
  <c r="Z18" i="1"/>
  <c r="AA21" i="1"/>
  <c r="T21" i="1"/>
  <c r="X21" i="1" s="1"/>
  <c r="Z21" i="1"/>
  <c r="AA17" i="1"/>
  <c r="Z17" i="1"/>
  <c r="T17" i="1"/>
  <c r="X17" i="1" s="1"/>
  <c r="Z22" i="1"/>
  <c r="AA22" i="1"/>
  <c r="AB22" i="1" s="1"/>
  <c r="T22" i="1"/>
  <c r="X22" i="1" s="1"/>
  <c r="T28" i="1"/>
  <c r="X28" i="1" s="1"/>
  <c r="AA28" i="1"/>
  <c r="Z28" i="1"/>
  <c r="AB24" i="1" l="1"/>
  <c r="AB27" i="1"/>
  <c r="AB17" i="1"/>
  <c r="AB21" i="1"/>
  <c r="AB28" i="1"/>
  <c r="AB23" i="1"/>
  <c r="AB19" i="1"/>
  <c r="AB18" i="1"/>
</calcChain>
</file>

<file path=xl/sharedStrings.xml><?xml version="1.0" encoding="utf-8"?>
<sst xmlns="http://schemas.openxmlformats.org/spreadsheetml/2006/main" count="774" uniqueCount="339">
  <si>
    <t>File opened</t>
  </si>
  <si>
    <t>2025-03-23 16:43:30</t>
  </si>
  <si>
    <t>Console s/n</t>
  </si>
  <si>
    <t>68C-831436</t>
  </si>
  <si>
    <t>Console ver</t>
  </si>
  <si>
    <t>Bluestem v.1.3.17</t>
  </si>
  <si>
    <t>Scripts ver</t>
  </si>
  <si>
    <t>2018.12  1.3.16, Nov 2018</t>
  </si>
  <si>
    <t>Head s/n</t>
  </si>
  <si>
    <t>68H-581436</t>
  </si>
  <si>
    <t>Head ver</t>
  </si>
  <si>
    <t>1.3.1</t>
  </si>
  <si>
    <t>Head cal</t>
  </si>
  <si>
    <t>{"h2obspanconc1": "13.95", "co2bzero": "1.00791", "co2bspanconc1": "400", "co2aspan2a": "0.0993914", "oxygen": "21", "h2oazero": "1.0731", "co2aspanconc1": "400", "co2bspanconc2": "296.4", "chamberpressurezero": "2.59485", "flowbzero": "0.39951", "co2aspan1": "0.99659", "h2obspan2b": "0.0689187", "co2bspan2b": "0.0995427", "h2obspan2a": "0.0737568", "co2aspan2b": "0.0987926", "co2aspan2": "-0.0262979", "h2obzero": "1.10269", "h2oaspanconc2": "0", "flowazero": "0.27505", "h2oaspanconc1": "13.95", "tbzero": "0.254639", "co2azero": "0.943354", "co2bspan2": "-0.0259511", "ssa_ref": "30146.4", "h2obspan2": "0", "h2oaspan1": "0.929763", "h2obspanconc2": "0", "h2oaspan2": "0", "h2oaspan2b": "0.0685043", "co2aspanconc2": "296.4", "tazero": "0.156275", "flowmeterzero": "0.995024", "co2bspan1": "0.999317", "ssb_ref": "23621", "h2obspan1": "0.934405", "h2oaspan2a": "0.0736793", "co2bspan2a": "0.0998698"}</t>
  </si>
  <si>
    <t>Chamber type</t>
  </si>
  <si>
    <t>6800-01A</t>
  </si>
  <si>
    <t>Chamber s/n</t>
  </si>
  <si>
    <t>MPF-651348</t>
  </si>
  <si>
    <t>Chamber rev</t>
  </si>
  <si>
    <t>0</t>
  </si>
  <si>
    <t>Chamber cal</t>
  </si>
  <si>
    <t>Fluorometer</t>
  </si>
  <si>
    <t>Flr. Version</t>
  </si>
  <si>
    <t>16:43:30</t>
  </si>
  <si>
    <t>Stability Definition:	ΔCO2 (Meas2): Slp&lt;1 Std&lt;0.1 Per=20	ΔH2O (Meas2): Slp&lt;1 Std&lt;0.1 Per=20	A (GasEx): Slp&lt;1 Std&lt;1 Per=20	gsw (GasEx): Slp&lt;0.1 Std&lt;0.1 Per=20</t>
  </si>
  <si>
    <t>SysConst</t>
  </si>
  <si>
    <t>AvgTime</t>
  </si>
  <si>
    <t>4</t>
  </si>
  <si>
    <t>Oxygen</t>
  </si>
  <si>
    <t>21</t>
  </si>
  <si>
    <t>Chamber</t>
  </si>
  <si>
    <t>6800-01A 6 cm²</t>
  </si>
  <si>
    <t>Const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</si>
  <si>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</si>
  <si>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</si>
  <si>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</si>
  <si>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</si>
  <si>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</si>
  <si>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</si>
  <si>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</si>
  <si>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</si>
  <si>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</si>
  <si>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</si>
  <si>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</si>
  <si>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</si>
  <si>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</si>
  <si>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</si>
  <si>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</si>
  <si>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</si>
  <si>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</si>
  <si>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</si>
  <si>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</si>
  <si>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</si>
  <si>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</si>
  <si>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</si>
  <si>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</si>
  <si>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</si>
  <si>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</si>
  <si>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</si>
  <si>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</si>
  <si>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</si>
  <si>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</si>
  <si>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</si>
  <si>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</si>
  <si>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</si>
  <si>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</si>
  <si>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</si>
  <si>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</si>
  <si>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</si>
  <si>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</si>
  <si>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2.15243 98.5073 371.599 609.008 842.002 1044.95 1233.5 1408.56</t>
  </si>
  <si>
    <t>Fs_true</t>
  </si>
  <si>
    <t>0.133948 112.857 401.318 601.239 800.126 1000.75 1200.4 1400.87</t>
  </si>
  <si>
    <t>leak_wt</t>
  </si>
  <si>
    <t>Sys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</si>
  <si>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</si>
  <si>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</si>
  <si>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</si>
  <si>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</si>
  <si>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</si>
  <si>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</si>
  <si>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</si>
  <si>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</si>
  <si>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</si>
  <si>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</si>
  <si>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</si>
  <si>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</si>
  <si>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</si>
  <si>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</si>
  <si>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</si>
  <si>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</si>
  <si>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</si>
  <si>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</si>
  <si>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</si>
  <si>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</si>
  <si>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</si>
  <si>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</si>
  <si>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</si>
  <si>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</si>
  <si>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</si>
  <si>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</si>
  <si>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</si>
  <si>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</si>
  <si>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</si>
  <si>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</si>
  <si>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</si>
  <si>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</si>
  <si>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</si>
  <si>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</si>
  <si>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</si>
  <si>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</si>
  <si>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</si>
  <si>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</si>
  <si>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</si>
  <si>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</si>
  <si>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</si>
  <si>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</si>
  <si>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</si>
  <si>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</si>
  <si>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</si>
  <si>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</si>
  <si>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</si>
  <si>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</si>
  <si>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</si>
  <si>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</si>
  <si>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</si>
  <si>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</si>
  <si>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</si>
  <si>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</si>
  <si>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</si>
  <si>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</si>
  <si>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</si>
  <si>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</si>
  <si>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</si>
  <si>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</si>
  <si>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</si>
  <si>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</si>
  <si>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</si>
  <si>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</si>
  <si>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</si>
  <si>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</si>
  <si>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</si>
  <si>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</si>
  <si>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</si>
  <si>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</si>
  <si>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</si>
  <si>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</si>
  <si>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</si>
  <si>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</si>
  <si>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</si>
  <si>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</si>
  <si>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</si>
  <si>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</si>
  <si>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</si>
  <si>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</si>
  <si>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</si>
  <si>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</si>
  <si>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</si>
  <si>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</si>
  <si>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</si>
  <si>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</si>
  <si>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</si>
  <si>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</si>
  <si>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</si>
  <si>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</si>
  <si>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</si>
  <si>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</si>
  <si>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</si>
  <si>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</si>
  <si>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</si>
  <si>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</si>
  <si>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</si>
  <si>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</si>
  <si>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</si>
  <si>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</si>
  <si>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</si>
  <si>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</si>
  <si>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</si>
  <si>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</si>
  <si>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</si>
  <si>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</si>
  <si>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</si>
  <si>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</si>
  <si>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</si>
  <si>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</si>
  <si>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</si>
  <si>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</si>
  <si>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</si>
  <si>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</si>
  <si>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</si>
  <si>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</si>
  <si>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</si>
  <si>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</si>
  <si>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</si>
  <si>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</si>
  <si>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</si>
  <si>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</si>
  <si>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</si>
  <si>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</si>
  <si>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</si>
  <si>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</si>
  <si>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</si>
  <si>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</si>
  <si>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</si>
  <si>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</si>
  <si>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</si>
  <si>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</si>
  <si>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</si>
  <si>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</si>
  <si>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</si>
  <si>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</si>
  <si>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</si>
  <si>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</si>
  <si>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</si>
  <si>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</si>
  <si>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</si>
  <si>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</si>
  <si>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</si>
  <si>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</si>
  <si>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</si>
  <si>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</si>
  <si>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</si>
  <si>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</si>
  <si>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</si>
  <si>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</si>
  <si>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</si>
  <si>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</si>
  <si>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</si>
  <si>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</si>
  <si>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</si>
  <si>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</si>
  <si>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</si>
  <si>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</si>
  <si>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</si>
  <si>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</si>
  <si>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</si>
  <si>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</si>
  <si>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</si>
  <si>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</si>
  <si>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</si>
  <si>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</si>
  <si>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</si>
  <si>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</si>
  <si>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</si>
  <si>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</si>
  <si>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</si>
  <si>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</si>
  <si>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</si>
  <si>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</si>
  <si>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</si>
  <si>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</si>
  <si>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</si>
  <si>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</si>
  <si>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</si>
  <si>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</si>
  <si>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</si>
  <si>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</si>
  <si>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</si>
  <si>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</si>
  <si>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</si>
  <si>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</si>
  <si>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</si>
  <si>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</si>
  <si>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</si>
  <si>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</si>
  <si>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</si>
  <si>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</si>
  <si>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</si>
  <si>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</si>
  <si>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</si>
  <si>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</si>
  <si>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</si>
  <si>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</si>
  <si>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</si>
  <si>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mmol mol⁻¹ min⁻¹</t>
  </si>
  <si>
    <t>mol m⁻² s⁻¹ min⁻¹</t>
  </si>
  <si>
    <t>V</t>
  </si>
  <si>
    <t>20180220 09:29:01</t>
  </si>
  <si>
    <t>09:29:01</t>
  </si>
  <si>
    <t>MPF-1219-20180117-06_34_57</t>
  </si>
  <si>
    <t>MPF-1288-20180117-12_17_50</t>
  </si>
  <si>
    <t>-</t>
  </si>
  <si>
    <t>0: Broadleaf</t>
  </si>
  <si>
    <t>09:27:58</t>
  </si>
  <si>
    <t>4/4</t>
  </si>
  <si>
    <t>5</t>
  </si>
  <si>
    <t>11111111</t>
  </si>
  <si>
    <t>oooooooo</t>
  </si>
  <si>
    <t>off</t>
  </si>
  <si>
    <t>20180220 09:31:01</t>
  </si>
  <si>
    <t>09:31:01</t>
  </si>
  <si>
    <t>MPF-1289-20180117-12_19_50</t>
  </si>
  <si>
    <t>09:30:06</t>
  </si>
  <si>
    <t>20180220 09:33:14</t>
  </si>
  <si>
    <t>09:33:14</t>
  </si>
  <si>
    <t>MPF-1290-20180117-12_22_03</t>
  </si>
  <si>
    <t>09:32:37</t>
  </si>
  <si>
    <t>20180220 09:35:15</t>
  </si>
  <si>
    <t>09:35:15</t>
  </si>
  <si>
    <t>MPF-1291-20180117-12_24_04</t>
  </si>
  <si>
    <t>09:34:20</t>
  </si>
  <si>
    <t>20180220 09:37:16</t>
  </si>
  <si>
    <t>09:37:16</t>
  </si>
  <si>
    <t>MPF-1292-20180117-12_26_05</t>
  </si>
  <si>
    <t>09:36:20</t>
  </si>
  <si>
    <t>20180220 09:39:16</t>
  </si>
  <si>
    <t>09:39:16</t>
  </si>
  <si>
    <t>MPF-1293-20180117-12_28_05</t>
  </si>
  <si>
    <t>09:38:22</t>
  </si>
  <si>
    <t>20180220 09:49:49</t>
  </si>
  <si>
    <t>09:49:49</t>
  </si>
  <si>
    <t>MPF-1298-20180117-12_38_38</t>
  </si>
  <si>
    <t>09:48:35</t>
  </si>
  <si>
    <t>2/4</t>
  </si>
  <si>
    <t>20180220 09:52:19</t>
  </si>
  <si>
    <t>09:52:19</t>
  </si>
  <si>
    <t>MPF-1299-20180117-12_41_08</t>
  </si>
  <si>
    <t>09:51:45</t>
  </si>
  <si>
    <t>20180220 09:54:20</t>
  </si>
  <si>
    <t>09:54:20</t>
  </si>
  <si>
    <t>MPF-1300-20180117-12_43_09</t>
  </si>
  <si>
    <t>09:53:41</t>
  </si>
  <si>
    <t>20180220 09:56:50</t>
  </si>
  <si>
    <t>09:56:50</t>
  </si>
  <si>
    <t>MPF-1301-20180117-12_45_39</t>
  </si>
  <si>
    <t>09:56:03</t>
  </si>
  <si>
    <t>20180220 09:59:21</t>
  </si>
  <si>
    <t>09:59:21</t>
  </si>
  <si>
    <t>MPF-1302-20180117-12_48_10</t>
  </si>
  <si>
    <t>09:57:59</t>
  </si>
  <si>
    <t>3/4</t>
  </si>
  <si>
    <t>20180220 10:01:51</t>
  </si>
  <si>
    <t>10:01:51</t>
  </si>
  <si>
    <t>MPF-1303-20180117-12_50_40</t>
  </si>
  <si>
    <t>10:01:03</t>
  </si>
  <si>
    <t>20180220 10:04:22</t>
  </si>
  <si>
    <t>10:04:22</t>
  </si>
  <si>
    <t>MPF-1304-20180117-12_53_11</t>
  </si>
  <si>
    <t>10:03:22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</si>
</sst>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P29"/>
  <sheetViews>
    <sheetView tabSelected="1" topLeftCell="FB10" workbookViewId="0">
      <selection activeCell="FL17" sqref="FL17"/>
    </sheetView>
  </sheetViews>
  <sheetFormatPr defaultRowHeight="14.4" x14ac:dyDescent="0.25"/>
  <sheetData>
    <row r="2" spans="1:172" x14ac:dyDescent="0.25">
      <c r="A2" t="s">
        <v>25</v>
      </c>
      <c r="B2" t="s">
        <v>26</v>
      </c>
      <c r="C2" t="s">
        <v>28</v>
      </c>
      <c r="D2" t="s">
        <v>30</v>
      </c>
    </row>
    <row r="3" spans="1:172" x14ac:dyDescent="0.25">
      <c r="B3" t="s">
        <v>27</v>
      </c>
      <c r="C3" t="s">
        <v>29</v>
      </c>
      <c r="D3" t="s">
        <v>31</v>
      </c>
    </row>
    <row r="4" spans="1:172" x14ac:dyDescent="0.25">
      <c r="A4" t="s">
        <v>32</v>
      </c>
      <c r="B4" t="s">
        <v>33</v>
      </c>
    </row>
    <row r="5" spans="1:172" x14ac:dyDescent="0.25">
      <c r="B5">
        <v>2</v>
      </c>
    </row>
    <row r="6" spans="1:172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</row>
    <row r="7" spans="1:172" x14ac:dyDescent="0.25">
      <c r="B7">
        <v>0</v>
      </c>
      <c r="C7">
        <v>0</v>
      </c>
      <c r="D7">
        <v>0</v>
      </c>
      <c r="E7">
        <v>1</v>
      </c>
    </row>
    <row r="8" spans="1:172" x14ac:dyDescent="0.25">
      <c r="A8" t="s">
        <v>39</v>
      </c>
      <c r="B8" t="s">
        <v>40</v>
      </c>
      <c r="C8" t="s">
        <v>42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56</v>
      </c>
      <c r="Q8" t="s">
        <v>57</v>
      </c>
    </row>
    <row r="9" spans="1:172" x14ac:dyDescent="0.25">
      <c r="B9" t="s">
        <v>41</v>
      </c>
      <c r="C9" t="s">
        <v>43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2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17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2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71</v>
      </c>
      <c r="H12" t="s">
        <v>73</v>
      </c>
    </row>
    <row r="13" spans="1:172" x14ac:dyDescent="0.25">
      <c r="B13">
        <v>-6276</v>
      </c>
      <c r="C13">
        <v>6.6</v>
      </c>
      <c r="D13">
        <v>1.7090000000000001E-5</v>
      </c>
      <c r="E13">
        <v>3.11</v>
      </c>
      <c r="F13" t="s">
        <v>70</v>
      </c>
      <c r="G13" t="s">
        <v>72</v>
      </c>
      <c r="H13">
        <v>0</v>
      </c>
    </row>
    <row r="14" spans="1:172" x14ac:dyDescent="0.25">
      <c r="A14" t="s">
        <v>74</v>
      </c>
      <c r="B14" t="s">
        <v>74</v>
      </c>
      <c r="C14" t="s">
        <v>74</v>
      </c>
      <c r="D14" t="s">
        <v>74</v>
      </c>
      <c r="E14" t="s">
        <v>74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78</v>
      </c>
      <c r="BK14" t="s">
        <v>78</v>
      </c>
      <c r="BL14" t="s">
        <v>78</v>
      </c>
      <c r="BM14" t="s">
        <v>32</v>
      </c>
      <c r="BN14" t="s">
        <v>32</v>
      </c>
      <c r="BO14" t="s">
        <v>32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  <c r="BX14" t="s">
        <v>79</v>
      </c>
      <c r="BY14" t="s">
        <v>79</v>
      </c>
      <c r="BZ14" t="s">
        <v>79</v>
      </c>
      <c r="CA14" t="s">
        <v>79</v>
      </c>
      <c r="CB14" t="s">
        <v>79</v>
      </c>
      <c r="CC14" t="s">
        <v>79</v>
      </c>
      <c r="CD14" t="s">
        <v>79</v>
      </c>
      <c r="CE14" t="s">
        <v>79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80</v>
      </c>
      <c r="CN14" t="s">
        <v>80</v>
      </c>
      <c r="CO14" t="s">
        <v>80</v>
      </c>
      <c r="CP14" t="s">
        <v>80</v>
      </c>
      <c r="CQ14" t="s">
        <v>80</v>
      </c>
      <c r="CR14" t="s">
        <v>80</v>
      </c>
      <c r="CS14" t="s">
        <v>80</v>
      </c>
      <c r="CT14" t="s">
        <v>80</v>
      </c>
      <c r="CU14" t="s">
        <v>80</v>
      </c>
      <c r="CV14" t="s">
        <v>80</v>
      </c>
      <c r="CW14" t="s">
        <v>81</v>
      </c>
      <c r="CX14" t="s">
        <v>81</v>
      </c>
      <c r="CY14" t="s">
        <v>81</v>
      </c>
      <c r="CZ14" t="s">
        <v>81</v>
      </c>
      <c r="DA14" t="s">
        <v>81</v>
      </c>
      <c r="DB14" t="s">
        <v>82</v>
      </c>
      <c r="DC14" t="s">
        <v>82</v>
      </c>
      <c r="DD14" t="s">
        <v>82</v>
      </c>
      <c r="DE14" t="s">
        <v>82</v>
      </c>
      <c r="DF14" t="s">
        <v>82</v>
      </c>
      <c r="DG14" t="s">
        <v>82</v>
      </c>
      <c r="DH14" t="s">
        <v>82</v>
      </c>
      <c r="DI14" t="s">
        <v>82</v>
      </c>
      <c r="DJ14" t="s">
        <v>82</v>
      </c>
      <c r="DK14" t="s">
        <v>83</v>
      </c>
      <c r="DL14" t="s">
        <v>83</v>
      </c>
      <c r="DM14" t="s">
        <v>83</v>
      </c>
      <c r="DN14" t="s">
        <v>83</v>
      </c>
      <c r="DO14" t="s">
        <v>83</v>
      </c>
      <c r="DP14" t="s">
        <v>83</v>
      </c>
      <c r="DQ14" t="s">
        <v>83</v>
      </c>
      <c r="DR14" t="s">
        <v>83</v>
      </c>
      <c r="DS14" t="s">
        <v>83</v>
      </c>
      <c r="DT14" t="s">
        <v>83</v>
      </c>
      <c r="DU14" t="s">
        <v>83</v>
      </c>
      <c r="DV14" t="s">
        <v>83</v>
      </c>
      <c r="DW14" t="s">
        <v>83</v>
      </c>
      <c r="DX14" t="s">
        <v>83</v>
      </c>
      <c r="DY14" t="s">
        <v>83</v>
      </c>
      <c r="DZ14" t="s">
        <v>83</v>
      </c>
      <c r="EA14" t="s">
        <v>83</v>
      </c>
      <c r="EB14" t="s">
        <v>83</v>
      </c>
      <c r="EC14" t="s">
        <v>83</v>
      </c>
      <c r="ED14" t="s">
        <v>84</v>
      </c>
      <c r="EE14" t="s">
        <v>84</v>
      </c>
      <c r="EF14" t="s">
        <v>84</v>
      </c>
      <c r="EG14" t="s">
        <v>84</v>
      </c>
      <c r="EH14" t="s">
        <v>84</v>
      </c>
      <c r="EI14" t="s">
        <v>84</v>
      </c>
      <c r="EJ14" t="s">
        <v>84</v>
      </c>
      <c r="EK14" t="s">
        <v>84</v>
      </c>
      <c r="EL14" t="s">
        <v>84</v>
      </c>
      <c r="EM14" t="s">
        <v>84</v>
      </c>
      <c r="EN14" t="s">
        <v>84</v>
      </c>
      <c r="EO14" t="s">
        <v>84</v>
      </c>
      <c r="EP14" t="s">
        <v>84</v>
      </c>
      <c r="EQ14" t="s">
        <v>84</v>
      </c>
      <c r="ER14" t="s">
        <v>84</v>
      </c>
      <c r="ES14" t="s">
        <v>84</v>
      </c>
      <c r="ET14" t="s">
        <v>84</v>
      </c>
      <c r="EU14" t="s">
        <v>84</v>
      </c>
      <c r="EV14" t="s">
        <v>84</v>
      </c>
      <c r="EW14" t="s">
        <v>85</v>
      </c>
      <c r="EX14" t="s">
        <v>85</v>
      </c>
      <c r="EY14" t="s">
        <v>85</v>
      </c>
      <c r="EZ14" t="s">
        <v>85</v>
      </c>
      <c r="FA14" t="s">
        <v>85</v>
      </c>
      <c r="FB14" t="s">
        <v>85</v>
      </c>
      <c r="FC14" t="s">
        <v>85</v>
      </c>
      <c r="FD14" t="s">
        <v>85</v>
      </c>
      <c r="FE14" t="s">
        <v>85</v>
      </c>
      <c r="FF14" t="s">
        <v>85</v>
      </c>
      <c r="FG14" t="s">
        <v>85</v>
      </c>
      <c r="FH14" t="s">
        <v>85</v>
      </c>
      <c r="FI14" t="s">
        <v>85</v>
      </c>
      <c r="FJ14" t="s">
        <v>85</v>
      </c>
      <c r="FK14" t="s">
        <v>85</v>
      </c>
      <c r="FL14" t="s">
        <v>85</v>
      </c>
      <c r="FM14" t="s">
        <v>85</v>
      </c>
      <c r="FN14" t="s">
        <v>85</v>
      </c>
      <c r="FO14" t="s">
        <v>85</v>
      </c>
      <c r="FP14" t="s">
        <v>85</v>
      </c>
    </row>
    <row r="15" spans="1:172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  <c r="W15" t="s">
        <v>108</v>
      </c>
      <c r="X15" t="s">
        <v>109</v>
      </c>
      <c r="Y15" t="s">
        <v>110</v>
      </c>
      <c r="Z15" t="s">
        <v>111</v>
      </c>
      <c r="AA15" t="s">
        <v>112</v>
      </c>
      <c r="AB15" t="s">
        <v>113</v>
      </c>
      <c r="AC15" t="s">
        <v>114</v>
      </c>
      <c r="AD15" t="s">
        <v>115</v>
      </c>
      <c r="AE15" t="s">
        <v>116</v>
      </c>
      <c r="AF15" t="s">
        <v>76</v>
      </c>
      <c r="AG15" t="s">
        <v>117</v>
      </c>
      <c r="AH15" t="s">
        <v>118</v>
      </c>
      <c r="AI15" t="s">
        <v>119</v>
      </c>
      <c r="AJ15" t="s">
        <v>120</v>
      </c>
      <c r="AK15" t="s">
        <v>121</v>
      </c>
      <c r="AL15" t="s">
        <v>122</v>
      </c>
      <c r="AM15" t="s">
        <v>123</v>
      </c>
      <c r="AN15" t="s">
        <v>124</v>
      </c>
      <c r="AO15" t="s">
        <v>125</v>
      </c>
      <c r="AP15" t="s">
        <v>126</v>
      </c>
      <c r="AQ15" t="s">
        <v>127</v>
      </c>
      <c r="AR15" t="s">
        <v>128</v>
      </c>
      <c r="AS15" t="s">
        <v>129</v>
      </c>
      <c r="AT15" t="s">
        <v>130</v>
      </c>
      <c r="AU15" t="s">
        <v>131</v>
      </c>
      <c r="AV15" t="s">
        <v>132</v>
      </c>
      <c r="AW15" t="s">
        <v>133</v>
      </c>
      <c r="AX15" t="s">
        <v>134</v>
      </c>
      <c r="AY15" t="s">
        <v>135</v>
      </c>
      <c r="AZ15" t="s">
        <v>136</v>
      </c>
      <c r="BA15" t="s">
        <v>137</v>
      </c>
      <c r="BB15" t="s">
        <v>138</v>
      </c>
      <c r="BC15" t="s">
        <v>139</v>
      </c>
      <c r="BD15" t="s">
        <v>140</v>
      </c>
      <c r="BE15" t="s">
        <v>141</v>
      </c>
      <c r="BF15" t="s">
        <v>142</v>
      </c>
      <c r="BG15" t="s">
        <v>143</v>
      </c>
      <c r="BH15" t="s">
        <v>144</v>
      </c>
      <c r="BI15" t="s">
        <v>145</v>
      </c>
      <c r="BJ15" t="s">
        <v>146</v>
      </c>
      <c r="BK15" t="s">
        <v>147</v>
      </c>
      <c r="BL15" t="s">
        <v>148</v>
      </c>
      <c r="BM15" t="s">
        <v>149</v>
      </c>
      <c r="BN15" t="s">
        <v>150</v>
      </c>
      <c r="BO15" t="s">
        <v>151</v>
      </c>
      <c r="BP15" t="s">
        <v>91</v>
      </c>
      <c r="BQ15" t="s">
        <v>152</v>
      </c>
      <c r="BR15" t="s">
        <v>153</v>
      </c>
      <c r="BS15" t="s">
        <v>154</v>
      </c>
      <c r="BT15" t="s">
        <v>155</v>
      </c>
      <c r="BU15" t="s">
        <v>156</v>
      </c>
      <c r="BV15" t="s">
        <v>157</v>
      </c>
      <c r="BW15" t="s">
        <v>158</v>
      </c>
      <c r="BX15" t="s">
        <v>159</v>
      </c>
      <c r="BY15" t="s">
        <v>160</v>
      </c>
      <c r="BZ15" t="s">
        <v>161</v>
      </c>
      <c r="CA15" t="s">
        <v>162</v>
      </c>
      <c r="CB15" t="s">
        <v>163</v>
      </c>
      <c r="CC15" t="s">
        <v>164</v>
      </c>
      <c r="CD15" t="s">
        <v>165</v>
      </c>
      <c r="CE15" t="s">
        <v>166</v>
      </c>
      <c r="CF15" t="s">
        <v>167</v>
      </c>
      <c r="CG15" t="s">
        <v>168</v>
      </c>
      <c r="CH15" t="s">
        <v>169</v>
      </c>
      <c r="CI15" t="s">
        <v>170</v>
      </c>
      <c r="CJ15" t="s">
        <v>171</v>
      </c>
      <c r="CK15" t="s">
        <v>172</v>
      </c>
      <c r="CL15" t="s">
        <v>173</v>
      </c>
      <c r="CM15" t="s">
        <v>174</v>
      </c>
      <c r="CN15" t="s">
        <v>175</v>
      </c>
      <c r="CO15" t="s">
        <v>176</v>
      </c>
      <c r="CP15" t="s">
        <v>177</v>
      </c>
      <c r="CQ15" t="s">
        <v>178</v>
      </c>
      <c r="CR15" t="s">
        <v>179</v>
      </c>
      <c r="CS15" t="s">
        <v>180</v>
      </c>
      <c r="CT15" t="s">
        <v>181</v>
      </c>
      <c r="CU15" t="s">
        <v>182</v>
      </c>
      <c r="CV15" t="s">
        <v>183</v>
      </c>
      <c r="CW15" t="s">
        <v>184</v>
      </c>
      <c r="CX15" t="s">
        <v>185</v>
      </c>
      <c r="CY15" t="s">
        <v>186</v>
      </c>
      <c r="CZ15" t="s">
        <v>187</v>
      </c>
      <c r="DA15" t="s">
        <v>188</v>
      </c>
      <c r="DB15" t="s">
        <v>87</v>
      </c>
      <c r="DC15" t="s">
        <v>90</v>
      </c>
      <c r="DD15" t="s">
        <v>189</v>
      </c>
      <c r="DE15" t="s">
        <v>190</v>
      </c>
      <c r="DF15" t="s">
        <v>191</v>
      </c>
      <c r="DG15" t="s">
        <v>192</v>
      </c>
      <c r="DH15" t="s">
        <v>193</v>
      </c>
      <c r="DI15" t="s">
        <v>194</v>
      </c>
      <c r="DJ15" t="s">
        <v>195</v>
      </c>
      <c r="DK15" t="s">
        <v>196</v>
      </c>
      <c r="DL15" t="s">
        <v>197</v>
      </c>
      <c r="DM15" t="s">
        <v>198</v>
      </c>
      <c r="DN15" t="s">
        <v>199</v>
      </c>
      <c r="DO15" t="s">
        <v>200</v>
      </c>
      <c r="DP15" t="s">
        <v>201</v>
      </c>
      <c r="DQ15" t="s">
        <v>202</v>
      </c>
      <c r="DR15" t="s">
        <v>203</v>
      </c>
      <c r="DS15" t="s">
        <v>204</v>
      </c>
      <c r="DT15" t="s">
        <v>205</v>
      </c>
      <c r="DU15" t="s">
        <v>206</v>
      </c>
      <c r="DV15" t="s">
        <v>207</v>
      </c>
      <c r="DW15" t="s">
        <v>208</v>
      </c>
      <c r="DX15" t="s">
        <v>209</v>
      </c>
      <c r="DY15" t="s">
        <v>210</v>
      </c>
      <c r="DZ15" t="s">
        <v>211</v>
      </c>
      <c r="EA15" t="s">
        <v>212</v>
      </c>
      <c r="EB15" t="s">
        <v>213</v>
      </c>
      <c r="EC15" t="s">
        <v>214</v>
      </c>
      <c r="ED15" t="s">
        <v>215</v>
      </c>
      <c r="EE15" t="s">
        <v>216</v>
      </c>
      <c r="EF15" t="s">
        <v>217</v>
      </c>
      <c r="EG15" t="s">
        <v>218</v>
      </c>
      <c r="EH15" t="s">
        <v>219</v>
      </c>
      <c r="EI15" t="s">
        <v>220</v>
      </c>
      <c r="EJ15" t="s">
        <v>221</v>
      </c>
      <c r="EK15" t="s">
        <v>222</v>
      </c>
      <c r="EL15" t="s">
        <v>223</v>
      </c>
      <c r="EM15" t="s">
        <v>224</v>
      </c>
      <c r="EN15" t="s">
        <v>225</v>
      </c>
      <c r="EO15" t="s">
        <v>226</v>
      </c>
      <c r="EP15" t="s">
        <v>227</v>
      </c>
      <c r="EQ15" t="s">
        <v>228</v>
      </c>
      <c r="ER15" t="s">
        <v>229</v>
      </c>
      <c r="ES15" t="s">
        <v>230</v>
      </c>
      <c r="ET15" t="s">
        <v>231</v>
      </c>
      <c r="EU15" t="s">
        <v>232</v>
      </c>
      <c r="EV15" t="s">
        <v>233</v>
      </c>
      <c r="EW15" t="s">
        <v>234</v>
      </c>
      <c r="EX15" t="s">
        <v>235</v>
      </c>
      <c r="EY15" t="s">
        <v>236</v>
      </c>
      <c r="EZ15" t="s">
        <v>237</v>
      </c>
      <c r="FA15" t="s">
        <v>238</v>
      </c>
      <c r="FB15" t="s">
        <v>239</v>
      </c>
      <c r="FC15" t="s">
        <v>240</v>
      </c>
      <c r="FD15" t="s">
        <v>241</v>
      </c>
      <c r="FE15" t="s">
        <v>242</v>
      </c>
      <c r="FF15" t="s">
        <v>243</v>
      </c>
      <c r="FG15" t="s">
        <v>244</v>
      </c>
      <c r="FH15" t="s">
        <v>245</v>
      </c>
      <c r="FI15" t="s">
        <v>246</v>
      </c>
      <c r="FJ15" t="s">
        <v>247</v>
      </c>
      <c r="FK15" t="s">
        <v>248</v>
      </c>
      <c r="FL15" t="s">
        <v>249</v>
      </c>
      <c r="FM15" t="s">
        <v>250</v>
      </c>
      <c r="FN15" t="s">
        <v>251</v>
      </c>
      <c r="FO15" t="s">
        <v>252</v>
      </c>
      <c r="FP15" t="s">
        <v>253</v>
      </c>
    </row>
    <row r="16" spans="1:172" x14ac:dyDescent="0.25">
      <c r="B16" t="s">
        <v>254</v>
      </c>
      <c r="C16" t="s">
        <v>254</v>
      </c>
      <c r="F16" t="s">
        <v>254</v>
      </c>
      <c r="G16" t="s">
        <v>255</v>
      </c>
      <c r="H16" t="s">
        <v>256</v>
      </c>
      <c r="I16" t="s">
        <v>257</v>
      </c>
      <c r="J16" t="s">
        <v>257</v>
      </c>
      <c r="K16" t="s">
        <v>157</v>
      </c>
      <c r="L16" t="s">
        <v>157</v>
      </c>
      <c r="M16" t="s">
        <v>255</v>
      </c>
      <c r="N16" t="s">
        <v>255</v>
      </c>
      <c r="O16" t="s">
        <v>255</v>
      </c>
      <c r="P16" t="s">
        <v>255</v>
      </c>
      <c r="Q16" t="s">
        <v>258</v>
      </c>
      <c r="R16" t="s">
        <v>259</v>
      </c>
      <c r="S16" t="s">
        <v>259</v>
      </c>
      <c r="T16" t="s">
        <v>260</v>
      </c>
      <c r="U16" t="s">
        <v>261</v>
      </c>
      <c r="V16" t="s">
        <v>260</v>
      </c>
      <c r="W16" t="s">
        <v>260</v>
      </c>
      <c r="X16" t="s">
        <v>260</v>
      </c>
      <c r="Y16" t="s">
        <v>258</v>
      </c>
      <c r="Z16" t="s">
        <v>258</v>
      </c>
      <c r="AA16" t="s">
        <v>258</v>
      </c>
      <c r="AB16" t="s">
        <v>258</v>
      </c>
      <c r="AF16" t="s">
        <v>262</v>
      </c>
      <c r="AG16" t="s">
        <v>261</v>
      </c>
      <c r="AI16" t="s">
        <v>261</v>
      </c>
      <c r="AJ16" t="s">
        <v>262</v>
      </c>
      <c r="AP16" t="s">
        <v>256</v>
      </c>
      <c r="AV16" t="s">
        <v>256</v>
      </c>
      <c r="AW16" t="s">
        <v>256</v>
      </c>
      <c r="AX16" t="s">
        <v>256</v>
      </c>
      <c r="AZ16" t="s">
        <v>263</v>
      </c>
      <c r="BI16" t="s">
        <v>256</v>
      </c>
      <c r="BJ16" t="s">
        <v>256</v>
      </c>
      <c r="BL16" t="s">
        <v>264</v>
      </c>
      <c r="BM16" t="s">
        <v>265</v>
      </c>
      <c r="BP16" t="s">
        <v>254</v>
      </c>
      <c r="BQ16" t="s">
        <v>257</v>
      </c>
      <c r="BR16" t="s">
        <v>257</v>
      </c>
      <c r="BS16" t="s">
        <v>266</v>
      </c>
      <c r="BT16" t="s">
        <v>266</v>
      </c>
      <c r="BU16" t="s">
        <v>262</v>
      </c>
      <c r="BV16" t="s">
        <v>260</v>
      </c>
      <c r="BW16" t="s">
        <v>260</v>
      </c>
      <c r="BX16" t="s">
        <v>259</v>
      </c>
      <c r="BY16" t="s">
        <v>259</v>
      </c>
      <c r="BZ16" t="s">
        <v>259</v>
      </c>
      <c r="CA16" t="s">
        <v>259</v>
      </c>
      <c r="CB16" t="s">
        <v>259</v>
      </c>
      <c r="CC16" t="s">
        <v>267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268</v>
      </c>
      <c r="CY16" t="s">
        <v>268</v>
      </c>
      <c r="DA16" t="s">
        <v>254</v>
      </c>
      <c r="DB16" t="s">
        <v>269</v>
      </c>
      <c r="DE16" t="s">
        <v>270</v>
      </c>
      <c r="DF16" t="s">
        <v>271</v>
      </c>
      <c r="DG16" t="s">
        <v>270</v>
      </c>
      <c r="DH16" t="s">
        <v>271</v>
      </c>
      <c r="DI16" t="s">
        <v>261</v>
      </c>
      <c r="DJ16" t="s">
        <v>261</v>
      </c>
      <c r="DK16" t="s">
        <v>256</v>
      </c>
      <c r="DL16" t="s">
        <v>272</v>
      </c>
      <c r="DM16" t="s">
        <v>256</v>
      </c>
      <c r="DO16" t="s">
        <v>257</v>
      </c>
      <c r="DP16" t="s">
        <v>273</v>
      </c>
      <c r="DQ16" t="s">
        <v>257</v>
      </c>
      <c r="DS16" t="s">
        <v>266</v>
      </c>
      <c r="DT16" t="s">
        <v>274</v>
      </c>
      <c r="DU16" t="s">
        <v>266</v>
      </c>
      <c r="DW16" t="s">
        <v>255</v>
      </c>
      <c r="DX16" t="s">
        <v>275</v>
      </c>
      <c r="DY16" t="s">
        <v>255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N16" t="s">
        <v>276</v>
      </c>
      <c r="EO16" t="s">
        <v>276</v>
      </c>
      <c r="EV16" t="s">
        <v>276</v>
      </c>
      <c r="EW16" t="s">
        <v>261</v>
      </c>
      <c r="EX16" t="s">
        <v>261</v>
      </c>
      <c r="EY16" t="s">
        <v>270</v>
      </c>
      <c r="EZ16" t="s">
        <v>271</v>
      </c>
      <c r="FB16" t="s">
        <v>262</v>
      </c>
      <c r="FC16" t="s">
        <v>262</v>
      </c>
      <c r="FD16" t="s">
        <v>259</v>
      </c>
      <c r="FE16" t="s">
        <v>259</v>
      </c>
      <c r="FF16" t="s">
        <v>259</v>
      </c>
      <c r="FG16" t="s">
        <v>259</v>
      </c>
      <c r="FH16" t="s">
        <v>259</v>
      </c>
      <c r="FI16" t="s">
        <v>261</v>
      </c>
      <c r="FJ16" t="s">
        <v>261</v>
      </c>
      <c r="FK16" t="s">
        <v>261</v>
      </c>
      <c r="FL16" t="s">
        <v>259</v>
      </c>
      <c r="FM16" t="s">
        <v>257</v>
      </c>
      <c r="FN16" t="s">
        <v>266</v>
      </c>
      <c r="FO16" t="s">
        <v>261</v>
      </c>
      <c r="FP16" t="s">
        <v>261</v>
      </c>
    </row>
    <row r="17" spans="1:172" x14ac:dyDescent="0.25">
      <c r="A17">
        <v>1</v>
      </c>
      <c r="B17">
        <v>1519090141.0999999</v>
      </c>
      <c r="C17">
        <v>0</v>
      </c>
      <c r="D17" t="s">
        <v>277</v>
      </c>
      <c r="E17" t="s">
        <v>278</v>
      </c>
      <c r="F17">
        <v>1519090133.0999999</v>
      </c>
      <c r="G17">
        <f t="shared" ref="G17:G29" si="0">BU17*AH17*(BS17-BT17)/(100*BM17*(1000-AH17*BS17))</f>
        <v>3.8219831786627787E-3</v>
      </c>
      <c r="H17">
        <f t="shared" ref="H17:H29" si="1">BU17*AH17*(BR17-BQ17*(1000-AH17*BT17)/(1000-AH17*BS17))/(100*BM17)</f>
        <v>23.937335885051901</v>
      </c>
      <c r="I17">
        <f t="shared" ref="I17:I29" si="2">BQ17 - IF(AH17&gt;1, H17*BM17*100/(AJ17*CC17), 0)</f>
        <v>372.11009677419298</v>
      </c>
      <c r="J17">
        <f t="shared" ref="J17:J29" si="3">((P17-G17/2)*I17-H17)/(P17+G17/2)</f>
        <v>206.53251395530089</v>
      </c>
      <c r="K17">
        <f t="shared" ref="K17:K29" si="4">J17*(BV17+BW17)/1000</f>
        <v>19.711988824431554</v>
      </c>
      <c r="L17">
        <f t="shared" ref="L17:L29" si="5">(BQ17 - IF(AH17&gt;1, H17*BM17*100/(AJ17*CC17), 0))*(BV17+BW17)/1000</f>
        <v>35.515134777561137</v>
      </c>
      <c r="M17">
        <f t="shared" ref="M17:M29" si="6">2/((1/O17-1/N17)+SIGN(O17)*SQRT((1/O17-1/N17)*(1/O17-1/N17) + 4*BN17/((BN17+1)*(BN17+1))*(2*1/O17*1/N17-1/N17*1/N17)))</f>
        <v>0.25417879311692193</v>
      </c>
      <c r="N17">
        <f t="shared" ref="N17:N29" si="7">AE17+AD17*BM17+AC17*BM17*BM17</f>
        <v>2.3922648871618137</v>
      </c>
      <c r="O17">
        <f t="shared" ref="O17:O29" si="8">G17*(1000-(1000*0.61365*EXP(17.502*S17/(240.97+S17))/(BV17+BW17)+BS17)/2)/(1000*0.61365*EXP(17.502*S17/(240.97+S17))/(BV17+BW17)-BS17)</f>
        <v>0.24007175563852995</v>
      </c>
      <c r="P17">
        <f t="shared" ref="P17:P29" si="9">1/((BN17+1)/(M17/1.6)+1/(N17/1.37)) + BN17/((BN17+1)/(M17/1.6) + BN17/(N17/1.37))</f>
        <v>0.15124702644546245</v>
      </c>
      <c r="Q17">
        <f t="shared" ref="Q17:Q29" si="10">(BJ17*BL17)</f>
        <v>289.49639029287931</v>
      </c>
      <c r="R17">
        <f t="shared" ref="R17:R29" si="11">(BX17+(Q17+2*0.95*0.0000000567*(((BX17+$B$7)+273)^4-(BX17+273)^4)-44100*G17)/(1.84*29.3*N17+8*0.95*0.0000000567*(BX17+273)^3))</f>
        <v>26.353761313322273</v>
      </c>
      <c r="S17">
        <f t="shared" ref="S17:S29" si="12">($C$7*BY17+$D$7*BZ17+$E$7*R17)</f>
        <v>26.353761313322273</v>
      </c>
      <c r="T17">
        <f t="shared" ref="T17:T29" si="13">0.61365*EXP(17.502*S17/(240.97+S17))</f>
        <v>3.4455415747327933</v>
      </c>
      <c r="U17">
        <f t="shared" ref="U17:U29" si="14">(V17/W17*100)</f>
        <v>60.141465630445424</v>
      </c>
      <c r="V17">
        <f t="shared" ref="V17:V29" si="15">BS17*(BV17+BW17)/1000</f>
        <v>1.9691816788124674</v>
      </c>
      <c r="W17">
        <f t="shared" ref="W17:W29" si="16">0.61365*EXP(17.502*BX17/(240.97+BX17))</f>
        <v>3.2742495683637087</v>
      </c>
      <c r="X17">
        <f t="shared" ref="X17:X29" si="17">(T17-BS17*(BV17+BW17)/1000)</f>
        <v>1.4763598959203259</v>
      </c>
      <c r="Y17">
        <f t="shared" ref="Y17:Y29" si="18">(-G17*44100)</f>
        <v>-168.54945817902853</v>
      </c>
      <c r="Z17">
        <f t="shared" ref="Z17:Z29" si="19">2*29.3*N17*0.92*(BX17-S17)</f>
        <v>-111.07674443118474</v>
      </c>
      <c r="AA17">
        <f t="shared" ref="AA17:AA29" si="20">2*0.95*0.0000000567*(((BX17+$B$7)+273)^4-(S17+273)^4)</f>
        <v>-9.912987986064465</v>
      </c>
      <c r="AB17">
        <f t="shared" ref="AB17:AB29" si="21">Q17+AA17+Y17+Z17</f>
        <v>-4.2800303398436768E-2</v>
      </c>
      <c r="AC17">
        <v>-3.9514791985112901E-2</v>
      </c>
      <c r="AD17">
        <v>4.4358815689192498E-2</v>
      </c>
      <c r="AE17">
        <v>3.3436138584209201</v>
      </c>
      <c r="AF17">
        <v>6</v>
      </c>
      <c r="AG17">
        <v>1</v>
      </c>
      <c r="AH17">
        <f t="shared" ref="AH17:AH29" si="22">IF(AF17*$H$13&gt;=AJ17,1,(AJ17/(AJ17-AF17*$H$13)))</f>
        <v>1</v>
      </c>
      <c r="AI17">
        <f t="shared" ref="AI17:AI29" si="23">(AH17-1)*100</f>
        <v>0</v>
      </c>
      <c r="AJ17">
        <f t="shared" ref="AJ17:AJ29" si="24">MAX(0,($B$13+$C$13*CC17)/(1+$D$13*CC17)*BV17/(BX17+273)*$E$13)</f>
        <v>50643.201807681638</v>
      </c>
      <c r="AK17" t="s">
        <v>279</v>
      </c>
      <c r="AL17">
        <v>580.33307692307699</v>
      </c>
      <c r="AM17">
        <v>2824.36</v>
      </c>
      <c r="AN17">
        <f t="shared" ref="AN17:AN29" si="25">AM17-AL17</f>
        <v>2244.0269230769231</v>
      </c>
      <c r="AO17">
        <f t="shared" ref="AO17:AO29" si="26">AN17/AM17</f>
        <v>0.79452581224664098</v>
      </c>
      <c r="AP17">
        <v>-2.5011690977444898</v>
      </c>
      <c r="AQ17" t="s">
        <v>280</v>
      </c>
      <c r="AR17">
        <v>586.163461538462</v>
      </c>
      <c r="AS17">
        <v>890.14300000000003</v>
      </c>
      <c r="AT17">
        <f t="shared" ref="AT17:AT29" si="27">1-AR17/AS17</f>
        <v>0.34149517376594329</v>
      </c>
      <c r="AU17">
        <v>0.5</v>
      </c>
      <c r="AV17">
        <f t="shared" ref="AV17:AV29" si="28">BJ17</f>
        <v>1513.1841584593305</v>
      </c>
      <c r="AW17">
        <f t="shared" ref="AW17:AW29" si="29">H17</f>
        <v>23.937335885051901</v>
      </c>
      <c r="AX17">
        <f t="shared" ref="AX17:AX29" si="30">AT17*AU17*AV17</f>
        <v>258.37254356647088</v>
      </c>
      <c r="AY17">
        <f t="shared" ref="AY17:AY29" si="31">BD17/AS17</f>
        <v>1</v>
      </c>
      <c r="AZ17">
        <f t="shared" ref="AZ17:AZ29" si="32">(AW17-AP17)/AV17</f>
        <v>1.7472100031575219E-2</v>
      </c>
      <c r="BA17">
        <f t="shared" ref="BA17:BA29" si="33">(AM17-AS17)/AS17</f>
        <v>2.1729283946511964</v>
      </c>
      <c r="BB17" t="s">
        <v>281</v>
      </c>
      <c r="BC17">
        <v>0</v>
      </c>
      <c r="BD17">
        <f t="shared" ref="BD17:BD29" si="34">AS17-BC17</f>
        <v>890.14300000000003</v>
      </c>
      <c r="BE17">
        <f t="shared" ref="BE17:BE29" si="35">(AS17-AR17)/(AS17-BC17)</f>
        <v>0.34149517376594324</v>
      </c>
      <c r="BF17">
        <f t="shared" ref="BF17:BF29" si="36">(AM17-AS17)/(AM17-BC17)</f>
        <v>0.68483373224376498</v>
      </c>
      <c r="BG17">
        <f t="shared" ref="BG17:BG29" si="37">(AS17-AR17)/(AS17-AL17)</f>
        <v>0.98118076865492332</v>
      </c>
      <c r="BH17">
        <f t="shared" ref="BH17:BH29" si="38">(AM17-AS17)/(AM17-AL17)</f>
        <v>0.86194019336803518</v>
      </c>
      <c r="BI17">
        <f t="shared" ref="BI17:BI29" si="39">$B$11*CD17+$C$11*CE17+$F$11*CF17</f>
        <v>1799.9996774193601</v>
      </c>
      <c r="BJ17">
        <f t="shared" ref="BJ17:BJ29" si="40">BI17*BK17</f>
        <v>1513.1841584593305</v>
      </c>
      <c r="BK17">
        <f t="shared" ref="BK17:BK29" si="41">($B$11*$D$9+$C$11*$D$9+$F$11*((CS17+CK17)/MAX(CS17+CK17+CT17, 0.1)*$I$9+CT17/MAX(CS17+CK17+CT17, 0.1)*$J$9))/($B$11+$C$11+$F$11)</f>
        <v>0.84065801646629523</v>
      </c>
      <c r="BL17">
        <f t="shared" ref="BL17:BL29" si="42">($B$11*$K$9+$C$11*$K$9+$F$11*((CS17+CK17)/MAX(CS17+CK17+CT17, 0.1)*$P$9+CT17/MAX(CS17+CK17+CT17, 0.1)*$Q$9))/($B$11+$C$11+$F$11)</f>
        <v>0.19131603293259036</v>
      </c>
      <c r="BM17">
        <v>5.5</v>
      </c>
      <c r="BN17">
        <v>0.5</v>
      </c>
      <c r="BO17" t="s">
        <v>282</v>
      </c>
      <c r="BP17">
        <v>1519090133.0999999</v>
      </c>
      <c r="BQ17">
        <v>372.11009677419298</v>
      </c>
      <c r="BR17">
        <v>400.00332258064498</v>
      </c>
      <c r="BS17">
        <v>20.632116129032301</v>
      </c>
      <c r="BT17">
        <v>16.5150096774194</v>
      </c>
      <c r="BU17">
        <v>500.04054838709698</v>
      </c>
      <c r="BV17">
        <v>95.342425806451601</v>
      </c>
      <c r="BW17">
        <v>0.100119519354839</v>
      </c>
      <c r="BX17">
        <v>25.492512903225801</v>
      </c>
      <c r="BY17">
        <v>24.984722580645201</v>
      </c>
      <c r="BZ17">
        <v>999.9</v>
      </c>
      <c r="CA17">
        <v>0</v>
      </c>
      <c r="CB17">
        <v>0</v>
      </c>
      <c r="CC17">
        <v>9994.6945161290296</v>
      </c>
      <c r="CD17">
        <v>0</v>
      </c>
      <c r="CE17">
        <v>543.79583870967701</v>
      </c>
      <c r="CF17">
        <v>1799.9996774193601</v>
      </c>
      <c r="CG17">
        <v>0.97800354838709702</v>
      </c>
      <c r="CH17">
        <v>2.1996390322580599E-2</v>
      </c>
      <c r="CI17">
        <v>0</v>
      </c>
      <c r="CJ17">
        <v>586.17083870967701</v>
      </c>
      <c r="CK17">
        <v>4.9993999999999996</v>
      </c>
      <c r="CL17">
        <v>10747.874193548399</v>
      </c>
      <c r="CM17">
        <v>14669.1419354839</v>
      </c>
      <c r="CN17">
        <v>47.561999999999998</v>
      </c>
      <c r="CO17">
        <v>48.191064516129003</v>
      </c>
      <c r="CP17">
        <v>48.186999999999998</v>
      </c>
      <c r="CQ17">
        <v>48</v>
      </c>
      <c r="CR17">
        <v>48.795999999999999</v>
      </c>
      <c r="CS17">
        <v>1755.51870967742</v>
      </c>
      <c r="CT17">
        <v>39.480967741935501</v>
      </c>
      <c r="CU17">
        <v>0</v>
      </c>
      <c r="CV17">
        <v>2140.2000000476801</v>
      </c>
      <c r="CW17">
        <v>586.163461538462</v>
      </c>
      <c r="CX17">
        <v>-0.18673504892778001</v>
      </c>
      <c r="CY17">
        <v>-4.9059829225332798</v>
      </c>
      <c r="CZ17">
        <v>10747.865384615399</v>
      </c>
      <c r="DA17">
        <v>15</v>
      </c>
      <c r="DB17">
        <v>1519090078.5999999</v>
      </c>
      <c r="DC17" t="s">
        <v>283</v>
      </c>
      <c r="DD17">
        <v>76</v>
      </c>
      <c r="DE17">
        <v>1.375</v>
      </c>
      <c r="DF17">
        <v>0.16300000000000001</v>
      </c>
      <c r="DG17">
        <v>400</v>
      </c>
      <c r="DH17">
        <v>17</v>
      </c>
      <c r="DI17">
        <v>7.0000000000000007E-2</v>
      </c>
      <c r="DJ17">
        <v>0.02</v>
      </c>
      <c r="DK17">
        <v>23.932268086074401</v>
      </c>
      <c r="DL17">
        <v>8.7451486914261398E-2</v>
      </c>
      <c r="DM17">
        <v>5.9400907100018503E-2</v>
      </c>
      <c r="DN17">
        <v>1</v>
      </c>
      <c r="DO17">
        <v>-27.887490243902398</v>
      </c>
      <c r="DP17">
        <v>-0.121457142857199</v>
      </c>
      <c r="DQ17">
        <v>5.1852533888636899E-2</v>
      </c>
      <c r="DR17">
        <v>1</v>
      </c>
      <c r="DS17">
        <v>4.1172651219512204</v>
      </c>
      <c r="DT17">
        <v>2.5895121951237301E-2</v>
      </c>
      <c r="DU17">
        <v>6.3654414220321101E-3</v>
      </c>
      <c r="DV17">
        <v>1</v>
      </c>
      <c r="DW17">
        <v>0.25452827182035997</v>
      </c>
      <c r="DX17">
        <v>-1.70319629220984E-3</v>
      </c>
      <c r="DY17">
        <v>9.2132948869953605E-4</v>
      </c>
      <c r="DZ17">
        <v>1</v>
      </c>
      <c r="EA17">
        <v>4</v>
      </c>
      <c r="EB17">
        <v>4</v>
      </c>
      <c r="EC17" t="s">
        <v>284</v>
      </c>
      <c r="ED17">
        <v>1.8490599999999999</v>
      </c>
      <c r="EE17">
        <v>1.85318</v>
      </c>
      <c r="EF17">
        <v>1.85198</v>
      </c>
      <c r="EG17">
        <v>1.8562399999999999</v>
      </c>
      <c r="EH17">
        <v>1.85399</v>
      </c>
      <c r="EI17">
        <v>1.8544</v>
      </c>
      <c r="EJ17">
        <v>1.8466199999999999</v>
      </c>
      <c r="EK17">
        <v>1.85131</v>
      </c>
      <c r="EL17" t="s">
        <v>285</v>
      </c>
      <c r="EM17" t="s">
        <v>19</v>
      </c>
      <c r="EN17" t="s">
        <v>19</v>
      </c>
      <c r="EO17" t="s">
        <v>19</v>
      </c>
      <c r="EP17" t="s">
        <v>286</v>
      </c>
      <c r="EQ17" t="s">
        <v>287</v>
      </c>
      <c r="ER17" t="s">
        <v>288</v>
      </c>
      <c r="ES17" t="s">
        <v>288</v>
      </c>
      <c r="ET17" t="s">
        <v>288</v>
      </c>
      <c r="EU17" t="s">
        <v>288</v>
      </c>
      <c r="EV17">
        <v>0</v>
      </c>
      <c r="EW17">
        <v>100</v>
      </c>
      <c r="EX17">
        <v>100</v>
      </c>
      <c r="EY17">
        <v>1.375</v>
      </c>
      <c r="EZ17">
        <v>0.16300000000000001</v>
      </c>
      <c r="FA17">
        <v>2</v>
      </c>
      <c r="FB17">
        <v>481.666</v>
      </c>
      <c r="FC17">
        <v>261.15499999999997</v>
      </c>
      <c r="FD17">
        <v>20.0945</v>
      </c>
      <c r="FE17">
        <v>31.6553</v>
      </c>
      <c r="FF17">
        <v>29.9998</v>
      </c>
      <c r="FG17">
        <v>32.136099999999999</v>
      </c>
      <c r="FH17">
        <v>32.103999999999999</v>
      </c>
      <c r="FI17">
        <v>17.289400000000001</v>
      </c>
      <c r="FJ17">
        <v>21.047699999999999</v>
      </c>
      <c r="FK17">
        <v>0</v>
      </c>
      <c r="FL17">
        <v>20.098500000000001</v>
      </c>
      <c r="FM17">
        <v>400</v>
      </c>
      <c r="FN17">
        <v>16.4453</v>
      </c>
      <c r="FO17">
        <v>99.840800000000002</v>
      </c>
      <c r="FP17">
        <v>118.098</v>
      </c>
    </row>
    <row r="18" spans="1:172" x14ac:dyDescent="0.25">
      <c r="A18">
        <v>2</v>
      </c>
      <c r="B18">
        <v>1519090261.5999999</v>
      </c>
      <c r="C18">
        <v>120.5</v>
      </c>
      <c r="D18" t="s">
        <v>289</v>
      </c>
      <c r="E18" t="s">
        <v>290</v>
      </c>
      <c r="F18">
        <v>1519090253.5999999</v>
      </c>
      <c r="G18">
        <f t="shared" si="0"/>
        <v>3.9586653049845152E-3</v>
      </c>
      <c r="H18">
        <f t="shared" si="1"/>
        <v>17.667526004144673</v>
      </c>
      <c r="I18">
        <f t="shared" si="2"/>
        <v>279.33187096774202</v>
      </c>
      <c r="J18">
        <f t="shared" si="3"/>
        <v>162.2530000816686</v>
      </c>
      <c r="K18">
        <f t="shared" si="4"/>
        <v>15.485754677097127</v>
      </c>
      <c r="L18">
        <f t="shared" si="5"/>
        <v>26.659999045464289</v>
      </c>
      <c r="M18">
        <f t="shared" si="6"/>
        <v>0.26676388232843617</v>
      </c>
      <c r="N18">
        <f t="shared" si="7"/>
        <v>2.3943442827919599</v>
      </c>
      <c r="O18">
        <f t="shared" si="8"/>
        <v>0.25128362365500995</v>
      </c>
      <c r="P18">
        <f t="shared" si="9"/>
        <v>0.15836819417486267</v>
      </c>
      <c r="Q18">
        <f t="shared" si="10"/>
        <v>289.49719590809099</v>
      </c>
      <c r="R18">
        <f t="shared" si="11"/>
        <v>26.2919009612908</v>
      </c>
      <c r="S18">
        <f t="shared" si="12"/>
        <v>26.2919009612908</v>
      </c>
      <c r="T18">
        <f t="shared" si="13"/>
        <v>3.4329826279683515</v>
      </c>
      <c r="U18">
        <f t="shared" si="14"/>
        <v>60.292598776029912</v>
      </c>
      <c r="V18">
        <f t="shared" si="15"/>
        <v>1.9719849166133185</v>
      </c>
      <c r="W18">
        <f t="shared" si="16"/>
        <v>3.2706915220866315</v>
      </c>
      <c r="X18">
        <f t="shared" si="17"/>
        <v>1.460997711355033</v>
      </c>
      <c r="Y18">
        <f t="shared" si="18"/>
        <v>-174.57713994981711</v>
      </c>
      <c r="Z18">
        <f t="shared" si="19"/>
        <v>-105.55077090216545</v>
      </c>
      <c r="AA18">
        <f t="shared" si="20"/>
        <v>-9.4078571552885961</v>
      </c>
      <c r="AB18">
        <f t="shared" si="21"/>
        <v>-3.8572099180157693E-2</v>
      </c>
      <c r="AC18">
        <v>-3.9562875069298599E-2</v>
      </c>
      <c r="AD18">
        <v>4.4412793163500497E-2</v>
      </c>
      <c r="AE18">
        <v>3.34685089123899</v>
      </c>
      <c r="AF18">
        <v>6</v>
      </c>
      <c r="AG18">
        <v>1</v>
      </c>
      <c r="AH18">
        <f t="shared" si="22"/>
        <v>1</v>
      </c>
      <c r="AI18">
        <f t="shared" si="23"/>
        <v>0</v>
      </c>
      <c r="AJ18">
        <f t="shared" si="24"/>
        <v>50705.405588605609</v>
      </c>
      <c r="AK18" t="s">
        <v>279</v>
      </c>
      <c r="AL18">
        <v>580.33307692307699</v>
      </c>
      <c r="AM18">
        <v>2824.36</v>
      </c>
      <c r="AN18">
        <f t="shared" si="25"/>
        <v>2244.0269230769231</v>
      </c>
      <c r="AO18">
        <f t="shared" si="26"/>
        <v>0.79452581224664098</v>
      </c>
      <c r="AP18">
        <v>-2.5011690977444898</v>
      </c>
      <c r="AQ18" t="s">
        <v>291</v>
      </c>
      <c r="AR18">
        <v>570.46600000000001</v>
      </c>
      <c r="AS18">
        <v>828.22900000000004</v>
      </c>
      <c r="AT18">
        <f t="shared" si="27"/>
        <v>0.31122189635958175</v>
      </c>
      <c r="AU18">
        <v>0.5</v>
      </c>
      <c r="AV18">
        <f t="shared" si="28"/>
        <v>1513.1884842657753</v>
      </c>
      <c r="AW18">
        <f t="shared" si="29"/>
        <v>17.667526004144673</v>
      </c>
      <c r="AX18">
        <f t="shared" si="30"/>
        <v>235.46869481133785</v>
      </c>
      <c r="AY18">
        <f t="shared" si="31"/>
        <v>1</v>
      </c>
      <c r="AZ18">
        <f t="shared" si="32"/>
        <v>1.3328607316011499E-2</v>
      </c>
      <c r="BA18">
        <f t="shared" si="33"/>
        <v>2.4101196649718859</v>
      </c>
      <c r="BB18" t="s">
        <v>281</v>
      </c>
      <c r="BC18">
        <v>0</v>
      </c>
      <c r="BD18">
        <f t="shared" si="34"/>
        <v>828.22900000000004</v>
      </c>
      <c r="BE18">
        <f t="shared" si="35"/>
        <v>0.31122189635958175</v>
      </c>
      <c r="BF18">
        <f t="shared" si="36"/>
        <v>0.7067551586908184</v>
      </c>
      <c r="BG18">
        <f t="shared" si="37"/>
        <v>1.0398033045505761</v>
      </c>
      <c r="BH18">
        <f t="shared" si="38"/>
        <v>0.889530771432538</v>
      </c>
      <c r="BI18">
        <f t="shared" si="39"/>
        <v>1800.0048387096799</v>
      </c>
      <c r="BJ18">
        <f t="shared" si="40"/>
        <v>1513.1884842657753</v>
      </c>
      <c r="BK18">
        <f t="shared" si="41"/>
        <v>0.84065800920318257</v>
      </c>
      <c r="BL18">
        <f t="shared" si="42"/>
        <v>0.19131601840636525</v>
      </c>
      <c r="BM18">
        <v>5.5</v>
      </c>
      <c r="BN18">
        <v>0.5</v>
      </c>
      <c r="BO18" t="s">
        <v>282</v>
      </c>
      <c r="BP18">
        <v>1519090253.5999999</v>
      </c>
      <c r="BQ18">
        <v>279.33187096774202</v>
      </c>
      <c r="BR18">
        <v>299.98096774193601</v>
      </c>
      <c r="BS18">
        <v>20.6616</v>
      </c>
      <c r="BT18">
        <v>16.397358064516101</v>
      </c>
      <c r="BU18">
        <v>500.03732258064503</v>
      </c>
      <c r="BV18">
        <v>95.342032258064506</v>
      </c>
      <c r="BW18">
        <v>9.9991429032258106E-2</v>
      </c>
      <c r="BX18">
        <v>25.474209677419399</v>
      </c>
      <c r="BY18">
        <v>24.9614774193548</v>
      </c>
      <c r="BZ18">
        <v>999.9</v>
      </c>
      <c r="CA18">
        <v>0</v>
      </c>
      <c r="CB18">
        <v>0</v>
      </c>
      <c r="CC18">
        <v>10006.8977419355</v>
      </c>
      <c r="CD18">
        <v>0</v>
      </c>
      <c r="CE18">
        <v>537.17206451612901</v>
      </c>
      <c r="CF18">
        <v>1800.0048387096799</v>
      </c>
      <c r="CG18">
        <v>0.97800364516129001</v>
      </c>
      <c r="CH18">
        <v>2.1996270967741899E-2</v>
      </c>
      <c r="CI18">
        <v>0</v>
      </c>
      <c r="CJ18">
        <v>570.47577419354798</v>
      </c>
      <c r="CK18">
        <v>4.9993999999999996</v>
      </c>
      <c r="CL18">
        <v>10463.8064516129</v>
      </c>
      <c r="CM18">
        <v>14669.1709677419</v>
      </c>
      <c r="CN18">
        <v>47.561999999999998</v>
      </c>
      <c r="CO18">
        <v>48.186999999999998</v>
      </c>
      <c r="CP18">
        <v>48.186999999999998</v>
      </c>
      <c r="CQ18">
        <v>47.977645161290297</v>
      </c>
      <c r="CR18">
        <v>48.774000000000001</v>
      </c>
      <c r="CS18">
        <v>1755.52419354839</v>
      </c>
      <c r="CT18">
        <v>39.480645161290298</v>
      </c>
      <c r="CU18">
        <v>0</v>
      </c>
      <c r="CV18">
        <v>119.89999985694899</v>
      </c>
      <c r="CW18">
        <v>570.46600000000001</v>
      </c>
      <c r="CX18">
        <v>-0.37107692638550099</v>
      </c>
      <c r="CY18">
        <v>-6.1435897651648297</v>
      </c>
      <c r="CZ18">
        <v>10463.765384615401</v>
      </c>
      <c r="DA18">
        <v>15</v>
      </c>
      <c r="DB18">
        <v>1519090206.0999999</v>
      </c>
      <c r="DC18" t="s">
        <v>292</v>
      </c>
      <c r="DD18">
        <v>77</v>
      </c>
      <c r="DE18">
        <v>1.018</v>
      </c>
      <c r="DF18">
        <v>0.16400000000000001</v>
      </c>
      <c r="DG18">
        <v>300</v>
      </c>
      <c r="DH18">
        <v>17</v>
      </c>
      <c r="DI18">
        <v>0.06</v>
      </c>
      <c r="DJ18">
        <v>0.03</v>
      </c>
      <c r="DK18">
        <v>17.6708169939374</v>
      </c>
      <c r="DL18">
        <v>9.5941470707840704E-3</v>
      </c>
      <c r="DM18">
        <v>5.1511632361823601E-2</v>
      </c>
      <c r="DN18">
        <v>1</v>
      </c>
      <c r="DO18">
        <v>-20.651499999999999</v>
      </c>
      <c r="DP18">
        <v>-0.13566480836244199</v>
      </c>
      <c r="DQ18">
        <v>6.7377328458792005E-2</v>
      </c>
      <c r="DR18">
        <v>1</v>
      </c>
      <c r="DS18">
        <v>4.2500346341463402</v>
      </c>
      <c r="DT18">
        <v>0.31580425087109398</v>
      </c>
      <c r="DU18">
        <v>3.29039128889368E-2</v>
      </c>
      <c r="DV18">
        <v>1</v>
      </c>
      <c r="DW18">
        <v>0.264754800261634</v>
      </c>
      <c r="DX18">
        <v>1.86190763147265E-2</v>
      </c>
      <c r="DY18">
        <v>2.5062798881663401E-3</v>
      </c>
      <c r="DZ18">
        <v>1</v>
      </c>
      <c r="EA18">
        <v>4</v>
      </c>
      <c r="EB18">
        <v>4</v>
      </c>
      <c r="EC18" t="s">
        <v>284</v>
      </c>
      <c r="ED18">
        <v>1.8490599999999999</v>
      </c>
      <c r="EE18">
        <v>1.85318</v>
      </c>
      <c r="EF18">
        <v>1.8519699999999999</v>
      </c>
      <c r="EG18">
        <v>1.8562399999999999</v>
      </c>
      <c r="EH18">
        <v>1.85406</v>
      </c>
      <c r="EI18">
        <v>1.8544</v>
      </c>
      <c r="EJ18">
        <v>1.8466199999999999</v>
      </c>
      <c r="EK18">
        <v>1.85134</v>
      </c>
      <c r="EL18" t="s">
        <v>285</v>
      </c>
      <c r="EM18" t="s">
        <v>19</v>
      </c>
      <c r="EN18" t="s">
        <v>19</v>
      </c>
      <c r="EO18" t="s">
        <v>19</v>
      </c>
      <c r="EP18" t="s">
        <v>286</v>
      </c>
      <c r="EQ18" t="s">
        <v>287</v>
      </c>
      <c r="ER18" t="s">
        <v>288</v>
      </c>
      <c r="ES18" t="s">
        <v>288</v>
      </c>
      <c r="ET18" t="s">
        <v>288</v>
      </c>
      <c r="EU18" t="s">
        <v>288</v>
      </c>
      <c r="EV18">
        <v>0</v>
      </c>
      <c r="EW18">
        <v>100</v>
      </c>
      <c r="EX18">
        <v>100</v>
      </c>
      <c r="EY18">
        <v>1.018</v>
      </c>
      <c r="EZ18">
        <v>0.16400000000000001</v>
      </c>
      <c r="FA18">
        <v>2</v>
      </c>
      <c r="FB18">
        <v>481.45400000000001</v>
      </c>
      <c r="FC18">
        <v>261.029</v>
      </c>
      <c r="FD18">
        <v>20.218699999999998</v>
      </c>
      <c r="FE18">
        <v>31.578700000000001</v>
      </c>
      <c r="FF18">
        <v>29.999700000000001</v>
      </c>
      <c r="FG18">
        <v>32.0578</v>
      </c>
      <c r="FH18">
        <v>32.024000000000001</v>
      </c>
      <c r="FI18">
        <v>13.850899999999999</v>
      </c>
      <c r="FJ18">
        <v>21.296399999999998</v>
      </c>
      <c r="FK18">
        <v>0</v>
      </c>
      <c r="FL18">
        <v>20.23</v>
      </c>
      <c r="FM18">
        <v>300</v>
      </c>
      <c r="FN18">
        <v>16.3507</v>
      </c>
      <c r="FO18">
        <v>99.850300000000004</v>
      </c>
      <c r="FP18">
        <v>118.108</v>
      </c>
    </row>
    <row r="19" spans="1:172" x14ac:dyDescent="0.25">
      <c r="A19">
        <v>3</v>
      </c>
      <c r="B19">
        <v>1519090394.5999999</v>
      </c>
      <c r="C19">
        <v>253.5</v>
      </c>
      <c r="D19" t="s">
        <v>293</v>
      </c>
      <c r="E19" t="s">
        <v>294</v>
      </c>
      <c r="F19">
        <v>1519090386.5999999</v>
      </c>
      <c r="G19">
        <f t="shared" si="0"/>
        <v>3.985458192818433E-3</v>
      </c>
      <c r="H19">
        <f t="shared" si="1"/>
        <v>10.828542579524049</v>
      </c>
      <c r="I19">
        <f t="shared" si="2"/>
        <v>187.27554838709699</v>
      </c>
      <c r="J19">
        <f t="shared" si="3"/>
        <v>115.74929140187606</v>
      </c>
      <c r="K19">
        <f t="shared" si="4"/>
        <v>11.046251586854146</v>
      </c>
      <c r="L19">
        <f t="shared" si="5"/>
        <v>17.872185639284364</v>
      </c>
      <c r="M19">
        <f t="shared" si="6"/>
        <v>0.26939184953729139</v>
      </c>
      <c r="N19">
        <f t="shared" si="7"/>
        <v>2.3899453288876602</v>
      </c>
      <c r="O19">
        <f t="shared" si="8"/>
        <v>0.25358755690970813</v>
      </c>
      <c r="P19">
        <f t="shared" si="9"/>
        <v>0.159834856129386</v>
      </c>
      <c r="Q19">
        <f t="shared" si="10"/>
        <v>289.49235645049004</v>
      </c>
      <c r="R19">
        <f t="shared" si="11"/>
        <v>26.340860843856255</v>
      </c>
      <c r="S19">
        <f t="shared" si="12"/>
        <v>26.340860843856255</v>
      </c>
      <c r="T19">
        <f t="shared" si="13"/>
        <v>3.4429192034642551</v>
      </c>
      <c r="U19">
        <f t="shared" si="14"/>
        <v>60.511039224294862</v>
      </c>
      <c r="V19">
        <f t="shared" si="15"/>
        <v>1.985731533160128</v>
      </c>
      <c r="W19">
        <f t="shared" si="16"/>
        <v>3.2816020987503838</v>
      </c>
      <c r="X19">
        <f t="shared" si="17"/>
        <v>1.4571876703041271</v>
      </c>
      <c r="Y19">
        <f t="shared" si="18"/>
        <v>-175.75870630329288</v>
      </c>
      <c r="Z19">
        <f t="shared" si="19"/>
        <v>-104.44061008858989</v>
      </c>
      <c r="AA19">
        <f t="shared" si="20"/>
        <v>-9.3309578150622805</v>
      </c>
      <c r="AB19">
        <f t="shared" si="21"/>
        <v>-3.7917756455016161E-2</v>
      </c>
      <c r="AC19">
        <v>-3.9461190420859799E-2</v>
      </c>
      <c r="AD19">
        <v>4.4298643237563502E-2</v>
      </c>
      <c r="AE19">
        <v>3.3400038013120699</v>
      </c>
      <c r="AF19">
        <v>6</v>
      </c>
      <c r="AG19">
        <v>1</v>
      </c>
      <c r="AH19">
        <f t="shared" si="22"/>
        <v>1</v>
      </c>
      <c r="AI19">
        <f t="shared" si="23"/>
        <v>0</v>
      </c>
      <c r="AJ19">
        <f t="shared" si="24"/>
        <v>50570.781465509011</v>
      </c>
      <c r="AK19" t="s">
        <v>279</v>
      </c>
      <c r="AL19">
        <v>580.33307692307699</v>
      </c>
      <c r="AM19">
        <v>2824.36</v>
      </c>
      <c r="AN19">
        <f t="shared" si="25"/>
        <v>2244.0269230769231</v>
      </c>
      <c r="AO19">
        <f t="shared" si="26"/>
        <v>0.79452581224664098</v>
      </c>
      <c r="AP19">
        <v>-2.5011690977444898</v>
      </c>
      <c r="AQ19" t="s">
        <v>295</v>
      </c>
      <c r="AR19">
        <v>562.97153846153799</v>
      </c>
      <c r="AS19">
        <v>767.84299999999996</v>
      </c>
      <c r="AT19">
        <f t="shared" si="27"/>
        <v>0.26681425960575533</v>
      </c>
      <c r="AU19">
        <v>0.5</v>
      </c>
      <c r="AV19">
        <f t="shared" si="28"/>
        <v>1513.1630132980358</v>
      </c>
      <c r="AW19">
        <f t="shared" si="29"/>
        <v>10.828542579524049</v>
      </c>
      <c r="AX19">
        <f t="shared" si="30"/>
        <v>201.86673452796458</v>
      </c>
      <c r="AY19">
        <f t="shared" si="31"/>
        <v>1</v>
      </c>
      <c r="AZ19">
        <f t="shared" si="32"/>
        <v>8.8091709618354844E-3</v>
      </c>
      <c r="BA19">
        <f t="shared" si="33"/>
        <v>2.6783040282974517</v>
      </c>
      <c r="BB19" t="s">
        <v>281</v>
      </c>
      <c r="BC19">
        <v>0</v>
      </c>
      <c r="BD19">
        <f t="shared" si="34"/>
        <v>767.84299999999996</v>
      </c>
      <c r="BE19">
        <f t="shared" si="35"/>
        <v>0.26681425960575533</v>
      </c>
      <c r="BF19">
        <f t="shared" si="36"/>
        <v>0.72813557761758418</v>
      </c>
      <c r="BG19">
        <f t="shared" si="37"/>
        <v>1.0925899716486829</v>
      </c>
      <c r="BH19">
        <f t="shared" si="38"/>
        <v>0.91644043075035098</v>
      </c>
      <c r="BI19">
        <f t="shared" si="39"/>
        <v>1799.97451612903</v>
      </c>
      <c r="BJ19">
        <f t="shared" si="40"/>
        <v>1513.1630132980358</v>
      </c>
      <c r="BK19">
        <f t="shared" si="41"/>
        <v>0.84065802028808601</v>
      </c>
      <c r="BL19">
        <f t="shared" si="42"/>
        <v>0.19131604057617221</v>
      </c>
      <c r="BM19">
        <v>5.5</v>
      </c>
      <c r="BN19">
        <v>0.5</v>
      </c>
      <c r="BO19" t="s">
        <v>282</v>
      </c>
      <c r="BP19">
        <v>1519090386.5999999</v>
      </c>
      <c r="BQ19">
        <v>187.27554838709699</v>
      </c>
      <c r="BR19">
        <v>200.01106451612901</v>
      </c>
      <c r="BS19">
        <v>20.8076935483871</v>
      </c>
      <c r="BT19">
        <v>16.513864516129001</v>
      </c>
      <c r="BU19">
        <v>499.878193548387</v>
      </c>
      <c r="BV19">
        <v>95.337270967741901</v>
      </c>
      <c r="BW19">
        <v>9.5292403225806496E-2</v>
      </c>
      <c r="BX19">
        <v>25.530280645161302</v>
      </c>
      <c r="BY19">
        <v>24.998006451612898</v>
      </c>
      <c r="BZ19">
        <v>999.9</v>
      </c>
      <c r="CA19">
        <v>0</v>
      </c>
      <c r="CB19">
        <v>0</v>
      </c>
      <c r="CC19">
        <v>9981.6764516129006</v>
      </c>
      <c r="CD19">
        <v>0</v>
      </c>
      <c r="CE19">
        <v>516.85783870967703</v>
      </c>
      <c r="CF19">
        <v>1799.97451612903</v>
      </c>
      <c r="CG19">
        <v>0.97800306451612895</v>
      </c>
      <c r="CH19">
        <v>2.1996987096774199E-2</v>
      </c>
      <c r="CI19">
        <v>0</v>
      </c>
      <c r="CJ19">
        <v>562.96667741935505</v>
      </c>
      <c r="CK19">
        <v>4.9993999999999996</v>
      </c>
      <c r="CL19">
        <v>10328.632258064499</v>
      </c>
      <c r="CM19">
        <v>14668.9258064516</v>
      </c>
      <c r="CN19">
        <v>47.542000000000002</v>
      </c>
      <c r="CO19">
        <v>48.125</v>
      </c>
      <c r="CP19">
        <v>48.146999999999998</v>
      </c>
      <c r="CQ19">
        <v>47.936999999999998</v>
      </c>
      <c r="CR19">
        <v>48.75</v>
      </c>
      <c r="CS19">
        <v>1755.4938709677399</v>
      </c>
      <c r="CT19">
        <v>39.480645161290298</v>
      </c>
      <c r="CU19">
        <v>0</v>
      </c>
      <c r="CV19">
        <v>132.60000014305101</v>
      </c>
      <c r="CW19">
        <v>562.97153846153799</v>
      </c>
      <c r="CX19">
        <v>-0.11418803523740501</v>
      </c>
      <c r="CY19">
        <v>0.41025631808776197</v>
      </c>
      <c r="CZ19">
        <v>10328.7307692308</v>
      </c>
      <c r="DA19">
        <v>15</v>
      </c>
      <c r="DB19">
        <v>1519090357.0999999</v>
      </c>
      <c r="DC19" t="s">
        <v>296</v>
      </c>
      <c r="DD19">
        <v>78</v>
      </c>
      <c r="DE19">
        <v>0.80700000000000005</v>
      </c>
      <c r="DF19">
        <v>0.16200000000000001</v>
      </c>
      <c r="DG19">
        <v>200</v>
      </c>
      <c r="DH19">
        <v>17</v>
      </c>
      <c r="DI19">
        <v>0.09</v>
      </c>
      <c r="DJ19">
        <v>0.02</v>
      </c>
      <c r="DK19">
        <v>10.8697557538053</v>
      </c>
      <c r="DL19">
        <v>-0.47844388095353302</v>
      </c>
      <c r="DM19">
        <v>0.128582660103363</v>
      </c>
      <c r="DN19">
        <v>1</v>
      </c>
      <c r="DO19">
        <v>-12.7159902439024</v>
      </c>
      <c r="DP19">
        <v>-0.38414843205567201</v>
      </c>
      <c r="DQ19">
        <v>5.23063853998635E-2</v>
      </c>
      <c r="DR19">
        <v>1</v>
      </c>
      <c r="DS19">
        <v>4.2547834146341499</v>
      </c>
      <c r="DT19">
        <v>0.74268689895447704</v>
      </c>
      <c r="DU19">
        <v>7.44156606783406E-2</v>
      </c>
      <c r="DV19">
        <v>1</v>
      </c>
      <c r="DW19">
        <v>0.25965571368162699</v>
      </c>
      <c r="DX19">
        <v>9.1967693721253602E-2</v>
      </c>
      <c r="DY19">
        <v>1.32487352767563E-2</v>
      </c>
      <c r="DZ19">
        <v>1</v>
      </c>
      <c r="EA19">
        <v>4</v>
      </c>
      <c r="EB19">
        <v>4</v>
      </c>
      <c r="EC19" t="s">
        <v>284</v>
      </c>
      <c r="ED19">
        <v>1.8490800000000001</v>
      </c>
      <c r="EE19">
        <v>1.85318</v>
      </c>
      <c r="EF19">
        <v>1.85198</v>
      </c>
      <c r="EG19">
        <v>1.8562399999999999</v>
      </c>
      <c r="EH19">
        <v>1.8540300000000001</v>
      </c>
      <c r="EI19">
        <v>1.8544</v>
      </c>
      <c r="EJ19">
        <v>1.8466199999999999</v>
      </c>
      <c r="EK19">
        <v>1.8513299999999999</v>
      </c>
      <c r="EL19" t="s">
        <v>285</v>
      </c>
      <c r="EM19" t="s">
        <v>19</v>
      </c>
      <c r="EN19" t="s">
        <v>19</v>
      </c>
      <c r="EO19" t="s">
        <v>19</v>
      </c>
      <c r="EP19" t="s">
        <v>286</v>
      </c>
      <c r="EQ19" t="s">
        <v>287</v>
      </c>
      <c r="ER19" t="s">
        <v>288</v>
      </c>
      <c r="ES19" t="s">
        <v>288</v>
      </c>
      <c r="ET19" t="s">
        <v>288</v>
      </c>
      <c r="EU19" t="s">
        <v>288</v>
      </c>
      <c r="EV19">
        <v>0</v>
      </c>
      <c r="EW19">
        <v>100</v>
      </c>
      <c r="EX19">
        <v>100</v>
      </c>
      <c r="EY19">
        <v>0.80700000000000005</v>
      </c>
      <c r="EZ19">
        <v>0.16200000000000001</v>
      </c>
      <c r="FA19">
        <v>2</v>
      </c>
      <c r="FB19">
        <v>481.16699999999997</v>
      </c>
      <c r="FC19">
        <v>261.43599999999998</v>
      </c>
      <c r="FD19">
        <v>20.225899999999999</v>
      </c>
      <c r="FE19">
        <v>31.496600000000001</v>
      </c>
      <c r="FF19">
        <v>30</v>
      </c>
      <c r="FG19">
        <v>31.975100000000001</v>
      </c>
      <c r="FH19">
        <v>31.939599999999999</v>
      </c>
      <c r="FI19">
        <v>10.277699999999999</v>
      </c>
      <c r="FJ19">
        <v>20.8247</v>
      </c>
      <c r="FK19">
        <v>0</v>
      </c>
      <c r="FL19">
        <v>20.132300000000001</v>
      </c>
      <c r="FM19">
        <v>200</v>
      </c>
      <c r="FN19">
        <v>16.313500000000001</v>
      </c>
      <c r="FO19">
        <v>99.862700000000004</v>
      </c>
      <c r="FP19">
        <v>118.123</v>
      </c>
    </row>
    <row r="20" spans="1:172" x14ac:dyDescent="0.25">
      <c r="A20">
        <v>4</v>
      </c>
      <c r="B20">
        <v>1519090515.5</v>
      </c>
      <c r="C20">
        <v>374.40000009536698</v>
      </c>
      <c r="D20" t="s">
        <v>297</v>
      </c>
      <c r="E20" t="s">
        <v>298</v>
      </c>
      <c r="F20">
        <v>1519090507.5</v>
      </c>
      <c r="G20">
        <f t="shared" si="0"/>
        <v>4.1416490885701138E-3</v>
      </c>
      <c r="H20">
        <f t="shared" si="1"/>
        <v>7.3325637198704232</v>
      </c>
      <c r="I20">
        <f t="shared" si="2"/>
        <v>141.281225806452</v>
      </c>
      <c r="J20">
        <f t="shared" si="3"/>
        <v>94.391853230134842</v>
      </c>
      <c r="K20">
        <f t="shared" si="4"/>
        <v>9.007864989145892</v>
      </c>
      <c r="L20">
        <f t="shared" si="5"/>
        <v>13.482542868003144</v>
      </c>
      <c r="M20">
        <f t="shared" si="6"/>
        <v>0.28173802466018472</v>
      </c>
      <c r="N20">
        <f t="shared" si="7"/>
        <v>2.3938014002689814</v>
      </c>
      <c r="O20">
        <f t="shared" si="8"/>
        <v>0.26452759822301675</v>
      </c>
      <c r="P20">
        <f t="shared" si="9"/>
        <v>0.16678835494413591</v>
      </c>
      <c r="Q20">
        <f t="shared" si="10"/>
        <v>289.49510568875354</v>
      </c>
      <c r="R20">
        <f t="shared" si="11"/>
        <v>26.276268655092544</v>
      </c>
      <c r="S20">
        <f t="shared" si="12"/>
        <v>26.276268655092544</v>
      </c>
      <c r="T20">
        <f t="shared" si="13"/>
        <v>3.4298152769915564</v>
      </c>
      <c r="U20">
        <f t="shared" si="14"/>
        <v>60.327486575930841</v>
      </c>
      <c r="V20">
        <f t="shared" si="15"/>
        <v>1.9780154669549657</v>
      </c>
      <c r="W20">
        <f t="shared" si="16"/>
        <v>3.2787964147409787</v>
      </c>
      <c r="X20">
        <f t="shared" si="17"/>
        <v>1.4517998100365908</v>
      </c>
      <c r="Y20">
        <f t="shared" si="18"/>
        <v>-182.64672480594203</v>
      </c>
      <c r="Z20">
        <f t="shared" si="19"/>
        <v>-98.132002809280735</v>
      </c>
      <c r="AA20">
        <f t="shared" si="20"/>
        <v>-8.7497387102078257</v>
      </c>
      <c r="AB20">
        <f t="shared" si="21"/>
        <v>-3.3360636677073785E-2</v>
      </c>
      <c r="AC20">
        <v>-3.9550318818724499E-2</v>
      </c>
      <c r="AD20">
        <v>4.4398697672243102E-2</v>
      </c>
      <c r="AE20">
        <v>3.34600570733806</v>
      </c>
      <c r="AF20">
        <v>6</v>
      </c>
      <c r="AG20">
        <v>1</v>
      </c>
      <c r="AH20">
        <f t="shared" si="22"/>
        <v>1</v>
      </c>
      <c r="AI20">
        <f t="shared" si="23"/>
        <v>0</v>
      </c>
      <c r="AJ20">
        <f t="shared" si="24"/>
        <v>50682.644742427845</v>
      </c>
      <c r="AK20" t="s">
        <v>279</v>
      </c>
      <c r="AL20">
        <v>580.33307692307699</v>
      </c>
      <c r="AM20">
        <v>2824.36</v>
      </c>
      <c r="AN20">
        <f t="shared" si="25"/>
        <v>2244.0269230769231</v>
      </c>
      <c r="AO20">
        <f t="shared" si="26"/>
        <v>0.79452581224664098</v>
      </c>
      <c r="AP20">
        <v>-2.5011690977444898</v>
      </c>
      <c r="AQ20" t="s">
        <v>299</v>
      </c>
      <c r="AR20">
        <v>562.15800000000002</v>
      </c>
      <c r="AS20">
        <v>737.82100000000003</v>
      </c>
      <c r="AT20">
        <f t="shared" si="27"/>
        <v>0.23808349179543553</v>
      </c>
      <c r="AU20">
        <v>0.5</v>
      </c>
      <c r="AV20">
        <f t="shared" si="28"/>
        <v>1513.1771421180351</v>
      </c>
      <c r="AW20">
        <f t="shared" si="29"/>
        <v>7.3325637198704232</v>
      </c>
      <c r="AX20">
        <f t="shared" si="30"/>
        <v>180.1312488502499</v>
      </c>
      <c r="AY20">
        <f t="shared" si="31"/>
        <v>1</v>
      </c>
      <c r="AZ20">
        <f t="shared" si="32"/>
        <v>6.4987320677144045E-3</v>
      </c>
      <c r="BA20">
        <f t="shared" si="33"/>
        <v>2.827974535829151</v>
      </c>
      <c r="BB20" t="s">
        <v>281</v>
      </c>
      <c r="BC20">
        <v>0</v>
      </c>
      <c r="BD20">
        <f t="shared" si="34"/>
        <v>737.82100000000003</v>
      </c>
      <c r="BE20">
        <f t="shared" si="35"/>
        <v>0.23808349179543548</v>
      </c>
      <c r="BF20">
        <f t="shared" si="36"/>
        <v>0.73876524239119667</v>
      </c>
      <c r="BG20">
        <f t="shared" si="37"/>
        <v>1.1154061630122558</v>
      </c>
      <c r="BH20">
        <f t="shared" si="38"/>
        <v>0.92981905811496168</v>
      </c>
      <c r="BI20">
        <f t="shared" si="39"/>
        <v>1799.99129032258</v>
      </c>
      <c r="BJ20">
        <f t="shared" si="40"/>
        <v>1513.1771421180351</v>
      </c>
      <c r="BK20">
        <f t="shared" si="41"/>
        <v>0.84065803554352514</v>
      </c>
      <c r="BL20">
        <f t="shared" si="42"/>
        <v>0.19131607108705026</v>
      </c>
      <c r="BM20">
        <v>5.5</v>
      </c>
      <c r="BN20">
        <v>0.5</v>
      </c>
      <c r="BO20" t="s">
        <v>282</v>
      </c>
      <c r="BP20">
        <v>1519090507.5</v>
      </c>
      <c r="BQ20">
        <v>141.281225806452</v>
      </c>
      <c r="BR20">
        <v>149.98987096774201</v>
      </c>
      <c r="BS20">
        <v>20.727280645161301</v>
      </c>
      <c r="BT20">
        <v>16.2663193548387</v>
      </c>
      <c r="BU20">
        <v>500.04741935483901</v>
      </c>
      <c r="BV20">
        <v>95.330441935483904</v>
      </c>
      <c r="BW20">
        <v>0.100092383870968</v>
      </c>
      <c r="BX20">
        <v>25.515877419354801</v>
      </c>
      <c r="BY20">
        <v>24.9696903225806</v>
      </c>
      <c r="BZ20">
        <v>999.9</v>
      </c>
      <c r="CA20">
        <v>0</v>
      </c>
      <c r="CB20">
        <v>0</v>
      </c>
      <c r="CC20">
        <v>10004.9380645161</v>
      </c>
      <c r="CD20">
        <v>0</v>
      </c>
      <c r="CE20">
        <v>503.50180645161299</v>
      </c>
      <c r="CF20">
        <v>1799.99129032258</v>
      </c>
      <c r="CG20">
        <v>0.97800287096774197</v>
      </c>
      <c r="CH20">
        <v>2.1997225806451599E-2</v>
      </c>
      <c r="CI20">
        <v>0</v>
      </c>
      <c r="CJ20">
        <v>562.13716129032298</v>
      </c>
      <c r="CK20">
        <v>4.9993999999999996</v>
      </c>
      <c r="CL20">
        <v>10312.603225806501</v>
      </c>
      <c r="CM20">
        <v>14669.054838709701</v>
      </c>
      <c r="CN20">
        <v>47.5</v>
      </c>
      <c r="CO20">
        <v>48.061999999999998</v>
      </c>
      <c r="CP20">
        <v>48.125</v>
      </c>
      <c r="CQ20">
        <v>47.875</v>
      </c>
      <c r="CR20">
        <v>48.737806451612897</v>
      </c>
      <c r="CS20">
        <v>1755.5096774193601</v>
      </c>
      <c r="CT20">
        <v>39.481935483870998</v>
      </c>
      <c r="CU20">
        <v>0</v>
      </c>
      <c r="CV20">
        <v>120.60000014305101</v>
      </c>
      <c r="CW20">
        <v>562.15800000000002</v>
      </c>
      <c r="CX20">
        <v>1.15637608131429</v>
      </c>
      <c r="CY20">
        <v>15.2547008534059</v>
      </c>
      <c r="CZ20">
        <v>10312.569230769201</v>
      </c>
      <c r="DA20">
        <v>15</v>
      </c>
      <c r="DB20">
        <v>1519090460.5999999</v>
      </c>
      <c r="DC20" t="s">
        <v>300</v>
      </c>
      <c r="DD20">
        <v>79</v>
      </c>
      <c r="DE20">
        <v>0.72699999999999998</v>
      </c>
      <c r="DF20">
        <v>0.16</v>
      </c>
      <c r="DG20">
        <v>150</v>
      </c>
      <c r="DH20">
        <v>16</v>
      </c>
      <c r="DI20">
        <v>0.17</v>
      </c>
      <c r="DJ20">
        <v>0.02</v>
      </c>
      <c r="DK20">
        <v>7.3356288739262503</v>
      </c>
      <c r="DL20">
        <v>-0.10150754941623499</v>
      </c>
      <c r="DM20">
        <v>4.4191901112895497E-2</v>
      </c>
      <c r="DN20">
        <v>1</v>
      </c>
      <c r="DO20">
        <v>-8.7026524390243907</v>
      </c>
      <c r="DP20">
        <v>-1.01416724738497E-2</v>
      </c>
      <c r="DQ20">
        <v>4.5962547997705903E-2</v>
      </c>
      <c r="DR20">
        <v>1</v>
      </c>
      <c r="DS20">
        <v>4.4525195121951198</v>
      </c>
      <c r="DT20">
        <v>0.127945296167251</v>
      </c>
      <c r="DU20">
        <v>1.7025241225499099E-2</v>
      </c>
      <c r="DV20">
        <v>1</v>
      </c>
      <c r="DW20">
        <v>0.280453815084656</v>
      </c>
      <c r="DX20">
        <v>1.10664561099442E-2</v>
      </c>
      <c r="DY20">
        <v>1.9878568521419998E-3</v>
      </c>
      <c r="DZ20">
        <v>1</v>
      </c>
      <c r="EA20">
        <v>4</v>
      </c>
      <c r="EB20">
        <v>4</v>
      </c>
      <c r="EC20" t="s">
        <v>284</v>
      </c>
      <c r="ED20">
        <v>1.8490599999999999</v>
      </c>
      <c r="EE20">
        <v>1.85318</v>
      </c>
      <c r="EF20">
        <v>1.8519699999999999</v>
      </c>
      <c r="EG20">
        <v>1.85626</v>
      </c>
      <c r="EH20">
        <v>1.8540000000000001</v>
      </c>
      <c r="EI20">
        <v>1.8544</v>
      </c>
      <c r="EJ20">
        <v>1.8466199999999999</v>
      </c>
      <c r="EK20">
        <v>1.8513200000000001</v>
      </c>
      <c r="EL20" t="s">
        <v>285</v>
      </c>
      <c r="EM20" t="s">
        <v>19</v>
      </c>
      <c r="EN20" t="s">
        <v>19</v>
      </c>
      <c r="EO20" t="s">
        <v>19</v>
      </c>
      <c r="EP20" t="s">
        <v>286</v>
      </c>
      <c r="EQ20" t="s">
        <v>287</v>
      </c>
      <c r="ER20" t="s">
        <v>288</v>
      </c>
      <c r="ES20" t="s">
        <v>288</v>
      </c>
      <c r="ET20" t="s">
        <v>288</v>
      </c>
      <c r="EU20" t="s">
        <v>288</v>
      </c>
      <c r="EV20">
        <v>0</v>
      </c>
      <c r="EW20">
        <v>100</v>
      </c>
      <c r="EX20">
        <v>100</v>
      </c>
      <c r="EY20">
        <v>0.72699999999999998</v>
      </c>
      <c r="EZ20">
        <v>0.16</v>
      </c>
      <c r="FA20">
        <v>2</v>
      </c>
      <c r="FB20">
        <v>481.94799999999998</v>
      </c>
      <c r="FC20">
        <v>261.40100000000001</v>
      </c>
      <c r="FD20">
        <v>20.3034</v>
      </c>
      <c r="FE20">
        <v>31.426100000000002</v>
      </c>
      <c r="FF20">
        <v>29.999700000000001</v>
      </c>
      <c r="FG20">
        <v>31.8996</v>
      </c>
      <c r="FH20">
        <v>31.865300000000001</v>
      </c>
      <c r="FI20">
        <v>8.4414800000000003</v>
      </c>
      <c r="FJ20">
        <v>21.242999999999999</v>
      </c>
      <c r="FK20">
        <v>0</v>
      </c>
      <c r="FL20">
        <v>20.313300000000002</v>
      </c>
      <c r="FM20">
        <v>150</v>
      </c>
      <c r="FN20">
        <v>16.157699999999998</v>
      </c>
      <c r="FO20">
        <v>99.872600000000006</v>
      </c>
      <c r="FP20">
        <v>118.136</v>
      </c>
    </row>
    <row r="21" spans="1:172" x14ac:dyDescent="0.25">
      <c r="A21">
        <v>5</v>
      </c>
      <c r="B21">
        <v>1519090636</v>
      </c>
      <c r="C21">
        <v>494.90000009536698</v>
      </c>
      <c r="D21" t="s">
        <v>301</v>
      </c>
      <c r="E21" t="s">
        <v>302</v>
      </c>
      <c r="F21">
        <v>1519090628</v>
      </c>
      <c r="G21">
        <f t="shared" si="0"/>
        <v>4.2034036170221188E-3</v>
      </c>
      <c r="H21">
        <f t="shared" si="1"/>
        <v>3.7026881271719549</v>
      </c>
      <c r="I21">
        <f t="shared" si="2"/>
        <v>95.482438709677396</v>
      </c>
      <c r="J21">
        <f t="shared" si="3"/>
        <v>71.537791799505513</v>
      </c>
      <c r="K21">
        <f t="shared" si="4"/>
        <v>6.8268325859113084</v>
      </c>
      <c r="L21">
        <f t="shared" si="5"/>
        <v>9.1118639193167077</v>
      </c>
      <c r="M21">
        <f t="shared" si="6"/>
        <v>0.28622147920292484</v>
      </c>
      <c r="N21">
        <f t="shared" si="7"/>
        <v>2.3923078637516602</v>
      </c>
      <c r="O21">
        <f t="shared" si="8"/>
        <v>0.26846710240624061</v>
      </c>
      <c r="P21">
        <f t="shared" si="9"/>
        <v>0.16929524427311493</v>
      </c>
      <c r="Q21">
        <f t="shared" si="10"/>
        <v>289.5021490423307</v>
      </c>
      <c r="R21">
        <f t="shared" si="11"/>
        <v>26.272414778349628</v>
      </c>
      <c r="S21">
        <f t="shared" si="12"/>
        <v>26.272414778349628</v>
      </c>
      <c r="T21">
        <f t="shared" si="13"/>
        <v>3.4290348132105235</v>
      </c>
      <c r="U21">
        <f t="shared" si="14"/>
        <v>60.248987973898693</v>
      </c>
      <c r="V21">
        <f t="shared" si="15"/>
        <v>1.9772093159933863</v>
      </c>
      <c r="W21">
        <f t="shared" si="16"/>
        <v>3.2817303368646806</v>
      </c>
      <c r="X21">
        <f t="shared" si="17"/>
        <v>1.4518254972171372</v>
      </c>
      <c r="Y21">
        <f t="shared" si="18"/>
        <v>-185.37009951067543</v>
      </c>
      <c r="Z21">
        <f t="shared" si="19"/>
        <v>-95.631209778256334</v>
      </c>
      <c r="AA21">
        <f t="shared" si="20"/>
        <v>-8.532563162425264</v>
      </c>
      <c r="AB21">
        <f t="shared" si="21"/>
        <v>-3.1723409026341187E-2</v>
      </c>
      <c r="AC21">
        <v>-3.9515785458084998E-2</v>
      </c>
      <c r="AD21">
        <v>4.4359930949636701E-2</v>
      </c>
      <c r="AE21">
        <v>3.3436807536357298</v>
      </c>
      <c r="AF21">
        <v>5</v>
      </c>
      <c r="AG21">
        <v>1</v>
      </c>
      <c r="AH21">
        <f t="shared" si="22"/>
        <v>1</v>
      </c>
      <c r="AI21">
        <f t="shared" si="23"/>
        <v>0</v>
      </c>
      <c r="AJ21">
        <f t="shared" si="24"/>
        <v>50637.623343179563</v>
      </c>
      <c r="AK21" t="s">
        <v>279</v>
      </c>
      <c r="AL21">
        <v>580.33307692307699</v>
      </c>
      <c r="AM21">
        <v>2824.36</v>
      </c>
      <c r="AN21">
        <f t="shared" si="25"/>
        <v>2244.0269230769231</v>
      </c>
      <c r="AO21">
        <f t="shared" si="26"/>
        <v>0.79452581224664098</v>
      </c>
      <c r="AP21">
        <v>-2.5011690977444898</v>
      </c>
      <c r="AQ21" t="s">
        <v>303</v>
      </c>
      <c r="AR21">
        <v>561.82403846153898</v>
      </c>
      <c r="AS21">
        <v>713.03899999999999</v>
      </c>
      <c r="AT21">
        <f t="shared" si="27"/>
        <v>0.21207109504313371</v>
      </c>
      <c r="AU21">
        <v>0.5</v>
      </c>
      <c r="AV21">
        <f t="shared" si="28"/>
        <v>1513.2120681368272</v>
      </c>
      <c r="AW21">
        <f t="shared" si="29"/>
        <v>3.7026881271719549</v>
      </c>
      <c r="AX21">
        <f t="shared" si="30"/>
        <v>160.45427016113101</v>
      </c>
      <c r="AY21">
        <f t="shared" si="31"/>
        <v>1</v>
      </c>
      <c r="AZ21">
        <f t="shared" si="32"/>
        <v>4.0997936479287194E-3</v>
      </c>
      <c r="BA21">
        <f t="shared" si="33"/>
        <v>2.96101756004931</v>
      </c>
      <c r="BB21" t="s">
        <v>281</v>
      </c>
      <c r="BC21">
        <v>0</v>
      </c>
      <c r="BD21">
        <f t="shared" si="34"/>
        <v>713.03899999999999</v>
      </c>
      <c r="BE21">
        <f t="shared" si="35"/>
        <v>0.21207109504313371</v>
      </c>
      <c r="BF21">
        <f t="shared" si="36"/>
        <v>0.74753961959523563</v>
      </c>
      <c r="BG21">
        <f t="shared" si="37"/>
        <v>1.13947409454218</v>
      </c>
      <c r="BH21">
        <f t="shared" si="38"/>
        <v>0.94086259763097579</v>
      </c>
      <c r="BI21">
        <f t="shared" si="39"/>
        <v>1800.0325806451599</v>
      </c>
      <c r="BJ21">
        <f t="shared" si="40"/>
        <v>1513.2120681368272</v>
      </c>
      <c r="BK21">
        <f t="shared" si="41"/>
        <v>0.84065815497321073</v>
      </c>
      <c r="BL21">
        <f t="shared" si="42"/>
        <v>0.19131630994642149</v>
      </c>
      <c r="BM21">
        <v>5.5</v>
      </c>
      <c r="BN21">
        <v>0.5</v>
      </c>
      <c r="BO21" t="s">
        <v>282</v>
      </c>
      <c r="BP21">
        <v>1519090628</v>
      </c>
      <c r="BQ21">
        <v>95.482438709677396</v>
      </c>
      <c r="BR21">
        <v>99.996445161290296</v>
      </c>
      <c r="BS21">
        <v>20.719006451612898</v>
      </c>
      <c r="BT21">
        <v>16.191500000000001</v>
      </c>
      <c r="BU21">
        <v>500.04838709677398</v>
      </c>
      <c r="BV21">
        <v>95.329445161290295</v>
      </c>
      <c r="BW21">
        <v>0.10029084516129</v>
      </c>
      <c r="BX21">
        <v>25.5309387096774</v>
      </c>
      <c r="BY21">
        <v>24.969454838709702</v>
      </c>
      <c r="BZ21">
        <v>999.9</v>
      </c>
      <c r="CA21">
        <v>0</v>
      </c>
      <c r="CB21">
        <v>0</v>
      </c>
      <c r="CC21">
        <v>9996.3067741935502</v>
      </c>
      <c r="CD21">
        <v>0</v>
      </c>
      <c r="CE21">
        <v>490.62909677419299</v>
      </c>
      <c r="CF21">
        <v>1800.0325806451599</v>
      </c>
      <c r="CG21">
        <v>0.97800229032258101</v>
      </c>
      <c r="CH21">
        <v>2.1997941935483899E-2</v>
      </c>
      <c r="CI21">
        <v>0</v>
      </c>
      <c r="CJ21">
        <v>561.82770967741897</v>
      </c>
      <c r="CK21">
        <v>4.9993999999999996</v>
      </c>
      <c r="CL21">
        <v>10306.1129032258</v>
      </c>
      <c r="CM21">
        <v>14669.3838709677</v>
      </c>
      <c r="CN21">
        <v>47.495935483871001</v>
      </c>
      <c r="CO21">
        <v>48.052</v>
      </c>
      <c r="CP21">
        <v>48.078258064516099</v>
      </c>
      <c r="CQ21">
        <v>47.848580645161299</v>
      </c>
      <c r="CR21">
        <v>48.686999999999998</v>
      </c>
      <c r="CS21">
        <v>1755.5425806451599</v>
      </c>
      <c r="CT21">
        <v>39.49</v>
      </c>
      <c r="CU21">
        <v>0</v>
      </c>
      <c r="CV21">
        <v>120</v>
      </c>
      <c r="CW21">
        <v>561.82403846153898</v>
      </c>
      <c r="CX21">
        <v>-0.277162401575059</v>
      </c>
      <c r="CY21">
        <v>-6.7555555545779304</v>
      </c>
      <c r="CZ21">
        <v>10305.9692307692</v>
      </c>
      <c r="DA21">
        <v>15</v>
      </c>
      <c r="DB21">
        <v>1519090580.5</v>
      </c>
      <c r="DC21" t="s">
        <v>304</v>
      </c>
      <c r="DD21">
        <v>80</v>
      </c>
      <c r="DE21">
        <v>0.59299999999999997</v>
      </c>
      <c r="DF21">
        <v>0.157</v>
      </c>
      <c r="DG21">
        <v>100</v>
      </c>
      <c r="DH21">
        <v>16</v>
      </c>
      <c r="DI21">
        <v>0.23</v>
      </c>
      <c r="DJ21">
        <v>0.02</v>
      </c>
      <c r="DK21">
        <v>3.70416707057477</v>
      </c>
      <c r="DL21">
        <v>2.8519481243170702E-2</v>
      </c>
      <c r="DM21">
        <v>4.3871138477251798E-2</v>
      </c>
      <c r="DN21">
        <v>1</v>
      </c>
      <c r="DO21">
        <v>-4.5271087804877999</v>
      </c>
      <c r="DP21">
        <v>0.17661135888503701</v>
      </c>
      <c r="DQ21">
        <v>2.6313328830129899E-2</v>
      </c>
      <c r="DR21">
        <v>1</v>
      </c>
      <c r="DS21">
        <v>4.5182219512195099</v>
      </c>
      <c r="DT21">
        <v>0.19867986062718601</v>
      </c>
      <c r="DU21">
        <v>2.0983360564575601E-2</v>
      </c>
      <c r="DV21">
        <v>1</v>
      </c>
      <c r="DW21">
        <v>0.284535181939638</v>
      </c>
      <c r="DX21">
        <v>1.54985884745033E-2</v>
      </c>
      <c r="DY21">
        <v>2.3964008651943102E-3</v>
      </c>
      <c r="DZ21">
        <v>1</v>
      </c>
      <c r="EA21">
        <v>4</v>
      </c>
      <c r="EB21">
        <v>4</v>
      </c>
      <c r="EC21" t="s">
        <v>284</v>
      </c>
      <c r="ED21">
        <v>1.8490599999999999</v>
      </c>
      <c r="EE21">
        <v>1.85318</v>
      </c>
      <c r="EF21">
        <v>1.8519699999999999</v>
      </c>
      <c r="EG21">
        <v>1.85626</v>
      </c>
      <c r="EH21">
        <v>1.8540300000000001</v>
      </c>
      <c r="EI21">
        <v>1.8544</v>
      </c>
      <c r="EJ21">
        <v>1.8466199999999999</v>
      </c>
      <c r="EK21">
        <v>1.85131</v>
      </c>
      <c r="EL21" t="s">
        <v>285</v>
      </c>
      <c r="EM21" t="s">
        <v>19</v>
      </c>
      <c r="EN21" t="s">
        <v>19</v>
      </c>
      <c r="EO21" t="s">
        <v>19</v>
      </c>
      <c r="EP21" t="s">
        <v>286</v>
      </c>
      <c r="EQ21" t="s">
        <v>287</v>
      </c>
      <c r="ER21" t="s">
        <v>288</v>
      </c>
      <c r="ES21" t="s">
        <v>288</v>
      </c>
      <c r="ET21" t="s">
        <v>288</v>
      </c>
      <c r="EU21" t="s">
        <v>288</v>
      </c>
      <c r="EV21">
        <v>0</v>
      </c>
      <c r="EW21">
        <v>100</v>
      </c>
      <c r="EX21">
        <v>100</v>
      </c>
      <c r="EY21">
        <v>0.59299999999999997</v>
      </c>
      <c r="EZ21">
        <v>0.157</v>
      </c>
      <c r="FA21">
        <v>2</v>
      </c>
      <c r="FB21">
        <v>482.483</v>
      </c>
      <c r="FC21">
        <v>261.33300000000003</v>
      </c>
      <c r="FD21">
        <v>20.476800000000001</v>
      </c>
      <c r="FE21">
        <v>31.3536</v>
      </c>
      <c r="FF21">
        <v>29.999700000000001</v>
      </c>
      <c r="FG21">
        <v>31.827400000000001</v>
      </c>
      <c r="FH21">
        <v>31.792300000000001</v>
      </c>
      <c r="FI21">
        <v>6.6007999999999996</v>
      </c>
      <c r="FJ21">
        <v>20.972100000000001</v>
      </c>
      <c r="FK21">
        <v>0</v>
      </c>
      <c r="FL21">
        <v>20.4907</v>
      </c>
      <c r="FM21">
        <v>100</v>
      </c>
      <c r="FN21">
        <v>16.0807</v>
      </c>
      <c r="FO21">
        <v>99.884299999999996</v>
      </c>
      <c r="FP21">
        <v>118.152</v>
      </c>
    </row>
    <row r="22" spans="1:172" x14ac:dyDescent="0.25">
      <c r="A22">
        <v>6</v>
      </c>
      <c r="B22">
        <v>1519090756.5</v>
      </c>
      <c r="C22">
        <v>615.40000009536698</v>
      </c>
      <c r="D22" t="s">
        <v>305</v>
      </c>
      <c r="E22" t="s">
        <v>306</v>
      </c>
      <c r="F22">
        <v>1519090748.5</v>
      </c>
      <c r="G22">
        <f t="shared" si="0"/>
        <v>4.3167029579236869E-3</v>
      </c>
      <c r="H22">
        <f t="shared" si="1"/>
        <v>1.7940855507265747</v>
      </c>
      <c r="I22">
        <f t="shared" si="2"/>
        <v>72.681354838709694</v>
      </c>
      <c r="J22">
        <f t="shared" si="3"/>
        <v>60.749033364119185</v>
      </c>
      <c r="K22">
        <f t="shared" si="4"/>
        <v>5.7972360115926866</v>
      </c>
      <c r="L22">
        <f t="shared" si="5"/>
        <v>6.935928759834078</v>
      </c>
      <c r="M22">
        <f t="shared" si="6"/>
        <v>0.29553134010767862</v>
      </c>
      <c r="N22">
        <f t="shared" si="7"/>
        <v>2.3902085339701769</v>
      </c>
      <c r="O22">
        <f t="shared" si="8"/>
        <v>0.27662862369478269</v>
      </c>
      <c r="P22">
        <f t="shared" si="9"/>
        <v>0.17449037313286558</v>
      </c>
      <c r="Q22">
        <f t="shared" si="10"/>
        <v>289.49720661756032</v>
      </c>
      <c r="R22">
        <f t="shared" si="11"/>
        <v>26.28146489139862</v>
      </c>
      <c r="S22">
        <f t="shared" si="12"/>
        <v>26.28146489139862</v>
      </c>
      <c r="T22">
        <f t="shared" si="13"/>
        <v>3.4308678328831199</v>
      </c>
      <c r="U22">
        <f t="shared" si="14"/>
        <v>60.296919043897979</v>
      </c>
      <c r="V22">
        <f t="shared" si="15"/>
        <v>1.983972404190862</v>
      </c>
      <c r="W22">
        <f t="shared" si="16"/>
        <v>3.290337940395379</v>
      </c>
      <c r="X22">
        <f t="shared" si="17"/>
        <v>1.446895428692258</v>
      </c>
      <c r="Y22">
        <f t="shared" si="18"/>
        <v>-190.3666004444346</v>
      </c>
      <c r="Z22">
        <f t="shared" si="19"/>
        <v>-91.028235360653227</v>
      </c>
      <c r="AA22">
        <f t="shared" si="20"/>
        <v>-8.1311706214676125</v>
      </c>
      <c r="AB22">
        <f t="shared" si="21"/>
        <v>-2.879980899511736E-2</v>
      </c>
      <c r="AC22">
        <v>-3.9467270850221302E-2</v>
      </c>
      <c r="AD22">
        <v>4.4305469052196601E-2</v>
      </c>
      <c r="AE22">
        <v>3.34041339740229</v>
      </c>
      <c r="AF22">
        <v>5</v>
      </c>
      <c r="AG22">
        <v>1</v>
      </c>
      <c r="AH22">
        <f t="shared" si="22"/>
        <v>1</v>
      </c>
      <c r="AI22">
        <f t="shared" si="23"/>
        <v>0</v>
      </c>
      <c r="AJ22">
        <f t="shared" si="24"/>
        <v>50570.497199373225</v>
      </c>
      <c r="AK22" t="s">
        <v>279</v>
      </c>
      <c r="AL22">
        <v>580.33307692307699</v>
      </c>
      <c r="AM22">
        <v>2824.36</v>
      </c>
      <c r="AN22">
        <f t="shared" si="25"/>
        <v>2244.0269230769231</v>
      </c>
      <c r="AO22">
        <f t="shared" si="26"/>
        <v>0.79452581224664098</v>
      </c>
      <c r="AP22">
        <v>-2.5011690977444898</v>
      </c>
      <c r="AQ22" t="s">
        <v>307</v>
      </c>
      <c r="AR22">
        <v>561.98396153846102</v>
      </c>
      <c r="AS22">
        <v>696.60199999999998</v>
      </c>
      <c r="AT22">
        <f t="shared" si="27"/>
        <v>0.19324957215388261</v>
      </c>
      <c r="AU22">
        <v>0.5</v>
      </c>
      <c r="AV22">
        <f t="shared" si="28"/>
        <v>1513.1860552336129</v>
      </c>
      <c r="AW22">
        <f t="shared" si="29"/>
        <v>1.7940855507265747</v>
      </c>
      <c r="AX22">
        <f t="shared" si="30"/>
        <v>146.21127888155854</v>
      </c>
      <c r="AY22">
        <f t="shared" si="31"/>
        <v>1</v>
      </c>
      <c r="AZ22">
        <f t="shared" si="32"/>
        <v>2.838550245434255E-3</v>
      </c>
      <c r="BA22">
        <f t="shared" si="33"/>
        <v>3.0544816121687854</v>
      </c>
      <c r="BB22" t="s">
        <v>281</v>
      </c>
      <c r="BC22">
        <v>0</v>
      </c>
      <c r="BD22">
        <f t="shared" si="34"/>
        <v>696.60199999999998</v>
      </c>
      <c r="BE22">
        <f t="shared" si="35"/>
        <v>0.19324957215388266</v>
      </c>
      <c r="BF22">
        <f t="shared" si="36"/>
        <v>0.75335934512597547</v>
      </c>
      <c r="BG22">
        <f t="shared" si="37"/>
        <v>1.1578161635889264</v>
      </c>
      <c r="BH22">
        <f t="shared" si="38"/>
        <v>0.94818737605986503</v>
      </c>
      <c r="BI22">
        <f t="shared" si="39"/>
        <v>1800.0016129032299</v>
      </c>
      <c r="BJ22">
        <f t="shared" si="40"/>
        <v>1513.1860552336129</v>
      </c>
      <c r="BK22">
        <f t="shared" si="41"/>
        <v>0.84065816629630075</v>
      </c>
      <c r="BL22">
        <f t="shared" si="42"/>
        <v>0.19131633259260136</v>
      </c>
      <c r="BM22">
        <v>5.5</v>
      </c>
      <c r="BN22">
        <v>0.5</v>
      </c>
      <c r="BO22" t="s">
        <v>282</v>
      </c>
      <c r="BP22">
        <v>1519090748.5</v>
      </c>
      <c r="BQ22">
        <v>72.681354838709694</v>
      </c>
      <c r="BR22">
        <v>74.999774193548404</v>
      </c>
      <c r="BS22">
        <v>20.789977419354798</v>
      </c>
      <c r="BT22">
        <v>16.140709677419402</v>
      </c>
      <c r="BU22">
        <v>500.041612903226</v>
      </c>
      <c r="BV22">
        <v>95.329070967741998</v>
      </c>
      <c r="BW22">
        <v>0.100200751612903</v>
      </c>
      <c r="BX22">
        <v>25.575058064516099</v>
      </c>
      <c r="BY22">
        <v>24.979248387096799</v>
      </c>
      <c r="BZ22">
        <v>999.9</v>
      </c>
      <c r="CA22">
        <v>0</v>
      </c>
      <c r="CB22">
        <v>0</v>
      </c>
      <c r="CC22">
        <v>9984.0732258064509</v>
      </c>
      <c r="CD22">
        <v>0</v>
      </c>
      <c r="CE22">
        <v>471.73548387096798</v>
      </c>
      <c r="CF22">
        <v>1800.0016129032299</v>
      </c>
      <c r="CG22">
        <v>0.97800174193548395</v>
      </c>
      <c r="CH22">
        <v>2.1998538709677402E-2</v>
      </c>
      <c r="CI22">
        <v>0</v>
      </c>
      <c r="CJ22">
        <v>561.98977419354799</v>
      </c>
      <c r="CK22">
        <v>4.9993999999999996</v>
      </c>
      <c r="CL22">
        <v>10306.5516129032</v>
      </c>
      <c r="CM22">
        <v>14669.1419354839</v>
      </c>
      <c r="CN22">
        <v>47.436999999999998</v>
      </c>
      <c r="CO22">
        <v>47.985774193548401</v>
      </c>
      <c r="CP22">
        <v>48.061999999999998</v>
      </c>
      <c r="CQ22">
        <v>47.8</v>
      </c>
      <c r="CR22">
        <v>48.686999999999998</v>
      </c>
      <c r="CS22">
        <v>1755.5116129032299</v>
      </c>
      <c r="CT22">
        <v>39.49</v>
      </c>
      <c r="CU22">
        <v>0</v>
      </c>
      <c r="CV22">
        <v>120</v>
      </c>
      <c r="CW22">
        <v>561.98396153846102</v>
      </c>
      <c r="CX22">
        <v>-0.223418815182271</v>
      </c>
      <c r="CY22">
        <v>-1.2102563875763801</v>
      </c>
      <c r="CZ22">
        <v>10306.5769230769</v>
      </c>
      <c r="DA22">
        <v>15</v>
      </c>
      <c r="DB22">
        <v>1519090702.5</v>
      </c>
      <c r="DC22" t="s">
        <v>308</v>
      </c>
      <c r="DD22">
        <v>81</v>
      </c>
      <c r="DE22">
        <v>0.61199999999999999</v>
      </c>
      <c r="DF22">
        <v>0.153</v>
      </c>
      <c r="DG22">
        <v>75</v>
      </c>
      <c r="DH22">
        <v>16</v>
      </c>
      <c r="DI22">
        <v>0.23</v>
      </c>
      <c r="DJ22">
        <v>0.02</v>
      </c>
      <c r="DK22">
        <v>1.7909714867631601</v>
      </c>
      <c r="DL22">
        <v>2.2634649655564301E-2</v>
      </c>
      <c r="DM22">
        <v>1.9623038291292302E-2</v>
      </c>
      <c r="DN22">
        <v>1</v>
      </c>
      <c r="DO22">
        <v>-2.3206992682926799</v>
      </c>
      <c r="DP22">
        <v>3.8512055749142897E-2</v>
      </c>
      <c r="DQ22">
        <v>1.85134924285946E-2</v>
      </c>
      <c r="DR22">
        <v>1</v>
      </c>
      <c r="DS22">
        <v>4.6414170731707296</v>
      </c>
      <c r="DT22">
        <v>0.17305797909408599</v>
      </c>
      <c r="DU22">
        <v>1.8825861589961999E-2</v>
      </c>
      <c r="DV22">
        <v>1</v>
      </c>
      <c r="DW22">
        <v>0.293660527946767</v>
      </c>
      <c r="DX22">
        <v>1.8611237249769201E-2</v>
      </c>
      <c r="DY22">
        <v>2.74000958448714E-3</v>
      </c>
      <c r="DZ22">
        <v>1</v>
      </c>
      <c r="EA22">
        <v>4</v>
      </c>
      <c r="EB22">
        <v>4</v>
      </c>
      <c r="EC22" t="s">
        <v>284</v>
      </c>
      <c r="ED22">
        <v>1.8490599999999999</v>
      </c>
      <c r="EE22">
        <v>1.85318</v>
      </c>
      <c r="EF22">
        <v>1.85198</v>
      </c>
      <c r="EG22">
        <v>1.8562700000000001</v>
      </c>
      <c r="EH22">
        <v>1.8540000000000001</v>
      </c>
      <c r="EI22">
        <v>1.8544</v>
      </c>
      <c r="EJ22">
        <v>1.8466199999999999</v>
      </c>
      <c r="EK22">
        <v>1.8513200000000001</v>
      </c>
      <c r="EL22" t="s">
        <v>285</v>
      </c>
      <c r="EM22" t="s">
        <v>19</v>
      </c>
      <c r="EN22" t="s">
        <v>19</v>
      </c>
      <c r="EO22" t="s">
        <v>19</v>
      </c>
      <c r="EP22" t="s">
        <v>286</v>
      </c>
      <c r="EQ22" t="s">
        <v>287</v>
      </c>
      <c r="ER22" t="s">
        <v>288</v>
      </c>
      <c r="ES22" t="s">
        <v>288</v>
      </c>
      <c r="ET22" t="s">
        <v>288</v>
      </c>
      <c r="EU22" t="s">
        <v>288</v>
      </c>
      <c r="EV22">
        <v>0</v>
      </c>
      <c r="EW22">
        <v>100</v>
      </c>
      <c r="EX22">
        <v>100</v>
      </c>
      <c r="EY22">
        <v>0.61199999999999999</v>
      </c>
      <c r="EZ22">
        <v>0.153</v>
      </c>
      <c r="FA22">
        <v>2</v>
      </c>
      <c r="FB22">
        <v>482.43099999999998</v>
      </c>
      <c r="FC22">
        <v>261.49400000000003</v>
      </c>
      <c r="FD22">
        <v>20.642499999999998</v>
      </c>
      <c r="FE22">
        <v>31.273099999999999</v>
      </c>
      <c r="FF22">
        <v>29.999600000000001</v>
      </c>
      <c r="FG22">
        <v>31.748799999999999</v>
      </c>
      <c r="FH22">
        <v>31.713899999999999</v>
      </c>
      <c r="FI22">
        <v>5.6866099999999999</v>
      </c>
      <c r="FJ22">
        <v>20.607800000000001</v>
      </c>
      <c r="FK22">
        <v>0</v>
      </c>
      <c r="FL22">
        <v>20.649899999999999</v>
      </c>
      <c r="FM22">
        <v>75</v>
      </c>
      <c r="FN22">
        <v>16.050699999999999</v>
      </c>
      <c r="FO22">
        <v>99.900199999999998</v>
      </c>
      <c r="FP22">
        <v>118.166</v>
      </c>
    </row>
    <row r="23" spans="1:172" x14ac:dyDescent="0.25">
      <c r="A23">
        <v>11</v>
      </c>
      <c r="B23">
        <v>1519091389</v>
      </c>
      <c r="C23">
        <v>1247.9000000953699</v>
      </c>
      <c r="D23" t="s">
        <v>309</v>
      </c>
      <c r="E23" t="s">
        <v>310</v>
      </c>
      <c r="F23">
        <v>1519091381</v>
      </c>
      <c r="G23">
        <f t="shared" si="0"/>
        <v>4.492907609984104E-3</v>
      </c>
      <c r="H23">
        <f t="shared" si="1"/>
        <v>22.805446453057584</v>
      </c>
      <c r="I23">
        <f t="shared" si="2"/>
        <v>373.15506451612902</v>
      </c>
      <c r="J23">
        <f t="shared" si="3"/>
        <v>238.77737354070166</v>
      </c>
      <c r="K23">
        <f t="shared" si="4"/>
        <v>22.782010735443329</v>
      </c>
      <c r="L23">
        <f t="shared" si="5"/>
        <v>35.603133411392484</v>
      </c>
      <c r="M23">
        <f t="shared" si="6"/>
        <v>0.30530666384976662</v>
      </c>
      <c r="N23">
        <f t="shared" si="7"/>
        <v>2.3919036361710746</v>
      </c>
      <c r="O23">
        <f t="shared" si="8"/>
        <v>0.28519170126220073</v>
      </c>
      <c r="P23">
        <f t="shared" si="9"/>
        <v>0.17994150838140283</v>
      </c>
      <c r="Q23">
        <f t="shared" si="10"/>
        <v>289.49802383719197</v>
      </c>
      <c r="R23">
        <f t="shared" si="11"/>
        <v>26.331426542424648</v>
      </c>
      <c r="S23">
        <f t="shared" si="12"/>
        <v>26.331426542424648</v>
      </c>
      <c r="T23">
        <f t="shared" si="13"/>
        <v>3.441002528627334</v>
      </c>
      <c r="U23">
        <f t="shared" si="14"/>
        <v>59.817760586920073</v>
      </c>
      <c r="V23">
        <f t="shared" si="15"/>
        <v>1.9806029167360002</v>
      </c>
      <c r="W23">
        <f t="shared" si="16"/>
        <v>3.3110616266853099</v>
      </c>
      <c r="X23">
        <f t="shared" si="17"/>
        <v>1.4603996118913338</v>
      </c>
      <c r="Y23">
        <f t="shared" si="18"/>
        <v>-198.13722560029899</v>
      </c>
      <c r="Z23">
        <f t="shared" si="19"/>
        <v>-83.891059354868418</v>
      </c>
      <c r="AA23">
        <f t="shared" si="20"/>
        <v>-7.4941791713820072</v>
      </c>
      <c r="AB23">
        <f t="shared" si="21"/>
        <v>-2.4440289357471556E-2</v>
      </c>
      <c r="AC23">
        <v>-3.9506441587690802E-2</v>
      </c>
      <c r="AD23">
        <v>4.4349441636551197E-2</v>
      </c>
      <c r="AE23">
        <v>3.34305156519769</v>
      </c>
      <c r="AF23">
        <v>7</v>
      </c>
      <c r="AG23">
        <v>1</v>
      </c>
      <c r="AH23">
        <f t="shared" si="22"/>
        <v>1</v>
      </c>
      <c r="AI23">
        <f t="shared" si="23"/>
        <v>0</v>
      </c>
      <c r="AJ23">
        <f t="shared" si="24"/>
        <v>50600.32591574188</v>
      </c>
      <c r="AK23" t="s">
        <v>279</v>
      </c>
      <c r="AL23">
        <v>580.33307692307699</v>
      </c>
      <c r="AM23">
        <v>2824.36</v>
      </c>
      <c r="AN23">
        <f t="shared" si="25"/>
        <v>2244.0269230769231</v>
      </c>
      <c r="AO23">
        <f t="shared" si="26"/>
        <v>0.79452581224664098</v>
      </c>
      <c r="AP23">
        <v>-2.5011690977444898</v>
      </c>
      <c r="AQ23" t="s">
        <v>311</v>
      </c>
      <c r="AR23">
        <v>570.32399999999996</v>
      </c>
      <c r="AS23">
        <v>821.13</v>
      </c>
      <c r="AT23">
        <f t="shared" si="27"/>
        <v>0.30544006430163317</v>
      </c>
      <c r="AU23">
        <v>0.5</v>
      </c>
      <c r="AV23">
        <f t="shared" si="28"/>
        <v>1513.1877090105916</v>
      </c>
      <c r="AW23">
        <f t="shared" si="29"/>
        <v>22.805446453057584</v>
      </c>
      <c r="AX23">
        <f t="shared" si="30"/>
        <v>231.09407557031804</v>
      </c>
      <c r="AY23">
        <f t="shared" si="31"/>
        <v>1</v>
      </c>
      <c r="AZ23">
        <f t="shared" si="32"/>
        <v>1.6724042496584237E-2</v>
      </c>
      <c r="BA23">
        <f t="shared" si="33"/>
        <v>2.4396015247281184</v>
      </c>
      <c r="BB23" t="s">
        <v>281</v>
      </c>
      <c r="BC23">
        <v>0</v>
      </c>
      <c r="BD23">
        <f t="shared" si="34"/>
        <v>821.13</v>
      </c>
      <c r="BE23">
        <f t="shared" si="35"/>
        <v>0.30544006430163317</v>
      </c>
      <c r="BF23">
        <f t="shared" si="36"/>
        <v>0.70926864847257431</v>
      </c>
      <c r="BG23">
        <f t="shared" si="37"/>
        <v>1.0415664651988914</v>
      </c>
      <c r="BH23">
        <f t="shared" si="38"/>
        <v>0.89269428071444368</v>
      </c>
      <c r="BI23">
        <f t="shared" si="39"/>
        <v>1800.00322580645</v>
      </c>
      <c r="BJ23">
        <f t="shared" si="40"/>
        <v>1513.1877090105916</v>
      </c>
      <c r="BK23">
        <f t="shared" si="41"/>
        <v>0.84065833178306815</v>
      </c>
      <c r="BL23">
        <f t="shared" si="42"/>
        <v>0.19131666356613633</v>
      </c>
      <c r="BM23">
        <v>5.5</v>
      </c>
      <c r="BN23">
        <v>0.5</v>
      </c>
      <c r="BO23" t="s">
        <v>282</v>
      </c>
      <c r="BP23">
        <v>1519091381</v>
      </c>
      <c r="BQ23">
        <v>373.15506451612902</v>
      </c>
      <c r="BR23">
        <v>400.082774193548</v>
      </c>
      <c r="BS23">
        <v>20.758622580645198</v>
      </c>
      <c r="BT23">
        <v>15.919464516129</v>
      </c>
      <c r="BU23">
        <v>500.04619354838701</v>
      </c>
      <c r="BV23">
        <v>95.311009677419307</v>
      </c>
      <c r="BW23">
        <v>0.100085593548387</v>
      </c>
      <c r="BX23">
        <v>25.680867741935501</v>
      </c>
      <c r="BY23">
        <v>24.9857870967742</v>
      </c>
      <c r="BZ23">
        <v>999.9</v>
      </c>
      <c r="CA23">
        <v>0</v>
      </c>
      <c r="CB23">
        <v>0</v>
      </c>
      <c r="CC23">
        <v>9995.87612903226</v>
      </c>
      <c r="CD23">
        <v>0</v>
      </c>
      <c r="CE23">
        <v>263.81829032258099</v>
      </c>
      <c r="CF23">
        <v>1800.00322580645</v>
      </c>
      <c r="CG23">
        <v>0.97799670967741903</v>
      </c>
      <c r="CH23">
        <v>2.20031935483871E-2</v>
      </c>
      <c r="CI23">
        <v>0</v>
      </c>
      <c r="CJ23">
        <v>570.09174193548404</v>
      </c>
      <c r="CK23">
        <v>4.9993999999999996</v>
      </c>
      <c r="CL23">
        <v>10446.658064516099</v>
      </c>
      <c r="CM23">
        <v>14669.1225806452</v>
      </c>
      <c r="CN23">
        <v>47.186999999999998</v>
      </c>
      <c r="CO23">
        <v>47.625</v>
      </c>
      <c r="CP23">
        <v>47.8</v>
      </c>
      <c r="CQ23">
        <v>47.5</v>
      </c>
      <c r="CR23">
        <v>48.436999999999998</v>
      </c>
      <c r="CS23">
        <v>1755.5048387096799</v>
      </c>
      <c r="CT23">
        <v>39.5</v>
      </c>
      <c r="CU23">
        <v>0</v>
      </c>
      <c r="CV23">
        <v>150</v>
      </c>
      <c r="CW23">
        <v>570.32399999999996</v>
      </c>
      <c r="CX23">
        <v>24.303863259885301</v>
      </c>
      <c r="CY23">
        <v>435.14529941202699</v>
      </c>
      <c r="CZ23">
        <v>10450.6076923077</v>
      </c>
      <c r="DA23">
        <v>15</v>
      </c>
      <c r="DB23">
        <v>1519091315.5</v>
      </c>
      <c r="DC23" t="s">
        <v>312</v>
      </c>
      <c r="DD23">
        <v>86</v>
      </c>
      <c r="DE23">
        <v>1.36</v>
      </c>
      <c r="DF23">
        <v>0.16</v>
      </c>
      <c r="DG23">
        <v>402</v>
      </c>
      <c r="DH23">
        <v>16</v>
      </c>
      <c r="DI23">
        <v>0.04</v>
      </c>
      <c r="DJ23">
        <v>0.02</v>
      </c>
      <c r="DK23">
        <v>22.538431904428698</v>
      </c>
      <c r="DL23">
        <v>2.26853945675962</v>
      </c>
      <c r="DM23">
        <v>0.30600368341971601</v>
      </c>
      <c r="DN23">
        <v>0</v>
      </c>
      <c r="DO23">
        <v>-26.810285365853701</v>
      </c>
      <c r="DP23">
        <v>-2.3657602787455301</v>
      </c>
      <c r="DQ23">
        <v>0.23808936686696</v>
      </c>
      <c r="DR23">
        <v>0</v>
      </c>
      <c r="DS23">
        <v>4.8460321951219498</v>
      </c>
      <c r="DT23">
        <v>-0.13829498257839001</v>
      </c>
      <c r="DU23">
        <v>1.3662470853238301E-2</v>
      </c>
      <c r="DV23">
        <v>1</v>
      </c>
      <c r="DW23">
        <v>0.30741484674831399</v>
      </c>
      <c r="DX23">
        <v>-1.78651350242989E-2</v>
      </c>
      <c r="DY23">
        <v>2.3974524119558202E-3</v>
      </c>
      <c r="DZ23">
        <v>1</v>
      </c>
      <c r="EA23">
        <v>2</v>
      </c>
      <c r="EB23">
        <v>4</v>
      </c>
      <c r="EC23" t="s">
        <v>313</v>
      </c>
      <c r="ED23">
        <v>1.8490599999999999</v>
      </c>
      <c r="EE23">
        <v>1.8531899999999999</v>
      </c>
      <c r="EF23">
        <v>1.85199</v>
      </c>
      <c r="EG23">
        <v>1.8562700000000001</v>
      </c>
      <c r="EH23">
        <v>1.8541000000000001</v>
      </c>
      <c r="EI23">
        <v>1.85442</v>
      </c>
      <c r="EJ23">
        <v>1.8466199999999999</v>
      </c>
      <c r="EK23">
        <v>1.8513500000000001</v>
      </c>
      <c r="EL23" t="s">
        <v>285</v>
      </c>
      <c r="EM23" t="s">
        <v>19</v>
      </c>
      <c r="EN23" t="s">
        <v>19</v>
      </c>
      <c r="EO23" t="s">
        <v>19</v>
      </c>
      <c r="EP23" t="s">
        <v>286</v>
      </c>
      <c r="EQ23" t="s">
        <v>287</v>
      </c>
      <c r="ER23" t="s">
        <v>288</v>
      </c>
      <c r="ES23" t="s">
        <v>288</v>
      </c>
      <c r="ET23" t="s">
        <v>288</v>
      </c>
      <c r="EU23" t="s">
        <v>288</v>
      </c>
      <c r="EV23">
        <v>0</v>
      </c>
      <c r="EW23">
        <v>100</v>
      </c>
      <c r="EX23">
        <v>100</v>
      </c>
      <c r="EY23">
        <v>1.36</v>
      </c>
      <c r="EZ23">
        <v>0.16</v>
      </c>
      <c r="FA23">
        <v>2</v>
      </c>
      <c r="FB23">
        <v>481.03399999999999</v>
      </c>
      <c r="FC23">
        <v>263.39699999999999</v>
      </c>
      <c r="FD23">
        <v>21.288</v>
      </c>
      <c r="FE23">
        <v>30.8645</v>
      </c>
      <c r="FF23">
        <v>29.9998</v>
      </c>
      <c r="FG23">
        <v>31.335699999999999</v>
      </c>
      <c r="FH23">
        <v>31.301100000000002</v>
      </c>
      <c r="FI23">
        <v>17.381699999999999</v>
      </c>
      <c r="FJ23">
        <v>19.485700000000001</v>
      </c>
      <c r="FK23">
        <v>0</v>
      </c>
      <c r="FL23">
        <v>21.293600000000001</v>
      </c>
      <c r="FM23">
        <v>400</v>
      </c>
      <c r="FN23">
        <v>15.916700000000001</v>
      </c>
      <c r="FO23">
        <v>99.966700000000003</v>
      </c>
      <c r="FP23">
        <v>118.249</v>
      </c>
    </row>
    <row r="24" spans="1:172" x14ac:dyDescent="0.25">
      <c r="A24">
        <v>12</v>
      </c>
      <c r="B24">
        <v>1519091539.5</v>
      </c>
      <c r="C24">
        <v>1398.4000000953699</v>
      </c>
      <c r="D24" t="s">
        <v>314</v>
      </c>
      <c r="E24" t="s">
        <v>315</v>
      </c>
      <c r="F24">
        <v>1519091531.5</v>
      </c>
      <c r="G24">
        <f t="shared" si="0"/>
        <v>3.9072577399286608E-3</v>
      </c>
      <c r="H24">
        <f t="shared" si="1"/>
        <v>24.078280567180702</v>
      </c>
      <c r="I24">
        <f t="shared" si="2"/>
        <v>371.91374193548398</v>
      </c>
      <c r="J24">
        <f t="shared" si="3"/>
        <v>209.45638768727139</v>
      </c>
      <c r="K24">
        <f t="shared" si="4"/>
        <v>19.984121600214536</v>
      </c>
      <c r="L24">
        <f t="shared" si="5"/>
        <v>35.484090629531956</v>
      </c>
      <c r="M24">
        <f t="shared" si="6"/>
        <v>0.26116561365875557</v>
      </c>
      <c r="N24">
        <f t="shared" si="7"/>
        <v>2.3933394352588175</v>
      </c>
      <c r="O24">
        <f t="shared" si="8"/>
        <v>0.24630299340716216</v>
      </c>
      <c r="P24">
        <f t="shared" si="9"/>
        <v>0.15520418975938133</v>
      </c>
      <c r="Q24">
        <f t="shared" si="10"/>
        <v>289.49826800449563</v>
      </c>
      <c r="R24">
        <f t="shared" si="11"/>
        <v>26.481455448469465</v>
      </c>
      <c r="S24">
        <f t="shared" si="12"/>
        <v>26.481455448469465</v>
      </c>
      <c r="T24">
        <f t="shared" si="13"/>
        <v>3.4715931063956247</v>
      </c>
      <c r="U24">
        <f t="shared" si="14"/>
        <v>60.567872601980952</v>
      </c>
      <c r="V24">
        <f t="shared" si="15"/>
        <v>2.0014646416783397</v>
      </c>
      <c r="W24">
        <f t="shared" si="16"/>
        <v>3.3044988303136789</v>
      </c>
      <c r="X24">
        <f t="shared" si="17"/>
        <v>1.470128464717285</v>
      </c>
      <c r="Y24">
        <f t="shared" si="18"/>
        <v>-172.31006633085394</v>
      </c>
      <c r="Z24">
        <f t="shared" si="19"/>
        <v>-107.61502376450217</v>
      </c>
      <c r="AA24">
        <f t="shared" si="20"/>
        <v>-9.6133551552342826</v>
      </c>
      <c r="AB24">
        <f t="shared" si="21"/>
        <v>-4.0177246094756924E-2</v>
      </c>
      <c r="AC24">
        <v>-3.9539635689441001E-2</v>
      </c>
      <c r="AD24">
        <v>4.4386704923728801E-2</v>
      </c>
      <c r="AE24">
        <v>3.3452865377838998</v>
      </c>
      <c r="AF24">
        <v>7</v>
      </c>
      <c r="AG24">
        <v>1</v>
      </c>
      <c r="AH24">
        <f t="shared" si="22"/>
        <v>1</v>
      </c>
      <c r="AI24">
        <f t="shared" si="23"/>
        <v>0</v>
      </c>
      <c r="AJ24">
        <f t="shared" si="24"/>
        <v>50646.924332016533</v>
      </c>
      <c r="AK24" t="s">
        <v>279</v>
      </c>
      <c r="AL24">
        <v>580.33307692307699</v>
      </c>
      <c r="AM24">
        <v>2824.36</v>
      </c>
      <c r="AN24">
        <f t="shared" si="25"/>
        <v>2244.0269230769231</v>
      </c>
      <c r="AO24">
        <f t="shared" si="26"/>
        <v>0.79452581224664098</v>
      </c>
      <c r="AP24">
        <v>-2.5011690977444898</v>
      </c>
      <c r="AQ24" t="s">
        <v>316</v>
      </c>
      <c r="AR24">
        <v>574.70192307692298</v>
      </c>
      <c r="AS24">
        <v>844.53399999999999</v>
      </c>
      <c r="AT24">
        <f t="shared" si="27"/>
        <v>0.31950410157918685</v>
      </c>
      <c r="AU24">
        <v>0.5</v>
      </c>
      <c r="AV24">
        <f t="shared" si="28"/>
        <v>1513.1888132982292</v>
      </c>
      <c r="AW24">
        <f t="shared" si="29"/>
        <v>24.078280567180702</v>
      </c>
      <c r="AX24">
        <f t="shared" si="30"/>
        <v>241.73501615626333</v>
      </c>
      <c r="AY24">
        <f t="shared" si="31"/>
        <v>1</v>
      </c>
      <c r="AZ24">
        <f t="shared" si="32"/>
        <v>1.7565190431847805E-2</v>
      </c>
      <c r="BA24">
        <f t="shared" si="33"/>
        <v>2.344282172180161</v>
      </c>
      <c r="BB24" t="s">
        <v>281</v>
      </c>
      <c r="BC24">
        <v>0</v>
      </c>
      <c r="BD24">
        <f t="shared" si="34"/>
        <v>844.53399999999999</v>
      </c>
      <c r="BE24">
        <f t="shared" si="35"/>
        <v>0.31950410157918691</v>
      </c>
      <c r="BF24">
        <f t="shared" si="36"/>
        <v>0.70098216941183134</v>
      </c>
      <c r="BG24">
        <f t="shared" si="37"/>
        <v>1.0213139067819019</v>
      </c>
      <c r="BH24">
        <f t="shared" si="38"/>
        <v>0.88226481582731597</v>
      </c>
      <c r="BI24">
        <f t="shared" si="39"/>
        <v>1800.00451612903</v>
      </c>
      <c r="BJ24">
        <f t="shared" si="40"/>
        <v>1513.1888132982292</v>
      </c>
      <c r="BK24">
        <f t="shared" si="41"/>
        <v>0.8406583426537132</v>
      </c>
      <c r="BL24">
        <f t="shared" si="42"/>
        <v>0.1913166853074266</v>
      </c>
      <c r="BM24">
        <v>5.5</v>
      </c>
      <c r="BN24">
        <v>0.5</v>
      </c>
      <c r="BO24" t="s">
        <v>282</v>
      </c>
      <c r="BP24">
        <v>1519091531.5</v>
      </c>
      <c r="BQ24">
        <v>371.91374193548398</v>
      </c>
      <c r="BR24">
        <v>400.00741935483899</v>
      </c>
      <c r="BS24">
        <v>20.977632258064499</v>
      </c>
      <c r="BT24">
        <v>16.7684483870968</v>
      </c>
      <c r="BU24">
        <v>499.83822580645199</v>
      </c>
      <c r="BV24">
        <v>95.317912903225803</v>
      </c>
      <c r="BW24">
        <v>9.1550712903225806E-2</v>
      </c>
      <c r="BX24">
        <v>25.647422580645198</v>
      </c>
      <c r="BY24">
        <v>25.0267870967742</v>
      </c>
      <c r="BZ24">
        <v>999.9</v>
      </c>
      <c r="CA24">
        <v>0</v>
      </c>
      <c r="CB24">
        <v>0</v>
      </c>
      <c r="CC24">
        <v>10003.550322580601</v>
      </c>
      <c r="CD24">
        <v>0</v>
      </c>
      <c r="CE24">
        <v>245.20783870967699</v>
      </c>
      <c r="CF24">
        <v>1800.00451612903</v>
      </c>
      <c r="CG24">
        <v>0.977994387096774</v>
      </c>
      <c r="CH24">
        <v>2.20053419354839E-2</v>
      </c>
      <c r="CI24">
        <v>0</v>
      </c>
      <c r="CJ24">
        <v>574.69225806451595</v>
      </c>
      <c r="CK24">
        <v>4.9993999999999996</v>
      </c>
      <c r="CL24">
        <v>10526.1</v>
      </c>
      <c r="CM24">
        <v>14669.1161290323</v>
      </c>
      <c r="CN24">
        <v>47.125</v>
      </c>
      <c r="CO24">
        <v>47.491870967741903</v>
      </c>
      <c r="CP24">
        <v>47.686999999999998</v>
      </c>
      <c r="CQ24">
        <v>47.377000000000002</v>
      </c>
      <c r="CR24">
        <v>48.375</v>
      </c>
      <c r="CS24">
        <v>1755.5038709677401</v>
      </c>
      <c r="CT24">
        <v>39.500645161290301</v>
      </c>
      <c r="CU24">
        <v>0</v>
      </c>
      <c r="CV24">
        <v>150</v>
      </c>
      <c r="CW24">
        <v>574.70192307692298</v>
      </c>
      <c r="CX24">
        <v>1.5224615414799101</v>
      </c>
      <c r="CY24">
        <v>30.464957310088099</v>
      </c>
      <c r="CZ24">
        <v>10526.288461538499</v>
      </c>
      <c r="DA24">
        <v>15</v>
      </c>
      <c r="DB24">
        <v>1519091505.5</v>
      </c>
      <c r="DC24" t="s">
        <v>317</v>
      </c>
      <c r="DD24">
        <v>87</v>
      </c>
      <c r="DE24">
        <v>1.3240000000000001</v>
      </c>
      <c r="DF24">
        <v>0.16400000000000001</v>
      </c>
      <c r="DG24">
        <v>400</v>
      </c>
      <c r="DH24">
        <v>16</v>
      </c>
      <c r="DI24">
        <v>0.04</v>
      </c>
      <c r="DJ24">
        <v>0.02</v>
      </c>
      <c r="DK24">
        <v>24.1452203701683</v>
      </c>
      <c r="DL24">
        <v>-0.31917536461538398</v>
      </c>
      <c r="DM24">
        <v>0.15289144747341599</v>
      </c>
      <c r="DN24">
        <v>1</v>
      </c>
      <c r="DO24">
        <v>-28.1176268292683</v>
      </c>
      <c r="DP24">
        <v>0.112578397212621</v>
      </c>
      <c r="DQ24">
        <v>7.07259328172722E-2</v>
      </c>
      <c r="DR24">
        <v>1</v>
      </c>
      <c r="DS24">
        <v>4.1544941463414604</v>
      </c>
      <c r="DT24">
        <v>1.1020766550524299</v>
      </c>
      <c r="DU24">
        <v>0.113451808980098</v>
      </c>
      <c r="DV24">
        <v>0</v>
      </c>
      <c r="DW24">
        <v>0.24820188735826701</v>
      </c>
      <c r="DX24">
        <v>0.115614812594574</v>
      </c>
      <c r="DY24">
        <v>1.63060849059961E-2</v>
      </c>
      <c r="DZ24">
        <v>0</v>
      </c>
      <c r="EA24">
        <v>2</v>
      </c>
      <c r="EB24">
        <v>4</v>
      </c>
      <c r="EC24" t="s">
        <v>313</v>
      </c>
      <c r="ED24">
        <v>1.8490599999999999</v>
      </c>
      <c r="EE24">
        <v>1.8531899999999999</v>
      </c>
      <c r="EF24">
        <v>1.85198</v>
      </c>
      <c r="EG24">
        <v>1.8563000000000001</v>
      </c>
      <c r="EH24">
        <v>1.8541000000000001</v>
      </c>
      <c r="EI24">
        <v>1.8544099999999999</v>
      </c>
      <c r="EJ24">
        <v>1.8466199999999999</v>
      </c>
      <c r="EK24">
        <v>1.85134</v>
      </c>
      <c r="EL24" t="s">
        <v>285</v>
      </c>
      <c r="EM24" t="s">
        <v>19</v>
      </c>
      <c r="EN24" t="s">
        <v>19</v>
      </c>
      <c r="EO24" t="s">
        <v>19</v>
      </c>
      <c r="EP24" t="s">
        <v>286</v>
      </c>
      <c r="EQ24" t="s">
        <v>287</v>
      </c>
      <c r="ER24" t="s">
        <v>288</v>
      </c>
      <c r="ES24" t="s">
        <v>288</v>
      </c>
      <c r="ET24" t="s">
        <v>288</v>
      </c>
      <c r="EU24" t="s">
        <v>288</v>
      </c>
      <c r="EV24">
        <v>0</v>
      </c>
      <c r="EW24">
        <v>100</v>
      </c>
      <c r="EX24">
        <v>100</v>
      </c>
      <c r="EY24">
        <v>1.3240000000000001</v>
      </c>
      <c r="EZ24">
        <v>0.16400000000000001</v>
      </c>
      <c r="FA24">
        <v>2</v>
      </c>
      <c r="FB24">
        <v>480.47899999999998</v>
      </c>
      <c r="FC24">
        <v>264.68400000000003</v>
      </c>
      <c r="FD24">
        <v>20.549900000000001</v>
      </c>
      <c r="FE24">
        <v>30.7546</v>
      </c>
      <c r="FF24">
        <v>29.9999</v>
      </c>
      <c r="FG24">
        <v>31.229900000000001</v>
      </c>
      <c r="FH24">
        <v>31.193300000000001</v>
      </c>
      <c r="FI24">
        <v>17.348500000000001</v>
      </c>
      <c r="FJ24">
        <v>15.6511</v>
      </c>
      <c r="FK24">
        <v>0</v>
      </c>
      <c r="FL24">
        <v>20.5427</v>
      </c>
      <c r="FM24">
        <v>400</v>
      </c>
      <c r="FN24">
        <v>16.553899999999999</v>
      </c>
      <c r="FO24">
        <v>99.985100000000003</v>
      </c>
      <c r="FP24">
        <v>118.27</v>
      </c>
    </row>
    <row r="25" spans="1:172" x14ac:dyDescent="0.25">
      <c r="A25">
        <v>13</v>
      </c>
      <c r="B25">
        <v>1519091660</v>
      </c>
      <c r="C25">
        <v>1518.9000000953699</v>
      </c>
      <c r="D25" t="s">
        <v>318</v>
      </c>
      <c r="E25" t="s">
        <v>319</v>
      </c>
      <c r="F25">
        <v>1519091652</v>
      </c>
      <c r="G25">
        <f t="shared" si="0"/>
        <v>3.8943322482266098E-3</v>
      </c>
      <c r="H25">
        <f t="shared" si="1"/>
        <v>34.645310824490274</v>
      </c>
      <c r="I25">
        <f t="shared" si="2"/>
        <v>559.50483870967696</v>
      </c>
      <c r="J25">
        <f t="shared" si="3"/>
        <v>325.57885543237802</v>
      </c>
      <c r="K25">
        <f t="shared" si="4"/>
        <v>31.066307294165711</v>
      </c>
      <c r="L25">
        <f t="shared" si="5"/>
        <v>53.38721775664451</v>
      </c>
      <c r="M25">
        <f t="shared" si="6"/>
        <v>0.26164717874295385</v>
      </c>
      <c r="N25">
        <f t="shared" si="7"/>
        <v>2.3916795777161024</v>
      </c>
      <c r="O25">
        <f t="shared" si="8"/>
        <v>0.24672165962478385</v>
      </c>
      <c r="P25">
        <f t="shared" si="9"/>
        <v>0.15547103960493691</v>
      </c>
      <c r="Q25">
        <f t="shared" si="10"/>
        <v>289.49253520360736</v>
      </c>
      <c r="R25">
        <f t="shared" si="11"/>
        <v>26.362497064263422</v>
      </c>
      <c r="S25">
        <f t="shared" si="12"/>
        <v>26.362497064263422</v>
      </c>
      <c r="T25">
        <f t="shared" si="13"/>
        <v>3.4473183439851414</v>
      </c>
      <c r="U25">
        <f t="shared" si="14"/>
        <v>60.483426083665712</v>
      </c>
      <c r="V25">
        <f t="shared" si="15"/>
        <v>1.9840651003192067</v>
      </c>
      <c r="W25">
        <f t="shared" si="16"/>
        <v>3.2803450941662637</v>
      </c>
      <c r="X25">
        <f t="shared" si="17"/>
        <v>1.4632532436659347</v>
      </c>
      <c r="Y25">
        <f t="shared" si="18"/>
        <v>-171.74005214679349</v>
      </c>
      <c r="Z25">
        <f t="shared" si="19"/>
        <v>-108.13804843203874</v>
      </c>
      <c r="AA25">
        <f t="shared" si="20"/>
        <v>-9.6550265177444956</v>
      </c>
      <c r="AB25">
        <f t="shared" si="21"/>
        <v>-4.0591892969359833E-2</v>
      </c>
      <c r="AC25">
        <v>-3.9501262875403897E-2</v>
      </c>
      <c r="AD25">
        <v>4.4343628078329103E-2</v>
      </c>
      <c r="AE25">
        <v>3.3427028252662598</v>
      </c>
      <c r="AF25">
        <v>7</v>
      </c>
      <c r="AG25">
        <v>1</v>
      </c>
      <c r="AH25">
        <f t="shared" si="22"/>
        <v>1</v>
      </c>
      <c r="AI25">
        <f t="shared" si="23"/>
        <v>0</v>
      </c>
      <c r="AJ25">
        <f t="shared" si="24"/>
        <v>50620.821440519394</v>
      </c>
      <c r="AK25" t="s">
        <v>279</v>
      </c>
      <c r="AL25">
        <v>580.33307692307699</v>
      </c>
      <c r="AM25">
        <v>2824.36</v>
      </c>
      <c r="AN25">
        <f t="shared" si="25"/>
        <v>2244.0269230769231</v>
      </c>
      <c r="AO25">
        <f t="shared" si="26"/>
        <v>0.79452581224664098</v>
      </c>
      <c r="AP25">
        <v>-2.5011690977444898</v>
      </c>
      <c r="AQ25" t="s">
        <v>320</v>
      </c>
      <c r="AR25">
        <v>608.86165384615401</v>
      </c>
      <c r="AS25">
        <v>954.02300000000002</v>
      </c>
      <c r="AT25">
        <f t="shared" si="27"/>
        <v>0.36179562353721662</v>
      </c>
      <c r="AU25">
        <v>0.5</v>
      </c>
      <c r="AV25">
        <f t="shared" si="28"/>
        <v>1513.1587262014625</v>
      </c>
      <c r="AW25">
        <f t="shared" si="29"/>
        <v>34.645310824490274</v>
      </c>
      <c r="AX25">
        <f t="shared" si="30"/>
        <v>273.7271024284193</v>
      </c>
      <c r="AY25">
        <f t="shared" si="31"/>
        <v>1</v>
      </c>
      <c r="AZ25">
        <f t="shared" si="32"/>
        <v>2.4548964546161605E-2</v>
      </c>
      <c r="BA25">
        <f t="shared" si="33"/>
        <v>1.9604736992714011</v>
      </c>
      <c r="BB25" t="s">
        <v>281</v>
      </c>
      <c r="BC25">
        <v>0</v>
      </c>
      <c r="BD25">
        <f t="shared" si="34"/>
        <v>954.02300000000002</v>
      </c>
      <c r="BE25">
        <f t="shared" si="35"/>
        <v>0.36179562353721662</v>
      </c>
      <c r="BF25">
        <f t="shared" si="36"/>
        <v>0.66221621889560822</v>
      </c>
      <c r="BG25">
        <f t="shared" si="37"/>
        <v>0.92365708797236024</v>
      </c>
      <c r="BH25">
        <f t="shared" si="38"/>
        <v>0.83347351173285655</v>
      </c>
      <c r="BI25">
        <f t="shared" si="39"/>
        <v>1799.9687096774201</v>
      </c>
      <c r="BJ25">
        <f t="shared" si="40"/>
        <v>1513.1587262014625</v>
      </c>
      <c r="BK25">
        <f t="shared" si="41"/>
        <v>0.84065835037356951</v>
      </c>
      <c r="BL25">
        <f t="shared" si="42"/>
        <v>0.19131670074713908</v>
      </c>
      <c r="BM25">
        <v>5.5</v>
      </c>
      <c r="BN25">
        <v>0.5</v>
      </c>
      <c r="BO25" t="s">
        <v>282</v>
      </c>
      <c r="BP25">
        <v>1519091652</v>
      </c>
      <c r="BQ25">
        <v>559.50483870967696</v>
      </c>
      <c r="BR25">
        <v>600.01961290322595</v>
      </c>
      <c r="BS25">
        <v>20.7932548387097</v>
      </c>
      <c r="BT25">
        <v>16.597719354838699</v>
      </c>
      <c r="BU25">
        <v>499.89948387096803</v>
      </c>
      <c r="BV25">
        <v>95.322251612903202</v>
      </c>
      <c r="BW25">
        <v>9.6436596774193598E-2</v>
      </c>
      <c r="BX25">
        <v>25.523829032258099</v>
      </c>
      <c r="BY25">
        <v>24.9540516129032</v>
      </c>
      <c r="BZ25">
        <v>999.9</v>
      </c>
      <c r="CA25">
        <v>0</v>
      </c>
      <c r="CB25">
        <v>0</v>
      </c>
      <c r="CC25">
        <v>9993.3870967741896</v>
      </c>
      <c r="CD25">
        <v>0</v>
      </c>
      <c r="CE25">
        <v>291.63541935483897</v>
      </c>
      <c r="CF25">
        <v>1799.9687096774201</v>
      </c>
      <c r="CG25">
        <v>0.97799283870967701</v>
      </c>
      <c r="CH25">
        <v>2.2007093548387101E-2</v>
      </c>
      <c r="CI25">
        <v>0</v>
      </c>
      <c r="CJ25">
        <v>608.84509677419396</v>
      </c>
      <c r="CK25">
        <v>4.9993999999999996</v>
      </c>
      <c r="CL25">
        <v>11141.6870967742</v>
      </c>
      <c r="CM25">
        <v>14668.8129032258</v>
      </c>
      <c r="CN25">
        <v>47.061999999999998</v>
      </c>
      <c r="CO25">
        <v>47.412999999999997</v>
      </c>
      <c r="CP25">
        <v>47.625</v>
      </c>
      <c r="CQ25">
        <v>47.336387096774203</v>
      </c>
      <c r="CR25">
        <v>48.308</v>
      </c>
      <c r="CS25">
        <v>1755.4683870967699</v>
      </c>
      <c r="CT25">
        <v>39.500322580645197</v>
      </c>
      <c r="CU25">
        <v>0</v>
      </c>
      <c r="CV25">
        <v>120</v>
      </c>
      <c r="CW25">
        <v>608.86165384615401</v>
      </c>
      <c r="CX25">
        <v>1.90239315467266</v>
      </c>
      <c r="CY25">
        <v>33.418803429608502</v>
      </c>
      <c r="CZ25">
        <v>11142.234615384599</v>
      </c>
      <c r="DA25">
        <v>15</v>
      </c>
      <c r="DB25">
        <v>1519091621</v>
      </c>
      <c r="DC25" t="s">
        <v>321</v>
      </c>
      <c r="DD25">
        <v>88</v>
      </c>
      <c r="DE25">
        <v>1.4790000000000001</v>
      </c>
      <c r="DF25">
        <v>0.16900000000000001</v>
      </c>
      <c r="DG25">
        <v>600</v>
      </c>
      <c r="DH25">
        <v>17</v>
      </c>
      <c r="DI25">
        <v>0.03</v>
      </c>
      <c r="DJ25">
        <v>0.02</v>
      </c>
      <c r="DK25">
        <v>34.707799571821802</v>
      </c>
      <c r="DL25">
        <v>-0.75189106679813</v>
      </c>
      <c r="DM25">
        <v>0.15837505672574101</v>
      </c>
      <c r="DN25">
        <v>1</v>
      </c>
      <c r="DO25">
        <v>-40.508109756097603</v>
      </c>
      <c r="DP25">
        <v>1.9193728222992298E-2</v>
      </c>
      <c r="DQ25">
        <v>6.2672177687057198E-2</v>
      </c>
      <c r="DR25">
        <v>1</v>
      </c>
      <c r="DS25">
        <v>4.1622836585365803</v>
      </c>
      <c r="DT25">
        <v>0.54802034843204095</v>
      </c>
      <c r="DU25">
        <v>6.1122162950015803E-2</v>
      </c>
      <c r="DV25">
        <v>1</v>
      </c>
      <c r="DW25">
        <v>0.25274469262996202</v>
      </c>
      <c r="DX25">
        <v>8.17508360366586E-2</v>
      </c>
      <c r="DY25">
        <v>1.20492428992549E-2</v>
      </c>
      <c r="DZ25">
        <v>1</v>
      </c>
      <c r="EA25">
        <v>4</v>
      </c>
      <c r="EB25">
        <v>4</v>
      </c>
      <c r="EC25" t="s">
        <v>284</v>
      </c>
      <c r="ED25">
        <v>1.8490599999999999</v>
      </c>
      <c r="EE25">
        <v>1.8531899999999999</v>
      </c>
      <c r="EF25">
        <v>1.8519699999999999</v>
      </c>
      <c r="EG25">
        <v>1.85629</v>
      </c>
      <c r="EH25">
        <v>1.8541000000000001</v>
      </c>
      <c r="EI25">
        <v>1.8544499999999999</v>
      </c>
      <c r="EJ25">
        <v>1.8466199999999999</v>
      </c>
      <c r="EK25">
        <v>1.85134</v>
      </c>
      <c r="EL25" t="s">
        <v>285</v>
      </c>
      <c r="EM25" t="s">
        <v>19</v>
      </c>
      <c r="EN25" t="s">
        <v>19</v>
      </c>
      <c r="EO25" t="s">
        <v>19</v>
      </c>
      <c r="EP25" t="s">
        <v>286</v>
      </c>
      <c r="EQ25" t="s">
        <v>287</v>
      </c>
      <c r="ER25" t="s">
        <v>288</v>
      </c>
      <c r="ES25" t="s">
        <v>288</v>
      </c>
      <c r="ET25" t="s">
        <v>288</v>
      </c>
      <c r="EU25" t="s">
        <v>288</v>
      </c>
      <c r="EV25">
        <v>0</v>
      </c>
      <c r="EW25">
        <v>100</v>
      </c>
      <c r="EX25">
        <v>100</v>
      </c>
      <c r="EY25">
        <v>1.4790000000000001</v>
      </c>
      <c r="EZ25">
        <v>0.16900000000000001</v>
      </c>
      <c r="FA25">
        <v>2</v>
      </c>
      <c r="FB25">
        <v>480.46800000000002</v>
      </c>
      <c r="FC25">
        <v>264.88600000000002</v>
      </c>
      <c r="FD25">
        <v>20.712900000000001</v>
      </c>
      <c r="FE25">
        <v>30.676100000000002</v>
      </c>
      <c r="FF25">
        <v>29.9998</v>
      </c>
      <c r="FG25">
        <v>31.145900000000001</v>
      </c>
      <c r="FH25">
        <v>31.110299999999999</v>
      </c>
      <c r="FI25">
        <v>23.866700000000002</v>
      </c>
      <c r="FJ25">
        <v>18.310099999999998</v>
      </c>
      <c r="FK25">
        <v>0</v>
      </c>
      <c r="FL25">
        <v>20.726299999999998</v>
      </c>
      <c r="FM25">
        <v>600</v>
      </c>
      <c r="FN25">
        <v>16.4635</v>
      </c>
      <c r="FO25">
        <v>99.998099999999994</v>
      </c>
      <c r="FP25">
        <v>118.289</v>
      </c>
    </row>
    <row r="26" spans="1:172" x14ac:dyDescent="0.25">
      <c r="A26">
        <v>14</v>
      </c>
      <c r="B26">
        <v>1519091810.5</v>
      </c>
      <c r="C26">
        <v>1669.4000000953699</v>
      </c>
      <c r="D26" t="s">
        <v>322</v>
      </c>
      <c r="E26" t="s">
        <v>323</v>
      </c>
      <c r="F26">
        <v>1519091802.5</v>
      </c>
      <c r="G26">
        <f t="shared" si="0"/>
        <v>3.1946901381473191E-3</v>
      </c>
      <c r="H26">
        <f t="shared" si="1"/>
        <v>40.461260498085245</v>
      </c>
      <c r="I26">
        <f t="shared" si="2"/>
        <v>752.85954838709699</v>
      </c>
      <c r="J26">
        <f t="shared" si="3"/>
        <v>405.38649161060158</v>
      </c>
      <c r="K26">
        <f t="shared" si="4"/>
        <v>38.682652946602644</v>
      </c>
      <c r="L26">
        <f t="shared" si="5"/>
        <v>71.839109665667181</v>
      </c>
      <c r="M26">
        <f t="shared" si="6"/>
        <v>0.20265369982660963</v>
      </c>
      <c r="N26">
        <f t="shared" si="7"/>
        <v>2.3931693987554183</v>
      </c>
      <c r="O26">
        <f t="shared" si="8"/>
        <v>0.19357986834987498</v>
      </c>
      <c r="P26">
        <f t="shared" si="9"/>
        <v>0.12176880559135136</v>
      </c>
      <c r="Q26">
        <f t="shared" si="10"/>
        <v>289.49694755338953</v>
      </c>
      <c r="R26">
        <f t="shared" si="11"/>
        <v>26.588947312008123</v>
      </c>
      <c r="S26">
        <f t="shared" si="12"/>
        <v>26.588947312008123</v>
      </c>
      <c r="T26">
        <f t="shared" si="13"/>
        <v>3.4936562313445894</v>
      </c>
      <c r="U26">
        <f t="shared" si="14"/>
        <v>59.843622297546176</v>
      </c>
      <c r="V26">
        <f t="shared" si="15"/>
        <v>1.9639258698074089</v>
      </c>
      <c r="W26">
        <f t="shared" si="16"/>
        <v>3.2817630257116601</v>
      </c>
      <c r="X26">
        <f t="shared" si="17"/>
        <v>1.5297303615371804</v>
      </c>
      <c r="Y26">
        <f t="shared" si="18"/>
        <v>-140.88583509229679</v>
      </c>
      <c r="Z26">
        <f t="shared" si="19"/>
        <v>-136.48320816687655</v>
      </c>
      <c r="AA26">
        <f t="shared" si="20"/>
        <v>-12.192519303178109</v>
      </c>
      <c r="AB26">
        <f t="shared" si="21"/>
        <v>-6.4615008961936837E-2</v>
      </c>
      <c r="AC26">
        <v>-3.9535703894356101E-2</v>
      </c>
      <c r="AD26">
        <v>4.4382291139301901E-2</v>
      </c>
      <c r="AE26">
        <v>3.3450218402935299</v>
      </c>
      <c r="AF26">
        <v>8</v>
      </c>
      <c r="AG26">
        <v>2</v>
      </c>
      <c r="AH26">
        <f t="shared" si="22"/>
        <v>1</v>
      </c>
      <c r="AI26">
        <f t="shared" si="23"/>
        <v>0</v>
      </c>
      <c r="AJ26">
        <f t="shared" si="24"/>
        <v>50661.912984174363</v>
      </c>
      <c r="AK26" t="s">
        <v>279</v>
      </c>
      <c r="AL26">
        <v>580.33307692307699</v>
      </c>
      <c r="AM26">
        <v>2824.36</v>
      </c>
      <c r="AN26">
        <f t="shared" si="25"/>
        <v>2244.0269230769231</v>
      </c>
      <c r="AO26">
        <f t="shared" si="26"/>
        <v>0.79452581224664098</v>
      </c>
      <c r="AP26">
        <v>-2.5011690977444898</v>
      </c>
      <c r="AQ26" t="s">
        <v>324</v>
      </c>
      <c r="AR26">
        <v>622.62242307692304</v>
      </c>
      <c r="AS26">
        <v>1009.04</v>
      </c>
      <c r="AT26">
        <f t="shared" si="27"/>
        <v>0.38295565777677487</v>
      </c>
      <c r="AU26">
        <v>0.5</v>
      </c>
      <c r="AV26">
        <f t="shared" si="28"/>
        <v>1513.181777814367</v>
      </c>
      <c r="AW26">
        <f t="shared" si="29"/>
        <v>40.461260498085245</v>
      </c>
      <c r="AX26">
        <f t="shared" si="30"/>
        <v>289.74076152936527</v>
      </c>
      <c r="AY26">
        <f t="shared" si="31"/>
        <v>1</v>
      </c>
      <c r="AZ26">
        <f t="shared" si="32"/>
        <v>2.8392114037934339E-2</v>
      </c>
      <c r="BA26">
        <f t="shared" si="33"/>
        <v>1.7990565289780387</v>
      </c>
      <c r="BB26" t="s">
        <v>281</v>
      </c>
      <c r="BC26">
        <v>0</v>
      </c>
      <c r="BD26">
        <f t="shared" si="34"/>
        <v>1009.04</v>
      </c>
      <c r="BE26">
        <f t="shared" si="35"/>
        <v>0.38295565777677487</v>
      </c>
      <c r="BF26">
        <f t="shared" si="36"/>
        <v>0.6427367616026286</v>
      </c>
      <c r="BG26">
        <f t="shared" si="37"/>
        <v>0.90135604563992999</v>
      </c>
      <c r="BH26">
        <f t="shared" si="38"/>
        <v>0.80895642620495101</v>
      </c>
      <c r="BI26">
        <f t="shared" si="39"/>
        <v>1799.9961290322599</v>
      </c>
      <c r="BJ26">
        <f t="shared" si="40"/>
        <v>1513.181777814367</v>
      </c>
      <c r="BK26">
        <f t="shared" si="41"/>
        <v>0.84065835109762477</v>
      </c>
      <c r="BL26">
        <f t="shared" si="42"/>
        <v>0.19131670219524954</v>
      </c>
      <c r="BM26">
        <v>5.5</v>
      </c>
      <c r="BN26">
        <v>0.5</v>
      </c>
      <c r="BO26" t="s">
        <v>282</v>
      </c>
      <c r="BP26">
        <v>1519091802.5</v>
      </c>
      <c r="BQ26">
        <v>752.85954838709699</v>
      </c>
      <c r="BR26">
        <v>800.00977419354899</v>
      </c>
      <c r="BS26">
        <v>20.581551612903201</v>
      </c>
      <c r="BT26">
        <v>17.1399258064516</v>
      </c>
      <c r="BU26">
        <v>500.03</v>
      </c>
      <c r="BV26">
        <v>95.321919354838698</v>
      </c>
      <c r="BW26">
        <v>9.97430516129032E-2</v>
      </c>
      <c r="BX26">
        <v>25.531106451612899</v>
      </c>
      <c r="BY26">
        <v>25.0256516129032</v>
      </c>
      <c r="BZ26">
        <v>999.9</v>
      </c>
      <c r="CA26">
        <v>0</v>
      </c>
      <c r="CB26">
        <v>0</v>
      </c>
      <c r="CC26">
        <v>10002.1351612903</v>
      </c>
      <c r="CD26">
        <v>0</v>
      </c>
      <c r="CE26">
        <v>261.13729032258101</v>
      </c>
      <c r="CF26">
        <v>1799.9961290322599</v>
      </c>
      <c r="CG26">
        <v>0.97799177419354799</v>
      </c>
      <c r="CH26">
        <v>2.20083709677419E-2</v>
      </c>
      <c r="CI26">
        <v>0</v>
      </c>
      <c r="CJ26">
        <v>622.60996774193495</v>
      </c>
      <c r="CK26">
        <v>4.9993999999999996</v>
      </c>
      <c r="CL26">
        <v>11391.8322580645</v>
      </c>
      <c r="CM26">
        <v>14669.0419354839</v>
      </c>
      <c r="CN26">
        <v>46.971548387096803</v>
      </c>
      <c r="CO26">
        <v>47.316064516129003</v>
      </c>
      <c r="CP26">
        <v>47.558</v>
      </c>
      <c r="CQ26">
        <v>47.25</v>
      </c>
      <c r="CR26">
        <v>48.233741935483899</v>
      </c>
      <c r="CS26">
        <v>1755.4951612903201</v>
      </c>
      <c r="CT26">
        <v>39.500967741935497</v>
      </c>
      <c r="CU26">
        <v>0</v>
      </c>
      <c r="CV26">
        <v>150</v>
      </c>
      <c r="CW26">
        <v>622.62242307692304</v>
      </c>
      <c r="CX26">
        <v>-0.58676923481321697</v>
      </c>
      <c r="CY26">
        <v>-9.4666666676475302</v>
      </c>
      <c r="CZ26">
        <v>11391.688461538501</v>
      </c>
      <c r="DA26">
        <v>15</v>
      </c>
      <c r="DB26">
        <v>1519091763</v>
      </c>
      <c r="DC26" t="s">
        <v>325</v>
      </c>
      <c r="DD26">
        <v>89</v>
      </c>
      <c r="DE26">
        <v>1.7969999999999999</v>
      </c>
      <c r="DF26">
        <v>0.17399999999999999</v>
      </c>
      <c r="DG26">
        <v>800</v>
      </c>
      <c r="DH26">
        <v>17</v>
      </c>
      <c r="DI26">
        <v>0.05</v>
      </c>
      <c r="DJ26">
        <v>0.03</v>
      </c>
      <c r="DK26">
        <v>40.575880390995501</v>
      </c>
      <c r="DL26">
        <v>-1.1132985274334799</v>
      </c>
      <c r="DM26">
        <v>0.183457130836989</v>
      </c>
      <c r="DN26">
        <v>0</v>
      </c>
      <c r="DO26">
        <v>-47.205509756097598</v>
      </c>
      <c r="DP26">
        <v>1.23055400696891</v>
      </c>
      <c r="DQ26">
        <v>0.166757293773825</v>
      </c>
      <c r="DR26">
        <v>0</v>
      </c>
      <c r="DS26">
        <v>3.4681899999999999</v>
      </c>
      <c r="DT26">
        <v>-0.54762355400707796</v>
      </c>
      <c r="DU26">
        <v>5.7135984048327502E-2</v>
      </c>
      <c r="DV26">
        <v>1</v>
      </c>
      <c r="DW26">
        <v>0.20662809001646801</v>
      </c>
      <c r="DX26">
        <v>-3.3275755330723897E-2</v>
      </c>
      <c r="DY26">
        <v>4.8544401437656502E-3</v>
      </c>
      <c r="DZ26">
        <v>1</v>
      </c>
      <c r="EA26">
        <v>2</v>
      </c>
      <c r="EB26">
        <v>4</v>
      </c>
      <c r="EC26" t="s">
        <v>313</v>
      </c>
      <c r="ED26">
        <v>1.8490599999999999</v>
      </c>
      <c r="EE26">
        <v>1.85318</v>
      </c>
      <c r="EF26">
        <v>1.85198</v>
      </c>
      <c r="EG26">
        <v>1.8562700000000001</v>
      </c>
      <c r="EH26">
        <v>1.8541000000000001</v>
      </c>
      <c r="EI26">
        <v>1.85443</v>
      </c>
      <c r="EJ26">
        <v>1.8466199999999999</v>
      </c>
      <c r="EK26">
        <v>1.8513500000000001</v>
      </c>
      <c r="EL26" t="s">
        <v>285</v>
      </c>
      <c r="EM26" t="s">
        <v>19</v>
      </c>
      <c r="EN26" t="s">
        <v>19</v>
      </c>
      <c r="EO26" t="s">
        <v>19</v>
      </c>
      <c r="EP26" t="s">
        <v>286</v>
      </c>
      <c r="EQ26" t="s">
        <v>287</v>
      </c>
      <c r="ER26" t="s">
        <v>288</v>
      </c>
      <c r="ES26" t="s">
        <v>288</v>
      </c>
      <c r="ET26" t="s">
        <v>288</v>
      </c>
      <c r="EU26" t="s">
        <v>288</v>
      </c>
      <c r="EV26">
        <v>0</v>
      </c>
      <c r="EW26">
        <v>100</v>
      </c>
      <c r="EX26">
        <v>100</v>
      </c>
      <c r="EY26">
        <v>1.7969999999999999</v>
      </c>
      <c r="EZ26">
        <v>0.17399999999999999</v>
      </c>
      <c r="FA26">
        <v>2</v>
      </c>
      <c r="FB26">
        <v>479.851</v>
      </c>
      <c r="FC26">
        <v>266.53399999999999</v>
      </c>
      <c r="FD26">
        <v>20.593699999999998</v>
      </c>
      <c r="FE26">
        <v>30.567399999999999</v>
      </c>
      <c r="FF26">
        <v>29.999700000000001</v>
      </c>
      <c r="FG26">
        <v>31.040299999999998</v>
      </c>
      <c r="FH26">
        <v>31.0061</v>
      </c>
      <c r="FI26">
        <v>30.1067</v>
      </c>
      <c r="FJ26">
        <v>15.786</v>
      </c>
      <c r="FK26">
        <v>0</v>
      </c>
      <c r="FL26">
        <v>20.594000000000001</v>
      </c>
      <c r="FM26">
        <v>800</v>
      </c>
      <c r="FN26">
        <v>17.117100000000001</v>
      </c>
      <c r="FO26">
        <v>100.01600000000001</v>
      </c>
      <c r="FP26">
        <v>118.31</v>
      </c>
    </row>
    <row r="27" spans="1:172" x14ac:dyDescent="0.25">
      <c r="A27">
        <v>15</v>
      </c>
      <c r="B27">
        <v>1519091961</v>
      </c>
      <c r="C27">
        <v>1819.9000000953699</v>
      </c>
      <c r="D27" t="s">
        <v>326</v>
      </c>
      <c r="E27" t="s">
        <v>327</v>
      </c>
      <c r="F27">
        <v>1519091953</v>
      </c>
      <c r="G27">
        <f t="shared" si="0"/>
        <v>2.7761885856464252E-3</v>
      </c>
      <c r="H27">
        <f t="shared" si="1"/>
        <v>42.823672893687792</v>
      </c>
      <c r="I27">
        <f t="shared" si="2"/>
        <v>950.00774193548398</v>
      </c>
      <c r="J27">
        <f t="shared" si="3"/>
        <v>520.49491686570127</v>
      </c>
      <c r="K27">
        <f t="shared" si="4"/>
        <v>49.665640917975871</v>
      </c>
      <c r="L27">
        <f t="shared" si="5"/>
        <v>90.649767848624322</v>
      </c>
      <c r="M27">
        <f t="shared" si="6"/>
        <v>0.17285890531303319</v>
      </c>
      <c r="N27">
        <f t="shared" si="7"/>
        <v>2.3917347926385695</v>
      </c>
      <c r="O27">
        <f t="shared" si="8"/>
        <v>0.16620617859145259</v>
      </c>
      <c r="P27">
        <f t="shared" si="9"/>
        <v>0.10445524935061465</v>
      </c>
      <c r="Q27">
        <f t="shared" si="10"/>
        <v>289.49879355025269</v>
      </c>
      <c r="R27">
        <f t="shared" si="11"/>
        <v>26.604714608281142</v>
      </c>
      <c r="S27">
        <f t="shared" si="12"/>
        <v>26.604714608281142</v>
      </c>
      <c r="T27">
        <f t="shared" si="13"/>
        <v>3.4969028046752468</v>
      </c>
      <c r="U27">
        <f t="shared" si="14"/>
        <v>59.787169010389718</v>
      </c>
      <c r="V27">
        <f t="shared" si="15"/>
        <v>1.9485536696052641</v>
      </c>
      <c r="W27">
        <f t="shared" si="16"/>
        <v>3.2591502522332969</v>
      </c>
      <c r="X27">
        <f t="shared" si="17"/>
        <v>1.5483491350699827</v>
      </c>
      <c r="Y27">
        <f t="shared" si="18"/>
        <v>-122.42991662700734</v>
      </c>
      <c r="Z27">
        <f t="shared" si="19"/>
        <v>-153.44180327111991</v>
      </c>
      <c r="AA27">
        <f t="shared" si="20"/>
        <v>-13.708802058462391</v>
      </c>
      <c r="AB27">
        <f t="shared" si="21"/>
        <v>-8.1728406336935677E-2</v>
      </c>
      <c r="AC27">
        <v>-3.9502539038122397E-2</v>
      </c>
      <c r="AD27">
        <v>4.4345060682778603E-2</v>
      </c>
      <c r="AE27">
        <v>3.3427887647864898</v>
      </c>
      <c r="AF27">
        <v>8</v>
      </c>
      <c r="AG27">
        <v>2</v>
      </c>
      <c r="AH27">
        <f t="shared" si="22"/>
        <v>1</v>
      </c>
      <c r="AI27">
        <f t="shared" si="23"/>
        <v>0</v>
      </c>
      <c r="AJ27">
        <f t="shared" si="24"/>
        <v>50640.850164482828</v>
      </c>
      <c r="AK27" t="s">
        <v>279</v>
      </c>
      <c r="AL27">
        <v>580.33307692307699</v>
      </c>
      <c r="AM27">
        <v>2824.36</v>
      </c>
      <c r="AN27">
        <f t="shared" si="25"/>
        <v>2244.0269230769231</v>
      </c>
      <c r="AO27">
        <f t="shared" si="26"/>
        <v>0.79452581224664098</v>
      </c>
      <c r="AP27">
        <v>-2.5011690977444898</v>
      </c>
      <c r="AQ27" t="s">
        <v>328</v>
      </c>
      <c r="AR27">
        <v>621.25146153846197</v>
      </c>
      <c r="AS27">
        <v>1012.67</v>
      </c>
      <c r="AT27">
        <f t="shared" si="27"/>
        <v>0.38652131342050022</v>
      </c>
      <c r="AU27">
        <v>0.5</v>
      </c>
      <c r="AV27">
        <f t="shared" si="28"/>
        <v>1513.1890939434843</v>
      </c>
      <c r="AW27">
        <f t="shared" si="29"/>
        <v>42.823672893687792</v>
      </c>
      <c r="AX27">
        <f t="shared" si="30"/>
        <v>292.43991802230613</v>
      </c>
      <c r="AY27">
        <f t="shared" si="31"/>
        <v>1</v>
      </c>
      <c r="AZ27">
        <f t="shared" si="32"/>
        <v>2.9953191027376719E-2</v>
      </c>
      <c r="BA27">
        <f t="shared" si="33"/>
        <v>1.7890230776067229</v>
      </c>
      <c r="BB27" t="s">
        <v>281</v>
      </c>
      <c r="BC27">
        <v>0</v>
      </c>
      <c r="BD27">
        <f t="shared" si="34"/>
        <v>1012.67</v>
      </c>
      <c r="BE27">
        <f t="shared" si="35"/>
        <v>0.38652131342050028</v>
      </c>
      <c r="BF27">
        <f t="shared" si="36"/>
        <v>0.64145151467943184</v>
      </c>
      <c r="BG27">
        <f t="shared" si="37"/>
        <v>0.90535533184588857</v>
      </c>
      <c r="BH27">
        <f t="shared" si="38"/>
        <v>0.80733879855411028</v>
      </c>
      <c r="BI27">
        <f t="shared" si="39"/>
        <v>1800.00451612903</v>
      </c>
      <c r="BJ27">
        <f t="shared" si="40"/>
        <v>1513.1890939434843</v>
      </c>
      <c r="BK27">
        <f t="shared" si="41"/>
        <v>0.84065849856735253</v>
      </c>
      <c r="BL27">
        <f t="shared" si="42"/>
        <v>0.19131699713470515</v>
      </c>
      <c r="BM27">
        <v>5.5</v>
      </c>
      <c r="BN27">
        <v>0.5</v>
      </c>
      <c r="BO27" t="s">
        <v>282</v>
      </c>
      <c r="BP27">
        <v>1519091953</v>
      </c>
      <c r="BQ27">
        <v>950.00774193548398</v>
      </c>
      <c r="BR27">
        <v>1000.0108064516101</v>
      </c>
      <c r="BS27">
        <v>20.420803225806502</v>
      </c>
      <c r="BT27">
        <v>17.4296032258064</v>
      </c>
      <c r="BU27">
        <v>500.04116129032298</v>
      </c>
      <c r="BV27">
        <v>95.3199774193548</v>
      </c>
      <c r="BW27">
        <v>0.100053225806452</v>
      </c>
      <c r="BX27">
        <v>25.414719354838699</v>
      </c>
      <c r="BY27">
        <v>24.976303225806401</v>
      </c>
      <c r="BZ27">
        <v>999.9</v>
      </c>
      <c r="CA27">
        <v>0</v>
      </c>
      <c r="CB27">
        <v>0</v>
      </c>
      <c r="CC27">
        <v>9993.9483870967706</v>
      </c>
      <c r="CD27">
        <v>0</v>
      </c>
      <c r="CE27">
        <v>269.87203225806502</v>
      </c>
      <c r="CF27">
        <v>1800.00451612903</v>
      </c>
      <c r="CG27">
        <v>0.97799100000000005</v>
      </c>
      <c r="CH27">
        <v>2.2009299999999999E-2</v>
      </c>
      <c r="CI27">
        <v>0</v>
      </c>
      <c r="CJ27">
        <v>621.21516129032295</v>
      </c>
      <c r="CK27">
        <v>4.9993999999999996</v>
      </c>
      <c r="CL27">
        <v>11368.5903225806</v>
      </c>
      <c r="CM27">
        <v>14669.1129032258</v>
      </c>
      <c r="CN27">
        <v>46.875</v>
      </c>
      <c r="CO27">
        <v>47.25</v>
      </c>
      <c r="CP27">
        <v>47.457322580645098</v>
      </c>
      <c r="CQ27">
        <v>47.186999999999998</v>
      </c>
      <c r="CR27">
        <v>48.125</v>
      </c>
      <c r="CS27">
        <v>1755.49451612903</v>
      </c>
      <c r="CT27">
        <v>39.51</v>
      </c>
      <c r="CU27">
        <v>0</v>
      </c>
      <c r="CV27">
        <v>150</v>
      </c>
      <c r="CW27">
        <v>621.25146153846197</v>
      </c>
      <c r="CX27">
        <v>2.4284444423447602</v>
      </c>
      <c r="CY27">
        <v>22.540170947111701</v>
      </c>
      <c r="CZ27">
        <v>11368.842307692301</v>
      </c>
      <c r="DA27">
        <v>15</v>
      </c>
      <c r="DB27">
        <v>1519091879</v>
      </c>
      <c r="DC27" t="s">
        <v>329</v>
      </c>
      <c r="DD27">
        <v>90</v>
      </c>
      <c r="DE27">
        <v>1.827</v>
      </c>
      <c r="DF27">
        <v>0.18099999999999999</v>
      </c>
      <c r="DG27">
        <v>1000</v>
      </c>
      <c r="DH27">
        <v>17</v>
      </c>
      <c r="DI27">
        <v>0.04</v>
      </c>
      <c r="DJ27">
        <v>0.03</v>
      </c>
      <c r="DK27">
        <v>42.927838832592698</v>
      </c>
      <c r="DL27">
        <v>-0.79561977328859501</v>
      </c>
      <c r="DM27">
        <v>0.15258072697845501</v>
      </c>
      <c r="DN27">
        <v>1</v>
      </c>
      <c r="DO27">
        <v>-50.038739024390203</v>
      </c>
      <c r="DP27">
        <v>0.481287804877501</v>
      </c>
      <c r="DQ27">
        <v>0.118742516843653</v>
      </c>
      <c r="DR27">
        <v>0</v>
      </c>
      <c r="DS27">
        <v>3.0018597560975602</v>
      </c>
      <c r="DT27">
        <v>-0.19802696864107899</v>
      </c>
      <c r="DU27">
        <v>2.0010135661929E-2</v>
      </c>
      <c r="DV27">
        <v>1</v>
      </c>
      <c r="DW27">
        <v>0.17442208188021699</v>
      </c>
      <c r="DX27">
        <v>-1.26528562975973E-2</v>
      </c>
      <c r="DY27">
        <v>1.7615768125353599E-3</v>
      </c>
      <c r="DZ27">
        <v>1</v>
      </c>
      <c r="EA27">
        <v>3</v>
      </c>
      <c r="EB27">
        <v>4</v>
      </c>
      <c r="EC27" t="s">
        <v>330</v>
      </c>
      <c r="ED27">
        <v>1.8490599999999999</v>
      </c>
      <c r="EE27">
        <v>1.8532</v>
      </c>
      <c r="EF27">
        <v>1.8520000000000001</v>
      </c>
      <c r="EG27">
        <v>1.85632</v>
      </c>
      <c r="EH27">
        <v>1.85409</v>
      </c>
      <c r="EI27">
        <v>1.85443</v>
      </c>
      <c r="EJ27">
        <v>1.8466199999999999</v>
      </c>
      <c r="EK27">
        <v>1.8513500000000001</v>
      </c>
      <c r="EL27" t="s">
        <v>285</v>
      </c>
      <c r="EM27" t="s">
        <v>19</v>
      </c>
      <c r="EN27" t="s">
        <v>19</v>
      </c>
      <c r="EO27" t="s">
        <v>19</v>
      </c>
      <c r="EP27" t="s">
        <v>286</v>
      </c>
      <c r="EQ27" t="s">
        <v>287</v>
      </c>
      <c r="ER27" t="s">
        <v>288</v>
      </c>
      <c r="ES27" t="s">
        <v>288</v>
      </c>
      <c r="ET27" t="s">
        <v>288</v>
      </c>
      <c r="EU27" t="s">
        <v>288</v>
      </c>
      <c r="EV27">
        <v>0</v>
      </c>
      <c r="EW27">
        <v>100</v>
      </c>
      <c r="EX27">
        <v>100</v>
      </c>
      <c r="EY27">
        <v>1.827</v>
      </c>
      <c r="EZ27">
        <v>0.18099999999999999</v>
      </c>
      <c r="FA27">
        <v>2</v>
      </c>
      <c r="FB27">
        <v>479.86200000000002</v>
      </c>
      <c r="FC27">
        <v>267.46899999999999</v>
      </c>
      <c r="FD27">
        <v>20.547499999999999</v>
      </c>
      <c r="FE27">
        <v>30.4651</v>
      </c>
      <c r="FF27">
        <v>29.999700000000001</v>
      </c>
      <c r="FG27">
        <v>30.935400000000001</v>
      </c>
      <c r="FH27">
        <v>30.9023</v>
      </c>
      <c r="FI27">
        <v>36.085299999999997</v>
      </c>
      <c r="FJ27">
        <v>17.598800000000001</v>
      </c>
      <c r="FK27">
        <v>0</v>
      </c>
      <c r="FL27">
        <v>20.554200000000002</v>
      </c>
      <c r="FM27">
        <v>1000</v>
      </c>
      <c r="FN27">
        <v>17.431000000000001</v>
      </c>
      <c r="FO27">
        <v>100.035</v>
      </c>
      <c r="FP27">
        <v>118.33</v>
      </c>
    </row>
    <row r="28" spans="1:172" x14ac:dyDescent="0.25">
      <c r="A28">
        <v>16</v>
      </c>
      <c r="B28">
        <v>1519092111.5</v>
      </c>
      <c r="C28">
        <v>1970.4000000953699</v>
      </c>
      <c r="D28" t="s">
        <v>331</v>
      </c>
      <c r="E28" t="s">
        <v>332</v>
      </c>
      <c r="F28">
        <v>1519092103.5</v>
      </c>
      <c r="G28">
        <f t="shared" si="0"/>
        <v>2.4100414074321734E-3</v>
      </c>
      <c r="H28">
        <f t="shared" si="1"/>
        <v>44.444911913133865</v>
      </c>
      <c r="I28">
        <f t="shared" si="2"/>
        <v>1148.1048387096801</v>
      </c>
      <c r="J28">
        <f t="shared" si="3"/>
        <v>629.16002474543029</v>
      </c>
      <c r="K28">
        <f t="shared" si="4"/>
        <v>60.033038170584533</v>
      </c>
      <c r="L28">
        <f t="shared" si="5"/>
        <v>109.5495881735001</v>
      </c>
      <c r="M28">
        <f t="shared" si="6"/>
        <v>0.14784704621952061</v>
      </c>
      <c r="N28">
        <f t="shared" si="7"/>
        <v>2.3926407204199593</v>
      </c>
      <c r="O28">
        <f t="shared" si="8"/>
        <v>0.14295272241559723</v>
      </c>
      <c r="P28">
        <f t="shared" si="9"/>
        <v>8.9771689813618161E-2</v>
      </c>
      <c r="Q28">
        <f t="shared" si="10"/>
        <v>289.49706415336948</v>
      </c>
      <c r="R28">
        <f t="shared" si="11"/>
        <v>26.680331380581411</v>
      </c>
      <c r="S28">
        <f t="shared" si="12"/>
        <v>26.680331380581411</v>
      </c>
      <c r="T28">
        <f t="shared" si="13"/>
        <v>3.5125093515288586</v>
      </c>
      <c r="U28">
        <f t="shared" si="14"/>
        <v>59.96741363989301</v>
      </c>
      <c r="V28">
        <f t="shared" si="15"/>
        <v>1.9499058735841113</v>
      </c>
      <c r="W28">
        <f t="shared" si="16"/>
        <v>3.2516090910529889</v>
      </c>
      <c r="X28">
        <f t="shared" si="17"/>
        <v>1.5626034779447473</v>
      </c>
      <c r="Y28">
        <f t="shared" si="18"/>
        <v>-106.28282606775885</v>
      </c>
      <c r="Z28">
        <f t="shared" si="19"/>
        <v>-168.28083018382972</v>
      </c>
      <c r="AA28">
        <f t="shared" si="20"/>
        <v>-15.031633305408119</v>
      </c>
      <c r="AB28">
        <f t="shared" si="21"/>
        <v>-9.8225403627168362E-2</v>
      </c>
      <c r="AC28">
        <v>-3.9523480403613899E-2</v>
      </c>
      <c r="AD28">
        <v>4.4368569200107198E-2</v>
      </c>
      <c r="AE28">
        <v>3.3441988720286902</v>
      </c>
      <c r="AF28">
        <v>8</v>
      </c>
      <c r="AG28">
        <v>2</v>
      </c>
      <c r="AH28">
        <f t="shared" si="22"/>
        <v>1</v>
      </c>
      <c r="AI28">
        <f t="shared" si="23"/>
        <v>0</v>
      </c>
      <c r="AJ28">
        <f t="shared" si="24"/>
        <v>50673.171328715085</v>
      </c>
      <c r="AK28" t="s">
        <v>279</v>
      </c>
      <c r="AL28">
        <v>580.33307692307699</v>
      </c>
      <c r="AM28">
        <v>2824.36</v>
      </c>
      <c r="AN28">
        <f t="shared" si="25"/>
        <v>2244.0269230769231</v>
      </c>
      <c r="AO28">
        <f t="shared" si="26"/>
        <v>0.79452581224664098</v>
      </c>
      <c r="AP28">
        <v>-2.5011690977444898</v>
      </c>
      <c r="AQ28" t="s">
        <v>333</v>
      </c>
      <c r="AR28">
        <v>616.21838461538505</v>
      </c>
      <c r="AS28">
        <v>1008.88</v>
      </c>
      <c r="AT28">
        <f t="shared" si="27"/>
        <v>0.38920547080387657</v>
      </c>
      <c r="AU28">
        <v>0.5</v>
      </c>
      <c r="AV28">
        <f t="shared" si="28"/>
        <v>1513.1871965322007</v>
      </c>
      <c r="AW28">
        <f t="shared" si="29"/>
        <v>44.444911913133865</v>
      </c>
      <c r="AX28">
        <f t="shared" si="30"/>
        <v>294.47036762035663</v>
      </c>
      <c r="AY28">
        <f t="shared" si="31"/>
        <v>1</v>
      </c>
      <c r="AZ28">
        <f t="shared" si="32"/>
        <v>3.1024635364656508E-2</v>
      </c>
      <c r="BA28">
        <f t="shared" si="33"/>
        <v>1.7995004361271907</v>
      </c>
      <c r="BB28" t="s">
        <v>281</v>
      </c>
      <c r="BC28">
        <v>0</v>
      </c>
      <c r="BD28">
        <f t="shared" si="34"/>
        <v>1008.88</v>
      </c>
      <c r="BE28">
        <f t="shared" si="35"/>
        <v>0.38920547080387652</v>
      </c>
      <c r="BF28">
        <f t="shared" si="36"/>
        <v>0.6427934116047529</v>
      </c>
      <c r="BG28">
        <f t="shared" si="37"/>
        <v>0.91626282733602371</v>
      </c>
      <c r="BH28">
        <f t="shared" si="38"/>
        <v>0.80902772659727451</v>
      </c>
      <c r="BI28">
        <f t="shared" si="39"/>
        <v>1800.00322580645</v>
      </c>
      <c r="BJ28">
        <f t="shared" si="40"/>
        <v>1513.1871965322007</v>
      </c>
      <c r="BK28">
        <f t="shared" si="41"/>
        <v>0.84065804707336123</v>
      </c>
      <c r="BL28">
        <f t="shared" si="42"/>
        <v>0.19131609414672243</v>
      </c>
      <c r="BM28">
        <v>5.5</v>
      </c>
      <c r="BN28">
        <v>0.5</v>
      </c>
      <c r="BO28" t="s">
        <v>282</v>
      </c>
      <c r="BP28">
        <v>1519092103.5</v>
      </c>
      <c r="BQ28">
        <v>1148.1048387096801</v>
      </c>
      <c r="BR28">
        <v>1200.03451612903</v>
      </c>
      <c r="BS28">
        <v>20.4354612903226</v>
      </c>
      <c r="BT28">
        <v>17.838761290322601</v>
      </c>
      <c r="BU28">
        <v>500.03277419354799</v>
      </c>
      <c r="BV28">
        <v>95.317806451612896</v>
      </c>
      <c r="BW28">
        <v>9.9950254838709701E-2</v>
      </c>
      <c r="BX28">
        <v>25.375748387096799</v>
      </c>
      <c r="BY28">
        <v>25.004867741935499</v>
      </c>
      <c r="BZ28">
        <v>999.9</v>
      </c>
      <c r="CA28">
        <v>0</v>
      </c>
      <c r="CB28">
        <v>0</v>
      </c>
      <c r="CC28">
        <v>9999.4741935483908</v>
      </c>
      <c r="CD28">
        <v>0</v>
      </c>
      <c r="CE28">
        <v>258.18654838709699</v>
      </c>
      <c r="CF28">
        <v>1800.00322580645</v>
      </c>
      <c r="CG28">
        <v>0.97800322580645105</v>
      </c>
      <c r="CH28">
        <v>2.1996845161290302E-2</v>
      </c>
      <c r="CI28">
        <v>0</v>
      </c>
      <c r="CJ28">
        <v>616.204096774194</v>
      </c>
      <c r="CK28">
        <v>4.9993999999999996</v>
      </c>
      <c r="CL28">
        <v>11277.606451612901</v>
      </c>
      <c r="CM28">
        <v>14669.1451612903</v>
      </c>
      <c r="CN28">
        <v>46.811999999999998</v>
      </c>
      <c r="CO28">
        <v>47.125</v>
      </c>
      <c r="CP28">
        <v>47.375</v>
      </c>
      <c r="CQ28">
        <v>47.090451612903202</v>
      </c>
      <c r="CR28">
        <v>48.061999999999998</v>
      </c>
      <c r="CS28">
        <v>1755.5212903225799</v>
      </c>
      <c r="CT28">
        <v>39.482903225806503</v>
      </c>
      <c r="CU28">
        <v>0</v>
      </c>
      <c r="CV28">
        <v>150</v>
      </c>
      <c r="CW28">
        <v>616.21838461538505</v>
      </c>
      <c r="CX28">
        <v>1.6825299110919101</v>
      </c>
      <c r="CY28">
        <v>26.683760772981199</v>
      </c>
      <c r="CZ28">
        <v>11277.85</v>
      </c>
      <c r="DA28">
        <v>15</v>
      </c>
      <c r="DB28">
        <v>1519092063</v>
      </c>
      <c r="DC28" t="s">
        <v>334</v>
      </c>
      <c r="DD28">
        <v>91</v>
      </c>
      <c r="DE28">
        <v>2.1669999999999998</v>
      </c>
      <c r="DF28">
        <v>0.185</v>
      </c>
      <c r="DG28">
        <v>1200</v>
      </c>
      <c r="DH28">
        <v>18</v>
      </c>
      <c r="DI28">
        <v>0.04</v>
      </c>
      <c r="DJ28">
        <v>0.04</v>
      </c>
      <c r="DK28">
        <v>44.505072727336803</v>
      </c>
      <c r="DL28">
        <v>-0.65761972480073605</v>
      </c>
      <c r="DM28">
        <v>0.16414201687709801</v>
      </c>
      <c r="DN28">
        <v>1</v>
      </c>
      <c r="DO28">
        <v>-51.969382926829297</v>
      </c>
      <c r="DP28">
        <v>1.20952891986069</v>
      </c>
      <c r="DQ28">
        <v>0.19226538303445301</v>
      </c>
      <c r="DR28">
        <v>0</v>
      </c>
      <c r="DS28">
        <v>2.6107826829268301</v>
      </c>
      <c r="DT28">
        <v>-0.146951916376234</v>
      </c>
      <c r="DU28">
        <v>3.0863421954688101E-2</v>
      </c>
      <c r="DV28">
        <v>1</v>
      </c>
      <c r="DW28">
        <v>0.150200533917801</v>
      </c>
      <c r="DX28">
        <v>-1.8580652243185999E-2</v>
      </c>
      <c r="DY28">
        <v>2.9022700233006702E-3</v>
      </c>
      <c r="DZ28">
        <v>1</v>
      </c>
      <c r="EA28">
        <v>3</v>
      </c>
      <c r="EB28">
        <v>4</v>
      </c>
      <c r="EC28" t="s">
        <v>330</v>
      </c>
      <c r="ED28">
        <v>1.8490599999999999</v>
      </c>
      <c r="EE28">
        <v>1.8531899999999999</v>
      </c>
      <c r="EF28">
        <v>1.8519699999999999</v>
      </c>
      <c r="EG28">
        <v>1.8563099999999999</v>
      </c>
      <c r="EH28">
        <v>1.8541000000000001</v>
      </c>
      <c r="EI28">
        <v>1.85442</v>
      </c>
      <c r="EJ28">
        <v>1.8466199999999999</v>
      </c>
      <c r="EK28">
        <v>1.85134</v>
      </c>
      <c r="EL28" t="s">
        <v>285</v>
      </c>
      <c r="EM28" t="s">
        <v>19</v>
      </c>
      <c r="EN28" t="s">
        <v>19</v>
      </c>
      <c r="EO28" t="s">
        <v>19</v>
      </c>
      <c r="EP28" t="s">
        <v>286</v>
      </c>
      <c r="EQ28" t="s">
        <v>287</v>
      </c>
      <c r="ER28" t="s">
        <v>288</v>
      </c>
      <c r="ES28" t="s">
        <v>288</v>
      </c>
      <c r="ET28" t="s">
        <v>288</v>
      </c>
      <c r="EU28" t="s">
        <v>288</v>
      </c>
      <c r="EV28">
        <v>0</v>
      </c>
      <c r="EW28">
        <v>100</v>
      </c>
      <c r="EX28">
        <v>100</v>
      </c>
      <c r="EY28">
        <v>2.1669999999999998</v>
      </c>
      <c r="EZ28">
        <v>0.185</v>
      </c>
      <c r="FA28">
        <v>2</v>
      </c>
      <c r="FB28">
        <v>479.01299999999998</v>
      </c>
      <c r="FC28">
        <v>268.66000000000003</v>
      </c>
      <c r="FD28">
        <v>20.495799999999999</v>
      </c>
      <c r="FE28">
        <v>30.3553</v>
      </c>
      <c r="FF28">
        <v>30.000800000000002</v>
      </c>
      <c r="FG28">
        <v>30.826799999999999</v>
      </c>
      <c r="FH28">
        <v>30.792999999999999</v>
      </c>
      <c r="FI28">
        <v>41.867199999999997</v>
      </c>
      <c r="FJ28">
        <v>19.2288</v>
      </c>
      <c r="FK28">
        <v>0</v>
      </c>
      <c r="FL28">
        <v>20.488900000000001</v>
      </c>
      <c r="FM28">
        <v>1200</v>
      </c>
      <c r="FN28">
        <v>17.7911</v>
      </c>
      <c r="FO28">
        <v>100.05200000000001</v>
      </c>
      <c r="FP28">
        <v>118.35299999999999</v>
      </c>
    </row>
    <row r="29" spans="1:172" x14ac:dyDescent="0.25">
      <c r="A29">
        <v>17</v>
      </c>
      <c r="B29">
        <v>1519092262.0999999</v>
      </c>
      <c r="C29">
        <v>2121</v>
      </c>
      <c r="D29" t="s">
        <v>335</v>
      </c>
      <c r="E29" t="s">
        <v>336</v>
      </c>
      <c r="F29">
        <v>1519092254.0999999</v>
      </c>
      <c r="G29">
        <f t="shared" si="0"/>
        <v>2.1291490105479595E-3</v>
      </c>
      <c r="H29">
        <f t="shared" si="1"/>
        <v>45.647231914049378</v>
      </c>
      <c r="I29">
        <f t="shared" si="2"/>
        <v>1446.3632258064499</v>
      </c>
      <c r="J29">
        <f t="shared" si="3"/>
        <v>833.53205258406581</v>
      </c>
      <c r="K29">
        <f t="shared" si="4"/>
        <v>79.532081595848553</v>
      </c>
      <c r="L29">
        <f t="shared" si="5"/>
        <v>138.0058244136589</v>
      </c>
      <c r="M29">
        <f t="shared" si="6"/>
        <v>0.12871662044548829</v>
      </c>
      <c r="N29">
        <f t="shared" si="7"/>
        <v>2.3949344921836868</v>
      </c>
      <c r="O29">
        <f t="shared" si="8"/>
        <v>0.12499321316557649</v>
      </c>
      <c r="P29">
        <f t="shared" si="9"/>
        <v>7.8446319969877262E-2</v>
      </c>
      <c r="Q29">
        <f t="shared" si="10"/>
        <v>289.49813387704353</v>
      </c>
      <c r="R29">
        <f t="shared" si="11"/>
        <v>26.720120452577717</v>
      </c>
      <c r="S29">
        <f t="shared" si="12"/>
        <v>26.720120452577717</v>
      </c>
      <c r="T29">
        <f t="shared" si="13"/>
        <v>3.5207458100981088</v>
      </c>
      <c r="U29">
        <f t="shared" si="14"/>
        <v>59.890742323768976</v>
      </c>
      <c r="V29">
        <f t="shared" si="15"/>
        <v>1.941948945648081</v>
      </c>
      <c r="W29">
        <f t="shared" si="16"/>
        <v>3.2424860175382655</v>
      </c>
      <c r="X29">
        <f t="shared" si="17"/>
        <v>1.5787968644500279</v>
      </c>
      <c r="Y29">
        <f t="shared" si="18"/>
        <v>-93.895471365165008</v>
      </c>
      <c r="Z29">
        <f t="shared" si="19"/>
        <v>-179.68047698092241</v>
      </c>
      <c r="AA29">
        <f t="shared" si="20"/>
        <v>-16.033941586001973</v>
      </c>
      <c r="AB29">
        <f t="shared" si="21"/>
        <v>-0.11175605504584496</v>
      </c>
      <c r="AC29">
        <v>-3.9576528230662898E-2</v>
      </c>
      <c r="AD29">
        <v>4.4428120033214502E-2</v>
      </c>
      <c r="AE29">
        <v>3.3477698109785599</v>
      </c>
      <c r="AF29">
        <v>9</v>
      </c>
      <c r="AG29">
        <v>2</v>
      </c>
      <c r="AH29">
        <f t="shared" si="22"/>
        <v>1</v>
      </c>
      <c r="AI29">
        <f t="shared" si="23"/>
        <v>0</v>
      </c>
      <c r="AJ29">
        <f t="shared" si="24"/>
        <v>50746.386016699762</v>
      </c>
      <c r="AK29" t="s">
        <v>279</v>
      </c>
      <c r="AL29">
        <v>580.33307692307699</v>
      </c>
      <c r="AM29">
        <v>2824.36</v>
      </c>
      <c r="AN29">
        <f t="shared" si="25"/>
        <v>2244.0269230769231</v>
      </c>
      <c r="AO29">
        <f t="shared" si="26"/>
        <v>0.79452581224664098</v>
      </c>
      <c r="AP29">
        <v>-2.5011690977444898</v>
      </c>
      <c r="AQ29" t="s">
        <v>337</v>
      </c>
      <c r="AR29">
        <v>606.14788461538501</v>
      </c>
      <c r="AS29">
        <v>988.24</v>
      </c>
      <c r="AT29">
        <f t="shared" si="27"/>
        <v>0.3866389899059085</v>
      </c>
      <c r="AU29">
        <v>0.5</v>
      </c>
      <c r="AV29">
        <f t="shared" si="28"/>
        <v>1513.1936111754619</v>
      </c>
      <c r="AW29">
        <f t="shared" si="29"/>
        <v>45.647231914049378</v>
      </c>
      <c r="AX29">
        <f t="shared" si="30"/>
        <v>292.52982467847733</v>
      </c>
      <c r="AY29">
        <f t="shared" si="31"/>
        <v>1</v>
      </c>
      <c r="AZ29">
        <f t="shared" si="32"/>
        <v>3.1819061788393208E-2</v>
      </c>
      <c r="BA29">
        <f t="shared" si="33"/>
        <v>1.8579697239536956</v>
      </c>
      <c r="BB29" t="s">
        <v>281</v>
      </c>
      <c r="BC29">
        <v>0</v>
      </c>
      <c r="BD29">
        <f t="shared" si="34"/>
        <v>988.24</v>
      </c>
      <c r="BE29">
        <f t="shared" si="35"/>
        <v>0.3866389899059085</v>
      </c>
      <c r="BF29">
        <f t="shared" si="36"/>
        <v>0.65010126187879735</v>
      </c>
      <c r="BG29">
        <f t="shared" si="37"/>
        <v>0.93671397509612786</v>
      </c>
      <c r="BH29">
        <f t="shared" si="38"/>
        <v>0.81822547720701289</v>
      </c>
      <c r="BI29">
        <f t="shared" si="39"/>
        <v>1800.01096774194</v>
      </c>
      <c r="BJ29">
        <f t="shared" si="40"/>
        <v>1513.1936111754619</v>
      </c>
      <c r="BK29">
        <f t="shared" si="41"/>
        <v>0.84065799503084038</v>
      </c>
      <c r="BL29">
        <f t="shared" si="42"/>
        <v>0.19131599006168079</v>
      </c>
      <c r="BM29">
        <v>5.5</v>
      </c>
      <c r="BN29">
        <v>0.5</v>
      </c>
      <c r="BO29" t="s">
        <v>282</v>
      </c>
      <c r="BP29">
        <v>1519092254.0999999</v>
      </c>
      <c r="BQ29">
        <v>1446.3632258064499</v>
      </c>
      <c r="BR29">
        <v>1499.95903225806</v>
      </c>
      <c r="BS29">
        <v>20.352499999999999</v>
      </c>
      <c r="BT29">
        <v>18.058258064516099</v>
      </c>
      <c r="BU29">
        <v>500.03380645161297</v>
      </c>
      <c r="BV29">
        <v>95.315861290322601</v>
      </c>
      <c r="BW29">
        <v>9.9883490322580606E-2</v>
      </c>
      <c r="BX29">
        <v>25.3284967741935</v>
      </c>
      <c r="BY29">
        <v>24.963503225806399</v>
      </c>
      <c r="BZ29">
        <v>999.9</v>
      </c>
      <c r="CA29">
        <v>0</v>
      </c>
      <c r="CB29">
        <v>0</v>
      </c>
      <c r="CC29">
        <v>10013.099677419401</v>
      </c>
      <c r="CD29">
        <v>0</v>
      </c>
      <c r="CE29">
        <v>220.10458064516101</v>
      </c>
      <c r="CF29">
        <v>1800.01096774194</v>
      </c>
      <c r="CG29">
        <v>0.97800803225806499</v>
      </c>
      <c r="CH29">
        <v>2.19918451612903E-2</v>
      </c>
      <c r="CI29">
        <v>0</v>
      </c>
      <c r="CJ29">
        <v>606.11296774193499</v>
      </c>
      <c r="CK29">
        <v>4.9993999999999996</v>
      </c>
      <c r="CL29">
        <v>11093.8290322581</v>
      </c>
      <c r="CM29">
        <v>14669.2387096774</v>
      </c>
      <c r="CN29">
        <v>46.686999999999998</v>
      </c>
      <c r="CO29">
        <v>47</v>
      </c>
      <c r="CP29">
        <v>47.25</v>
      </c>
      <c r="CQ29">
        <v>46.953258064516099</v>
      </c>
      <c r="CR29">
        <v>47.936999999999998</v>
      </c>
      <c r="CS29">
        <v>1755.53419354839</v>
      </c>
      <c r="CT29">
        <v>39.479999999999997</v>
      </c>
      <c r="CU29">
        <v>0</v>
      </c>
      <c r="CV29">
        <v>150</v>
      </c>
      <c r="CW29">
        <v>606.14788461538501</v>
      </c>
      <c r="CX29">
        <v>3.8756581200593501</v>
      </c>
      <c r="CY29">
        <v>48.345299144910101</v>
      </c>
      <c r="CZ29">
        <v>11094.0423076923</v>
      </c>
      <c r="DA29">
        <v>15</v>
      </c>
      <c r="DB29">
        <v>1519092202.5999999</v>
      </c>
      <c r="DC29" t="s">
        <v>338</v>
      </c>
      <c r="DD29">
        <v>92</v>
      </c>
      <c r="DE29">
        <v>2.734</v>
      </c>
      <c r="DF29">
        <v>0.193</v>
      </c>
      <c r="DG29">
        <v>1500</v>
      </c>
      <c r="DH29">
        <v>18</v>
      </c>
      <c r="DI29">
        <v>0.04</v>
      </c>
      <c r="DJ29">
        <v>0.05</v>
      </c>
      <c r="DK29">
        <v>45.663190006918597</v>
      </c>
      <c r="DL29">
        <v>2.3537556242948201E-2</v>
      </c>
      <c r="DM29">
        <v>0.18202040442019499</v>
      </c>
      <c r="DN29">
        <v>1</v>
      </c>
      <c r="DO29">
        <v>-53.6448707317073</v>
      </c>
      <c r="DP29">
        <v>0.97772613240459705</v>
      </c>
      <c r="DQ29">
        <v>0.167453823622532</v>
      </c>
      <c r="DR29">
        <v>0</v>
      </c>
      <c r="DS29">
        <v>2.3138056097561002</v>
      </c>
      <c r="DT29">
        <v>-0.452820418118415</v>
      </c>
      <c r="DU29">
        <v>4.6480227584807597E-2</v>
      </c>
      <c r="DV29">
        <v>1</v>
      </c>
      <c r="DW29">
        <v>0.13171500178322099</v>
      </c>
      <c r="DX29">
        <v>-2.6052479898332599E-2</v>
      </c>
      <c r="DY29">
        <v>3.57865667903996E-3</v>
      </c>
      <c r="DZ29">
        <v>1</v>
      </c>
      <c r="EA29">
        <v>3</v>
      </c>
      <c r="EB29">
        <v>4</v>
      </c>
      <c r="EC29" t="s">
        <v>330</v>
      </c>
      <c r="ED29">
        <v>1.8490599999999999</v>
      </c>
      <c r="EE29">
        <v>1.8532</v>
      </c>
      <c r="EF29">
        <v>1.85198</v>
      </c>
      <c r="EG29">
        <v>1.85632</v>
      </c>
      <c r="EH29">
        <v>1.85406</v>
      </c>
      <c r="EI29">
        <v>1.85443</v>
      </c>
      <c r="EJ29">
        <v>1.8466199999999999</v>
      </c>
      <c r="EK29">
        <v>1.85134</v>
      </c>
      <c r="EL29" t="s">
        <v>285</v>
      </c>
      <c r="EM29" t="s">
        <v>19</v>
      </c>
      <c r="EN29" t="s">
        <v>19</v>
      </c>
      <c r="EO29" t="s">
        <v>19</v>
      </c>
      <c r="EP29" t="s">
        <v>286</v>
      </c>
      <c r="EQ29" t="s">
        <v>287</v>
      </c>
      <c r="ER29" t="s">
        <v>288</v>
      </c>
      <c r="ES29" t="s">
        <v>288</v>
      </c>
      <c r="ET29" t="s">
        <v>288</v>
      </c>
      <c r="EU29" t="s">
        <v>288</v>
      </c>
      <c r="EV29">
        <v>0</v>
      </c>
      <c r="EW29">
        <v>100</v>
      </c>
      <c r="EX29">
        <v>100</v>
      </c>
      <c r="EY29">
        <v>2.734</v>
      </c>
      <c r="EZ29">
        <v>0.193</v>
      </c>
      <c r="FA29">
        <v>2</v>
      </c>
      <c r="FB29">
        <v>478.57499999999999</v>
      </c>
      <c r="FC29">
        <v>270.017</v>
      </c>
      <c r="FD29">
        <v>20.775600000000001</v>
      </c>
      <c r="FE29">
        <v>30.240100000000002</v>
      </c>
      <c r="FF29">
        <v>29.9998</v>
      </c>
      <c r="FG29">
        <v>30.7136</v>
      </c>
      <c r="FH29">
        <v>30.680800000000001</v>
      </c>
      <c r="FI29">
        <v>50.206299999999999</v>
      </c>
      <c r="FJ29">
        <v>20.7959</v>
      </c>
      <c r="FK29">
        <v>0</v>
      </c>
      <c r="FL29">
        <v>20.785599999999999</v>
      </c>
      <c r="FM29">
        <v>1500</v>
      </c>
      <c r="FN29">
        <v>18.040299999999998</v>
      </c>
      <c r="FO29">
        <v>100.072</v>
      </c>
      <c r="FP29">
        <v>118.377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2025-03-23T17:55:32Z</dcterms:created>
  <dcterms:modified xsi:type="dcterms:W3CDTF">2025-08-03T14:59:39Z</dcterms:modified>
</cp:coreProperties>
</file>