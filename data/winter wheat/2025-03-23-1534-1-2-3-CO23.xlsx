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博士学习资料\根据Vcmax25计算A\拉萨\winter wheat\"/>
    </mc:Choice>
  </mc:AlternateContent>
  <xr:revisionPtr revIDLastSave="0" documentId="13_ncr:1_{CFAA5149-0BB6-49BE-AD5B-086B678AFEF4}" xr6:coauthVersionLast="47" xr6:coauthVersionMax="47" xr10:uidLastSave="{00000000-0000-0000-0000-000000000000}"/>
  <bookViews>
    <workbookView xWindow="8004" yWindow="3852" windowWidth="15576" windowHeight="11016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L29" i="1" l="1"/>
  <c r="BK29" i="1"/>
  <c r="BI29" i="1"/>
  <c r="BH29" i="1"/>
  <c r="BG29" i="1"/>
  <c r="BF29" i="1"/>
  <c r="BE29" i="1"/>
  <c r="BD29" i="1"/>
  <c r="BA29" i="1"/>
  <c r="AY29" i="1"/>
  <c r="AT29" i="1"/>
  <c r="AN29" i="1"/>
  <c r="AO29" i="1" s="1"/>
  <c r="AJ29" i="1"/>
  <c r="AH29" i="1" s="1"/>
  <c r="L29" i="1" s="1"/>
  <c r="W29" i="1"/>
  <c r="U29" i="1" s="1"/>
  <c r="V29" i="1"/>
  <c r="N29" i="1"/>
  <c r="BL28" i="1"/>
  <c r="BK28" i="1"/>
  <c r="BI28" i="1"/>
  <c r="BH28" i="1"/>
  <c r="BG28" i="1"/>
  <c r="BF28" i="1"/>
  <c r="BE28" i="1"/>
  <c r="BD28" i="1"/>
  <c r="AY28" i="1" s="1"/>
  <c r="BA28" i="1"/>
  <c r="AT28" i="1"/>
  <c r="AN28" i="1"/>
  <c r="AO28" i="1" s="1"/>
  <c r="AJ28" i="1"/>
  <c r="AH28" i="1" s="1"/>
  <c r="W28" i="1"/>
  <c r="U28" i="1" s="1"/>
  <c r="V28" i="1"/>
  <c r="N28" i="1"/>
  <c r="BL27" i="1"/>
  <c r="BK27" i="1"/>
  <c r="BI27" i="1"/>
  <c r="BH27" i="1"/>
  <c r="BG27" i="1"/>
  <c r="BF27" i="1"/>
  <c r="BE27" i="1"/>
  <c r="BD27" i="1"/>
  <c r="AY27" i="1" s="1"/>
  <c r="BA27" i="1"/>
  <c r="AT27" i="1"/>
  <c r="AN27" i="1"/>
  <c r="AO27" i="1" s="1"/>
  <c r="AJ27" i="1"/>
  <c r="AH27" i="1" s="1"/>
  <c r="I27" i="1" s="1"/>
  <c r="W27" i="1"/>
  <c r="V27" i="1"/>
  <c r="N27" i="1"/>
  <c r="BL26" i="1"/>
  <c r="BK26" i="1"/>
  <c r="BI26" i="1"/>
  <c r="BH26" i="1"/>
  <c r="BG26" i="1"/>
  <c r="BF26" i="1"/>
  <c r="BE26" i="1"/>
  <c r="BD26" i="1"/>
  <c r="BA26" i="1"/>
  <c r="AY26" i="1"/>
  <c r="AT26" i="1"/>
  <c r="AN26" i="1"/>
  <c r="AO26" i="1" s="1"/>
  <c r="AJ26" i="1"/>
  <c r="AH26" i="1" s="1"/>
  <c r="AI26" i="1" s="1"/>
  <c r="W26" i="1"/>
  <c r="V26" i="1"/>
  <c r="U26" i="1" s="1"/>
  <c r="N26" i="1"/>
  <c r="BL25" i="1"/>
  <c r="BK25" i="1"/>
  <c r="BI25" i="1"/>
  <c r="BH25" i="1"/>
  <c r="BG25" i="1"/>
  <c r="BF25" i="1"/>
  <c r="BE25" i="1"/>
  <c r="BD25" i="1"/>
  <c r="AY25" i="1" s="1"/>
  <c r="BA25" i="1"/>
  <c r="AT25" i="1"/>
  <c r="AN25" i="1"/>
  <c r="AO25" i="1" s="1"/>
  <c r="AJ25" i="1"/>
  <c r="AH25" i="1" s="1"/>
  <c r="AI25" i="1" s="1"/>
  <c r="W25" i="1"/>
  <c r="V25" i="1"/>
  <c r="U25" i="1" s="1"/>
  <c r="N25" i="1"/>
  <c r="H25" i="1"/>
  <c r="AW25" i="1" s="1"/>
  <c r="G25" i="1"/>
  <c r="Y25" i="1" s="1"/>
  <c r="BL24" i="1"/>
  <c r="BK24" i="1"/>
  <c r="BI24" i="1"/>
  <c r="BH24" i="1"/>
  <c r="BG24" i="1"/>
  <c r="BF24" i="1"/>
  <c r="BE24" i="1"/>
  <c r="BD24" i="1"/>
  <c r="AY24" i="1" s="1"/>
  <c r="BA24" i="1"/>
  <c r="AT24" i="1"/>
  <c r="AN24" i="1"/>
  <c r="AO24" i="1" s="1"/>
  <c r="AJ24" i="1"/>
  <c r="AH24" i="1" s="1"/>
  <c r="L24" i="1" s="1"/>
  <c r="W24" i="1"/>
  <c r="V24" i="1"/>
  <c r="N24" i="1"/>
  <c r="BL23" i="1"/>
  <c r="BK23" i="1"/>
  <c r="BI23" i="1"/>
  <c r="BH23" i="1"/>
  <c r="BG23" i="1"/>
  <c r="BF23" i="1"/>
  <c r="BE23" i="1"/>
  <c r="BD23" i="1"/>
  <c r="BA23" i="1"/>
  <c r="AY23" i="1"/>
  <c r="AT23" i="1"/>
  <c r="AN23" i="1"/>
  <c r="AO23" i="1" s="1"/>
  <c r="AJ23" i="1"/>
  <c r="AH23" i="1" s="1"/>
  <c r="W23" i="1"/>
  <c r="V23" i="1"/>
  <c r="U23" i="1" s="1"/>
  <c r="N23" i="1"/>
  <c r="BL22" i="1"/>
  <c r="BK22" i="1"/>
  <c r="BI22" i="1"/>
  <c r="BH22" i="1"/>
  <c r="BG22" i="1"/>
  <c r="BF22" i="1"/>
  <c r="BE22" i="1"/>
  <c r="BD22" i="1"/>
  <c r="AY22" i="1" s="1"/>
  <c r="BA22" i="1"/>
  <c r="AT22" i="1"/>
  <c r="AN22" i="1"/>
  <c r="AO22" i="1" s="1"/>
  <c r="AJ22" i="1"/>
  <c r="AH22" i="1" s="1"/>
  <c r="W22" i="1"/>
  <c r="U22" i="1" s="1"/>
  <c r="V22" i="1"/>
  <c r="N22" i="1"/>
  <c r="BL21" i="1"/>
  <c r="BK21" i="1"/>
  <c r="BI21" i="1"/>
  <c r="BJ21" i="1" s="1"/>
  <c r="BH21" i="1"/>
  <c r="BG21" i="1"/>
  <c r="BF21" i="1"/>
  <c r="BE21" i="1"/>
  <c r="BD21" i="1"/>
  <c r="BA21" i="1"/>
  <c r="AY21" i="1"/>
  <c r="AT21" i="1"/>
  <c r="AN21" i="1"/>
  <c r="AO21" i="1" s="1"/>
  <c r="AJ21" i="1"/>
  <c r="AH21" i="1" s="1"/>
  <c r="G21" i="1" s="1"/>
  <c r="Y21" i="1" s="1"/>
  <c r="W21" i="1"/>
  <c r="V21" i="1"/>
  <c r="U21" i="1" s="1"/>
  <c r="N21" i="1"/>
  <c r="BL20" i="1"/>
  <c r="BK20" i="1"/>
  <c r="BI20" i="1"/>
  <c r="BH20" i="1"/>
  <c r="BG20" i="1"/>
  <c r="BF20" i="1"/>
  <c r="BE20" i="1"/>
  <c r="BD20" i="1"/>
  <c r="AY20" i="1" s="1"/>
  <c r="BA20" i="1"/>
  <c r="AT20" i="1"/>
  <c r="AN20" i="1"/>
  <c r="AO20" i="1" s="1"/>
  <c r="AJ20" i="1"/>
  <c r="AH20" i="1" s="1"/>
  <c r="W20" i="1"/>
  <c r="V20" i="1"/>
  <c r="U20" i="1" s="1"/>
  <c r="N20" i="1"/>
  <c r="BL19" i="1"/>
  <c r="BK19" i="1"/>
  <c r="BI19" i="1"/>
  <c r="BJ19" i="1" s="1"/>
  <c r="Q19" i="1" s="1"/>
  <c r="BH19" i="1"/>
  <c r="BG19" i="1"/>
  <c r="BF19" i="1"/>
  <c r="BE19" i="1"/>
  <c r="BD19" i="1"/>
  <c r="AY19" i="1" s="1"/>
  <c r="BA19" i="1"/>
  <c r="AT19" i="1"/>
  <c r="AN19" i="1"/>
  <c r="AO19" i="1" s="1"/>
  <c r="AJ19" i="1"/>
  <c r="AH19" i="1"/>
  <c r="AI19" i="1" s="1"/>
  <c r="W19" i="1"/>
  <c r="U19" i="1" s="1"/>
  <c r="V19" i="1"/>
  <c r="N19" i="1"/>
  <c r="I19" i="1"/>
  <c r="H19" i="1"/>
  <c r="AW19" i="1" s="1"/>
  <c r="G19" i="1"/>
  <c r="BL18" i="1"/>
  <c r="BK18" i="1"/>
  <c r="BI18" i="1"/>
  <c r="BJ18" i="1" s="1"/>
  <c r="BH18" i="1"/>
  <c r="BG18" i="1"/>
  <c r="BF18" i="1"/>
  <c r="BE18" i="1"/>
  <c r="BD18" i="1"/>
  <c r="BA18" i="1"/>
  <c r="AY18" i="1"/>
  <c r="AT18" i="1"/>
  <c r="AN18" i="1"/>
  <c r="AO18" i="1" s="1"/>
  <c r="AJ18" i="1"/>
  <c r="AH18" i="1" s="1"/>
  <c r="W18" i="1"/>
  <c r="V18" i="1"/>
  <c r="N18" i="1"/>
  <c r="BL17" i="1"/>
  <c r="BK17" i="1"/>
  <c r="BI17" i="1"/>
  <c r="BH17" i="1"/>
  <c r="BG17" i="1"/>
  <c r="BF17" i="1"/>
  <c r="BE17" i="1"/>
  <c r="BD17" i="1"/>
  <c r="AY17" i="1" s="1"/>
  <c r="BA17" i="1"/>
  <c r="AT17" i="1"/>
  <c r="AN17" i="1"/>
  <c r="AO17" i="1" s="1"/>
  <c r="AJ17" i="1"/>
  <c r="AH17" i="1" s="1"/>
  <c r="I17" i="1" s="1"/>
  <c r="W17" i="1"/>
  <c r="V17" i="1"/>
  <c r="U17" i="1" s="1"/>
  <c r="N17" i="1"/>
  <c r="L18" i="1" l="1"/>
  <c r="I18" i="1"/>
  <c r="H18" i="1"/>
  <c r="AW18" i="1" s="1"/>
  <c r="G18" i="1"/>
  <c r="Y18" i="1" s="1"/>
  <c r="BJ24" i="1"/>
  <c r="AV24" i="1" s="1"/>
  <c r="BJ28" i="1"/>
  <c r="BJ20" i="1"/>
  <c r="I25" i="1"/>
  <c r="L25" i="1"/>
  <c r="BJ23" i="1"/>
  <c r="AV23" i="1" s="1"/>
  <c r="AX23" i="1" s="1"/>
  <c r="BJ27" i="1"/>
  <c r="U24" i="1"/>
  <c r="L19" i="1"/>
  <c r="BJ26" i="1"/>
  <c r="U27" i="1"/>
  <c r="BJ29" i="1"/>
  <c r="BJ17" i="1"/>
  <c r="Q17" i="1" s="1"/>
  <c r="AX24" i="1"/>
  <c r="U18" i="1"/>
  <c r="AV19" i="1"/>
  <c r="AX19" i="1" s="1"/>
  <c r="BJ25" i="1"/>
  <c r="Q25" i="1" s="1"/>
  <c r="R25" i="1" s="1"/>
  <c r="S25" i="1" s="1"/>
  <c r="L26" i="1"/>
  <c r="BJ22" i="1"/>
  <c r="Q22" i="1"/>
  <c r="AV22" i="1"/>
  <c r="AX22" i="1" s="1"/>
  <c r="AV21" i="1"/>
  <c r="AX21" i="1" s="1"/>
  <c r="Q21" i="1"/>
  <c r="Q28" i="1"/>
  <c r="AV28" i="1"/>
  <c r="AX28" i="1" s="1"/>
  <c r="Q23" i="1"/>
  <c r="AV27" i="1"/>
  <c r="AX27" i="1" s="1"/>
  <c r="Q27" i="1"/>
  <c r="L28" i="1"/>
  <c r="I28" i="1"/>
  <c r="H28" i="1"/>
  <c r="AW28" i="1" s="1"/>
  <c r="G28" i="1"/>
  <c r="AI28" i="1"/>
  <c r="AI24" i="1"/>
  <c r="R19" i="1"/>
  <c r="S19" i="1" s="1"/>
  <c r="Z19" i="1" s="1"/>
  <c r="Q18" i="1"/>
  <c r="AV18" i="1"/>
  <c r="AX18" i="1" s="1"/>
  <c r="H20" i="1"/>
  <c r="AW20" i="1" s="1"/>
  <c r="G20" i="1"/>
  <c r="AI20" i="1"/>
  <c r="H22" i="1"/>
  <c r="AW22" i="1" s="1"/>
  <c r="AZ22" i="1" s="1"/>
  <c r="G22" i="1"/>
  <c r="L22" i="1"/>
  <c r="I22" i="1"/>
  <c r="AI22" i="1"/>
  <c r="L20" i="1"/>
  <c r="L23" i="1"/>
  <c r="G23" i="1"/>
  <c r="I23" i="1"/>
  <c r="H23" i="1"/>
  <c r="AW23" i="1" s="1"/>
  <c r="AI23" i="1"/>
  <c r="AI18" i="1"/>
  <c r="G29" i="1"/>
  <c r="G24" i="1"/>
  <c r="I29" i="1"/>
  <c r="H24" i="1"/>
  <c r="AW24" i="1" s="1"/>
  <c r="Y19" i="1"/>
  <c r="AI29" i="1"/>
  <c r="I20" i="1"/>
  <c r="H29" i="1"/>
  <c r="AW29" i="1" s="1"/>
  <c r="I24" i="1"/>
  <c r="G17" i="1"/>
  <c r="AI27" i="1"/>
  <c r="G27" i="1"/>
  <c r="AI21" i="1"/>
  <c r="H21" i="1"/>
  <c r="AW21" i="1" s="1"/>
  <c r="AZ21" i="1" s="1"/>
  <c r="G26" i="1"/>
  <c r="L27" i="1"/>
  <c r="L17" i="1"/>
  <c r="I21" i="1"/>
  <c r="H26" i="1"/>
  <c r="AW26" i="1" s="1"/>
  <c r="AI17" i="1"/>
  <c r="H27" i="1"/>
  <c r="AW27" i="1" s="1"/>
  <c r="L21" i="1"/>
  <c r="I26" i="1"/>
  <c r="H17" i="1"/>
  <c r="AW17" i="1" s="1"/>
  <c r="O25" i="1" l="1"/>
  <c r="M25" i="1" s="1"/>
  <c r="P25" i="1" s="1"/>
  <c r="J25" i="1" s="1"/>
  <c r="K25" i="1" s="1"/>
  <c r="Z25" i="1"/>
  <c r="AV17" i="1"/>
  <c r="AX17" i="1" s="1"/>
  <c r="Q26" i="1"/>
  <c r="AV26" i="1"/>
  <c r="AX26" i="1" s="1"/>
  <c r="AZ19" i="1"/>
  <c r="AZ26" i="1"/>
  <c r="Q29" i="1"/>
  <c r="R29" i="1" s="1"/>
  <c r="S29" i="1" s="1"/>
  <c r="O29" i="1" s="1"/>
  <c r="M29" i="1" s="1"/>
  <c r="P29" i="1" s="1"/>
  <c r="J29" i="1" s="1"/>
  <c r="K29" i="1" s="1"/>
  <c r="AV29" i="1"/>
  <c r="AX29" i="1" s="1"/>
  <c r="Q20" i="1"/>
  <c r="R20" i="1" s="1"/>
  <c r="S20" i="1" s="1"/>
  <c r="Z20" i="1" s="1"/>
  <c r="AV20" i="1"/>
  <c r="AX20" i="1" s="1"/>
  <c r="AZ20" i="1"/>
  <c r="AV25" i="1"/>
  <c r="AZ25" i="1" s="1"/>
  <c r="AZ24" i="1"/>
  <c r="Q24" i="1"/>
  <c r="R24" i="1" s="1"/>
  <c r="S24" i="1" s="1"/>
  <c r="O24" i="1" s="1"/>
  <c r="M24" i="1" s="1"/>
  <c r="P24" i="1" s="1"/>
  <c r="J24" i="1" s="1"/>
  <c r="K24" i="1" s="1"/>
  <c r="AZ27" i="1"/>
  <c r="AX25" i="1"/>
  <c r="AZ23" i="1"/>
  <c r="T24" i="1"/>
  <c r="X24" i="1" s="1"/>
  <c r="AA24" i="1"/>
  <c r="Z24" i="1"/>
  <c r="Y20" i="1"/>
  <c r="O20" i="1"/>
  <c r="M20" i="1" s="1"/>
  <c r="P20" i="1" s="1"/>
  <c r="J20" i="1" s="1"/>
  <c r="K20" i="1" s="1"/>
  <c r="R27" i="1"/>
  <c r="S27" i="1" s="1"/>
  <c r="AA19" i="1"/>
  <c r="AB19" i="1" s="1"/>
  <c r="T19" i="1"/>
  <c r="X19" i="1" s="1"/>
  <c r="Y26" i="1"/>
  <c r="Y17" i="1"/>
  <c r="AZ17" i="1"/>
  <c r="Y22" i="1"/>
  <c r="AA25" i="1"/>
  <c r="AB25" i="1" s="1"/>
  <c r="T25" i="1"/>
  <c r="X25" i="1" s="1"/>
  <c r="T29" i="1"/>
  <c r="X29" i="1" s="1"/>
  <c r="Z29" i="1"/>
  <c r="AA29" i="1"/>
  <c r="R22" i="1"/>
  <c r="S22" i="1" s="1"/>
  <c r="O22" i="1" s="1"/>
  <c r="M22" i="1" s="1"/>
  <c r="P22" i="1" s="1"/>
  <c r="J22" i="1" s="1"/>
  <c r="K22" i="1" s="1"/>
  <c r="R17" i="1"/>
  <c r="S17" i="1" s="1"/>
  <c r="O17" i="1" s="1"/>
  <c r="M17" i="1" s="1"/>
  <c r="P17" i="1" s="1"/>
  <c r="J17" i="1" s="1"/>
  <c r="K17" i="1" s="1"/>
  <c r="T20" i="1"/>
  <c r="X20" i="1" s="1"/>
  <c r="AA20" i="1"/>
  <c r="O19" i="1"/>
  <c r="M19" i="1" s="1"/>
  <c r="P19" i="1" s="1"/>
  <c r="J19" i="1" s="1"/>
  <c r="K19" i="1" s="1"/>
  <c r="R18" i="1"/>
  <c r="S18" i="1" s="1"/>
  <c r="Y23" i="1"/>
  <c r="R23" i="1"/>
  <c r="S23" i="1" s="1"/>
  <c r="R28" i="1"/>
  <c r="S28" i="1" s="1"/>
  <c r="R26" i="1"/>
  <c r="S26" i="1" s="1"/>
  <c r="O26" i="1" s="1"/>
  <c r="M26" i="1" s="1"/>
  <c r="P26" i="1" s="1"/>
  <c r="J26" i="1" s="1"/>
  <c r="K26" i="1" s="1"/>
  <c r="Y28" i="1"/>
  <c r="AZ28" i="1"/>
  <c r="R21" i="1"/>
  <c r="S21" i="1" s="1"/>
  <c r="Y24" i="1"/>
  <c r="Y27" i="1"/>
  <c r="AZ18" i="1"/>
  <c r="Y29" i="1"/>
  <c r="AZ29" i="1" l="1"/>
  <c r="AA21" i="1"/>
  <c r="T21" i="1"/>
  <c r="X21" i="1" s="1"/>
  <c r="O21" i="1"/>
  <c r="M21" i="1" s="1"/>
  <c r="P21" i="1" s="1"/>
  <c r="J21" i="1" s="1"/>
  <c r="K21" i="1" s="1"/>
  <c r="Z21" i="1"/>
  <c r="Z23" i="1"/>
  <c r="T23" i="1"/>
  <c r="X23" i="1" s="1"/>
  <c r="AA23" i="1"/>
  <c r="AB23" i="1" s="1"/>
  <c r="AA27" i="1"/>
  <c r="Z27" i="1"/>
  <c r="T27" i="1"/>
  <c r="X27" i="1" s="1"/>
  <c r="O27" i="1"/>
  <c r="M27" i="1" s="1"/>
  <c r="P27" i="1" s="1"/>
  <c r="J27" i="1" s="1"/>
  <c r="K27" i="1" s="1"/>
  <c r="T18" i="1"/>
  <c r="X18" i="1" s="1"/>
  <c r="AA18" i="1"/>
  <c r="AB18" i="1" s="1"/>
  <c r="Z18" i="1"/>
  <c r="O18" i="1"/>
  <c r="M18" i="1" s="1"/>
  <c r="P18" i="1" s="1"/>
  <c r="J18" i="1" s="1"/>
  <c r="K18" i="1" s="1"/>
  <c r="T28" i="1"/>
  <c r="X28" i="1" s="1"/>
  <c r="Z28" i="1"/>
  <c r="AA28" i="1"/>
  <c r="AB20" i="1"/>
  <c r="AA26" i="1"/>
  <c r="T26" i="1"/>
  <c r="X26" i="1" s="1"/>
  <c r="Z26" i="1"/>
  <c r="AB24" i="1"/>
  <c r="O23" i="1"/>
  <c r="M23" i="1" s="1"/>
  <c r="P23" i="1" s="1"/>
  <c r="J23" i="1" s="1"/>
  <c r="K23" i="1" s="1"/>
  <c r="AA17" i="1"/>
  <c r="Z17" i="1"/>
  <c r="T17" i="1"/>
  <c r="X17" i="1" s="1"/>
  <c r="O28" i="1"/>
  <c r="M28" i="1" s="1"/>
  <c r="P28" i="1" s="1"/>
  <c r="J28" i="1" s="1"/>
  <c r="K28" i="1" s="1"/>
  <c r="AA22" i="1"/>
  <c r="Z22" i="1"/>
  <c r="T22" i="1"/>
  <c r="X22" i="1" s="1"/>
  <c r="AB29" i="1"/>
  <c r="AB28" i="1" l="1"/>
  <c r="AB17" i="1"/>
  <c r="AB27" i="1"/>
  <c r="AB26" i="1"/>
  <c r="AB22" i="1"/>
  <c r="AB21" i="1"/>
</calcChain>
</file>

<file path=xl/sharedStrings.xml><?xml version="1.0" encoding="utf-8"?>
<sst xmlns="http://schemas.openxmlformats.org/spreadsheetml/2006/main" count="774" uniqueCount="339">
  <si>
    <t>File opened</t>
  </si>
  <si>
    <t>2025-03-23 15:34:57</t>
  </si>
  <si>
    <t>Console s/n</t>
  </si>
  <si>
    <t>68C-831436</t>
  </si>
  <si>
    <t>Console ver</t>
  </si>
  <si>
    <t>Bluestem v.1.3.17</t>
  </si>
  <si>
    <t>Scripts ver</t>
  </si>
  <si>
    <t>2018.12  1.3.16, Nov 2018</t>
  </si>
  <si>
    <t>Head s/n</t>
  </si>
  <si>
    <t>68H-581436</t>
  </si>
  <si>
    <t>Head ver</t>
  </si>
  <si>
    <t>1.3.1</t>
  </si>
  <si>
    <t>Head cal</t>
  </si>
  <si>
    <t>{"h2obspanconc1": "13.95", "co2bzero": "1.00791", "co2bspanconc1": "400", "co2aspan2a": "0.0993914", "oxygen": "21", "h2oazero": "1.0731", "co2aspanconc1": "400", "co2bspanconc2": "296.4", "chamberpressurezero": "2.59485", "flowbzero": "0.39951", "co2aspan1": "0.99659", "h2obspan2b": "0.0689187", "co2bspan2b": "0.0995427", "h2obspan2a": "0.0737568", "co2aspan2b": "0.0987926", "co2aspan2": "-0.0262979", "h2obzero": "1.10269", "h2oaspanconc2": "0", "flowazero": "0.27505", "h2oaspanconc1": "13.95", "tbzero": "0.254639", "co2azero": "0.943354", "co2bspan2": "-0.0259511", "ssa_ref": "30146.4", "h2obspan2": "0", "h2oaspan1": "0.929763", "h2obspanconc2": "0", "h2oaspan2": "0", "h2oaspan2b": "0.0685043", "co2aspanconc2": "296.4", "tazero": "0.156275", "flowmeterzero": "0.995024", "co2bspan1": "0.999317", "ssb_ref": "23621", "h2obspan1": "0.934405", "h2oaspan2a": "0.0736793", "co2bspan2a": "0.0998698"}</t>
  </si>
  <si>
    <t>Chamber type</t>
  </si>
  <si>
    <t>6800-01A</t>
  </si>
  <si>
    <t>Chamber s/n</t>
  </si>
  <si>
    <t>MPF-651348</t>
  </si>
  <si>
    <t>Chamber rev</t>
  </si>
  <si>
    <t>0</t>
  </si>
  <si>
    <t>Chamber cal</t>
  </si>
  <si>
    <t>Fluorometer</t>
  </si>
  <si>
    <t>Flr. Version</t>
  </si>
  <si>
    <t>15:34:57</t>
  </si>
  <si>
    <t>Stability Definition:	ΔCO2 (Meas2): Slp&lt;1 Std&lt;0.1 Per=20	ΔH2O (Meas2): Slp&lt;1 Std&lt;0.1 Per=20	A (GasEx): Slp&lt;1 Std&lt;1 Per=20	gsw (GasEx): Slp&lt;0.1 Std&lt;0.1 Per=20</t>
  </si>
  <si>
    <t>SysConst</t>
  </si>
  <si>
    <t>AvgTime</t>
  </si>
  <si>
    <t>4</t>
  </si>
  <si>
    <t>Oxygen</t>
  </si>
  <si>
    <t>21</t>
  </si>
  <si>
    <t>Chamber</t>
  </si>
  <si>
    <t>6800-01A 6 cm²</t>
  </si>
  <si>
    <t>Const</t>
  </si>
  <si>
    <t>CustomBLC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</si>
  <si>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</si>
  <si>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</si>
  <si>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</si>
  <si>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</si>
  <si>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</si>
  <si>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</si>
  <si>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</si>
  <si>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</si>
  <si>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</si>
  <si>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</si>
  <si>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</si>
  <si>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</si>
  <si>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</si>
  <si>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</si>
  <si>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</si>
  <si>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</si>
  <si>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</si>
  <si>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</si>
  <si>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</si>
  <si>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</si>
  <si>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</si>
  <si>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</si>
  <si>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</si>
  <si>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</si>
  <si>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</si>
  <si>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</si>
  <si>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</si>
  <si>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</si>
  <si>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</si>
  <si>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</si>
  <si>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</si>
  <si>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</si>
  <si>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</si>
  <si>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</si>
  <si>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</si>
  <si>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</si>
  <si>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2.15243 98.5073 371.599 609.008 842.002 1044.95 1233.5 1408.56</t>
  </si>
  <si>
    <t>Fs_true</t>
  </si>
  <si>
    <t>0.133948 112.857 401.318 601.239 800.126 1000.75 1200.4 1400.87</t>
  </si>
  <si>
    <t>leak_wt</t>
  </si>
  <si>
    <t>Sys</t>
  </si>
  <si>
    <t>GasEx</t>
  </si>
  <si>
    <t>Leak</t>
  </si>
  <si>
    <t>FLR</t>
  </si>
  <si>
    <t>LeafQ</t>
  </si>
  <si>
    <t>Meas</t>
  </si>
  <si>
    <t>FlrLS</t>
  </si>
  <si>
    <t>FlrStats</t>
  </si>
  <si>
    <t>Match</t>
  </si>
  <si>
    <t>Stability</t>
  </si>
  <si>
    <t>Auxiliary</t>
  </si>
  <si>
    <t>Status</t>
  </si>
  <si>
    <t>obs</t>
  </si>
  <si>
    <t>time</t>
  </si>
  <si>
    <t>elapsed</t>
  </si>
  <si>
    <t>date</t>
  </si>
  <si>
    <t>hhmmss</t>
  </si>
  <si>
    <t>TIME</t>
  </si>
  <si>
    <t>E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</si>
  <si>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</si>
  <si>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</si>
  <si>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</si>
  <si>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</si>
  <si>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</si>
  <si>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</si>
  <si>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</si>
  <si>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</si>
  <si>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</si>
  <si>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</si>
  <si>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</si>
  <si>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</si>
  <si>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</si>
  <si>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</si>
  <si>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</si>
  <si>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</si>
  <si>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</si>
  <si>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</si>
  <si>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</si>
  <si>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</si>
  <si>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</si>
  <si>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blfa_1</t>
  </si>
  <si>
    <t>blfa_2</t>
  </si>
  <si>
    <t>blfa_3</t>
  </si>
  <si>
    <t>LeakPct</t>
  </si>
  <si>
    <t>CorrFact</t>
  </si>
  <si>
    <t>CorrFactPct</t>
  </si>
  <si>
    <t>Fan</t>
  </si>
  <si>
    <t>DarkAdaptedID</t>
  </si>
  <si>
    <t>Fo</t>
  </si>
  <si>
    <t>Fm</t>
  </si>
  <si>
    <t>Fv</t>
  </si>
  <si>
    <t>Fv/Fm</t>
  </si>
  <si>
    <t>Adark</t>
  </si>
  <si>
    <t>LightAdaptedID</t>
  </si>
  <si>
    <t>Fs</t>
  </si>
  <si>
    <t>Fm'</t>
  </si>
  <si>
    <t>PhiPS2</t>
  </si>
  <si>
    <t>PS2/1</t>
  </si>
  <si>
    <t>Qabs_fs</t>
  </si>
  <si>
    <t>Afs</t>
  </si>
  <si>
    <t>ETR</t>
  </si>
  <si>
    <t>Fv'/Fm'</t>
  </si>
  <si>
    <t>PhiCO2</t>
  </si>
  <si>
    <t>NPQ</t>
  </si>
  <si>
    <t>DarkPulseID</t>
  </si>
  <si>
    <t>Fo'</t>
  </si>
  <si>
    <t>Fv'</t>
  </si>
  <si>
    <t>qP</t>
  </si>
  <si>
    <t>qN</t>
  </si>
  <si>
    <t>qP_Fo</t>
  </si>
  <si>
    <t>qN_Fo</t>
  </si>
  <si>
    <t>Qin</t>
  </si>
  <si>
    <t>Qabs</t>
  </si>
  <si>
    <t>alpha</t>
  </si>
  <si>
    <t>convert</t>
  </si>
  <si>
    <t>S</t>
  </si>
  <si>
    <t>K</t>
  </si>
  <si>
    <t>Geometry</t>
  </si>
  <si>
    <t>CO2_s</t>
  </si>
  <si>
    <t>CO2_r</t>
  </si>
  <si>
    <t>H2O_s</t>
  </si>
  <si>
    <t>H2O_r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</si>
  <si>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</si>
  <si>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</si>
  <si>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</si>
  <si>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</si>
  <si>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</si>
  <si>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</si>
  <si>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</si>
  <si>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</si>
  <si>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</si>
  <si>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</si>
  <si>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</si>
  <si>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</si>
  <si>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</si>
  <si>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</si>
  <si>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</si>
  <si>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</si>
  <si>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</si>
  <si>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</si>
  <si>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</si>
  <si>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</si>
  <si>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</si>
  <si>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</si>
  <si>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</si>
  <si>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</si>
  <si>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</si>
  <si>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</si>
  <si>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</si>
  <si>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</si>
  <si>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F_avg</t>
  </si>
  <si>
    <t>dF/dt</t>
  </si>
  <si>
    <t>dF_dc/dt</t>
  </si>
  <si>
    <t>F_dc_avg</t>
  </si>
  <si>
    <t>period</t>
  </si>
  <si>
    <t>count</t>
  </si>
  <si>
    <t>co2_adj</t>
  </si>
  <si>
    <t>h2o_adj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</si>
  <si>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</si>
  <si>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</si>
  <si>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</si>
  <si>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</si>
  <si>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</si>
  <si>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</si>
  <si>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</si>
  <si>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</si>
  <si>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ΔCO2:MN</t>
  </si>
  <si>
    <t>ΔCO2:SLP</t>
  </si>
  <si>
    <t>ΔCO2:SD</t>
  </si>
  <si>
    <t>ΔCO2:OK</t>
  </si>
  <si>
    <t>ΔH2O:MN</t>
  </si>
  <si>
    <t>ΔH2O:SLP</t>
  </si>
  <si>
    <t>ΔH2O:SD</t>
  </si>
  <si>
    <t>ΔH2O:OK</t>
  </si>
  <si>
    <t>gsw:MN</t>
  </si>
  <si>
    <t>gsw:SLP</t>
  </si>
  <si>
    <t>gsw:SD</t>
  </si>
  <si>
    <t>gsw:OK</t>
  </si>
  <si>
    <t>Stable</t>
  </si>
  <si>
    <t>Total</t>
  </si>
  <si>
    <t>State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</si>
  <si>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</si>
  <si>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</si>
  <si>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</si>
  <si>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</si>
  <si>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</si>
  <si>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</si>
  <si>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</si>
  <si>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</si>
  <si>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</si>
  <si>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</si>
  <si>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</si>
  <si>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</si>
  <si>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</si>
  <si>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</si>
  <si>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</si>
  <si>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</si>
  <si>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</si>
  <si>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</si>
  <si>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</si>
  <si>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</si>
  <si>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</si>
  <si>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</si>
  <si>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</si>
  <si>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</si>
  <si>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</si>
  <si>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</si>
  <si>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</si>
  <si>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</si>
  <si>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</si>
  <si>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</si>
  <si>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</si>
  <si>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</si>
  <si>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</si>
  <si>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</si>
  <si>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</si>
  <si>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</si>
  <si>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</si>
  <si>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</si>
  <si>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</si>
  <si>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</si>
  <si>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</si>
  <si>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</si>
  <si>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</si>
  <si>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</si>
  <si>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</si>
  <si>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</si>
  <si>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</si>
  <si>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</si>
  <si>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</si>
  <si>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J/µmol</t>
  </si>
  <si>
    <t>cm²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</si>
  <si>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</si>
  <si>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</si>
  <si>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</si>
  <si>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</si>
  <si>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</si>
  <si>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</si>
  <si>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</si>
  <si>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µmol mol⁻¹ min⁻¹</t>
  </si>
  <si>
    <t>mmol mol⁻¹ min⁻¹</t>
  </si>
  <si>
    <t>mol m⁻² s⁻¹ min⁻¹</t>
  </si>
  <si>
    <t>V</t>
  </si>
  <si>
    <t>20180220 08:17:28</t>
  </si>
  <si>
    <t>08:17:28</t>
  </si>
  <si>
    <t>MPF-1219-20180117-06_34_57</t>
  </si>
  <si>
    <t>MPF-1271-20180117-11_06_17</t>
  </si>
  <si>
    <t>-</t>
  </si>
  <si>
    <t>0: Broadleaf</t>
  </si>
  <si>
    <t>08:16:31</t>
  </si>
  <si>
    <t>4/4</t>
  </si>
  <si>
    <t>5</t>
  </si>
  <si>
    <t>11111111</t>
  </si>
  <si>
    <t>oooooooo</t>
  </si>
  <si>
    <t>off</t>
  </si>
  <si>
    <t>20180220 08:19:33</t>
  </si>
  <si>
    <t>08:19:33</t>
  </si>
  <si>
    <t>MPF-1272-20180117-11_08_22</t>
  </si>
  <si>
    <t>08:18:44</t>
  </si>
  <si>
    <t>20180220 08:21:40</t>
  </si>
  <si>
    <t>08:21:40</t>
  </si>
  <si>
    <t>MPF-1273-20180117-11_10_29</t>
  </si>
  <si>
    <t>08:20:57</t>
  </si>
  <si>
    <t>20180220 08:23:40</t>
  </si>
  <si>
    <t>08:23:40</t>
  </si>
  <si>
    <t>MPF-1274-20180117-11_12_29</t>
  </si>
  <si>
    <t>08:22:45</t>
  </si>
  <si>
    <t>20180220 08:25:41</t>
  </si>
  <si>
    <t>08:25:41</t>
  </si>
  <si>
    <t>MPF-1275-20180117-11_14_30</t>
  </si>
  <si>
    <t>08:24:47</t>
  </si>
  <si>
    <t>20180220 08:27:41</t>
  </si>
  <si>
    <t>08:27:41</t>
  </si>
  <si>
    <t>MPF-1276-20180117-11_16_30</t>
  </si>
  <si>
    <t>08:26:50</t>
  </si>
  <si>
    <t>20180220 08:38:16</t>
  </si>
  <si>
    <t>08:38:16</t>
  </si>
  <si>
    <t>MPF-1281-20180117-11_27_05</t>
  </si>
  <si>
    <t>08:37:15</t>
  </si>
  <si>
    <t>2/4</t>
  </si>
  <si>
    <t>20180220 08:40:20</t>
  </si>
  <si>
    <t>08:40:20</t>
  </si>
  <si>
    <t>MPF-1282-20180117-11_29_09</t>
  </si>
  <si>
    <t>08:39:19</t>
  </si>
  <si>
    <t>20180220 08:42:34</t>
  </si>
  <si>
    <t>08:42:34</t>
  </si>
  <si>
    <t>MPF-1283-20180117-11_31_23</t>
  </si>
  <si>
    <t>08:41:32</t>
  </si>
  <si>
    <t>20180220 08:44:35</t>
  </si>
  <si>
    <t>08:44:35</t>
  </si>
  <si>
    <t>MPF-1284-20180117-11_33_24</t>
  </si>
  <si>
    <t>08:45:11</t>
  </si>
  <si>
    <t>20180220 08:47:42</t>
  </si>
  <si>
    <t>08:47:42</t>
  </si>
  <si>
    <t>MPF-1285-20180117-11_36_31</t>
  </si>
  <si>
    <t>08:47:07</t>
  </si>
  <si>
    <t>3/4</t>
  </si>
  <si>
    <t>20180220 08:50:13</t>
  </si>
  <si>
    <t>08:50:13</t>
  </si>
  <si>
    <t>MPF-1286-20180117-11_39_02</t>
  </si>
  <si>
    <t>08:50:49</t>
  </si>
  <si>
    <t>20180220 08:53:20</t>
  </si>
  <si>
    <t>08:53:20</t>
  </si>
  <si>
    <t>MPF-1287-20180117-11_42_09</t>
  </si>
  <si>
    <t>08:52:03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</si>
</sst>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P29"/>
  <sheetViews>
    <sheetView tabSelected="1" topLeftCell="FB13" workbookViewId="0">
      <selection activeCell="FM30" sqref="FM30"/>
    </sheetView>
  </sheetViews>
  <sheetFormatPr defaultRowHeight="14.4" x14ac:dyDescent="0.25"/>
  <sheetData>
    <row r="2" spans="1:172" x14ac:dyDescent="0.25">
      <c r="A2" t="s">
        <v>25</v>
      </c>
      <c r="B2" t="s">
        <v>26</v>
      </c>
      <c r="C2" t="s">
        <v>28</v>
      </c>
      <c r="D2" t="s">
        <v>30</v>
      </c>
    </row>
    <row r="3" spans="1:172" x14ac:dyDescent="0.25">
      <c r="B3" t="s">
        <v>27</v>
      </c>
      <c r="C3" t="s">
        <v>29</v>
      </c>
      <c r="D3" t="s">
        <v>31</v>
      </c>
    </row>
    <row r="4" spans="1:172" x14ac:dyDescent="0.25">
      <c r="A4" t="s">
        <v>32</v>
      </c>
      <c r="B4" t="s">
        <v>33</v>
      </c>
    </row>
    <row r="5" spans="1:172" x14ac:dyDescent="0.25">
      <c r="B5">
        <v>2</v>
      </c>
    </row>
    <row r="6" spans="1:172" x14ac:dyDescent="0.25">
      <c r="A6" t="s">
        <v>34</v>
      </c>
      <c r="B6" t="s">
        <v>35</v>
      </c>
      <c r="C6" t="s">
        <v>36</v>
      </c>
      <c r="D6" t="s">
        <v>37</v>
      </c>
      <c r="E6" t="s">
        <v>38</v>
      </c>
    </row>
    <row r="7" spans="1:172" x14ac:dyDescent="0.25">
      <c r="B7">
        <v>0</v>
      </c>
      <c r="C7">
        <v>0</v>
      </c>
      <c r="D7">
        <v>0</v>
      </c>
      <c r="E7">
        <v>1</v>
      </c>
    </row>
    <row r="8" spans="1:172" x14ac:dyDescent="0.25">
      <c r="A8" t="s">
        <v>39</v>
      </c>
      <c r="B8" t="s">
        <v>40</v>
      </c>
      <c r="C8" t="s">
        <v>42</v>
      </c>
      <c r="D8" t="s">
        <v>44</v>
      </c>
      <c r="E8" t="s">
        <v>45</v>
      </c>
      <c r="F8" t="s">
        <v>46</v>
      </c>
      <c r="G8" t="s">
        <v>47</v>
      </c>
      <c r="H8" t="s">
        <v>48</v>
      </c>
      <c r="I8" t="s">
        <v>49</v>
      </c>
      <c r="J8" t="s">
        <v>50</v>
      </c>
      <c r="K8" t="s">
        <v>51</v>
      </c>
      <c r="L8" t="s">
        <v>52</v>
      </c>
      <c r="M8" t="s">
        <v>53</v>
      </c>
      <c r="N8" t="s">
        <v>54</v>
      </c>
      <c r="O8" t="s">
        <v>55</v>
      </c>
      <c r="P8" t="s">
        <v>56</v>
      </c>
      <c r="Q8" t="s">
        <v>57</v>
      </c>
    </row>
    <row r="9" spans="1:172" x14ac:dyDescent="0.25">
      <c r="B9" t="s">
        <v>41</v>
      </c>
      <c r="C9" t="s">
        <v>43</v>
      </c>
      <c r="D9">
        <v>0.49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0.39</v>
      </c>
      <c r="L9">
        <v>0.18</v>
      </c>
      <c r="M9">
        <v>0.23</v>
      </c>
      <c r="N9">
        <v>0.26</v>
      </c>
      <c r="O9">
        <v>0.21</v>
      </c>
      <c r="P9">
        <v>0.19</v>
      </c>
      <c r="Q9">
        <v>0.25</v>
      </c>
    </row>
    <row r="10" spans="1:172" x14ac:dyDescent="0.25">
      <c r="A10" t="s">
        <v>58</v>
      </c>
      <c r="B10" t="s">
        <v>59</v>
      </c>
      <c r="C10" t="s">
        <v>60</v>
      </c>
      <c r="D10" t="s">
        <v>61</v>
      </c>
      <c r="E10" t="s">
        <v>62</v>
      </c>
      <c r="F10" t="s">
        <v>63</v>
      </c>
    </row>
    <row r="11" spans="1:172" x14ac:dyDescent="0.25">
      <c r="B11">
        <v>0</v>
      </c>
      <c r="C11">
        <v>0</v>
      </c>
      <c r="D11">
        <v>0</v>
      </c>
      <c r="E11">
        <v>0</v>
      </c>
      <c r="F11">
        <v>1</v>
      </c>
    </row>
    <row r="12" spans="1:172" x14ac:dyDescent="0.25">
      <c r="A12" t="s">
        <v>64</v>
      </c>
      <c r="B12" t="s">
        <v>65</v>
      </c>
      <c r="C12" t="s">
        <v>66</v>
      </c>
      <c r="D12" t="s">
        <v>67</v>
      </c>
      <c r="E12" t="s">
        <v>68</v>
      </c>
      <c r="F12" t="s">
        <v>69</v>
      </c>
      <c r="G12" t="s">
        <v>71</v>
      </c>
      <c r="H12" t="s">
        <v>73</v>
      </c>
    </row>
    <row r="13" spans="1:172" x14ac:dyDescent="0.25">
      <c r="B13">
        <v>-6276</v>
      </c>
      <c r="C13">
        <v>6.6</v>
      </c>
      <c r="D13">
        <v>1.7090000000000001E-5</v>
      </c>
      <c r="E13">
        <v>3.11</v>
      </c>
      <c r="F13" t="s">
        <v>70</v>
      </c>
      <c r="G13" t="s">
        <v>72</v>
      </c>
      <c r="H13">
        <v>0</v>
      </c>
    </row>
    <row r="14" spans="1:172" x14ac:dyDescent="0.25">
      <c r="A14" t="s">
        <v>74</v>
      </c>
      <c r="B14" t="s">
        <v>74</v>
      </c>
      <c r="C14" t="s">
        <v>74</v>
      </c>
      <c r="D14" t="s">
        <v>74</v>
      </c>
      <c r="E14" t="s">
        <v>74</v>
      </c>
      <c r="F14" t="s">
        <v>75</v>
      </c>
      <c r="G14" t="s">
        <v>75</v>
      </c>
      <c r="H14" t="s">
        <v>75</v>
      </c>
      <c r="I14" t="s">
        <v>75</v>
      </c>
      <c r="J14" t="s">
        <v>75</v>
      </c>
      <c r="K14" t="s">
        <v>75</v>
      </c>
      <c r="L14" t="s">
        <v>75</v>
      </c>
      <c r="M14" t="s">
        <v>75</v>
      </c>
      <c r="N14" t="s">
        <v>75</v>
      </c>
      <c r="O14" t="s">
        <v>75</v>
      </c>
      <c r="P14" t="s">
        <v>75</v>
      </c>
      <c r="Q14" t="s">
        <v>75</v>
      </c>
      <c r="R14" t="s">
        <v>75</v>
      </c>
      <c r="S14" t="s">
        <v>75</v>
      </c>
      <c r="T14" t="s">
        <v>75</v>
      </c>
      <c r="U14" t="s">
        <v>75</v>
      </c>
      <c r="V14" t="s">
        <v>75</v>
      </c>
      <c r="W14" t="s">
        <v>75</v>
      </c>
      <c r="X14" t="s">
        <v>75</v>
      </c>
      <c r="Y14" t="s">
        <v>75</v>
      </c>
      <c r="Z14" t="s">
        <v>75</v>
      </c>
      <c r="AA14" t="s">
        <v>75</v>
      </c>
      <c r="AB14" t="s">
        <v>75</v>
      </c>
      <c r="AC14" t="s">
        <v>75</v>
      </c>
      <c r="AD14" t="s">
        <v>75</v>
      </c>
      <c r="AE14" t="s">
        <v>75</v>
      </c>
      <c r="AF14" t="s">
        <v>76</v>
      </c>
      <c r="AG14" t="s">
        <v>76</v>
      </c>
      <c r="AH14" t="s">
        <v>76</v>
      </c>
      <c r="AI14" t="s">
        <v>76</v>
      </c>
      <c r="AJ14" t="s">
        <v>76</v>
      </c>
      <c r="AK14" t="s">
        <v>77</v>
      </c>
      <c r="AL14" t="s">
        <v>77</v>
      </c>
      <c r="AM14" t="s">
        <v>77</v>
      </c>
      <c r="AN14" t="s">
        <v>77</v>
      </c>
      <c r="AO14" t="s">
        <v>77</v>
      </c>
      <c r="AP14" t="s">
        <v>77</v>
      </c>
      <c r="AQ14" t="s">
        <v>77</v>
      </c>
      <c r="AR14" t="s">
        <v>77</v>
      </c>
      <c r="AS14" t="s">
        <v>77</v>
      </c>
      <c r="AT14" t="s">
        <v>77</v>
      </c>
      <c r="AU14" t="s">
        <v>77</v>
      </c>
      <c r="AV14" t="s">
        <v>77</v>
      </c>
      <c r="AW14" t="s">
        <v>77</v>
      </c>
      <c r="AX14" t="s">
        <v>77</v>
      </c>
      <c r="AY14" t="s">
        <v>77</v>
      </c>
      <c r="AZ14" t="s">
        <v>77</v>
      </c>
      <c r="BA14" t="s">
        <v>77</v>
      </c>
      <c r="BB14" t="s">
        <v>77</v>
      </c>
      <c r="BC14" t="s">
        <v>77</v>
      </c>
      <c r="BD14" t="s">
        <v>77</v>
      </c>
      <c r="BE14" t="s">
        <v>77</v>
      </c>
      <c r="BF14" t="s">
        <v>77</v>
      </c>
      <c r="BG14" t="s">
        <v>77</v>
      </c>
      <c r="BH14" t="s">
        <v>77</v>
      </c>
      <c r="BI14" t="s">
        <v>78</v>
      </c>
      <c r="BJ14" t="s">
        <v>78</v>
      </c>
      <c r="BK14" t="s">
        <v>78</v>
      </c>
      <c r="BL14" t="s">
        <v>78</v>
      </c>
      <c r="BM14" t="s">
        <v>32</v>
      </c>
      <c r="BN14" t="s">
        <v>32</v>
      </c>
      <c r="BO14" t="s">
        <v>32</v>
      </c>
      <c r="BP14" t="s">
        <v>79</v>
      </c>
      <c r="BQ14" t="s">
        <v>79</v>
      </c>
      <c r="BR14" t="s">
        <v>79</v>
      </c>
      <c r="BS14" t="s">
        <v>79</v>
      </c>
      <c r="BT14" t="s">
        <v>79</v>
      </c>
      <c r="BU14" t="s">
        <v>79</v>
      </c>
      <c r="BV14" t="s">
        <v>79</v>
      </c>
      <c r="BW14" t="s">
        <v>79</v>
      </c>
      <c r="BX14" t="s">
        <v>79</v>
      </c>
      <c r="BY14" t="s">
        <v>79</v>
      </c>
      <c r="BZ14" t="s">
        <v>79</v>
      </c>
      <c r="CA14" t="s">
        <v>79</v>
      </c>
      <c r="CB14" t="s">
        <v>79</v>
      </c>
      <c r="CC14" t="s">
        <v>79</v>
      </c>
      <c r="CD14" t="s">
        <v>79</v>
      </c>
      <c r="CE14" t="s">
        <v>79</v>
      </c>
      <c r="CF14" t="s">
        <v>80</v>
      </c>
      <c r="CG14" t="s">
        <v>80</v>
      </c>
      <c r="CH14" t="s">
        <v>80</v>
      </c>
      <c r="CI14" t="s">
        <v>80</v>
      </c>
      <c r="CJ14" t="s">
        <v>80</v>
      </c>
      <c r="CK14" t="s">
        <v>80</v>
      </c>
      <c r="CL14" t="s">
        <v>80</v>
      </c>
      <c r="CM14" t="s">
        <v>80</v>
      </c>
      <c r="CN14" t="s">
        <v>80</v>
      </c>
      <c r="CO14" t="s">
        <v>80</v>
      </c>
      <c r="CP14" t="s">
        <v>80</v>
      </c>
      <c r="CQ14" t="s">
        <v>80</v>
      </c>
      <c r="CR14" t="s">
        <v>80</v>
      </c>
      <c r="CS14" t="s">
        <v>80</v>
      </c>
      <c r="CT14" t="s">
        <v>80</v>
      </c>
      <c r="CU14" t="s">
        <v>80</v>
      </c>
      <c r="CV14" t="s">
        <v>80</v>
      </c>
      <c r="CW14" t="s">
        <v>81</v>
      </c>
      <c r="CX14" t="s">
        <v>81</v>
      </c>
      <c r="CY14" t="s">
        <v>81</v>
      </c>
      <c r="CZ14" t="s">
        <v>81</v>
      </c>
      <c r="DA14" t="s">
        <v>81</v>
      </c>
      <c r="DB14" t="s">
        <v>82</v>
      </c>
      <c r="DC14" t="s">
        <v>82</v>
      </c>
      <c r="DD14" t="s">
        <v>82</v>
      </c>
      <c r="DE14" t="s">
        <v>82</v>
      </c>
      <c r="DF14" t="s">
        <v>82</v>
      </c>
      <c r="DG14" t="s">
        <v>82</v>
      </c>
      <c r="DH14" t="s">
        <v>82</v>
      </c>
      <c r="DI14" t="s">
        <v>82</v>
      </c>
      <c r="DJ14" t="s">
        <v>82</v>
      </c>
      <c r="DK14" t="s">
        <v>83</v>
      </c>
      <c r="DL14" t="s">
        <v>83</v>
      </c>
      <c r="DM14" t="s">
        <v>83</v>
      </c>
      <c r="DN14" t="s">
        <v>83</v>
      </c>
      <c r="DO14" t="s">
        <v>83</v>
      </c>
      <c r="DP14" t="s">
        <v>83</v>
      </c>
      <c r="DQ14" t="s">
        <v>83</v>
      </c>
      <c r="DR14" t="s">
        <v>83</v>
      </c>
      <c r="DS14" t="s">
        <v>83</v>
      </c>
      <c r="DT14" t="s">
        <v>83</v>
      </c>
      <c r="DU14" t="s">
        <v>83</v>
      </c>
      <c r="DV14" t="s">
        <v>83</v>
      </c>
      <c r="DW14" t="s">
        <v>83</v>
      </c>
      <c r="DX14" t="s">
        <v>83</v>
      </c>
      <c r="DY14" t="s">
        <v>83</v>
      </c>
      <c r="DZ14" t="s">
        <v>83</v>
      </c>
      <c r="EA14" t="s">
        <v>83</v>
      </c>
      <c r="EB14" t="s">
        <v>83</v>
      </c>
      <c r="EC14" t="s">
        <v>83</v>
      </c>
      <c r="ED14" t="s">
        <v>84</v>
      </c>
      <c r="EE14" t="s">
        <v>84</v>
      </c>
      <c r="EF14" t="s">
        <v>84</v>
      </c>
      <c r="EG14" t="s">
        <v>84</v>
      </c>
      <c r="EH14" t="s">
        <v>84</v>
      </c>
      <c r="EI14" t="s">
        <v>84</v>
      </c>
      <c r="EJ14" t="s">
        <v>84</v>
      </c>
      <c r="EK14" t="s">
        <v>84</v>
      </c>
      <c r="EL14" t="s">
        <v>84</v>
      </c>
      <c r="EM14" t="s">
        <v>84</v>
      </c>
      <c r="EN14" t="s">
        <v>84</v>
      </c>
      <c r="EO14" t="s">
        <v>84</v>
      </c>
      <c r="EP14" t="s">
        <v>84</v>
      </c>
      <c r="EQ14" t="s">
        <v>84</v>
      </c>
      <c r="ER14" t="s">
        <v>84</v>
      </c>
      <c r="ES14" t="s">
        <v>84</v>
      </c>
      <c r="ET14" t="s">
        <v>84</v>
      </c>
      <c r="EU14" t="s">
        <v>84</v>
      </c>
      <c r="EV14" t="s">
        <v>84</v>
      </c>
      <c r="EW14" t="s">
        <v>85</v>
      </c>
      <c r="EX14" t="s">
        <v>85</v>
      </c>
      <c r="EY14" t="s">
        <v>85</v>
      </c>
      <c r="EZ14" t="s">
        <v>85</v>
      </c>
      <c r="FA14" t="s">
        <v>85</v>
      </c>
      <c r="FB14" t="s">
        <v>85</v>
      </c>
      <c r="FC14" t="s">
        <v>85</v>
      </c>
      <c r="FD14" t="s">
        <v>85</v>
      </c>
      <c r="FE14" t="s">
        <v>85</v>
      </c>
      <c r="FF14" t="s">
        <v>85</v>
      </c>
      <c r="FG14" t="s">
        <v>85</v>
      </c>
      <c r="FH14" t="s">
        <v>85</v>
      </c>
      <c r="FI14" t="s">
        <v>85</v>
      </c>
      <c r="FJ14" t="s">
        <v>85</v>
      </c>
      <c r="FK14" t="s">
        <v>85</v>
      </c>
      <c r="FL14" t="s">
        <v>85</v>
      </c>
      <c r="FM14" t="s">
        <v>85</v>
      </c>
      <c r="FN14" t="s">
        <v>85</v>
      </c>
      <c r="FO14" t="s">
        <v>85</v>
      </c>
      <c r="FP14" t="s">
        <v>85</v>
      </c>
    </row>
    <row r="15" spans="1:172" x14ac:dyDescent="0.25">
      <c r="A15" t="s">
        <v>86</v>
      </c>
      <c r="B15" t="s">
        <v>87</v>
      </c>
      <c r="C15" t="s">
        <v>88</v>
      </c>
      <c r="D15" t="s">
        <v>89</v>
      </c>
      <c r="E15" t="s">
        <v>90</v>
      </c>
      <c r="F15" t="s">
        <v>91</v>
      </c>
      <c r="G15" t="s">
        <v>92</v>
      </c>
      <c r="H15" t="s">
        <v>93</v>
      </c>
      <c r="I15" t="s">
        <v>94</v>
      </c>
      <c r="J15" t="s">
        <v>95</v>
      </c>
      <c r="K15" t="s">
        <v>96</v>
      </c>
      <c r="L15" t="s">
        <v>97</v>
      </c>
      <c r="M15" t="s">
        <v>98</v>
      </c>
      <c r="N15" t="s">
        <v>99</v>
      </c>
      <c r="O15" t="s">
        <v>100</v>
      </c>
      <c r="P15" t="s">
        <v>101</v>
      </c>
      <c r="Q15" t="s">
        <v>102</v>
      </c>
      <c r="R15" t="s">
        <v>103</v>
      </c>
      <c r="S15" t="s">
        <v>104</v>
      </c>
      <c r="T15" t="s">
        <v>105</v>
      </c>
      <c r="U15" t="s">
        <v>106</v>
      </c>
      <c r="V15" t="s">
        <v>107</v>
      </c>
      <c r="W15" t="s">
        <v>108</v>
      </c>
      <c r="X15" t="s">
        <v>109</v>
      </c>
      <c r="Y15" t="s">
        <v>110</v>
      </c>
      <c r="Z15" t="s">
        <v>111</v>
      </c>
      <c r="AA15" t="s">
        <v>112</v>
      </c>
      <c r="AB15" t="s">
        <v>113</v>
      </c>
      <c r="AC15" t="s">
        <v>114</v>
      </c>
      <c r="AD15" t="s">
        <v>115</v>
      </c>
      <c r="AE15" t="s">
        <v>116</v>
      </c>
      <c r="AF15" t="s">
        <v>76</v>
      </c>
      <c r="AG15" t="s">
        <v>117</v>
      </c>
      <c r="AH15" t="s">
        <v>118</v>
      </c>
      <c r="AI15" t="s">
        <v>119</v>
      </c>
      <c r="AJ15" t="s">
        <v>120</v>
      </c>
      <c r="AK15" t="s">
        <v>121</v>
      </c>
      <c r="AL15" t="s">
        <v>122</v>
      </c>
      <c r="AM15" t="s">
        <v>123</v>
      </c>
      <c r="AN15" t="s">
        <v>124</v>
      </c>
      <c r="AO15" t="s">
        <v>125</v>
      </c>
      <c r="AP15" t="s">
        <v>126</v>
      </c>
      <c r="AQ15" t="s">
        <v>127</v>
      </c>
      <c r="AR15" t="s">
        <v>128</v>
      </c>
      <c r="AS15" t="s">
        <v>129</v>
      </c>
      <c r="AT15" t="s">
        <v>130</v>
      </c>
      <c r="AU15" t="s">
        <v>131</v>
      </c>
      <c r="AV15" t="s">
        <v>132</v>
      </c>
      <c r="AW15" t="s">
        <v>133</v>
      </c>
      <c r="AX15" t="s">
        <v>134</v>
      </c>
      <c r="AY15" t="s">
        <v>135</v>
      </c>
      <c r="AZ15" t="s">
        <v>136</v>
      </c>
      <c r="BA15" t="s">
        <v>137</v>
      </c>
      <c r="BB15" t="s">
        <v>138</v>
      </c>
      <c r="BC15" t="s">
        <v>139</v>
      </c>
      <c r="BD15" t="s">
        <v>140</v>
      </c>
      <c r="BE15" t="s">
        <v>141</v>
      </c>
      <c r="BF15" t="s">
        <v>142</v>
      </c>
      <c r="BG15" t="s">
        <v>143</v>
      </c>
      <c r="BH15" t="s">
        <v>144</v>
      </c>
      <c r="BI15" t="s">
        <v>145</v>
      </c>
      <c r="BJ15" t="s">
        <v>146</v>
      </c>
      <c r="BK15" t="s">
        <v>147</v>
      </c>
      <c r="BL15" t="s">
        <v>148</v>
      </c>
      <c r="BM15" t="s">
        <v>149</v>
      </c>
      <c r="BN15" t="s">
        <v>150</v>
      </c>
      <c r="BO15" t="s">
        <v>151</v>
      </c>
      <c r="BP15" t="s">
        <v>91</v>
      </c>
      <c r="BQ15" t="s">
        <v>152</v>
      </c>
      <c r="BR15" t="s">
        <v>153</v>
      </c>
      <c r="BS15" t="s">
        <v>154</v>
      </c>
      <c r="BT15" t="s">
        <v>155</v>
      </c>
      <c r="BU15" t="s">
        <v>156</v>
      </c>
      <c r="BV15" t="s">
        <v>157</v>
      </c>
      <c r="BW15" t="s">
        <v>158</v>
      </c>
      <c r="BX15" t="s">
        <v>159</v>
      </c>
      <c r="BY15" t="s">
        <v>160</v>
      </c>
      <c r="BZ15" t="s">
        <v>161</v>
      </c>
      <c r="CA15" t="s">
        <v>162</v>
      </c>
      <c r="CB15" t="s">
        <v>163</v>
      </c>
      <c r="CC15" t="s">
        <v>164</v>
      </c>
      <c r="CD15" t="s">
        <v>165</v>
      </c>
      <c r="CE15" t="s">
        <v>166</v>
      </c>
      <c r="CF15" t="s">
        <v>167</v>
      </c>
      <c r="CG15" t="s">
        <v>168</v>
      </c>
      <c r="CH15" t="s">
        <v>169</v>
      </c>
      <c r="CI15" t="s">
        <v>170</v>
      </c>
      <c r="CJ15" t="s">
        <v>171</v>
      </c>
      <c r="CK15" t="s">
        <v>172</v>
      </c>
      <c r="CL15" t="s">
        <v>173</v>
      </c>
      <c r="CM15" t="s">
        <v>174</v>
      </c>
      <c r="CN15" t="s">
        <v>175</v>
      </c>
      <c r="CO15" t="s">
        <v>176</v>
      </c>
      <c r="CP15" t="s">
        <v>177</v>
      </c>
      <c r="CQ15" t="s">
        <v>178</v>
      </c>
      <c r="CR15" t="s">
        <v>179</v>
      </c>
      <c r="CS15" t="s">
        <v>180</v>
      </c>
      <c r="CT15" t="s">
        <v>181</v>
      </c>
      <c r="CU15" t="s">
        <v>182</v>
      </c>
      <c r="CV15" t="s">
        <v>183</v>
      </c>
      <c r="CW15" t="s">
        <v>184</v>
      </c>
      <c r="CX15" t="s">
        <v>185</v>
      </c>
      <c r="CY15" t="s">
        <v>186</v>
      </c>
      <c r="CZ15" t="s">
        <v>187</v>
      </c>
      <c r="DA15" t="s">
        <v>188</v>
      </c>
      <c r="DB15" t="s">
        <v>87</v>
      </c>
      <c r="DC15" t="s">
        <v>90</v>
      </c>
      <c r="DD15" t="s">
        <v>189</v>
      </c>
      <c r="DE15" t="s">
        <v>190</v>
      </c>
      <c r="DF15" t="s">
        <v>191</v>
      </c>
      <c r="DG15" t="s">
        <v>192</v>
      </c>
      <c r="DH15" t="s">
        <v>193</v>
      </c>
      <c r="DI15" t="s">
        <v>194</v>
      </c>
      <c r="DJ15" t="s">
        <v>195</v>
      </c>
      <c r="DK15" t="s">
        <v>196</v>
      </c>
      <c r="DL15" t="s">
        <v>197</v>
      </c>
      <c r="DM15" t="s">
        <v>198</v>
      </c>
      <c r="DN15" t="s">
        <v>199</v>
      </c>
      <c r="DO15" t="s">
        <v>200</v>
      </c>
      <c r="DP15" t="s">
        <v>201</v>
      </c>
      <c r="DQ15" t="s">
        <v>202</v>
      </c>
      <c r="DR15" t="s">
        <v>203</v>
      </c>
      <c r="DS15" t="s">
        <v>204</v>
      </c>
      <c r="DT15" t="s">
        <v>205</v>
      </c>
      <c r="DU15" t="s">
        <v>206</v>
      </c>
      <c r="DV15" t="s">
        <v>207</v>
      </c>
      <c r="DW15" t="s">
        <v>208</v>
      </c>
      <c r="DX15" t="s">
        <v>209</v>
      </c>
      <c r="DY15" t="s">
        <v>210</v>
      </c>
      <c r="DZ15" t="s">
        <v>211</v>
      </c>
      <c r="EA15" t="s">
        <v>212</v>
      </c>
      <c r="EB15" t="s">
        <v>213</v>
      </c>
      <c r="EC15" t="s">
        <v>214</v>
      </c>
      <c r="ED15" t="s">
        <v>215</v>
      </c>
      <c r="EE15" t="s">
        <v>216</v>
      </c>
      <c r="EF15" t="s">
        <v>217</v>
      </c>
      <c r="EG15" t="s">
        <v>218</v>
      </c>
      <c r="EH15" t="s">
        <v>219</v>
      </c>
      <c r="EI15" t="s">
        <v>220</v>
      </c>
      <c r="EJ15" t="s">
        <v>221</v>
      </c>
      <c r="EK15" t="s">
        <v>222</v>
      </c>
      <c r="EL15" t="s">
        <v>223</v>
      </c>
      <c r="EM15" t="s">
        <v>224</v>
      </c>
      <c r="EN15" t="s">
        <v>225</v>
      </c>
      <c r="EO15" t="s">
        <v>226</v>
      </c>
      <c r="EP15" t="s">
        <v>227</v>
      </c>
      <c r="EQ15" t="s">
        <v>228</v>
      </c>
      <c r="ER15" t="s">
        <v>229</v>
      </c>
      <c r="ES15" t="s">
        <v>230</v>
      </c>
      <c r="ET15" t="s">
        <v>231</v>
      </c>
      <c r="EU15" t="s">
        <v>232</v>
      </c>
      <c r="EV15" t="s">
        <v>233</v>
      </c>
      <c r="EW15" t="s">
        <v>234</v>
      </c>
      <c r="EX15" t="s">
        <v>235</v>
      </c>
      <c r="EY15" t="s">
        <v>236</v>
      </c>
      <c r="EZ15" t="s">
        <v>237</v>
      </c>
      <c r="FA15" t="s">
        <v>238</v>
      </c>
      <c r="FB15" t="s">
        <v>239</v>
      </c>
      <c r="FC15" t="s">
        <v>240</v>
      </c>
      <c r="FD15" t="s">
        <v>241</v>
      </c>
      <c r="FE15" t="s">
        <v>242</v>
      </c>
      <c r="FF15" t="s">
        <v>243</v>
      </c>
      <c r="FG15" t="s">
        <v>244</v>
      </c>
      <c r="FH15" t="s">
        <v>245</v>
      </c>
      <c r="FI15" t="s">
        <v>246</v>
      </c>
      <c r="FJ15" t="s">
        <v>247</v>
      </c>
      <c r="FK15" t="s">
        <v>248</v>
      </c>
      <c r="FL15" t="s">
        <v>249</v>
      </c>
      <c r="FM15" t="s">
        <v>250</v>
      </c>
      <c r="FN15" t="s">
        <v>251</v>
      </c>
      <c r="FO15" t="s">
        <v>252</v>
      </c>
      <c r="FP15" t="s">
        <v>253</v>
      </c>
    </row>
    <row r="16" spans="1:172" x14ac:dyDescent="0.25">
      <c r="B16" t="s">
        <v>254</v>
      </c>
      <c r="C16" t="s">
        <v>254</v>
      </c>
      <c r="F16" t="s">
        <v>254</v>
      </c>
      <c r="G16" t="s">
        <v>255</v>
      </c>
      <c r="H16" t="s">
        <v>256</v>
      </c>
      <c r="I16" t="s">
        <v>257</v>
      </c>
      <c r="J16" t="s">
        <v>257</v>
      </c>
      <c r="K16" t="s">
        <v>157</v>
      </c>
      <c r="L16" t="s">
        <v>157</v>
      </c>
      <c r="M16" t="s">
        <v>255</v>
      </c>
      <c r="N16" t="s">
        <v>255</v>
      </c>
      <c r="O16" t="s">
        <v>255</v>
      </c>
      <c r="P16" t="s">
        <v>255</v>
      </c>
      <c r="Q16" t="s">
        <v>258</v>
      </c>
      <c r="R16" t="s">
        <v>259</v>
      </c>
      <c r="S16" t="s">
        <v>259</v>
      </c>
      <c r="T16" t="s">
        <v>260</v>
      </c>
      <c r="U16" t="s">
        <v>261</v>
      </c>
      <c r="V16" t="s">
        <v>260</v>
      </c>
      <c r="W16" t="s">
        <v>260</v>
      </c>
      <c r="X16" t="s">
        <v>260</v>
      </c>
      <c r="Y16" t="s">
        <v>258</v>
      </c>
      <c r="Z16" t="s">
        <v>258</v>
      </c>
      <c r="AA16" t="s">
        <v>258</v>
      </c>
      <c r="AB16" t="s">
        <v>258</v>
      </c>
      <c r="AF16" t="s">
        <v>262</v>
      </c>
      <c r="AG16" t="s">
        <v>261</v>
      </c>
      <c r="AI16" t="s">
        <v>261</v>
      </c>
      <c r="AJ16" t="s">
        <v>262</v>
      </c>
      <c r="AP16" t="s">
        <v>256</v>
      </c>
      <c r="AV16" t="s">
        <v>256</v>
      </c>
      <c r="AW16" t="s">
        <v>256</v>
      </c>
      <c r="AX16" t="s">
        <v>256</v>
      </c>
      <c r="AZ16" t="s">
        <v>263</v>
      </c>
      <c r="BI16" t="s">
        <v>256</v>
      </c>
      <c r="BJ16" t="s">
        <v>256</v>
      </c>
      <c r="BL16" t="s">
        <v>264</v>
      </c>
      <c r="BM16" t="s">
        <v>265</v>
      </c>
      <c r="BP16" t="s">
        <v>254</v>
      </c>
      <c r="BQ16" t="s">
        <v>257</v>
      </c>
      <c r="BR16" t="s">
        <v>257</v>
      </c>
      <c r="BS16" t="s">
        <v>266</v>
      </c>
      <c r="BT16" t="s">
        <v>266</v>
      </c>
      <c r="BU16" t="s">
        <v>262</v>
      </c>
      <c r="BV16" t="s">
        <v>260</v>
      </c>
      <c r="BW16" t="s">
        <v>260</v>
      </c>
      <c r="BX16" t="s">
        <v>259</v>
      </c>
      <c r="BY16" t="s">
        <v>259</v>
      </c>
      <c r="BZ16" t="s">
        <v>259</v>
      </c>
      <c r="CA16" t="s">
        <v>259</v>
      </c>
      <c r="CB16" t="s">
        <v>259</v>
      </c>
      <c r="CC16" t="s">
        <v>267</v>
      </c>
      <c r="CD16" t="s">
        <v>256</v>
      </c>
      <c r="CE16" t="s">
        <v>256</v>
      </c>
      <c r="CF16" t="s">
        <v>256</v>
      </c>
      <c r="CK16" t="s">
        <v>256</v>
      </c>
      <c r="CN16" t="s">
        <v>259</v>
      </c>
      <c r="CO16" t="s">
        <v>259</v>
      </c>
      <c r="CP16" t="s">
        <v>259</v>
      </c>
      <c r="CQ16" t="s">
        <v>259</v>
      </c>
      <c r="CR16" t="s">
        <v>259</v>
      </c>
      <c r="CS16" t="s">
        <v>256</v>
      </c>
      <c r="CT16" t="s">
        <v>256</v>
      </c>
      <c r="CU16" t="s">
        <v>256</v>
      </c>
      <c r="CV16" t="s">
        <v>254</v>
      </c>
      <c r="CX16" t="s">
        <v>268</v>
      </c>
      <c r="CY16" t="s">
        <v>268</v>
      </c>
      <c r="DA16" t="s">
        <v>254</v>
      </c>
      <c r="DB16" t="s">
        <v>269</v>
      </c>
      <c r="DE16" t="s">
        <v>270</v>
      </c>
      <c r="DF16" t="s">
        <v>271</v>
      </c>
      <c r="DG16" t="s">
        <v>270</v>
      </c>
      <c r="DH16" t="s">
        <v>271</v>
      </c>
      <c r="DI16" t="s">
        <v>261</v>
      </c>
      <c r="DJ16" t="s">
        <v>261</v>
      </c>
      <c r="DK16" t="s">
        <v>256</v>
      </c>
      <c r="DL16" t="s">
        <v>272</v>
      </c>
      <c r="DM16" t="s">
        <v>256</v>
      </c>
      <c r="DO16" t="s">
        <v>257</v>
      </c>
      <c r="DP16" t="s">
        <v>273</v>
      </c>
      <c r="DQ16" t="s">
        <v>257</v>
      </c>
      <c r="DS16" t="s">
        <v>266</v>
      </c>
      <c r="DT16" t="s">
        <v>274</v>
      </c>
      <c r="DU16" t="s">
        <v>266</v>
      </c>
      <c r="DW16" t="s">
        <v>255</v>
      </c>
      <c r="DX16" t="s">
        <v>275</v>
      </c>
      <c r="DY16" t="s">
        <v>255</v>
      </c>
      <c r="ED16" t="s">
        <v>276</v>
      </c>
      <c r="EE16" t="s">
        <v>276</v>
      </c>
      <c r="EF16" t="s">
        <v>276</v>
      </c>
      <c r="EG16" t="s">
        <v>276</v>
      </c>
      <c r="EH16" t="s">
        <v>276</v>
      </c>
      <c r="EI16" t="s">
        <v>276</v>
      </c>
      <c r="EJ16" t="s">
        <v>276</v>
      </c>
      <c r="EK16" t="s">
        <v>276</v>
      </c>
      <c r="EL16" t="s">
        <v>276</v>
      </c>
      <c r="EM16" t="s">
        <v>276</v>
      </c>
      <c r="EN16" t="s">
        <v>276</v>
      </c>
      <c r="EO16" t="s">
        <v>276</v>
      </c>
      <c r="EV16" t="s">
        <v>276</v>
      </c>
      <c r="EW16" t="s">
        <v>261</v>
      </c>
      <c r="EX16" t="s">
        <v>261</v>
      </c>
      <c r="EY16" t="s">
        <v>270</v>
      </c>
      <c r="EZ16" t="s">
        <v>271</v>
      </c>
      <c r="FB16" t="s">
        <v>262</v>
      </c>
      <c r="FC16" t="s">
        <v>262</v>
      </c>
      <c r="FD16" t="s">
        <v>259</v>
      </c>
      <c r="FE16" t="s">
        <v>259</v>
      </c>
      <c r="FF16" t="s">
        <v>259</v>
      </c>
      <c r="FG16" t="s">
        <v>259</v>
      </c>
      <c r="FH16" t="s">
        <v>259</v>
      </c>
      <c r="FI16" t="s">
        <v>261</v>
      </c>
      <c r="FJ16" t="s">
        <v>261</v>
      </c>
      <c r="FK16" t="s">
        <v>261</v>
      </c>
      <c r="FL16" t="s">
        <v>259</v>
      </c>
      <c r="FM16" t="s">
        <v>257</v>
      </c>
      <c r="FN16" t="s">
        <v>266</v>
      </c>
      <c r="FO16" t="s">
        <v>261</v>
      </c>
      <c r="FP16" t="s">
        <v>261</v>
      </c>
    </row>
    <row r="17" spans="1:172" x14ac:dyDescent="0.25">
      <c r="A17">
        <v>1</v>
      </c>
      <c r="B17">
        <v>1519085848.5999999</v>
      </c>
      <c r="C17">
        <v>0</v>
      </c>
      <c r="D17" t="s">
        <v>277</v>
      </c>
      <c r="E17" t="s">
        <v>278</v>
      </c>
      <c r="F17">
        <v>1519085840.5999999</v>
      </c>
      <c r="G17">
        <f t="shared" ref="G17:G29" si="0">BU17*AH17*(BS17-BT17)/(100*BM17*(1000-AH17*BS17))</f>
        <v>4.9466584680480236E-3</v>
      </c>
      <c r="H17">
        <f t="shared" ref="H17:H29" si="1">BU17*AH17*(BR17-BQ17*(1000-AH17*BT17)/(1000-AH17*BS17))/(100*BM17)</f>
        <v>29.190917395503085</v>
      </c>
      <c r="I17">
        <f t="shared" ref="I17:I29" si="2">BQ17 - IF(AH17&gt;1, H17*BM17*100/(AJ17*CC17), 0)</f>
        <v>365.91819354838702</v>
      </c>
      <c r="J17">
        <f t="shared" ref="J17:J29" si="3">((P17-G17/2)*I17-H17)/(P17+G17/2)</f>
        <v>220.73405038431264</v>
      </c>
      <c r="K17">
        <f t="shared" ref="K17:K29" si="4">J17*(BV17+BW17)/1000</f>
        <v>21.086132793583939</v>
      </c>
      <c r="L17">
        <f t="shared" ref="L17:L29" si="5">(BQ17 - IF(AH17&gt;1, H17*BM17*100/(AJ17*CC17), 0))*(BV17+BW17)/1000</f>
        <v>34.955185243581219</v>
      </c>
      <c r="M17">
        <f t="shared" ref="M17:M29" si="6">2/((1/O17-1/N17)+SIGN(O17)*SQRT((1/O17-1/N17)*(1/O17-1/N17) + 4*BN17/((BN17+1)*(BN17+1))*(2*1/O17*1/N17-1/N17*1/N17)))</f>
        <v>0.36186932581169745</v>
      </c>
      <c r="N17">
        <f t="shared" ref="N17:N29" si="7">AE17+AD17*BM17+AC17*BM17*BM17</f>
        <v>2.3908749033483176</v>
      </c>
      <c r="O17">
        <f t="shared" ref="O17:O29" si="8">G17*(1000-(1000*0.61365*EXP(17.502*S17/(240.97+S17))/(BV17+BW17)+BS17)/2)/(1000*0.61365*EXP(17.502*S17/(240.97+S17))/(BV17+BW17)-BS17)</f>
        <v>0.33396465211377824</v>
      </c>
      <c r="P17">
        <f t="shared" ref="P17:P29" si="9">1/((BN17+1)/(M17/1.6)+1/(N17/1.37)) + BN17/((BN17+1)/(M17/1.6) + BN17/(N17/1.37))</f>
        <v>0.21105542845680347</v>
      </c>
      <c r="Q17">
        <f t="shared" ref="Q17:Q29" si="10">(BJ17*BL17)</f>
        <v>289.49667201316817</v>
      </c>
      <c r="R17">
        <f t="shared" ref="R17:R29" si="11">(BX17+(Q17+2*0.95*0.0000000567*(((BX17+$B$7)+273)^4-(BX17+273)^4)-44100*G17)/(1.84*29.3*N17+8*0.95*0.0000000567*(BX17+273)^3))</f>
        <v>25.771060708489635</v>
      </c>
      <c r="S17">
        <f t="shared" ref="S17:S29" si="12">($C$7*BY17+$D$7*BZ17+$E$7*R17)</f>
        <v>25.771060708489635</v>
      </c>
      <c r="T17">
        <f t="shared" ref="T17:T29" si="13">0.61365*EXP(17.502*S17/(240.97+S17))</f>
        <v>3.3288165800608853</v>
      </c>
      <c r="U17">
        <f t="shared" ref="U17:U29" si="14">(V17/W17*100)</f>
        <v>60.467735723307349</v>
      </c>
      <c r="V17">
        <f t="shared" ref="V17:V29" si="15">BS17*(BV17+BW17)/1000</f>
        <v>1.9529901616024348</v>
      </c>
      <c r="W17">
        <f t="shared" ref="W17:W29" si="16">0.61365*EXP(17.502*BX17/(240.97+BX17))</f>
        <v>3.229805347002026</v>
      </c>
      <c r="X17">
        <f t="shared" ref="X17:X29" si="17">(T17-BS17*(BV17+BW17)/1000)</f>
        <v>1.3758264184584506</v>
      </c>
      <c r="Y17">
        <f t="shared" ref="Y17:Y29" si="18">(-G17*44100)</f>
        <v>-218.14763844091783</v>
      </c>
      <c r="Z17">
        <f t="shared" ref="Z17:Z29" si="19">2*29.3*N17*0.92*(BX17-S17)</f>
        <v>-65.535656178771831</v>
      </c>
      <c r="AA17">
        <f t="shared" ref="AA17:AA29" si="20">2*0.95*0.0000000567*(((BX17+$B$7)+273)^4-(S17+273)^4)</f>
        <v>-5.8282589984849462</v>
      </c>
      <c r="AB17">
        <f t="shared" ref="AB17:AB29" si="21">Q17+AA17+Y17+Z17</f>
        <v>-1.4881605006451082E-2</v>
      </c>
      <c r="AC17">
        <v>-3.9482667092944602E-2</v>
      </c>
      <c r="AD17">
        <v>4.43227526834385E-2</v>
      </c>
      <c r="AE17">
        <v>3.3414504431509799</v>
      </c>
      <c r="AF17">
        <v>9</v>
      </c>
      <c r="AG17">
        <v>2</v>
      </c>
      <c r="AH17">
        <f t="shared" ref="AH17:AH29" si="22">IF(AF17*$H$13&gt;=AJ17,1,(AJ17/(AJ17-AF17*$H$13)))</f>
        <v>1</v>
      </c>
      <c r="AI17">
        <f t="shared" ref="AI17:AI29" si="23">(AH17-1)*100</f>
        <v>0</v>
      </c>
      <c r="AJ17">
        <f t="shared" ref="AJ17:AJ29" si="24">MAX(0,($B$13+$C$13*CC17)/(1+$D$13*CC17)*BV17/(BX17+273)*$E$13)</f>
        <v>50644.522137893829</v>
      </c>
      <c r="AK17" t="s">
        <v>279</v>
      </c>
      <c r="AL17">
        <v>580.33307692307699</v>
      </c>
      <c r="AM17">
        <v>2824.36</v>
      </c>
      <c r="AN17">
        <f t="shared" ref="AN17:AN29" si="25">AM17-AL17</f>
        <v>2244.0269230769231</v>
      </c>
      <c r="AO17">
        <f t="shared" ref="AO17:AO29" si="26">AN17/AM17</f>
        <v>0.79452581224664098</v>
      </c>
      <c r="AP17">
        <v>-2.5011690977444898</v>
      </c>
      <c r="AQ17" t="s">
        <v>280</v>
      </c>
      <c r="AR17">
        <v>713.20711538461501</v>
      </c>
      <c r="AS17">
        <v>1095.56</v>
      </c>
      <c r="AT17">
        <f t="shared" ref="AT17:AT29" si="27">1-AR17/AS17</f>
        <v>0.34900223138430109</v>
      </c>
      <c r="AU17">
        <v>0.5</v>
      </c>
      <c r="AV17">
        <f t="shared" ref="AV17:AV29" si="28">BJ17</f>
        <v>1513.1804132982318</v>
      </c>
      <c r="AW17">
        <f t="shared" ref="AW17:AW29" si="29">H17</f>
        <v>29.190917395503085</v>
      </c>
      <c r="AX17">
        <f t="shared" ref="AX17:AX29" si="30">AT17*AU17*AV17</f>
        <v>264.05167036405089</v>
      </c>
      <c r="AY17">
        <f t="shared" ref="AY17:AY29" si="31">BD17/AS17</f>
        <v>1</v>
      </c>
      <c r="AZ17">
        <f t="shared" ref="AZ17:AZ29" si="32">(AW17-AP17)/AV17</f>
        <v>2.094402373618446E-2</v>
      </c>
      <c r="BA17">
        <f t="shared" ref="BA17:BA29" si="33">(AM17-AS17)/AS17</f>
        <v>1.5780057687392752</v>
      </c>
      <c r="BB17" t="s">
        <v>281</v>
      </c>
      <c r="BC17">
        <v>0</v>
      </c>
      <c r="BD17">
        <f t="shared" ref="BD17:BD29" si="34">AS17-BC17</f>
        <v>1095.56</v>
      </c>
      <c r="BE17">
        <f t="shared" ref="BE17:BE29" si="35">(AS17-AR17)/(AS17-BC17)</f>
        <v>0.34900223138430114</v>
      </c>
      <c r="BF17">
        <f t="shared" ref="BF17:BF29" si="36">(AM17-AS17)/(AM17-BC17)</f>
        <v>0.61210327295387279</v>
      </c>
      <c r="BG17">
        <f t="shared" ref="BG17:BG29" si="37">(AS17-AR17)/(AS17-AL17)</f>
        <v>0.7421057935637031</v>
      </c>
      <c r="BH17">
        <f t="shared" ref="BH17:BH29" si="38">(AM17-AS17)/(AM17-AL17)</f>
        <v>0.77040073905598971</v>
      </c>
      <c r="BI17">
        <f t="shared" ref="BI17:BI29" si="39">$B$11*CD17+$C$11*CE17+$F$11*CF17</f>
        <v>1799.99451612903</v>
      </c>
      <c r="BJ17">
        <f t="shared" ref="BJ17:BJ29" si="40">BI17*BK17</f>
        <v>1513.1804132982318</v>
      </c>
      <c r="BK17">
        <f t="shared" ref="BK17:BK29" si="41">($B$11*$D$9+$C$11*$D$9+$F$11*((CS17+CK17)/MAX(CS17+CK17+CT17, 0.1)*$I$9+CT17/MAX(CS17+CK17+CT17, 0.1)*$J$9))/($B$11+$C$11+$F$11)</f>
        <v>0.84065834631118486</v>
      </c>
      <c r="BL17">
        <f t="shared" ref="BL17:BL29" si="42">($B$11*$K$9+$C$11*$K$9+$F$11*((CS17+CK17)/MAX(CS17+CK17+CT17, 0.1)*$P$9+CT17/MAX(CS17+CK17+CT17, 0.1)*$Q$9))/($B$11+$C$11+$F$11)</f>
        <v>0.19131669262236969</v>
      </c>
      <c r="BM17">
        <v>5.5</v>
      </c>
      <c r="BN17">
        <v>0.5</v>
      </c>
      <c r="BO17" t="s">
        <v>282</v>
      </c>
      <c r="BP17">
        <v>1519085840.5999999</v>
      </c>
      <c r="BQ17">
        <v>365.91819354838702</v>
      </c>
      <c r="BR17">
        <v>400.01532258064498</v>
      </c>
      <c r="BS17">
        <v>20.444309677419401</v>
      </c>
      <c r="BT17">
        <v>15.114848387096799</v>
      </c>
      <c r="BU17">
        <v>500.05806451612898</v>
      </c>
      <c r="BV17">
        <v>95.427025806451596</v>
      </c>
      <c r="BW17">
        <v>0.100296583870968</v>
      </c>
      <c r="BX17">
        <v>25.262625806451599</v>
      </c>
      <c r="BY17">
        <v>25.004496774193498</v>
      </c>
      <c r="BZ17">
        <v>999.9</v>
      </c>
      <c r="CA17">
        <v>0</v>
      </c>
      <c r="CB17">
        <v>0</v>
      </c>
      <c r="CC17">
        <v>9977.7154838709703</v>
      </c>
      <c r="CD17">
        <v>0</v>
      </c>
      <c r="CE17">
        <v>469.89525806451599</v>
      </c>
      <c r="CF17">
        <v>1799.99451612903</v>
      </c>
      <c r="CG17">
        <v>0.97799419354838701</v>
      </c>
      <c r="CH17">
        <v>2.2005570967741899E-2</v>
      </c>
      <c r="CI17">
        <v>0</v>
      </c>
      <c r="CJ17">
        <v>713.18661290322598</v>
      </c>
      <c r="CK17">
        <v>4.9993999999999996</v>
      </c>
      <c r="CL17">
        <v>12972.296774193501</v>
      </c>
      <c r="CM17">
        <v>14669.038709677399</v>
      </c>
      <c r="CN17">
        <v>47.061999999999998</v>
      </c>
      <c r="CO17">
        <v>47.436999999999998</v>
      </c>
      <c r="CP17">
        <v>47.651000000000003</v>
      </c>
      <c r="CQ17">
        <v>47.651000000000003</v>
      </c>
      <c r="CR17">
        <v>48.311999999999998</v>
      </c>
      <c r="CS17">
        <v>1755.4938709677399</v>
      </c>
      <c r="CT17">
        <v>39.500645161290301</v>
      </c>
      <c r="CU17">
        <v>0</v>
      </c>
      <c r="CV17">
        <v>2090.7999999523199</v>
      </c>
      <c r="CW17">
        <v>713.20711538461501</v>
      </c>
      <c r="CX17">
        <v>0.27770938767853298</v>
      </c>
      <c r="CY17">
        <v>1.5794871741045</v>
      </c>
      <c r="CZ17">
        <v>12972.192307692299</v>
      </c>
      <c r="DA17">
        <v>15</v>
      </c>
      <c r="DB17">
        <v>1519085791.0999999</v>
      </c>
      <c r="DC17" t="s">
        <v>283</v>
      </c>
      <c r="DD17">
        <v>59</v>
      </c>
      <c r="DE17">
        <v>1.5289999999999999</v>
      </c>
      <c r="DF17">
        <v>0.154</v>
      </c>
      <c r="DG17">
        <v>400</v>
      </c>
      <c r="DH17">
        <v>15</v>
      </c>
      <c r="DI17">
        <v>0.04</v>
      </c>
      <c r="DJ17">
        <v>0.02</v>
      </c>
      <c r="DK17">
        <v>29.182587095505301</v>
      </c>
      <c r="DL17">
        <v>4.0065311625363101E-2</v>
      </c>
      <c r="DM17">
        <v>4.14154075199612E-2</v>
      </c>
      <c r="DN17">
        <v>1</v>
      </c>
      <c r="DO17">
        <v>-34.070300000000003</v>
      </c>
      <c r="DP17">
        <v>-0.46583414634138198</v>
      </c>
      <c r="DQ17">
        <v>6.1141367577674299E-2</v>
      </c>
      <c r="DR17">
        <v>1</v>
      </c>
      <c r="DS17">
        <v>5.3006002439024398</v>
      </c>
      <c r="DT17">
        <v>0.62641087108007698</v>
      </c>
      <c r="DU17">
        <v>6.2699679016092205E-2</v>
      </c>
      <c r="DV17">
        <v>1</v>
      </c>
      <c r="DW17">
        <v>0.35474810672844598</v>
      </c>
      <c r="DX17">
        <v>6.4732357469857504E-2</v>
      </c>
      <c r="DY17">
        <v>8.6663865362119705E-3</v>
      </c>
      <c r="DZ17">
        <v>1</v>
      </c>
      <c r="EA17">
        <v>4</v>
      </c>
      <c r="EB17">
        <v>4</v>
      </c>
      <c r="EC17" t="s">
        <v>284</v>
      </c>
      <c r="ED17">
        <v>1.8490599999999999</v>
      </c>
      <c r="EE17">
        <v>1.85318</v>
      </c>
      <c r="EF17">
        <v>1.8519699999999999</v>
      </c>
      <c r="EG17">
        <v>1.85623</v>
      </c>
      <c r="EH17">
        <v>1.85402</v>
      </c>
      <c r="EI17">
        <v>1.8544</v>
      </c>
      <c r="EJ17">
        <v>1.8466199999999999</v>
      </c>
      <c r="EK17">
        <v>1.8513299999999999</v>
      </c>
      <c r="EL17" t="s">
        <v>285</v>
      </c>
      <c r="EM17" t="s">
        <v>19</v>
      </c>
      <c r="EN17" t="s">
        <v>19</v>
      </c>
      <c r="EO17" t="s">
        <v>19</v>
      </c>
      <c r="EP17" t="s">
        <v>286</v>
      </c>
      <c r="EQ17" t="s">
        <v>287</v>
      </c>
      <c r="ER17" t="s">
        <v>288</v>
      </c>
      <c r="ES17" t="s">
        <v>288</v>
      </c>
      <c r="ET17" t="s">
        <v>288</v>
      </c>
      <c r="EU17" t="s">
        <v>288</v>
      </c>
      <c r="EV17">
        <v>0</v>
      </c>
      <c r="EW17">
        <v>100</v>
      </c>
      <c r="EX17">
        <v>100</v>
      </c>
      <c r="EY17">
        <v>1.5289999999999999</v>
      </c>
      <c r="EZ17">
        <v>0.154</v>
      </c>
      <c r="FA17">
        <v>2</v>
      </c>
      <c r="FB17">
        <v>477.98599999999999</v>
      </c>
      <c r="FC17">
        <v>256.88299999999998</v>
      </c>
      <c r="FD17">
        <v>18.660900000000002</v>
      </c>
      <c r="FE17">
        <v>32.724699999999999</v>
      </c>
      <c r="FF17">
        <v>29.999099999999999</v>
      </c>
      <c r="FG17">
        <v>33.1374</v>
      </c>
      <c r="FH17">
        <v>33.088299999999997</v>
      </c>
      <c r="FI17">
        <v>17.285</v>
      </c>
      <c r="FJ17">
        <v>13.949199999999999</v>
      </c>
      <c r="FK17">
        <v>0</v>
      </c>
      <c r="FL17">
        <v>18.666699999999999</v>
      </c>
      <c r="FM17">
        <v>400</v>
      </c>
      <c r="FN17">
        <v>14.901</v>
      </c>
      <c r="FO17">
        <v>99.615300000000005</v>
      </c>
      <c r="FP17">
        <v>117.857</v>
      </c>
    </row>
    <row r="18" spans="1:172" x14ac:dyDescent="0.25">
      <c r="A18">
        <v>2</v>
      </c>
      <c r="B18">
        <v>1519085973.0999999</v>
      </c>
      <c r="C18">
        <v>124.5</v>
      </c>
      <c r="D18" t="s">
        <v>289</v>
      </c>
      <c r="E18" t="s">
        <v>290</v>
      </c>
      <c r="F18">
        <v>1519085965.0999999</v>
      </c>
      <c r="G18">
        <f t="shared" si="0"/>
        <v>5.2069875337066871E-3</v>
      </c>
      <c r="H18">
        <f t="shared" si="1"/>
        <v>21.494736260322377</v>
      </c>
      <c r="I18">
        <f t="shared" si="2"/>
        <v>274.81832258064497</v>
      </c>
      <c r="J18">
        <f t="shared" si="3"/>
        <v>174.5414453206127</v>
      </c>
      <c r="K18">
        <f t="shared" si="4"/>
        <v>16.672684472990543</v>
      </c>
      <c r="L18">
        <f t="shared" si="5"/>
        <v>26.25141078307843</v>
      </c>
      <c r="M18">
        <f t="shared" si="6"/>
        <v>0.38943747074907714</v>
      </c>
      <c r="N18">
        <f t="shared" si="7"/>
        <v>2.3954174789826492</v>
      </c>
      <c r="O18">
        <f t="shared" si="8"/>
        <v>0.35737671280735173</v>
      </c>
      <c r="P18">
        <f t="shared" si="9"/>
        <v>0.22602061646131352</v>
      </c>
      <c r="Q18">
        <f t="shared" si="10"/>
        <v>289.49617241631938</v>
      </c>
      <c r="R18">
        <f t="shared" si="11"/>
        <v>25.680783635371228</v>
      </c>
      <c r="S18">
        <f t="shared" si="12"/>
        <v>25.680783635371228</v>
      </c>
      <c r="T18">
        <f t="shared" si="13"/>
        <v>3.3110451085558767</v>
      </c>
      <c r="U18">
        <f t="shared" si="14"/>
        <v>60.640130241537825</v>
      </c>
      <c r="V18">
        <f t="shared" si="15"/>
        <v>1.9576583816864537</v>
      </c>
      <c r="W18">
        <f t="shared" si="16"/>
        <v>3.2283215321089118</v>
      </c>
      <c r="X18">
        <f t="shared" si="17"/>
        <v>1.3533867268694231</v>
      </c>
      <c r="Y18">
        <f t="shared" si="18"/>
        <v>-229.6281502364649</v>
      </c>
      <c r="Z18">
        <f t="shared" si="19"/>
        <v>-54.998940158326718</v>
      </c>
      <c r="AA18">
        <f t="shared" si="20"/>
        <v>-4.8795208507543855</v>
      </c>
      <c r="AB18">
        <f t="shared" si="21"/>
        <v>-1.0438829226615098E-2</v>
      </c>
      <c r="AC18">
        <v>-3.9587702818795603E-2</v>
      </c>
      <c r="AD18">
        <v>4.44406644873412E-2</v>
      </c>
      <c r="AE18">
        <v>3.3485218345708399</v>
      </c>
      <c r="AF18">
        <v>9</v>
      </c>
      <c r="AG18">
        <v>2</v>
      </c>
      <c r="AH18">
        <f t="shared" si="22"/>
        <v>1</v>
      </c>
      <c r="AI18">
        <f t="shared" si="23"/>
        <v>0</v>
      </c>
      <c r="AJ18">
        <f t="shared" si="24"/>
        <v>50775.004216452049</v>
      </c>
      <c r="AK18" t="s">
        <v>279</v>
      </c>
      <c r="AL18">
        <v>580.33307692307699</v>
      </c>
      <c r="AM18">
        <v>2824.36</v>
      </c>
      <c r="AN18">
        <f t="shared" si="25"/>
        <v>2244.0269230769231</v>
      </c>
      <c r="AO18">
        <f t="shared" si="26"/>
        <v>0.79452581224664098</v>
      </c>
      <c r="AP18">
        <v>-2.5011690977444898</v>
      </c>
      <c r="AQ18" t="s">
        <v>291</v>
      </c>
      <c r="AR18">
        <v>689.85296153846105</v>
      </c>
      <c r="AS18">
        <v>1012.17</v>
      </c>
      <c r="AT18">
        <f t="shared" si="27"/>
        <v>0.31844160413916534</v>
      </c>
      <c r="AU18">
        <v>0.5</v>
      </c>
      <c r="AV18">
        <f t="shared" si="28"/>
        <v>1513.1779552337152</v>
      </c>
      <c r="AW18">
        <f t="shared" si="29"/>
        <v>21.494736260322377</v>
      </c>
      <c r="AX18">
        <f t="shared" si="30"/>
        <v>240.92940770632319</v>
      </c>
      <c r="AY18">
        <f t="shared" si="31"/>
        <v>1</v>
      </c>
      <c r="AZ18">
        <f t="shared" si="32"/>
        <v>1.5857953306199615E-2</v>
      </c>
      <c r="BA18">
        <f t="shared" si="33"/>
        <v>1.790400821996305</v>
      </c>
      <c r="BB18" t="s">
        <v>281</v>
      </c>
      <c r="BC18">
        <v>0</v>
      </c>
      <c r="BD18">
        <f t="shared" si="34"/>
        <v>1012.17</v>
      </c>
      <c r="BE18">
        <f t="shared" si="35"/>
        <v>0.31844160413916528</v>
      </c>
      <c r="BF18">
        <f t="shared" si="36"/>
        <v>0.64162854593607044</v>
      </c>
      <c r="BG18">
        <f t="shared" si="37"/>
        <v>0.74638601110105784</v>
      </c>
      <c r="BH18">
        <f t="shared" si="38"/>
        <v>0.80756161228012147</v>
      </c>
      <c r="BI18">
        <f t="shared" si="39"/>
        <v>1799.9916129032299</v>
      </c>
      <c r="BJ18">
        <f t="shared" si="40"/>
        <v>1513.1779552337152</v>
      </c>
      <c r="BK18">
        <f t="shared" si="41"/>
        <v>0.84065833662029721</v>
      </c>
      <c r="BL18">
        <f t="shared" si="42"/>
        <v>0.19131667324059434</v>
      </c>
      <c r="BM18">
        <v>5.5</v>
      </c>
      <c r="BN18">
        <v>0.5</v>
      </c>
      <c r="BO18" t="s">
        <v>282</v>
      </c>
      <c r="BP18">
        <v>1519085965.0999999</v>
      </c>
      <c r="BQ18">
        <v>274.81832258064497</v>
      </c>
      <c r="BR18">
        <v>300.03558064516102</v>
      </c>
      <c r="BS18">
        <v>20.494151612903199</v>
      </c>
      <c r="BT18">
        <v>14.884077419354799</v>
      </c>
      <c r="BU18">
        <v>500.02032258064497</v>
      </c>
      <c r="BV18">
        <v>95.423461290322606</v>
      </c>
      <c r="BW18">
        <v>9.9320948387096805E-2</v>
      </c>
      <c r="BX18">
        <v>25.254903225806402</v>
      </c>
      <c r="BY18">
        <v>25.001141935483901</v>
      </c>
      <c r="BZ18">
        <v>999.9</v>
      </c>
      <c r="CA18">
        <v>0</v>
      </c>
      <c r="CB18">
        <v>0</v>
      </c>
      <c r="CC18">
        <v>10004.6329032258</v>
      </c>
      <c r="CD18">
        <v>0</v>
      </c>
      <c r="CE18">
        <v>457.35287096774198</v>
      </c>
      <c r="CF18">
        <v>1799.9916129032299</v>
      </c>
      <c r="CG18">
        <v>0.97799612903225797</v>
      </c>
      <c r="CH18">
        <v>2.20037806451613E-2</v>
      </c>
      <c r="CI18">
        <v>0</v>
      </c>
      <c r="CJ18">
        <v>689.84412903225802</v>
      </c>
      <c r="CK18">
        <v>4.9993999999999996</v>
      </c>
      <c r="CL18">
        <v>12555.445161290299</v>
      </c>
      <c r="CM18">
        <v>14669.0290322581</v>
      </c>
      <c r="CN18">
        <v>47.133000000000003</v>
      </c>
      <c r="CO18">
        <v>47.5</v>
      </c>
      <c r="CP18">
        <v>47.75</v>
      </c>
      <c r="CQ18">
        <v>47.686999999999998</v>
      </c>
      <c r="CR18">
        <v>48.375</v>
      </c>
      <c r="CS18">
        <v>1755.4916129032299</v>
      </c>
      <c r="CT18">
        <v>39.5</v>
      </c>
      <c r="CU18">
        <v>0</v>
      </c>
      <c r="CV18">
        <v>123.799999952316</v>
      </c>
      <c r="CW18">
        <v>689.85296153846105</v>
      </c>
      <c r="CX18">
        <v>-0.31976068465693602</v>
      </c>
      <c r="CY18">
        <v>-5.9829060017120899</v>
      </c>
      <c r="CZ18">
        <v>12555.4692307692</v>
      </c>
      <c r="DA18">
        <v>15</v>
      </c>
      <c r="DB18">
        <v>1519085924.5999999</v>
      </c>
      <c r="DC18" t="s">
        <v>292</v>
      </c>
      <c r="DD18">
        <v>60</v>
      </c>
      <c r="DE18">
        <v>1.143</v>
      </c>
      <c r="DF18">
        <v>0.155</v>
      </c>
      <c r="DG18">
        <v>300</v>
      </c>
      <c r="DH18">
        <v>15</v>
      </c>
      <c r="DI18">
        <v>0.08</v>
      </c>
      <c r="DJ18">
        <v>0.02</v>
      </c>
      <c r="DK18">
        <v>21.515515205904801</v>
      </c>
      <c r="DL18">
        <v>-0.15480285635386801</v>
      </c>
      <c r="DM18">
        <v>3.2874834177073098E-2</v>
      </c>
      <c r="DN18">
        <v>1</v>
      </c>
      <c r="DO18">
        <v>-25.2111219512195</v>
      </c>
      <c r="DP18">
        <v>-0.18950383275259899</v>
      </c>
      <c r="DQ18">
        <v>2.8931875510982301E-2</v>
      </c>
      <c r="DR18">
        <v>1</v>
      </c>
      <c r="DS18">
        <v>5.5644787804878</v>
      </c>
      <c r="DT18">
        <v>0.84047163763064703</v>
      </c>
      <c r="DU18">
        <v>8.4743080707400997E-2</v>
      </c>
      <c r="DV18">
        <v>1</v>
      </c>
      <c r="DW18">
        <v>0.37844455885392703</v>
      </c>
      <c r="DX18">
        <v>9.5966153053268499E-2</v>
      </c>
      <c r="DY18">
        <v>1.3102716760380301E-2</v>
      </c>
      <c r="DZ18">
        <v>1</v>
      </c>
      <c r="EA18">
        <v>4</v>
      </c>
      <c r="EB18">
        <v>4</v>
      </c>
      <c r="EC18" t="s">
        <v>284</v>
      </c>
      <c r="ED18">
        <v>1.8490599999999999</v>
      </c>
      <c r="EE18">
        <v>1.85318</v>
      </c>
      <c r="EF18">
        <v>1.8520099999999999</v>
      </c>
      <c r="EG18">
        <v>1.85623</v>
      </c>
      <c r="EH18">
        <v>1.8540300000000001</v>
      </c>
      <c r="EI18">
        <v>1.8544</v>
      </c>
      <c r="EJ18">
        <v>1.8466199999999999</v>
      </c>
      <c r="EK18">
        <v>1.8513299999999999</v>
      </c>
      <c r="EL18" t="s">
        <v>285</v>
      </c>
      <c r="EM18" t="s">
        <v>19</v>
      </c>
      <c r="EN18" t="s">
        <v>19</v>
      </c>
      <c r="EO18" t="s">
        <v>19</v>
      </c>
      <c r="EP18" t="s">
        <v>286</v>
      </c>
      <c r="EQ18" t="s">
        <v>287</v>
      </c>
      <c r="ER18" t="s">
        <v>288</v>
      </c>
      <c r="ES18" t="s">
        <v>288</v>
      </c>
      <c r="ET18" t="s">
        <v>288</v>
      </c>
      <c r="EU18" t="s">
        <v>288</v>
      </c>
      <c r="EV18">
        <v>0</v>
      </c>
      <c r="EW18">
        <v>100</v>
      </c>
      <c r="EX18">
        <v>100</v>
      </c>
      <c r="EY18">
        <v>1.143</v>
      </c>
      <c r="EZ18">
        <v>0.155</v>
      </c>
      <c r="FA18">
        <v>2</v>
      </c>
      <c r="FB18">
        <v>477.58199999999999</v>
      </c>
      <c r="FC18">
        <v>256.45400000000001</v>
      </c>
      <c r="FD18">
        <v>18.591699999999999</v>
      </c>
      <c r="FE18">
        <v>32.678600000000003</v>
      </c>
      <c r="FF18">
        <v>30.000299999999999</v>
      </c>
      <c r="FG18">
        <v>33.080599999999997</v>
      </c>
      <c r="FH18">
        <v>33.029299999999999</v>
      </c>
      <c r="FI18">
        <v>13.8447</v>
      </c>
      <c r="FJ18">
        <v>16.613900000000001</v>
      </c>
      <c r="FK18">
        <v>0</v>
      </c>
      <c r="FL18">
        <v>18.597000000000001</v>
      </c>
      <c r="FM18">
        <v>300</v>
      </c>
      <c r="FN18">
        <v>14.6295</v>
      </c>
      <c r="FO18">
        <v>99.622900000000001</v>
      </c>
      <c r="FP18">
        <v>117.86499999999999</v>
      </c>
    </row>
    <row r="19" spans="1:172" x14ac:dyDescent="0.25">
      <c r="A19">
        <v>3</v>
      </c>
      <c r="B19">
        <v>1519086100.0999999</v>
      </c>
      <c r="C19">
        <v>251.5</v>
      </c>
      <c r="D19" t="s">
        <v>293</v>
      </c>
      <c r="E19" t="s">
        <v>294</v>
      </c>
      <c r="F19">
        <v>1519086092.0999999</v>
      </c>
      <c r="G19">
        <f t="shared" si="0"/>
        <v>5.2828288154823594E-3</v>
      </c>
      <c r="H19">
        <f t="shared" si="1"/>
        <v>12.991517574756699</v>
      </c>
      <c r="I19">
        <f t="shared" si="2"/>
        <v>184.62874193548399</v>
      </c>
      <c r="J19">
        <f t="shared" si="3"/>
        <v>124.43049213141575</v>
      </c>
      <c r="K19">
        <f t="shared" si="4"/>
        <v>11.88435818437889</v>
      </c>
      <c r="L19">
        <f t="shared" si="5"/>
        <v>17.633893933129954</v>
      </c>
      <c r="M19">
        <f t="shared" si="6"/>
        <v>0.39566716454837936</v>
      </c>
      <c r="N19">
        <f t="shared" si="7"/>
        <v>2.3950715134632174</v>
      </c>
      <c r="O19">
        <f t="shared" si="8"/>
        <v>0.36261471516225291</v>
      </c>
      <c r="P19">
        <f t="shared" si="9"/>
        <v>0.22937329795148489</v>
      </c>
      <c r="Q19">
        <f t="shared" si="10"/>
        <v>289.49344828767966</v>
      </c>
      <c r="R19">
        <f t="shared" si="11"/>
        <v>25.671765589287059</v>
      </c>
      <c r="S19">
        <f t="shared" si="12"/>
        <v>25.671765589287059</v>
      </c>
      <c r="T19">
        <f t="shared" si="13"/>
        <v>3.3092744247631605</v>
      </c>
      <c r="U19">
        <f t="shared" si="14"/>
        <v>60.540950083942292</v>
      </c>
      <c r="V19">
        <f t="shared" si="15"/>
        <v>1.9561720454693827</v>
      </c>
      <c r="W19">
        <f t="shared" si="16"/>
        <v>3.2311551813393695</v>
      </c>
      <c r="X19">
        <f t="shared" si="17"/>
        <v>1.3531023792937777</v>
      </c>
      <c r="Y19">
        <f t="shared" si="18"/>
        <v>-232.97275076277205</v>
      </c>
      <c r="Z19">
        <f t="shared" si="19"/>
        <v>-51.922617873996977</v>
      </c>
      <c r="AA19">
        <f t="shared" si="20"/>
        <v>-4.6073864776620539</v>
      </c>
      <c r="AB19">
        <f t="shared" si="21"/>
        <v>-9.3068267514055947E-3</v>
      </c>
      <c r="AC19">
        <v>-3.9579698250539301E-2</v>
      </c>
      <c r="AD19">
        <v>4.4431678658234802E-2</v>
      </c>
      <c r="AE19">
        <v>3.3479831529217399</v>
      </c>
      <c r="AF19">
        <v>10</v>
      </c>
      <c r="AG19">
        <v>2</v>
      </c>
      <c r="AH19">
        <f t="shared" si="22"/>
        <v>1</v>
      </c>
      <c r="AI19">
        <f t="shared" si="23"/>
        <v>0</v>
      </c>
      <c r="AJ19">
        <f t="shared" si="24"/>
        <v>50762.407139301664</v>
      </c>
      <c r="AK19" t="s">
        <v>279</v>
      </c>
      <c r="AL19">
        <v>580.33307692307699</v>
      </c>
      <c r="AM19">
        <v>2824.36</v>
      </c>
      <c r="AN19">
        <f t="shared" si="25"/>
        <v>2244.0269230769231</v>
      </c>
      <c r="AO19">
        <f t="shared" si="26"/>
        <v>0.79452581224664098</v>
      </c>
      <c r="AP19">
        <v>-2.5011690977444898</v>
      </c>
      <c r="AQ19" t="s">
        <v>295</v>
      </c>
      <c r="AR19">
        <v>683.10030769230798</v>
      </c>
      <c r="AS19">
        <v>945.58</v>
      </c>
      <c r="AT19">
        <f t="shared" si="27"/>
        <v>0.27758591796325227</v>
      </c>
      <c r="AU19">
        <v>0.5</v>
      </c>
      <c r="AV19">
        <f t="shared" si="28"/>
        <v>1513.1638398224582</v>
      </c>
      <c r="AW19">
        <f t="shared" si="29"/>
        <v>12.991517574756699</v>
      </c>
      <c r="AX19">
        <f t="shared" si="30"/>
        <v>210.01648675295834</v>
      </c>
      <c r="AY19">
        <f t="shared" si="31"/>
        <v>1</v>
      </c>
      <c r="AZ19">
        <f t="shared" si="32"/>
        <v>1.0238604878582726E-2</v>
      </c>
      <c r="BA19">
        <f t="shared" si="33"/>
        <v>1.9869075065039448</v>
      </c>
      <c r="BB19" t="s">
        <v>281</v>
      </c>
      <c r="BC19">
        <v>0</v>
      </c>
      <c r="BD19">
        <f t="shared" si="34"/>
        <v>945.58</v>
      </c>
      <c r="BE19">
        <f t="shared" si="35"/>
        <v>0.27758591796325222</v>
      </c>
      <c r="BF19">
        <f t="shared" si="36"/>
        <v>0.66520556869520886</v>
      </c>
      <c r="BG19">
        <f t="shared" si="37"/>
        <v>0.71863628609518049</v>
      </c>
      <c r="BH19">
        <f t="shared" si="38"/>
        <v>0.83723594431028014</v>
      </c>
      <c r="BI19">
        <f t="shared" si="39"/>
        <v>1799.9748387096799</v>
      </c>
      <c r="BJ19">
        <f t="shared" si="40"/>
        <v>1513.1638398224582</v>
      </c>
      <c r="BK19">
        <f t="shared" si="41"/>
        <v>0.84065832881707192</v>
      </c>
      <c r="BL19">
        <f t="shared" si="42"/>
        <v>0.19131665763414382</v>
      </c>
      <c r="BM19">
        <v>5.5</v>
      </c>
      <c r="BN19">
        <v>0.5</v>
      </c>
      <c r="BO19" t="s">
        <v>282</v>
      </c>
      <c r="BP19">
        <v>1519086092.0999999</v>
      </c>
      <c r="BQ19">
        <v>184.62874193548399</v>
      </c>
      <c r="BR19">
        <v>199.99332258064501</v>
      </c>
      <c r="BS19">
        <v>20.481329032258099</v>
      </c>
      <c r="BT19">
        <v>14.7888612903226</v>
      </c>
      <c r="BU19">
        <v>499.96703225806402</v>
      </c>
      <c r="BV19">
        <v>95.412383870967702</v>
      </c>
      <c r="BW19">
        <v>9.7631245161290306E-2</v>
      </c>
      <c r="BX19">
        <v>25.269648387096801</v>
      </c>
      <c r="BY19">
        <v>25.002109677419298</v>
      </c>
      <c r="BZ19">
        <v>999.9</v>
      </c>
      <c r="CA19">
        <v>0</v>
      </c>
      <c r="CB19">
        <v>0</v>
      </c>
      <c r="CC19">
        <v>10003.7712903226</v>
      </c>
      <c r="CD19">
        <v>0</v>
      </c>
      <c r="CE19">
        <v>447.12580645161302</v>
      </c>
      <c r="CF19">
        <v>1799.9748387096799</v>
      </c>
      <c r="CG19">
        <v>0.97799664516129003</v>
      </c>
      <c r="CH19">
        <v>2.20033032258064E-2</v>
      </c>
      <c r="CI19">
        <v>0</v>
      </c>
      <c r="CJ19">
        <v>683.10316129032196</v>
      </c>
      <c r="CK19">
        <v>4.9993999999999996</v>
      </c>
      <c r="CL19">
        <v>12436.1193548387</v>
      </c>
      <c r="CM19">
        <v>14668.9032258065</v>
      </c>
      <c r="CN19">
        <v>47.205290322580602</v>
      </c>
      <c r="CO19">
        <v>47.52</v>
      </c>
      <c r="CP19">
        <v>47.804000000000002</v>
      </c>
      <c r="CQ19">
        <v>47.75</v>
      </c>
      <c r="CR19">
        <v>48.436999999999998</v>
      </c>
      <c r="CS19">
        <v>1755.4841935483901</v>
      </c>
      <c r="CT19">
        <v>39.499354838709699</v>
      </c>
      <c r="CU19">
        <v>0</v>
      </c>
      <c r="CV19">
        <v>126.39999985694899</v>
      </c>
      <c r="CW19">
        <v>683.10030769230798</v>
      </c>
      <c r="CX19">
        <v>8.8136758041652094E-2</v>
      </c>
      <c r="CY19">
        <v>-4.4273504959082901</v>
      </c>
      <c r="CZ19">
        <v>12436.242307692301</v>
      </c>
      <c r="DA19">
        <v>15</v>
      </c>
      <c r="DB19">
        <v>1519086057.0999999</v>
      </c>
      <c r="DC19" t="s">
        <v>296</v>
      </c>
      <c r="DD19">
        <v>61</v>
      </c>
      <c r="DE19">
        <v>0.91600000000000004</v>
      </c>
      <c r="DF19">
        <v>0.152</v>
      </c>
      <c r="DG19">
        <v>200</v>
      </c>
      <c r="DH19">
        <v>14</v>
      </c>
      <c r="DI19">
        <v>0.11</v>
      </c>
      <c r="DJ19">
        <v>0.02</v>
      </c>
      <c r="DK19">
        <v>13.040964605408501</v>
      </c>
      <c r="DL19">
        <v>-0.44054179246253899</v>
      </c>
      <c r="DM19">
        <v>6.9410767740498494E-2</v>
      </c>
      <c r="DN19">
        <v>1</v>
      </c>
      <c r="DO19">
        <v>-15.3757146341463</v>
      </c>
      <c r="DP19">
        <v>0.19204808362366699</v>
      </c>
      <c r="DQ19">
        <v>4.5630635627755399E-2</v>
      </c>
      <c r="DR19">
        <v>1</v>
      </c>
      <c r="DS19">
        <v>5.6470717073170702</v>
      </c>
      <c r="DT19">
        <v>0.81616222996510701</v>
      </c>
      <c r="DU19">
        <v>8.3523187810111296E-2</v>
      </c>
      <c r="DV19">
        <v>1</v>
      </c>
      <c r="DW19">
        <v>0.384370374744888</v>
      </c>
      <c r="DX19">
        <v>9.8996352401179197E-2</v>
      </c>
      <c r="DY19">
        <v>1.36124978296705E-2</v>
      </c>
      <c r="DZ19">
        <v>1</v>
      </c>
      <c r="EA19">
        <v>4</v>
      </c>
      <c r="EB19">
        <v>4</v>
      </c>
      <c r="EC19" t="s">
        <v>284</v>
      </c>
      <c r="ED19">
        <v>1.84907</v>
      </c>
      <c r="EE19">
        <v>1.85318</v>
      </c>
      <c r="EF19">
        <v>1.8519699999999999</v>
      </c>
      <c r="EG19">
        <v>1.8562399999999999</v>
      </c>
      <c r="EH19">
        <v>1.85398</v>
      </c>
      <c r="EI19">
        <v>1.8544</v>
      </c>
      <c r="EJ19">
        <v>1.8466199999999999</v>
      </c>
      <c r="EK19">
        <v>1.8513200000000001</v>
      </c>
      <c r="EL19" t="s">
        <v>285</v>
      </c>
      <c r="EM19" t="s">
        <v>19</v>
      </c>
      <c r="EN19" t="s">
        <v>19</v>
      </c>
      <c r="EO19" t="s">
        <v>19</v>
      </c>
      <c r="EP19" t="s">
        <v>286</v>
      </c>
      <c r="EQ19" t="s">
        <v>287</v>
      </c>
      <c r="ER19" t="s">
        <v>288</v>
      </c>
      <c r="ES19" t="s">
        <v>288</v>
      </c>
      <c r="ET19" t="s">
        <v>288</v>
      </c>
      <c r="EU19" t="s">
        <v>288</v>
      </c>
      <c r="EV19">
        <v>0</v>
      </c>
      <c r="EW19">
        <v>100</v>
      </c>
      <c r="EX19">
        <v>100</v>
      </c>
      <c r="EY19">
        <v>0.91600000000000004</v>
      </c>
      <c r="EZ19">
        <v>0.152</v>
      </c>
      <c r="FA19">
        <v>2</v>
      </c>
      <c r="FB19">
        <v>477.49200000000002</v>
      </c>
      <c r="FC19">
        <v>256.29199999999997</v>
      </c>
      <c r="FD19">
        <v>18.6388</v>
      </c>
      <c r="FE19">
        <v>32.627200000000002</v>
      </c>
      <c r="FF19">
        <v>30</v>
      </c>
      <c r="FG19">
        <v>33.023499999999999</v>
      </c>
      <c r="FH19">
        <v>32.971699999999998</v>
      </c>
      <c r="FI19">
        <v>10.2662</v>
      </c>
      <c r="FJ19">
        <v>16.6249</v>
      </c>
      <c r="FK19">
        <v>0</v>
      </c>
      <c r="FL19">
        <v>18.653199999999998</v>
      </c>
      <c r="FM19">
        <v>200</v>
      </c>
      <c r="FN19">
        <v>14.559699999999999</v>
      </c>
      <c r="FO19">
        <v>99.629099999999994</v>
      </c>
      <c r="FP19">
        <v>117.873</v>
      </c>
    </row>
    <row r="20" spans="1:172" x14ac:dyDescent="0.25">
      <c r="A20">
        <v>4</v>
      </c>
      <c r="B20">
        <v>1519086220.5999999</v>
      </c>
      <c r="C20">
        <v>372</v>
      </c>
      <c r="D20" t="s">
        <v>297</v>
      </c>
      <c r="E20" t="s">
        <v>298</v>
      </c>
      <c r="F20">
        <v>1519086212.5999999</v>
      </c>
      <c r="G20">
        <f t="shared" si="0"/>
        <v>5.5428315566883619E-3</v>
      </c>
      <c r="H20">
        <f t="shared" si="1"/>
        <v>8.6479746174720056</v>
      </c>
      <c r="I20">
        <f t="shared" si="2"/>
        <v>139.64787096774199</v>
      </c>
      <c r="J20">
        <f t="shared" si="3"/>
        <v>101.47194479015955</v>
      </c>
      <c r="K20">
        <f t="shared" si="4"/>
        <v>9.6916472573976478</v>
      </c>
      <c r="L20">
        <f t="shared" si="5"/>
        <v>13.337853221052958</v>
      </c>
      <c r="M20">
        <f t="shared" si="6"/>
        <v>0.42307362589546149</v>
      </c>
      <c r="N20">
        <f t="shared" si="7"/>
        <v>2.3938198812080227</v>
      </c>
      <c r="O20">
        <f t="shared" si="8"/>
        <v>0.38549852000768009</v>
      </c>
      <c r="P20">
        <f t="shared" si="9"/>
        <v>0.24403384048886662</v>
      </c>
      <c r="Q20">
        <f t="shared" si="10"/>
        <v>289.49523500201195</v>
      </c>
      <c r="R20">
        <f t="shared" si="11"/>
        <v>25.585825337010796</v>
      </c>
      <c r="S20">
        <f t="shared" si="12"/>
        <v>25.585825337010796</v>
      </c>
      <c r="T20">
        <f t="shared" si="13"/>
        <v>3.2924416066922326</v>
      </c>
      <c r="U20">
        <f t="shared" si="14"/>
        <v>60.579668088055406</v>
      </c>
      <c r="V20">
        <f t="shared" si="15"/>
        <v>1.9568953037312813</v>
      </c>
      <c r="W20">
        <f t="shared" si="16"/>
        <v>3.2302839640633909</v>
      </c>
      <c r="X20">
        <f t="shared" si="17"/>
        <v>1.3355463029609513</v>
      </c>
      <c r="Y20">
        <f t="shared" si="18"/>
        <v>-244.43887164995675</v>
      </c>
      <c r="Z20">
        <f t="shared" si="19"/>
        <v>-41.389324852974894</v>
      </c>
      <c r="AA20">
        <f t="shared" si="20"/>
        <v>-3.6729572080178285</v>
      </c>
      <c r="AB20">
        <f t="shared" si="21"/>
        <v>-5.9187089375001278E-3</v>
      </c>
      <c r="AC20">
        <v>-3.9550746228423098E-2</v>
      </c>
      <c r="AD20">
        <v>4.43991774770729E-2</v>
      </c>
      <c r="AE20">
        <v>3.34603447849392</v>
      </c>
      <c r="AF20">
        <v>10</v>
      </c>
      <c r="AG20">
        <v>2</v>
      </c>
      <c r="AH20">
        <f t="shared" si="22"/>
        <v>1</v>
      </c>
      <c r="AI20">
        <f t="shared" si="23"/>
        <v>0</v>
      </c>
      <c r="AJ20">
        <f t="shared" si="24"/>
        <v>50727.521208316095</v>
      </c>
      <c r="AK20" t="s">
        <v>279</v>
      </c>
      <c r="AL20">
        <v>580.33307692307699</v>
      </c>
      <c r="AM20">
        <v>2824.36</v>
      </c>
      <c r="AN20">
        <f t="shared" si="25"/>
        <v>2244.0269230769231</v>
      </c>
      <c r="AO20">
        <f t="shared" si="26"/>
        <v>0.79452581224664098</v>
      </c>
      <c r="AP20">
        <v>-2.5011690977444898</v>
      </c>
      <c r="AQ20" t="s">
        <v>299</v>
      </c>
      <c r="AR20">
        <v>683.53634615384601</v>
      </c>
      <c r="AS20">
        <v>905.93600000000004</v>
      </c>
      <c r="AT20">
        <f t="shared" si="27"/>
        <v>0.24549157318635539</v>
      </c>
      <c r="AU20">
        <v>0.5</v>
      </c>
      <c r="AV20">
        <f t="shared" si="28"/>
        <v>1513.1755068465179</v>
      </c>
      <c r="AW20">
        <f t="shared" si="29"/>
        <v>8.6479746174720056</v>
      </c>
      <c r="AX20">
        <f t="shared" si="30"/>
        <v>185.73591784140618</v>
      </c>
      <c r="AY20">
        <f t="shared" si="31"/>
        <v>1</v>
      </c>
      <c r="AZ20">
        <f t="shared" si="32"/>
        <v>7.3680440006932777E-3</v>
      </c>
      <c r="BA20">
        <f t="shared" si="33"/>
        <v>2.1176153723883364</v>
      </c>
      <c r="BB20" t="s">
        <v>281</v>
      </c>
      <c r="BC20">
        <v>0</v>
      </c>
      <c r="BD20">
        <f t="shared" si="34"/>
        <v>905.93600000000004</v>
      </c>
      <c r="BE20">
        <f t="shared" si="35"/>
        <v>0.24549157318635534</v>
      </c>
      <c r="BF20">
        <f t="shared" si="36"/>
        <v>0.67924202297157588</v>
      </c>
      <c r="BG20">
        <f t="shared" si="37"/>
        <v>0.6830394879274857</v>
      </c>
      <c r="BH20">
        <f t="shared" si="38"/>
        <v>0.85490239901824838</v>
      </c>
      <c r="BI20">
        <f t="shared" si="39"/>
        <v>1799.98903225806</v>
      </c>
      <c r="BJ20">
        <f t="shared" si="40"/>
        <v>1513.1755068465179</v>
      </c>
      <c r="BK20">
        <f t="shared" si="41"/>
        <v>0.8406581816491745</v>
      </c>
      <c r="BL20">
        <f t="shared" si="42"/>
        <v>0.19131636329834908</v>
      </c>
      <c r="BM20">
        <v>5.5</v>
      </c>
      <c r="BN20">
        <v>0.5</v>
      </c>
      <c r="BO20" t="s">
        <v>282</v>
      </c>
      <c r="BP20">
        <v>1519086212.5999999</v>
      </c>
      <c r="BQ20">
        <v>139.64787096774199</v>
      </c>
      <c r="BR20">
        <v>150.01093548387101</v>
      </c>
      <c r="BS20">
        <v>20.488774193548402</v>
      </c>
      <c r="BT20">
        <v>14.517248387096799</v>
      </c>
      <c r="BU20">
        <v>500.05580645161302</v>
      </c>
      <c r="BV20">
        <v>95.410448387096693</v>
      </c>
      <c r="BW20">
        <v>0.100160751612903</v>
      </c>
      <c r="BX20">
        <v>25.2651161290323</v>
      </c>
      <c r="BY20">
        <v>24.984735483870999</v>
      </c>
      <c r="BZ20">
        <v>999.9</v>
      </c>
      <c r="CA20">
        <v>0</v>
      </c>
      <c r="CB20">
        <v>0</v>
      </c>
      <c r="CC20">
        <v>9996.6564516129001</v>
      </c>
      <c r="CD20">
        <v>0</v>
      </c>
      <c r="CE20">
        <v>439.27964516128998</v>
      </c>
      <c r="CF20">
        <v>1799.98903225806</v>
      </c>
      <c r="CG20">
        <v>0.97799716129032299</v>
      </c>
      <c r="CH20">
        <v>2.20028258064516E-2</v>
      </c>
      <c r="CI20">
        <v>0</v>
      </c>
      <c r="CJ20">
        <v>683.540032258064</v>
      </c>
      <c r="CK20">
        <v>4.9993999999999996</v>
      </c>
      <c r="CL20">
        <v>12443.3774193548</v>
      </c>
      <c r="CM20">
        <v>14669.012903225799</v>
      </c>
      <c r="CN20">
        <v>47.25</v>
      </c>
      <c r="CO20">
        <v>47.561999999999998</v>
      </c>
      <c r="CP20">
        <v>47.811999999999998</v>
      </c>
      <c r="CQ20">
        <v>47.79</v>
      </c>
      <c r="CR20">
        <v>48.5</v>
      </c>
      <c r="CS20">
        <v>1755.4983870967701</v>
      </c>
      <c r="CT20">
        <v>39.490645161290303</v>
      </c>
      <c r="CU20">
        <v>0</v>
      </c>
      <c r="CV20">
        <v>119.700000047684</v>
      </c>
      <c r="CW20">
        <v>683.53634615384601</v>
      </c>
      <c r="CX20">
        <v>-0.395931627822321</v>
      </c>
      <c r="CY20">
        <v>-5.4769230745413804</v>
      </c>
      <c r="CZ20">
        <v>12443.4</v>
      </c>
      <c r="DA20">
        <v>15</v>
      </c>
      <c r="DB20">
        <v>1519086165.5999999</v>
      </c>
      <c r="DC20" t="s">
        <v>300</v>
      </c>
      <c r="DD20">
        <v>62</v>
      </c>
      <c r="DE20">
        <v>0.82599999999999996</v>
      </c>
      <c r="DF20">
        <v>0.14799999999999999</v>
      </c>
      <c r="DG20">
        <v>150</v>
      </c>
      <c r="DH20">
        <v>14</v>
      </c>
      <c r="DI20">
        <v>0.13</v>
      </c>
      <c r="DJ20">
        <v>0.02</v>
      </c>
      <c r="DK20">
        <v>8.6536013135673198</v>
      </c>
      <c r="DL20">
        <v>-9.76049931042582E-2</v>
      </c>
      <c r="DM20">
        <v>5.5506383128626102E-2</v>
      </c>
      <c r="DN20">
        <v>1</v>
      </c>
      <c r="DO20">
        <v>-10.3428512195122</v>
      </c>
      <c r="DP20">
        <v>-0.32393519163770002</v>
      </c>
      <c r="DQ20">
        <v>4.7272149909321597E-2</v>
      </c>
      <c r="DR20">
        <v>1</v>
      </c>
      <c r="DS20">
        <v>5.9420270731707303</v>
      </c>
      <c r="DT20">
        <v>0.67318243902447605</v>
      </c>
      <c r="DU20">
        <v>6.6684878647367704E-2</v>
      </c>
      <c r="DV20">
        <v>1</v>
      </c>
      <c r="DW20">
        <v>0.415678636388496</v>
      </c>
      <c r="DX20">
        <v>6.9200771796207997E-2</v>
      </c>
      <c r="DY20">
        <v>9.3204420823213806E-3</v>
      </c>
      <c r="DZ20">
        <v>1</v>
      </c>
      <c r="EA20">
        <v>4</v>
      </c>
      <c r="EB20">
        <v>4</v>
      </c>
      <c r="EC20" t="s">
        <v>284</v>
      </c>
      <c r="ED20">
        <v>1.8490599999999999</v>
      </c>
      <c r="EE20">
        <v>1.85318</v>
      </c>
      <c r="EF20">
        <v>1.85199</v>
      </c>
      <c r="EG20">
        <v>1.85625</v>
      </c>
      <c r="EH20">
        <v>1.85399</v>
      </c>
      <c r="EI20">
        <v>1.8544</v>
      </c>
      <c r="EJ20">
        <v>1.8466199999999999</v>
      </c>
      <c r="EK20">
        <v>1.85131</v>
      </c>
      <c r="EL20" t="s">
        <v>285</v>
      </c>
      <c r="EM20" t="s">
        <v>19</v>
      </c>
      <c r="EN20" t="s">
        <v>19</v>
      </c>
      <c r="EO20" t="s">
        <v>19</v>
      </c>
      <c r="EP20" t="s">
        <v>286</v>
      </c>
      <c r="EQ20" t="s">
        <v>287</v>
      </c>
      <c r="ER20" t="s">
        <v>288</v>
      </c>
      <c r="ES20" t="s">
        <v>288</v>
      </c>
      <c r="ET20" t="s">
        <v>288</v>
      </c>
      <c r="EU20" t="s">
        <v>288</v>
      </c>
      <c r="EV20">
        <v>0</v>
      </c>
      <c r="EW20">
        <v>100</v>
      </c>
      <c r="EX20">
        <v>100</v>
      </c>
      <c r="EY20">
        <v>0.82599999999999996</v>
      </c>
      <c r="EZ20">
        <v>0.14799999999999999</v>
      </c>
      <c r="FA20">
        <v>2</v>
      </c>
      <c r="FB20">
        <v>477.50299999999999</v>
      </c>
      <c r="FC20">
        <v>255.72399999999999</v>
      </c>
      <c r="FD20">
        <v>18.745000000000001</v>
      </c>
      <c r="FE20">
        <v>32.581200000000003</v>
      </c>
      <c r="FF20">
        <v>29.999700000000001</v>
      </c>
      <c r="FG20">
        <v>32.972299999999997</v>
      </c>
      <c r="FH20">
        <v>32.92</v>
      </c>
      <c r="FI20">
        <v>8.4260400000000004</v>
      </c>
      <c r="FJ20">
        <v>18.350000000000001</v>
      </c>
      <c r="FK20">
        <v>0</v>
      </c>
      <c r="FL20">
        <v>18.753</v>
      </c>
      <c r="FM20">
        <v>150</v>
      </c>
      <c r="FN20">
        <v>14.2967</v>
      </c>
      <c r="FO20">
        <v>99.639300000000006</v>
      </c>
      <c r="FP20">
        <v>117.88200000000001</v>
      </c>
    </row>
    <row r="21" spans="1:172" x14ac:dyDescent="0.25">
      <c r="A21">
        <v>5</v>
      </c>
      <c r="B21">
        <v>1519086341.0999999</v>
      </c>
      <c r="C21">
        <v>492.5</v>
      </c>
      <c r="D21" t="s">
        <v>301</v>
      </c>
      <c r="E21" t="s">
        <v>302</v>
      </c>
      <c r="F21">
        <v>1519086333.0999999</v>
      </c>
      <c r="G21">
        <f t="shared" si="0"/>
        <v>5.6267011337857364E-3</v>
      </c>
      <c r="H21">
        <f t="shared" si="1"/>
        <v>4.1643000575317464</v>
      </c>
      <c r="I21">
        <f t="shared" si="2"/>
        <v>94.839235483870993</v>
      </c>
      <c r="J21">
        <f t="shared" si="3"/>
        <v>76.056383730157251</v>
      </c>
      <c r="K21">
        <f t="shared" si="4"/>
        <v>7.2647706511519123</v>
      </c>
      <c r="L21">
        <f t="shared" si="5"/>
        <v>9.0588752808098629</v>
      </c>
      <c r="M21">
        <f t="shared" si="6"/>
        <v>0.42923937435442472</v>
      </c>
      <c r="N21">
        <f t="shared" si="7"/>
        <v>2.3926614278080676</v>
      </c>
      <c r="O21">
        <f t="shared" si="8"/>
        <v>0.39059765069816105</v>
      </c>
      <c r="P21">
        <f t="shared" si="9"/>
        <v>0.24730479724989657</v>
      </c>
      <c r="Q21">
        <f t="shared" si="10"/>
        <v>289.50196868695105</v>
      </c>
      <c r="R21">
        <f t="shared" si="11"/>
        <v>25.591372975153593</v>
      </c>
      <c r="S21">
        <f t="shared" si="12"/>
        <v>25.591372975153593</v>
      </c>
      <c r="T21">
        <f t="shared" si="13"/>
        <v>3.2935259404403623</v>
      </c>
      <c r="U21">
        <f t="shared" si="14"/>
        <v>60.417990716238911</v>
      </c>
      <c r="V21">
        <f t="shared" si="15"/>
        <v>1.9553572484368713</v>
      </c>
      <c r="W21">
        <f t="shared" si="16"/>
        <v>3.2363824504202157</v>
      </c>
      <c r="X21">
        <f t="shared" si="17"/>
        <v>1.338168692003491</v>
      </c>
      <c r="Y21">
        <f t="shared" si="18"/>
        <v>-248.13751999995097</v>
      </c>
      <c r="Z21">
        <f t="shared" si="19"/>
        <v>-37.995403126882195</v>
      </c>
      <c r="AA21">
        <f t="shared" si="20"/>
        <v>-3.3740389992267752</v>
      </c>
      <c r="AB21">
        <f t="shared" si="21"/>
        <v>-4.9934391089152541E-3</v>
      </c>
      <c r="AC21">
        <v>-3.9523959139918699E-2</v>
      </c>
      <c r="AD21">
        <v>4.4369106623548801E-2</v>
      </c>
      <c r="AE21">
        <v>3.3442311053610898</v>
      </c>
      <c r="AF21">
        <v>9</v>
      </c>
      <c r="AG21">
        <v>2</v>
      </c>
      <c r="AH21">
        <f t="shared" si="22"/>
        <v>1</v>
      </c>
      <c r="AI21">
        <f t="shared" si="23"/>
        <v>0</v>
      </c>
      <c r="AJ21">
        <f t="shared" si="24"/>
        <v>50689.338023826902</v>
      </c>
      <c r="AK21" t="s">
        <v>279</v>
      </c>
      <c r="AL21">
        <v>580.33307692307699</v>
      </c>
      <c r="AM21">
        <v>2824.36</v>
      </c>
      <c r="AN21">
        <f t="shared" si="25"/>
        <v>2244.0269230769231</v>
      </c>
      <c r="AO21">
        <f t="shared" si="26"/>
        <v>0.79452581224664098</v>
      </c>
      <c r="AP21">
        <v>-2.5011690977444898</v>
      </c>
      <c r="AQ21" t="s">
        <v>303</v>
      </c>
      <c r="AR21">
        <v>684.38826923076897</v>
      </c>
      <c r="AS21">
        <v>874.87400000000002</v>
      </c>
      <c r="AT21">
        <f t="shared" si="27"/>
        <v>0.21772933104564896</v>
      </c>
      <c r="AU21">
        <v>0.5</v>
      </c>
      <c r="AV21">
        <f t="shared" si="28"/>
        <v>1513.2102674998882</v>
      </c>
      <c r="AW21">
        <f t="shared" si="29"/>
        <v>4.1643000575317464</v>
      </c>
      <c r="AX21">
        <f t="shared" si="30"/>
        <v>164.7351296370791</v>
      </c>
      <c r="AY21">
        <f t="shared" si="31"/>
        <v>1</v>
      </c>
      <c r="AZ21">
        <f t="shared" si="32"/>
        <v>4.4048532437523449E-3</v>
      </c>
      <c r="BA21">
        <f t="shared" si="33"/>
        <v>2.22830487590213</v>
      </c>
      <c r="BB21" t="s">
        <v>281</v>
      </c>
      <c r="BC21">
        <v>0</v>
      </c>
      <c r="BD21">
        <f t="shared" si="34"/>
        <v>874.87400000000002</v>
      </c>
      <c r="BE21">
        <f t="shared" si="35"/>
        <v>0.21772933104564893</v>
      </c>
      <c r="BF21">
        <f t="shared" si="36"/>
        <v>0.69023991275899677</v>
      </c>
      <c r="BG21">
        <f t="shared" si="37"/>
        <v>0.64672076389019573</v>
      </c>
      <c r="BH21">
        <f t="shared" si="38"/>
        <v>0.86874447893296225</v>
      </c>
      <c r="BI21">
        <f t="shared" si="39"/>
        <v>1800.0303225806499</v>
      </c>
      <c r="BJ21">
        <f t="shared" si="40"/>
        <v>1513.2102674998882</v>
      </c>
      <c r="BK21">
        <f t="shared" si="41"/>
        <v>0.84065820920752254</v>
      </c>
      <c r="BL21">
        <f t="shared" si="42"/>
        <v>0.19131641841504515</v>
      </c>
      <c r="BM21">
        <v>5.5</v>
      </c>
      <c r="BN21">
        <v>0.5</v>
      </c>
      <c r="BO21" t="s">
        <v>282</v>
      </c>
      <c r="BP21">
        <v>1519086333.0999999</v>
      </c>
      <c r="BQ21">
        <v>94.839235483870993</v>
      </c>
      <c r="BR21">
        <v>100.00635806451599</v>
      </c>
      <c r="BS21">
        <v>20.471038709677401</v>
      </c>
      <c r="BT21">
        <v>14.4090774193548</v>
      </c>
      <c r="BU21">
        <v>500.05832258064498</v>
      </c>
      <c r="BV21">
        <v>95.418019354838705</v>
      </c>
      <c r="BW21">
        <v>0.100204032258064</v>
      </c>
      <c r="BX21">
        <v>25.2968193548387</v>
      </c>
      <c r="BY21">
        <v>25.0089419354839</v>
      </c>
      <c r="BZ21">
        <v>999.9</v>
      </c>
      <c r="CA21">
        <v>0</v>
      </c>
      <c r="CB21">
        <v>0</v>
      </c>
      <c r="CC21">
        <v>9989.0932258064495</v>
      </c>
      <c r="CD21">
        <v>0</v>
      </c>
      <c r="CE21">
        <v>421.93248387096799</v>
      </c>
      <c r="CF21">
        <v>1800.0303225806499</v>
      </c>
      <c r="CG21">
        <v>0.97799690322580701</v>
      </c>
      <c r="CH21">
        <v>2.2003064516129E-2</v>
      </c>
      <c r="CI21">
        <v>0</v>
      </c>
      <c r="CJ21">
        <v>684.41364516128999</v>
      </c>
      <c r="CK21">
        <v>4.9993999999999996</v>
      </c>
      <c r="CL21">
        <v>12460.0774193548</v>
      </c>
      <c r="CM21">
        <v>14669.341935483901</v>
      </c>
      <c r="CN21">
        <v>47.276000000000003</v>
      </c>
      <c r="CO21">
        <v>47.558</v>
      </c>
      <c r="CP21">
        <v>47.818096774193499</v>
      </c>
      <c r="CQ21">
        <v>47.75</v>
      </c>
      <c r="CR21">
        <v>48.5</v>
      </c>
      <c r="CS21">
        <v>1755.5380645161299</v>
      </c>
      <c r="CT21">
        <v>39.493225806451598</v>
      </c>
      <c r="CU21">
        <v>0</v>
      </c>
      <c r="CV21">
        <v>119.799999952316</v>
      </c>
      <c r="CW21">
        <v>684.38826923076897</v>
      </c>
      <c r="CX21">
        <v>0.211384608843359</v>
      </c>
      <c r="CY21">
        <v>-1.7470085063924501</v>
      </c>
      <c r="CZ21">
        <v>12460.1730769231</v>
      </c>
      <c r="DA21">
        <v>15</v>
      </c>
      <c r="DB21">
        <v>1519086287.5999999</v>
      </c>
      <c r="DC21" t="s">
        <v>304</v>
      </c>
      <c r="DD21">
        <v>63</v>
      </c>
      <c r="DE21">
        <v>0.72499999999999998</v>
      </c>
      <c r="DF21">
        <v>0.14499999999999999</v>
      </c>
      <c r="DG21">
        <v>100</v>
      </c>
      <c r="DH21">
        <v>14</v>
      </c>
      <c r="DI21">
        <v>0.32</v>
      </c>
      <c r="DJ21">
        <v>0.02</v>
      </c>
      <c r="DK21">
        <v>4.1651439667352701</v>
      </c>
      <c r="DL21">
        <v>-8.24222280952637E-2</v>
      </c>
      <c r="DM21">
        <v>6.3991770703713202E-2</v>
      </c>
      <c r="DN21">
        <v>1</v>
      </c>
      <c r="DO21">
        <v>-5.1632878048780499</v>
      </c>
      <c r="DP21">
        <v>0.16400216027874301</v>
      </c>
      <c r="DQ21">
        <v>8.0099605325058998E-2</v>
      </c>
      <c r="DR21">
        <v>1</v>
      </c>
      <c r="DS21">
        <v>6.0358499999999999</v>
      </c>
      <c r="DT21">
        <v>0.427076445992918</v>
      </c>
      <c r="DU21">
        <v>4.8245854213398297E-2</v>
      </c>
      <c r="DV21">
        <v>1</v>
      </c>
      <c r="DW21">
        <v>0.42302744929231001</v>
      </c>
      <c r="DX21">
        <v>5.48957365416868E-2</v>
      </c>
      <c r="DY21">
        <v>8.0374221151141897E-3</v>
      </c>
      <c r="DZ21">
        <v>1</v>
      </c>
      <c r="EA21">
        <v>4</v>
      </c>
      <c r="EB21">
        <v>4</v>
      </c>
      <c r="EC21" t="s">
        <v>284</v>
      </c>
      <c r="ED21">
        <v>1.8490599999999999</v>
      </c>
      <c r="EE21">
        <v>1.85318</v>
      </c>
      <c r="EF21">
        <v>1.8519600000000001</v>
      </c>
      <c r="EG21">
        <v>1.85625</v>
      </c>
      <c r="EH21">
        <v>1.8539699999999999</v>
      </c>
      <c r="EI21">
        <v>1.8544</v>
      </c>
      <c r="EJ21">
        <v>1.8466199999999999</v>
      </c>
      <c r="EK21">
        <v>1.8512999999999999</v>
      </c>
      <c r="EL21" t="s">
        <v>285</v>
      </c>
      <c r="EM21" t="s">
        <v>19</v>
      </c>
      <c r="EN21" t="s">
        <v>19</v>
      </c>
      <c r="EO21" t="s">
        <v>19</v>
      </c>
      <c r="EP21" t="s">
        <v>286</v>
      </c>
      <c r="EQ21" t="s">
        <v>287</v>
      </c>
      <c r="ER21" t="s">
        <v>288</v>
      </c>
      <c r="ES21" t="s">
        <v>288</v>
      </c>
      <c r="ET21" t="s">
        <v>288</v>
      </c>
      <c r="EU21" t="s">
        <v>288</v>
      </c>
      <c r="EV21">
        <v>0</v>
      </c>
      <c r="EW21">
        <v>100</v>
      </c>
      <c r="EX21">
        <v>100</v>
      </c>
      <c r="EY21">
        <v>0.72499999999999998</v>
      </c>
      <c r="EZ21">
        <v>0.14499999999999999</v>
      </c>
      <c r="FA21">
        <v>2</v>
      </c>
      <c r="FB21">
        <v>477.61900000000003</v>
      </c>
      <c r="FC21">
        <v>255.71799999999999</v>
      </c>
      <c r="FD21">
        <v>18.7562</v>
      </c>
      <c r="FE21">
        <v>32.523899999999998</v>
      </c>
      <c r="FF21">
        <v>30</v>
      </c>
      <c r="FG21">
        <v>32.917000000000002</v>
      </c>
      <c r="FH21">
        <v>32.865299999999998</v>
      </c>
      <c r="FI21">
        <v>6.5850499999999998</v>
      </c>
      <c r="FJ21">
        <v>17.9801</v>
      </c>
      <c r="FK21">
        <v>0</v>
      </c>
      <c r="FL21">
        <v>18.761500000000002</v>
      </c>
      <c r="FM21">
        <v>100</v>
      </c>
      <c r="FN21">
        <v>14.2752</v>
      </c>
      <c r="FO21">
        <v>99.6494</v>
      </c>
      <c r="FP21">
        <v>117.89400000000001</v>
      </c>
    </row>
    <row r="22" spans="1:172" x14ac:dyDescent="0.25">
      <c r="A22">
        <v>6</v>
      </c>
      <c r="B22">
        <v>1519086461.5999999</v>
      </c>
      <c r="C22">
        <v>613</v>
      </c>
      <c r="D22" t="s">
        <v>305</v>
      </c>
      <c r="E22" t="s">
        <v>306</v>
      </c>
      <c r="F22">
        <v>1519086453.5999999</v>
      </c>
      <c r="G22">
        <f t="shared" si="0"/>
        <v>5.7182102608657479E-3</v>
      </c>
      <c r="H22">
        <f t="shared" si="1"/>
        <v>1.8371307752795552</v>
      </c>
      <c r="I22">
        <f t="shared" si="2"/>
        <v>72.520706451612895</v>
      </c>
      <c r="J22">
        <f t="shared" si="3"/>
        <v>63.686485762759027</v>
      </c>
      <c r="K22">
        <f t="shared" si="4"/>
        <v>6.082664899878889</v>
      </c>
      <c r="L22">
        <f t="shared" si="5"/>
        <v>6.9264169684425072</v>
      </c>
      <c r="M22">
        <f t="shared" si="6"/>
        <v>0.43812262658554846</v>
      </c>
      <c r="N22">
        <f t="shared" si="7"/>
        <v>2.3951305449862748</v>
      </c>
      <c r="O22">
        <f t="shared" si="8"/>
        <v>0.3979823662578334</v>
      </c>
      <c r="P22">
        <f t="shared" si="9"/>
        <v>0.25203824262062791</v>
      </c>
      <c r="Q22">
        <f t="shared" si="10"/>
        <v>289.49833624673136</v>
      </c>
      <c r="R22">
        <f t="shared" si="11"/>
        <v>25.571566165393349</v>
      </c>
      <c r="S22">
        <f t="shared" si="12"/>
        <v>25.571566165393349</v>
      </c>
      <c r="T22">
        <f t="shared" si="13"/>
        <v>3.289655959419866</v>
      </c>
      <c r="U22">
        <f t="shared" si="14"/>
        <v>60.375518645139969</v>
      </c>
      <c r="V22">
        <f t="shared" si="15"/>
        <v>1.9550534337358008</v>
      </c>
      <c r="W22">
        <f t="shared" si="16"/>
        <v>3.2381559241366054</v>
      </c>
      <c r="X22">
        <f t="shared" si="17"/>
        <v>1.3346025256840652</v>
      </c>
      <c r="Y22">
        <f t="shared" si="18"/>
        <v>-252.17307250417949</v>
      </c>
      <c r="Z22">
        <f t="shared" si="19"/>
        <v>-34.287821656958357</v>
      </c>
      <c r="AA22">
        <f t="shared" si="20"/>
        <v>-3.0415001618335946</v>
      </c>
      <c r="AB22">
        <f t="shared" si="21"/>
        <v>-4.058076240085029E-3</v>
      </c>
      <c r="AC22">
        <v>-3.9581063998591702E-2</v>
      </c>
      <c r="AD22">
        <v>4.4433211830069701E-2</v>
      </c>
      <c r="AE22">
        <v>3.3480750658782901</v>
      </c>
      <c r="AF22">
        <v>9</v>
      </c>
      <c r="AG22">
        <v>2</v>
      </c>
      <c r="AH22">
        <f t="shared" si="22"/>
        <v>1</v>
      </c>
      <c r="AI22">
        <f t="shared" si="23"/>
        <v>0</v>
      </c>
      <c r="AJ22">
        <f t="shared" si="24"/>
        <v>50757.838139948093</v>
      </c>
      <c r="AK22" t="s">
        <v>279</v>
      </c>
      <c r="AL22">
        <v>580.33307692307699</v>
      </c>
      <c r="AM22">
        <v>2824.36</v>
      </c>
      <c r="AN22">
        <f t="shared" si="25"/>
        <v>2244.0269230769231</v>
      </c>
      <c r="AO22">
        <f t="shared" si="26"/>
        <v>0.79452581224664098</v>
      </c>
      <c r="AP22">
        <v>-2.5011690977444898</v>
      </c>
      <c r="AQ22" t="s">
        <v>307</v>
      </c>
      <c r="AR22">
        <v>684.69757692307701</v>
      </c>
      <c r="AS22">
        <v>850.62300000000005</v>
      </c>
      <c r="AT22">
        <f t="shared" si="27"/>
        <v>0.19506341008522343</v>
      </c>
      <c r="AU22">
        <v>0.5</v>
      </c>
      <c r="AV22">
        <f t="shared" si="28"/>
        <v>1513.1900671157089</v>
      </c>
      <c r="AW22">
        <f t="shared" si="29"/>
        <v>1.8371307752795552</v>
      </c>
      <c r="AX22">
        <f t="shared" si="30"/>
        <v>147.58400729933913</v>
      </c>
      <c r="AY22">
        <f t="shared" si="31"/>
        <v>1</v>
      </c>
      <c r="AZ22">
        <f t="shared" si="32"/>
        <v>2.8669893936676951E-3</v>
      </c>
      <c r="BA22">
        <f t="shared" si="33"/>
        <v>2.3203428545901064</v>
      </c>
      <c r="BB22" t="s">
        <v>281</v>
      </c>
      <c r="BC22">
        <v>0</v>
      </c>
      <c r="BD22">
        <f t="shared" si="34"/>
        <v>850.62300000000005</v>
      </c>
      <c r="BE22">
        <f t="shared" si="35"/>
        <v>0.19506341008522346</v>
      </c>
      <c r="BF22">
        <f t="shared" si="36"/>
        <v>0.69882628276848557</v>
      </c>
      <c r="BG22">
        <f t="shared" si="37"/>
        <v>0.6138794269059803</v>
      </c>
      <c r="BH22">
        <f t="shared" si="38"/>
        <v>0.87955139027195273</v>
      </c>
      <c r="BI22">
        <f t="shared" si="39"/>
        <v>1800.0061290322601</v>
      </c>
      <c r="BJ22">
        <f t="shared" si="40"/>
        <v>1513.1900671157089</v>
      </c>
      <c r="BK22">
        <f t="shared" si="41"/>
        <v>0.84065828594108594</v>
      </c>
      <c r="BL22">
        <f t="shared" si="42"/>
        <v>0.1913165718821721</v>
      </c>
      <c r="BM22">
        <v>5.5</v>
      </c>
      <c r="BN22">
        <v>0.5</v>
      </c>
      <c r="BO22" t="s">
        <v>282</v>
      </c>
      <c r="BP22">
        <v>1519086453.5999999</v>
      </c>
      <c r="BQ22">
        <v>72.520706451612895</v>
      </c>
      <c r="BR22">
        <v>74.997458064516096</v>
      </c>
      <c r="BS22">
        <v>20.469725806451599</v>
      </c>
      <c r="BT22">
        <v>14.309070967741899</v>
      </c>
      <c r="BU22">
        <v>500.05041935483899</v>
      </c>
      <c r="BV22">
        <v>95.409732258064494</v>
      </c>
      <c r="BW22">
        <v>9.9775403225806497E-2</v>
      </c>
      <c r="BX22">
        <v>25.306029032258099</v>
      </c>
      <c r="BY22">
        <v>24.9928548387097</v>
      </c>
      <c r="BZ22">
        <v>999.9</v>
      </c>
      <c r="CA22">
        <v>0</v>
      </c>
      <c r="CB22">
        <v>0</v>
      </c>
      <c r="CC22">
        <v>10004.394516128999</v>
      </c>
      <c r="CD22">
        <v>0</v>
      </c>
      <c r="CE22">
        <v>411.71916129032297</v>
      </c>
      <c r="CF22">
        <v>1800.0061290322601</v>
      </c>
      <c r="CG22">
        <v>0.97799690322580701</v>
      </c>
      <c r="CH22">
        <v>2.2003064516129E-2</v>
      </c>
      <c r="CI22">
        <v>0</v>
      </c>
      <c r="CJ22">
        <v>684.69048387096802</v>
      </c>
      <c r="CK22">
        <v>4.9993999999999996</v>
      </c>
      <c r="CL22">
        <v>12463.1935483871</v>
      </c>
      <c r="CM22">
        <v>14669.151612903201</v>
      </c>
      <c r="CN22">
        <v>47.283999999999999</v>
      </c>
      <c r="CO22">
        <v>47.503999999999998</v>
      </c>
      <c r="CP22">
        <v>47.8241935483871</v>
      </c>
      <c r="CQ22">
        <v>47.75</v>
      </c>
      <c r="CR22">
        <v>48.5</v>
      </c>
      <c r="CS22">
        <v>1755.5151612903201</v>
      </c>
      <c r="CT22">
        <v>39.497419354838698</v>
      </c>
      <c r="CU22">
        <v>0</v>
      </c>
      <c r="CV22">
        <v>119.700000047684</v>
      </c>
      <c r="CW22">
        <v>684.69757692307701</v>
      </c>
      <c r="CX22">
        <v>2.69743509188199E-2</v>
      </c>
      <c r="CY22">
        <v>-4.9094017009316797</v>
      </c>
      <c r="CZ22">
        <v>12463.2</v>
      </c>
      <c r="DA22">
        <v>15</v>
      </c>
      <c r="DB22">
        <v>1519086410.0999999</v>
      </c>
      <c r="DC22" t="s">
        <v>308</v>
      </c>
      <c r="DD22">
        <v>64</v>
      </c>
      <c r="DE22">
        <v>0.76100000000000001</v>
      </c>
      <c r="DF22">
        <v>0.14599999999999999</v>
      </c>
      <c r="DG22">
        <v>75</v>
      </c>
      <c r="DH22">
        <v>14</v>
      </c>
      <c r="DI22">
        <v>0.31</v>
      </c>
      <c r="DJ22">
        <v>0.01</v>
      </c>
      <c r="DK22">
        <v>1.84163199240386</v>
      </c>
      <c r="DL22">
        <v>-7.20104352267254E-2</v>
      </c>
      <c r="DM22">
        <v>2.1443953157419499E-2</v>
      </c>
      <c r="DN22">
        <v>1</v>
      </c>
      <c r="DO22">
        <v>-2.4796431707317099</v>
      </c>
      <c r="DP22">
        <v>9.1489337978699306E-2</v>
      </c>
      <c r="DQ22">
        <v>2.4066262737317198E-2</v>
      </c>
      <c r="DR22">
        <v>1</v>
      </c>
      <c r="DS22">
        <v>6.14287878048781</v>
      </c>
      <c r="DT22">
        <v>0.39475170731655301</v>
      </c>
      <c r="DU22">
        <v>4.0380967214108901E-2</v>
      </c>
      <c r="DV22">
        <v>1</v>
      </c>
      <c r="DW22">
        <v>0.43374980878617903</v>
      </c>
      <c r="DX22">
        <v>4.2563567552589901E-2</v>
      </c>
      <c r="DY22">
        <v>6.0472683130742798E-3</v>
      </c>
      <c r="DZ22">
        <v>1</v>
      </c>
      <c r="EA22">
        <v>4</v>
      </c>
      <c r="EB22">
        <v>4</v>
      </c>
      <c r="EC22" t="s">
        <v>284</v>
      </c>
      <c r="ED22">
        <v>1.8490599999999999</v>
      </c>
      <c r="EE22">
        <v>1.85318</v>
      </c>
      <c r="EF22">
        <v>1.8520099999999999</v>
      </c>
      <c r="EG22">
        <v>1.8562399999999999</v>
      </c>
      <c r="EH22">
        <v>1.85402</v>
      </c>
      <c r="EI22">
        <v>1.8544</v>
      </c>
      <c r="EJ22">
        <v>1.84663</v>
      </c>
      <c r="EK22">
        <v>1.8512900000000001</v>
      </c>
      <c r="EL22" t="s">
        <v>285</v>
      </c>
      <c r="EM22" t="s">
        <v>19</v>
      </c>
      <c r="EN22" t="s">
        <v>19</v>
      </c>
      <c r="EO22" t="s">
        <v>19</v>
      </c>
      <c r="EP22" t="s">
        <v>286</v>
      </c>
      <c r="EQ22" t="s">
        <v>287</v>
      </c>
      <c r="ER22" t="s">
        <v>288</v>
      </c>
      <c r="ES22" t="s">
        <v>288</v>
      </c>
      <c r="ET22" t="s">
        <v>288</v>
      </c>
      <c r="EU22" t="s">
        <v>288</v>
      </c>
      <c r="EV22">
        <v>0</v>
      </c>
      <c r="EW22">
        <v>100</v>
      </c>
      <c r="EX22">
        <v>100</v>
      </c>
      <c r="EY22">
        <v>0.76100000000000001</v>
      </c>
      <c r="EZ22">
        <v>0.14599999999999999</v>
      </c>
      <c r="FA22">
        <v>2</v>
      </c>
      <c r="FB22">
        <v>477.65800000000002</v>
      </c>
      <c r="FC22">
        <v>255.482</v>
      </c>
      <c r="FD22">
        <v>18.820499999999999</v>
      </c>
      <c r="FE22">
        <v>32.471400000000003</v>
      </c>
      <c r="FF22">
        <v>29.999400000000001</v>
      </c>
      <c r="FG22">
        <v>32.863599999999998</v>
      </c>
      <c r="FH22">
        <v>32.812399999999997</v>
      </c>
      <c r="FI22">
        <v>5.6673499999999999</v>
      </c>
      <c r="FJ22">
        <v>18.3293</v>
      </c>
      <c r="FK22">
        <v>0</v>
      </c>
      <c r="FL22">
        <v>18.831199999999999</v>
      </c>
      <c r="FM22">
        <v>75</v>
      </c>
      <c r="FN22">
        <v>14.1569</v>
      </c>
      <c r="FO22">
        <v>99.660399999999996</v>
      </c>
      <c r="FP22">
        <v>117.907</v>
      </c>
    </row>
    <row r="23" spans="1:172" x14ac:dyDescent="0.25">
      <c r="A23">
        <v>11</v>
      </c>
      <c r="B23">
        <v>1519087096.5999999</v>
      </c>
      <c r="C23">
        <v>1248</v>
      </c>
      <c r="D23" t="s">
        <v>309</v>
      </c>
      <c r="E23" t="s">
        <v>310</v>
      </c>
      <c r="F23">
        <v>1519087088.5999999</v>
      </c>
      <c r="G23">
        <f t="shared" si="0"/>
        <v>5.9486093952266549E-3</v>
      </c>
      <c r="H23">
        <f t="shared" si="1"/>
        <v>26.512733902792991</v>
      </c>
      <c r="I23">
        <f t="shared" si="2"/>
        <v>368.50322580645201</v>
      </c>
      <c r="J23">
        <f t="shared" si="3"/>
        <v>258.27604499019714</v>
      </c>
      <c r="K23">
        <f t="shared" si="4"/>
        <v>24.666828936247722</v>
      </c>
      <c r="L23">
        <f t="shared" si="5"/>
        <v>35.194150637424478</v>
      </c>
      <c r="M23">
        <f t="shared" si="6"/>
        <v>0.44835583024484582</v>
      </c>
      <c r="N23">
        <f t="shared" si="7"/>
        <v>2.3941090627284574</v>
      </c>
      <c r="O23">
        <f t="shared" si="8"/>
        <v>0.406398436073657</v>
      </c>
      <c r="P23">
        <f t="shared" si="9"/>
        <v>0.25744073487276797</v>
      </c>
      <c r="Q23">
        <f t="shared" si="10"/>
        <v>289.49706989145801</v>
      </c>
      <c r="R23">
        <f t="shared" si="11"/>
        <v>25.71312154898623</v>
      </c>
      <c r="S23">
        <f t="shared" si="12"/>
        <v>25.71312154898623</v>
      </c>
      <c r="T23">
        <f t="shared" si="13"/>
        <v>3.3174014305394</v>
      </c>
      <c r="U23">
        <f t="shared" si="14"/>
        <v>59.704759786425178</v>
      </c>
      <c r="V23">
        <f t="shared" si="15"/>
        <v>1.9580577302109552</v>
      </c>
      <c r="W23">
        <f t="shared" si="16"/>
        <v>3.2795672191217</v>
      </c>
      <c r="X23">
        <f t="shared" si="17"/>
        <v>1.3593437003284448</v>
      </c>
      <c r="Y23">
        <f t="shared" si="18"/>
        <v>-262.33367432949547</v>
      </c>
      <c r="Z23">
        <f t="shared" si="19"/>
        <v>-24.947665873364013</v>
      </c>
      <c r="AA23">
        <f t="shared" si="20"/>
        <v>-2.2178825835634339</v>
      </c>
      <c r="AB23">
        <f t="shared" si="21"/>
        <v>-2.1528949649045614E-3</v>
      </c>
      <c r="AC23">
        <v>-3.9557434450570098E-2</v>
      </c>
      <c r="AD23">
        <v>4.44066855923533E-2</v>
      </c>
      <c r="AE23">
        <v>3.3464846841002598</v>
      </c>
      <c r="AF23">
        <v>10</v>
      </c>
      <c r="AG23">
        <v>2</v>
      </c>
      <c r="AH23">
        <f t="shared" si="22"/>
        <v>1</v>
      </c>
      <c r="AI23">
        <f t="shared" si="23"/>
        <v>0</v>
      </c>
      <c r="AJ23">
        <f t="shared" si="24"/>
        <v>50692.352064225044</v>
      </c>
      <c r="AK23" t="s">
        <v>279</v>
      </c>
      <c r="AL23">
        <v>580.33307692307699</v>
      </c>
      <c r="AM23">
        <v>2824.36</v>
      </c>
      <c r="AN23">
        <f t="shared" si="25"/>
        <v>2244.0269230769231</v>
      </c>
      <c r="AO23">
        <f t="shared" si="26"/>
        <v>0.79452581224664098</v>
      </c>
      <c r="AP23">
        <v>-2.5011690977444898</v>
      </c>
      <c r="AQ23" t="s">
        <v>311</v>
      </c>
      <c r="AR23">
        <v>684.52819230769205</v>
      </c>
      <c r="AS23">
        <v>987.85400000000004</v>
      </c>
      <c r="AT23">
        <f t="shared" si="27"/>
        <v>0.30705530138290471</v>
      </c>
      <c r="AU23">
        <v>0.5</v>
      </c>
      <c r="AV23">
        <f t="shared" si="28"/>
        <v>1513.1852517954926</v>
      </c>
      <c r="AW23">
        <f t="shared" si="29"/>
        <v>26.512733902792991</v>
      </c>
      <c r="AX23">
        <f t="shared" si="30"/>
        <v>232.31577676911576</v>
      </c>
      <c r="AY23">
        <f t="shared" si="31"/>
        <v>1</v>
      </c>
      <c r="AZ23">
        <f t="shared" si="32"/>
        <v>1.9174058804836091E-2</v>
      </c>
      <c r="BA23">
        <f t="shared" si="33"/>
        <v>1.8590864641941016</v>
      </c>
      <c r="BB23" t="s">
        <v>281</v>
      </c>
      <c r="BC23">
        <v>0</v>
      </c>
      <c r="BD23">
        <f t="shared" si="34"/>
        <v>987.85400000000004</v>
      </c>
      <c r="BE23">
        <f t="shared" si="35"/>
        <v>0.30705530138290471</v>
      </c>
      <c r="BF23">
        <f t="shared" si="36"/>
        <v>0.65023793000892238</v>
      </c>
      <c r="BG23">
        <f t="shared" si="37"/>
        <v>0.74431959321767793</v>
      </c>
      <c r="BH23">
        <f t="shared" si="38"/>
        <v>0.81839748940349344</v>
      </c>
      <c r="BI23">
        <f t="shared" si="39"/>
        <v>1800.0006451612901</v>
      </c>
      <c r="BJ23">
        <f t="shared" si="40"/>
        <v>1513.1852517954926</v>
      </c>
      <c r="BK23">
        <f t="shared" si="41"/>
        <v>0.84065817190854553</v>
      </c>
      <c r="BL23">
        <f t="shared" si="42"/>
        <v>0.19131634381709109</v>
      </c>
      <c r="BM23">
        <v>5.5</v>
      </c>
      <c r="BN23">
        <v>0.5</v>
      </c>
      <c r="BO23" t="s">
        <v>282</v>
      </c>
      <c r="BP23">
        <v>1519087088.5999999</v>
      </c>
      <c r="BQ23">
        <v>368.50322580645201</v>
      </c>
      <c r="BR23">
        <v>400.074677419355</v>
      </c>
      <c r="BS23">
        <v>20.502003225806501</v>
      </c>
      <c r="BT23">
        <v>14.0934677419355</v>
      </c>
      <c r="BU23">
        <v>500.06090322580599</v>
      </c>
      <c r="BV23">
        <v>95.405574193548404</v>
      </c>
      <c r="BW23">
        <v>0.100104380645161</v>
      </c>
      <c r="BX23">
        <v>25.519835483870999</v>
      </c>
      <c r="BY23">
        <v>24.989296774193601</v>
      </c>
      <c r="BZ23">
        <v>999.9</v>
      </c>
      <c r="CA23">
        <v>0</v>
      </c>
      <c r="CB23">
        <v>0</v>
      </c>
      <c r="CC23">
        <v>9998.8577419354806</v>
      </c>
      <c r="CD23">
        <v>0</v>
      </c>
      <c r="CE23">
        <v>350.18306451612898</v>
      </c>
      <c r="CF23">
        <v>1800.0006451612901</v>
      </c>
      <c r="CG23">
        <v>0.97800064516129104</v>
      </c>
      <c r="CH23">
        <v>2.1999603225806501E-2</v>
      </c>
      <c r="CI23">
        <v>0</v>
      </c>
      <c r="CJ23">
        <v>684.29816129032304</v>
      </c>
      <c r="CK23">
        <v>4.9993999999999996</v>
      </c>
      <c r="CL23">
        <v>12477.916129032301</v>
      </c>
      <c r="CM23">
        <v>14669.1225806452</v>
      </c>
      <c r="CN23">
        <v>47.5</v>
      </c>
      <c r="CO23">
        <v>47.786000000000001</v>
      </c>
      <c r="CP23">
        <v>48.070129032258002</v>
      </c>
      <c r="CQ23">
        <v>48</v>
      </c>
      <c r="CR23">
        <v>48.75</v>
      </c>
      <c r="CS23">
        <v>1755.5106451612901</v>
      </c>
      <c r="CT23">
        <v>39.490322580645199</v>
      </c>
      <c r="CU23">
        <v>0</v>
      </c>
      <c r="CV23">
        <v>150</v>
      </c>
      <c r="CW23">
        <v>684.52819230769205</v>
      </c>
      <c r="CX23">
        <v>21.368444459497901</v>
      </c>
      <c r="CY23">
        <v>362.820513001096</v>
      </c>
      <c r="CZ23">
        <v>12481.680769230799</v>
      </c>
      <c r="DA23">
        <v>15</v>
      </c>
      <c r="DB23">
        <v>1519087035.0999999</v>
      </c>
      <c r="DC23" t="s">
        <v>312</v>
      </c>
      <c r="DD23">
        <v>69</v>
      </c>
      <c r="DE23">
        <v>1.5940000000000001</v>
      </c>
      <c r="DF23">
        <v>0.14899999999999999</v>
      </c>
      <c r="DG23">
        <v>402</v>
      </c>
      <c r="DH23">
        <v>14</v>
      </c>
      <c r="DI23">
        <v>0.05</v>
      </c>
      <c r="DJ23">
        <v>0.01</v>
      </c>
      <c r="DK23">
        <v>26.1395011099019</v>
      </c>
      <c r="DL23">
        <v>3.4160821143916</v>
      </c>
      <c r="DM23">
        <v>0.45994031107899502</v>
      </c>
      <c r="DN23">
        <v>0</v>
      </c>
      <c r="DO23">
        <v>-31.400665853658499</v>
      </c>
      <c r="DP23">
        <v>-4.1058376306611404</v>
      </c>
      <c r="DQ23">
        <v>0.41609968822548299</v>
      </c>
      <c r="DR23">
        <v>0</v>
      </c>
      <c r="DS23">
        <v>6.4129758536585397</v>
      </c>
      <c r="DT23">
        <v>-3.9335540069704598E-2</v>
      </c>
      <c r="DU23">
        <v>1.0755867366598299E-2</v>
      </c>
      <c r="DV23">
        <v>1</v>
      </c>
      <c r="DW23">
        <v>0.45153040974418301</v>
      </c>
      <c r="DX23">
        <v>-2.9153196961666399E-2</v>
      </c>
      <c r="DY23">
        <v>4.6807371780115802E-3</v>
      </c>
      <c r="DZ23">
        <v>1</v>
      </c>
      <c r="EA23">
        <v>2</v>
      </c>
      <c r="EB23">
        <v>4</v>
      </c>
      <c r="EC23" t="s">
        <v>313</v>
      </c>
      <c r="ED23">
        <v>1.8490899999999999</v>
      </c>
      <c r="EE23">
        <v>1.85318</v>
      </c>
      <c r="EF23">
        <v>1.85202</v>
      </c>
      <c r="EG23">
        <v>1.85626</v>
      </c>
      <c r="EH23">
        <v>1.8539699999999999</v>
      </c>
      <c r="EI23">
        <v>1.8544</v>
      </c>
      <c r="EJ23">
        <v>1.84663</v>
      </c>
      <c r="EK23">
        <v>1.8513500000000001</v>
      </c>
      <c r="EL23" t="s">
        <v>285</v>
      </c>
      <c r="EM23" t="s">
        <v>19</v>
      </c>
      <c r="EN23" t="s">
        <v>19</v>
      </c>
      <c r="EO23" t="s">
        <v>19</v>
      </c>
      <c r="EP23" t="s">
        <v>286</v>
      </c>
      <c r="EQ23" t="s">
        <v>287</v>
      </c>
      <c r="ER23" t="s">
        <v>288</v>
      </c>
      <c r="ES23" t="s">
        <v>288</v>
      </c>
      <c r="ET23" t="s">
        <v>288</v>
      </c>
      <c r="EU23" t="s">
        <v>288</v>
      </c>
      <c r="EV23">
        <v>0</v>
      </c>
      <c r="EW23">
        <v>100</v>
      </c>
      <c r="EX23">
        <v>100</v>
      </c>
      <c r="EY23">
        <v>1.5940000000000001</v>
      </c>
      <c r="EZ23">
        <v>0.14899999999999999</v>
      </c>
      <c r="FA23">
        <v>2</v>
      </c>
      <c r="FB23">
        <v>477.21699999999998</v>
      </c>
      <c r="FC23">
        <v>255.58699999999999</v>
      </c>
      <c r="FD23">
        <v>19.5047</v>
      </c>
      <c r="FE23">
        <v>32.347999999999999</v>
      </c>
      <c r="FF23">
        <v>29.998999999999999</v>
      </c>
      <c r="FG23">
        <v>32.728200000000001</v>
      </c>
      <c r="FH23">
        <v>32.675600000000003</v>
      </c>
      <c r="FI23">
        <v>17.354900000000001</v>
      </c>
      <c r="FJ23">
        <v>15.6684</v>
      </c>
      <c r="FK23">
        <v>0</v>
      </c>
      <c r="FL23">
        <v>19.518899999999999</v>
      </c>
      <c r="FM23">
        <v>400</v>
      </c>
      <c r="FN23">
        <v>14.0893</v>
      </c>
      <c r="FO23">
        <v>99.681200000000004</v>
      </c>
      <c r="FP23">
        <v>117.92400000000001</v>
      </c>
    </row>
    <row r="24" spans="1:172" x14ac:dyDescent="0.25">
      <c r="A24">
        <v>12</v>
      </c>
      <c r="B24">
        <v>1519087220.0999999</v>
      </c>
      <c r="C24">
        <v>1371.5</v>
      </c>
      <c r="D24" t="s">
        <v>314</v>
      </c>
      <c r="E24" t="s">
        <v>315</v>
      </c>
      <c r="F24">
        <v>1519087212.0999999</v>
      </c>
      <c r="G24">
        <f t="shared" si="0"/>
        <v>5.8253703102204282E-3</v>
      </c>
      <c r="H24">
        <f t="shared" si="1"/>
        <v>29.375916695849927</v>
      </c>
      <c r="I24">
        <f t="shared" si="2"/>
        <v>365.42690322580597</v>
      </c>
      <c r="J24">
        <f t="shared" si="3"/>
        <v>243.51669329708128</v>
      </c>
      <c r="K24">
        <f t="shared" si="4"/>
        <v>23.256890857973193</v>
      </c>
      <c r="L24">
        <f t="shared" si="5"/>
        <v>34.899839882934074</v>
      </c>
      <c r="M24">
        <f t="shared" si="6"/>
        <v>0.44469487157026999</v>
      </c>
      <c r="N24">
        <f t="shared" si="7"/>
        <v>2.3947221095031557</v>
      </c>
      <c r="O24">
        <f t="shared" si="8"/>
        <v>0.40339564274596246</v>
      </c>
      <c r="P24">
        <f t="shared" si="9"/>
        <v>0.25551246026032842</v>
      </c>
      <c r="Q24">
        <f t="shared" si="10"/>
        <v>289.49617694573203</v>
      </c>
      <c r="R24">
        <f t="shared" si="11"/>
        <v>25.76171202138881</v>
      </c>
      <c r="S24">
        <f t="shared" si="12"/>
        <v>25.76171202138881</v>
      </c>
      <c r="T24">
        <f t="shared" si="13"/>
        <v>3.326972387389739</v>
      </c>
      <c r="U24">
        <f t="shared" si="14"/>
        <v>60.526180406768539</v>
      </c>
      <c r="V24">
        <f t="shared" si="15"/>
        <v>1.986173619200303</v>
      </c>
      <c r="W24">
        <f t="shared" si="16"/>
        <v>3.2815115803643091</v>
      </c>
      <c r="X24">
        <f t="shared" si="17"/>
        <v>1.340798768189436</v>
      </c>
      <c r="Y24">
        <f t="shared" si="18"/>
        <v>-256.89883068072089</v>
      </c>
      <c r="Z24">
        <f t="shared" si="19"/>
        <v>-29.938747201164546</v>
      </c>
      <c r="AA24">
        <f t="shared" si="20"/>
        <v>-2.6616984403690109</v>
      </c>
      <c r="AB24">
        <f t="shared" si="21"/>
        <v>-3.0993765224422987E-3</v>
      </c>
      <c r="AC24">
        <v>-3.9571614961591901E-2</v>
      </c>
      <c r="AD24">
        <v>4.4422604458256403E-2</v>
      </c>
      <c r="AE24">
        <v>3.3474391375709001</v>
      </c>
      <c r="AF24">
        <v>10</v>
      </c>
      <c r="AG24">
        <v>2</v>
      </c>
      <c r="AH24">
        <f t="shared" si="22"/>
        <v>1</v>
      </c>
      <c r="AI24">
        <f t="shared" si="23"/>
        <v>0</v>
      </c>
      <c r="AJ24">
        <f t="shared" si="24"/>
        <v>50708.057547451375</v>
      </c>
      <c r="AK24" t="s">
        <v>279</v>
      </c>
      <c r="AL24">
        <v>580.33307692307699</v>
      </c>
      <c r="AM24">
        <v>2824.36</v>
      </c>
      <c r="AN24">
        <f t="shared" si="25"/>
        <v>2244.0269230769231</v>
      </c>
      <c r="AO24">
        <f t="shared" si="26"/>
        <v>0.79452581224664098</v>
      </c>
      <c r="AP24">
        <v>-2.5011690977444898</v>
      </c>
      <c r="AQ24" t="s">
        <v>316</v>
      </c>
      <c r="AR24">
        <v>698.21569230769205</v>
      </c>
      <c r="AS24">
        <v>1041.49</v>
      </c>
      <c r="AT24">
        <f t="shared" si="27"/>
        <v>0.32959923541494196</v>
      </c>
      <c r="AU24">
        <v>0.5</v>
      </c>
      <c r="AV24">
        <f t="shared" si="28"/>
        <v>1513.1806358787699</v>
      </c>
      <c r="AW24">
        <f t="shared" si="29"/>
        <v>29.375916695849927</v>
      </c>
      <c r="AX24">
        <f t="shared" si="30"/>
        <v>249.37159031516913</v>
      </c>
      <c r="AY24">
        <f t="shared" si="31"/>
        <v>1</v>
      </c>
      <c r="AZ24">
        <f t="shared" si="32"/>
        <v>2.1066279225204338E-2</v>
      </c>
      <c r="BA24">
        <f t="shared" si="33"/>
        <v>1.7118455290017187</v>
      </c>
      <c r="BB24" t="s">
        <v>281</v>
      </c>
      <c r="BC24">
        <v>0</v>
      </c>
      <c r="BD24">
        <f t="shared" si="34"/>
        <v>1041.49</v>
      </c>
      <c r="BE24">
        <f t="shared" si="35"/>
        <v>0.32959923541494202</v>
      </c>
      <c r="BF24">
        <f t="shared" si="36"/>
        <v>0.63124743304677877</v>
      </c>
      <c r="BG24">
        <f t="shared" si="37"/>
        <v>0.74437635111692402</v>
      </c>
      <c r="BH24">
        <f t="shared" si="38"/>
        <v>0.79449581538683034</v>
      </c>
      <c r="BI24">
        <f t="shared" si="39"/>
        <v>1799.9951612903201</v>
      </c>
      <c r="BJ24">
        <f t="shared" si="40"/>
        <v>1513.1806358787699</v>
      </c>
      <c r="BK24">
        <f t="shared" si="41"/>
        <v>0.84065816865532672</v>
      </c>
      <c r="BL24">
        <f t="shared" si="42"/>
        <v>0.19131633731065359</v>
      </c>
      <c r="BM24">
        <v>5.5</v>
      </c>
      <c r="BN24">
        <v>0.5</v>
      </c>
      <c r="BO24" t="s">
        <v>282</v>
      </c>
      <c r="BP24">
        <v>1519087212.0999999</v>
      </c>
      <c r="BQ24">
        <v>365.42690322580597</v>
      </c>
      <c r="BR24">
        <v>400.07838709677401</v>
      </c>
      <c r="BS24">
        <v>20.7966935483871</v>
      </c>
      <c r="BT24">
        <v>14.5227096774194</v>
      </c>
      <c r="BU24">
        <v>500.05261290322602</v>
      </c>
      <c r="BV24">
        <v>95.404280645161293</v>
      </c>
      <c r="BW24">
        <v>0.100017409677419</v>
      </c>
      <c r="BX24">
        <v>25.529816129032302</v>
      </c>
      <c r="BY24">
        <v>25.024709677419398</v>
      </c>
      <c r="BZ24">
        <v>999.9</v>
      </c>
      <c r="CA24">
        <v>0</v>
      </c>
      <c r="CB24">
        <v>0</v>
      </c>
      <c r="CC24">
        <v>10002.5777419355</v>
      </c>
      <c r="CD24">
        <v>0</v>
      </c>
      <c r="CE24">
        <v>341.76635483871001</v>
      </c>
      <c r="CF24">
        <v>1799.9951612903201</v>
      </c>
      <c r="CG24">
        <v>0.97799999999999998</v>
      </c>
      <c r="CH24">
        <v>2.2000200000000001E-2</v>
      </c>
      <c r="CI24">
        <v>0</v>
      </c>
      <c r="CJ24">
        <v>698.194161290323</v>
      </c>
      <c r="CK24">
        <v>4.9993999999999996</v>
      </c>
      <c r="CL24">
        <v>12718.8580645161</v>
      </c>
      <c r="CM24">
        <v>14669.080645161301</v>
      </c>
      <c r="CN24">
        <v>47.5</v>
      </c>
      <c r="CO24">
        <v>47.75</v>
      </c>
      <c r="CP24">
        <v>48.061999999999998</v>
      </c>
      <c r="CQ24">
        <v>47.936999999999998</v>
      </c>
      <c r="CR24">
        <v>48.75</v>
      </c>
      <c r="CS24">
        <v>1755.5051612903201</v>
      </c>
      <c r="CT24">
        <v>39.49</v>
      </c>
      <c r="CU24">
        <v>0</v>
      </c>
      <c r="CV24">
        <v>123</v>
      </c>
      <c r="CW24">
        <v>698.21569230769205</v>
      </c>
      <c r="CX24">
        <v>3.65148720097267</v>
      </c>
      <c r="CY24">
        <v>58.967521400837398</v>
      </c>
      <c r="CZ24">
        <v>12719.407692307699</v>
      </c>
      <c r="DA24">
        <v>15</v>
      </c>
      <c r="DB24">
        <v>1519087159.0999999</v>
      </c>
      <c r="DC24" t="s">
        <v>317</v>
      </c>
      <c r="DD24">
        <v>70</v>
      </c>
      <c r="DE24">
        <v>1.472</v>
      </c>
      <c r="DF24">
        <v>0.151</v>
      </c>
      <c r="DG24">
        <v>400</v>
      </c>
      <c r="DH24">
        <v>14</v>
      </c>
      <c r="DI24">
        <v>0.04</v>
      </c>
      <c r="DJ24">
        <v>0.02</v>
      </c>
      <c r="DK24">
        <v>29.3404444468671</v>
      </c>
      <c r="DL24">
        <v>0.361276507817342</v>
      </c>
      <c r="DM24">
        <v>6.0263187659575099E-2</v>
      </c>
      <c r="DN24">
        <v>1</v>
      </c>
      <c r="DO24">
        <v>-34.619526829268302</v>
      </c>
      <c r="DP24">
        <v>-0.77180069686367003</v>
      </c>
      <c r="DQ24">
        <v>8.4991457316460697E-2</v>
      </c>
      <c r="DR24">
        <v>1</v>
      </c>
      <c r="DS24">
        <v>6.2232712195122</v>
      </c>
      <c r="DT24">
        <v>0.99770947735135096</v>
      </c>
      <c r="DU24">
        <v>9.8763595006018196E-2</v>
      </c>
      <c r="DV24">
        <v>1</v>
      </c>
      <c r="DW24">
        <v>0.43479774407688598</v>
      </c>
      <c r="DX24">
        <v>8.3193986131054304E-2</v>
      </c>
      <c r="DY24">
        <v>1.11006795114759E-2</v>
      </c>
      <c r="DZ24">
        <v>1</v>
      </c>
      <c r="EA24">
        <v>4</v>
      </c>
      <c r="EB24">
        <v>4</v>
      </c>
      <c r="EC24" t="s">
        <v>284</v>
      </c>
      <c r="ED24">
        <v>1.8490599999999999</v>
      </c>
      <c r="EE24">
        <v>1.85318</v>
      </c>
      <c r="EF24">
        <v>1.8520000000000001</v>
      </c>
      <c r="EG24">
        <v>1.85625</v>
      </c>
      <c r="EH24">
        <v>1.8540099999999999</v>
      </c>
      <c r="EI24">
        <v>1.8544</v>
      </c>
      <c r="EJ24">
        <v>1.8466199999999999</v>
      </c>
      <c r="EK24">
        <v>1.8513299999999999</v>
      </c>
      <c r="EL24" t="s">
        <v>285</v>
      </c>
      <c r="EM24" t="s">
        <v>19</v>
      </c>
      <c r="EN24" t="s">
        <v>19</v>
      </c>
      <c r="EO24" t="s">
        <v>19</v>
      </c>
      <c r="EP24" t="s">
        <v>286</v>
      </c>
      <c r="EQ24" t="s">
        <v>287</v>
      </c>
      <c r="ER24" t="s">
        <v>288</v>
      </c>
      <c r="ES24" t="s">
        <v>288</v>
      </c>
      <c r="ET24" t="s">
        <v>288</v>
      </c>
      <c r="EU24" t="s">
        <v>288</v>
      </c>
      <c r="EV24">
        <v>0</v>
      </c>
      <c r="EW24">
        <v>100</v>
      </c>
      <c r="EX24">
        <v>100</v>
      </c>
      <c r="EY24">
        <v>1.472</v>
      </c>
      <c r="EZ24">
        <v>0.151</v>
      </c>
      <c r="FA24">
        <v>2</v>
      </c>
      <c r="FB24">
        <v>477.22800000000001</v>
      </c>
      <c r="FC24">
        <v>255.875</v>
      </c>
      <c r="FD24">
        <v>19.102</v>
      </c>
      <c r="FE24">
        <v>32.287999999999997</v>
      </c>
      <c r="FF24">
        <v>29.9999</v>
      </c>
      <c r="FG24">
        <v>32.675199999999997</v>
      </c>
      <c r="FH24">
        <v>32.622900000000001</v>
      </c>
      <c r="FI24">
        <v>17.310300000000002</v>
      </c>
      <c r="FJ24">
        <v>12.963200000000001</v>
      </c>
      <c r="FK24">
        <v>0</v>
      </c>
      <c r="FL24">
        <v>19.093800000000002</v>
      </c>
      <c r="FM24">
        <v>400</v>
      </c>
      <c r="FN24">
        <v>14.2058</v>
      </c>
      <c r="FO24">
        <v>99.692800000000005</v>
      </c>
      <c r="FP24">
        <v>117.938</v>
      </c>
    </row>
    <row r="25" spans="1:172" x14ac:dyDescent="0.25">
      <c r="A25">
        <v>13</v>
      </c>
      <c r="B25">
        <v>1519087354.5</v>
      </c>
      <c r="C25">
        <v>1505.9000000953699</v>
      </c>
      <c r="D25" t="s">
        <v>318</v>
      </c>
      <c r="E25" t="s">
        <v>319</v>
      </c>
      <c r="F25">
        <v>1519087346.5</v>
      </c>
      <c r="G25">
        <f t="shared" si="0"/>
        <v>6.1144972041027937E-3</v>
      </c>
      <c r="H25">
        <f t="shared" si="1"/>
        <v>42.778876495170238</v>
      </c>
      <c r="I25">
        <f t="shared" si="2"/>
        <v>549.29529032258097</v>
      </c>
      <c r="J25">
        <f t="shared" si="3"/>
        <v>381.03003651864611</v>
      </c>
      <c r="K25">
        <f t="shared" si="4"/>
        <v>36.388991530638606</v>
      </c>
      <c r="L25">
        <f t="shared" si="5"/>
        <v>52.458598408658318</v>
      </c>
      <c r="M25">
        <f t="shared" si="6"/>
        <v>0.47447929066100736</v>
      </c>
      <c r="N25">
        <f t="shared" si="7"/>
        <v>2.3913633147428808</v>
      </c>
      <c r="O25">
        <f t="shared" si="8"/>
        <v>0.42771445977581163</v>
      </c>
      <c r="P25">
        <f t="shared" si="9"/>
        <v>0.2711380470341746</v>
      </c>
      <c r="Q25">
        <f t="shared" si="10"/>
        <v>289.49451711491878</v>
      </c>
      <c r="R25">
        <f t="shared" si="11"/>
        <v>25.659877230965325</v>
      </c>
      <c r="S25">
        <f t="shared" si="12"/>
        <v>25.659877230965325</v>
      </c>
      <c r="T25">
        <f t="shared" si="13"/>
        <v>3.3069414222529399</v>
      </c>
      <c r="U25">
        <f t="shared" si="14"/>
        <v>60.362109422264453</v>
      </c>
      <c r="V25">
        <f t="shared" si="15"/>
        <v>1.9794608515053833</v>
      </c>
      <c r="W25">
        <f t="shared" si="16"/>
        <v>3.2793102667403846</v>
      </c>
      <c r="X25">
        <f t="shared" si="17"/>
        <v>1.3274805707475565</v>
      </c>
      <c r="Y25">
        <f t="shared" si="18"/>
        <v>-269.64932670093322</v>
      </c>
      <c r="Z25">
        <f t="shared" si="19"/>
        <v>-18.224722651600466</v>
      </c>
      <c r="AA25">
        <f t="shared" si="20"/>
        <v>-1.6216191655035275</v>
      </c>
      <c r="AB25">
        <f t="shared" si="21"/>
        <v>-1.1514031184489681E-3</v>
      </c>
      <c r="AC25">
        <v>-3.94939536047322E-2</v>
      </c>
      <c r="AD25">
        <v>4.4335422781672802E-2</v>
      </c>
      <c r="AE25">
        <v>3.3422105859868299</v>
      </c>
      <c r="AF25">
        <v>10</v>
      </c>
      <c r="AG25">
        <v>2</v>
      </c>
      <c r="AH25">
        <f t="shared" si="22"/>
        <v>1</v>
      </c>
      <c r="AI25">
        <f t="shared" si="23"/>
        <v>0</v>
      </c>
      <c r="AJ25">
        <f t="shared" si="24"/>
        <v>50614.441698513219</v>
      </c>
      <c r="AK25" t="s">
        <v>279</v>
      </c>
      <c r="AL25">
        <v>580.33307692307699</v>
      </c>
      <c r="AM25">
        <v>2824.36</v>
      </c>
      <c r="AN25">
        <f t="shared" si="25"/>
        <v>2244.0269230769231</v>
      </c>
      <c r="AO25">
        <f t="shared" si="26"/>
        <v>0.79452581224664098</v>
      </c>
      <c r="AP25">
        <v>-2.5011690977444898</v>
      </c>
      <c r="AQ25" t="s">
        <v>320</v>
      </c>
      <c r="AR25">
        <v>754.60749999999996</v>
      </c>
      <c r="AS25">
        <v>1201.1400000000001</v>
      </c>
      <c r="AT25">
        <f t="shared" si="27"/>
        <v>0.37175724728174908</v>
      </c>
      <c r="AU25">
        <v>0.5</v>
      </c>
      <c r="AV25">
        <f t="shared" si="28"/>
        <v>1513.1714713626641</v>
      </c>
      <c r="AW25">
        <f t="shared" si="29"/>
        <v>42.778876495170238</v>
      </c>
      <c r="AX25">
        <f t="shared" si="30"/>
        <v>281.266230429529</v>
      </c>
      <c r="AY25">
        <f t="shared" si="31"/>
        <v>1</v>
      </c>
      <c r="AZ25">
        <f t="shared" si="32"/>
        <v>2.9923935555128098E-2</v>
      </c>
      <c r="BA25">
        <f t="shared" si="33"/>
        <v>1.3513995038047188</v>
      </c>
      <c r="BB25" t="s">
        <v>281</v>
      </c>
      <c r="BC25">
        <v>0</v>
      </c>
      <c r="BD25">
        <f t="shared" si="34"/>
        <v>1201.1400000000001</v>
      </c>
      <c r="BE25">
        <f t="shared" si="35"/>
        <v>0.37175724728174908</v>
      </c>
      <c r="BF25">
        <f t="shared" si="36"/>
        <v>0.57472135280205072</v>
      </c>
      <c r="BG25">
        <f t="shared" si="37"/>
        <v>0.71927757794136438</v>
      </c>
      <c r="BH25">
        <f t="shared" si="38"/>
        <v>0.72335139267148518</v>
      </c>
      <c r="BI25">
        <f t="shared" si="39"/>
        <v>1799.9841935483901</v>
      </c>
      <c r="BJ25">
        <f t="shared" si="40"/>
        <v>1513.1714713626641</v>
      </c>
      <c r="BK25">
        <f t="shared" si="41"/>
        <v>0.8406581995476754</v>
      </c>
      <c r="BL25">
        <f t="shared" si="42"/>
        <v>0.19131639909535089</v>
      </c>
      <c r="BM25">
        <v>5.5</v>
      </c>
      <c r="BN25">
        <v>0.5</v>
      </c>
      <c r="BO25" t="s">
        <v>282</v>
      </c>
      <c r="BP25">
        <v>1519087346.5</v>
      </c>
      <c r="BQ25">
        <v>549.29529032258097</v>
      </c>
      <c r="BR25">
        <v>600.04054838709703</v>
      </c>
      <c r="BS25">
        <v>20.7269838709677</v>
      </c>
      <c r="BT25">
        <v>14.141229032258099</v>
      </c>
      <c r="BU25">
        <v>500.05948387096799</v>
      </c>
      <c r="BV25">
        <v>95.401445161290297</v>
      </c>
      <c r="BW25">
        <v>0.10018999354838699</v>
      </c>
      <c r="BX25">
        <v>25.518516129032299</v>
      </c>
      <c r="BY25">
        <v>24.9946387096774</v>
      </c>
      <c r="BZ25">
        <v>999.9</v>
      </c>
      <c r="CA25">
        <v>0</v>
      </c>
      <c r="CB25">
        <v>0</v>
      </c>
      <c r="CC25">
        <v>9983.2438709677408</v>
      </c>
      <c r="CD25">
        <v>0</v>
      </c>
      <c r="CE25">
        <v>332.06229032258102</v>
      </c>
      <c r="CF25">
        <v>1799.9841935483901</v>
      </c>
      <c r="CG25">
        <v>0.97799767741935495</v>
      </c>
      <c r="CH25">
        <v>2.20023483870968E-2</v>
      </c>
      <c r="CI25">
        <v>0</v>
      </c>
      <c r="CJ25">
        <v>754.57183870967697</v>
      </c>
      <c r="CK25">
        <v>4.9993999999999996</v>
      </c>
      <c r="CL25">
        <v>13739.174193548401</v>
      </c>
      <c r="CM25">
        <v>14668.9774193548</v>
      </c>
      <c r="CN25">
        <v>47.5</v>
      </c>
      <c r="CO25">
        <v>47.686999999999998</v>
      </c>
      <c r="CP25">
        <v>48.061999999999998</v>
      </c>
      <c r="CQ25">
        <v>47.875</v>
      </c>
      <c r="CR25">
        <v>48.6991935483871</v>
      </c>
      <c r="CS25">
        <v>1755.4925806451599</v>
      </c>
      <c r="CT25">
        <v>39.4916129032258</v>
      </c>
      <c r="CU25">
        <v>0</v>
      </c>
      <c r="CV25">
        <v>133.799999952316</v>
      </c>
      <c r="CW25">
        <v>754.60749999999996</v>
      </c>
      <c r="CX25">
        <v>5.3815042828290602</v>
      </c>
      <c r="CY25">
        <v>99.517948746912396</v>
      </c>
      <c r="CZ25">
        <v>13739.9653846154</v>
      </c>
      <c r="DA25">
        <v>15</v>
      </c>
      <c r="DB25">
        <v>1519087292.5</v>
      </c>
      <c r="DC25" t="s">
        <v>321</v>
      </c>
      <c r="DD25">
        <v>71</v>
      </c>
      <c r="DE25">
        <v>1.6879999999999999</v>
      </c>
      <c r="DF25">
        <v>0.154</v>
      </c>
      <c r="DG25">
        <v>600</v>
      </c>
      <c r="DH25">
        <v>14</v>
      </c>
      <c r="DI25">
        <v>0.03</v>
      </c>
      <c r="DJ25">
        <v>0.02</v>
      </c>
      <c r="DK25">
        <v>42.761597720059299</v>
      </c>
      <c r="DL25">
        <v>7.7007094060911593E-2</v>
      </c>
      <c r="DM25">
        <v>6.7266840695132404E-2</v>
      </c>
      <c r="DN25">
        <v>1</v>
      </c>
      <c r="DO25">
        <v>-50.711790243902399</v>
      </c>
      <c r="DP25">
        <v>-0.46499163763044499</v>
      </c>
      <c r="DQ25">
        <v>8.35144848101885E-2</v>
      </c>
      <c r="DR25">
        <v>1</v>
      </c>
      <c r="DS25">
        <v>6.5356368292682898</v>
      </c>
      <c r="DT25">
        <v>0.85755554006952495</v>
      </c>
      <c r="DU25">
        <v>9.2752475621133104E-2</v>
      </c>
      <c r="DV25">
        <v>1</v>
      </c>
      <c r="DW25">
        <v>0.46348939254029098</v>
      </c>
      <c r="DX25">
        <v>9.6136767937395395E-2</v>
      </c>
      <c r="DY25">
        <v>1.351842188197E-2</v>
      </c>
      <c r="DZ25">
        <v>1</v>
      </c>
      <c r="EA25">
        <v>4</v>
      </c>
      <c r="EB25">
        <v>4</v>
      </c>
      <c r="EC25" t="s">
        <v>284</v>
      </c>
      <c r="ED25">
        <v>1.84907</v>
      </c>
      <c r="EE25">
        <v>1.85318</v>
      </c>
      <c r="EF25">
        <v>1.85198</v>
      </c>
      <c r="EG25">
        <v>1.8562399999999999</v>
      </c>
      <c r="EH25">
        <v>1.8540099999999999</v>
      </c>
      <c r="EI25">
        <v>1.8544</v>
      </c>
      <c r="EJ25">
        <v>1.8466199999999999</v>
      </c>
      <c r="EK25">
        <v>1.85134</v>
      </c>
      <c r="EL25" t="s">
        <v>285</v>
      </c>
      <c r="EM25" t="s">
        <v>19</v>
      </c>
      <c r="EN25" t="s">
        <v>19</v>
      </c>
      <c r="EO25" t="s">
        <v>19</v>
      </c>
      <c r="EP25" t="s">
        <v>286</v>
      </c>
      <c r="EQ25" t="s">
        <v>287</v>
      </c>
      <c r="ER25" t="s">
        <v>288</v>
      </c>
      <c r="ES25" t="s">
        <v>288</v>
      </c>
      <c r="ET25" t="s">
        <v>288</v>
      </c>
      <c r="EU25" t="s">
        <v>288</v>
      </c>
      <c r="EV25">
        <v>0</v>
      </c>
      <c r="EW25">
        <v>100</v>
      </c>
      <c r="EX25">
        <v>100</v>
      </c>
      <c r="EY25">
        <v>1.6879999999999999</v>
      </c>
      <c r="EZ25">
        <v>0.154</v>
      </c>
      <c r="FA25">
        <v>2</v>
      </c>
      <c r="FB25">
        <v>477.56299999999999</v>
      </c>
      <c r="FC25">
        <v>256.12900000000002</v>
      </c>
      <c r="FD25">
        <v>19.364999999999998</v>
      </c>
      <c r="FE25">
        <v>32.210099999999997</v>
      </c>
      <c r="FF25">
        <v>30.002099999999999</v>
      </c>
      <c r="FG25">
        <v>32.607199999999999</v>
      </c>
      <c r="FH25">
        <v>32.556899999999999</v>
      </c>
      <c r="FI25">
        <v>23.822299999999998</v>
      </c>
      <c r="FJ25">
        <v>14.471</v>
      </c>
      <c r="FK25">
        <v>0</v>
      </c>
      <c r="FL25">
        <v>19.403600000000001</v>
      </c>
      <c r="FM25">
        <v>600</v>
      </c>
      <c r="FN25">
        <v>13.991899999999999</v>
      </c>
      <c r="FO25">
        <v>99.705699999999993</v>
      </c>
      <c r="FP25">
        <v>117.952</v>
      </c>
    </row>
    <row r="26" spans="1:172" x14ac:dyDescent="0.25">
      <c r="A26">
        <v>14</v>
      </c>
      <c r="B26">
        <v>1519087475</v>
      </c>
      <c r="C26">
        <v>1626.4000000953699</v>
      </c>
      <c r="D26" t="s">
        <v>322</v>
      </c>
      <c r="E26" t="s">
        <v>323</v>
      </c>
      <c r="F26">
        <v>1519087467</v>
      </c>
      <c r="G26">
        <f t="shared" si="0"/>
        <v>5.5442552520823512E-3</v>
      </c>
      <c r="H26">
        <f t="shared" si="1"/>
        <v>50.577406088336559</v>
      </c>
      <c r="I26">
        <f t="shared" si="2"/>
        <v>739.83954838709701</v>
      </c>
      <c r="J26">
        <f t="shared" si="3"/>
        <v>511.32978108172489</v>
      </c>
      <c r="K26">
        <f t="shared" si="4"/>
        <v>48.832197280914663</v>
      </c>
      <c r="L26">
        <f t="shared" si="5"/>
        <v>70.654970861725062</v>
      </c>
      <c r="M26">
        <f t="shared" si="6"/>
        <v>0.40897654106832504</v>
      </c>
      <c r="N26">
        <f t="shared" si="7"/>
        <v>2.3948598313487102</v>
      </c>
      <c r="O26">
        <f t="shared" si="8"/>
        <v>0.3737661250333057</v>
      </c>
      <c r="P26">
        <f t="shared" si="9"/>
        <v>0.23651421026212699</v>
      </c>
      <c r="Q26">
        <f t="shared" si="10"/>
        <v>289.49818768897808</v>
      </c>
      <c r="R26">
        <f t="shared" si="11"/>
        <v>25.833416298656218</v>
      </c>
      <c r="S26">
        <f t="shared" si="12"/>
        <v>25.833416298656218</v>
      </c>
      <c r="T26">
        <f t="shared" si="13"/>
        <v>3.3411401722769112</v>
      </c>
      <c r="U26">
        <f t="shared" si="14"/>
        <v>59.9055129609836</v>
      </c>
      <c r="V26">
        <f t="shared" si="15"/>
        <v>1.9638821861026998</v>
      </c>
      <c r="W26">
        <f t="shared" si="16"/>
        <v>3.2782995905264585</v>
      </c>
      <c r="X26">
        <f t="shared" si="17"/>
        <v>1.3772579861742114</v>
      </c>
      <c r="Y26">
        <f t="shared" si="18"/>
        <v>-244.5016566168317</v>
      </c>
      <c r="Z26">
        <f t="shared" si="19"/>
        <v>-41.327422233712028</v>
      </c>
      <c r="AA26">
        <f t="shared" si="20"/>
        <v>-3.6750145377943659</v>
      </c>
      <c r="AB26">
        <f t="shared" si="21"/>
        <v>-5.9056993600137275E-3</v>
      </c>
      <c r="AC26">
        <v>-3.9574800988750498E-2</v>
      </c>
      <c r="AD26">
        <v>4.4426181052853203E-2</v>
      </c>
      <c r="AE26">
        <v>3.34765356546772</v>
      </c>
      <c r="AF26">
        <v>10</v>
      </c>
      <c r="AG26">
        <v>2</v>
      </c>
      <c r="AH26">
        <f t="shared" si="22"/>
        <v>1</v>
      </c>
      <c r="AI26">
        <f t="shared" si="23"/>
        <v>0</v>
      </c>
      <c r="AJ26">
        <f t="shared" si="24"/>
        <v>50714.691349341418</v>
      </c>
      <c r="AK26" t="s">
        <v>279</v>
      </c>
      <c r="AL26">
        <v>580.33307692307699</v>
      </c>
      <c r="AM26">
        <v>2824.36</v>
      </c>
      <c r="AN26">
        <f t="shared" si="25"/>
        <v>2244.0269230769231</v>
      </c>
      <c r="AO26">
        <f t="shared" si="26"/>
        <v>0.79452581224664098</v>
      </c>
      <c r="AP26">
        <v>-2.5011690977444898</v>
      </c>
      <c r="AQ26" t="s">
        <v>324</v>
      </c>
      <c r="AR26">
        <v>764.84857692307696</v>
      </c>
      <c r="AS26">
        <v>1244.92</v>
      </c>
      <c r="AT26">
        <f t="shared" si="27"/>
        <v>0.38562431568046385</v>
      </c>
      <c r="AU26">
        <v>0.5</v>
      </c>
      <c r="AV26">
        <f t="shared" si="28"/>
        <v>1513.190961685232</v>
      </c>
      <c r="AW26">
        <f t="shared" si="29"/>
        <v>50.577406088336559</v>
      </c>
      <c r="AX26">
        <f t="shared" si="30"/>
        <v>291.7616145468653</v>
      </c>
      <c r="AY26">
        <f t="shared" si="31"/>
        <v>1</v>
      </c>
      <c r="AZ26">
        <f t="shared" si="32"/>
        <v>3.5077248364586942E-2</v>
      </c>
      <c r="BA26">
        <f t="shared" si="33"/>
        <v>1.26870802943161</v>
      </c>
      <c r="BB26" t="s">
        <v>281</v>
      </c>
      <c r="BC26">
        <v>0</v>
      </c>
      <c r="BD26">
        <f t="shared" si="34"/>
        <v>1244.92</v>
      </c>
      <c r="BE26">
        <f t="shared" si="35"/>
        <v>0.38562431568046385</v>
      </c>
      <c r="BF26">
        <f t="shared" si="36"/>
        <v>0.55922049597076862</v>
      </c>
      <c r="BG26">
        <f t="shared" si="37"/>
        <v>0.72236062192478157</v>
      </c>
      <c r="BH26">
        <f t="shared" si="38"/>
        <v>0.70384182282195296</v>
      </c>
      <c r="BI26">
        <f t="shared" si="39"/>
        <v>1800.0074193548401</v>
      </c>
      <c r="BJ26">
        <f t="shared" si="40"/>
        <v>1513.190961685232</v>
      </c>
      <c r="BK26">
        <f t="shared" si="41"/>
        <v>0.84065818030216277</v>
      </c>
      <c r="BL26">
        <f t="shared" si="42"/>
        <v>0.19131636060432561</v>
      </c>
      <c r="BM26">
        <v>5.5</v>
      </c>
      <c r="BN26">
        <v>0.5</v>
      </c>
      <c r="BO26" t="s">
        <v>282</v>
      </c>
      <c r="BP26">
        <v>1519087467</v>
      </c>
      <c r="BQ26">
        <v>739.83954838709701</v>
      </c>
      <c r="BR26">
        <v>799.98083870967696</v>
      </c>
      <c r="BS26">
        <v>20.564125806451599</v>
      </c>
      <c r="BT26">
        <v>14.5914451612903</v>
      </c>
      <c r="BU26">
        <v>500.04906451612902</v>
      </c>
      <c r="BV26">
        <v>95.400464516129006</v>
      </c>
      <c r="BW26">
        <v>9.99328548387097E-2</v>
      </c>
      <c r="BX26">
        <v>25.513325806451601</v>
      </c>
      <c r="BY26">
        <v>25.007429032258099</v>
      </c>
      <c r="BZ26">
        <v>999.9</v>
      </c>
      <c r="CA26">
        <v>0</v>
      </c>
      <c r="CB26">
        <v>0</v>
      </c>
      <c r="CC26">
        <v>10003.783225806401</v>
      </c>
      <c r="CD26">
        <v>0</v>
      </c>
      <c r="CE26">
        <v>323.31190322580602</v>
      </c>
      <c r="CF26">
        <v>1800.0074193548401</v>
      </c>
      <c r="CG26">
        <v>0.97799767741935495</v>
      </c>
      <c r="CH26">
        <v>2.20023483870968E-2</v>
      </c>
      <c r="CI26">
        <v>0</v>
      </c>
      <c r="CJ26">
        <v>764.78487096774199</v>
      </c>
      <c r="CK26">
        <v>4.9993999999999996</v>
      </c>
      <c r="CL26">
        <v>13932.1161290323</v>
      </c>
      <c r="CM26">
        <v>14669.1677419355</v>
      </c>
      <c r="CN26">
        <v>47.5</v>
      </c>
      <c r="CO26">
        <v>47.640999999999998</v>
      </c>
      <c r="CP26">
        <v>48.027999999999999</v>
      </c>
      <c r="CQ26">
        <v>47.875</v>
      </c>
      <c r="CR26">
        <v>48.686999999999998</v>
      </c>
      <c r="CS26">
        <v>1755.5164516129</v>
      </c>
      <c r="CT26">
        <v>39.490967741935499</v>
      </c>
      <c r="CU26">
        <v>0</v>
      </c>
      <c r="CV26">
        <v>119.799999952316</v>
      </c>
      <c r="CW26">
        <v>764.84857692307696</v>
      </c>
      <c r="CX26">
        <v>4.5152478584404996</v>
      </c>
      <c r="CY26">
        <v>90.300854661212</v>
      </c>
      <c r="CZ26">
        <v>13932.65</v>
      </c>
      <c r="DA26">
        <v>15</v>
      </c>
      <c r="DB26">
        <v>1519087511.5</v>
      </c>
      <c r="DC26" t="s">
        <v>325</v>
      </c>
      <c r="DD26">
        <v>72</v>
      </c>
      <c r="DE26">
        <v>2.0169999999999999</v>
      </c>
      <c r="DF26">
        <v>0.161</v>
      </c>
      <c r="DG26">
        <v>800</v>
      </c>
      <c r="DH26">
        <v>15</v>
      </c>
      <c r="DI26">
        <v>0.04</v>
      </c>
      <c r="DJ26">
        <v>0.02</v>
      </c>
      <c r="DK26">
        <v>50.842980729324303</v>
      </c>
      <c r="DL26">
        <v>0.37254092101893499</v>
      </c>
      <c r="DM26">
        <v>7.4821154860483394E-2</v>
      </c>
      <c r="DN26">
        <v>1</v>
      </c>
      <c r="DO26">
        <v>-60.456278048780497</v>
      </c>
      <c r="DP26">
        <v>-0.249131707317094</v>
      </c>
      <c r="DQ26">
        <v>7.5947428904264494E-2</v>
      </c>
      <c r="DR26">
        <v>1</v>
      </c>
      <c r="DS26">
        <v>5.9744612195121896</v>
      </c>
      <c r="DT26">
        <v>-0.19455554006968201</v>
      </c>
      <c r="DU26">
        <v>1.9437089664102201E-2</v>
      </c>
      <c r="DV26">
        <v>1</v>
      </c>
      <c r="DW26">
        <v>0.41059098635308799</v>
      </c>
      <c r="DX26">
        <v>-2.2583966965912E-2</v>
      </c>
      <c r="DY26">
        <v>3.0443545306951801E-3</v>
      </c>
      <c r="DZ26">
        <v>1</v>
      </c>
      <c r="EA26">
        <v>4</v>
      </c>
      <c r="EB26">
        <v>4</v>
      </c>
      <c r="EC26" t="s">
        <v>284</v>
      </c>
      <c r="ED26">
        <v>1.8490599999999999</v>
      </c>
      <c r="EE26">
        <v>1.85318</v>
      </c>
      <c r="EF26">
        <v>1.8519699999999999</v>
      </c>
      <c r="EG26">
        <v>1.85623</v>
      </c>
      <c r="EH26">
        <v>1.85398</v>
      </c>
      <c r="EI26">
        <v>1.8544</v>
      </c>
      <c r="EJ26">
        <v>1.8466199999999999</v>
      </c>
      <c r="EK26">
        <v>1.8513299999999999</v>
      </c>
      <c r="EL26" t="s">
        <v>285</v>
      </c>
      <c r="EM26" t="s">
        <v>19</v>
      </c>
      <c r="EN26" t="s">
        <v>19</v>
      </c>
      <c r="EO26" t="s">
        <v>19</v>
      </c>
      <c r="EP26" t="s">
        <v>286</v>
      </c>
      <c r="EQ26" t="s">
        <v>287</v>
      </c>
      <c r="ER26" t="s">
        <v>288</v>
      </c>
      <c r="ES26" t="s">
        <v>288</v>
      </c>
      <c r="ET26" t="s">
        <v>288</v>
      </c>
      <c r="EU26" t="s">
        <v>288</v>
      </c>
      <c r="EV26">
        <v>0</v>
      </c>
      <c r="EW26">
        <v>100</v>
      </c>
      <c r="EX26">
        <v>100</v>
      </c>
      <c r="EY26">
        <v>2.0169999999999999</v>
      </c>
      <c r="EZ26">
        <v>0.161</v>
      </c>
      <c r="FA26">
        <v>2</v>
      </c>
      <c r="FB26">
        <v>477.26900000000001</v>
      </c>
      <c r="FC26">
        <v>257.38600000000002</v>
      </c>
      <c r="FD26">
        <v>19.329599999999999</v>
      </c>
      <c r="FE26">
        <v>32.144399999999997</v>
      </c>
      <c r="FF26">
        <v>29.9998</v>
      </c>
      <c r="FG26">
        <v>32.545200000000001</v>
      </c>
      <c r="FH26">
        <v>32.497999999999998</v>
      </c>
      <c r="FI26">
        <v>30.051100000000002</v>
      </c>
      <c r="FJ26">
        <v>3.45946</v>
      </c>
      <c r="FK26">
        <v>0</v>
      </c>
      <c r="FL26">
        <v>19.331199999999999</v>
      </c>
      <c r="FM26">
        <v>800</v>
      </c>
      <c r="FN26">
        <v>14.7807</v>
      </c>
      <c r="FO26">
        <v>99.7209</v>
      </c>
      <c r="FP26">
        <v>117.97</v>
      </c>
    </row>
    <row r="27" spans="1:172" x14ac:dyDescent="0.25">
      <c r="A27">
        <v>15</v>
      </c>
      <c r="B27">
        <v>1519087662.5</v>
      </c>
      <c r="C27">
        <v>1813.9000000953699</v>
      </c>
      <c r="D27" t="s">
        <v>326</v>
      </c>
      <c r="E27" t="s">
        <v>327</v>
      </c>
      <c r="F27">
        <v>1519087654.5</v>
      </c>
      <c r="G27">
        <f t="shared" si="0"/>
        <v>4.7716844319781711E-3</v>
      </c>
      <c r="H27">
        <f t="shared" si="1"/>
        <v>53.837475842855291</v>
      </c>
      <c r="I27">
        <f t="shared" si="2"/>
        <v>935.83277419354897</v>
      </c>
      <c r="J27">
        <f t="shared" si="3"/>
        <v>650.19180637163595</v>
      </c>
      <c r="K27">
        <f t="shared" si="4"/>
        <v>62.083294621420237</v>
      </c>
      <c r="L27">
        <f t="shared" si="5"/>
        <v>89.357603813651636</v>
      </c>
      <c r="M27">
        <f t="shared" si="6"/>
        <v>0.34477570862135576</v>
      </c>
      <c r="N27">
        <f t="shared" si="7"/>
        <v>2.3922879488819024</v>
      </c>
      <c r="O27">
        <f t="shared" si="8"/>
        <v>0.3193596335127597</v>
      </c>
      <c r="P27">
        <f t="shared" si="9"/>
        <v>0.20172694653061474</v>
      </c>
      <c r="Q27">
        <f t="shared" si="10"/>
        <v>289.49621319024794</v>
      </c>
      <c r="R27">
        <f t="shared" si="11"/>
        <v>25.905031110593971</v>
      </c>
      <c r="S27">
        <f t="shared" si="12"/>
        <v>25.905031110593971</v>
      </c>
      <c r="T27">
        <f t="shared" si="13"/>
        <v>3.3553428525073232</v>
      </c>
      <c r="U27">
        <f t="shared" si="14"/>
        <v>60.659191358060262</v>
      </c>
      <c r="V27">
        <f t="shared" si="15"/>
        <v>1.9684405872983088</v>
      </c>
      <c r="W27">
        <f t="shared" si="16"/>
        <v>3.2450821437413486</v>
      </c>
      <c r="X27">
        <f t="shared" si="17"/>
        <v>1.3869022652090144</v>
      </c>
      <c r="Y27">
        <f t="shared" si="18"/>
        <v>-210.43128345023734</v>
      </c>
      <c r="Z27">
        <f t="shared" si="19"/>
        <v>-72.621651723626172</v>
      </c>
      <c r="AA27">
        <f t="shared" si="20"/>
        <v>-6.4615420788445164</v>
      </c>
      <c r="AB27">
        <f t="shared" si="21"/>
        <v>-1.8264062460076502E-2</v>
      </c>
      <c r="AC27">
        <v>-3.9515325092278501E-2</v>
      </c>
      <c r="AD27">
        <v>4.4359414148688603E-2</v>
      </c>
      <c r="AE27">
        <v>3.34364975510554</v>
      </c>
      <c r="AF27">
        <v>10</v>
      </c>
      <c r="AG27">
        <v>2</v>
      </c>
      <c r="AH27">
        <f t="shared" si="22"/>
        <v>1</v>
      </c>
      <c r="AI27">
        <f t="shared" si="23"/>
        <v>0</v>
      </c>
      <c r="AJ27">
        <f t="shared" si="24"/>
        <v>50670.506839905269</v>
      </c>
      <c r="AK27" t="s">
        <v>279</v>
      </c>
      <c r="AL27">
        <v>580.33307692307699</v>
      </c>
      <c r="AM27">
        <v>2824.36</v>
      </c>
      <c r="AN27">
        <f t="shared" si="25"/>
        <v>2244.0269230769231</v>
      </c>
      <c r="AO27">
        <f t="shared" si="26"/>
        <v>0.79452581224664098</v>
      </c>
      <c r="AP27">
        <v>-2.5011690977444898</v>
      </c>
      <c r="AQ27" t="s">
        <v>328</v>
      </c>
      <c r="AR27">
        <v>753.56876923076902</v>
      </c>
      <c r="AS27">
        <v>1226.29</v>
      </c>
      <c r="AT27">
        <f t="shared" si="27"/>
        <v>0.38548893880666968</v>
      </c>
      <c r="AU27">
        <v>0.5</v>
      </c>
      <c r="AV27">
        <f t="shared" si="28"/>
        <v>1513.1806552336152</v>
      </c>
      <c r="AW27">
        <f t="shared" si="29"/>
        <v>53.837475842855291</v>
      </c>
      <c r="AX27">
        <f t="shared" si="30"/>
        <v>291.65720250439369</v>
      </c>
      <c r="AY27">
        <f t="shared" si="31"/>
        <v>1</v>
      </c>
      <c r="AZ27">
        <f t="shared" si="32"/>
        <v>3.7231935754493128E-2</v>
      </c>
      <c r="BA27">
        <f t="shared" si="33"/>
        <v>1.3031746161185365</v>
      </c>
      <c r="BB27" t="s">
        <v>281</v>
      </c>
      <c r="BC27">
        <v>0</v>
      </c>
      <c r="BD27">
        <f t="shared" si="34"/>
        <v>1226.29</v>
      </c>
      <c r="BE27">
        <f t="shared" si="35"/>
        <v>0.38548893880666968</v>
      </c>
      <c r="BF27">
        <f t="shared" si="36"/>
        <v>0.56581668059312551</v>
      </c>
      <c r="BG27">
        <f t="shared" si="37"/>
        <v>0.73181541041079223</v>
      </c>
      <c r="BH27">
        <f t="shared" si="38"/>
        <v>0.71214386225312676</v>
      </c>
      <c r="BI27">
        <f t="shared" si="39"/>
        <v>1799.9951612903201</v>
      </c>
      <c r="BJ27">
        <f t="shared" si="40"/>
        <v>1513.1806552336152</v>
      </c>
      <c r="BK27">
        <f t="shared" si="41"/>
        <v>0.84065817940804743</v>
      </c>
      <c r="BL27">
        <f t="shared" si="42"/>
        <v>0.19131635881609493</v>
      </c>
      <c r="BM27">
        <v>5.5</v>
      </c>
      <c r="BN27">
        <v>0.5</v>
      </c>
      <c r="BO27" t="s">
        <v>282</v>
      </c>
      <c r="BP27">
        <v>1519087654.5</v>
      </c>
      <c r="BQ27">
        <v>935.83277419354897</v>
      </c>
      <c r="BR27">
        <v>999.98212903225794</v>
      </c>
      <c r="BS27">
        <v>20.6152709677419</v>
      </c>
      <c r="BT27">
        <v>15.473335483871001</v>
      </c>
      <c r="BU27">
        <v>499.87464516129</v>
      </c>
      <c r="BV27">
        <v>95.392954838709699</v>
      </c>
      <c r="BW27">
        <v>9.1629883870967696E-2</v>
      </c>
      <c r="BX27">
        <v>25.3419548387097</v>
      </c>
      <c r="BY27">
        <v>25.023922580645198</v>
      </c>
      <c r="BZ27">
        <v>999.9</v>
      </c>
      <c r="CA27">
        <v>0</v>
      </c>
      <c r="CB27">
        <v>0</v>
      </c>
      <c r="CC27">
        <v>9989.5351612903196</v>
      </c>
      <c r="CD27">
        <v>0</v>
      </c>
      <c r="CE27">
        <v>306.819064516129</v>
      </c>
      <c r="CF27">
        <v>1799.9951612903201</v>
      </c>
      <c r="CG27">
        <v>0.97799780645161305</v>
      </c>
      <c r="CH27">
        <v>2.2002229032258101E-2</v>
      </c>
      <c r="CI27">
        <v>0</v>
      </c>
      <c r="CJ27">
        <v>753.56290322580605</v>
      </c>
      <c r="CK27">
        <v>4.9993999999999996</v>
      </c>
      <c r="CL27">
        <v>13732.748387096801</v>
      </c>
      <c r="CM27">
        <v>14669.0774193548</v>
      </c>
      <c r="CN27">
        <v>47.436999999999998</v>
      </c>
      <c r="CO27">
        <v>47.686999999999998</v>
      </c>
      <c r="CP27">
        <v>48</v>
      </c>
      <c r="CQ27">
        <v>47.887</v>
      </c>
      <c r="CR27">
        <v>48.673000000000002</v>
      </c>
      <c r="CS27">
        <v>1755.50451612903</v>
      </c>
      <c r="CT27">
        <v>39.490645161290303</v>
      </c>
      <c r="CU27">
        <v>0</v>
      </c>
      <c r="CV27">
        <v>187</v>
      </c>
      <c r="CW27">
        <v>753.56876923076902</v>
      </c>
      <c r="CX27">
        <v>0.68225641552162497</v>
      </c>
      <c r="CY27">
        <v>20.1811965978853</v>
      </c>
      <c r="CZ27">
        <v>13732.973076923099</v>
      </c>
      <c r="DA27">
        <v>15</v>
      </c>
      <c r="DB27">
        <v>1519087627</v>
      </c>
      <c r="DC27" t="s">
        <v>329</v>
      </c>
      <c r="DD27">
        <v>73</v>
      </c>
      <c r="DE27">
        <v>2.1659999999999999</v>
      </c>
      <c r="DF27">
        <v>0.16700000000000001</v>
      </c>
      <c r="DG27">
        <v>1000</v>
      </c>
      <c r="DH27">
        <v>15</v>
      </c>
      <c r="DI27">
        <v>0.03</v>
      </c>
      <c r="DJ27">
        <v>0.02</v>
      </c>
      <c r="DK27">
        <v>53.804204051848103</v>
      </c>
      <c r="DL27">
        <v>0.28451285331458798</v>
      </c>
      <c r="DM27">
        <v>0.1851628633155</v>
      </c>
      <c r="DN27">
        <v>1</v>
      </c>
      <c r="DO27">
        <v>-64.185770731707294</v>
      </c>
      <c r="DP27">
        <v>1.0365031358883401</v>
      </c>
      <c r="DQ27">
        <v>0.132686213822269</v>
      </c>
      <c r="DR27">
        <v>0</v>
      </c>
      <c r="DS27">
        <v>5.1382617073170698</v>
      </c>
      <c r="DT27">
        <v>6.5861184668986203E-2</v>
      </c>
      <c r="DU27">
        <v>7.0140889234833401E-3</v>
      </c>
      <c r="DV27">
        <v>1</v>
      </c>
      <c r="DW27">
        <v>0.34224472601490002</v>
      </c>
      <c r="DX27">
        <v>2.3666414461136799E-2</v>
      </c>
      <c r="DY27">
        <v>3.5062968953484199E-3</v>
      </c>
      <c r="DZ27">
        <v>1</v>
      </c>
      <c r="EA27">
        <v>3</v>
      </c>
      <c r="EB27">
        <v>4</v>
      </c>
      <c r="EC27" t="s">
        <v>330</v>
      </c>
      <c r="ED27">
        <v>1.8490599999999999</v>
      </c>
      <c r="EE27">
        <v>1.85318</v>
      </c>
      <c r="EF27">
        <v>1.8519600000000001</v>
      </c>
      <c r="EG27">
        <v>1.8562399999999999</v>
      </c>
      <c r="EH27">
        <v>1.8540000000000001</v>
      </c>
      <c r="EI27">
        <v>1.8544</v>
      </c>
      <c r="EJ27">
        <v>1.8466199999999999</v>
      </c>
      <c r="EK27">
        <v>1.8513299999999999</v>
      </c>
      <c r="EL27" t="s">
        <v>285</v>
      </c>
      <c r="EM27" t="s">
        <v>19</v>
      </c>
      <c r="EN27" t="s">
        <v>19</v>
      </c>
      <c r="EO27" t="s">
        <v>19</v>
      </c>
      <c r="EP27" t="s">
        <v>286</v>
      </c>
      <c r="EQ27" t="s">
        <v>287</v>
      </c>
      <c r="ER27" t="s">
        <v>288</v>
      </c>
      <c r="ES27" t="s">
        <v>288</v>
      </c>
      <c r="ET27" t="s">
        <v>288</v>
      </c>
      <c r="EU27" t="s">
        <v>288</v>
      </c>
      <c r="EV27">
        <v>0</v>
      </c>
      <c r="EW27">
        <v>100</v>
      </c>
      <c r="EX27">
        <v>100</v>
      </c>
      <c r="EY27">
        <v>2.1659999999999999</v>
      </c>
      <c r="EZ27">
        <v>0.16700000000000001</v>
      </c>
      <c r="FA27">
        <v>2</v>
      </c>
      <c r="FB27">
        <v>477.21199999999999</v>
      </c>
      <c r="FC27">
        <v>258.7</v>
      </c>
      <c r="FD27">
        <v>18.5564</v>
      </c>
      <c r="FE27">
        <v>32.083399999999997</v>
      </c>
      <c r="FF27">
        <v>30.000299999999999</v>
      </c>
      <c r="FG27">
        <v>32.470500000000001</v>
      </c>
      <c r="FH27">
        <v>32.420200000000001</v>
      </c>
      <c r="FI27">
        <v>36.030099999999997</v>
      </c>
      <c r="FJ27">
        <v>0</v>
      </c>
      <c r="FK27">
        <v>0</v>
      </c>
      <c r="FL27">
        <v>18.554200000000002</v>
      </c>
      <c r="FM27">
        <v>1000</v>
      </c>
      <c r="FN27">
        <v>15.3878</v>
      </c>
      <c r="FO27">
        <v>99.733099999999993</v>
      </c>
      <c r="FP27">
        <v>117.985</v>
      </c>
    </row>
    <row r="28" spans="1:172" x14ac:dyDescent="0.25">
      <c r="A28">
        <v>16</v>
      </c>
      <c r="B28">
        <v>1519087813</v>
      </c>
      <c r="C28">
        <v>1964.4000000953699</v>
      </c>
      <c r="D28" t="s">
        <v>331</v>
      </c>
      <c r="E28" t="s">
        <v>332</v>
      </c>
      <c r="F28">
        <v>1519087805</v>
      </c>
      <c r="G28">
        <f t="shared" si="0"/>
        <v>5.1500396594300526E-3</v>
      </c>
      <c r="H28">
        <f t="shared" si="1"/>
        <v>54.192084364459078</v>
      </c>
      <c r="I28">
        <f t="shared" si="2"/>
        <v>1134.0124516128999</v>
      </c>
      <c r="J28">
        <f t="shared" si="3"/>
        <v>863.43126974537006</v>
      </c>
      <c r="K28">
        <f t="shared" si="4"/>
        <v>82.451349691783591</v>
      </c>
      <c r="L28">
        <f t="shared" si="5"/>
        <v>108.2898668128453</v>
      </c>
      <c r="M28">
        <f t="shared" si="6"/>
        <v>0.37699807102696742</v>
      </c>
      <c r="N28">
        <f t="shared" si="7"/>
        <v>2.3939479106712156</v>
      </c>
      <c r="O28">
        <f t="shared" si="8"/>
        <v>0.34685102646980676</v>
      </c>
      <c r="P28">
        <f t="shared" si="9"/>
        <v>0.21928923935569805</v>
      </c>
      <c r="Q28">
        <f t="shared" si="10"/>
        <v>289.49722762300047</v>
      </c>
      <c r="R28">
        <f t="shared" si="11"/>
        <v>25.685804931969823</v>
      </c>
      <c r="S28">
        <f t="shared" si="12"/>
        <v>25.685804931969823</v>
      </c>
      <c r="T28">
        <f t="shared" si="13"/>
        <v>3.3120313934876959</v>
      </c>
      <c r="U28">
        <f t="shared" si="14"/>
        <v>59.926052391893201</v>
      </c>
      <c r="V28">
        <f t="shared" si="15"/>
        <v>1.9330973694423403</v>
      </c>
      <c r="W28">
        <f t="shared" si="16"/>
        <v>3.2258046246741423</v>
      </c>
      <c r="X28">
        <f t="shared" si="17"/>
        <v>1.3789340240453556</v>
      </c>
      <c r="Y28">
        <f t="shared" si="18"/>
        <v>-227.11674898086531</v>
      </c>
      <c r="Z28">
        <f t="shared" si="19"/>
        <v>-57.304811636655309</v>
      </c>
      <c r="AA28">
        <f t="shared" si="20"/>
        <v>-5.0870128756033051</v>
      </c>
      <c r="AB28">
        <f t="shared" si="21"/>
        <v>-1.1345870123456336E-2</v>
      </c>
      <c r="AC28">
        <v>-3.9553707237224699E-2</v>
      </c>
      <c r="AD28">
        <v>4.4402501468851399E-2</v>
      </c>
      <c r="AE28">
        <v>3.3462337965185802</v>
      </c>
      <c r="AF28">
        <v>10</v>
      </c>
      <c r="AG28">
        <v>2</v>
      </c>
      <c r="AH28">
        <f t="shared" si="22"/>
        <v>1</v>
      </c>
      <c r="AI28">
        <f t="shared" si="23"/>
        <v>0</v>
      </c>
      <c r="AJ28">
        <f t="shared" si="24"/>
        <v>50734.742801089415</v>
      </c>
      <c r="AK28" t="s">
        <v>279</v>
      </c>
      <c r="AL28">
        <v>580.33307692307699</v>
      </c>
      <c r="AM28">
        <v>2824.36</v>
      </c>
      <c r="AN28">
        <f t="shared" si="25"/>
        <v>2244.0269230769231</v>
      </c>
      <c r="AO28">
        <f t="shared" si="26"/>
        <v>0.79452581224664098</v>
      </c>
      <c r="AP28">
        <v>-2.5011690977444898</v>
      </c>
      <c r="AQ28" t="s">
        <v>333</v>
      </c>
      <c r="AR28">
        <v>733.98599999999999</v>
      </c>
      <c r="AS28">
        <v>1189.57</v>
      </c>
      <c r="AT28">
        <f t="shared" si="27"/>
        <v>0.38298208596383565</v>
      </c>
      <c r="AU28">
        <v>0.5</v>
      </c>
      <c r="AV28">
        <f t="shared" si="28"/>
        <v>1513.1858229755574</v>
      </c>
      <c r="AW28">
        <f t="shared" si="29"/>
        <v>54.192084364459078</v>
      </c>
      <c r="AX28">
        <f t="shared" si="30"/>
        <v>289.76153146704115</v>
      </c>
      <c r="AY28">
        <f t="shared" si="31"/>
        <v>1</v>
      </c>
      <c r="AZ28">
        <f t="shared" si="32"/>
        <v>3.7466154256402477E-2</v>
      </c>
      <c r="BA28">
        <f t="shared" si="33"/>
        <v>1.3742696940911423</v>
      </c>
      <c r="BB28" t="s">
        <v>281</v>
      </c>
      <c r="BC28">
        <v>0</v>
      </c>
      <c r="BD28">
        <f t="shared" si="34"/>
        <v>1189.57</v>
      </c>
      <c r="BE28">
        <f t="shared" si="35"/>
        <v>0.38298208596383565</v>
      </c>
      <c r="BF28">
        <f t="shared" si="36"/>
        <v>0.5788178560806696</v>
      </c>
      <c r="BG28">
        <f t="shared" si="37"/>
        <v>0.74779446672255845</v>
      </c>
      <c r="BH28">
        <f t="shared" si="38"/>
        <v>0.72850730229138216</v>
      </c>
      <c r="BI28">
        <f t="shared" si="39"/>
        <v>1800.00129032258</v>
      </c>
      <c r="BJ28">
        <f t="shared" si="40"/>
        <v>1513.1858229755574</v>
      </c>
      <c r="BK28">
        <f t="shared" si="41"/>
        <v>0.84065818791961966</v>
      </c>
      <c r="BL28">
        <f t="shared" si="42"/>
        <v>0.19131637583923938</v>
      </c>
      <c r="BM28">
        <v>5.5</v>
      </c>
      <c r="BN28">
        <v>0.5</v>
      </c>
      <c r="BO28" t="s">
        <v>282</v>
      </c>
      <c r="BP28">
        <v>1519087805</v>
      </c>
      <c r="BQ28">
        <v>1134.0124516128999</v>
      </c>
      <c r="BR28">
        <v>1200.04</v>
      </c>
      <c r="BS28">
        <v>20.243412903225799</v>
      </c>
      <c r="BT28">
        <v>14.6937193548387</v>
      </c>
      <c r="BU28">
        <v>500.06038709677398</v>
      </c>
      <c r="BV28">
        <v>95.392587096774193</v>
      </c>
      <c r="BW28">
        <v>0.100074080645161</v>
      </c>
      <c r="BX28">
        <v>25.241796774193499</v>
      </c>
      <c r="BY28">
        <v>24.978745161290298</v>
      </c>
      <c r="BZ28">
        <v>999.9</v>
      </c>
      <c r="CA28">
        <v>0</v>
      </c>
      <c r="CB28">
        <v>0</v>
      </c>
      <c r="CC28">
        <v>9999.2767741935495</v>
      </c>
      <c r="CD28">
        <v>0</v>
      </c>
      <c r="CE28">
        <v>289.92038709677399</v>
      </c>
      <c r="CF28">
        <v>1800.00129032258</v>
      </c>
      <c r="CG28">
        <v>0.97799806451612903</v>
      </c>
      <c r="CH28">
        <v>2.20019903225806E-2</v>
      </c>
      <c r="CI28">
        <v>0</v>
      </c>
      <c r="CJ28">
        <v>733.96470967741902</v>
      </c>
      <c r="CK28">
        <v>4.9993999999999996</v>
      </c>
      <c r="CL28">
        <v>13383.335483871</v>
      </c>
      <c r="CM28">
        <v>14669.1193548387</v>
      </c>
      <c r="CN28">
        <v>47.465451612903202</v>
      </c>
      <c r="CO28">
        <v>47.75</v>
      </c>
      <c r="CP28">
        <v>48.058</v>
      </c>
      <c r="CQ28">
        <v>47.936999999999998</v>
      </c>
      <c r="CR28">
        <v>48.686999999999998</v>
      </c>
      <c r="CS28">
        <v>1755.51</v>
      </c>
      <c r="CT28">
        <v>39.491290322580603</v>
      </c>
      <c r="CU28">
        <v>0</v>
      </c>
      <c r="CV28">
        <v>150</v>
      </c>
      <c r="CW28">
        <v>733.98599999999999</v>
      </c>
      <c r="CX28">
        <v>1.1762734938839801</v>
      </c>
      <c r="CY28">
        <v>13.388034232436601</v>
      </c>
      <c r="CZ28">
        <v>13383.5769230769</v>
      </c>
      <c r="DA28">
        <v>15</v>
      </c>
      <c r="DB28">
        <v>1519087849.5</v>
      </c>
      <c r="DC28" t="s">
        <v>334</v>
      </c>
      <c r="DD28">
        <v>74</v>
      </c>
      <c r="DE28">
        <v>2.472</v>
      </c>
      <c r="DF28">
        <v>0.16500000000000001</v>
      </c>
      <c r="DG28">
        <v>1200</v>
      </c>
      <c r="DH28">
        <v>15</v>
      </c>
      <c r="DI28">
        <v>0.06</v>
      </c>
      <c r="DJ28">
        <v>0.02</v>
      </c>
      <c r="DK28">
        <v>54.454533660585298</v>
      </c>
      <c r="DL28">
        <v>6.5368148435478904E-2</v>
      </c>
      <c r="DM28">
        <v>9.7798098590524296E-2</v>
      </c>
      <c r="DN28">
        <v>1</v>
      </c>
      <c r="DO28">
        <v>-66.334817073170697</v>
      </c>
      <c r="DP28">
        <v>0.32751219512187801</v>
      </c>
      <c r="DQ28">
        <v>0.10478471053624901</v>
      </c>
      <c r="DR28">
        <v>0</v>
      </c>
      <c r="DS28">
        <v>5.5565382926829301</v>
      </c>
      <c r="DT28">
        <v>-0.118419512195182</v>
      </c>
      <c r="DU28">
        <v>1.17283196772139E-2</v>
      </c>
      <c r="DV28">
        <v>1</v>
      </c>
      <c r="DW28">
        <v>0.37900303918925099</v>
      </c>
      <c r="DX28">
        <v>-1.66564319156726E-2</v>
      </c>
      <c r="DY28">
        <v>2.2178033182838298E-3</v>
      </c>
      <c r="DZ28">
        <v>1</v>
      </c>
      <c r="EA28">
        <v>3</v>
      </c>
      <c r="EB28">
        <v>4</v>
      </c>
      <c r="EC28" t="s">
        <v>330</v>
      </c>
      <c r="ED28">
        <v>1.84907</v>
      </c>
      <c r="EE28">
        <v>1.85318</v>
      </c>
      <c r="EF28">
        <v>1.85199</v>
      </c>
      <c r="EG28">
        <v>1.8562399999999999</v>
      </c>
      <c r="EH28">
        <v>1.85402</v>
      </c>
      <c r="EI28">
        <v>1.8544</v>
      </c>
      <c r="EJ28">
        <v>1.84663</v>
      </c>
      <c r="EK28">
        <v>1.85134</v>
      </c>
      <c r="EL28" t="s">
        <v>285</v>
      </c>
      <c r="EM28" t="s">
        <v>19</v>
      </c>
      <c r="EN28" t="s">
        <v>19</v>
      </c>
      <c r="EO28" t="s">
        <v>19</v>
      </c>
      <c r="EP28" t="s">
        <v>286</v>
      </c>
      <c r="EQ28" t="s">
        <v>287</v>
      </c>
      <c r="ER28" t="s">
        <v>288</v>
      </c>
      <c r="ES28" t="s">
        <v>288</v>
      </c>
      <c r="ET28" t="s">
        <v>288</v>
      </c>
      <c r="EU28" t="s">
        <v>288</v>
      </c>
      <c r="EV28">
        <v>0</v>
      </c>
      <c r="EW28">
        <v>100</v>
      </c>
      <c r="EX28">
        <v>100</v>
      </c>
      <c r="EY28">
        <v>2.472</v>
      </c>
      <c r="EZ28">
        <v>0.16500000000000001</v>
      </c>
      <c r="FA28">
        <v>2</v>
      </c>
      <c r="FB28">
        <v>477.03199999999998</v>
      </c>
      <c r="FC28">
        <v>258.15800000000002</v>
      </c>
      <c r="FD28">
        <v>19.008600000000001</v>
      </c>
      <c r="FE28">
        <v>32.058799999999998</v>
      </c>
      <c r="FF28">
        <v>30.0002</v>
      </c>
      <c r="FG28">
        <v>32.432899999999997</v>
      </c>
      <c r="FH28">
        <v>32.383400000000002</v>
      </c>
      <c r="FI28">
        <v>41.762799999999999</v>
      </c>
      <c r="FJ28">
        <v>14.802</v>
      </c>
      <c r="FK28">
        <v>0</v>
      </c>
      <c r="FL28">
        <v>19.006699999999999</v>
      </c>
      <c r="FM28">
        <v>1200</v>
      </c>
      <c r="FN28">
        <v>14.790699999999999</v>
      </c>
      <c r="FO28">
        <v>99.734499999999997</v>
      </c>
      <c r="FP28">
        <v>117.98699999999999</v>
      </c>
    </row>
    <row r="29" spans="1:172" x14ac:dyDescent="0.25">
      <c r="A29">
        <v>17</v>
      </c>
      <c r="B29">
        <v>1519088000.5</v>
      </c>
      <c r="C29">
        <v>2151.9000000953702</v>
      </c>
      <c r="D29" t="s">
        <v>335</v>
      </c>
      <c r="E29" t="s">
        <v>336</v>
      </c>
      <c r="F29">
        <v>1519087992.5</v>
      </c>
      <c r="G29">
        <f t="shared" si="0"/>
        <v>4.4705009562875288E-3</v>
      </c>
      <c r="H29">
        <f t="shared" si="1"/>
        <v>53.559995688944454</v>
      </c>
      <c r="I29">
        <f t="shared" si="2"/>
        <v>1434.0790322580599</v>
      </c>
      <c r="J29">
        <f t="shared" si="3"/>
        <v>1119.2877900503404</v>
      </c>
      <c r="K29">
        <f t="shared" si="4"/>
        <v>106.86681520767712</v>
      </c>
      <c r="L29">
        <f t="shared" si="5"/>
        <v>136.92230031977192</v>
      </c>
      <c r="M29">
        <f t="shared" si="6"/>
        <v>0.32031723645807958</v>
      </c>
      <c r="N29">
        <f t="shared" si="7"/>
        <v>2.394459917714256</v>
      </c>
      <c r="O29">
        <f t="shared" si="8"/>
        <v>0.29827417946841323</v>
      </c>
      <c r="P29">
        <f t="shared" si="9"/>
        <v>0.18827528264041521</v>
      </c>
      <c r="Q29">
        <f t="shared" si="10"/>
        <v>289.4937086165308</v>
      </c>
      <c r="R29">
        <f t="shared" si="11"/>
        <v>25.804780898278963</v>
      </c>
      <c r="S29">
        <f t="shared" si="12"/>
        <v>25.804780898278963</v>
      </c>
      <c r="T29">
        <f t="shared" si="13"/>
        <v>3.3354759007669732</v>
      </c>
      <c r="U29">
        <f t="shared" si="14"/>
        <v>60.604069653394099</v>
      </c>
      <c r="V29">
        <f t="shared" si="15"/>
        <v>1.9440336701895713</v>
      </c>
      <c r="W29">
        <f t="shared" si="16"/>
        <v>3.2077609330658157</v>
      </c>
      <c r="X29">
        <f t="shared" si="17"/>
        <v>1.3914422305774019</v>
      </c>
      <c r="Y29">
        <f t="shared" si="18"/>
        <v>-197.14909217228004</v>
      </c>
      <c r="Z29">
        <f t="shared" si="19"/>
        <v>-84.838894405174116</v>
      </c>
      <c r="AA29">
        <f t="shared" si="20"/>
        <v>-7.5305758239150196</v>
      </c>
      <c r="AB29">
        <f t="shared" si="21"/>
        <v>-2.4853784838356319E-2</v>
      </c>
      <c r="AC29">
        <v>-3.9565549833755098E-2</v>
      </c>
      <c r="AD29">
        <v>4.44157958209251E-2</v>
      </c>
      <c r="AE29">
        <v>3.34703092317026</v>
      </c>
      <c r="AF29">
        <v>11</v>
      </c>
      <c r="AG29">
        <v>2</v>
      </c>
      <c r="AH29">
        <f t="shared" si="22"/>
        <v>1</v>
      </c>
      <c r="AI29">
        <f t="shared" si="23"/>
        <v>0</v>
      </c>
      <c r="AJ29">
        <f t="shared" si="24"/>
        <v>50765.022160067863</v>
      </c>
      <c r="AK29" t="s">
        <v>279</v>
      </c>
      <c r="AL29">
        <v>580.33307692307699</v>
      </c>
      <c r="AM29">
        <v>2824.36</v>
      </c>
      <c r="AN29">
        <f t="shared" si="25"/>
        <v>2244.0269230769231</v>
      </c>
      <c r="AO29">
        <f t="shared" si="26"/>
        <v>0.79452581224664098</v>
      </c>
      <c r="AP29">
        <v>-2.5011690977444898</v>
      </c>
      <c r="AQ29" t="s">
        <v>337</v>
      </c>
      <c r="AR29">
        <v>712.72419230769196</v>
      </c>
      <c r="AS29">
        <v>1132.33</v>
      </c>
      <c r="AT29">
        <f t="shared" si="27"/>
        <v>0.37056848064813963</v>
      </c>
      <c r="AU29">
        <v>0.5</v>
      </c>
      <c r="AV29">
        <f t="shared" si="28"/>
        <v>1513.1673874916887</v>
      </c>
      <c r="AW29">
        <f t="shared" si="29"/>
        <v>53.559995688944454</v>
      </c>
      <c r="AX29">
        <f t="shared" si="30"/>
        <v>280.36606987455491</v>
      </c>
      <c r="AY29">
        <f t="shared" si="31"/>
        <v>1</v>
      </c>
      <c r="AZ29">
        <f t="shared" si="32"/>
        <v>3.7048885172987427E-2</v>
      </c>
      <c r="BA29">
        <f t="shared" si="33"/>
        <v>1.494290533678345</v>
      </c>
      <c r="BB29" t="s">
        <v>281</v>
      </c>
      <c r="BC29">
        <v>0</v>
      </c>
      <c r="BD29">
        <f t="shared" si="34"/>
        <v>1132.33</v>
      </c>
      <c r="BE29">
        <f t="shared" si="35"/>
        <v>0.37056848064813969</v>
      </c>
      <c r="BF29">
        <f t="shared" si="36"/>
        <v>0.59908439434066485</v>
      </c>
      <c r="BG29">
        <f t="shared" si="37"/>
        <v>0.76015968595142736</v>
      </c>
      <c r="BH29">
        <f t="shared" si="38"/>
        <v>0.75401501764513323</v>
      </c>
      <c r="BI29">
        <f t="shared" si="39"/>
        <v>1799.9793548387099</v>
      </c>
      <c r="BJ29">
        <f t="shared" si="40"/>
        <v>1513.1673874916887</v>
      </c>
      <c r="BK29">
        <f t="shared" si="41"/>
        <v>0.84065819056423485</v>
      </c>
      <c r="BL29">
        <f t="shared" si="42"/>
        <v>0.19131638112846974</v>
      </c>
      <c r="BM29">
        <v>5.5</v>
      </c>
      <c r="BN29">
        <v>0.5</v>
      </c>
      <c r="BO29" t="s">
        <v>282</v>
      </c>
      <c r="BP29">
        <v>1519087992.5</v>
      </c>
      <c r="BQ29">
        <v>1434.0790322580599</v>
      </c>
      <c r="BR29">
        <v>1500.0412903225799</v>
      </c>
      <c r="BS29">
        <v>20.3611677419355</v>
      </c>
      <c r="BT29">
        <v>15.5441741935484</v>
      </c>
      <c r="BU29">
        <v>500.04467741935503</v>
      </c>
      <c r="BV29">
        <v>95.3775451612903</v>
      </c>
      <c r="BW29">
        <v>9.99684483870968E-2</v>
      </c>
      <c r="BX29">
        <v>25.147574193548401</v>
      </c>
      <c r="BY29">
        <v>24.9971322580645</v>
      </c>
      <c r="BZ29">
        <v>999.9</v>
      </c>
      <c r="CA29">
        <v>0</v>
      </c>
      <c r="CB29">
        <v>0</v>
      </c>
      <c r="CC29">
        <v>10003.8480645161</v>
      </c>
      <c r="CD29">
        <v>0</v>
      </c>
      <c r="CE29">
        <v>282.14690322580702</v>
      </c>
      <c r="CF29">
        <v>1799.9793548387099</v>
      </c>
      <c r="CG29">
        <v>0.97799741935483897</v>
      </c>
      <c r="CH29">
        <v>2.20025870967742E-2</v>
      </c>
      <c r="CI29">
        <v>0</v>
      </c>
      <c r="CJ29">
        <v>712.71041935483902</v>
      </c>
      <c r="CK29">
        <v>4.9993999999999996</v>
      </c>
      <c r="CL29">
        <v>12998.103225806501</v>
      </c>
      <c r="CM29">
        <v>14668.938709677401</v>
      </c>
      <c r="CN29">
        <v>47.436999999999998</v>
      </c>
      <c r="CO29">
        <v>47.679000000000002</v>
      </c>
      <c r="CP29">
        <v>48</v>
      </c>
      <c r="CQ29">
        <v>47.875</v>
      </c>
      <c r="CR29">
        <v>48.625</v>
      </c>
      <c r="CS29">
        <v>1755.4883870967701</v>
      </c>
      <c r="CT29">
        <v>39.490967741935499</v>
      </c>
      <c r="CU29">
        <v>0</v>
      </c>
      <c r="CV29">
        <v>187.200000047684</v>
      </c>
      <c r="CW29">
        <v>712.72419230769196</v>
      </c>
      <c r="CX29">
        <v>1.99005128805822</v>
      </c>
      <c r="CY29">
        <v>27.476922937478101</v>
      </c>
      <c r="CZ29">
        <v>12998.580769230801</v>
      </c>
      <c r="DA29">
        <v>15</v>
      </c>
      <c r="DB29">
        <v>1519087923</v>
      </c>
      <c r="DC29" t="s">
        <v>338</v>
      </c>
      <c r="DD29">
        <v>75</v>
      </c>
      <c r="DE29">
        <v>3.0960000000000001</v>
      </c>
      <c r="DF29">
        <v>0.17399999999999999</v>
      </c>
      <c r="DG29">
        <v>1501</v>
      </c>
      <c r="DH29">
        <v>15</v>
      </c>
      <c r="DI29">
        <v>0.04</v>
      </c>
      <c r="DJ29">
        <v>0.02</v>
      </c>
      <c r="DK29">
        <v>53.600836001608698</v>
      </c>
      <c r="DL29">
        <v>0.15168294506511901</v>
      </c>
      <c r="DM29">
        <v>0.142236316097819</v>
      </c>
      <c r="DN29">
        <v>1</v>
      </c>
      <c r="DO29">
        <v>-65.974263414634095</v>
      </c>
      <c r="DP29">
        <v>-0.83149756097554695</v>
      </c>
      <c r="DQ29">
        <v>0.20106220946797801</v>
      </c>
      <c r="DR29">
        <v>0</v>
      </c>
      <c r="DS29">
        <v>4.7909248780487799</v>
      </c>
      <c r="DT29">
        <v>0.53262313588849697</v>
      </c>
      <c r="DU29">
        <v>5.2657287783292102E-2</v>
      </c>
      <c r="DV29">
        <v>1</v>
      </c>
      <c r="DW29">
        <v>0.315831728144576</v>
      </c>
      <c r="DX29">
        <v>3.76020078078921E-2</v>
      </c>
      <c r="DY29">
        <v>5.0434862193262696E-3</v>
      </c>
      <c r="DZ29">
        <v>1</v>
      </c>
      <c r="EA29">
        <v>3</v>
      </c>
      <c r="EB29">
        <v>4</v>
      </c>
      <c r="EC29" t="s">
        <v>330</v>
      </c>
      <c r="ED29">
        <v>1.8491</v>
      </c>
      <c r="EE29">
        <v>1.85318</v>
      </c>
      <c r="EF29">
        <v>1.8520099999999999</v>
      </c>
      <c r="EG29">
        <v>1.85629</v>
      </c>
      <c r="EH29">
        <v>1.85405</v>
      </c>
      <c r="EI29">
        <v>1.8544</v>
      </c>
      <c r="EJ29">
        <v>1.84663</v>
      </c>
      <c r="EK29">
        <v>1.8513500000000001</v>
      </c>
      <c r="EL29" t="s">
        <v>285</v>
      </c>
      <c r="EM29" t="s">
        <v>19</v>
      </c>
      <c r="EN29" t="s">
        <v>19</v>
      </c>
      <c r="EO29" t="s">
        <v>19</v>
      </c>
      <c r="EP29" t="s">
        <v>286</v>
      </c>
      <c r="EQ29" t="s">
        <v>287</v>
      </c>
      <c r="ER29" t="s">
        <v>288</v>
      </c>
      <c r="ES29" t="s">
        <v>288</v>
      </c>
      <c r="ET29" t="s">
        <v>288</v>
      </c>
      <c r="EU29" t="s">
        <v>288</v>
      </c>
      <c r="EV29">
        <v>0</v>
      </c>
      <c r="EW29">
        <v>100</v>
      </c>
      <c r="EX29">
        <v>100</v>
      </c>
      <c r="EY29">
        <v>3.0960000000000001</v>
      </c>
      <c r="EZ29">
        <v>0.17399999999999999</v>
      </c>
      <c r="FA29">
        <v>2</v>
      </c>
      <c r="FB29">
        <v>476.35300000000001</v>
      </c>
      <c r="FC29">
        <v>259.125</v>
      </c>
      <c r="FD29">
        <v>18.485399999999998</v>
      </c>
      <c r="FE29">
        <v>31.987400000000001</v>
      </c>
      <c r="FF29">
        <v>29.996700000000001</v>
      </c>
      <c r="FG29">
        <v>32.367199999999997</v>
      </c>
      <c r="FH29">
        <v>32.316000000000003</v>
      </c>
      <c r="FI29">
        <v>50.094499999999996</v>
      </c>
      <c r="FJ29">
        <v>9.5399799999999999</v>
      </c>
      <c r="FK29">
        <v>0</v>
      </c>
      <c r="FL29">
        <v>18.632999999999999</v>
      </c>
      <c r="FM29">
        <v>1500</v>
      </c>
      <c r="FN29">
        <v>15.2689</v>
      </c>
      <c r="FO29">
        <v>99.750200000000007</v>
      </c>
      <c r="FP29">
        <v>118.005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4.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19</v>
      </c>
    </row>
    <row r="12" spans="1:2" x14ac:dyDescent="0.25">
      <c r="A12" t="s">
        <v>21</v>
      </c>
      <c r="B12" t="s">
        <v>17</v>
      </c>
    </row>
    <row r="13" spans="1:2" x14ac:dyDescent="0.25">
      <c r="A13" t="s">
        <v>22</v>
      </c>
      <c r="B13" t="s">
        <v>11</v>
      </c>
    </row>
    <row r="14" spans="1:2" x14ac:dyDescent="0.25">
      <c r="A14" t="s">
        <v>23</v>
      </c>
      <c r="B14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2025-03-23T16:38:10Z</dcterms:created>
  <dcterms:modified xsi:type="dcterms:W3CDTF">2025-08-03T14:59:01Z</dcterms:modified>
</cp:coreProperties>
</file>