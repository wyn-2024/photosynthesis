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博士学习资料\2025WW\winter wheat\"/>
    </mc:Choice>
  </mc:AlternateContent>
  <bookViews>
    <workbookView xWindow="240" yWindow="12" windowWidth="16092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CX29" i="1" l="1"/>
  <c r="CW29" i="1"/>
  <c r="CU29" i="1"/>
  <c r="CV29" i="1" s="1"/>
  <c r="BJ29" i="1"/>
  <c r="BI29" i="1"/>
  <c r="BA29" i="1"/>
  <c r="AW29" i="1"/>
  <c r="AU29" i="1"/>
  <c r="AY29" i="1" s="1"/>
  <c r="AO29" i="1"/>
  <c r="BB29" i="1" s="1"/>
  <c r="BE29" i="1" s="1"/>
  <c r="AJ29" i="1"/>
  <c r="AH29" i="1"/>
  <c r="L29" i="1" s="1"/>
  <c r="Z29" i="1"/>
  <c r="Y29" i="1"/>
  <c r="X29" i="1"/>
  <c r="T29" i="1"/>
  <c r="Q29" i="1"/>
  <c r="O29" i="1"/>
  <c r="CX28" i="1"/>
  <c r="CW28" i="1"/>
  <c r="CU28" i="1"/>
  <c r="BJ28" i="1"/>
  <c r="BI28" i="1"/>
  <c r="BA28" i="1"/>
  <c r="AU28" i="1"/>
  <c r="AO28" i="1"/>
  <c r="BB28" i="1" s="1"/>
  <c r="BE28" i="1" s="1"/>
  <c r="AJ28" i="1"/>
  <c r="AH28" i="1"/>
  <c r="O28" i="1" s="1"/>
  <c r="Z28" i="1"/>
  <c r="Y28" i="1"/>
  <c r="Q28" i="1"/>
  <c r="CX27" i="1"/>
  <c r="CW27" i="1"/>
  <c r="CU27" i="1"/>
  <c r="T27" i="1" s="1"/>
  <c r="BJ27" i="1"/>
  <c r="BI27" i="1"/>
  <c r="BA27" i="1"/>
  <c r="AU27" i="1"/>
  <c r="AO27" i="1"/>
  <c r="BB27" i="1" s="1"/>
  <c r="BE27" i="1" s="1"/>
  <c r="AJ27" i="1"/>
  <c r="AH27" i="1" s="1"/>
  <c r="O27" i="1" s="1"/>
  <c r="Z27" i="1"/>
  <c r="Y27" i="1"/>
  <c r="X27" i="1" s="1"/>
  <c r="Q27" i="1"/>
  <c r="CX26" i="1"/>
  <c r="CW26" i="1"/>
  <c r="CU26" i="1"/>
  <c r="T26" i="1" s="1"/>
  <c r="U26" i="1" s="1"/>
  <c r="V26" i="1" s="1"/>
  <c r="W26" i="1" s="1"/>
  <c r="AA26" i="1" s="1"/>
  <c r="BJ26" i="1"/>
  <c r="BI26" i="1"/>
  <c r="BA26" i="1"/>
  <c r="AU26" i="1"/>
  <c r="AO26" i="1"/>
  <c r="BB26" i="1" s="1"/>
  <c r="BE26" i="1" s="1"/>
  <c r="AJ26" i="1"/>
  <c r="AH26" i="1"/>
  <c r="O26" i="1" s="1"/>
  <c r="Z26" i="1"/>
  <c r="Y26" i="1"/>
  <c r="Q26" i="1"/>
  <c r="L26" i="1"/>
  <c r="K26" i="1"/>
  <c r="AX26" i="1" s="1"/>
  <c r="J26" i="1"/>
  <c r="I26" i="1"/>
  <c r="AB26" i="1" s="1"/>
  <c r="CX25" i="1"/>
  <c r="CW25" i="1"/>
  <c r="CU25" i="1"/>
  <c r="T25" i="1" s="1"/>
  <c r="BJ25" i="1"/>
  <c r="BI25" i="1"/>
  <c r="BA25" i="1"/>
  <c r="AU25" i="1"/>
  <c r="AO25" i="1"/>
  <c r="BB25" i="1" s="1"/>
  <c r="BE25" i="1" s="1"/>
  <c r="AJ25" i="1"/>
  <c r="AH25" i="1"/>
  <c r="AI25" i="1" s="1"/>
  <c r="Z25" i="1"/>
  <c r="Y25" i="1"/>
  <c r="X25" i="1" s="1"/>
  <c r="Q25" i="1"/>
  <c r="CX24" i="1"/>
  <c r="CW24" i="1"/>
  <c r="CU24" i="1"/>
  <c r="T24" i="1" s="1"/>
  <c r="BJ24" i="1"/>
  <c r="BI24" i="1"/>
  <c r="BA24" i="1"/>
  <c r="AU24" i="1"/>
  <c r="AO24" i="1"/>
  <c r="BB24" i="1" s="1"/>
  <c r="BE24" i="1" s="1"/>
  <c r="BF24" i="1" s="1"/>
  <c r="AJ24" i="1"/>
  <c r="AH24" i="1"/>
  <c r="Z24" i="1"/>
  <c r="Y24" i="1"/>
  <c r="X24" i="1"/>
  <c r="Q24" i="1"/>
  <c r="CX23" i="1"/>
  <c r="CW23" i="1"/>
  <c r="CU23" i="1"/>
  <c r="CV23" i="1" s="1"/>
  <c r="AW23" i="1" s="1"/>
  <c r="BJ23" i="1"/>
  <c r="BI23" i="1"/>
  <c r="BA23" i="1"/>
  <c r="AU23" i="1"/>
  <c r="AO23" i="1"/>
  <c r="BB23" i="1" s="1"/>
  <c r="BE23" i="1" s="1"/>
  <c r="AJ23" i="1"/>
  <c r="AH23" i="1"/>
  <c r="O23" i="1" s="1"/>
  <c r="Z23" i="1"/>
  <c r="Y23" i="1"/>
  <c r="X23" i="1"/>
  <c r="Q23" i="1"/>
  <c r="CX22" i="1"/>
  <c r="CW22" i="1"/>
  <c r="CU22" i="1"/>
  <c r="CV22" i="1" s="1"/>
  <c r="AW22" i="1" s="1"/>
  <c r="BJ22" i="1"/>
  <c r="BI22" i="1"/>
  <c r="BA22" i="1"/>
  <c r="AU22" i="1"/>
  <c r="AY22" i="1" s="1"/>
  <c r="AO22" i="1"/>
  <c r="BB22" i="1" s="1"/>
  <c r="BE22" i="1" s="1"/>
  <c r="AJ22" i="1"/>
  <c r="AH22" i="1" s="1"/>
  <c r="O22" i="1" s="1"/>
  <c r="AI22" i="1"/>
  <c r="Z22" i="1"/>
  <c r="Y22" i="1"/>
  <c r="X22" i="1"/>
  <c r="T22" i="1"/>
  <c r="Q22" i="1"/>
  <c r="CX21" i="1"/>
  <c r="CW21" i="1"/>
  <c r="CU21" i="1"/>
  <c r="CV21" i="1" s="1"/>
  <c r="BJ21" i="1"/>
  <c r="BI21" i="1"/>
  <c r="BA21" i="1"/>
  <c r="AW21" i="1"/>
  <c r="AU21" i="1"/>
  <c r="AY21" i="1" s="1"/>
  <c r="AO21" i="1"/>
  <c r="BB21" i="1" s="1"/>
  <c r="BE21" i="1" s="1"/>
  <c r="AJ21" i="1"/>
  <c r="AH21" i="1"/>
  <c r="L21" i="1" s="1"/>
  <c r="Z21" i="1"/>
  <c r="Y21" i="1"/>
  <c r="X21" i="1"/>
  <c r="T21" i="1"/>
  <c r="Q21" i="1"/>
  <c r="O21" i="1"/>
  <c r="CX20" i="1"/>
  <c r="T20" i="1" s="1"/>
  <c r="CW20" i="1"/>
  <c r="CU20" i="1"/>
  <c r="CV20" i="1" s="1"/>
  <c r="AW20" i="1" s="1"/>
  <c r="BJ20" i="1"/>
  <c r="BI20" i="1"/>
  <c r="BA20" i="1"/>
  <c r="AU20" i="1"/>
  <c r="AO20" i="1"/>
  <c r="BB20" i="1" s="1"/>
  <c r="BE20" i="1" s="1"/>
  <c r="AJ20" i="1"/>
  <c r="AH20" i="1"/>
  <c r="O20" i="1" s="1"/>
  <c r="Z20" i="1"/>
  <c r="Y20" i="1"/>
  <c r="X20" i="1" s="1"/>
  <c r="Q20" i="1"/>
  <c r="CX19" i="1"/>
  <c r="CW19" i="1"/>
  <c r="CU19" i="1"/>
  <c r="T19" i="1" s="1"/>
  <c r="BJ19" i="1"/>
  <c r="BI19" i="1"/>
  <c r="BA19" i="1"/>
  <c r="AU19" i="1"/>
  <c r="AO19" i="1"/>
  <c r="BB19" i="1" s="1"/>
  <c r="BE19" i="1" s="1"/>
  <c r="AJ19" i="1"/>
  <c r="AH19" i="1" s="1"/>
  <c r="Z19" i="1"/>
  <c r="Y19" i="1"/>
  <c r="X19" i="1" s="1"/>
  <c r="Q19" i="1"/>
  <c r="CX18" i="1"/>
  <c r="CW18" i="1"/>
  <c r="CU18" i="1"/>
  <c r="BJ18" i="1"/>
  <c r="BI18" i="1"/>
  <c r="BA18" i="1"/>
  <c r="AU18" i="1"/>
  <c r="AO18" i="1"/>
  <c r="BB18" i="1" s="1"/>
  <c r="BE18" i="1" s="1"/>
  <c r="AJ18" i="1"/>
  <c r="AH18" i="1"/>
  <c r="O18" i="1" s="1"/>
  <c r="Z18" i="1"/>
  <c r="Y18" i="1"/>
  <c r="X18" i="1" s="1"/>
  <c r="Q18" i="1"/>
  <c r="L18" i="1"/>
  <c r="K18" i="1"/>
  <c r="AX18" i="1" s="1"/>
  <c r="J18" i="1"/>
  <c r="I18" i="1"/>
  <c r="CX17" i="1"/>
  <c r="CW17" i="1"/>
  <c r="CU17" i="1"/>
  <c r="T17" i="1" s="1"/>
  <c r="BJ17" i="1"/>
  <c r="BI17" i="1"/>
  <c r="BA17" i="1"/>
  <c r="AU17" i="1"/>
  <c r="AO17" i="1"/>
  <c r="BB17" i="1" s="1"/>
  <c r="BE17" i="1" s="1"/>
  <c r="AJ17" i="1"/>
  <c r="AH17" i="1" s="1"/>
  <c r="Z17" i="1"/>
  <c r="Y17" i="1"/>
  <c r="X17" i="1"/>
  <c r="Q17" i="1"/>
  <c r="K17" i="1" l="1"/>
  <c r="AX17" i="1" s="1"/>
  <c r="J17" i="1"/>
  <c r="I17" i="1" s="1"/>
  <c r="T23" i="1"/>
  <c r="U23" i="1" s="1"/>
  <c r="V23" i="1" s="1"/>
  <c r="T28" i="1"/>
  <c r="J22" i="1"/>
  <c r="I22" i="1" s="1"/>
  <c r="AB22" i="1" s="1"/>
  <c r="AY20" i="1"/>
  <c r="T18" i="1"/>
  <c r="U18" i="1" s="1"/>
  <c r="V18" i="1" s="1"/>
  <c r="W18" i="1" s="1"/>
  <c r="AA18" i="1" s="1"/>
  <c r="K22" i="1"/>
  <c r="AX22" i="1" s="1"/>
  <c r="AZ22" i="1" s="1"/>
  <c r="X28" i="1"/>
  <c r="L22" i="1"/>
  <c r="J25" i="1"/>
  <c r="I25" i="1" s="1"/>
  <c r="U17" i="1"/>
  <c r="V17" i="1" s="1"/>
  <c r="AD17" i="1" s="1"/>
  <c r="O19" i="1"/>
  <c r="AI19" i="1"/>
  <c r="J19" i="1"/>
  <c r="I19" i="1" s="1"/>
  <c r="L19" i="1"/>
  <c r="K19" i="1"/>
  <c r="AX19" i="1" s="1"/>
  <c r="BH22" i="1"/>
  <c r="BG22" i="1"/>
  <c r="BK22" i="1" s="1"/>
  <c r="BL22" i="1" s="1"/>
  <c r="BF22" i="1"/>
  <c r="BH21" i="1"/>
  <c r="BF21" i="1"/>
  <c r="BG21" i="1"/>
  <c r="BK21" i="1" s="1"/>
  <c r="BL21" i="1" s="1"/>
  <c r="BF29" i="1"/>
  <c r="BH29" i="1"/>
  <c r="BG29" i="1"/>
  <c r="BK29" i="1" s="1"/>
  <c r="BL29" i="1" s="1"/>
  <c r="BH23" i="1"/>
  <c r="BG23" i="1"/>
  <c r="BK23" i="1" s="1"/>
  <c r="BL23" i="1" s="1"/>
  <c r="BF23" i="1"/>
  <c r="BG19" i="1"/>
  <c r="BK19" i="1" s="1"/>
  <c r="BL19" i="1" s="1"/>
  <c r="BF19" i="1"/>
  <c r="BH19" i="1"/>
  <c r="AI27" i="1"/>
  <c r="CV17" i="1"/>
  <c r="AW17" i="1" s="1"/>
  <c r="AZ17" i="1" s="1"/>
  <c r="AI20" i="1"/>
  <c r="U29" i="1"/>
  <c r="V29" i="1" s="1"/>
  <c r="AC29" i="1" s="1"/>
  <c r="CV18" i="1"/>
  <c r="AW18" i="1" s="1"/>
  <c r="AY18" i="1" s="1"/>
  <c r="U19" i="1"/>
  <c r="V19" i="1" s="1"/>
  <c r="W17" i="1"/>
  <c r="AA17" i="1" s="1"/>
  <c r="BF27" i="1"/>
  <c r="BH27" i="1"/>
  <c r="BG27" i="1"/>
  <c r="BK27" i="1" s="1"/>
  <c r="BL27" i="1" s="1"/>
  <c r="U21" i="1"/>
  <c r="V21" i="1" s="1"/>
  <c r="J27" i="1"/>
  <c r="I27" i="1" s="1"/>
  <c r="J20" i="1"/>
  <c r="I20" i="1" s="1"/>
  <c r="K28" i="1"/>
  <c r="AX28" i="1" s="1"/>
  <c r="CV28" i="1"/>
  <c r="AW28" i="1" s="1"/>
  <c r="AY28" i="1" s="1"/>
  <c r="CV24" i="1"/>
  <c r="AW24" i="1" s="1"/>
  <c r="AY24" i="1" s="1"/>
  <c r="R26" i="1"/>
  <c r="P26" i="1" s="1"/>
  <c r="S26" i="1" s="1"/>
  <c r="M26" i="1" s="1"/>
  <c r="N26" i="1" s="1"/>
  <c r="K27" i="1"/>
  <c r="AX27" i="1" s="1"/>
  <c r="K20" i="1"/>
  <c r="AX20" i="1" s="1"/>
  <c r="AZ20" i="1" s="1"/>
  <c r="J28" i="1"/>
  <c r="I28" i="1" s="1"/>
  <c r="U28" i="1" s="1"/>
  <c r="V28" i="1" s="1"/>
  <c r="L17" i="1"/>
  <c r="O17" i="1"/>
  <c r="L20" i="1"/>
  <c r="L28" i="1"/>
  <c r="AI28" i="1"/>
  <c r="R18" i="1"/>
  <c r="P18" i="1" s="1"/>
  <c r="S18" i="1" s="1"/>
  <c r="M18" i="1" s="1"/>
  <c r="N18" i="1" s="1"/>
  <c r="CV19" i="1"/>
  <c r="AW19" i="1" s="1"/>
  <c r="AY19" i="1" s="1"/>
  <c r="AI21" i="1"/>
  <c r="AY23" i="1"/>
  <c r="L27" i="1"/>
  <c r="AB25" i="1"/>
  <c r="AC26" i="1"/>
  <c r="J21" i="1"/>
  <c r="I21" i="1" s="1"/>
  <c r="BG24" i="1"/>
  <c r="BK24" i="1" s="1"/>
  <c r="BL24" i="1" s="1"/>
  <c r="BH25" i="1"/>
  <c r="BG25" i="1"/>
  <c r="BK25" i="1" s="1"/>
  <c r="BL25" i="1" s="1"/>
  <c r="BF25" i="1"/>
  <c r="AI26" i="1"/>
  <c r="K29" i="1"/>
  <c r="AX29" i="1" s="1"/>
  <c r="AZ29" i="1" s="1"/>
  <c r="BF28" i="1"/>
  <c r="BH28" i="1"/>
  <c r="BG28" i="1"/>
  <c r="BK28" i="1" s="1"/>
  <c r="BL28" i="1" s="1"/>
  <c r="AI29" i="1"/>
  <c r="AB17" i="1"/>
  <c r="X26" i="1"/>
  <c r="AB18" i="1"/>
  <c r="O24" i="1"/>
  <c r="L24" i="1"/>
  <c r="J24" i="1"/>
  <c r="I24" i="1" s="1"/>
  <c r="AI24" i="1"/>
  <c r="K24" i="1"/>
  <c r="AX24" i="1" s="1"/>
  <c r="AZ24" i="1" s="1"/>
  <c r="AC18" i="1"/>
  <c r="AI17" i="1"/>
  <c r="O25" i="1"/>
  <c r="L25" i="1"/>
  <c r="K25" i="1"/>
  <c r="AX25" i="1" s="1"/>
  <c r="AI18" i="1"/>
  <c r="K21" i="1"/>
  <c r="AX21" i="1" s="1"/>
  <c r="AZ21" i="1" s="1"/>
  <c r="J29" i="1"/>
  <c r="I29" i="1" s="1"/>
  <c r="BH18" i="1"/>
  <c r="BG18" i="1"/>
  <c r="BK18" i="1" s="1"/>
  <c r="BL18" i="1" s="1"/>
  <c r="BF18" i="1"/>
  <c r="CV25" i="1"/>
  <c r="AW25" i="1" s="1"/>
  <c r="AY25" i="1" s="1"/>
  <c r="BF20" i="1"/>
  <c r="BH20" i="1"/>
  <c r="BG20" i="1"/>
  <c r="BK20" i="1" s="1"/>
  <c r="BL20" i="1" s="1"/>
  <c r="CV26" i="1"/>
  <c r="AW26" i="1" s="1"/>
  <c r="AY26" i="1" s="1"/>
  <c r="U27" i="1"/>
  <c r="V27" i="1" s="1"/>
  <c r="CV27" i="1"/>
  <c r="AW27" i="1" s="1"/>
  <c r="AY27" i="1" s="1"/>
  <c r="U22" i="1"/>
  <c r="V22" i="1" s="1"/>
  <c r="AD26" i="1"/>
  <c r="BH17" i="1"/>
  <c r="BG17" i="1"/>
  <c r="BK17" i="1" s="1"/>
  <c r="BL17" i="1" s="1"/>
  <c r="BF17" i="1"/>
  <c r="BH24" i="1"/>
  <c r="BH26" i="1"/>
  <c r="BG26" i="1"/>
  <c r="BK26" i="1" s="1"/>
  <c r="BL26" i="1" s="1"/>
  <c r="BF26" i="1"/>
  <c r="AI23" i="1"/>
  <c r="J23" i="1"/>
  <c r="I23" i="1" s="1"/>
  <c r="K23" i="1"/>
  <c r="AX23" i="1" s="1"/>
  <c r="AZ23" i="1" s="1"/>
  <c r="L23" i="1"/>
  <c r="AE26" i="1" l="1"/>
  <c r="AD18" i="1"/>
  <c r="AE18" i="1" s="1"/>
  <c r="R17" i="1"/>
  <c r="P17" i="1" s="1"/>
  <c r="S17" i="1" s="1"/>
  <c r="M17" i="1" s="1"/>
  <c r="N17" i="1" s="1"/>
  <c r="U25" i="1"/>
  <c r="V25" i="1" s="1"/>
  <c r="AC17" i="1"/>
  <c r="AE17" i="1" s="1"/>
  <c r="AD22" i="1"/>
  <c r="W22" i="1"/>
  <c r="AA22" i="1" s="1"/>
  <c r="AZ28" i="1"/>
  <c r="AD23" i="1"/>
  <c r="AC23" i="1"/>
  <c r="W23" i="1"/>
  <c r="AA23" i="1" s="1"/>
  <c r="AB24" i="1"/>
  <c r="AZ18" i="1"/>
  <c r="R27" i="1"/>
  <c r="P27" i="1" s="1"/>
  <c r="S27" i="1" s="1"/>
  <c r="M27" i="1" s="1"/>
  <c r="N27" i="1" s="1"/>
  <c r="AB27" i="1"/>
  <c r="AZ26" i="1"/>
  <c r="AY17" i="1"/>
  <c r="R22" i="1"/>
  <c r="P22" i="1" s="1"/>
  <c r="S22" i="1" s="1"/>
  <c r="M22" i="1" s="1"/>
  <c r="N22" i="1" s="1"/>
  <c r="U24" i="1"/>
  <c r="V24" i="1" s="1"/>
  <c r="R23" i="1"/>
  <c r="P23" i="1" s="1"/>
  <c r="S23" i="1" s="1"/>
  <c r="M23" i="1" s="1"/>
  <c r="N23" i="1" s="1"/>
  <c r="AB23" i="1"/>
  <c r="R19" i="1"/>
  <c r="P19" i="1" s="1"/>
  <c r="S19" i="1" s="1"/>
  <c r="M19" i="1" s="1"/>
  <c r="N19" i="1" s="1"/>
  <c r="AB19" i="1"/>
  <c r="AB29" i="1"/>
  <c r="R29" i="1"/>
  <c r="P29" i="1" s="1"/>
  <c r="S29" i="1" s="1"/>
  <c r="M29" i="1" s="1"/>
  <c r="N29" i="1" s="1"/>
  <c r="AZ25" i="1"/>
  <c r="W19" i="1"/>
  <c r="AA19" i="1" s="1"/>
  <c r="AD19" i="1"/>
  <c r="AC19" i="1"/>
  <c r="AZ19" i="1"/>
  <c r="AD21" i="1"/>
  <c r="W21" i="1"/>
  <c r="AA21" i="1" s="1"/>
  <c r="W28" i="1"/>
  <c r="AA28" i="1" s="1"/>
  <c r="AD28" i="1"/>
  <c r="AC28" i="1"/>
  <c r="AD29" i="1"/>
  <c r="AE29" i="1" s="1"/>
  <c r="W29" i="1"/>
  <c r="AA29" i="1" s="1"/>
  <c r="AC21" i="1"/>
  <c r="W27" i="1"/>
  <c r="AA27" i="1" s="1"/>
  <c r="AD27" i="1"/>
  <c r="AC27" i="1"/>
  <c r="AB20" i="1"/>
  <c r="AC22" i="1"/>
  <c r="AB28" i="1"/>
  <c r="R28" i="1"/>
  <c r="P28" i="1" s="1"/>
  <c r="S28" i="1" s="1"/>
  <c r="M28" i="1" s="1"/>
  <c r="N28" i="1" s="1"/>
  <c r="U20" i="1"/>
  <c r="V20" i="1" s="1"/>
  <c r="AB21" i="1"/>
  <c r="R21" i="1"/>
  <c r="P21" i="1" s="1"/>
  <c r="S21" i="1" s="1"/>
  <c r="M21" i="1" s="1"/>
  <c r="N21" i="1" s="1"/>
  <c r="AZ27" i="1"/>
  <c r="AE27" i="1" l="1"/>
  <c r="AC25" i="1"/>
  <c r="AD25" i="1"/>
  <c r="AE25" i="1" s="1"/>
  <c r="W25" i="1"/>
  <c r="AA25" i="1" s="1"/>
  <c r="R25" i="1"/>
  <c r="P25" i="1" s="1"/>
  <c r="S25" i="1" s="1"/>
  <c r="M25" i="1" s="1"/>
  <c r="N25" i="1" s="1"/>
  <c r="AD24" i="1"/>
  <c r="AC24" i="1"/>
  <c r="W24" i="1"/>
  <c r="AA24" i="1" s="1"/>
  <c r="AE28" i="1"/>
  <c r="AE21" i="1"/>
  <c r="W20" i="1"/>
  <c r="AA20" i="1" s="1"/>
  <c r="AD20" i="1"/>
  <c r="AC20" i="1"/>
  <c r="R24" i="1"/>
  <c r="P24" i="1" s="1"/>
  <c r="S24" i="1" s="1"/>
  <c r="M24" i="1" s="1"/>
  <c r="N24" i="1" s="1"/>
  <c r="R20" i="1"/>
  <c r="P20" i="1" s="1"/>
  <c r="S20" i="1" s="1"/>
  <c r="M20" i="1" s="1"/>
  <c r="N20" i="1" s="1"/>
  <c r="AE23" i="1"/>
  <c r="AE19" i="1"/>
  <c r="AE22" i="1"/>
  <c r="AE20" i="1" l="1"/>
  <c r="AE24" i="1"/>
</calcChain>
</file>

<file path=xl/sharedStrings.xml><?xml version="1.0" encoding="utf-8"?>
<sst xmlns="http://schemas.openxmlformats.org/spreadsheetml/2006/main" count="1026" uniqueCount="474">
  <si>
    <t>File opened</t>
  </si>
  <si>
    <t>2025-03-23 16:26:47</t>
  </si>
  <si>
    <t>Console s/n</t>
  </si>
  <si>
    <t>68C-831466</t>
  </si>
  <si>
    <t>Console ver</t>
  </si>
  <si>
    <t>Bluestem v.2.1.09</t>
  </si>
  <si>
    <t>Scripts ver</t>
  </si>
  <si>
    <t>2022.06  2.1.09, Dec 2022</t>
  </si>
  <si>
    <t>Head s/n</t>
  </si>
  <si>
    <t>68H-581466</t>
  </si>
  <si>
    <t>Head ver</t>
  </si>
  <si>
    <t>1.4.22</t>
  </si>
  <si>
    <t>Head cal</t>
  </si>
  <si>
    <t>{"co2aspan1": "1.00041", "co2bspanconc1": "2500", "tazero": "0.0360317", "co2bspan1": "1.00065", "h2obspanconc1": "12.19", "h2obspan2b": "0.0707396", "co2bspan2a": "0.2895", "flowazero": "0.32141", "h2oaspan2b": "0.0702245", "h2oaspan1": "1.00892", "co2aspanconc1": "2500", "co2bspanconc2": "296.4", "chamberpressurezero": "2.59849", "h2oaspan2": "0", "ssb_ref": "38055.7", "co2aspanconc2": "296.4", "h2obspan2a": "0.0718603", "oxygen": "21", "co2bspan2b": "0.286965", "co2aspan2b": "0.280855", "h2oaspanconc2": "0", "h2oazero": "1.0921", "h2oaspan2a": "0.0696039", "co2azero": "1.01306", "ssa_ref": "33370.9", "co2aspan2": "-0.0310123", "h2obspan1": "0.984405", "flowbzero": "0.29782", "h2obspan2": "0", "co2bspan2": "-0.0324831", "co2bzero": "0.939697", "co2aspan2a": "0.283228", "h2oaspanconc1": "12.19", "h2obspanconc2": "0", "flowmeterzero": "2.496", "h2obzero": "1.0866", "tbzero": "0.125013"}</t>
  </si>
  <si>
    <t>CO2 rangematch</t>
  </si>
  <si>
    <t>Thu May 16 10:16</t>
  </si>
  <si>
    <t>H2O rangematch</t>
  </si>
  <si>
    <t>Fri May 17 09:32</t>
  </si>
  <si>
    <t>Chamber type</t>
  </si>
  <si>
    <t>6800-01A</t>
  </si>
  <si>
    <t>Chamber s/n</t>
  </si>
  <si>
    <t>MPF-651371</t>
  </si>
  <si>
    <t>Chamber rev</t>
  </si>
  <si>
    <t>0</t>
  </si>
  <si>
    <t>Chamber cal</t>
  </si>
  <si>
    <t>Fluorometer</t>
  </si>
  <si>
    <t>Flr. Version</t>
  </si>
  <si>
    <t>16:26:47</t>
  </si>
  <si>
    <t>Stability Definition:	ΔH2O (Meas2): Slp&lt;0.1 Per=20	ΔCO2 (Meas2): Slp&lt;0.5 Per=20	F (FlrLS): Slp&lt;1 Per=20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</si>
  <si>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</si>
  <si>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</si>
  <si>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</si>
  <si>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</si>
  <si>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</si>
  <si>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</si>
  <si>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</si>
  <si>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</si>
  <si>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</si>
  <si>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</si>
  <si>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</si>
  <si>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</si>
  <si>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</si>
  <si>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</si>
  <si>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</si>
  <si>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</si>
  <si>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</si>
  <si>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</si>
  <si>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</si>
  <si>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</si>
  <si>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</si>
  <si>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</si>
  <si>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</si>
  <si>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</si>
  <si>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</si>
  <si>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</si>
  <si>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</si>
  <si>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</si>
  <si>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</si>
  <si>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</si>
  <si>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</si>
  <si>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</si>
  <si>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</si>
  <si>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</si>
  <si>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</si>
  <si>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</si>
  <si>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</si>
  <si>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</si>
  <si>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</si>
  <si>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</si>
  <si>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</si>
  <si>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</si>
  <si>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</si>
  <si>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</si>
  <si>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</si>
  <si>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</si>
  <si>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</si>
  <si>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</si>
  <si>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</si>
  <si>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</si>
  <si>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</si>
  <si>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4.13527 184.194 297.091 6.57423 0.749154 49.3738 532.887 760.424</t>
  </si>
  <si>
    <t>Fs_true</t>
  </si>
  <si>
    <t>0.825898 232.506 394.77 603.69 840.458 1018.23 1198.43 1402.32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</si>
  <si>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</si>
  <si>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</si>
  <si>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</si>
  <si>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</si>
  <si>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</si>
  <si>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</si>
  <si>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</si>
  <si>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</si>
  <si>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</si>
  <si>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</si>
  <si>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</si>
  <si>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</si>
  <si>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</si>
  <si>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</si>
  <si>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</si>
  <si>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</si>
  <si>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</si>
  <si>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</si>
  <si>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</si>
  <si>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</si>
  <si>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</si>
  <si>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</si>
  <si>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</si>
  <si>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</si>
  <si>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</si>
  <si>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</si>
  <si>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</si>
  <si>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</si>
  <si>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xm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</si>
  <si>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</si>
  <si>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</si>
  <si>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</si>
  <si>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</si>
  <si>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</si>
  <si>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</si>
  <si>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</si>
  <si>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</si>
  <si>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</si>
  <si>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</si>
  <si>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</si>
  <si>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</si>
  <si>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</si>
  <si>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</si>
  <si>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</si>
  <si>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</si>
  <si>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</si>
  <si>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</si>
  <si>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</si>
  <si>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</si>
  <si>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</si>
  <si>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</si>
  <si>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</si>
  <si>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</si>
  <si>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</si>
  <si>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</si>
  <si>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</si>
  <si>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</si>
  <si>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</si>
  <si>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</si>
  <si>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</si>
  <si>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</si>
  <si>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</si>
  <si>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</si>
  <si>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</si>
  <si>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</si>
  <si>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</si>
  <si>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</si>
  <si>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</si>
  <si>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</si>
  <si>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</si>
  <si>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</si>
  <si>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</si>
  <si>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</si>
  <si>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</si>
  <si>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</si>
  <si>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</si>
  <si>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</si>
  <si>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</si>
  <si>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</si>
  <si>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</si>
  <si>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</si>
  <si>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</si>
  <si>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</si>
  <si>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</si>
  <si>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</si>
  <si>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</si>
  <si>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</si>
  <si>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</si>
  <si>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</si>
  <si>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</si>
  <si>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</si>
  <si>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</si>
  <si>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</si>
  <si>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</si>
  <si>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</si>
  <si>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</si>
  <si>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</si>
  <si>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</si>
  <si>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</si>
  <si>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</si>
  <si>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</si>
  <si>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</si>
  <si>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</si>
  <si>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</si>
  <si>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</si>
  <si>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</si>
  <si>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</si>
  <si>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</si>
  <si>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</si>
  <si>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</si>
  <si>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</si>
  <si>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</si>
  <si>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</si>
  <si>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</si>
  <si>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</si>
  <si>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</si>
  <si>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</si>
  <si>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</si>
  <si>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</si>
  <si>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</si>
  <si>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</si>
  <si>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</si>
  <si>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</si>
  <si>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</si>
  <si>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</si>
  <si>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</si>
  <si>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</si>
  <si>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</si>
  <si>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</si>
  <si>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</si>
  <si>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</si>
  <si>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</si>
  <si>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</si>
  <si>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</si>
  <si>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</si>
  <si>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</si>
  <si>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</si>
  <si>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</si>
  <si>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</si>
  <si>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</si>
  <si>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</si>
  <si>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</si>
  <si>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</si>
  <si>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</si>
  <si>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</si>
  <si>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</si>
  <si>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</si>
  <si>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</si>
  <si>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</si>
  <si>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</si>
  <si>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</si>
  <si>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</si>
  <si>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</si>
  <si>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</si>
  <si>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</si>
  <si>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</si>
  <si>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</si>
  <si>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</si>
  <si>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</si>
  <si>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</si>
  <si>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</si>
  <si>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</si>
  <si>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</si>
  <si>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</si>
  <si>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</si>
  <si>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</si>
  <si>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</si>
  <si>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</si>
  <si>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</si>
  <si>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</si>
  <si>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</si>
  <si>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</si>
  <si>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</si>
  <si>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</si>
  <si>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</si>
  <si>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</si>
  <si>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</si>
  <si>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</si>
  <si>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</si>
  <si>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</si>
  <si>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</si>
  <si>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</si>
  <si>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</si>
  <si>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</si>
  <si>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</si>
  <si>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</si>
  <si>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</si>
  <si>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</si>
  <si>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</si>
  <si>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</si>
  <si>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</si>
  <si>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</si>
  <si>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</si>
  <si>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</si>
  <si>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</si>
  <si>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</si>
  <si>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</si>
  <si>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</si>
  <si>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</si>
  <si>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</si>
  <si>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</si>
  <si>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</si>
  <si>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</si>
  <si>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</si>
  <si>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</si>
  <si>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</si>
  <si>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</si>
  <si>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</si>
  <si>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</si>
  <si>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</si>
  <si>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</si>
  <si>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</si>
  <si>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</si>
  <si>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</si>
  <si>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</si>
  <si>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</si>
  <si>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</si>
  <si>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</si>
  <si>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</si>
  <si>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</si>
  <si>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</si>
  <si>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</si>
  <si>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</si>
  <si>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</si>
  <si>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</si>
  <si>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</si>
  <si>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</si>
  <si>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</si>
  <si>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</si>
  <si>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</si>
  <si>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</si>
  <si>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</si>
  <si>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</si>
  <si>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</si>
  <si>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</si>
  <si>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AccCO2_soda</t>
  </si>
  <si>
    <t>CO2_hrs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</si>
  <si>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</si>
  <si>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</si>
  <si>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</si>
  <si>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</si>
  <si>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</si>
  <si>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</si>
  <si>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</si>
  <si>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</si>
  <si>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</si>
  <si>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</si>
  <si>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</si>
  <si>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</si>
  <si>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</si>
  <si>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</si>
  <si>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</si>
  <si>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</si>
  <si>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</si>
  <si>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</si>
  <si>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</si>
  <si>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</si>
  <si>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</si>
  <si>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</si>
  <si>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</si>
  <si>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</si>
  <si>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</si>
  <si>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</si>
  <si>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</si>
  <si>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</si>
  <si>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</si>
  <si>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</si>
  <si>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</si>
  <si>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</si>
  <si>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</si>
  <si>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</si>
  <si>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</si>
  <si>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</si>
  <si>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</si>
  <si>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</si>
  <si>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</si>
  <si>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</si>
  <si>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</si>
  <si>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</si>
  <si>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</si>
  <si>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</si>
  <si>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</si>
  <si>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</si>
  <si>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</si>
  <si>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</si>
  <si>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</si>
  <si>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</si>
  <si>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</si>
  <si>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</si>
  <si>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</si>
  <si>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</si>
  <si>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</si>
  <si>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</si>
  <si>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</si>
  <si>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</si>
  <si>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</si>
  <si>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</si>
  <si>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</si>
  <si>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</si>
  <si>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</si>
  <si>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</si>
  <si>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</si>
  <si>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</si>
  <si>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</si>
  <si>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</si>
  <si>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</si>
  <si>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</si>
  <si>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</si>
  <si>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</si>
  <si>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</si>
  <si>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</si>
  <si>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</si>
  <si>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</si>
  <si>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</si>
  <si>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</si>
  <si>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</si>
  <si>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</si>
  <si>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</si>
  <si>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</si>
  <si>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</si>
  <si>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</si>
  <si>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</si>
  <si>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</si>
  <si>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</si>
  <si>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</si>
  <si>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</si>
  <si>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</si>
  <si>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</si>
  <si>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</si>
  <si>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</si>
  <si>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20250321 17:00:10</t>
  </si>
  <si>
    <t>17:00:10</t>
  </si>
  <si>
    <t>MPF-1697-20250323-11_03_40</t>
  </si>
  <si>
    <t>MPF-1753-20250323-16_58_58</t>
  </si>
  <si>
    <t>-</t>
  </si>
  <si>
    <t>0: Broadleaf</t>
  </si>
  <si>
    <t>16:59:04</t>
  </si>
  <si>
    <t>3/3</t>
  </si>
  <si>
    <t>11111111</t>
  </si>
  <si>
    <t>oooooooo</t>
  </si>
  <si>
    <t>off</t>
  </si>
  <si>
    <t>20250321 17:02:18</t>
  </si>
  <si>
    <t>17:02:18</t>
  </si>
  <si>
    <t>MPF-1754-20250323-17_01_06</t>
  </si>
  <si>
    <t>17:01:29</t>
  </si>
  <si>
    <t>20250321 17:04:21</t>
  </si>
  <si>
    <t>17:04:21</t>
  </si>
  <si>
    <t>MPF-1755-20250323-17_03_09</t>
  </si>
  <si>
    <t>17:03:34</t>
  </si>
  <si>
    <t>20250321 17:06:24</t>
  </si>
  <si>
    <t>17:06:24</t>
  </si>
  <si>
    <t>MPF-1756-20250323-17_05_12</t>
  </si>
  <si>
    <t>17:05:28</t>
  </si>
  <si>
    <t>20250321 17:08:30</t>
  </si>
  <si>
    <t>17:08:30</t>
  </si>
  <si>
    <t>MPF-1757-20250323-17_07_18</t>
  </si>
  <si>
    <t>17:07:34</t>
  </si>
  <si>
    <t>20250321 17:10:33</t>
  </si>
  <si>
    <t>17:10:33</t>
  </si>
  <si>
    <t>MPF-1758-20250323-17_09_21</t>
  </si>
  <si>
    <t>17:09:47</t>
  </si>
  <si>
    <t>20250321 17:21:19</t>
  </si>
  <si>
    <t>17:21:19</t>
  </si>
  <si>
    <t>MPF-1763-20250323-17_20_07</t>
  </si>
  <si>
    <t>17:20:29</t>
  </si>
  <si>
    <t>1/3</t>
  </si>
  <si>
    <t>20250321 17:23:22</t>
  </si>
  <si>
    <t>17:23:22</t>
  </si>
  <si>
    <t>MPF-1764-20250323-17_22_10</t>
  </si>
  <si>
    <t>17:22:17</t>
  </si>
  <si>
    <t>20250321 17:25:53</t>
  </si>
  <si>
    <t>17:25:53</t>
  </si>
  <si>
    <t>MPF-1765-20250323-17_24_41</t>
  </si>
  <si>
    <t>17:24:35</t>
  </si>
  <si>
    <t>20250321 17:28:26</t>
  </si>
  <si>
    <t>17:28:26</t>
  </si>
  <si>
    <t>MPF-1766-20250323-17_27_14</t>
  </si>
  <si>
    <t>17:27:04</t>
  </si>
  <si>
    <t>2/3</t>
  </si>
  <si>
    <t>20250321 17:30:29</t>
  </si>
  <si>
    <t>17:30:29</t>
  </si>
  <si>
    <t>MPF-1767-20250323-17_29_17</t>
  </si>
  <si>
    <t>17:29:42</t>
  </si>
  <si>
    <t>20250321 17:32:34</t>
  </si>
  <si>
    <t>17:32:34</t>
  </si>
  <si>
    <t>MPF-1768-20250323-17_31_22</t>
  </si>
  <si>
    <t>17:31:39</t>
  </si>
  <si>
    <t>20250321 17:34:37</t>
  </si>
  <si>
    <t>17:34:37</t>
  </si>
  <si>
    <t>MPF-1769-20250323-17_33_25</t>
  </si>
  <si>
    <t>17:33:49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</si>
</sst>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W29"/>
  <sheetViews>
    <sheetView tabSelected="1" workbookViewId="0">
      <selection activeCell="A26" sqref="A23:XFD26"/>
    </sheetView>
  </sheetViews>
  <sheetFormatPr defaultRowHeight="14.4" x14ac:dyDescent="0.25"/>
  <sheetData>
    <row r="2" spans="1:283" x14ac:dyDescent="0.25">
      <c r="A2" t="s">
        <v>29</v>
      </c>
      <c r="B2" t="s">
        <v>30</v>
      </c>
      <c r="C2" t="s">
        <v>31</v>
      </c>
    </row>
    <row r="3" spans="1:283" x14ac:dyDescent="0.25">
      <c r="B3">
        <v>4</v>
      </c>
      <c r="C3">
        <v>21</v>
      </c>
    </row>
    <row r="4" spans="1:283" x14ac:dyDescent="0.25">
      <c r="A4" t="s">
        <v>32</v>
      </c>
      <c r="B4" t="s">
        <v>33</v>
      </c>
      <c r="C4" t="s">
        <v>34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83" x14ac:dyDescent="0.25">
      <c r="B5" t="s">
        <v>19</v>
      </c>
      <c r="C5" t="s">
        <v>35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83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83" x14ac:dyDescent="0.25">
      <c r="B7">
        <v>0</v>
      </c>
      <c r="C7">
        <v>1</v>
      </c>
      <c r="D7">
        <v>0</v>
      </c>
      <c r="E7">
        <v>0</v>
      </c>
    </row>
    <row r="8" spans="1:283" x14ac:dyDescent="0.25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83" x14ac:dyDescent="0.25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3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83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3" x14ac:dyDescent="0.25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83" x14ac:dyDescent="0.25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0</v>
      </c>
    </row>
    <row r="14" spans="1:283" x14ac:dyDescent="0.25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86</v>
      </c>
      <c r="I14" t="s">
        <v>86</v>
      </c>
      <c r="J14" t="s">
        <v>86</v>
      </c>
      <c r="K14" t="s">
        <v>86</v>
      </c>
      <c r="L14" t="s">
        <v>86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  <c r="S14" t="s">
        <v>86</v>
      </c>
      <c r="T14" t="s">
        <v>86</v>
      </c>
      <c r="U14" t="s">
        <v>86</v>
      </c>
      <c r="V14" t="s">
        <v>86</v>
      </c>
      <c r="W14" t="s">
        <v>86</v>
      </c>
      <c r="X14" t="s">
        <v>86</v>
      </c>
      <c r="Y14" t="s">
        <v>86</v>
      </c>
      <c r="Z14" t="s">
        <v>86</v>
      </c>
      <c r="AA14" t="s">
        <v>86</v>
      </c>
      <c r="AB14" t="s">
        <v>86</v>
      </c>
      <c r="AC14" t="s">
        <v>86</v>
      </c>
      <c r="AD14" t="s">
        <v>86</v>
      </c>
      <c r="AE14" t="s">
        <v>86</v>
      </c>
      <c r="AF14" t="s">
        <v>87</v>
      </c>
      <c r="AG14" t="s">
        <v>87</v>
      </c>
      <c r="AH14" t="s">
        <v>87</v>
      </c>
      <c r="AI14" t="s">
        <v>87</v>
      </c>
      <c r="AJ14" t="s">
        <v>87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88</v>
      </c>
      <c r="AR14" t="s">
        <v>88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88</v>
      </c>
      <c r="AY14" t="s">
        <v>88</v>
      </c>
      <c r="AZ14" t="s">
        <v>88</v>
      </c>
      <c r="BA14" t="s">
        <v>88</v>
      </c>
      <c r="BB14" t="s">
        <v>88</v>
      </c>
      <c r="BC14" t="s">
        <v>88</v>
      </c>
      <c r="BD14" t="s">
        <v>88</v>
      </c>
      <c r="BE14" t="s">
        <v>88</v>
      </c>
      <c r="BF14" t="s">
        <v>88</v>
      </c>
      <c r="BG14" t="s">
        <v>88</v>
      </c>
      <c r="BH14" t="s">
        <v>88</v>
      </c>
      <c r="BI14" t="s">
        <v>88</v>
      </c>
      <c r="BJ14" t="s">
        <v>88</v>
      </c>
      <c r="BK14" t="s">
        <v>88</v>
      </c>
      <c r="BL14" t="s">
        <v>88</v>
      </c>
      <c r="BM14" t="s">
        <v>89</v>
      </c>
      <c r="BN14" t="s">
        <v>89</v>
      </c>
      <c r="BO14" t="s">
        <v>89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89</v>
      </c>
      <c r="CA14" t="s">
        <v>89</v>
      </c>
      <c r="CB14" t="s">
        <v>89</v>
      </c>
      <c r="CC14" t="s">
        <v>89</v>
      </c>
      <c r="CD14" t="s">
        <v>89</v>
      </c>
      <c r="CE14" t="s">
        <v>89</v>
      </c>
      <c r="CF14" t="s">
        <v>89</v>
      </c>
      <c r="CG14" t="s">
        <v>89</v>
      </c>
      <c r="CH14" t="s">
        <v>90</v>
      </c>
      <c r="CI14" t="s">
        <v>90</v>
      </c>
      <c r="CJ14" t="s">
        <v>90</v>
      </c>
      <c r="CK14" t="s">
        <v>90</v>
      </c>
      <c r="CL14" t="s">
        <v>90</v>
      </c>
      <c r="CM14" t="s">
        <v>90</v>
      </c>
      <c r="CN14" t="s">
        <v>90</v>
      </c>
      <c r="CO14" t="s">
        <v>90</v>
      </c>
      <c r="CP14" t="s">
        <v>90</v>
      </c>
      <c r="CQ14" t="s">
        <v>90</v>
      </c>
      <c r="CR14" t="s">
        <v>90</v>
      </c>
      <c r="CS14" t="s">
        <v>90</v>
      </c>
      <c r="CT14" t="s">
        <v>90</v>
      </c>
      <c r="CU14" t="s">
        <v>91</v>
      </c>
      <c r="CV14" t="s">
        <v>91</v>
      </c>
      <c r="CW14" t="s">
        <v>91</v>
      </c>
      <c r="CX14" t="s">
        <v>91</v>
      </c>
      <c r="CY14" t="s">
        <v>92</v>
      </c>
      <c r="CZ14" t="s">
        <v>92</v>
      </c>
      <c r="DA14" t="s">
        <v>92</v>
      </c>
      <c r="DB14" t="s">
        <v>92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93</v>
      </c>
      <c r="DJ14" t="s">
        <v>93</v>
      </c>
      <c r="DK14" t="s">
        <v>93</v>
      </c>
      <c r="DL14" t="s">
        <v>93</v>
      </c>
      <c r="DM14" t="s">
        <v>93</v>
      </c>
      <c r="DN14" t="s">
        <v>93</v>
      </c>
      <c r="DO14" t="s">
        <v>93</v>
      </c>
      <c r="DP14" t="s">
        <v>93</v>
      </c>
      <c r="DQ14" t="s">
        <v>93</v>
      </c>
      <c r="DR14" t="s">
        <v>93</v>
      </c>
      <c r="DS14" t="s">
        <v>93</v>
      </c>
      <c r="DT14" t="s">
        <v>93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94</v>
      </c>
      <c r="EB14" t="s">
        <v>94</v>
      </c>
      <c r="EC14" t="s">
        <v>94</v>
      </c>
      <c r="ED14" t="s">
        <v>94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95</v>
      </c>
      <c r="EU14" t="s">
        <v>95</v>
      </c>
      <c r="EV14" t="s">
        <v>95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97</v>
      </c>
      <c r="FC14" t="s">
        <v>97</v>
      </c>
      <c r="FD14" t="s">
        <v>97</v>
      </c>
      <c r="FE14" t="s">
        <v>97</v>
      </c>
      <c r="FF14" t="s">
        <v>97</v>
      </c>
      <c r="FG14" t="s">
        <v>97</v>
      </c>
      <c r="FH14" t="s">
        <v>97</v>
      </c>
      <c r="FI14" t="s">
        <v>97</v>
      </c>
      <c r="FJ14" t="s">
        <v>97</v>
      </c>
      <c r="FK14" t="s">
        <v>97</v>
      </c>
      <c r="FL14" t="s">
        <v>97</v>
      </c>
      <c r="FM14" t="s">
        <v>97</v>
      </c>
      <c r="FN14" t="s">
        <v>97</v>
      </c>
      <c r="FO14" t="s">
        <v>98</v>
      </c>
      <c r="FP14" t="s">
        <v>98</v>
      </c>
      <c r="FQ14" t="s">
        <v>98</v>
      </c>
      <c r="FR14" t="s">
        <v>98</v>
      </c>
      <c r="FS14" t="s">
        <v>98</v>
      </c>
      <c r="FT14" t="s">
        <v>98</v>
      </c>
      <c r="FU14" t="s">
        <v>98</v>
      </c>
      <c r="FV14" t="s">
        <v>98</v>
      </c>
      <c r="FW14" t="s">
        <v>98</v>
      </c>
      <c r="FX14" t="s">
        <v>98</v>
      </c>
      <c r="FY14" t="s">
        <v>98</v>
      </c>
      <c r="FZ14" t="s">
        <v>98</v>
      </c>
      <c r="GA14" t="s">
        <v>98</v>
      </c>
      <c r="GB14" t="s">
        <v>98</v>
      </c>
      <c r="GC14" t="s">
        <v>98</v>
      </c>
      <c r="GD14" t="s">
        <v>99</v>
      </c>
      <c r="GE14" t="s">
        <v>99</v>
      </c>
      <c r="GF14" t="s">
        <v>99</v>
      </c>
      <c r="GG14" t="s">
        <v>99</v>
      </c>
      <c r="GH14" t="s">
        <v>99</v>
      </c>
      <c r="GI14" t="s">
        <v>99</v>
      </c>
      <c r="GJ14" t="s">
        <v>99</v>
      </c>
      <c r="GK14" t="s">
        <v>99</v>
      </c>
      <c r="GL14" t="s">
        <v>99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100</v>
      </c>
      <c r="GW14" t="s">
        <v>100</v>
      </c>
      <c r="GX14" t="s">
        <v>100</v>
      </c>
      <c r="GY14" t="s">
        <v>100</v>
      </c>
      <c r="GZ14" t="s">
        <v>100</v>
      </c>
      <c r="HA14" t="s">
        <v>100</v>
      </c>
      <c r="HB14" t="s">
        <v>100</v>
      </c>
      <c r="HC14" t="s">
        <v>100</v>
      </c>
      <c r="HD14" t="s">
        <v>100</v>
      </c>
      <c r="HE14" t="s">
        <v>100</v>
      </c>
      <c r="HF14" t="s">
        <v>100</v>
      </c>
      <c r="HG14" t="s">
        <v>100</v>
      </c>
      <c r="HH14" t="s">
        <v>100</v>
      </c>
      <c r="HI14" t="s">
        <v>100</v>
      </c>
      <c r="HJ14" t="s">
        <v>100</v>
      </c>
      <c r="HK14" t="s">
        <v>100</v>
      </c>
      <c r="HL14" t="s">
        <v>100</v>
      </c>
      <c r="HM14" t="s">
        <v>100</v>
      </c>
      <c r="HN14" t="s">
        <v>100</v>
      </c>
      <c r="HO14" t="s">
        <v>101</v>
      </c>
      <c r="HP14" t="s">
        <v>101</v>
      </c>
      <c r="HQ14" t="s">
        <v>101</v>
      </c>
      <c r="HR14" t="s">
        <v>101</v>
      </c>
      <c r="HS14" t="s">
        <v>101</v>
      </c>
      <c r="HT14" t="s">
        <v>101</v>
      </c>
      <c r="HU14" t="s">
        <v>101</v>
      </c>
      <c r="HV14" t="s">
        <v>101</v>
      </c>
      <c r="HW14" t="s">
        <v>101</v>
      </c>
      <c r="HX14" t="s">
        <v>101</v>
      </c>
      <c r="HY14" t="s">
        <v>101</v>
      </c>
      <c r="HZ14" t="s">
        <v>101</v>
      </c>
      <c r="IA14" t="s">
        <v>101</v>
      </c>
      <c r="IB14" t="s">
        <v>101</v>
      </c>
      <c r="IC14" t="s">
        <v>101</v>
      </c>
      <c r="ID14" t="s">
        <v>101</v>
      </c>
      <c r="IE14" t="s">
        <v>101</v>
      </c>
      <c r="IF14" t="s">
        <v>101</v>
      </c>
      <c r="IG14" t="s">
        <v>101</v>
      </c>
      <c r="IH14" t="s">
        <v>102</v>
      </c>
      <c r="II14" t="s">
        <v>102</v>
      </c>
      <c r="IJ14" t="s">
        <v>102</v>
      </c>
      <c r="IK14" t="s">
        <v>102</v>
      </c>
      <c r="IL14" t="s">
        <v>102</v>
      </c>
      <c r="IM14" t="s">
        <v>102</v>
      </c>
      <c r="IN14" t="s">
        <v>102</v>
      </c>
      <c r="IO14" t="s">
        <v>102</v>
      </c>
      <c r="IP14" t="s">
        <v>102</v>
      </c>
      <c r="IQ14" t="s">
        <v>102</v>
      </c>
      <c r="IR14" t="s">
        <v>102</v>
      </c>
      <c r="IS14" t="s">
        <v>102</v>
      </c>
      <c r="IT14" t="s">
        <v>102</v>
      </c>
      <c r="IU14" t="s">
        <v>102</v>
      </c>
      <c r="IV14" t="s">
        <v>102</v>
      </c>
      <c r="IW14" t="s">
        <v>102</v>
      </c>
      <c r="IX14" t="s">
        <v>102</v>
      </c>
      <c r="IY14" t="s">
        <v>102</v>
      </c>
      <c r="IZ14" t="s">
        <v>103</v>
      </c>
      <c r="JA14" t="s">
        <v>103</v>
      </c>
      <c r="JB14" t="s">
        <v>103</v>
      </c>
      <c r="JC14" t="s">
        <v>103</v>
      </c>
      <c r="JD14" t="s">
        <v>103</v>
      </c>
      <c r="JE14" t="s">
        <v>103</v>
      </c>
      <c r="JF14" t="s">
        <v>103</v>
      </c>
      <c r="JG14" t="s">
        <v>103</v>
      </c>
      <c r="JH14" t="s">
        <v>104</v>
      </c>
      <c r="JI14" t="s">
        <v>104</v>
      </c>
      <c r="JJ14" t="s">
        <v>104</v>
      </c>
      <c r="JK14" t="s">
        <v>104</v>
      </c>
      <c r="JL14" t="s">
        <v>104</v>
      </c>
      <c r="JM14" t="s">
        <v>104</v>
      </c>
      <c r="JN14" t="s">
        <v>104</v>
      </c>
      <c r="JO14" t="s">
        <v>104</v>
      </c>
      <c r="JP14" t="s">
        <v>104</v>
      </c>
      <c r="JQ14" t="s">
        <v>104</v>
      </c>
      <c r="JR14" t="s">
        <v>104</v>
      </c>
      <c r="JS14" t="s">
        <v>104</v>
      </c>
      <c r="JT14" t="s">
        <v>104</v>
      </c>
      <c r="JU14" t="s">
        <v>104</v>
      </c>
      <c r="JV14" t="s">
        <v>104</v>
      </c>
      <c r="JW14" t="s">
        <v>104</v>
      </c>
    </row>
    <row r="15" spans="1:283" x14ac:dyDescent="0.25">
      <c r="A15" t="s">
        <v>105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111</v>
      </c>
      <c r="H15" t="s">
        <v>112</v>
      </c>
      <c r="I15" t="s">
        <v>113</v>
      </c>
      <c r="J15" t="s">
        <v>114</v>
      </c>
      <c r="K15" t="s">
        <v>115</v>
      </c>
      <c r="L15" t="s">
        <v>116</v>
      </c>
      <c r="M15" t="s">
        <v>117</v>
      </c>
      <c r="N15" t="s">
        <v>118</v>
      </c>
      <c r="O15" t="s">
        <v>119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129</v>
      </c>
      <c r="Z15" t="s">
        <v>130</v>
      </c>
      <c r="AA15" t="s">
        <v>131</v>
      </c>
      <c r="AB15" t="s">
        <v>132</v>
      </c>
      <c r="AC15" t="s">
        <v>133</v>
      </c>
      <c r="AD15" t="s">
        <v>134</v>
      </c>
      <c r="AE15" t="s">
        <v>135</v>
      </c>
      <c r="AF15" t="s">
        <v>87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163</v>
      </c>
      <c r="BI15" t="s">
        <v>164</v>
      </c>
      <c r="BJ15" t="s">
        <v>165</v>
      </c>
      <c r="BK15" t="s">
        <v>166</v>
      </c>
      <c r="BL15" t="s">
        <v>167</v>
      </c>
      <c r="BM15" t="s">
        <v>168</v>
      </c>
      <c r="BN15" t="s">
        <v>169</v>
      </c>
      <c r="BO15" t="s">
        <v>170</v>
      </c>
      <c r="BP15" t="s">
        <v>171</v>
      </c>
      <c r="BQ15" t="s">
        <v>172</v>
      </c>
      <c r="BR15" t="s">
        <v>173</v>
      </c>
      <c r="BS15" t="s">
        <v>174</v>
      </c>
      <c r="BT15" t="s">
        <v>175</v>
      </c>
      <c r="BU15" t="s">
        <v>176</v>
      </c>
      <c r="BV15" t="s">
        <v>177</v>
      </c>
      <c r="BW15" t="s">
        <v>178</v>
      </c>
      <c r="BX15" t="s">
        <v>179</v>
      </c>
      <c r="BY15" t="s">
        <v>180</v>
      </c>
      <c r="BZ15" t="s">
        <v>181</v>
      </c>
      <c r="CA15" t="s">
        <v>182</v>
      </c>
      <c r="CB15" t="s">
        <v>183</v>
      </c>
      <c r="CC15" t="s">
        <v>184</v>
      </c>
      <c r="CD15" t="s">
        <v>185</v>
      </c>
      <c r="CE15" t="s">
        <v>186</v>
      </c>
      <c r="CF15" t="s">
        <v>187</v>
      </c>
      <c r="CG15" t="s">
        <v>188</v>
      </c>
      <c r="CH15" t="s">
        <v>168</v>
      </c>
      <c r="CI15" t="s">
        <v>189</v>
      </c>
      <c r="CJ15" t="s">
        <v>190</v>
      </c>
      <c r="CK15" t="s">
        <v>191</v>
      </c>
      <c r="CL15" t="s">
        <v>142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112</v>
      </c>
      <c r="DD15" t="s">
        <v>208</v>
      </c>
      <c r="DE15" t="s">
        <v>209</v>
      </c>
      <c r="DF15" t="s">
        <v>210</v>
      </c>
      <c r="DG15" t="s">
        <v>211</v>
      </c>
      <c r="DH15" t="s">
        <v>212</v>
      </c>
      <c r="DI15" t="s">
        <v>213</v>
      </c>
      <c r="DJ15" t="s">
        <v>214</v>
      </c>
      <c r="DK15" t="s">
        <v>215</v>
      </c>
      <c r="DL15" t="s">
        <v>216</v>
      </c>
      <c r="DM15" t="s">
        <v>217</v>
      </c>
      <c r="DN15" t="s">
        <v>218</v>
      </c>
      <c r="DO15" t="s">
        <v>219</v>
      </c>
      <c r="DP15" t="s">
        <v>220</v>
      </c>
      <c r="DQ15" t="s">
        <v>221</v>
      </c>
      <c r="DR15" t="s">
        <v>222</v>
      </c>
      <c r="DS15" t="s">
        <v>223</v>
      </c>
      <c r="DT15" t="s">
        <v>224</v>
      </c>
      <c r="DU15" t="s">
        <v>225</v>
      </c>
      <c r="DV15" t="s">
        <v>226</v>
      </c>
      <c r="DW15" t="s">
        <v>227</v>
      </c>
      <c r="DX15" t="s">
        <v>228</v>
      </c>
      <c r="DY15" t="s">
        <v>229</v>
      </c>
      <c r="DZ15" t="s">
        <v>230</v>
      </c>
      <c r="EA15" t="s">
        <v>231</v>
      </c>
      <c r="EB15" t="s">
        <v>232</v>
      </c>
      <c r="EC15" t="s">
        <v>233</v>
      </c>
      <c r="ED15" t="s">
        <v>234</v>
      </c>
      <c r="EE15" t="s">
        <v>235</v>
      </c>
      <c r="EF15" t="s">
        <v>236</v>
      </c>
      <c r="EG15" t="s">
        <v>237</v>
      </c>
      <c r="EH15" t="s">
        <v>238</v>
      </c>
      <c r="EI15" t="s">
        <v>239</v>
      </c>
      <c r="EJ15" t="s">
        <v>240</v>
      </c>
      <c r="EK15" t="s">
        <v>241</v>
      </c>
      <c r="EL15" t="s">
        <v>242</v>
      </c>
      <c r="EM15" t="s">
        <v>243</v>
      </c>
      <c r="EN15" t="s">
        <v>244</v>
      </c>
      <c r="EO15" t="s">
        <v>245</v>
      </c>
      <c r="EP15" t="s">
        <v>246</v>
      </c>
      <c r="EQ15" t="s">
        <v>247</v>
      </c>
      <c r="ER15" t="s">
        <v>248</v>
      </c>
      <c r="ES15" t="s">
        <v>249</v>
      </c>
      <c r="ET15" t="s">
        <v>250</v>
      </c>
      <c r="EU15" t="s">
        <v>251</v>
      </c>
      <c r="EV15" t="s">
        <v>252</v>
      </c>
      <c r="EW15" t="s">
        <v>253</v>
      </c>
      <c r="EX15" t="s">
        <v>254</v>
      </c>
      <c r="EY15" t="s">
        <v>255</v>
      </c>
      <c r="EZ15" t="s">
        <v>256</v>
      </c>
      <c r="FA15" t="s">
        <v>257</v>
      </c>
      <c r="FB15" t="s">
        <v>106</v>
      </c>
      <c r="FC15" t="s">
        <v>109</v>
      </c>
      <c r="FD15" t="s">
        <v>258</v>
      </c>
      <c r="FE15" t="s">
        <v>259</v>
      </c>
      <c r="FF15" t="s">
        <v>260</v>
      </c>
      <c r="FG15" t="s">
        <v>261</v>
      </c>
      <c r="FH15" t="s">
        <v>262</v>
      </c>
      <c r="FI15" t="s">
        <v>263</v>
      </c>
      <c r="FJ15" t="s">
        <v>264</v>
      </c>
      <c r="FK15" t="s">
        <v>265</v>
      </c>
      <c r="FL15" t="s">
        <v>266</v>
      </c>
      <c r="FM15" t="s">
        <v>267</v>
      </c>
      <c r="FN15" t="s">
        <v>268</v>
      </c>
      <c r="FO15" t="s">
        <v>269</v>
      </c>
      <c r="FP15" t="s">
        <v>270</v>
      </c>
      <c r="FQ15" t="s">
        <v>271</v>
      </c>
      <c r="FR15" t="s">
        <v>272</v>
      </c>
      <c r="FS15" t="s">
        <v>273</v>
      </c>
      <c r="FT15" t="s">
        <v>274</v>
      </c>
      <c r="FU15" t="s">
        <v>275</v>
      </c>
      <c r="FV15" t="s">
        <v>276</v>
      </c>
      <c r="FW15" t="s">
        <v>277</v>
      </c>
      <c r="FX15" t="s">
        <v>278</v>
      </c>
      <c r="FY15" t="s">
        <v>279</v>
      </c>
      <c r="FZ15" t="s">
        <v>280</v>
      </c>
      <c r="GA15" t="s">
        <v>281</v>
      </c>
      <c r="GB15" t="s">
        <v>282</v>
      </c>
      <c r="GC15" t="s">
        <v>283</v>
      </c>
      <c r="GD15" t="s">
        <v>284</v>
      </c>
      <c r="GE15" t="s">
        <v>285</v>
      </c>
      <c r="GF15" t="s">
        <v>286</v>
      </c>
      <c r="GG15" t="s">
        <v>287</v>
      </c>
      <c r="GH15" t="s">
        <v>288</v>
      </c>
      <c r="GI15" t="s">
        <v>289</v>
      </c>
      <c r="GJ15" t="s">
        <v>290</v>
      </c>
      <c r="GK15" t="s">
        <v>291</v>
      </c>
      <c r="GL15" t="s">
        <v>292</v>
      </c>
      <c r="GM15" t="s">
        <v>293</v>
      </c>
      <c r="GN15" t="s">
        <v>294</v>
      </c>
      <c r="GO15" t="s">
        <v>295</v>
      </c>
      <c r="GP15" t="s">
        <v>296</v>
      </c>
      <c r="GQ15" t="s">
        <v>297</v>
      </c>
      <c r="GR15" t="s">
        <v>298</v>
      </c>
      <c r="GS15" t="s">
        <v>299</v>
      </c>
      <c r="GT15" t="s">
        <v>300</v>
      </c>
      <c r="GU15" t="s">
        <v>301</v>
      </c>
      <c r="GV15" t="s">
        <v>302</v>
      </c>
      <c r="GW15" t="s">
        <v>303</v>
      </c>
      <c r="GX15" t="s">
        <v>304</v>
      </c>
      <c r="GY15" t="s">
        <v>305</v>
      </c>
      <c r="GZ15" t="s">
        <v>306</v>
      </c>
      <c r="HA15" t="s">
        <v>307</v>
      </c>
      <c r="HB15" t="s">
        <v>308</v>
      </c>
      <c r="HC15" t="s">
        <v>309</v>
      </c>
      <c r="HD15" t="s">
        <v>310</v>
      </c>
      <c r="HE15" t="s">
        <v>311</v>
      </c>
      <c r="HF15" t="s">
        <v>312</v>
      </c>
      <c r="HG15" t="s">
        <v>313</v>
      </c>
      <c r="HH15" t="s">
        <v>314</v>
      </c>
      <c r="HI15" t="s">
        <v>315</v>
      </c>
      <c r="HJ15" t="s">
        <v>316</v>
      </c>
      <c r="HK15" t="s">
        <v>317</v>
      </c>
      <c r="HL15" t="s">
        <v>318</v>
      </c>
      <c r="HM15" t="s">
        <v>319</v>
      </c>
      <c r="HN15" t="s">
        <v>320</v>
      </c>
      <c r="HO15" t="s">
        <v>321</v>
      </c>
      <c r="HP15" t="s">
        <v>322</v>
      </c>
      <c r="HQ15" t="s">
        <v>323</v>
      </c>
      <c r="HR15" t="s">
        <v>324</v>
      </c>
      <c r="HS15" t="s">
        <v>325</v>
      </c>
      <c r="HT15" t="s">
        <v>326</v>
      </c>
      <c r="HU15" t="s">
        <v>327</v>
      </c>
      <c r="HV15" t="s">
        <v>328</v>
      </c>
      <c r="HW15" t="s">
        <v>329</v>
      </c>
      <c r="HX15" t="s">
        <v>330</v>
      </c>
      <c r="HY15" t="s">
        <v>331</v>
      </c>
      <c r="HZ15" t="s">
        <v>332</v>
      </c>
      <c r="IA15" t="s">
        <v>333</v>
      </c>
      <c r="IB15" t="s">
        <v>334</v>
      </c>
      <c r="IC15" t="s">
        <v>335</v>
      </c>
      <c r="ID15" t="s">
        <v>336</v>
      </c>
      <c r="IE15" t="s">
        <v>337</v>
      </c>
      <c r="IF15" t="s">
        <v>338</v>
      </c>
      <c r="IG15" t="s">
        <v>339</v>
      </c>
      <c r="IH15" t="s">
        <v>340</v>
      </c>
      <c r="II15" t="s">
        <v>341</v>
      </c>
      <c r="IJ15" t="s">
        <v>342</v>
      </c>
      <c r="IK15" t="s">
        <v>343</v>
      </c>
      <c r="IL15" t="s">
        <v>344</v>
      </c>
      <c r="IM15" t="s">
        <v>345</v>
      </c>
      <c r="IN15" t="s">
        <v>346</v>
      </c>
      <c r="IO15" t="s">
        <v>347</v>
      </c>
      <c r="IP15" t="s">
        <v>348</v>
      </c>
      <c r="IQ15" t="s">
        <v>349</v>
      </c>
      <c r="IR15" t="s">
        <v>350</v>
      </c>
      <c r="IS15" t="s">
        <v>351</v>
      </c>
      <c r="IT15" t="s">
        <v>352</v>
      </c>
      <c r="IU15" t="s">
        <v>353</v>
      </c>
      <c r="IV15" t="s">
        <v>354</v>
      </c>
      <c r="IW15" t="s">
        <v>355</v>
      </c>
      <c r="IX15" t="s">
        <v>356</v>
      </c>
      <c r="IY15" t="s">
        <v>357</v>
      </c>
      <c r="IZ15" t="s">
        <v>358</v>
      </c>
      <c r="JA15" t="s">
        <v>359</v>
      </c>
      <c r="JB15" t="s">
        <v>360</v>
      </c>
      <c r="JC15" t="s">
        <v>361</v>
      </c>
      <c r="JD15" t="s">
        <v>362</v>
      </c>
      <c r="JE15" t="s">
        <v>363</v>
      </c>
      <c r="JF15" t="s">
        <v>364</v>
      </c>
      <c r="JG15" t="s">
        <v>365</v>
      </c>
      <c r="JH15" t="s">
        <v>366</v>
      </c>
      <c r="JI15" t="s">
        <v>367</v>
      </c>
      <c r="JJ15" t="s">
        <v>368</v>
      </c>
      <c r="JK15" t="s">
        <v>369</v>
      </c>
      <c r="JL15" t="s">
        <v>370</v>
      </c>
      <c r="JM15" t="s">
        <v>371</v>
      </c>
      <c r="JN15" t="s">
        <v>372</v>
      </c>
      <c r="JO15" t="s">
        <v>373</v>
      </c>
      <c r="JP15" t="s">
        <v>374</v>
      </c>
      <c r="JQ15" t="s">
        <v>375</v>
      </c>
      <c r="JR15" t="s">
        <v>376</v>
      </c>
      <c r="JS15" t="s">
        <v>377</v>
      </c>
      <c r="JT15" t="s">
        <v>378</v>
      </c>
      <c r="JU15" t="s">
        <v>379</v>
      </c>
      <c r="JV15" t="s">
        <v>380</v>
      </c>
      <c r="JW15" t="s">
        <v>381</v>
      </c>
    </row>
    <row r="16" spans="1:283" x14ac:dyDescent="0.25">
      <c r="B16" t="s">
        <v>382</v>
      </c>
      <c r="C16" t="s">
        <v>382</v>
      </c>
      <c r="F16" t="s">
        <v>382</v>
      </c>
      <c r="H16" t="s">
        <v>382</v>
      </c>
      <c r="I16" t="s">
        <v>383</v>
      </c>
      <c r="J16" t="s">
        <v>384</v>
      </c>
      <c r="K16" t="s">
        <v>385</v>
      </c>
      <c r="L16" t="s">
        <v>386</v>
      </c>
      <c r="M16" t="s">
        <v>386</v>
      </c>
      <c r="N16" t="s">
        <v>215</v>
      </c>
      <c r="O16" t="s">
        <v>215</v>
      </c>
      <c r="P16" t="s">
        <v>383</v>
      </c>
      <c r="Q16" t="s">
        <v>383</v>
      </c>
      <c r="R16" t="s">
        <v>383</v>
      </c>
      <c r="S16" t="s">
        <v>383</v>
      </c>
      <c r="T16" t="s">
        <v>387</v>
      </c>
      <c r="U16" t="s">
        <v>388</v>
      </c>
      <c r="V16" t="s">
        <v>388</v>
      </c>
      <c r="W16" t="s">
        <v>389</v>
      </c>
      <c r="X16" t="s">
        <v>390</v>
      </c>
      <c r="Y16" t="s">
        <v>389</v>
      </c>
      <c r="Z16" t="s">
        <v>389</v>
      </c>
      <c r="AA16" t="s">
        <v>389</v>
      </c>
      <c r="AB16" t="s">
        <v>387</v>
      </c>
      <c r="AC16" t="s">
        <v>387</v>
      </c>
      <c r="AD16" t="s">
        <v>387</v>
      </c>
      <c r="AE16" t="s">
        <v>387</v>
      </c>
      <c r="AF16" t="s">
        <v>391</v>
      </c>
      <c r="AG16" t="s">
        <v>390</v>
      </c>
      <c r="AI16" t="s">
        <v>390</v>
      </c>
      <c r="AJ16" t="s">
        <v>391</v>
      </c>
      <c r="AP16" t="s">
        <v>385</v>
      </c>
      <c r="AW16" t="s">
        <v>385</v>
      </c>
      <c r="AX16" t="s">
        <v>385</v>
      </c>
      <c r="AY16" t="s">
        <v>385</v>
      </c>
      <c r="AZ16" t="s">
        <v>392</v>
      </c>
      <c r="BN16" t="s">
        <v>393</v>
      </c>
      <c r="BP16" t="s">
        <v>393</v>
      </c>
      <c r="BQ16" t="s">
        <v>385</v>
      </c>
      <c r="BT16" t="s">
        <v>393</v>
      </c>
      <c r="BU16" t="s">
        <v>390</v>
      </c>
      <c r="BX16" t="s">
        <v>394</v>
      </c>
      <c r="BY16" t="s">
        <v>394</v>
      </c>
      <c r="CA16" t="s">
        <v>395</v>
      </c>
      <c r="CB16" t="s">
        <v>393</v>
      </c>
      <c r="CD16" t="s">
        <v>393</v>
      </c>
      <c r="CE16" t="s">
        <v>385</v>
      </c>
      <c r="CI16" t="s">
        <v>393</v>
      </c>
      <c r="CK16" t="s">
        <v>396</v>
      </c>
      <c r="CN16" t="s">
        <v>393</v>
      </c>
      <c r="CO16" t="s">
        <v>393</v>
      </c>
      <c r="CQ16" t="s">
        <v>393</v>
      </c>
      <c r="CS16" t="s">
        <v>393</v>
      </c>
      <c r="CU16" t="s">
        <v>385</v>
      </c>
      <c r="CV16" t="s">
        <v>385</v>
      </c>
      <c r="CX16" t="s">
        <v>397</v>
      </c>
      <c r="CY16" t="s">
        <v>398</v>
      </c>
      <c r="DB16" t="s">
        <v>383</v>
      </c>
      <c r="DC16" t="s">
        <v>382</v>
      </c>
      <c r="DD16" t="s">
        <v>386</v>
      </c>
      <c r="DE16" t="s">
        <v>386</v>
      </c>
      <c r="DF16" t="s">
        <v>399</v>
      </c>
      <c r="DG16" t="s">
        <v>399</v>
      </c>
      <c r="DH16" t="s">
        <v>386</v>
      </c>
      <c r="DI16" t="s">
        <v>399</v>
      </c>
      <c r="DJ16" t="s">
        <v>391</v>
      </c>
      <c r="DK16" t="s">
        <v>389</v>
      </c>
      <c r="DL16" t="s">
        <v>389</v>
      </c>
      <c r="DM16" t="s">
        <v>388</v>
      </c>
      <c r="DN16" t="s">
        <v>388</v>
      </c>
      <c r="DO16" t="s">
        <v>388</v>
      </c>
      <c r="DP16" t="s">
        <v>388</v>
      </c>
      <c r="DQ16" t="s">
        <v>388</v>
      </c>
      <c r="DR16" t="s">
        <v>400</v>
      </c>
      <c r="DS16" t="s">
        <v>385</v>
      </c>
      <c r="DT16" t="s">
        <v>385</v>
      </c>
      <c r="DU16" t="s">
        <v>386</v>
      </c>
      <c r="DV16" t="s">
        <v>386</v>
      </c>
      <c r="DW16" t="s">
        <v>386</v>
      </c>
      <c r="DX16" t="s">
        <v>399</v>
      </c>
      <c r="DY16" t="s">
        <v>386</v>
      </c>
      <c r="DZ16" t="s">
        <v>399</v>
      </c>
      <c r="EA16" t="s">
        <v>389</v>
      </c>
      <c r="EB16" t="s">
        <v>389</v>
      </c>
      <c r="EC16" t="s">
        <v>388</v>
      </c>
      <c r="ED16" t="s">
        <v>388</v>
      </c>
      <c r="EE16" t="s">
        <v>385</v>
      </c>
      <c r="EJ16" t="s">
        <v>385</v>
      </c>
      <c r="EM16" t="s">
        <v>388</v>
      </c>
      <c r="EN16" t="s">
        <v>388</v>
      </c>
      <c r="EO16" t="s">
        <v>388</v>
      </c>
      <c r="EP16" t="s">
        <v>388</v>
      </c>
      <c r="EQ16" t="s">
        <v>388</v>
      </c>
      <c r="ER16" t="s">
        <v>385</v>
      </c>
      <c r="ES16" t="s">
        <v>385</v>
      </c>
      <c r="ET16" t="s">
        <v>385</v>
      </c>
      <c r="EU16" t="s">
        <v>382</v>
      </c>
      <c r="EX16" t="s">
        <v>401</v>
      </c>
      <c r="EY16" t="s">
        <v>401</v>
      </c>
      <c r="FA16" t="s">
        <v>382</v>
      </c>
      <c r="FB16" t="s">
        <v>402</v>
      </c>
      <c r="FD16" t="s">
        <v>382</v>
      </c>
      <c r="FE16" t="s">
        <v>382</v>
      </c>
      <c r="FG16" t="s">
        <v>403</v>
      </c>
      <c r="FH16" t="s">
        <v>404</v>
      </c>
      <c r="FI16" t="s">
        <v>403</v>
      </c>
      <c r="FJ16" t="s">
        <v>404</v>
      </c>
      <c r="FK16" t="s">
        <v>403</v>
      </c>
      <c r="FL16" t="s">
        <v>404</v>
      </c>
      <c r="FM16" t="s">
        <v>390</v>
      </c>
      <c r="FN16" t="s">
        <v>390</v>
      </c>
      <c r="FO16" t="s">
        <v>386</v>
      </c>
      <c r="FP16" t="s">
        <v>405</v>
      </c>
      <c r="FQ16" t="s">
        <v>386</v>
      </c>
      <c r="FT16" t="s">
        <v>406</v>
      </c>
      <c r="FW16" t="s">
        <v>399</v>
      </c>
      <c r="FX16" t="s">
        <v>407</v>
      </c>
      <c r="FY16" t="s">
        <v>399</v>
      </c>
      <c r="GD16" t="s">
        <v>408</v>
      </c>
      <c r="GE16" t="s">
        <v>408</v>
      </c>
      <c r="GR16" t="s">
        <v>408</v>
      </c>
      <c r="GS16" t="s">
        <v>408</v>
      </c>
      <c r="GT16" t="s">
        <v>409</v>
      </c>
      <c r="GU16" t="s">
        <v>409</v>
      </c>
      <c r="GV16" t="s">
        <v>388</v>
      </c>
      <c r="GW16" t="s">
        <v>388</v>
      </c>
      <c r="GX16" t="s">
        <v>390</v>
      </c>
      <c r="GY16" t="s">
        <v>388</v>
      </c>
      <c r="GZ16" t="s">
        <v>399</v>
      </c>
      <c r="HA16" t="s">
        <v>390</v>
      </c>
      <c r="HB16" t="s">
        <v>390</v>
      </c>
      <c r="HD16" t="s">
        <v>408</v>
      </c>
      <c r="HE16" t="s">
        <v>408</v>
      </c>
      <c r="HF16" t="s">
        <v>408</v>
      </c>
      <c r="HG16" t="s">
        <v>408</v>
      </c>
      <c r="HH16" t="s">
        <v>408</v>
      </c>
      <c r="HI16" t="s">
        <v>408</v>
      </c>
      <c r="HJ16" t="s">
        <v>408</v>
      </c>
      <c r="HK16" t="s">
        <v>410</v>
      </c>
      <c r="HL16" t="s">
        <v>410</v>
      </c>
      <c r="HM16" t="s">
        <v>411</v>
      </c>
      <c r="HN16" t="s">
        <v>410</v>
      </c>
      <c r="HO16" t="s">
        <v>408</v>
      </c>
      <c r="HP16" t="s">
        <v>408</v>
      </c>
      <c r="HQ16" t="s">
        <v>408</v>
      </c>
      <c r="HR16" t="s">
        <v>408</v>
      </c>
      <c r="HS16" t="s">
        <v>408</v>
      </c>
      <c r="HT16" t="s">
        <v>408</v>
      </c>
      <c r="HU16" t="s">
        <v>408</v>
      </c>
      <c r="HV16" t="s">
        <v>408</v>
      </c>
      <c r="HW16" t="s">
        <v>408</v>
      </c>
      <c r="HX16" t="s">
        <v>408</v>
      </c>
      <c r="HY16" t="s">
        <v>408</v>
      </c>
      <c r="HZ16" t="s">
        <v>408</v>
      </c>
      <c r="IG16" t="s">
        <v>408</v>
      </c>
      <c r="IH16" t="s">
        <v>390</v>
      </c>
      <c r="II16" t="s">
        <v>390</v>
      </c>
      <c r="IJ16" t="s">
        <v>403</v>
      </c>
      <c r="IK16" t="s">
        <v>404</v>
      </c>
      <c r="IL16" t="s">
        <v>404</v>
      </c>
      <c r="IP16" t="s">
        <v>404</v>
      </c>
      <c r="IT16" t="s">
        <v>386</v>
      </c>
      <c r="IU16" t="s">
        <v>386</v>
      </c>
      <c r="IV16" t="s">
        <v>399</v>
      </c>
      <c r="IW16" t="s">
        <v>399</v>
      </c>
      <c r="IX16" t="s">
        <v>412</v>
      </c>
      <c r="IY16" t="s">
        <v>412</v>
      </c>
      <c r="IZ16" t="s">
        <v>408</v>
      </c>
      <c r="JA16" t="s">
        <v>408</v>
      </c>
      <c r="JB16" t="s">
        <v>408</v>
      </c>
      <c r="JC16" t="s">
        <v>408</v>
      </c>
      <c r="JD16" t="s">
        <v>408</v>
      </c>
      <c r="JE16" t="s">
        <v>408</v>
      </c>
      <c r="JF16" t="s">
        <v>388</v>
      </c>
      <c r="JG16" t="s">
        <v>408</v>
      </c>
      <c r="JI16" t="s">
        <v>391</v>
      </c>
      <c r="JJ16" t="s">
        <v>391</v>
      </c>
      <c r="JK16" t="s">
        <v>388</v>
      </c>
      <c r="JL16" t="s">
        <v>388</v>
      </c>
      <c r="JM16" t="s">
        <v>388</v>
      </c>
      <c r="JN16" t="s">
        <v>388</v>
      </c>
      <c r="JO16" t="s">
        <v>388</v>
      </c>
      <c r="JP16" t="s">
        <v>390</v>
      </c>
      <c r="JQ16" t="s">
        <v>390</v>
      </c>
      <c r="JR16" t="s">
        <v>390</v>
      </c>
      <c r="JS16" t="s">
        <v>388</v>
      </c>
      <c r="JT16" t="s">
        <v>386</v>
      </c>
      <c r="JU16" t="s">
        <v>399</v>
      </c>
      <c r="JV16" t="s">
        <v>390</v>
      </c>
      <c r="JW16" t="s">
        <v>390</v>
      </c>
    </row>
    <row r="17" spans="1:283" x14ac:dyDescent="0.25">
      <c r="A17">
        <v>1</v>
      </c>
      <c r="B17">
        <v>1742547610.0999999</v>
      </c>
      <c r="C17">
        <v>0</v>
      </c>
      <c r="D17" t="s">
        <v>413</v>
      </c>
      <c r="E17" t="s">
        <v>414</v>
      </c>
      <c r="F17">
        <v>2</v>
      </c>
      <c r="H17">
        <v>1742547608.5999999</v>
      </c>
      <c r="I17">
        <f t="shared" ref="I17:I29" si="0">(J17)/1000</f>
        <v>3.1300086778313987E-3</v>
      </c>
      <c r="J17">
        <f t="shared" ref="J17:J29" si="1">1000*DJ17*AH17*(DF17-DG17)/(100*CY17*(1000-AH17*DF17))</f>
        <v>3.1300086778313987</v>
      </c>
      <c r="K17">
        <f t="shared" ref="K17:K29" si="2">DJ17*AH17*(DE17-DD17*(1000-AH17*DG17)/(1000-AH17*DF17))/(100*CY17)</f>
        <v>26.147115680791256</v>
      </c>
      <c r="L17">
        <f t="shared" ref="L17:L29" si="3">DD17 - IF(AH17&gt;1, K17*CY17*100/(AJ17*DR17), 0)</f>
        <v>389.589</v>
      </c>
      <c r="M17">
        <f t="shared" ref="M17:M29" si="4">((S17-I17/2)*L17-K17)/(S17+I17/2)</f>
        <v>211.22245372464715</v>
      </c>
      <c r="N17">
        <f t="shared" ref="N17:N29" si="5">M17*(DK17+DL17)/1000</f>
        <v>20.148200567755101</v>
      </c>
      <c r="O17">
        <f t="shared" ref="O17:O29" si="6">(DD17 - IF(AH17&gt;1, K17*CY17*100/(AJ17*DR17), 0))*(DK17+DL17)/1000</f>
        <v>37.162324234827302</v>
      </c>
      <c r="P17">
        <f t="shared" ref="P17:P29" si="7">2/((1/R17-1/Q17)+SIGN(R17)*SQRT((1/R17-1/Q17)*(1/R17-1/Q17) + 4*CZ17/((CZ17+1)*(CZ17+1))*(2*1/R17*1/Q17-1/Q17*1/Q17)))</f>
        <v>0.25267566658965546</v>
      </c>
      <c r="Q17">
        <f t="shared" ref="Q17:Q29" si="8">IF(LEFT(DA17,1)&lt;&gt;"0",IF(LEFT(DA17,1)="1",3,DB17),$D$5+$E$5*(DR17*DK17/($K$5*1000))+$F$5*(DR17*DK17/($K$5*1000))*MAX(MIN(CY17,$J$5),$I$5)*MAX(MIN(CY17,$J$5),$I$5)+$G$5*MAX(MIN(CY17,$J$5),$I$5)*(DR17*DK17/($K$5*1000))+$H$5*(DR17*DK17/($K$5*1000))*(DR17*DK17/($K$5*1000)))</f>
        <v>3.0034330106377305</v>
      </c>
      <c r="R17">
        <f t="shared" ref="R17:R29" si="9">I17*(1000-(1000*0.61365*EXP(17.502*V17/(240.97+V17))/(DK17+DL17)+DF17)/2)/(1000*0.61365*EXP(17.502*V17/(240.97+V17))/(DK17+DL17)-DF17)</f>
        <v>0.24143220571218099</v>
      </c>
      <c r="S17">
        <f t="shared" ref="S17:S29" si="10">1/((CZ17+1)/(P17/1.6)+1/(Q17/1.37)) + CZ17/((CZ17+1)/(P17/1.6) + CZ17/(Q17/1.37))</f>
        <v>0.15186361331975617</v>
      </c>
      <c r="T17">
        <f t="shared" ref="T17:T29" si="11">(CU17*CX17)</f>
        <v>289.56190123802565</v>
      </c>
      <c r="U17">
        <f t="shared" ref="U17:U29" si="12">(DM17+(T17+2*0.95*0.0000000567*(((DM17+$B$7)+273)^4-(DM17+273)^4)-44100*I17)/(1.84*29.3*Q17+8*0.95*0.0000000567*(DM17+273)^3))</f>
        <v>25.409415158397607</v>
      </c>
      <c r="V17">
        <f t="shared" ref="V17:V29" si="13">($C$7*DN17+$D$7*DO17+$E$7*U17)</f>
        <v>24.9955</v>
      </c>
      <c r="W17">
        <f t="shared" ref="W17:W29" si="14">0.61365*EXP(17.502*V17/(240.97+V17))</f>
        <v>3.1788246272759131</v>
      </c>
      <c r="X17">
        <f t="shared" ref="X17:X29" si="15">(Y17/Z17*100)</f>
        <v>63.881733632705952</v>
      </c>
      <c r="Y17">
        <f t="shared" ref="Y17:Y29" si="16">DF17*(DK17+DL17)/1000</f>
        <v>1.9755871934559153</v>
      </c>
      <c r="Z17">
        <f t="shared" ref="Z17:Z29" si="17">0.61365*EXP(17.502*DM17/(240.97+DM17))</f>
        <v>3.0925697865601771</v>
      </c>
      <c r="AA17">
        <f t="shared" ref="AA17:AA29" si="18">(W17-DF17*(DK17+DL17)/1000)</f>
        <v>1.2032374338199978</v>
      </c>
      <c r="AB17">
        <f t="shared" ref="AB17:AB29" si="19">(-I17*44100)</f>
        <v>-138.03338269236468</v>
      </c>
      <c r="AC17">
        <f t="shared" ref="AC17:AC29" si="20">2*29.3*Q17*0.92*(DM17-V17)</f>
        <v>-74.580849664252227</v>
      </c>
      <c r="AD17">
        <f t="shared" ref="AD17:AD29" si="21">2*0.95*0.0000000567*(((DM17+$B$7)+273)^4-(V17+273)^4)</f>
        <v>-5.2401372832690498</v>
      </c>
      <c r="AE17">
        <f t="shared" ref="AE17:AE29" si="22">T17+AD17+AB17+AC17</f>
        <v>71.707531598139681</v>
      </c>
      <c r="AF17">
        <v>0</v>
      </c>
      <c r="AG17">
        <v>0</v>
      </c>
      <c r="AH17">
        <f t="shared" ref="AH17:AH29" si="23">IF(AF17*$H$13&gt;=AJ17,1,(AJ17/(AJ17-AF17*$H$13)))</f>
        <v>1</v>
      </c>
      <c r="AI17">
        <f t="shared" ref="AI17:AI29" si="24">(AH17-1)*100</f>
        <v>0</v>
      </c>
      <c r="AJ17">
        <f t="shared" ref="AJ17:AJ29" si="25">MAX(0,($B$13+$C$13*DR17)/(1+$D$13*DR17)*DK17/(DM17+273)*$E$13)</f>
        <v>50809.382989666621</v>
      </c>
      <c r="AK17" t="s">
        <v>415</v>
      </c>
      <c r="AL17">
        <v>10180.200000000001</v>
      </c>
      <c r="AM17">
        <v>191.60769230769199</v>
      </c>
      <c r="AN17">
        <v>979.671341309485</v>
      </c>
      <c r="AO17">
        <f t="shared" ref="AO17:AO29" si="26">1-AM17/AN17</f>
        <v>0.80441635451785476</v>
      </c>
      <c r="AP17">
        <v>-2.5320139233462702</v>
      </c>
      <c r="AQ17" t="s">
        <v>416</v>
      </c>
      <c r="AR17">
        <v>10136.299999999999</v>
      </c>
      <c r="AS17">
        <v>255.52580769230801</v>
      </c>
      <c r="AT17">
        <v>372.12903722822301</v>
      </c>
      <c r="AU17">
        <f t="shared" ref="AU17:AU29" si="27">1-AS17/AT17</f>
        <v>0.31334085188413663</v>
      </c>
      <c r="AV17">
        <v>0.5</v>
      </c>
      <c r="AW17">
        <f t="shared" ref="AW17:AW29" si="28">CV17</f>
        <v>1513.1633996051944</v>
      </c>
      <c r="AX17">
        <f t="shared" ref="AX17:AX29" si="29">K17</f>
        <v>26.147115680791256</v>
      </c>
      <c r="AY17">
        <f t="shared" ref="AY17:AY29" si="30">AU17*AV17*AW17</f>
        <v>237.06795433609392</v>
      </c>
      <c r="AZ17">
        <f t="shared" ref="AZ17:AZ29" si="31">(AX17-AP17)/AW17</f>
        <v>1.8953094960940976E-2</v>
      </c>
      <c r="BA17">
        <f t="shared" ref="BA17:BA29" si="32">(AN17-AT17)/AT17</f>
        <v>1.6326119257086149</v>
      </c>
      <c r="BB17">
        <f t="shared" ref="BB17:BB29" si="33">AM17/(AO17+AM17/AT17)</f>
        <v>145.23301873265243</v>
      </c>
      <c r="BC17" t="s">
        <v>417</v>
      </c>
      <c r="BD17">
        <v>0</v>
      </c>
      <c r="BE17">
        <f t="shared" ref="BE17:BE29" si="34">IF(BD17&lt;&gt;0, BD17, BB17)</f>
        <v>145.23301873265243</v>
      </c>
      <c r="BF17">
        <f t="shared" ref="BF17:BF29" si="35">1-BE17/AT17</f>
        <v>0.60972403601070657</v>
      </c>
      <c r="BG17">
        <f t="shared" ref="BG17:BG29" si="36">(AT17-AS17)/(AT17-BE17)</f>
        <v>0.51390601875277642</v>
      </c>
      <c r="BH17">
        <f t="shared" ref="BH17:BH29" si="37">(AN17-AT17)/(AN17-BE17)</f>
        <v>0.72808533314374635</v>
      </c>
      <c r="BI17">
        <f t="shared" ref="BI17:BI29" si="38">(AT17-AS17)/(AT17-AM17)</f>
        <v>0.64592488820225658</v>
      </c>
      <c r="BJ17">
        <f t="shared" ref="BJ17:BJ29" si="39">(AN17-AT17)/(AN17-AM17)</f>
        <v>0.77093050142689645</v>
      </c>
      <c r="BK17">
        <f t="shared" ref="BK17:BK29" si="40">(BG17*BE17/AS17)</f>
        <v>0.2920883926457169</v>
      </c>
      <c r="BL17">
        <f t="shared" ref="BL17:BL29" si="41">(1-BK17)</f>
        <v>0.70791160735428305</v>
      </c>
      <c r="BM17">
        <v>1753</v>
      </c>
      <c r="BN17">
        <v>290</v>
      </c>
      <c r="BO17">
        <v>335.72</v>
      </c>
      <c r="BP17">
        <v>125</v>
      </c>
      <c r="BQ17">
        <v>10136.299999999999</v>
      </c>
      <c r="BR17">
        <v>335.25</v>
      </c>
      <c r="BS17">
        <v>0.47</v>
      </c>
      <c r="BT17">
        <v>300</v>
      </c>
      <c r="BU17">
        <v>24.2</v>
      </c>
      <c r="BV17">
        <v>372.12903722822301</v>
      </c>
      <c r="BW17">
        <v>1.69751257544588</v>
      </c>
      <c r="BX17">
        <v>-37.3766601882459</v>
      </c>
      <c r="BY17">
        <v>1.5291193373185701</v>
      </c>
      <c r="BZ17">
        <v>0.95523387301970197</v>
      </c>
      <c r="CA17">
        <v>-6.8759063403781998E-3</v>
      </c>
      <c r="CB17">
        <v>290</v>
      </c>
      <c r="CC17">
        <v>333.96</v>
      </c>
      <c r="CD17">
        <v>635</v>
      </c>
      <c r="CE17">
        <v>10093.700000000001</v>
      </c>
      <c r="CF17">
        <v>335.1</v>
      </c>
      <c r="CG17">
        <v>-1.1399999999999999</v>
      </c>
      <c r="CU17">
        <f t="shared" ref="CU17:CU29" si="42">$B$11*DS17+$C$11*DT17+$F$11*EE17*(1-EH17)</f>
        <v>1799.9749999999999</v>
      </c>
      <c r="CV17">
        <f t="shared" ref="CV17:CV29" si="43">CU17*CW17</f>
        <v>1513.1633996051944</v>
      </c>
      <c r="CW17">
        <f t="shared" ref="CW17:CW29" si="44">($B$11*$D$9+$C$11*$D$9+$F$11*((ER17+EJ17)/MAX(ER17+EJ17+ES17, 0.1)*$I$9+ES17/MAX(ER17+EJ17+ES17, 0.1)*$J$9))/($B$11+$C$11+$F$11)</f>
        <v>0.84065800891967635</v>
      </c>
      <c r="CX17">
        <f t="shared" ref="CX17:CX29" si="45">($B$11*$K$9+$C$11*$K$9+$F$11*((ER17+EJ17)/MAX(ER17+EJ17+ES17, 0.1)*$P$9+ES17/MAX(ER17+EJ17+ES17, 0.1)*$Q$9))/($B$11+$C$11+$F$11)</f>
        <v>0.16086995721497557</v>
      </c>
      <c r="CY17">
        <v>1.9</v>
      </c>
      <c r="CZ17">
        <v>0.5</v>
      </c>
      <c r="DA17" t="s">
        <v>418</v>
      </c>
      <c r="DB17">
        <v>2</v>
      </c>
      <c r="DC17">
        <v>1742547608.5999999</v>
      </c>
      <c r="DD17">
        <v>389.589</v>
      </c>
      <c r="DE17">
        <v>399.98899999999998</v>
      </c>
      <c r="DF17">
        <v>20.71095</v>
      </c>
      <c r="DG17">
        <v>19.546099999999999</v>
      </c>
      <c r="DH17">
        <v>387.55700000000002</v>
      </c>
      <c r="DI17">
        <v>20.723099999999999</v>
      </c>
      <c r="DJ17">
        <v>499.96550000000002</v>
      </c>
      <c r="DK17">
        <v>95.288550000000001</v>
      </c>
      <c r="DL17">
        <v>9.9985699999999997E-2</v>
      </c>
      <c r="DM17">
        <v>24.5349</v>
      </c>
      <c r="DN17">
        <v>24.9955</v>
      </c>
      <c r="DO17">
        <v>999.9</v>
      </c>
      <c r="DP17">
        <v>0</v>
      </c>
      <c r="DQ17">
        <v>0</v>
      </c>
      <c r="DR17">
        <v>10001.24</v>
      </c>
      <c r="DS17">
        <v>0</v>
      </c>
      <c r="DT17">
        <v>564.05349999999999</v>
      </c>
      <c r="DU17">
        <v>-10.40025</v>
      </c>
      <c r="DV17">
        <v>397.82799999999997</v>
      </c>
      <c r="DW17">
        <v>407.96300000000002</v>
      </c>
      <c r="DX17">
        <v>1.1648750000000001</v>
      </c>
      <c r="DY17">
        <v>399.98899999999998</v>
      </c>
      <c r="DZ17">
        <v>19.546099999999999</v>
      </c>
      <c r="EA17">
        <v>1.9735199999999999</v>
      </c>
      <c r="EB17">
        <v>1.86252</v>
      </c>
      <c r="EC17">
        <v>17.233450000000001</v>
      </c>
      <c r="ED17">
        <v>16.3216</v>
      </c>
      <c r="EE17">
        <v>1799.9749999999999</v>
      </c>
      <c r="EF17">
        <v>0.97800600000000004</v>
      </c>
      <c r="EG17">
        <v>2.19939E-2</v>
      </c>
      <c r="EH17">
        <v>0</v>
      </c>
      <c r="EI17">
        <v>255.5565</v>
      </c>
      <c r="EJ17">
        <v>5.0006000000000004</v>
      </c>
      <c r="EK17">
        <v>4905.54</v>
      </c>
      <c r="EL17">
        <v>18193.7</v>
      </c>
      <c r="EM17">
        <v>49.5</v>
      </c>
      <c r="EN17">
        <v>49.436999999999998</v>
      </c>
      <c r="EO17">
        <v>49.936999999999998</v>
      </c>
      <c r="EP17">
        <v>48.811999999999998</v>
      </c>
      <c r="EQ17">
        <v>50.811999999999998</v>
      </c>
      <c r="ER17">
        <v>1755.4949999999999</v>
      </c>
      <c r="ES17">
        <v>39.479999999999997</v>
      </c>
      <c r="ET17">
        <v>0</v>
      </c>
      <c r="EU17">
        <v>2231.7000000476801</v>
      </c>
      <c r="EV17">
        <v>0</v>
      </c>
      <c r="EW17">
        <v>255.52580769230801</v>
      </c>
      <c r="EX17">
        <v>-5.3162402525051E-2</v>
      </c>
      <c r="EY17">
        <v>-1.6512820417484499</v>
      </c>
      <c r="EZ17">
        <v>4905.6607692307698</v>
      </c>
      <c r="FA17">
        <v>15</v>
      </c>
      <c r="FB17">
        <v>1742547544.0999999</v>
      </c>
      <c r="FC17" t="s">
        <v>419</v>
      </c>
      <c r="FD17">
        <v>1742547543.0999999</v>
      </c>
      <c r="FE17">
        <v>1742547544.0999999</v>
      </c>
      <c r="FF17">
        <v>66</v>
      </c>
      <c r="FG17">
        <v>-3.4420000000000002</v>
      </c>
      <c r="FH17">
        <v>0.01</v>
      </c>
      <c r="FI17">
        <v>2.032</v>
      </c>
      <c r="FJ17">
        <v>-1.2E-2</v>
      </c>
      <c r="FK17">
        <v>400</v>
      </c>
      <c r="FL17">
        <v>20</v>
      </c>
      <c r="FM17">
        <v>0.64</v>
      </c>
      <c r="FN17">
        <v>0.25</v>
      </c>
      <c r="FO17">
        <v>-10.376838095238099</v>
      </c>
      <c r="FP17">
        <v>7.1290909090910307E-2</v>
      </c>
      <c r="FQ17">
        <v>3.38689558120773E-2</v>
      </c>
      <c r="FR17">
        <v>1</v>
      </c>
      <c r="FS17">
        <v>255.545617647059</v>
      </c>
      <c r="FT17">
        <v>-0.14134454401284299</v>
      </c>
      <c r="FU17">
        <v>0.23095454285432801</v>
      </c>
      <c r="FV17">
        <v>1</v>
      </c>
      <c r="FW17">
        <v>1.15849571428571</v>
      </c>
      <c r="FX17">
        <v>2.40646753246745E-2</v>
      </c>
      <c r="FY17">
        <v>3.4008396322204901E-3</v>
      </c>
      <c r="FZ17">
        <v>1</v>
      </c>
      <c r="GA17">
        <v>3</v>
      </c>
      <c r="GB17">
        <v>3</v>
      </c>
      <c r="GC17" t="s">
        <v>420</v>
      </c>
      <c r="GD17">
        <v>3.1416599999999999</v>
      </c>
      <c r="GE17">
        <v>2.7469299999999999</v>
      </c>
      <c r="GF17">
        <v>8.2794800000000002E-2</v>
      </c>
      <c r="GG17">
        <v>8.7010400000000002E-2</v>
      </c>
      <c r="GH17">
        <v>9.8818100000000006E-2</v>
      </c>
      <c r="GI17">
        <v>9.7321500000000005E-2</v>
      </c>
      <c r="GJ17">
        <v>24267.9</v>
      </c>
      <c r="GK17">
        <v>30305.200000000001</v>
      </c>
      <c r="GL17">
        <v>26966.400000000001</v>
      </c>
      <c r="GM17">
        <v>31318.2</v>
      </c>
      <c r="GN17">
        <v>34270.699999999997</v>
      </c>
      <c r="GO17">
        <v>37690.800000000003</v>
      </c>
      <c r="GP17">
        <v>41599.199999999997</v>
      </c>
      <c r="GQ17">
        <v>45421.7</v>
      </c>
      <c r="GR17">
        <v>1.73142</v>
      </c>
      <c r="GS17">
        <v>1.9494499999999999</v>
      </c>
      <c r="GT17">
        <v>0.115111</v>
      </c>
      <c r="GU17">
        <v>0</v>
      </c>
      <c r="GV17">
        <v>23.102599999999999</v>
      </c>
      <c r="GW17">
        <v>999.9</v>
      </c>
      <c r="GX17">
        <v>51.715000000000003</v>
      </c>
      <c r="GY17">
        <v>32.609000000000002</v>
      </c>
      <c r="GZ17">
        <v>26.8203</v>
      </c>
      <c r="HA17">
        <v>60.554000000000002</v>
      </c>
      <c r="HB17">
        <v>18.589700000000001</v>
      </c>
      <c r="HC17">
        <v>1</v>
      </c>
      <c r="HD17">
        <v>0.33744400000000002</v>
      </c>
      <c r="HE17">
        <v>3.9273799999999999</v>
      </c>
      <c r="HF17">
        <v>20.1431</v>
      </c>
      <c r="HG17">
        <v>5.2235800000000001</v>
      </c>
      <c r="HH17">
        <v>11.98</v>
      </c>
      <c r="HI17">
        <v>4.9531999999999998</v>
      </c>
      <c r="HJ17">
        <v>3.2850000000000001</v>
      </c>
      <c r="HK17">
        <v>9999</v>
      </c>
      <c r="HL17">
        <v>9999</v>
      </c>
      <c r="HM17">
        <v>999.9</v>
      </c>
      <c r="HN17">
        <v>9999</v>
      </c>
      <c r="HO17">
        <v>1.8594900000000001</v>
      </c>
      <c r="HP17">
        <v>1.8602000000000001</v>
      </c>
      <c r="HQ17">
        <v>1.8557699999999999</v>
      </c>
      <c r="HR17">
        <v>1.8585199999999999</v>
      </c>
      <c r="HS17">
        <v>1.8626400000000001</v>
      </c>
      <c r="HT17">
        <v>1.85806</v>
      </c>
      <c r="HU17">
        <v>1.85501</v>
      </c>
      <c r="HV17">
        <v>1.86249</v>
      </c>
      <c r="HW17">
        <v>5</v>
      </c>
      <c r="HX17">
        <v>0</v>
      </c>
      <c r="HY17">
        <v>0</v>
      </c>
      <c r="HZ17">
        <v>0</v>
      </c>
      <c r="IA17" t="s">
        <v>421</v>
      </c>
      <c r="IB17" t="s">
        <v>422</v>
      </c>
      <c r="IC17" t="s">
        <v>423</v>
      </c>
      <c r="ID17" t="s">
        <v>423</v>
      </c>
      <c r="IE17" t="s">
        <v>423</v>
      </c>
      <c r="IF17" t="s">
        <v>423</v>
      </c>
      <c r="IG17">
        <v>0</v>
      </c>
      <c r="IH17">
        <v>100</v>
      </c>
      <c r="II17">
        <v>100</v>
      </c>
      <c r="IJ17">
        <v>2.032</v>
      </c>
      <c r="IK17">
        <v>-1.2200000000000001E-2</v>
      </c>
      <c r="IL17">
        <v>2.0317272727272102</v>
      </c>
      <c r="IM17">
        <v>0</v>
      </c>
      <c r="IN17">
        <v>0</v>
      </c>
      <c r="IO17">
        <v>0</v>
      </c>
      <c r="IP17">
        <v>-1.2160000000001499E-2</v>
      </c>
      <c r="IQ17">
        <v>0</v>
      </c>
      <c r="IR17">
        <v>0</v>
      </c>
      <c r="IS17">
        <v>0</v>
      </c>
      <c r="IT17">
        <v>-1</v>
      </c>
      <c r="IU17">
        <v>-1</v>
      </c>
      <c r="IV17">
        <v>-1</v>
      </c>
      <c r="IW17">
        <v>-1</v>
      </c>
      <c r="IX17">
        <v>1.1000000000000001</v>
      </c>
      <c r="IY17">
        <v>1.1000000000000001</v>
      </c>
      <c r="IZ17">
        <v>1.0400400000000001</v>
      </c>
      <c r="JA17">
        <v>2.7514599999999998</v>
      </c>
      <c r="JB17">
        <v>1.69678</v>
      </c>
      <c r="JC17">
        <v>2.3742700000000001</v>
      </c>
      <c r="JD17">
        <v>1.4978</v>
      </c>
      <c r="JE17">
        <v>2.4194300000000002</v>
      </c>
      <c r="JF17">
        <v>36.058199999999999</v>
      </c>
      <c r="JG17">
        <v>14.5961</v>
      </c>
      <c r="JH17">
        <v>18</v>
      </c>
      <c r="JI17">
        <v>382.14699999999999</v>
      </c>
      <c r="JJ17">
        <v>524.51800000000003</v>
      </c>
      <c r="JK17">
        <v>17.732099999999999</v>
      </c>
      <c r="JL17">
        <v>31.145600000000002</v>
      </c>
      <c r="JM17">
        <v>29.999700000000001</v>
      </c>
      <c r="JN17">
        <v>31.415400000000002</v>
      </c>
      <c r="JO17">
        <v>31.449000000000002</v>
      </c>
      <c r="JP17">
        <v>20.842600000000001</v>
      </c>
      <c r="JQ17">
        <v>100</v>
      </c>
      <c r="JR17">
        <v>100</v>
      </c>
      <c r="JS17">
        <v>17.735700000000001</v>
      </c>
      <c r="JT17">
        <v>400</v>
      </c>
      <c r="JU17">
        <v>0</v>
      </c>
      <c r="JV17">
        <v>102.733</v>
      </c>
      <c r="JW17">
        <v>100.82599999999999</v>
      </c>
    </row>
    <row r="18" spans="1:283" x14ac:dyDescent="0.25">
      <c r="A18">
        <v>2</v>
      </c>
      <c r="B18">
        <v>1742547738.0999999</v>
      </c>
      <c r="C18">
        <v>128</v>
      </c>
      <c r="D18" t="s">
        <v>424</v>
      </c>
      <c r="E18" t="s">
        <v>425</v>
      </c>
      <c r="F18">
        <v>2</v>
      </c>
      <c r="H18">
        <v>1742547736.0999999</v>
      </c>
      <c r="I18">
        <f t="shared" si="0"/>
        <v>3.2943946833361025E-3</v>
      </c>
      <c r="J18">
        <f t="shared" si="1"/>
        <v>3.2943946833361024</v>
      </c>
      <c r="K18">
        <f t="shared" si="2"/>
        <v>19.211961083750371</v>
      </c>
      <c r="L18">
        <f t="shared" si="3"/>
        <v>292.32900000000001</v>
      </c>
      <c r="M18">
        <f t="shared" si="4"/>
        <v>168.13203746514071</v>
      </c>
      <c r="N18">
        <f t="shared" si="5"/>
        <v>16.036934598764724</v>
      </c>
      <c r="O18">
        <f t="shared" si="6"/>
        <v>27.883210868090991</v>
      </c>
      <c r="P18">
        <f t="shared" si="7"/>
        <v>0.26817968414649335</v>
      </c>
      <c r="Q18">
        <f t="shared" si="8"/>
        <v>2.9997097300309283</v>
      </c>
      <c r="R18">
        <f t="shared" si="9"/>
        <v>0.25553628500078435</v>
      </c>
      <c r="S18">
        <f t="shared" si="10"/>
        <v>0.16079645486498439</v>
      </c>
      <c r="T18">
        <f t="shared" si="11"/>
        <v>289.56589123803622</v>
      </c>
      <c r="U18">
        <f t="shared" si="12"/>
        <v>25.380858652067836</v>
      </c>
      <c r="V18">
        <f t="shared" si="13"/>
        <v>24.999866666666701</v>
      </c>
      <c r="W18">
        <f t="shared" si="14"/>
        <v>3.1796523141344037</v>
      </c>
      <c r="X18">
        <f t="shared" si="15"/>
        <v>64.082258707920829</v>
      </c>
      <c r="Y18">
        <f t="shared" si="16"/>
        <v>1.983247411424869</v>
      </c>
      <c r="Z18">
        <f t="shared" si="17"/>
        <v>3.0948462981997413</v>
      </c>
      <c r="AA18">
        <f t="shared" si="18"/>
        <v>1.1964049027095347</v>
      </c>
      <c r="AB18">
        <f t="shared" si="19"/>
        <v>-145.28280553512212</v>
      </c>
      <c r="AC18">
        <f t="shared" si="20"/>
        <v>-73.205412203689065</v>
      </c>
      <c r="AD18">
        <f t="shared" si="21"/>
        <v>-5.1503139103556341</v>
      </c>
      <c r="AE18">
        <f t="shared" si="22"/>
        <v>65.927359588869393</v>
      </c>
      <c r="AF18">
        <v>0</v>
      </c>
      <c r="AG18">
        <v>0</v>
      </c>
      <c r="AH18">
        <f t="shared" si="23"/>
        <v>1</v>
      </c>
      <c r="AI18">
        <f t="shared" si="24"/>
        <v>0</v>
      </c>
      <c r="AJ18">
        <f t="shared" si="25"/>
        <v>50701.621892046838</v>
      </c>
      <c r="AK18" t="s">
        <v>415</v>
      </c>
      <c r="AL18">
        <v>10180.200000000001</v>
      </c>
      <c r="AM18">
        <v>191.60769230769199</v>
      </c>
      <c r="AN18">
        <v>979.671341309485</v>
      </c>
      <c r="AO18">
        <f t="shared" si="26"/>
        <v>0.80441635451785476</v>
      </c>
      <c r="AP18">
        <v>-2.5320139233462702</v>
      </c>
      <c r="AQ18" t="s">
        <v>426</v>
      </c>
      <c r="AR18">
        <v>10117.1</v>
      </c>
      <c r="AS18">
        <v>250.087346153846</v>
      </c>
      <c r="AT18">
        <v>349.699857405964</v>
      </c>
      <c r="AU18">
        <f t="shared" si="27"/>
        <v>0.28485144944305363</v>
      </c>
      <c r="AV18">
        <v>0.5</v>
      </c>
      <c r="AW18">
        <f t="shared" si="28"/>
        <v>1513.1843996052003</v>
      </c>
      <c r="AX18">
        <f t="shared" si="29"/>
        <v>19.211961083750371</v>
      </c>
      <c r="AY18">
        <f t="shared" si="30"/>
        <v>215.51638475107907</v>
      </c>
      <c r="AZ18">
        <f t="shared" si="31"/>
        <v>1.4369679605981787E-2</v>
      </c>
      <c r="BA18">
        <f t="shared" si="32"/>
        <v>1.8014633708362988</v>
      </c>
      <c r="BB18">
        <f t="shared" si="33"/>
        <v>141.68637287313868</v>
      </c>
      <c r="BC18" t="s">
        <v>417</v>
      </c>
      <c r="BD18">
        <v>0</v>
      </c>
      <c r="BE18">
        <f t="shared" si="34"/>
        <v>141.68637287313868</v>
      </c>
      <c r="BF18">
        <f t="shared" si="35"/>
        <v>0.5948343418720472</v>
      </c>
      <c r="BG18">
        <f t="shared" si="36"/>
        <v>0.47887525886043586</v>
      </c>
      <c r="BH18">
        <f t="shared" si="37"/>
        <v>0.75176943218805936</v>
      </c>
      <c r="BI18">
        <f t="shared" si="38"/>
        <v>0.63009138492219174</v>
      </c>
      <c r="BJ18">
        <f t="shared" si="39"/>
        <v>0.79939162871105562</v>
      </c>
      <c r="BK18">
        <f t="shared" si="40"/>
        <v>0.27130560394239717</v>
      </c>
      <c r="BL18">
        <f t="shared" si="41"/>
        <v>0.72869439605760289</v>
      </c>
      <c r="BM18">
        <v>1754</v>
      </c>
      <c r="BN18">
        <v>290</v>
      </c>
      <c r="BO18">
        <v>319.22000000000003</v>
      </c>
      <c r="BP18">
        <v>225</v>
      </c>
      <c r="BQ18">
        <v>10117.1</v>
      </c>
      <c r="BR18">
        <v>318.76</v>
      </c>
      <c r="BS18">
        <v>0.46</v>
      </c>
      <c r="BT18">
        <v>300</v>
      </c>
      <c r="BU18">
        <v>24.2</v>
      </c>
      <c r="BV18">
        <v>349.699857405964</v>
      </c>
      <c r="BW18">
        <v>1.4267529047030001</v>
      </c>
      <c r="BX18">
        <v>-31.299461440655801</v>
      </c>
      <c r="BY18">
        <v>1.28521984352747</v>
      </c>
      <c r="BZ18">
        <v>0.95491779664984699</v>
      </c>
      <c r="CA18">
        <v>-6.8759997775305996E-3</v>
      </c>
      <c r="CB18">
        <v>290</v>
      </c>
      <c r="CC18">
        <v>318.58999999999997</v>
      </c>
      <c r="CD18">
        <v>725</v>
      </c>
      <c r="CE18">
        <v>10086.5</v>
      </c>
      <c r="CF18">
        <v>318.67</v>
      </c>
      <c r="CG18">
        <v>-0.08</v>
      </c>
      <c r="CU18">
        <f t="shared" si="42"/>
        <v>1800</v>
      </c>
      <c r="CV18">
        <f t="shared" si="43"/>
        <v>1513.1843996052003</v>
      </c>
      <c r="CW18">
        <f t="shared" si="44"/>
        <v>0.8406579997806668</v>
      </c>
      <c r="CX18">
        <f t="shared" si="45"/>
        <v>0.1608699395766868</v>
      </c>
      <c r="CY18">
        <v>1.9</v>
      </c>
      <c r="CZ18">
        <v>0.5</v>
      </c>
      <c r="DA18" t="s">
        <v>418</v>
      </c>
      <c r="DB18">
        <v>2</v>
      </c>
      <c r="DC18">
        <v>1742547736.0999999</v>
      </c>
      <c r="DD18">
        <v>292.32900000000001</v>
      </c>
      <c r="DE18">
        <v>299.99566666666698</v>
      </c>
      <c r="DF18">
        <v>20.792466666666702</v>
      </c>
      <c r="DG18">
        <v>19.566600000000001</v>
      </c>
      <c r="DH18">
        <v>290.87299999999999</v>
      </c>
      <c r="DI18">
        <v>20.803266666666701</v>
      </c>
      <c r="DJ18">
        <v>499.98933333333298</v>
      </c>
      <c r="DK18">
        <v>95.282633333333294</v>
      </c>
      <c r="DL18">
        <v>0.100345666666667</v>
      </c>
      <c r="DM18">
        <v>24.5472</v>
      </c>
      <c r="DN18">
        <v>24.999866666666701</v>
      </c>
      <c r="DO18">
        <v>999.9</v>
      </c>
      <c r="DP18">
        <v>0</v>
      </c>
      <c r="DQ18">
        <v>0</v>
      </c>
      <c r="DR18">
        <v>9980.2066666666706</v>
      </c>
      <c r="DS18">
        <v>0</v>
      </c>
      <c r="DT18">
        <v>550.48133333333305</v>
      </c>
      <c r="DU18">
        <v>-7.6664533333333296</v>
      </c>
      <c r="DV18">
        <v>298.53666666666697</v>
      </c>
      <c r="DW18">
        <v>305.982666666667</v>
      </c>
      <c r="DX18">
        <v>1.22587333333333</v>
      </c>
      <c r="DY18">
        <v>299.99566666666698</v>
      </c>
      <c r="DZ18">
        <v>19.566600000000001</v>
      </c>
      <c r="EA18">
        <v>1.98116</v>
      </c>
      <c r="EB18">
        <v>1.86435666666667</v>
      </c>
      <c r="EC18">
        <v>17.2945666666667</v>
      </c>
      <c r="ED18">
        <v>16.337066666666701</v>
      </c>
      <c r="EE18">
        <v>1800</v>
      </c>
      <c r="EF18">
        <v>0.97800600000000004</v>
      </c>
      <c r="EG18">
        <v>2.19939E-2</v>
      </c>
      <c r="EH18">
        <v>0</v>
      </c>
      <c r="EI18">
        <v>250.13533333333299</v>
      </c>
      <c r="EJ18">
        <v>5.0006000000000004</v>
      </c>
      <c r="EK18">
        <v>4807.13666666667</v>
      </c>
      <c r="EL18">
        <v>18193.9666666667</v>
      </c>
      <c r="EM18">
        <v>49.5</v>
      </c>
      <c r="EN18">
        <v>49.375</v>
      </c>
      <c r="EO18">
        <v>49.895666666666699</v>
      </c>
      <c r="EP18">
        <v>48.811999999999998</v>
      </c>
      <c r="EQ18">
        <v>50.811999999999998</v>
      </c>
      <c r="ER18">
        <v>1755.52</v>
      </c>
      <c r="ES18">
        <v>39.479999999999997</v>
      </c>
      <c r="ET18">
        <v>0</v>
      </c>
      <c r="EU18">
        <v>126.700000047684</v>
      </c>
      <c r="EV18">
        <v>0</v>
      </c>
      <c r="EW18">
        <v>250.087346153846</v>
      </c>
      <c r="EX18">
        <v>0.138974366975463</v>
      </c>
      <c r="EY18">
        <v>-6.4950427273033604</v>
      </c>
      <c r="EZ18">
        <v>4807.76384615385</v>
      </c>
      <c r="FA18">
        <v>15</v>
      </c>
      <c r="FB18">
        <v>1742547689.0999999</v>
      </c>
      <c r="FC18" t="s">
        <v>427</v>
      </c>
      <c r="FD18">
        <v>1742547682.0999999</v>
      </c>
      <c r="FE18">
        <v>1742547689.0999999</v>
      </c>
      <c r="FF18">
        <v>67</v>
      </c>
      <c r="FG18">
        <v>-0.57599999999999996</v>
      </c>
      <c r="FH18">
        <v>1E-3</v>
      </c>
      <c r="FI18">
        <v>1.456</v>
      </c>
      <c r="FJ18">
        <v>-1.0999999999999999E-2</v>
      </c>
      <c r="FK18">
        <v>300</v>
      </c>
      <c r="FL18">
        <v>20</v>
      </c>
      <c r="FM18">
        <v>0.51</v>
      </c>
      <c r="FN18">
        <v>0.37</v>
      </c>
      <c r="FO18">
        <v>-7.6973335000000001</v>
      </c>
      <c r="FP18">
        <v>-5.73685714285712E-2</v>
      </c>
      <c r="FQ18">
        <v>3.0766880127013101E-2</v>
      </c>
      <c r="FR18">
        <v>1</v>
      </c>
      <c r="FS18">
        <v>250.147882352941</v>
      </c>
      <c r="FT18">
        <v>-0.98044308648923595</v>
      </c>
      <c r="FU18">
        <v>0.20575167281228199</v>
      </c>
      <c r="FV18">
        <v>1</v>
      </c>
      <c r="FW18">
        <v>1.2251430000000001</v>
      </c>
      <c r="FX18">
        <v>2.8163909774437699E-2</v>
      </c>
      <c r="FY18">
        <v>4.8074547319761603E-3</v>
      </c>
      <c r="FZ18">
        <v>1</v>
      </c>
      <c r="GA18">
        <v>3</v>
      </c>
      <c r="GB18">
        <v>3</v>
      </c>
      <c r="GC18" t="s">
        <v>420</v>
      </c>
      <c r="GD18">
        <v>3.1417299999999999</v>
      </c>
      <c r="GE18">
        <v>2.7471399999999999</v>
      </c>
      <c r="GF18">
        <v>6.58918E-2</v>
      </c>
      <c r="GG18">
        <v>6.9347099999999995E-2</v>
      </c>
      <c r="GH18">
        <v>9.912E-2</v>
      </c>
      <c r="GI18">
        <v>9.7385600000000003E-2</v>
      </c>
      <c r="GJ18">
        <v>24719.200000000001</v>
      </c>
      <c r="GK18">
        <v>30897.7</v>
      </c>
      <c r="GL18">
        <v>26970.6</v>
      </c>
      <c r="GM18">
        <v>31324.3</v>
      </c>
      <c r="GN18">
        <v>34263.5</v>
      </c>
      <c r="GO18">
        <v>37695</v>
      </c>
      <c r="GP18">
        <v>41604.9</v>
      </c>
      <c r="GQ18">
        <v>45430.5</v>
      </c>
      <c r="GR18">
        <v>1.7322500000000001</v>
      </c>
      <c r="GS18">
        <v>1.9514199999999999</v>
      </c>
      <c r="GT18">
        <v>0.115715</v>
      </c>
      <c r="GU18">
        <v>0</v>
      </c>
      <c r="GV18">
        <v>23.0929</v>
      </c>
      <c r="GW18">
        <v>999.9</v>
      </c>
      <c r="GX18">
        <v>51.813000000000002</v>
      </c>
      <c r="GY18">
        <v>32.529000000000003</v>
      </c>
      <c r="GZ18">
        <v>26.7531</v>
      </c>
      <c r="HA18">
        <v>60.204000000000001</v>
      </c>
      <c r="HB18">
        <v>18.6098</v>
      </c>
      <c r="HC18">
        <v>1</v>
      </c>
      <c r="HD18">
        <v>0.32919500000000002</v>
      </c>
      <c r="HE18">
        <v>3.8777900000000001</v>
      </c>
      <c r="HF18">
        <v>20.143999999999998</v>
      </c>
      <c r="HG18">
        <v>5.2232799999999999</v>
      </c>
      <c r="HH18">
        <v>11.98</v>
      </c>
      <c r="HI18">
        <v>4.9530000000000003</v>
      </c>
      <c r="HJ18">
        <v>3.2850000000000001</v>
      </c>
      <c r="HK18">
        <v>9999</v>
      </c>
      <c r="HL18">
        <v>9999</v>
      </c>
      <c r="HM18">
        <v>999.9</v>
      </c>
      <c r="HN18">
        <v>9999</v>
      </c>
      <c r="HO18">
        <v>1.85945</v>
      </c>
      <c r="HP18">
        <v>1.86019</v>
      </c>
      <c r="HQ18">
        <v>1.8557600000000001</v>
      </c>
      <c r="HR18">
        <v>1.8585199999999999</v>
      </c>
      <c r="HS18">
        <v>1.86259</v>
      </c>
      <c r="HT18">
        <v>1.85806</v>
      </c>
      <c r="HU18">
        <v>1.85501</v>
      </c>
      <c r="HV18">
        <v>1.86249</v>
      </c>
      <c r="HW18">
        <v>5</v>
      </c>
      <c r="HX18">
        <v>0</v>
      </c>
      <c r="HY18">
        <v>0</v>
      </c>
      <c r="HZ18">
        <v>0</v>
      </c>
      <c r="IA18" t="s">
        <v>421</v>
      </c>
      <c r="IB18" t="s">
        <v>422</v>
      </c>
      <c r="IC18" t="s">
        <v>423</v>
      </c>
      <c r="ID18" t="s">
        <v>423</v>
      </c>
      <c r="IE18" t="s">
        <v>423</v>
      </c>
      <c r="IF18" t="s">
        <v>423</v>
      </c>
      <c r="IG18">
        <v>0</v>
      </c>
      <c r="IH18">
        <v>100</v>
      </c>
      <c r="II18">
        <v>100</v>
      </c>
      <c r="IJ18">
        <v>1.456</v>
      </c>
      <c r="IK18">
        <v>-1.0800000000000001E-2</v>
      </c>
      <c r="IL18">
        <v>1.45563636363642</v>
      </c>
      <c r="IM18">
        <v>0</v>
      </c>
      <c r="IN18">
        <v>0</v>
      </c>
      <c r="IO18">
        <v>0</v>
      </c>
      <c r="IP18">
        <v>-1.07599999999977E-2</v>
      </c>
      <c r="IQ18">
        <v>0</v>
      </c>
      <c r="IR18">
        <v>0</v>
      </c>
      <c r="IS18">
        <v>0</v>
      </c>
      <c r="IT18">
        <v>-1</v>
      </c>
      <c r="IU18">
        <v>-1</v>
      </c>
      <c r="IV18">
        <v>-1</v>
      </c>
      <c r="IW18">
        <v>-1</v>
      </c>
      <c r="IX18">
        <v>0.9</v>
      </c>
      <c r="IY18">
        <v>0.8</v>
      </c>
      <c r="IZ18">
        <v>0.82885699999999995</v>
      </c>
      <c r="JA18">
        <v>2.7514599999999998</v>
      </c>
      <c r="JB18">
        <v>1.69678</v>
      </c>
      <c r="JC18">
        <v>2.3742700000000001</v>
      </c>
      <c r="JD18">
        <v>1.4978</v>
      </c>
      <c r="JE18">
        <v>2.3754900000000001</v>
      </c>
      <c r="JF18">
        <v>35.987900000000003</v>
      </c>
      <c r="JG18">
        <v>14.5436</v>
      </c>
      <c r="JH18">
        <v>18</v>
      </c>
      <c r="JI18">
        <v>381.95299999999997</v>
      </c>
      <c r="JJ18">
        <v>524.88099999999997</v>
      </c>
      <c r="JK18">
        <v>17.795999999999999</v>
      </c>
      <c r="JL18">
        <v>31.0473</v>
      </c>
      <c r="JM18">
        <v>29.9998</v>
      </c>
      <c r="JN18">
        <v>31.300999999999998</v>
      </c>
      <c r="JO18">
        <v>31.332100000000001</v>
      </c>
      <c r="JP18">
        <v>16.622</v>
      </c>
      <c r="JQ18">
        <v>100</v>
      </c>
      <c r="JR18">
        <v>100</v>
      </c>
      <c r="JS18">
        <v>17.793900000000001</v>
      </c>
      <c r="JT18">
        <v>300</v>
      </c>
      <c r="JU18">
        <v>0</v>
      </c>
      <c r="JV18">
        <v>102.748</v>
      </c>
      <c r="JW18">
        <v>100.845</v>
      </c>
    </row>
    <row r="19" spans="1:283" x14ac:dyDescent="0.25">
      <c r="A19">
        <v>3</v>
      </c>
      <c r="B19">
        <v>1742547861.0999999</v>
      </c>
      <c r="C19">
        <v>251</v>
      </c>
      <c r="D19" t="s">
        <v>428</v>
      </c>
      <c r="E19" t="s">
        <v>429</v>
      </c>
      <c r="F19">
        <v>2</v>
      </c>
      <c r="H19">
        <v>1742547859.0999999</v>
      </c>
      <c r="I19">
        <f t="shared" si="0"/>
        <v>3.3823699688719363E-3</v>
      </c>
      <c r="J19">
        <f t="shared" si="1"/>
        <v>3.3823699688719362</v>
      </c>
      <c r="K19">
        <f t="shared" si="2"/>
        <v>11.550132138142551</v>
      </c>
      <c r="L19">
        <f t="shared" si="3"/>
        <v>195.34166666666701</v>
      </c>
      <c r="M19">
        <f t="shared" si="4"/>
        <v>122.19544242110152</v>
      </c>
      <c r="N19">
        <f t="shared" si="5"/>
        <v>11.655493713172172</v>
      </c>
      <c r="O19">
        <f t="shared" si="6"/>
        <v>18.63247534149226</v>
      </c>
      <c r="P19">
        <f t="shared" si="7"/>
        <v>0.27591118411381427</v>
      </c>
      <c r="Q19">
        <f t="shared" si="8"/>
        <v>3.002885975277803</v>
      </c>
      <c r="R19">
        <f t="shared" si="9"/>
        <v>0.26256118582897536</v>
      </c>
      <c r="S19">
        <f t="shared" si="10"/>
        <v>0.16524634393231552</v>
      </c>
      <c r="T19">
        <f t="shared" si="11"/>
        <v>289.56642323803715</v>
      </c>
      <c r="U19">
        <f t="shared" si="12"/>
        <v>25.356377161814322</v>
      </c>
      <c r="V19">
        <f t="shared" si="13"/>
        <v>25.008033333333302</v>
      </c>
      <c r="W19">
        <f t="shared" si="14"/>
        <v>3.181200783587137</v>
      </c>
      <c r="X19">
        <f t="shared" si="15"/>
        <v>64.167137611686599</v>
      </c>
      <c r="Y19">
        <f t="shared" si="16"/>
        <v>1.9857238077944808</v>
      </c>
      <c r="Z19">
        <f t="shared" si="17"/>
        <v>3.0946117930509431</v>
      </c>
      <c r="AA19">
        <f t="shared" si="18"/>
        <v>1.1954769757926562</v>
      </c>
      <c r="AB19">
        <f t="shared" si="19"/>
        <v>-149.16251562725239</v>
      </c>
      <c r="AC19">
        <f t="shared" si="20"/>
        <v>-74.810103137890138</v>
      </c>
      <c r="AD19">
        <f t="shared" si="21"/>
        <v>-5.2578265965209248</v>
      </c>
      <c r="AE19">
        <f t="shared" si="22"/>
        <v>60.335977876373676</v>
      </c>
      <c r="AF19">
        <v>0</v>
      </c>
      <c r="AG19">
        <v>0</v>
      </c>
      <c r="AH19">
        <f t="shared" si="23"/>
        <v>1</v>
      </c>
      <c r="AI19">
        <f t="shared" si="24"/>
        <v>0</v>
      </c>
      <c r="AJ19">
        <f t="shared" si="25"/>
        <v>50791.88826790842</v>
      </c>
      <c r="AK19" t="s">
        <v>415</v>
      </c>
      <c r="AL19">
        <v>10180.200000000001</v>
      </c>
      <c r="AM19">
        <v>191.60769230769199</v>
      </c>
      <c r="AN19">
        <v>979.671341309485</v>
      </c>
      <c r="AO19">
        <f t="shared" si="26"/>
        <v>0.80441635451785476</v>
      </c>
      <c r="AP19">
        <v>-2.5320139233462702</v>
      </c>
      <c r="AQ19" t="s">
        <v>430</v>
      </c>
      <c r="AR19">
        <v>10125.700000000001</v>
      </c>
      <c r="AS19">
        <v>248.46459999999999</v>
      </c>
      <c r="AT19">
        <v>327.99551254064602</v>
      </c>
      <c r="AU19">
        <f t="shared" si="27"/>
        <v>0.24247561170761556</v>
      </c>
      <c r="AV19">
        <v>0.5</v>
      </c>
      <c r="AW19">
        <f t="shared" si="28"/>
        <v>1513.187199605198</v>
      </c>
      <c r="AX19">
        <f t="shared" si="29"/>
        <v>11.550132138142551</v>
      </c>
      <c r="AY19">
        <f t="shared" si="30"/>
        <v>183.45549592620208</v>
      </c>
      <c r="AZ19">
        <f t="shared" si="31"/>
        <v>9.3062815130626007E-3</v>
      </c>
      <c r="BA19">
        <f t="shared" si="32"/>
        <v>1.986843733687002</v>
      </c>
      <c r="BB19">
        <f t="shared" si="33"/>
        <v>137.98682187098458</v>
      </c>
      <c r="BC19" t="s">
        <v>417</v>
      </c>
      <c r="BD19">
        <v>0</v>
      </c>
      <c r="BE19">
        <f t="shared" si="34"/>
        <v>137.98682187098458</v>
      </c>
      <c r="BF19">
        <f t="shared" si="35"/>
        <v>0.57930271422879631</v>
      </c>
      <c r="BG19">
        <f t="shared" si="36"/>
        <v>0.41856460491543546</v>
      </c>
      <c r="BH19">
        <f t="shared" si="37"/>
        <v>0.77425188858597649</v>
      </c>
      <c r="BI19">
        <f t="shared" si="38"/>
        <v>0.58312327599931657</v>
      </c>
      <c r="BJ19">
        <f t="shared" si="39"/>
        <v>0.82693298897149903</v>
      </c>
      <c r="BK19">
        <f t="shared" si="40"/>
        <v>0.23245323309624483</v>
      </c>
      <c r="BL19">
        <f t="shared" si="41"/>
        <v>0.76754676690375523</v>
      </c>
      <c r="BM19">
        <v>1755</v>
      </c>
      <c r="BN19">
        <v>290</v>
      </c>
      <c r="BO19">
        <v>305.62</v>
      </c>
      <c r="BP19">
        <v>175</v>
      </c>
      <c r="BQ19">
        <v>10125.700000000001</v>
      </c>
      <c r="BR19">
        <v>304.69</v>
      </c>
      <c r="BS19">
        <v>0.93</v>
      </c>
      <c r="BT19">
        <v>300</v>
      </c>
      <c r="BU19">
        <v>24.2</v>
      </c>
      <c r="BV19">
        <v>327.99551254064602</v>
      </c>
      <c r="BW19">
        <v>1.2811253024546301</v>
      </c>
      <c r="BX19">
        <v>-23.597866394014499</v>
      </c>
      <c r="BY19">
        <v>1.15402727249251</v>
      </c>
      <c r="BZ19">
        <v>0.93723829603557895</v>
      </c>
      <c r="CA19">
        <v>-6.8758698553948996E-3</v>
      </c>
      <c r="CB19">
        <v>290</v>
      </c>
      <c r="CC19">
        <v>304.63</v>
      </c>
      <c r="CD19">
        <v>835</v>
      </c>
      <c r="CE19">
        <v>10080.1</v>
      </c>
      <c r="CF19">
        <v>304.58999999999997</v>
      </c>
      <c r="CG19">
        <v>0.04</v>
      </c>
      <c r="CU19">
        <f t="shared" si="42"/>
        <v>1800.0033333333299</v>
      </c>
      <c r="CV19">
        <f t="shared" si="43"/>
        <v>1513.187199605198</v>
      </c>
      <c r="CW19">
        <f t="shared" si="44"/>
        <v>0.84065799856215129</v>
      </c>
      <c r="CX19">
        <f t="shared" si="45"/>
        <v>0.16086993722495199</v>
      </c>
      <c r="CY19">
        <v>1.9</v>
      </c>
      <c r="CZ19">
        <v>0.5</v>
      </c>
      <c r="DA19" t="s">
        <v>418</v>
      </c>
      <c r="DB19">
        <v>2</v>
      </c>
      <c r="DC19">
        <v>1742547859.0999999</v>
      </c>
      <c r="DD19">
        <v>195.34166666666701</v>
      </c>
      <c r="DE19">
        <v>199.982</v>
      </c>
      <c r="DF19">
        <v>20.818200000000001</v>
      </c>
      <c r="DG19">
        <v>19.5596</v>
      </c>
      <c r="DH19">
        <v>194.34233333333299</v>
      </c>
      <c r="DI19">
        <v>20.830766666666701</v>
      </c>
      <c r="DJ19">
        <v>499.97733333333298</v>
      </c>
      <c r="DK19">
        <v>95.284066666666703</v>
      </c>
      <c r="DL19">
        <v>9.9963066666666697E-2</v>
      </c>
      <c r="DM19">
        <v>24.545933333333299</v>
      </c>
      <c r="DN19">
        <v>25.008033333333302</v>
      </c>
      <c r="DO19">
        <v>999.9</v>
      </c>
      <c r="DP19">
        <v>0</v>
      </c>
      <c r="DQ19">
        <v>0</v>
      </c>
      <c r="DR19">
        <v>9998.5266666666703</v>
      </c>
      <c r="DS19">
        <v>0</v>
      </c>
      <c r="DT19">
        <v>533.52166666666699</v>
      </c>
      <c r="DU19">
        <v>-4.6406266666666696</v>
      </c>
      <c r="DV19">
        <v>199.494666666667</v>
      </c>
      <c r="DW19">
        <v>203.97166666666701</v>
      </c>
      <c r="DX19">
        <v>1.2586200000000001</v>
      </c>
      <c r="DY19">
        <v>199.982</v>
      </c>
      <c r="DZ19">
        <v>19.5596</v>
      </c>
      <c r="EA19">
        <v>1.9836466666666701</v>
      </c>
      <c r="EB19">
        <v>1.86372</v>
      </c>
      <c r="EC19">
        <v>17.3143666666667</v>
      </c>
      <c r="ED19">
        <v>16.331700000000001</v>
      </c>
      <c r="EE19">
        <v>1800.0033333333299</v>
      </c>
      <c r="EF19">
        <v>0.97800600000000004</v>
      </c>
      <c r="EG19">
        <v>2.19939E-2</v>
      </c>
      <c r="EH19">
        <v>0</v>
      </c>
      <c r="EI19">
        <v>248.321333333333</v>
      </c>
      <c r="EJ19">
        <v>5.0006000000000004</v>
      </c>
      <c r="EK19">
        <v>4775.6833333333298</v>
      </c>
      <c r="EL19">
        <v>18194</v>
      </c>
      <c r="EM19">
        <v>49.5</v>
      </c>
      <c r="EN19">
        <v>49.375</v>
      </c>
      <c r="EO19">
        <v>49.895666666666699</v>
      </c>
      <c r="EP19">
        <v>48.770666666666699</v>
      </c>
      <c r="EQ19">
        <v>50.811999999999998</v>
      </c>
      <c r="ER19">
        <v>1755.5233333333299</v>
      </c>
      <c r="ES19">
        <v>39.479999999999997</v>
      </c>
      <c r="ET19">
        <v>0</v>
      </c>
      <c r="EU19">
        <v>121.60000014305101</v>
      </c>
      <c r="EV19">
        <v>0</v>
      </c>
      <c r="EW19">
        <v>248.46459999999999</v>
      </c>
      <c r="EX19">
        <v>-6.3846154121200094E-2</v>
      </c>
      <c r="EY19">
        <v>-6.9199999992727301</v>
      </c>
      <c r="EZ19">
        <v>4776.2380000000003</v>
      </c>
      <c r="FA19">
        <v>15</v>
      </c>
      <c r="FB19">
        <v>1742547814.0999999</v>
      </c>
      <c r="FC19" t="s">
        <v>431</v>
      </c>
      <c r="FD19">
        <v>1742547804.0999999</v>
      </c>
      <c r="FE19">
        <v>1742547814.0999999</v>
      </c>
      <c r="FF19">
        <v>68</v>
      </c>
      <c r="FG19">
        <v>-0.45600000000000002</v>
      </c>
      <c r="FH19">
        <v>-2E-3</v>
      </c>
      <c r="FI19">
        <v>0.999</v>
      </c>
      <c r="FJ19">
        <v>-1.2999999999999999E-2</v>
      </c>
      <c r="FK19">
        <v>200</v>
      </c>
      <c r="FL19">
        <v>20</v>
      </c>
      <c r="FM19">
        <v>0.23</v>
      </c>
      <c r="FN19">
        <v>0.19</v>
      </c>
      <c r="FO19">
        <v>-4.67456761904762</v>
      </c>
      <c r="FP19">
        <v>0.14142155844155599</v>
      </c>
      <c r="FQ19">
        <v>5.4504605738524697E-2</v>
      </c>
      <c r="FR19">
        <v>1</v>
      </c>
      <c r="FS19">
        <v>248.48214705882401</v>
      </c>
      <c r="FT19">
        <v>-0.16496562325042499</v>
      </c>
      <c r="FU19">
        <v>0.196411802142235</v>
      </c>
      <c r="FV19">
        <v>1</v>
      </c>
      <c r="FW19">
        <v>1.2559880952381</v>
      </c>
      <c r="FX19">
        <v>1.7470909090911799E-2</v>
      </c>
      <c r="FY19">
        <v>3.2945143713923302E-3</v>
      </c>
      <c r="FZ19">
        <v>1</v>
      </c>
      <c r="GA19">
        <v>3</v>
      </c>
      <c r="GB19">
        <v>3</v>
      </c>
      <c r="GC19" t="s">
        <v>420</v>
      </c>
      <c r="GD19">
        <v>3.1416599999999999</v>
      </c>
      <c r="GE19">
        <v>2.74675</v>
      </c>
      <c r="GF19">
        <v>4.6729600000000003E-2</v>
      </c>
      <c r="GG19">
        <v>4.9218499999999998E-2</v>
      </c>
      <c r="GH19">
        <v>9.9228800000000006E-2</v>
      </c>
      <c r="GI19">
        <v>9.7394300000000003E-2</v>
      </c>
      <c r="GJ19">
        <v>25229.4</v>
      </c>
      <c r="GK19">
        <v>31572.2</v>
      </c>
      <c r="GL19">
        <v>26974</v>
      </c>
      <c r="GM19">
        <v>31330.6</v>
      </c>
      <c r="GN19">
        <v>34263.4</v>
      </c>
      <c r="GO19">
        <v>37702.300000000003</v>
      </c>
      <c r="GP19">
        <v>41610.199999999997</v>
      </c>
      <c r="GQ19">
        <v>45440.1</v>
      </c>
      <c r="GR19">
        <v>1.73288</v>
      </c>
      <c r="GS19">
        <v>1.9533</v>
      </c>
      <c r="GT19">
        <v>0.118285</v>
      </c>
      <c r="GU19">
        <v>0</v>
      </c>
      <c r="GV19">
        <v>23.059899999999999</v>
      </c>
      <c r="GW19">
        <v>999.9</v>
      </c>
      <c r="GX19">
        <v>51.886000000000003</v>
      </c>
      <c r="GY19">
        <v>32.427999999999997</v>
      </c>
      <c r="GZ19">
        <v>26.641100000000002</v>
      </c>
      <c r="HA19">
        <v>60.173999999999999</v>
      </c>
      <c r="HB19">
        <v>18.625800000000002</v>
      </c>
      <c r="HC19">
        <v>1</v>
      </c>
      <c r="HD19">
        <v>0.32159799999999999</v>
      </c>
      <c r="HE19">
        <v>3.8284899999999999</v>
      </c>
      <c r="HF19">
        <v>20.145499999999998</v>
      </c>
      <c r="HG19">
        <v>5.2228300000000001</v>
      </c>
      <c r="HH19">
        <v>11.98</v>
      </c>
      <c r="HI19">
        <v>4.9530000000000003</v>
      </c>
      <c r="HJ19">
        <v>3.2850000000000001</v>
      </c>
      <c r="HK19">
        <v>9999</v>
      </c>
      <c r="HL19">
        <v>9999</v>
      </c>
      <c r="HM19">
        <v>999.9</v>
      </c>
      <c r="HN19">
        <v>9999</v>
      </c>
      <c r="HO19">
        <v>1.85947</v>
      </c>
      <c r="HP19">
        <v>1.86019</v>
      </c>
      <c r="HQ19">
        <v>1.8557600000000001</v>
      </c>
      <c r="HR19">
        <v>1.8585199999999999</v>
      </c>
      <c r="HS19">
        <v>1.8626199999999999</v>
      </c>
      <c r="HT19">
        <v>1.85806</v>
      </c>
      <c r="HU19">
        <v>1.85501</v>
      </c>
      <c r="HV19">
        <v>1.86249</v>
      </c>
      <c r="HW19">
        <v>5</v>
      </c>
      <c r="HX19">
        <v>0</v>
      </c>
      <c r="HY19">
        <v>0</v>
      </c>
      <c r="HZ19">
        <v>0</v>
      </c>
      <c r="IA19" t="s">
        <v>421</v>
      </c>
      <c r="IB19" t="s">
        <v>422</v>
      </c>
      <c r="IC19" t="s">
        <v>423</v>
      </c>
      <c r="ID19" t="s">
        <v>423</v>
      </c>
      <c r="IE19" t="s">
        <v>423</v>
      </c>
      <c r="IF19" t="s">
        <v>423</v>
      </c>
      <c r="IG19">
        <v>0</v>
      </c>
      <c r="IH19">
        <v>100</v>
      </c>
      <c r="II19">
        <v>100</v>
      </c>
      <c r="IJ19">
        <v>1</v>
      </c>
      <c r="IK19">
        <v>-1.26E-2</v>
      </c>
      <c r="IL19">
        <v>0.99920000000000198</v>
      </c>
      <c r="IM19">
        <v>0</v>
      </c>
      <c r="IN19">
        <v>0</v>
      </c>
      <c r="IO19">
        <v>0</v>
      </c>
      <c r="IP19">
        <v>-1.25300000000017E-2</v>
      </c>
      <c r="IQ19">
        <v>0</v>
      </c>
      <c r="IR19">
        <v>0</v>
      </c>
      <c r="IS19">
        <v>0</v>
      </c>
      <c r="IT19">
        <v>-1</v>
      </c>
      <c r="IU19">
        <v>-1</v>
      </c>
      <c r="IV19">
        <v>-1</v>
      </c>
      <c r="IW19">
        <v>-1</v>
      </c>
      <c r="IX19">
        <v>0.9</v>
      </c>
      <c r="IY19">
        <v>0.8</v>
      </c>
      <c r="IZ19">
        <v>0.60790999999999995</v>
      </c>
      <c r="JA19">
        <v>2.7600099999999999</v>
      </c>
      <c r="JB19">
        <v>1.69678</v>
      </c>
      <c r="JC19">
        <v>2.3742700000000001</v>
      </c>
      <c r="JD19">
        <v>1.4978</v>
      </c>
      <c r="JE19">
        <v>2.3730500000000001</v>
      </c>
      <c r="JF19">
        <v>35.941200000000002</v>
      </c>
      <c r="JG19">
        <v>14.491</v>
      </c>
      <c r="JH19">
        <v>18</v>
      </c>
      <c r="JI19">
        <v>381.73599999999999</v>
      </c>
      <c r="JJ19">
        <v>525.30799999999999</v>
      </c>
      <c r="JK19">
        <v>17.814900000000002</v>
      </c>
      <c r="JL19">
        <v>30.9574</v>
      </c>
      <c r="JM19">
        <v>29.999700000000001</v>
      </c>
      <c r="JN19">
        <v>31.2014</v>
      </c>
      <c r="JO19">
        <v>31.231400000000001</v>
      </c>
      <c r="JP19">
        <v>12.1966</v>
      </c>
      <c r="JQ19">
        <v>100</v>
      </c>
      <c r="JR19">
        <v>100</v>
      </c>
      <c r="JS19">
        <v>17.814900000000002</v>
      </c>
      <c r="JT19">
        <v>200</v>
      </c>
      <c r="JU19">
        <v>0</v>
      </c>
      <c r="JV19">
        <v>102.761</v>
      </c>
      <c r="JW19">
        <v>100.866</v>
      </c>
    </row>
    <row r="20" spans="1:283" x14ac:dyDescent="0.25">
      <c r="A20">
        <v>4</v>
      </c>
      <c r="B20">
        <v>1742547984.0999999</v>
      </c>
      <c r="C20">
        <v>374</v>
      </c>
      <c r="D20" t="s">
        <v>432</v>
      </c>
      <c r="E20" t="s">
        <v>433</v>
      </c>
      <c r="F20">
        <v>2</v>
      </c>
      <c r="H20">
        <v>1742547982.5999999</v>
      </c>
      <c r="I20">
        <f t="shared" si="0"/>
        <v>3.4706988082298146E-3</v>
      </c>
      <c r="J20">
        <f t="shared" si="1"/>
        <v>3.4706988082298147</v>
      </c>
      <c r="K20">
        <f t="shared" si="2"/>
        <v>7.5318839596109788</v>
      </c>
      <c r="L20">
        <f t="shared" si="3"/>
        <v>146.92250000000001</v>
      </c>
      <c r="M20">
        <f t="shared" si="4"/>
        <v>99.963502515881004</v>
      </c>
      <c r="N20">
        <f t="shared" si="5"/>
        <v>9.5353949001190283</v>
      </c>
      <c r="O20">
        <f t="shared" si="6"/>
        <v>14.01475560532875</v>
      </c>
      <c r="P20">
        <f t="shared" si="7"/>
        <v>0.28336988521524908</v>
      </c>
      <c r="Q20">
        <f t="shared" si="8"/>
        <v>3.000208397847667</v>
      </c>
      <c r="R20">
        <f t="shared" si="9"/>
        <v>0.26929623086766064</v>
      </c>
      <c r="S20">
        <f t="shared" si="10"/>
        <v>0.16951634113682496</v>
      </c>
      <c r="T20">
        <f t="shared" si="11"/>
        <v>289.5690832380447</v>
      </c>
      <c r="U20">
        <f t="shared" si="12"/>
        <v>25.337830017361085</v>
      </c>
      <c r="V20">
        <f t="shared" si="13"/>
        <v>25.014299999999999</v>
      </c>
      <c r="W20">
        <f t="shared" si="14"/>
        <v>3.1823894436847278</v>
      </c>
      <c r="X20">
        <f t="shared" si="15"/>
        <v>64.173962707169323</v>
      </c>
      <c r="Y20">
        <f t="shared" si="16"/>
        <v>1.986323147304075</v>
      </c>
      <c r="Z20">
        <f t="shared" si="17"/>
        <v>3.0952166011125399</v>
      </c>
      <c r="AA20">
        <f t="shared" si="18"/>
        <v>1.1960662963806528</v>
      </c>
      <c r="AB20">
        <f t="shared" si="19"/>
        <v>-153.05781744293483</v>
      </c>
      <c r="AC20">
        <f t="shared" si="20"/>
        <v>-75.228639065829412</v>
      </c>
      <c r="AD20">
        <f t="shared" si="21"/>
        <v>-5.2922151180303718</v>
      </c>
      <c r="AE20">
        <f t="shared" si="22"/>
        <v>55.990411611250096</v>
      </c>
      <c r="AF20">
        <v>0</v>
      </c>
      <c r="AG20">
        <v>0</v>
      </c>
      <c r="AH20">
        <f t="shared" si="23"/>
        <v>1</v>
      </c>
      <c r="AI20">
        <f t="shared" si="24"/>
        <v>0</v>
      </c>
      <c r="AJ20">
        <f t="shared" si="25"/>
        <v>50715.53432426112</v>
      </c>
      <c r="AK20" t="s">
        <v>415</v>
      </c>
      <c r="AL20">
        <v>10180.200000000001</v>
      </c>
      <c r="AM20">
        <v>191.60769230769199</v>
      </c>
      <c r="AN20">
        <v>979.671341309485</v>
      </c>
      <c r="AO20">
        <f t="shared" si="26"/>
        <v>0.80441635451785476</v>
      </c>
      <c r="AP20">
        <v>-2.5320139233462702</v>
      </c>
      <c r="AQ20" t="s">
        <v>434</v>
      </c>
      <c r="AR20">
        <v>10138.700000000001</v>
      </c>
      <c r="AS20">
        <v>248.42876923076901</v>
      </c>
      <c r="AT20">
        <v>318.83662331279902</v>
      </c>
      <c r="AU20">
        <f t="shared" si="27"/>
        <v>0.22082737343807401</v>
      </c>
      <c r="AV20">
        <v>0.5</v>
      </c>
      <c r="AW20">
        <f t="shared" si="28"/>
        <v>1513.2011996052045</v>
      </c>
      <c r="AX20">
        <f t="shared" si="29"/>
        <v>7.5318839596109788</v>
      </c>
      <c r="AY20">
        <f t="shared" si="30"/>
        <v>167.07812319608004</v>
      </c>
      <c r="AZ20">
        <f t="shared" si="31"/>
        <v>6.6507334818284103E-3</v>
      </c>
      <c r="BA20">
        <f t="shared" si="32"/>
        <v>2.0726436979868685</v>
      </c>
      <c r="BB20">
        <f t="shared" si="33"/>
        <v>136.33917185380091</v>
      </c>
      <c r="BC20" t="s">
        <v>417</v>
      </c>
      <c r="BD20">
        <v>0</v>
      </c>
      <c r="BE20">
        <f t="shared" si="34"/>
        <v>136.33917185380091</v>
      </c>
      <c r="BF20">
        <f t="shared" si="35"/>
        <v>0.57238547304509779</v>
      </c>
      <c r="BG20">
        <f t="shared" si="36"/>
        <v>0.38580184829511777</v>
      </c>
      <c r="BH20">
        <f t="shared" si="37"/>
        <v>0.7835995612775114</v>
      </c>
      <c r="BI20">
        <f t="shared" si="38"/>
        <v>0.55339499849451546</v>
      </c>
      <c r="BJ20">
        <f t="shared" si="39"/>
        <v>0.83855500610101408</v>
      </c>
      <c r="BK20">
        <f t="shared" si="40"/>
        <v>0.21173032680189022</v>
      </c>
      <c r="BL20">
        <f t="shared" si="41"/>
        <v>0.78826967319810981</v>
      </c>
      <c r="BM20">
        <v>1756</v>
      </c>
      <c r="BN20">
        <v>290</v>
      </c>
      <c r="BO20">
        <v>298.07</v>
      </c>
      <c r="BP20">
        <v>115</v>
      </c>
      <c r="BQ20">
        <v>10138.700000000001</v>
      </c>
      <c r="BR20">
        <v>298.3</v>
      </c>
      <c r="BS20">
        <v>-0.23</v>
      </c>
      <c r="BT20">
        <v>300</v>
      </c>
      <c r="BU20">
        <v>24.2</v>
      </c>
      <c r="BV20">
        <v>318.83662331279902</v>
      </c>
      <c r="BW20">
        <v>1.2706099099172199</v>
      </c>
      <c r="BX20">
        <v>-20.817450346285199</v>
      </c>
      <c r="BY20">
        <v>1.14456314720696</v>
      </c>
      <c r="BZ20">
        <v>0.92196376202841701</v>
      </c>
      <c r="CA20">
        <v>-6.8759528364849901E-3</v>
      </c>
      <c r="CB20">
        <v>290</v>
      </c>
      <c r="CC20">
        <v>298.89</v>
      </c>
      <c r="CD20">
        <v>785</v>
      </c>
      <c r="CE20">
        <v>10082.700000000001</v>
      </c>
      <c r="CF20">
        <v>298.19</v>
      </c>
      <c r="CG20">
        <v>0.7</v>
      </c>
      <c r="CU20">
        <f t="shared" si="42"/>
        <v>1800.02</v>
      </c>
      <c r="CV20">
        <f t="shared" si="43"/>
        <v>1513.2011996052045</v>
      </c>
      <c r="CW20">
        <f t="shared" si="44"/>
        <v>0.84065799246964168</v>
      </c>
      <c r="CX20">
        <f t="shared" si="45"/>
        <v>0.16086992546640855</v>
      </c>
      <c r="CY20">
        <v>1.9</v>
      </c>
      <c r="CZ20">
        <v>0.5</v>
      </c>
      <c r="DA20" t="s">
        <v>418</v>
      </c>
      <c r="DB20">
        <v>2</v>
      </c>
      <c r="DC20">
        <v>1742547982.5999999</v>
      </c>
      <c r="DD20">
        <v>146.92250000000001</v>
      </c>
      <c r="DE20">
        <v>149.9785</v>
      </c>
      <c r="DF20">
        <v>20.823450000000001</v>
      </c>
      <c r="DG20">
        <v>19.532</v>
      </c>
      <c r="DH20">
        <v>145.96950000000001</v>
      </c>
      <c r="DI20">
        <v>20.83765</v>
      </c>
      <c r="DJ20">
        <v>499.98149999999998</v>
      </c>
      <c r="DK20">
        <v>95.288499999999999</v>
      </c>
      <c r="DL20">
        <v>0.10026350000000001</v>
      </c>
      <c r="DM20">
        <v>24.549199999999999</v>
      </c>
      <c r="DN20">
        <v>25.014299999999999</v>
      </c>
      <c r="DO20">
        <v>999.9</v>
      </c>
      <c r="DP20">
        <v>0</v>
      </c>
      <c r="DQ20">
        <v>0</v>
      </c>
      <c r="DR20">
        <v>9982.49</v>
      </c>
      <c r="DS20">
        <v>0</v>
      </c>
      <c r="DT20">
        <v>517.76149999999996</v>
      </c>
      <c r="DU20">
        <v>-3.055895</v>
      </c>
      <c r="DV20">
        <v>150.047</v>
      </c>
      <c r="DW20">
        <v>152.96600000000001</v>
      </c>
      <c r="DX20">
        <v>1.291455</v>
      </c>
      <c r="DY20">
        <v>149.9785</v>
      </c>
      <c r="DZ20">
        <v>19.532</v>
      </c>
      <c r="EA20">
        <v>1.984235</v>
      </c>
      <c r="EB20">
        <v>1.861175</v>
      </c>
      <c r="EC20">
        <v>17.319099999999999</v>
      </c>
      <c r="ED20">
        <v>16.31025</v>
      </c>
      <c r="EE20">
        <v>1800.02</v>
      </c>
      <c r="EF20">
        <v>0.97800600000000004</v>
      </c>
      <c r="EG20">
        <v>2.19939E-2</v>
      </c>
      <c r="EH20">
        <v>0</v>
      </c>
      <c r="EI20">
        <v>248.64099999999999</v>
      </c>
      <c r="EJ20">
        <v>5.0006000000000004</v>
      </c>
      <c r="EK20">
        <v>4777.9849999999997</v>
      </c>
      <c r="EL20">
        <v>18194.2</v>
      </c>
      <c r="EM20">
        <v>49.5</v>
      </c>
      <c r="EN20">
        <v>49.311999999999998</v>
      </c>
      <c r="EO20">
        <v>49.875</v>
      </c>
      <c r="EP20">
        <v>48.75</v>
      </c>
      <c r="EQ20">
        <v>50.811999999999998</v>
      </c>
      <c r="ER20">
        <v>1755.54</v>
      </c>
      <c r="ES20">
        <v>39.479999999999997</v>
      </c>
      <c r="ET20">
        <v>0</v>
      </c>
      <c r="EU20">
        <v>122.10000014305101</v>
      </c>
      <c r="EV20">
        <v>0</v>
      </c>
      <c r="EW20">
        <v>248.42876923076901</v>
      </c>
      <c r="EX20">
        <v>-0.23945299162460501</v>
      </c>
      <c r="EY20">
        <v>-1.04341881378285</v>
      </c>
      <c r="EZ20">
        <v>4778.1753846153897</v>
      </c>
      <c r="FA20">
        <v>15</v>
      </c>
      <c r="FB20">
        <v>1742547928.0999999</v>
      </c>
      <c r="FC20" t="s">
        <v>435</v>
      </c>
      <c r="FD20">
        <v>1742547925.0999999</v>
      </c>
      <c r="FE20">
        <v>1742547928.0999999</v>
      </c>
      <c r="FF20">
        <v>69</v>
      </c>
      <c r="FG20">
        <v>-4.7E-2</v>
      </c>
      <c r="FH20">
        <v>-2E-3</v>
      </c>
      <c r="FI20">
        <v>0.95299999999999996</v>
      </c>
      <c r="FJ20">
        <v>-1.4E-2</v>
      </c>
      <c r="FK20">
        <v>150</v>
      </c>
      <c r="FL20">
        <v>20</v>
      </c>
      <c r="FM20">
        <v>0.32</v>
      </c>
      <c r="FN20">
        <v>0.18</v>
      </c>
      <c r="FO20">
        <v>-3.0452485714285702</v>
      </c>
      <c r="FP20">
        <v>-9.6960779220778698E-2</v>
      </c>
      <c r="FQ20">
        <v>2.04691464185012E-2</v>
      </c>
      <c r="FR20">
        <v>1</v>
      </c>
      <c r="FS20">
        <v>248.42529411764701</v>
      </c>
      <c r="FT20">
        <v>-0.46603513981984801</v>
      </c>
      <c r="FU20">
        <v>0.21188628046136099</v>
      </c>
      <c r="FV20">
        <v>1</v>
      </c>
      <c r="FW20">
        <v>1.2884780952381001</v>
      </c>
      <c r="FX20">
        <v>1.7376623376601401E-4</v>
      </c>
      <c r="FY20">
        <v>3.6575318493520998E-3</v>
      </c>
      <c r="FZ20">
        <v>1</v>
      </c>
      <c r="GA20">
        <v>3</v>
      </c>
      <c r="GB20">
        <v>3</v>
      </c>
      <c r="GC20" t="s">
        <v>420</v>
      </c>
      <c r="GD20">
        <v>3.1418400000000002</v>
      </c>
      <c r="GE20">
        <v>2.7470599999999998</v>
      </c>
      <c r="GF20">
        <v>3.6115099999999997E-2</v>
      </c>
      <c r="GG20">
        <v>3.8043399999999998E-2</v>
      </c>
      <c r="GH20">
        <v>9.9273299999999995E-2</v>
      </c>
      <c r="GI20">
        <v>9.7338900000000006E-2</v>
      </c>
      <c r="GJ20">
        <v>25513.9</v>
      </c>
      <c r="GK20">
        <v>31949</v>
      </c>
      <c r="GL20">
        <v>26977.599999999999</v>
      </c>
      <c r="GM20">
        <v>31336.3</v>
      </c>
      <c r="GN20">
        <v>34266</v>
      </c>
      <c r="GO20">
        <v>37710.800000000003</v>
      </c>
      <c r="GP20">
        <v>41615.9</v>
      </c>
      <c r="GQ20">
        <v>45448.1</v>
      </c>
      <c r="GR20">
        <v>1.7342299999999999</v>
      </c>
      <c r="GS20">
        <v>1.95485</v>
      </c>
      <c r="GT20">
        <v>0.12041300000000001</v>
      </c>
      <c r="GU20">
        <v>0</v>
      </c>
      <c r="GV20">
        <v>23.0366</v>
      </c>
      <c r="GW20">
        <v>999.9</v>
      </c>
      <c r="GX20">
        <v>51.984000000000002</v>
      </c>
      <c r="GY20">
        <v>32.326999999999998</v>
      </c>
      <c r="GZ20">
        <v>26.537299999999998</v>
      </c>
      <c r="HA20">
        <v>60.323999999999998</v>
      </c>
      <c r="HB20">
        <v>18.5657</v>
      </c>
      <c r="HC20">
        <v>1</v>
      </c>
      <c r="HD20">
        <v>0.31370399999999998</v>
      </c>
      <c r="HE20">
        <v>3.7849499999999998</v>
      </c>
      <c r="HF20">
        <v>20.1464</v>
      </c>
      <c r="HG20">
        <v>5.2229799999999997</v>
      </c>
      <c r="HH20">
        <v>11.98</v>
      </c>
      <c r="HI20">
        <v>4.9531499999999999</v>
      </c>
      <c r="HJ20">
        <v>3.28505</v>
      </c>
      <c r="HK20">
        <v>9999</v>
      </c>
      <c r="HL20">
        <v>9999</v>
      </c>
      <c r="HM20">
        <v>999.9</v>
      </c>
      <c r="HN20">
        <v>9999</v>
      </c>
      <c r="HO20">
        <v>1.8594599999999999</v>
      </c>
      <c r="HP20">
        <v>1.8602000000000001</v>
      </c>
      <c r="HQ20">
        <v>1.8557699999999999</v>
      </c>
      <c r="HR20">
        <v>1.8585199999999999</v>
      </c>
      <c r="HS20">
        <v>1.8626400000000001</v>
      </c>
      <c r="HT20">
        <v>1.85806</v>
      </c>
      <c r="HU20">
        <v>1.85501</v>
      </c>
      <c r="HV20">
        <v>1.86249</v>
      </c>
      <c r="HW20">
        <v>5</v>
      </c>
      <c r="HX20">
        <v>0</v>
      </c>
      <c r="HY20">
        <v>0</v>
      </c>
      <c r="HZ20">
        <v>0</v>
      </c>
      <c r="IA20" t="s">
        <v>421</v>
      </c>
      <c r="IB20" t="s">
        <v>422</v>
      </c>
      <c r="IC20" t="s">
        <v>423</v>
      </c>
      <c r="ID20" t="s">
        <v>423</v>
      </c>
      <c r="IE20" t="s">
        <v>423</v>
      </c>
      <c r="IF20" t="s">
        <v>423</v>
      </c>
      <c r="IG20">
        <v>0</v>
      </c>
      <c r="IH20">
        <v>100</v>
      </c>
      <c r="II20">
        <v>100</v>
      </c>
      <c r="IJ20">
        <v>0.95299999999999996</v>
      </c>
      <c r="IK20">
        <v>-1.4200000000000001E-2</v>
      </c>
      <c r="IL20">
        <v>0.95260000000001799</v>
      </c>
      <c r="IM20">
        <v>0</v>
      </c>
      <c r="IN20">
        <v>0</v>
      </c>
      <c r="IO20">
        <v>0</v>
      </c>
      <c r="IP20">
        <v>-1.4227272727275401E-2</v>
      </c>
      <c r="IQ20">
        <v>0</v>
      </c>
      <c r="IR20">
        <v>0</v>
      </c>
      <c r="IS20">
        <v>0</v>
      </c>
      <c r="IT20">
        <v>-1</v>
      </c>
      <c r="IU20">
        <v>-1</v>
      </c>
      <c r="IV20">
        <v>-1</v>
      </c>
      <c r="IW20">
        <v>-1</v>
      </c>
      <c r="IX20">
        <v>1</v>
      </c>
      <c r="IY20">
        <v>0.9</v>
      </c>
      <c r="IZ20">
        <v>0.49438500000000002</v>
      </c>
      <c r="JA20">
        <v>2.7673299999999998</v>
      </c>
      <c r="JB20">
        <v>1.69678</v>
      </c>
      <c r="JC20">
        <v>2.3742700000000001</v>
      </c>
      <c r="JD20">
        <v>1.4978</v>
      </c>
      <c r="JE20">
        <v>2.4169900000000002</v>
      </c>
      <c r="JF20">
        <v>35.871099999999998</v>
      </c>
      <c r="JG20">
        <v>14.4297</v>
      </c>
      <c r="JH20">
        <v>18</v>
      </c>
      <c r="JI20">
        <v>381.89499999999998</v>
      </c>
      <c r="JJ20">
        <v>525.54</v>
      </c>
      <c r="JK20">
        <v>17.820599999999999</v>
      </c>
      <c r="JL20">
        <v>30.8645</v>
      </c>
      <c r="JM20">
        <v>29.999700000000001</v>
      </c>
      <c r="JN20">
        <v>31.104399999999998</v>
      </c>
      <c r="JO20">
        <v>31.133900000000001</v>
      </c>
      <c r="JP20">
        <v>9.9237500000000001</v>
      </c>
      <c r="JQ20">
        <v>100</v>
      </c>
      <c r="JR20">
        <v>100</v>
      </c>
      <c r="JS20">
        <v>17.8218</v>
      </c>
      <c r="JT20">
        <v>150</v>
      </c>
      <c r="JU20">
        <v>0</v>
      </c>
      <c r="JV20">
        <v>102.774</v>
      </c>
      <c r="JW20">
        <v>100.884</v>
      </c>
    </row>
    <row r="21" spans="1:283" x14ac:dyDescent="0.25">
      <c r="A21">
        <v>5</v>
      </c>
      <c r="B21">
        <v>1742548110.0999999</v>
      </c>
      <c r="C21">
        <v>500</v>
      </c>
      <c r="D21" t="s">
        <v>436</v>
      </c>
      <c r="E21" t="s">
        <v>437</v>
      </c>
      <c r="F21">
        <v>2</v>
      </c>
      <c r="H21">
        <v>1742548108.5999999</v>
      </c>
      <c r="I21">
        <f t="shared" si="0"/>
        <v>3.6345962128771837E-3</v>
      </c>
      <c r="J21">
        <f t="shared" si="1"/>
        <v>3.6345962128771836</v>
      </c>
      <c r="K21">
        <f t="shared" si="2"/>
        <v>3.1967186408555923</v>
      </c>
      <c r="L21">
        <f t="shared" si="3"/>
        <v>98.611400000000003</v>
      </c>
      <c r="M21">
        <f t="shared" si="4"/>
        <v>78.904286354881364</v>
      </c>
      <c r="N21">
        <f t="shared" si="5"/>
        <v>7.5263356081003394</v>
      </c>
      <c r="O21">
        <f t="shared" si="6"/>
        <v>9.4061111946006601</v>
      </c>
      <c r="P21">
        <f t="shared" si="7"/>
        <v>0.29919909141908413</v>
      </c>
      <c r="Q21">
        <f t="shared" si="8"/>
        <v>3.0082209776730906</v>
      </c>
      <c r="R21">
        <f t="shared" si="9"/>
        <v>0.28359514651217038</v>
      </c>
      <c r="S21">
        <f t="shared" si="10"/>
        <v>0.17858107609803056</v>
      </c>
      <c r="T21">
        <f t="shared" si="11"/>
        <v>289.57945723807222</v>
      </c>
      <c r="U21">
        <f t="shared" si="12"/>
        <v>25.274384699227458</v>
      </c>
      <c r="V21">
        <f t="shared" si="13"/>
        <v>24.991800000000001</v>
      </c>
      <c r="W21">
        <f t="shared" si="14"/>
        <v>3.1781234521853277</v>
      </c>
      <c r="X21">
        <f t="shared" si="15"/>
        <v>64.329141002144368</v>
      </c>
      <c r="Y21">
        <f t="shared" si="16"/>
        <v>1.9887571443920851</v>
      </c>
      <c r="Z21">
        <f t="shared" si="17"/>
        <v>3.09153381097657</v>
      </c>
      <c r="AA21">
        <f t="shared" si="18"/>
        <v>1.1893663077932426</v>
      </c>
      <c r="AB21">
        <f t="shared" si="19"/>
        <v>-160.28569298788381</v>
      </c>
      <c r="AC21">
        <f t="shared" si="20"/>
        <v>-75.007884323594496</v>
      </c>
      <c r="AD21">
        <f t="shared" si="21"/>
        <v>-5.2615066561106056</v>
      </c>
      <c r="AE21">
        <f t="shared" si="22"/>
        <v>49.024373270483309</v>
      </c>
      <c r="AF21">
        <v>0</v>
      </c>
      <c r="AG21">
        <v>0</v>
      </c>
      <c r="AH21">
        <f t="shared" si="23"/>
        <v>1</v>
      </c>
      <c r="AI21">
        <f t="shared" si="24"/>
        <v>0</v>
      </c>
      <c r="AJ21">
        <f t="shared" si="25"/>
        <v>50946.18548786817</v>
      </c>
      <c r="AK21" t="s">
        <v>415</v>
      </c>
      <c r="AL21">
        <v>10180.200000000001</v>
      </c>
      <c r="AM21">
        <v>191.60769230769199</v>
      </c>
      <c r="AN21">
        <v>979.671341309485</v>
      </c>
      <c r="AO21">
        <f t="shared" si="26"/>
        <v>0.80441635451785476</v>
      </c>
      <c r="AP21">
        <v>-2.5320139233462702</v>
      </c>
      <c r="AQ21" t="s">
        <v>438</v>
      </c>
      <c r="AR21">
        <v>10117.4</v>
      </c>
      <c r="AS21">
        <v>248.81308000000001</v>
      </c>
      <c r="AT21">
        <v>306.651397852336</v>
      </c>
      <c r="AU21">
        <f t="shared" si="27"/>
        <v>0.1886126013362811</v>
      </c>
      <c r="AV21">
        <v>0.5</v>
      </c>
      <c r="AW21">
        <f t="shared" si="28"/>
        <v>1513.2557996052187</v>
      </c>
      <c r="AX21">
        <f t="shared" si="29"/>
        <v>3.1967186408555923</v>
      </c>
      <c r="AY21">
        <f t="shared" si="30"/>
        <v>142.7095564253772</v>
      </c>
      <c r="AZ21">
        <f t="shared" si="31"/>
        <v>3.7857000552691663E-3</v>
      </c>
      <c r="BA21">
        <f t="shared" si="32"/>
        <v>2.1947395256330546</v>
      </c>
      <c r="BB21">
        <f t="shared" si="33"/>
        <v>134.06122155872427</v>
      </c>
      <c r="BC21" t="s">
        <v>417</v>
      </c>
      <c r="BD21">
        <v>0</v>
      </c>
      <c r="BE21">
        <f t="shared" si="34"/>
        <v>134.06122155872427</v>
      </c>
      <c r="BF21">
        <f t="shared" si="35"/>
        <v>0.5628220758240936</v>
      </c>
      <c r="BG21">
        <f t="shared" si="36"/>
        <v>0.33511940884712349</v>
      </c>
      <c r="BH21">
        <f t="shared" si="37"/>
        <v>0.79589863902707092</v>
      </c>
      <c r="BI21">
        <f t="shared" si="38"/>
        <v>0.50275082481493238</v>
      </c>
      <c r="BJ21">
        <f t="shared" si="39"/>
        <v>0.85401724125917367</v>
      </c>
      <c r="BK21">
        <f t="shared" si="40"/>
        <v>0.18056332616469728</v>
      </c>
      <c r="BL21">
        <f t="shared" si="41"/>
        <v>0.81943667383530272</v>
      </c>
      <c r="BM21">
        <v>1757</v>
      </c>
      <c r="BN21">
        <v>290</v>
      </c>
      <c r="BO21">
        <v>291.69</v>
      </c>
      <c r="BP21">
        <v>225</v>
      </c>
      <c r="BQ21">
        <v>10117.4</v>
      </c>
      <c r="BR21">
        <v>291.14999999999998</v>
      </c>
      <c r="BS21">
        <v>0.54</v>
      </c>
      <c r="BT21">
        <v>300</v>
      </c>
      <c r="BU21">
        <v>24.2</v>
      </c>
      <c r="BV21">
        <v>306.651397852336</v>
      </c>
      <c r="BW21">
        <v>1.1255562215707799</v>
      </c>
      <c r="BX21">
        <v>-15.6865814319946</v>
      </c>
      <c r="BY21">
        <v>1.0139339329164201</v>
      </c>
      <c r="BZ21">
        <v>0.89526921020829997</v>
      </c>
      <c r="CA21">
        <v>-6.8761027808676304E-3</v>
      </c>
      <c r="CB21">
        <v>290</v>
      </c>
      <c r="CC21">
        <v>292.31</v>
      </c>
      <c r="CD21">
        <v>755</v>
      </c>
      <c r="CE21">
        <v>10084.9</v>
      </c>
      <c r="CF21">
        <v>291.10000000000002</v>
      </c>
      <c r="CG21">
        <v>1.21</v>
      </c>
      <c r="CU21">
        <f t="shared" si="42"/>
        <v>1800.085</v>
      </c>
      <c r="CV21">
        <f t="shared" si="43"/>
        <v>1513.2557996052187</v>
      </c>
      <c r="CW21">
        <f t="shared" si="44"/>
        <v>0.84065796870993248</v>
      </c>
      <c r="CX21">
        <f t="shared" si="45"/>
        <v>0.16086987961016963</v>
      </c>
      <c r="CY21">
        <v>1.9</v>
      </c>
      <c r="CZ21">
        <v>0.5</v>
      </c>
      <c r="DA21" t="s">
        <v>418</v>
      </c>
      <c r="DB21">
        <v>2</v>
      </c>
      <c r="DC21">
        <v>1742548108.5999999</v>
      </c>
      <c r="DD21">
        <v>98.611400000000003</v>
      </c>
      <c r="DE21">
        <v>99.962100000000007</v>
      </c>
      <c r="DF21">
        <v>20.84965</v>
      </c>
      <c r="DG21">
        <v>19.49755</v>
      </c>
      <c r="DH21">
        <v>97.730649999999997</v>
      </c>
      <c r="DI21">
        <v>20.861249999999998</v>
      </c>
      <c r="DJ21">
        <v>500.09249999999997</v>
      </c>
      <c r="DK21">
        <v>95.286100000000005</v>
      </c>
      <c r="DL21">
        <v>9.9536899999999998E-2</v>
      </c>
      <c r="DM21">
        <v>24.529299999999999</v>
      </c>
      <c r="DN21">
        <v>24.991800000000001</v>
      </c>
      <c r="DO21">
        <v>999.9</v>
      </c>
      <c r="DP21">
        <v>0</v>
      </c>
      <c r="DQ21">
        <v>0</v>
      </c>
      <c r="DR21">
        <v>10029.4</v>
      </c>
      <c r="DS21">
        <v>0</v>
      </c>
      <c r="DT21">
        <v>507.56849999999997</v>
      </c>
      <c r="DU21">
        <v>-1.3507450000000001</v>
      </c>
      <c r="DV21">
        <v>100.7115</v>
      </c>
      <c r="DW21">
        <v>101.95</v>
      </c>
      <c r="DX21">
        <v>1.352085</v>
      </c>
      <c r="DY21">
        <v>99.962100000000007</v>
      </c>
      <c r="DZ21">
        <v>19.49755</v>
      </c>
      <c r="EA21">
        <v>1.986685</v>
      </c>
      <c r="EB21">
        <v>1.857845</v>
      </c>
      <c r="EC21">
        <v>17.3386</v>
      </c>
      <c r="ED21">
        <v>16.2822</v>
      </c>
      <c r="EE21">
        <v>1800.085</v>
      </c>
      <c r="EF21">
        <v>0.97800600000000004</v>
      </c>
      <c r="EG21">
        <v>2.19939E-2</v>
      </c>
      <c r="EH21">
        <v>0</v>
      </c>
      <c r="EI21">
        <v>248.7105</v>
      </c>
      <c r="EJ21">
        <v>5.0006000000000004</v>
      </c>
      <c r="EK21">
        <v>4784.78</v>
      </c>
      <c r="EL21">
        <v>18194.8</v>
      </c>
      <c r="EM21">
        <v>49.5</v>
      </c>
      <c r="EN21">
        <v>49.25</v>
      </c>
      <c r="EO21">
        <v>49.875</v>
      </c>
      <c r="EP21">
        <v>48.686999999999998</v>
      </c>
      <c r="EQ21">
        <v>50.811999999999998</v>
      </c>
      <c r="ER21">
        <v>1755.605</v>
      </c>
      <c r="ES21">
        <v>39.479999999999997</v>
      </c>
      <c r="ET21">
        <v>0</v>
      </c>
      <c r="EU21">
        <v>124.90000009536701</v>
      </c>
      <c r="EV21">
        <v>0</v>
      </c>
      <c r="EW21">
        <v>248.81308000000001</v>
      </c>
      <c r="EX21">
        <v>-0.54438463269111503</v>
      </c>
      <c r="EY21">
        <v>-1.2315384384076999</v>
      </c>
      <c r="EZ21">
        <v>4784.78</v>
      </c>
      <c r="FA21">
        <v>15</v>
      </c>
      <c r="FB21">
        <v>1742548054.0999999</v>
      </c>
      <c r="FC21" t="s">
        <v>439</v>
      </c>
      <c r="FD21">
        <v>1742548053.0999999</v>
      </c>
      <c r="FE21">
        <v>1742548054.0999999</v>
      </c>
      <c r="FF21">
        <v>70</v>
      </c>
      <c r="FG21">
        <v>-7.1999999999999995E-2</v>
      </c>
      <c r="FH21">
        <v>3.0000000000000001E-3</v>
      </c>
      <c r="FI21">
        <v>0.88100000000000001</v>
      </c>
      <c r="FJ21">
        <v>-1.2E-2</v>
      </c>
      <c r="FK21">
        <v>100</v>
      </c>
      <c r="FL21">
        <v>20</v>
      </c>
      <c r="FM21">
        <v>0.48</v>
      </c>
      <c r="FN21">
        <v>0.18</v>
      </c>
      <c r="FO21">
        <v>-1.4151879999999999</v>
      </c>
      <c r="FP21">
        <v>0.17868451127819801</v>
      </c>
      <c r="FQ21">
        <v>5.4072602822501502E-2</v>
      </c>
      <c r="FR21">
        <v>1</v>
      </c>
      <c r="FS21">
        <v>248.85376470588201</v>
      </c>
      <c r="FT21">
        <v>-0.69512605623411305</v>
      </c>
      <c r="FU21">
        <v>0.26800977361716999</v>
      </c>
      <c r="FV21">
        <v>1</v>
      </c>
      <c r="FW21">
        <v>1.3403555</v>
      </c>
      <c r="FX21">
        <v>9.3718646616544596E-2</v>
      </c>
      <c r="FY21">
        <v>1.02368073514158E-2</v>
      </c>
      <c r="FZ21">
        <v>1</v>
      </c>
      <c r="GA21">
        <v>3</v>
      </c>
      <c r="GB21">
        <v>3</v>
      </c>
      <c r="GC21" t="s">
        <v>420</v>
      </c>
      <c r="GD21">
        <v>3.1417899999999999</v>
      </c>
      <c r="GE21">
        <v>2.74681</v>
      </c>
      <c r="GF21">
        <v>2.4787799999999999E-2</v>
      </c>
      <c r="GG21">
        <v>2.6049699999999999E-2</v>
      </c>
      <c r="GH21">
        <v>9.9379300000000004E-2</v>
      </c>
      <c r="GI21">
        <v>9.7226699999999999E-2</v>
      </c>
      <c r="GJ21">
        <v>25817.9</v>
      </c>
      <c r="GK21">
        <v>32355.200000000001</v>
      </c>
      <c r="GL21">
        <v>26981.8</v>
      </c>
      <c r="GM21">
        <v>31343.9</v>
      </c>
      <c r="GN21">
        <v>34266.6</v>
      </c>
      <c r="GO21">
        <v>37724.199999999997</v>
      </c>
      <c r="GP21">
        <v>41622</v>
      </c>
      <c r="GQ21">
        <v>45459</v>
      </c>
      <c r="GR21">
        <v>1.73495</v>
      </c>
      <c r="GS21">
        <v>1.9571000000000001</v>
      </c>
      <c r="GT21">
        <v>0.120744</v>
      </c>
      <c r="GU21">
        <v>0</v>
      </c>
      <c r="GV21">
        <v>23.011399999999998</v>
      </c>
      <c r="GW21">
        <v>999.9</v>
      </c>
      <c r="GX21">
        <v>52.057000000000002</v>
      </c>
      <c r="GY21">
        <v>32.226999999999997</v>
      </c>
      <c r="GZ21">
        <v>26.4254</v>
      </c>
      <c r="HA21">
        <v>59.634</v>
      </c>
      <c r="HB21">
        <v>18.5457</v>
      </c>
      <c r="HC21">
        <v>1</v>
      </c>
      <c r="HD21">
        <v>0.30492599999999997</v>
      </c>
      <c r="HE21">
        <v>3.7600500000000001</v>
      </c>
      <c r="HF21">
        <v>20.146899999999999</v>
      </c>
      <c r="HG21">
        <v>5.2231300000000003</v>
      </c>
      <c r="HH21">
        <v>11.979699999999999</v>
      </c>
      <c r="HI21">
        <v>4.9516999999999998</v>
      </c>
      <c r="HJ21">
        <v>3.2850000000000001</v>
      </c>
      <c r="HK21">
        <v>9999</v>
      </c>
      <c r="HL21">
        <v>9999</v>
      </c>
      <c r="HM21">
        <v>999.9</v>
      </c>
      <c r="HN21">
        <v>9999</v>
      </c>
      <c r="HO21">
        <v>1.8595200000000001</v>
      </c>
      <c r="HP21">
        <v>1.8602000000000001</v>
      </c>
      <c r="HQ21">
        <v>1.8557699999999999</v>
      </c>
      <c r="HR21">
        <v>1.8585199999999999</v>
      </c>
      <c r="HS21">
        <v>1.8626400000000001</v>
      </c>
      <c r="HT21">
        <v>1.85808</v>
      </c>
      <c r="HU21">
        <v>1.85501</v>
      </c>
      <c r="HV21">
        <v>1.86249</v>
      </c>
      <c r="HW21">
        <v>5</v>
      </c>
      <c r="HX21">
        <v>0</v>
      </c>
      <c r="HY21">
        <v>0</v>
      </c>
      <c r="HZ21">
        <v>0</v>
      </c>
      <c r="IA21" t="s">
        <v>421</v>
      </c>
      <c r="IB21" t="s">
        <v>422</v>
      </c>
      <c r="IC21" t="s">
        <v>423</v>
      </c>
      <c r="ID21" t="s">
        <v>423</v>
      </c>
      <c r="IE21" t="s">
        <v>423</v>
      </c>
      <c r="IF21" t="s">
        <v>423</v>
      </c>
      <c r="IG21">
        <v>0</v>
      </c>
      <c r="IH21">
        <v>100</v>
      </c>
      <c r="II21">
        <v>100</v>
      </c>
      <c r="IJ21">
        <v>0.88100000000000001</v>
      </c>
      <c r="IK21">
        <v>-1.1599999999999999E-2</v>
      </c>
      <c r="IL21">
        <v>0.88071818181816797</v>
      </c>
      <c r="IM21">
        <v>0</v>
      </c>
      <c r="IN21">
        <v>0</v>
      </c>
      <c r="IO21">
        <v>0</v>
      </c>
      <c r="IP21">
        <v>-1.1569999999998999E-2</v>
      </c>
      <c r="IQ21">
        <v>0</v>
      </c>
      <c r="IR21">
        <v>0</v>
      </c>
      <c r="IS21">
        <v>0</v>
      </c>
      <c r="IT21">
        <v>-1</v>
      </c>
      <c r="IU21">
        <v>-1</v>
      </c>
      <c r="IV21">
        <v>-1</v>
      </c>
      <c r="IW21">
        <v>-1</v>
      </c>
      <c r="IX21">
        <v>0.9</v>
      </c>
      <c r="IY21">
        <v>0.9</v>
      </c>
      <c r="IZ21">
        <v>0.379639</v>
      </c>
      <c r="JA21">
        <v>2.7722199999999999</v>
      </c>
      <c r="JB21">
        <v>1.69678</v>
      </c>
      <c r="JC21">
        <v>2.3742700000000001</v>
      </c>
      <c r="JD21">
        <v>1.4978</v>
      </c>
      <c r="JE21">
        <v>2.3986800000000001</v>
      </c>
      <c r="JF21">
        <v>35.777700000000003</v>
      </c>
      <c r="JG21">
        <v>14.3772</v>
      </c>
      <c r="JH21">
        <v>18</v>
      </c>
      <c r="JI21">
        <v>381.71899999999999</v>
      </c>
      <c r="JJ21">
        <v>526.20299999999997</v>
      </c>
      <c r="JK21">
        <v>17.842400000000001</v>
      </c>
      <c r="JL21">
        <v>30.764600000000002</v>
      </c>
      <c r="JM21">
        <v>29.9999</v>
      </c>
      <c r="JN21">
        <v>31.003499999999999</v>
      </c>
      <c r="JO21">
        <v>31.031400000000001</v>
      </c>
      <c r="JP21">
        <v>7.6222300000000001</v>
      </c>
      <c r="JQ21">
        <v>100</v>
      </c>
      <c r="JR21">
        <v>100</v>
      </c>
      <c r="JS21">
        <v>17.840900000000001</v>
      </c>
      <c r="JT21">
        <v>100</v>
      </c>
      <c r="JU21">
        <v>0</v>
      </c>
      <c r="JV21">
        <v>102.79</v>
      </c>
      <c r="JW21">
        <v>100.90900000000001</v>
      </c>
    </row>
    <row r="22" spans="1:283" x14ac:dyDescent="0.25">
      <c r="A22">
        <v>6</v>
      </c>
      <c r="B22">
        <v>1742548233.0999999</v>
      </c>
      <c r="C22">
        <v>623</v>
      </c>
      <c r="D22" t="s">
        <v>440</v>
      </c>
      <c r="E22" t="s">
        <v>441</v>
      </c>
      <c r="F22">
        <v>2</v>
      </c>
      <c r="H22">
        <v>1742548231.5999999</v>
      </c>
      <c r="I22">
        <f t="shared" si="0"/>
        <v>4.0456787526311688E-3</v>
      </c>
      <c r="J22">
        <f t="shared" si="1"/>
        <v>4.0456787526311686</v>
      </c>
      <c r="K22">
        <f t="shared" si="2"/>
        <v>1.2724325479149037</v>
      </c>
      <c r="L22">
        <f t="shared" si="3"/>
        <v>74.401949999999999</v>
      </c>
      <c r="M22">
        <f t="shared" si="4"/>
        <v>66.648281229085413</v>
      </c>
      <c r="N22">
        <f t="shared" si="5"/>
        <v>6.357041928081923</v>
      </c>
      <c r="O22">
        <f t="shared" si="6"/>
        <v>7.0966018471703256</v>
      </c>
      <c r="P22">
        <f t="shared" si="7"/>
        <v>0.33862927201060122</v>
      </c>
      <c r="Q22">
        <f t="shared" si="8"/>
        <v>3.0014885599116212</v>
      </c>
      <c r="R22">
        <f t="shared" si="9"/>
        <v>0.31874627821163082</v>
      </c>
      <c r="S22">
        <f t="shared" si="10"/>
        <v>0.20090547529279762</v>
      </c>
      <c r="T22">
        <f t="shared" si="11"/>
        <v>289.57307323805531</v>
      </c>
      <c r="U22">
        <f t="shared" si="12"/>
        <v>25.174668119604384</v>
      </c>
      <c r="V22">
        <f t="shared" si="13"/>
        <v>24.9832</v>
      </c>
      <c r="W22">
        <f t="shared" si="14"/>
        <v>3.176494216006756</v>
      </c>
      <c r="X22">
        <f t="shared" si="15"/>
        <v>64.637561057760536</v>
      </c>
      <c r="Y22">
        <f t="shared" si="16"/>
        <v>1.9987045710091251</v>
      </c>
      <c r="Z22">
        <f t="shared" si="17"/>
        <v>3.0921720100532109</v>
      </c>
      <c r="AA22">
        <f t="shared" si="18"/>
        <v>1.1777896449976308</v>
      </c>
      <c r="AB22">
        <f t="shared" si="19"/>
        <v>-178.41443299103454</v>
      </c>
      <c r="AC22">
        <f t="shared" si="20"/>
        <v>-72.890130371938781</v>
      </c>
      <c r="AD22">
        <f t="shared" si="21"/>
        <v>-5.1242899732152765</v>
      </c>
      <c r="AE22">
        <f t="shared" si="22"/>
        <v>33.144219901866691</v>
      </c>
      <c r="AF22">
        <v>0</v>
      </c>
      <c r="AG22">
        <v>0</v>
      </c>
      <c r="AH22">
        <f t="shared" si="23"/>
        <v>1</v>
      </c>
      <c r="AI22">
        <f t="shared" si="24"/>
        <v>0</v>
      </c>
      <c r="AJ22">
        <f t="shared" si="25"/>
        <v>50754.470956129706</v>
      </c>
      <c r="AK22" t="s">
        <v>415</v>
      </c>
      <c r="AL22">
        <v>10180.200000000001</v>
      </c>
      <c r="AM22">
        <v>191.60769230769199</v>
      </c>
      <c r="AN22">
        <v>979.671341309485</v>
      </c>
      <c r="AO22">
        <f t="shared" si="26"/>
        <v>0.80441635451785476</v>
      </c>
      <c r="AP22">
        <v>-2.5320139233462702</v>
      </c>
      <c r="AQ22" t="s">
        <v>442</v>
      </c>
      <c r="AR22">
        <v>10110.6</v>
      </c>
      <c r="AS22">
        <v>249.09132</v>
      </c>
      <c r="AT22">
        <v>300.83571524191501</v>
      </c>
      <c r="AU22">
        <f t="shared" si="27"/>
        <v>0.17200216802817148</v>
      </c>
      <c r="AV22">
        <v>0.5</v>
      </c>
      <c r="AW22">
        <f t="shared" si="28"/>
        <v>1513.2221996052099</v>
      </c>
      <c r="AX22">
        <f t="shared" si="29"/>
        <v>1.2724325479149037</v>
      </c>
      <c r="AY22">
        <f t="shared" si="30"/>
        <v>130.13874952022726</v>
      </c>
      <c r="AZ22">
        <f t="shared" si="31"/>
        <v>2.5141360417880003E-3</v>
      </c>
      <c r="BA22">
        <f t="shared" si="32"/>
        <v>2.2564994502786644</v>
      </c>
      <c r="BB22">
        <f t="shared" si="33"/>
        <v>132.93770955207904</v>
      </c>
      <c r="BC22" t="s">
        <v>417</v>
      </c>
      <c r="BD22">
        <v>0</v>
      </c>
      <c r="BE22">
        <f t="shared" si="34"/>
        <v>132.93770955207904</v>
      </c>
      <c r="BF22">
        <f t="shared" si="35"/>
        <v>0.55810529529321984</v>
      </c>
      <c r="BG22">
        <f t="shared" si="36"/>
        <v>0.30818945722026203</v>
      </c>
      <c r="BH22">
        <f t="shared" si="37"/>
        <v>0.8017109520719502</v>
      </c>
      <c r="BI22">
        <f t="shared" si="38"/>
        <v>0.47372820501452662</v>
      </c>
      <c r="BJ22">
        <f t="shared" si="39"/>
        <v>0.86139695306010178</v>
      </c>
      <c r="BK22">
        <f t="shared" si="40"/>
        <v>0.16447783307326838</v>
      </c>
      <c r="BL22">
        <f t="shared" si="41"/>
        <v>0.83552216692673165</v>
      </c>
      <c r="BM22">
        <v>1758</v>
      </c>
      <c r="BN22">
        <v>290</v>
      </c>
      <c r="BO22">
        <v>288</v>
      </c>
      <c r="BP22">
        <v>275</v>
      </c>
      <c r="BQ22">
        <v>10110.6</v>
      </c>
      <c r="BR22">
        <v>287.38</v>
      </c>
      <c r="BS22">
        <v>0.62</v>
      </c>
      <c r="BT22">
        <v>300</v>
      </c>
      <c r="BU22">
        <v>24.2</v>
      </c>
      <c r="BV22">
        <v>300.83571524191501</v>
      </c>
      <c r="BW22">
        <v>1.10562411978426</v>
      </c>
      <c r="BX22">
        <v>-13.6001183718866</v>
      </c>
      <c r="BY22">
        <v>0.99603142643529596</v>
      </c>
      <c r="BZ22">
        <v>0.86942739787533696</v>
      </c>
      <c r="CA22">
        <v>-6.8764480533926699E-3</v>
      </c>
      <c r="CB22">
        <v>290</v>
      </c>
      <c r="CC22">
        <v>288.42</v>
      </c>
      <c r="CD22">
        <v>765</v>
      </c>
      <c r="CE22">
        <v>10084.799999999999</v>
      </c>
      <c r="CF22">
        <v>287.35000000000002</v>
      </c>
      <c r="CG22">
        <v>1.07</v>
      </c>
      <c r="CU22">
        <f t="shared" si="42"/>
        <v>1800.0450000000001</v>
      </c>
      <c r="CV22">
        <f t="shared" si="43"/>
        <v>1513.2221996052099</v>
      </c>
      <c r="CW22">
        <f t="shared" si="44"/>
        <v>0.84065798333108888</v>
      </c>
      <c r="CX22">
        <f t="shared" si="45"/>
        <v>0.16086990782900165</v>
      </c>
      <c r="CY22">
        <v>1.9</v>
      </c>
      <c r="CZ22">
        <v>0.5</v>
      </c>
      <c r="DA22" t="s">
        <v>418</v>
      </c>
      <c r="DB22">
        <v>2</v>
      </c>
      <c r="DC22">
        <v>1742548231.5999999</v>
      </c>
      <c r="DD22">
        <v>74.401949999999999</v>
      </c>
      <c r="DE22">
        <v>74.999799999999993</v>
      </c>
      <c r="DF22">
        <v>20.954750000000001</v>
      </c>
      <c r="DG22">
        <v>19.449750000000002</v>
      </c>
      <c r="DH22">
        <v>73.516199999999998</v>
      </c>
      <c r="DI22">
        <v>20.966049999999999</v>
      </c>
      <c r="DJ22">
        <v>500.04750000000001</v>
      </c>
      <c r="DK22">
        <v>95.281750000000002</v>
      </c>
      <c r="DL22">
        <v>0.10018349999999999</v>
      </c>
      <c r="DM22">
        <v>24.53275</v>
      </c>
      <c r="DN22">
        <v>24.9832</v>
      </c>
      <c r="DO22">
        <v>999.9</v>
      </c>
      <c r="DP22">
        <v>0</v>
      </c>
      <c r="DQ22">
        <v>0</v>
      </c>
      <c r="DR22">
        <v>9990.64</v>
      </c>
      <c r="DS22">
        <v>0</v>
      </c>
      <c r="DT22">
        <v>485.73899999999998</v>
      </c>
      <c r="DU22">
        <v>-0.59780849999999996</v>
      </c>
      <c r="DV22">
        <v>75.994399999999999</v>
      </c>
      <c r="DW22">
        <v>76.487449999999995</v>
      </c>
      <c r="DX22">
        <v>1.5049999999999999</v>
      </c>
      <c r="DY22">
        <v>74.999799999999993</v>
      </c>
      <c r="DZ22">
        <v>19.449750000000002</v>
      </c>
      <c r="EA22">
        <v>1.9965999999999999</v>
      </c>
      <c r="EB22">
        <v>1.853205</v>
      </c>
      <c r="EC22">
        <v>17.417449999999999</v>
      </c>
      <c r="ED22">
        <v>16.242899999999999</v>
      </c>
      <c r="EE22">
        <v>1800.0450000000001</v>
      </c>
      <c r="EF22">
        <v>0.97800450000000005</v>
      </c>
      <c r="EG22">
        <v>2.1995299999999999E-2</v>
      </c>
      <c r="EH22">
        <v>0</v>
      </c>
      <c r="EI22">
        <v>249.0675</v>
      </c>
      <c r="EJ22">
        <v>5.0006000000000004</v>
      </c>
      <c r="EK22">
        <v>4787.3100000000004</v>
      </c>
      <c r="EL22">
        <v>18194.400000000001</v>
      </c>
      <c r="EM22">
        <v>49.436999999999998</v>
      </c>
      <c r="EN22">
        <v>49.186999999999998</v>
      </c>
      <c r="EO22">
        <v>49.811999999999998</v>
      </c>
      <c r="EP22">
        <v>48.625</v>
      </c>
      <c r="EQ22">
        <v>50.718499999999999</v>
      </c>
      <c r="ER22">
        <v>1755.5650000000001</v>
      </c>
      <c r="ES22">
        <v>39.479999999999997</v>
      </c>
      <c r="ET22">
        <v>0</v>
      </c>
      <c r="EU22">
        <v>121.60000014305101</v>
      </c>
      <c r="EV22">
        <v>0</v>
      </c>
      <c r="EW22">
        <v>249.09132</v>
      </c>
      <c r="EX22">
        <v>0.16492308635000799</v>
      </c>
      <c r="EY22">
        <v>0.820769207291557</v>
      </c>
      <c r="EZ22">
        <v>4786.7460000000001</v>
      </c>
      <c r="FA22">
        <v>15</v>
      </c>
      <c r="FB22">
        <v>1742548187.0999999</v>
      </c>
      <c r="FC22" t="s">
        <v>443</v>
      </c>
      <c r="FD22">
        <v>1742548181.0999999</v>
      </c>
      <c r="FE22">
        <v>1742548187.0999999</v>
      </c>
      <c r="FF22">
        <v>71</v>
      </c>
      <c r="FG22">
        <v>5.0000000000000001E-3</v>
      </c>
      <c r="FH22">
        <v>0</v>
      </c>
      <c r="FI22">
        <v>0.88600000000000001</v>
      </c>
      <c r="FJ22">
        <v>-1.0999999999999999E-2</v>
      </c>
      <c r="FK22">
        <v>75</v>
      </c>
      <c r="FL22">
        <v>19</v>
      </c>
      <c r="FM22">
        <v>0.52</v>
      </c>
      <c r="FN22">
        <v>0.17</v>
      </c>
      <c r="FO22">
        <v>-0.61050525</v>
      </c>
      <c r="FP22">
        <v>-7.6469187969924302E-2</v>
      </c>
      <c r="FQ22">
        <v>3.18558529141428E-2</v>
      </c>
      <c r="FR22">
        <v>1</v>
      </c>
      <c r="FS22">
        <v>249.08135294117599</v>
      </c>
      <c r="FT22">
        <v>-0.176348352734365</v>
      </c>
      <c r="FU22">
        <v>0.19386197065907501</v>
      </c>
      <c r="FV22">
        <v>1</v>
      </c>
      <c r="FW22">
        <v>1.5141275000000001</v>
      </c>
      <c r="FX22">
        <v>4.8726315789488599E-3</v>
      </c>
      <c r="FY22">
        <v>6.0564922810154298E-3</v>
      </c>
      <c r="FZ22">
        <v>1</v>
      </c>
      <c r="GA22">
        <v>3</v>
      </c>
      <c r="GB22">
        <v>3</v>
      </c>
      <c r="GC22" t="s">
        <v>420</v>
      </c>
      <c r="GD22">
        <v>3.1418300000000001</v>
      </c>
      <c r="GE22">
        <v>2.74701</v>
      </c>
      <c r="GF22">
        <v>1.8851199999999999E-2</v>
      </c>
      <c r="GG22">
        <v>1.9768500000000001E-2</v>
      </c>
      <c r="GH22">
        <v>9.9726099999999998E-2</v>
      </c>
      <c r="GI22">
        <v>9.70945E-2</v>
      </c>
      <c r="GJ22">
        <v>25979.1</v>
      </c>
      <c r="GK22">
        <v>32570.5</v>
      </c>
      <c r="GL22">
        <v>26985.7</v>
      </c>
      <c r="GM22">
        <v>31350.1</v>
      </c>
      <c r="GN22">
        <v>34258.300000000003</v>
      </c>
      <c r="GO22">
        <v>37737.1</v>
      </c>
      <c r="GP22">
        <v>41628.400000000001</v>
      </c>
      <c r="GQ22">
        <v>45468.4</v>
      </c>
      <c r="GR22">
        <v>1.7358499999999999</v>
      </c>
      <c r="GS22">
        <v>1.9591000000000001</v>
      </c>
      <c r="GT22">
        <v>0.122737</v>
      </c>
      <c r="GU22">
        <v>0</v>
      </c>
      <c r="GV22">
        <v>22.966899999999999</v>
      </c>
      <c r="GW22">
        <v>999.9</v>
      </c>
      <c r="GX22">
        <v>52.106000000000002</v>
      </c>
      <c r="GY22">
        <v>32.136000000000003</v>
      </c>
      <c r="GZ22">
        <v>26.310600000000001</v>
      </c>
      <c r="HA22">
        <v>60.414000000000001</v>
      </c>
      <c r="HB22">
        <v>18.561699999999998</v>
      </c>
      <c r="HC22">
        <v>1</v>
      </c>
      <c r="HD22">
        <v>0.29647600000000002</v>
      </c>
      <c r="HE22">
        <v>3.7310400000000001</v>
      </c>
      <c r="HF22">
        <v>20.147500000000001</v>
      </c>
      <c r="HG22">
        <v>5.2231300000000003</v>
      </c>
      <c r="HH22">
        <v>11.98</v>
      </c>
      <c r="HI22">
        <v>4.9532499999999997</v>
      </c>
      <c r="HJ22">
        <v>3.28505</v>
      </c>
      <c r="HK22">
        <v>9999</v>
      </c>
      <c r="HL22">
        <v>9999</v>
      </c>
      <c r="HM22">
        <v>999.9</v>
      </c>
      <c r="HN22">
        <v>9999</v>
      </c>
      <c r="HO22">
        <v>1.85947</v>
      </c>
      <c r="HP22">
        <v>1.8602000000000001</v>
      </c>
      <c r="HQ22">
        <v>1.8557600000000001</v>
      </c>
      <c r="HR22">
        <v>1.8585199999999999</v>
      </c>
      <c r="HS22">
        <v>1.8626400000000001</v>
      </c>
      <c r="HT22">
        <v>1.8581000000000001</v>
      </c>
      <c r="HU22">
        <v>1.85501</v>
      </c>
      <c r="HV22">
        <v>1.86249</v>
      </c>
      <c r="HW22">
        <v>5</v>
      </c>
      <c r="HX22">
        <v>0</v>
      </c>
      <c r="HY22">
        <v>0</v>
      </c>
      <c r="HZ22">
        <v>0</v>
      </c>
      <c r="IA22" t="s">
        <v>421</v>
      </c>
      <c r="IB22" t="s">
        <v>422</v>
      </c>
      <c r="IC22" t="s">
        <v>423</v>
      </c>
      <c r="ID22" t="s">
        <v>423</v>
      </c>
      <c r="IE22" t="s">
        <v>423</v>
      </c>
      <c r="IF22" t="s">
        <v>423</v>
      </c>
      <c r="IG22">
        <v>0</v>
      </c>
      <c r="IH22">
        <v>100</v>
      </c>
      <c r="II22">
        <v>100</v>
      </c>
      <c r="IJ22">
        <v>0.88600000000000001</v>
      </c>
      <c r="IK22">
        <v>-1.1299999999999999E-2</v>
      </c>
      <c r="IL22">
        <v>0.885759999999991</v>
      </c>
      <c r="IM22">
        <v>0</v>
      </c>
      <c r="IN22">
        <v>0</v>
      </c>
      <c r="IO22">
        <v>0</v>
      </c>
      <c r="IP22">
        <v>-1.13099999999982E-2</v>
      </c>
      <c r="IQ22">
        <v>0</v>
      </c>
      <c r="IR22">
        <v>0</v>
      </c>
      <c r="IS22">
        <v>0</v>
      </c>
      <c r="IT22">
        <v>-1</v>
      </c>
      <c r="IU22">
        <v>-1</v>
      </c>
      <c r="IV22">
        <v>-1</v>
      </c>
      <c r="IW22">
        <v>-1</v>
      </c>
      <c r="IX22">
        <v>0.9</v>
      </c>
      <c r="IY22">
        <v>0.8</v>
      </c>
      <c r="IZ22">
        <v>0.32104500000000002</v>
      </c>
      <c r="JA22">
        <v>2.7807599999999999</v>
      </c>
      <c r="JB22">
        <v>1.69678</v>
      </c>
      <c r="JC22">
        <v>2.3742700000000001</v>
      </c>
      <c r="JD22">
        <v>1.4978</v>
      </c>
      <c r="JE22">
        <v>2.3754900000000001</v>
      </c>
      <c r="JF22">
        <v>35.707799999999999</v>
      </c>
      <c r="JG22">
        <v>14.3247</v>
      </c>
      <c r="JH22">
        <v>18</v>
      </c>
      <c r="JI22">
        <v>381.61500000000001</v>
      </c>
      <c r="JJ22">
        <v>526.68600000000004</v>
      </c>
      <c r="JK22">
        <v>17.931100000000001</v>
      </c>
      <c r="JL22">
        <v>30.662400000000002</v>
      </c>
      <c r="JM22">
        <v>30</v>
      </c>
      <c r="JN22">
        <v>30.899899999999999</v>
      </c>
      <c r="JO22">
        <v>30.927900000000001</v>
      </c>
      <c r="JP22">
        <v>6.4668400000000004</v>
      </c>
      <c r="JQ22">
        <v>100</v>
      </c>
      <c r="JR22">
        <v>100</v>
      </c>
      <c r="JS22">
        <v>17.937200000000001</v>
      </c>
      <c r="JT22">
        <v>75</v>
      </c>
      <c r="JU22">
        <v>0</v>
      </c>
      <c r="JV22">
        <v>102.80500000000001</v>
      </c>
      <c r="JW22">
        <v>100.929</v>
      </c>
    </row>
    <row r="23" spans="1:283" x14ac:dyDescent="0.25">
      <c r="A23">
        <v>11</v>
      </c>
      <c r="B23">
        <v>1742548879</v>
      </c>
      <c r="C23">
        <v>1268.9000000953699</v>
      </c>
      <c r="D23" t="s">
        <v>444</v>
      </c>
      <c r="E23" t="s">
        <v>445</v>
      </c>
      <c r="F23">
        <v>2</v>
      </c>
      <c r="H23">
        <v>1742548877.5</v>
      </c>
      <c r="I23">
        <f t="shared" si="0"/>
        <v>4.5118410565507146E-3</v>
      </c>
      <c r="J23">
        <f t="shared" si="1"/>
        <v>4.5118410565507148</v>
      </c>
      <c r="K23">
        <f t="shared" si="2"/>
        <v>24.02996719217256</v>
      </c>
      <c r="L23">
        <f t="shared" si="3"/>
        <v>390.267</v>
      </c>
      <c r="M23">
        <f t="shared" si="4"/>
        <v>277.90268844638052</v>
      </c>
      <c r="N23">
        <f t="shared" si="5"/>
        <v>26.503806165725084</v>
      </c>
      <c r="O23">
        <f t="shared" si="6"/>
        <v>37.220082247872</v>
      </c>
      <c r="P23">
        <f t="shared" si="7"/>
        <v>0.3858120515993354</v>
      </c>
      <c r="Q23">
        <f t="shared" si="8"/>
        <v>2.9953569575784047</v>
      </c>
      <c r="R23">
        <f t="shared" si="9"/>
        <v>0.36017818211666114</v>
      </c>
      <c r="S23">
        <f t="shared" si="10"/>
        <v>0.22727238351408299</v>
      </c>
      <c r="T23">
        <f t="shared" si="11"/>
        <v>289.54572223778814</v>
      </c>
      <c r="U23">
        <f t="shared" si="12"/>
        <v>25.120371685579201</v>
      </c>
      <c r="V23">
        <f t="shared" si="13"/>
        <v>24.975449999999999</v>
      </c>
      <c r="W23">
        <f t="shared" si="14"/>
        <v>3.175026634266183</v>
      </c>
      <c r="X23">
        <f t="shared" si="15"/>
        <v>64.847507687382063</v>
      </c>
      <c r="Y23">
        <f t="shared" si="16"/>
        <v>2.0128392200063998</v>
      </c>
      <c r="Z23">
        <f t="shared" si="17"/>
        <v>3.1039577183288656</v>
      </c>
      <c r="AA23">
        <f t="shared" si="18"/>
        <v>1.1621874142597832</v>
      </c>
      <c r="AB23">
        <f t="shared" si="19"/>
        <v>-198.97219059388652</v>
      </c>
      <c r="AC23">
        <f t="shared" si="20"/>
        <v>-61.219222916979774</v>
      </c>
      <c r="AD23">
        <f t="shared" si="21"/>
        <v>-4.313829762448516</v>
      </c>
      <c r="AE23">
        <f t="shared" si="22"/>
        <v>25.040478964473337</v>
      </c>
      <c r="AF23">
        <v>0</v>
      </c>
      <c r="AG23">
        <v>0</v>
      </c>
      <c r="AH23">
        <f t="shared" si="23"/>
        <v>1</v>
      </c>
      <c r="AI23">
        <f t="shared" si="24"/>
        <v>0</v>
      </c>
      <c r="AJ23">
        <f t="shared" si="25"/>
        <v>50569.785133875717</v>
      </c>
      <c r="AK23" t="s">
        <v>415</v>
      </c>
      <c r="AL23">
        <v>10180.200000000001</v>
      </c>
      <c r="AM23">
        <v>191.60769230769199</v>
      </c>
      <c r="AN23">
        <v>979.671341309485</v>
      </c>
      <c r="AO23">
        <f t="shared" si="26"/>
        <v>0.80441635451785476</v>
      </c>
      <c r="AP23">
        <v>-2.5320139233462702</v>
      </c>
      <c r="AQ23" t="s">
        <v>446</v>
      </c>
      <c r="AR23">
        <v>10127.9</v>
      </c>
      <c r="AS23">
        <v>249.75452000000001</v>
      </c>
      <c r="AT23">
        <v>341.87877451281202</v>
      </c>
      <c r="AU23">
        <f t="shared" si="27"/>
        <v>0.26946467982427968</v>
      </c>
      <c r="AV23">
        <v>0.5</v>
      </c>
      <c r="AW23">
        <f t="shared" si="28"/>
        <v>1513.0754996050712</v>
      </c>
      <c r="AX23">
        <f t="shared" si="29"/>
        <v>24.02996719217256</v>
      </c>
      <c r="AY23">
        <f t="shared" si="30"/>
        <v>203.86020252552126</v>
      </c>
      <c r="AZ23">
        <f t="shared" si="31"/>
        <v>1.7554960821486956E-2</v>
      </c>
      <c r="BA23">
        <f t="shared" si="32"/>
        <v>1.8655518105958682</v>
      </c>
      <c r="BB23">
        <f t="shared" si="33"/>
        <v>140.38515932355583</v>
      </c>
      <c r="BC23" t="s">
        <v>417</v>
      </c>
      <c r="BD23">
        <v>0</v>
      </c>
      <c r="BE23">
        <f t="shared" si="34"/>
        <v>140.38515932355583</v>
      </c>
      <c r="BF23">
        <f t="shared" si="35"/>
        <v>0.58937152643182045</v>
      </c>
      <c r="BG23">
        <f t="shared" si="36"/>
        <v>0.45720681732908897</v>
      </c>
      <c r="BH23">
        <f t="shared" si="37"/>
        <v>0.75992263483657085</v>
      </c>
      <c r="BI23">
        <f t="shared" si="38"/>
        <v>0.61305377695398766</v>
      </c>
      <c r="BJ23">
        <f t="shared" si="39"/>
        <v>0.8093160591844808</v>
      </c>
      <c r="BK23">
        <f t="shared" si="40"/>
        <v>0.2569925537065757</v>
      </c>
      <c r="BL23">
        <f t="shared" si="41"/>
        <v>0.7430074462934243</v>
      </c>
      <c r="BM23">
        <v>1763</v>
      </c>
      <c r="BN23">
        <v>290</v>
      </c>
      <c r="BO23">
        <v>310.20999999999998</v>
      </c>
      <c r="BP23">
        <v>175</v>
      </c>
      <c r="BQ23">
        <v>10127.9</v>
      </c>
      <c r="BR23">
        <v>309.89999999999998</v>
      </c>
      <c r="BS23">
        <v>0.31</v>
      </c>
      <c r="BT23">
        <v>300</v>
      </c>
      <c r="BU23">
        <v>24.2</v>
      </c>
      <c r="BV23">
        <v>341.87877451281202</v>
      </c>
      <c r="BW23">
        <v>1.1888455794119299</v>
      </c>
      <c r="BX23">
        <v>-32.387533504672099</v>
      </c>
      <c r="BY23">
        <v>1.07114370534214</v>
      </c>
      <c r="BZ23">
        <v>0.97028358300023299</v>
      </c>
      <c r="CA23">
        <v>-6.8773561735261399E-3</v>
      </c>
      <c r="CB23">
        <v>290</v>
      </c>
      <c r="CC23">
        <v>307.61</v>
      </c>
      <c r="CD23">
        <v>675</v>
      </c>
      <c r="CE23">
        <v>10092.4</v>
      </c>
      <c r="CF23">
        <v>309.79000000000002</v>
      </c>
      <c r="CG23">
        <v>-2.1800000000000002</v>
      </c>
      <c r="CU23">
        <f t="shared" si="42"/>
        <v>1799.87</v>
      </c>
      <c r="CV23">
        <f t="shared" si="43"/>
        <v>1513.0754996050712</v>
      </c>
      <c r="CW23">
        <f t="shared" si="44"/>
        <v>0.84065821398493856</v>
      </c>
      <c r="CX23">
        <f t="shared" si="45"/>
        <v>0.16087035299093166</v>
      </c>
      <c r="CY23">
        <v>1.9</v>
      </c>
      <c r="CZ23">
        <v>0.5</v>
      </c>
      <c r="DA23" t="s">
        <v>418</v>
      </c>
      <c r="DB23">
        <v>2</v>
      </c>
      <c r="DC23">
        <v>1742548877.5</v>
      </c>
      <c r="DD23">
        <v>390.267</v>
      </c>
      <c r="DE23">
        <v>400.06799999999998</v>
      </c>
      <c r="DF23">
        <v>21.105399999999999</v>
      </c>
      <c r="DG23">
        <v>19.427</v>
      </c>
      <c r="DH23">
        <v>388.25299999999999</v>
      </c>
      <c r="DI23">
        <v>21.111149999999999</v>
      </c>
      <c r="DJ23">
        <v>499.97449999999998</v>
      </c>
      <c r="DK23">
        <v>95.270099999999999</v>
      </c>
      <c r="DL23">
        <v>0.100716</v>
      </c>
      <c r="DM23">
        <v>24.596350000000001</v>
      </c>
      <c r="DN23">
        <v>24.975449999999999</v>
      </c>
      <c r="DO23">
        <v>999.9</v>
      </c>
      <c r="DP23">
        <v>0</v>
      </c>
      <c r="DQ23">
        <v>0</v>
      </c>
      <c r="DR23">
        <v>9956.25</v>
      </c>
      <c r="DS23">
        <v>0</v>
      </c>
      <c r="DT23">
        <v>415.6875</v>
      </c>
      <c r="DU23">
        <v>-9.8011350000000004</v>
      </c>
      <c r="DV23">
        <v>398.68099999999998</v>
      </c>
      <c r="DW23">
        <v>407.99400000000003</v>
      </c>
      <c r="DX23">
        <v>1.678385</v>
      </c>
      <c r="DY23">
        <v>400.06799999999998</v>
      </c>
      <c r="DZ23">
        <v>19.427</v>
      </c>
      <c r="EA23">
        <v>2.0107149999999998</v>
      </c>
      <c r="EB23">
        <v>1.8508150000000001</v>
      </c>
      <c r="EC23">
        <v>17.529</v>
      </c>
      <c r="ED23">
        <v>16.2227</v>
      </c>
      <c r="EE23">
        <v>1799.87</v>
      </c>
      <c r="EF23">
        <v>0.97799999999999998</v>
      </c>
      <c r="EG23">
        <v>2.1999600000000001E-2</v>
      </c>
      <c r="EH23">
        <v>0</v>
      </c>
      <c r="EI23">
        <v>251.00450000000001</v>
      </c>
      <c r="EJ23">
        <v>5.0006000000000004</v>
      </c>
      <c r="EK23">
        <v>4813.38</v>
      </c>
      <c r="EL23">
        <v>18192.7</v>
      </c>
      <c r="EM23">
        <v>49.311999999999998</v>
      </c>
      <c r="EN23">
        <v>49.125</v>
      </c>
      <c r="EO23">
        <v>49.686999999999998</v>
      </c>
      <c r="EP23">
        <v>48.561999999999998</v>
      </c>
      <c r="EQ23">
        <v>50.625</v>
      </c>
      <c r="ER23">
        <v>1755.38</v>
      </c>
      <c r="ES23">
        <v>39.49</v>
      </c>
      <c r="ET23">
        <v>0</v>
      </c>
      <c r="EU23">
        <v>151.700000047684</v>
      </c>
      <c r="EV23">
        <v>0</v>
      </c>
      <c r="EW23">
        <v>249.75452000000001</v>
      </c>
      <c r="EX23">
        <v>10.8626922993171</v>
      </c>
      <c r="EY23">
        <v>176.42384617025201</v>
      </c>
      <c r="EZ23">
        <v>4796.5428000000002</v>
      </c>
      <c r="FA23">
        <v>15</v>
      </c>
      <c r="FB23">
        <v>1742548829</v>
      </c>
      <c r="FC23" t="s">
        <v>447</v>
      </c>
      <c r="FD23">
        <v>1742548821</v>
      </c>
      <c r="FE23">
        <v>1742548829</v>
      </c>
      <c r="FF23">
        <v>76</v>
      </c>
      <c r="FG23">
        <v>1.31</v>
      </c>
      <c r="FH23">
        <v>2E-3</v>
      </c>
      <c r="FI23">
        <v>2.0139999999999998</v>
      </c>
      <c r="FJ23">
        <v>-6.0000000000000001E-3</v>
      </c>
      <c r="FK23">
        <v>401</v>
      </c>
      <c r="FL23">
        <v>19</v>
      </c>
      <c r="FM23">
        <v>0.19</v>
      </c>
      <c r="FN23">
        <v>0.08</v>
      </c>
      <c r="FO23">
        <v>-9.5858133333333306</v>
      </c>
      <c r="FP23">
        <v>-1.57539194805195</v>
      </c>
      <c r="FQ23">
        <v>0.16258618884510001</v>
      </c>
      <c r="FR23">
        <v>0</v>
      </c>
      <c r="FS23">
        <v>248.94191176470599</v>
      </c>
      <c r="FT23">
        <v>10.9804583572427</v>
      </c>
      <c r="FU23">
        <v>1.0950816614096399</v>
      </c>
      <c r="FV23">
        <v>0</v>
      </c>
      <c r="FW23">
        <v>1.65709</v>
      </c>
      <c r="FX23">
        <v>2.84914285714284E-2</v>
      </c>
      <c r="FY23">
        <v>1.1495073064661399E-2</v>
      </c>
      <c r="FZ23">
        <v>1</v>
      </c>
      <c r="GA23">
        <v>1</v>
      </c>
      <c r="GB23">
        <v>3</v>
      </c>
      <c r="GC23" t="s">
        <v>448</v>
      </c>
      <c r="GD23">
        <v>3.1419100000000002</v>
      </c>
      <c r="GE23">
        <v>2.7472300000000001</v>
      </c>
      <c r="GF23">
        <v>8.3101800000000003E-2</v>
      </c>
      <c r="GG23">
        <v>8.7219900000000003E-2</v>
      </c>
      <c r="GH23">
        <v>0.100365</v>
      </c>
      <c r="GI23">
        <v>9.7089499999999995E-2</v>
      </c>
      <c r="GJ23">
        <v>24298</v>
      </c>
      <c r="GK23">
        <v>30362</v>
      </c>
      <c r="GL23">
        <v>27004.400000000001</v>
      </c>
      <c r="GM23">
        <v>31380.7</v>
      </c>
      <c r="GN23">
        <v>34256.6</v>
      </c>
      <c r="GO23">
        <v>37773.300000000003</v>
      </c>
      <c r="GP23">
        <v>41657.599999999999</v>
      </c>
      <c r="GQ23">
        <v>45513.2</v>
      </c>
      <c r="GR23">
        <v>1.7406299999999999</v>
      </c>
      <c r="GS23">
        <v>1.96973</v>
      </c>
      <c r="GT23">
        <v>0.13078000000000001</v>
      </c>
      <c r="GU23">
        <v>0</v>
      </c>
      <c r="GV23">
        <v>22.8309</v>
      </c>
      <c r="GW23">
        <v>999.9</v>
      </c>
      <c r="GX23">
        <v>52.301000000000002</v>
      </c>
      <c r="GY23">
        <v>31.661999999999999</v>
      </c>
      <c r="GZ23">
        <v>25.7182</v>
      </c>
      <c r="HA23">
        <v>60.164000000000001</v>
      </c>
      <c r="HB23">
        <v>18.5016</v>
      </c>
      <c r="HC23">
        <v>1</v>
      </c>
      <c r="HD23">
        <v>0.25423800000000002</v>
      </c>
      <c r="HE23">
        <v>3.04548</v>
      </c>
      <c r="HF23">
        <v>20.1629</v>
      </c>
      <c r="HG23">
        <v>5.2232799999999999</v>
      </c>
      <c r="HH23">
        <v>11.98</v>
      </c>
      <c r="HI23">
        <v>4.9532999999999996</v>
      </c>
      <c r="HJ23">
        <v>3.2851300000000001</v>
      </c>
      <c r="HK23">
        <v>9999</v>
      </c>
      <c r="HL23">
        <v>9999</v>
      </c>
      <c r="HM23">
        <v>999.9</v>
      </c>
      <c r="HN23">
        <v>9999</v>
      </c>
      <c r="HO23">
        <v>1.85948</v>
      </c>
      <c r="HP23">
        <v>1.8602000000000001</v>
      </c>
      <c r="HQ23">
        <v>1.8557600000000001</v>
      </c>
      <c r="HR23">
        <v>1.8585199999999999</v>
      </c>
      <c r="HS23">
        <v>1.8626199999999999</v>
      </c>
      <c r="HT23">
        <v>1.8580700000000001</v>
      </c>
      <c r="HU23">
        <v>1.85501</v>
      </c>
      <c r="HV23">
        <v>1.86249</v>
      </c>
      <c r="HW23">
        <v>5</v>
      </c>
      <c r="HX23">
        <v>0</v>
      </c>
      <c r="HY23">
        <v>0</v>
      </c>
      <c r="HZ23">
        <v>0</v>
      </c>
      <c r="IA23" t="s">
        <v>421</v>
      </c>
      <c r="IB23" t="s">
        <v>422</v>
      </c>
      <c r="IC23" t="s">
        <v>423</v>
      </c>
      <c r="ID23" t="s">
        <v>423</v>
      </c>
      <c r="IE23" t="s">
        <v>423</v>
      </c>
      <c r="IF23" t="s">
        <v>423</v>
      </c>
      <c r="IG23">
        <v>0</v>
      </c>
      <c r="IH23">
        <v>100</v>
      </c>
      <c r="II23">
        <v>100</v>
      </c>
      <c r="IJ23">
        <v>2.0139999999999998</v>
      </c>
      <c r="IK23">
        <v>-5.7000000000000002E-3</v>
      </c>
      <c r="IL23">
        <v>2.0136363636364099</v>
      </c>
      <c r="IM23">
        <v>0</v>
      </c>
      <c r="IN23">
        <v>0</v>
      </c>
      <c r="IO23">
        <v>0</v>
      </c>
      <c r="IP23">
        <v>-5.74545454545117E-3</v>
      </c>
      <c r="IQ23">
        <v>0</v>
      </c>
      <c r="IR23">
        <v>0</v>
      </c>
      <c r="IS23">
        <v>0</v>
      </c>
      <c r="IT23">
        <v>-1</v>
      </c>
      <c r="IU23">
        <v>-1</v>
      </c>
      <c r="IV23">
        <v>-1</v>
      </c>
      <c r="IW23">
        <v>-1</v>
      </c>
      <c r="IX23">
        <v>1</v>
      </c>
      <c r="IY23">
        <v>0.8</v>
      </c>
      <c r="IZ23">
        <v>1.0449200000000001</v>
      </c>
      <c r="JA23">
        <v>2.7648899999999998</v>
      </c>
      <c r="JB23">
        <v>1.69678</v>
      </c>
      <c r="JC23">
        <v>2.3754900000000001</v>
      </c>
      <c r="JD23">
        <v>1.4978</v>
      </c>
      <c r="JE23">
        <v>2.3986800000000001</v>
      </c>
      <c r="JF23">
        <v>35.429099999999998</v>
      </c>
      <c r="JG23">
        <v>14.175800000000001</v>
      </c>
      <c r="JH23">
        <v>18</v>
      </c>
      <c r="JI23">
        <v>381.43900000000002</v>
      </c>
      <c r="JJ23">
        <v>529.82899999999995</v>
      </c>
      <c r="JK23">
        <v>18.389900000000001</v>
      </c>
      <c r="JL23">
        <v>30.193300000000001</v>
      </c>
      <c r="JM23">
        <v>29.999600000000001</v>
      </c>
      <c r="JN23">
        <v>30.423500000000001</v>
      </c>
      <c r="JO23">
        <v>30.4495</v>
      </c>
      <c r="JP23">
        <v>20.946000000000002</v>
      </c>
      <c r="JQ23">
        <v>100</v>
      </c>
      <c r="JR23">
        <v>100</v>
      </c>
      <c r="JS23">
        <v>18.401499999999999</v>
      </c>
      <c r="JT23">
        <v>400</v>
      </c>
      <c r="JU23">
        <v>0</v>
      </c>
      <c r="JV23">
        <v>102.877</v>
      </c>
      <c r="JW23">
        <v>101.02800000000001</v>
      </c>
    </row>
    <row r="24" spans="1:283" x14ac:dyDescent="0.25">
      <c r="A24">
        <v>12</v>
      </c>
      <c r="B24">
        <v>1742549002</v>
      </c>
      <c r="C24">
        <v>1391.9000000953699</v>
      </c>
      <c r="D24" t="s">
        <v>449</v>
      </c>
      <c r="E24" t="s">
        <v>450</v>
      </c>
      <c r="F24">
        <v>2</v>
      </c>
      <c r="H24">
        <v>1742549000</v>
      </c>
      <c r="I24">
        <f t="shared" si="0"/>
        <v>4.510311310352952E-3</v>
      </c>
      <c r="J24">
        <f t="shared" si="1"/>
        <v>4.510311310352952</v>
      </c>
      <c r="K24">
        <f t="shared" si="2"/>
        <v>26.230992231810223</v>
      </c>
      <c r="L24">
        <f t="shared" si="3"/>
        <v>389.36700000000002</v>
      </c>
      <c r="M24">
        <f t="shared" si="4"/>
        <v>266.43021861059873</v>
      </c>
      <c r="N24">
        <f t="shared" si="5"/>
        <v>25.408396563737472</v>
      </c>
      <c r="O24">
        <f t="shared" si="6"/>
        <v>37.132391349692085</v>
      </c>
      <c r="P24">
        <f t="shared" si="7"/>
        <v>0.38238270756385728</v>
      </c>
      <c r="Q24">
        <f t="shared" si="8"/>
        <v>3.003070568590303</v>
      </c>
      <c r="R24">
        <f t="shared" si="9"/>
        <v>0.3572467117904467</v>
      </c>
      <c r="S24">
        <f t="shared" si="10"/>
        <v>0.22539972760664667</v>
      </c>
      <c r="T24">
        <f t="shared" si="11"/>
        <v>289.57338623786109</v>
      </c>
      <c r="U24">
        <f t="shared" si="12"/>
        <v>25.145703957884521</v>
      </c>
      <c r="V24">
        <f t="shared" si="13"/>
        <v>24.999700000000001</v>
      </c>
      <c r="W24">
        <f t="shared" si="14"/>
        <v>3.1796207195764152</v>
      </c>
      <c r="X24">
        <f t="shared" si="15"/>
        <v>64.602330274492928</v>
      </c>
      <c r="Y24">
        <f t="shared" si="16"/>
        <v>2.0083548943184262</v>
      </c>
      <c r="Z24">
        <f t="shared" si="17"/>
        <v>3.1087963635135143</v>
      </c>
      <c r="AA24">
        <f t="shared" si="18"/>
        <v>1.1712658252579891</v>
      </c>
      <c r="AB24">
        <f t="shared" si="19"/>
        <v>-198.90472878656519</v>
      </c>
      <c r="AC24">
        <f t="shared" si="20"/>
        <v>-61.085451228326278</v>
      </c>
      <c r="AD24">
        <f t="shared" si="21"/>
        <v>-4.2944352012657463</v>
      </c>
      <c r="AE24">
        <f t="shared" si="22"/>
        <v>25.28877102170388</v>
      </c>
      <c r="AF24">
        <v>0</v>
      </c>
      <c r="AG24">
        <v>0</v>
      </c>
      <c r="AH24">
        <f t="shared" si="23"/>
        <v>1</v>
      </c>
      <c r="AI24">
        <f t="shared" si="24"/>
        <v>0</v>
      </c>
      <c r="AJ24">
        <f t="shared" si="25"/>
        <v>50783.680799922615</v>
      </c>
      <c r="AK24" t="s">
        <v>415</v>
      </c>
      <c r="AL24">
        <v>10180.200000000001</v>
      </c>
      <c r="AM24">
        <v>191.60769230769199</v>
      </c>
      <c r="AN24">
        <v>979.671341309485</v>
      </c>
      <c r="AO24">
        <f t="shared" si="26"/>
        <v>0.80441635451785476</v>
      </c>
      <c r="AP24">
        <v>-2.5320139233462702</v>
      </c>
      <c r="AQ24" t="s">
        <v>451</v>
      </c>
      <c r="AR24">
        <v>10136.700000000001</v>
      </c>
      <c r="AS24">
        <v>251.98192</v>
      </c>
      <c r="AT24">
        <v>356.50385555014998</v>
      </c>
      <c r="AU24">
        <f t="shared" si="27"/>
        <v>0.29318598921981842</v>
      </c>
      <c r="AV24">
        <v>0.5</v>
      </c>
      <c r="AW24">
        <f t="shared" si="28"/>
        <v>1513.2210996051069</v>
      </c>
      <c r="AX24">
        <f t="shared" si="29"/>
        <v>26.230992231810223</v>
      </c>
      <c r="AY24">
        <f t="shared" si="30"/>
        <v>221.82761249801234</v>
      </c>
      <c r="AZ24">
        <f t="shared" si="31"/>
        <v>1.900780141293466E-2</v>
      </c>
      <c r="BA24">
        <f t="shared" si="32"/>
        <v>1.747996483229262</v>
      </c>
      <c r="BB24">
        <f t="shared" si="33"/>
        <v>142.79053284008521</v>
      </c>
      <c r="BC24" t="s">
        <v>417</v>
      </c>
      <c r="BD24">
        <v>0</v>
      </c>
      <c r="BE24">
        <f t="shared" si="34"/>
        <v>142.79053284008521</v>
      </c>
      <c r="BF24">
        <f t="shared" si="35"/>
        <v>0.59946987776686578</v>
      </c>
      <c r="BG24">
        <f t="shared" si="36"/>
        <v>0.48907543163301137</v>
      </c>
      <c r="BH24">
        <f t="shared" si="37"/>
        <v>0.74463111049119113</v>
      </c>
      <c r="BI24">
        <f t="shared" si="38"/>
        <v>0.63386517608941761</v>
      </c>
      <c r="BJ24">
        <f t="shared" si="39"/>
        <v>0.79075781067769713</v>
      </c>
      <c r="BK24">
        <f t="shared" si="40"/>
        <v>0.27714425496032558</v>
      </c>
      <c r="BL24">
        <f t="shared" si="41"/>
        <v>0.72285574503967442</v>
      </c>
      <c r="BM24">
        <v>1764</v>
      </c>
      <c r="BN24">
        <v>290</v>
      </c>
      <c r="BO24">
        <v>321.5</v>
      </c>
      <c r="BP24">
        <v>135</v>
      </c>
      <c r="BQ24">
        <v>10136.700000000001</v>
      </c>
      <c r="BR24">
        <v>320.58999999999997</v>
      </c>
      <c r="BS24">
        <v>0.91</v>
      </c>
      <c r="BT24">
        <v>300</v>
      </c>
      <c r="BU24">
        <v>24.2</v>
      </c>
      <c r="BV24">
        <v>356.50385555014998</v>
      </c>
      <c r="BW24">
        <v>1.3429187914012499</v>
      </c>
      <c r="BX24">
        <v>-36.408189339497</v>
      </c>
      <c r="BY24">
        <v>1.2100449077192299</v>
      </c>
      <c r="BZ24">
        <v>0.96999910710906301</v>
      </c>
      <c r="CA24">
        <v>-6.8777123470522899E-3</v>
      </c>
      <c r="CB24">
        <v>290</v>
      </c>
      <c r="CC24">
        <v>318.79000000000002</v>
      </c>
      <c r="CD24">
        <v>675</v>
      </c>
      <c r="CE24">
        <v>10093.1</v>
      </c>
      <c r="CF24">
        <v>320.43</v>
      </c>
      <c r="CG24">
        <v>-1.64</v>
      </c>
      <c r="CU24">
        <f t="shared" si="42"/>
        <v>1800.0433333333301</v>
      </c>
      <c r="CV24">
        <f t="shared" si="43"/>
        <v>1513.2210996051069</v>
      </c>
      <c r="CW24">
        <f t="shared" si="44"/>
        <v>0.84065815060291671</v>
      </c>
      <c r="CX24">
        <f t="shared" si="45"/>
        <v>0.16087023066362935</v>
      </c>
      <c r="CY24">
        <v>1.9</v>
      </c>
      <c r="CZ24">
        <v>0.5</v>
      </c>
      <c r="DA24" t="s">
        <v>418</v>
      </c>
      <c r="DB24">
        <v>2</v>
      </c>
      <c r="DC24">
        <v>1742549000</v>
      </c>
      <c r="DD24">
        <v>389.36700000000002</v>
      </c>
      <c r="DE24">
        <v>400.00133333333298</v>
      </c>
      <c r="DF24">
        <v>21.059433333333299</v>
      </c>
      <c r="DG24">
        <v>19.381733333333301</v>
      </c>
      <c r="DH24">
        <v>387.36200000000002</v>
      </c>
      <c r="DI24">
        <v>21.066500000000001</v>
      </c>
      <c r="DJ24">
        <v>500.03699999999998</v>
      </c>
      <c r="DK24">
        <v>95.2661333333333</v>
      </c>
      <c r="DL24">
        <v>9.99129666666667E-2</v>
      </c>
      <c r="DM24">
        <v>24.622399999999999</v>
      </c>
      <c r="DN24">
        <v>24.999700000000001</v>
      </c>
      <c r="DO24">
        <v>999.9</v>
      </c>
      <c r="DP24">
        <v>0</v>
      </c>
      <c r="DQ24">
        <v>0</v>
      </c>
      <c r="DR24">
        <v>10001.483333333301</v>
      </c>
      <c r="DS24">
        <v>0</v>
      </c>
      <c r="DT24">
        <v>377.74366666666702</v>
      </c>
      <c r="DU24">
        <v>-10.6346333333333</v>
      </c>
      <c r="DV24">
        <v>397.74299999999999</v>
      </c>
      <c r="DW24">
        <v>407.90699999999998</v>
      </c>
      <c r="DX24">
        <v>1.67770666666667</v>
      </c>
      <c r="DY24">
        <v>400.00133333333298</v>
      </c>
      <c r="DZ24">
        <v>19.381733333333301</v>
      </c>
      <c r="EA24">
        <v>2.0062500000000001</v>
      </c>
      <c r="EB24">
        <v>1.84642666666667</v>
      </c>
      <c r="EC24">
        <v>17.493766666666701</v>
      </c>
      <c r="ED24">
        <v>16.1854333333333</v>
      </c>
      <c r="EE24">
        <v>1800.0433333333301</v>
      </c>
      <c r="EF24">
        <v>0.97800100000000001</v>
      </c>
      <c r="EG24">
        <v>2.1998666666666701E-2</v>
      </c>
      <c r="EH24">
        <v>0</v>
      </c>
      <c r="EI24">
        <v>252.054666666667</v>
      </c>
      <c r="EJ24">
        <v>5.0006000000000004</v>
      </c>
      <c r="EK24">
        <v>4834.9333333333298</v>
      </c>
      <c r="EL24">
        <v>18194.400000000001</v>
      </c>
      <c r="EM24">
        <v>49.25</v>
      </c>
      <c r="EN24">
        <v>49</v>
      </c>
      <c r="EO24">
        <v>49.625</v>
      </c>
      <c r="EP24">
        <v>48.436999999999998</v>
      </c>
      <c r="EQ24">
        <v>50.561999999999998</v>
      </c>
      <c r="ER24">
        <v>1755.5533333333301</v>
      </c>
      <c r="ES24">
        <v>39.49</v>
      </c>
      <c r="ET24">
        <v>0</v>
      </c>
      <c r="EU24">
        <v>121.5</v>
      </c>
      <c r="EV24">
        <v>0</v>
      </c>
      <c r="EW24">
        <v>251.98192</v>
      </c>
      <c r="EX24">
        <v>1.0171538511582701</v>
      </c>
      <c r="EY24">
        <v>3.9200000143648901</v>
      </c>
      <c r="EZ24">
        <v>4834.6211999999996</v>
      </c>
      <c r="FA24">
        <v>15</v>
      </c>
      <c r="FB24">
        <v>1742548937</v>
      </c>
      <c r="FC24" t="s">
        <v>452</v>
      </c>
      <c r="FD24">
        <v>1742548931</v>
      </c>
      <c r="FE24">
        <v>1742548937</v>
      </c>
      <c r="FF24">
        <v>77</v>
      </c>
      <c r="FG24">
        <v>-8.9999999999999993E-3</v>
      </c>
      <c r="FH24">
        <v>-1E-3</v>
      </c>
      <c r="FI24">
        <v>2.0049999999999999</v>
      </c>
      <c r="FJ24">
        <v>-7.0000000000000001E-3</v>
      </c>
      <c r="FK24">
        <v>400</v>
      </c>
      <c r="FL24">
        <v>19</v>
      </c>
      <c r="FM24">
        <v>0.27</v>
      </c>
      <c r="FN24">
        <v>0.16</v>
      </c>
      <c r="FO24">
        <v>-10.57404</v>
      </c>
      <c r="FP24">
        <v>0.15132631578949399</v>
      </c>
      <c r="FQ24">
        <v>4.1632660256101801E-2</v>
      </c>
      <c r="FR24">
        <v>1</v>
      </c>
      <c r="FS24">
        <v>251.98914705882399</v>
      </c>
      <c r="FT24">
        <v>-0.24380443168450999</v>
      </c>
      <c r="FU24">
        <v>0.23157467762015599</v>
      </c>
      <c r="FV24">
        <v>1</v>
      </c>
      <c r="FW24">
        <v>1.672806</v>
      </c>
      <c r="FX24">
        <v>3.79073684210504E-2</v>
      </c>
      <c r="FY24">
        <v>4.8285529923570297E-3</v>
      </c>
      <c r="FZ24">
        <v>1</v>
      </c>
      <c r="GA24">
        <v>3</v>
      </c>
      <c r="GB24">
        <v>3</v>
      </c>
      <c r="GC24" t="s">
        <v>420</v>
      </c>
      <c r="GD24">
        <v>3.1420400000000002</v>
      </c>
      <c r="GE24">
        <v>2.7467199999999998</v>
      </c>
      <c r="GF24">
        <v>8.2978099999999999E-2</v>
      </c>
      <c r="GG24">
        <v>8.7234500000000006E-2</v>
      </c>
      <c r="GH24">
        <v>0.100204</v>
      </c>
      <c r="GI24">
        <v>9.6972100000000006E-2</v>
      </c>
      <c r="GJ24">
        <v>24305.1</v>
      </c>
      <c r="GK24">
        <v>30367</v>
      </c>
      <c r="GL24">
        <v>27008.2</v>
      </c>
      <c r="GM24">
        <v>31386.1</v>
      </c>
      <c r="GN24">
        <v>34267.1</v>
      </c>
      <c r="GO24">
        <v>37784.699999999997</v>
      </c>
      <c r="GP24">
        <v>41663.1</v>
      </c>
      <c r="GQ24">
        <v>45521.4</v>
      </c>
      <c r="GR24">
        <v>1.74177</v>
      </c>
      <c r="GS24">
        <v>1.9715499999999999</v>
      </c>
      <c r="GT24">
        <v>0.133689</v>
      </c>
      <c r="GU24">
        <v>0</v>
      </c>
      <c r="GV24">
        <v>22.799299999999999</v>
      </c>
      <c r="GW24">
        <v>999.9</v>
      </c>
      <c r="GX24">
        <v>52.301000000000002</v>
      </c>
      <c r="GY24">
        <v>31.582000000000001</v>
      </c>
      <c r="GZ24">
        <v>25.601099999999999</v>
      </c>
      <c r="HA24">
        <v>60.463999999999999</v>
      </c>
      <c r="HB24">
        <v>18.477599999999999</v>
      </c>
      <c r="HC24">
        <v>1</v>
      </c>
      <c r="HD24">
        <v>0.247505</v>
      </c>
      <c r="HE24">
        <v>3.1127500000000001</v>
      </c>
      <c r="HF24">
        <v>20.161200000000001</v>
      </c>
      <c r="HG24">
        <v>5.2228300000000001</v>
      </c>
      <c r="HH24">
        <v>11.979799999999999</v>
      </c>
      <c r="HI24">
        <v>4.9534000000000002</v>
      </c>
      <c r="HJ24">
        <v>3.2851300000000001</v>
      </c>
      <c r="HK24">
        <v>9999</v>
      </c>
      <c r="HL24">
        <v>9999</v>
      </c>
      <c r="HM24">
        <v>999.9</v>
      </c>
      <c r="HN24">
        <v>9999</v>
      </c>
      <c r="HO24">
        <v>1.85951</v>
      </c>
      <c r="HP24">
        <v>1.8602000000000001</v>
      </c>
      <c r="HQ24">
        <v>1.8557399999999999</v>
      </c>
      <c r="HR24">
        <v>1.8585199999999999</v>
      </c>
      <c r="HS24">
        <v>1.8626100000000001</v>
      </c>
      <c r="HT24">
        <v>1.8580700000000001</v>
      </c>
      <c r="HU24">
        <v>1.85501</v>
      </c>
      <c r="HV24">
        <v>1.86249</v>
      </c>
      <c r="HW24">
        <v>5</v>
      </c>
      <c r="HX24">
        <v>0</v>
      </c>
      <c r="HY24">
        <v>0</v>
      </c>
      <c r="HZ24">
        <v>0</v>
      </c>
      <c r="IA24" t="s">
        <v>421</v>
      </c>
      <c r="IB24" t="s">
        <v>422</v>
      </c>
      <c r="IC24" t="s">
        <v>423</v>
      </c>
      <c r="ID24" t="s">
        <v>423</v>
      </c>
      <c r="IE24" t="s">
        <v>423</v>
      </c>
      <c r="IF24" t="s">
        <v>423</v>
      </c>
      <c r="IG24">
        <v>0</v>
      </c>
      <c r="IH24">
        <v>100</v>
      </c>
      <c r="II24">
        <v>100</v>
      </c>
      <c r="IJ24">
        <v>2.004</v>
      </c>
      <c r="IK24">
        <v>-7.0000000000000001E-3</v>
      </c>
      <c r="IL24">
        <v>2.0046363636363398</v>
      </c>
      <c r="IM24">
        <v>0</v>
      </c>
      <c r="IN24">
        <v>0</v>
      </c>
      <c r="IO24">
        <v>0</v>
      </c>
      <c r="IP24">
        <v>-7.0454545454588001E-3</v>
      </c>
      <c r="IQ24">
        <v>0</v>
      </c>
      <c r="IR24">
        <v>0</v>
      </c>
      <c r="IS24">
        <v>0</v>
      </c>
      <c r="IT24">
        <v>-1</v>
      </c>
      <c r="IU24">
        <v>-1</v>
      </c>
      <c r="IV24">
        <v>-1</v>
      </c>
      <c r="IW24">
        <v>-1</v>
      </c>
      <c r="IX24">
        <v>1.2</v>
      </c>
      <c r="IY24">
        <v>1.1000000000000001</v>
      </c>
      <c r="IZ24">
        <v>1.0424800000000001</v>
      </c>
      <c r="JA24">
        <v>2.7551299999999999</v>
      </c>
      <c r="JB24">
        <v>1.69678</v>
      </c>
      <c r="JC24">
        <v>2.3754900000000001</v>
      </c>
      <c r="JD24">
        <v>1.4978</v>
      </c>
      <c r="JE24">
        <v>2.4206500000000002</v>
      </c>
      <c r="JF24">
        <v>35.3596</v>
      </c>
      <c r="JG24">
        <v>14.1408</v>
      </c>
      <c r="JH24">
        <v>18</v>
      </c>
      <c r="JI24">
        <v>381.52600000000001</v>
      </c>
      <c r="JJ24">
        <v>530.29700000000003</v>
      </c>
      <c r="JK24">
        <v>18.464300000000001</v>
      </c>
      <c r="JL24">
        <v>30.105899999999998</v>
      </c>
      <c r="JM24">
        <v>29.9999</v>
      </c>
      <c r="JN24">
        <v>30.333500000000001</v>
      </c>
      <c r="JO24">
        <v>30.3597</v>
      </c>
      <c r="JP24">
        <v>20.884499999999999</v>
      </c>
      <c r="JQ24">
        <v>100</v>
      </c>
      <c r="JR24">
        <v>100</v>
      </c>
      <c r="JS24">
        <v>18.462599999999998</v>
      </c>
      <c r="JT24">
        <v>400</v>
      </c>
      <c r="JU24">
        <v>0</v>
      </c>
      <c r="JV24">
        <v>102.89100000000001</v>
      </c>
      <c r="JW24">
        <v>101.04600000000001</v>
      </c>
    </row>
    <row r="25" spans="1:283" x14ac:dyDescent="0.25">
      <c r="A25">
        <v>13</v>
      </c>
      <c r="B25">
        <v>1742549153</v>
      </c>
      <c r="C25">
        <v>1542.9000000953699</v>
      </c>
      <c r="D25" t="s">
        <v>453</v>
      </c>
      <c r="E25" t="s">
        <v>454</v>
      </c>
      <c r="F25">
        <v>2</v>
      </c>
      <c r="H25">
        <v>1742549151.5</v>
      </c>
      <c r="I25">
        <f t="shared" si="0"/>
        <v>4.5824583814419928E-3</v>
      </c>
      <c r="J25">
        <f t="shared" si="1"/>
        <v>4.5824583814419926</v>
      </c>
      <c r="K25">
        <f t="shared" si="2"/>
        <v>37.240167739338112</v>
      </c>
      <c r="L25">
        <f t="shared" si="3"/>
        <v>584.83199999999999</v>
      </c>
      <c r="M25">
        <f t="shared" si="4"/>
        <v>413.1649356209457</v>
      </c>
      <c r="N25">
        <f t="shared" si="5"/>
        <v>39.400725719843592</v>
      </c>
      <c r="O25">
        <f t="shared" si="6"/>
        <v>55.771444373798396</v>
      </c>
      <c r="P25">
        <f t="shared" si="7"/>
        <v>0.39110538717040982</v>
      </c>
      <c r="Q25">
        <f t="shared" si="8"/>
        <v>3.0050131900496506</v>
      </c>
      <c r="R25">
        <f t="shared" si="9"/>
        <v>0.36486750487557917</v>
      </c>
      <c r="S25">
        <f t="shared" si="10"/>
        <v>0.23025271384151272</v>
      </c>
      <c r="T25">
        <f t="shared" si="11"/>
        <v>289.57125823785594</v>
      </c>
      <c r="U25">
        <f t="shared" si="12"/>
        <v>25.147366422317752</v>
      </c>
      <c r="V25">
        <f t="shared" si="13"/>
        <v>24.994399999999999</v>
      </c>
      <c r="W25">
        <f t="shared" si="14"/>
        <v>3.178616155696997</v>
      </c>
      <c r="X25">
        <f t="shared" si="15"/>
        <v>64.690102527920018</v>
      </c>
      <c r="Y25">
        <f t="shared" si="16"/>
        <v>2.013531743327845</v>
      </c>
      <c r="Z25">
        <f t="shared" si="17"/>
        <v>3.1125808503067556</v>
      </c>
      <c r="AA25">
        <f t="shared" si="18"/>
        <v>1.1650844123691519</v>
      </c>
      <c r="AB25">
        <f t="shared" si="19"/>
        <v>-202.08641462159187</v>
      </c>
      <c r="AC25">
        <f t="shared" si="20"/>
        <v>-56.969505233002991</v>
      </c>
      <c r="AD25">
        <f t="shared" si="21"/>
        <v>-4.0027896499942717</v>
      </c>
      <c r="AE25">
        <f t="shared" si="22"/>
        <v>26.512548733266811</v>
      </c>
      <c r="AF25">
        <v>0</v>
      </c>
      <c r="AG25">
        <v>0</v>
      </c>
      <c r="AH25">
        <f t="shared" si="23"/>
        <v>1</v>
      </c>
      <c r="AI25">
        <f t="shared" si="24"/>
        <v>0</v>
      </c>
      <c r="AJ25">
        <f t="shared" si="25"/>
        <v>50835.228581660078</v>
      </c>
      <c r="AK25" t="s">
        <v>415</v>
      </c>
      <c r="AL25">
        <v>10180.200000000001</v>
      </c>
      <c r="AM25">
        <v>191.60769230769199</v>
      </c>
      <c r="AN25">
        <v>979.671341309485</v>
      </c>
      <c r="AO25">
        <f t="shared" si="26"/>
        <v>0.80441635451785476</v>
      </c>
      <c r="AP25">
        <v>-2.5320139233462702</v>
      </c>
      <c r="AQ25" t="s">
        <v>455</v>
      </c>
      <c r="AR25">
        <v>10126.1</v>
      </c>
      <c r="AS25">
        <v>264.86596153846199</v>
      </c>
      <c r="AT25">
        <v>396.84162594307401</v>
      </c>
      <c r="AU25">
        <f t="shared" si="27"/>
        <v>0.33256507326059492</v>
      </c>
      <c r="AV25">
        <v>0.5</v>
      </c>
      <c r="AW25">
        <f t="shared" si="28"/>
        <v>1513.2098996051068</v>
      </c>
      <c r="AX25">
        <f t="shared" si="29"/>
        <v>37.240167739338112</v>
      </c>
      <c r="AY25">
        <f t="shared" si="30"/>
        <v>251.6203805604149</v>
      </c>
      <c r="AZ25">
        <f t="shared" si="31"/>
        <v>2.6283321086561413E-2</v>
      </c>
      <c r="BA25">
        <f t="shared" si="32"/>
        <v>1.4686708179398915</v>
      </c>
      <c r="BB25">
        <f t="shared" si="33"/>
        <v>148.85064370756947</v>
      </c>
      <c r="BC25" t="s">
        <v>417</v>
      </c>
      <c r="BD25">
        <v>0</v>
      </c>
      <c r="BE25">
        <f t="shared" si="34"/>
        <v>148.85064370756947</v>
      </c>
      <c r="BF25">
        <f t="shared" si="35"/>
        <v>0.62491171798363276</v>
      </c>
      <c r="BG25">
        <f t="shared" si="36"/>
        <v>0.53217928819396099</v>
      </c>
      <c r="BH25">
        <f t="shared" si="37"/>
        <v>0.70151082784612029</v>
      </c>
      <c r="BI25">
        <f t="shared" si="38"/>
        <v>0.64304991902108932</v>
      </c>
      <c r="BJ25">
        <f t="shared" si="39"/>
        <v>0.7395718811604326</v>
      </c>
      <c r="BK25">
        <f t="shared" si="40"/>
        <v>0.29907666940436262</v>
      </c>
      <c r="BL25">
        <f t="shared" si="41"/>
        <v>0.70092333059563738</v>
      </c>
      <c r="BM25">
        <v>1765</v>
      </c>
      <c r="BN25">
        <v>290</v>
      </c>
      <c r="BO25">
        <v>357.6</v>
      </c>
      <c r="BP25">
        <v>195</v>
      </c>
      <c r="BQ25">
        <v>10126.1</v>
      </c>
      <c r="BR25">
        <v>356.4</v>
      </c>
      <c r="BS25">
        <v>1.2</v>
      </c>
      <c r="BT25">
        <v>300</v>
      </c>
      <c r="BU25">
        <v>24.2</v>
      </c>
      <c r="BV25">
        <v>396.84162594307401</v>
      </c>
      <c r="BW25">
        <v>1.45321433573803</v>
      </c>
      <c r="BX25">
        <v>-40.952168980126103</v>
      </c>
      <c r="BY25">
        <v>1.30960765364073</v>
      </c>
      <c r="BZ25">
        <v>0.97216279549747997</v>
      </c>
      <c r="CA25">
        <v>-6.8785314794215999E-3</v>
      </c>
      <c r="CB25">
        <v>290</v>
      </c>
      <c r="CC25">
        <v>355.59</v>
      </c>
      <c r="CD25">
        <v>725</v>
      </c>
      <c r="CE25">
        <v>10090.799999999999</v>
      </c>
      <c r="CF25">
        <v>356.26</v>
      </c>
      <c r="CG25">
        <v>-0.67</v>
      </c>
      <c r="CU25">
        <f t="shared" si="42"/>
        <v>1800.03</v>
      </c>
      <c r="CV25">
        <f t="shared" si="43"/>
        <v>1513.2098996051068</v>
      </c>
      <c r="CW25">
        <f t="shared" si="44"/>
        <v>0.84065815547802358</v>
      </c>
      <c r="CX25">
        <f t="shared" si="45"/>
        <v>0.16087024007258544</v>
      </c>
      <c r="CY25">
        <v>1.9</v>
      </c>
      <c r="CZ25">
        <v>0.5</v>
      </c>
      <c r="DA25" t="s">
        <v>418</v>
      </c>
      <c r="DB25">
        <v>2</v>
      </c>
      <c r="DC25">
        <v>1742549151.5</v>
      </c>
      <c r="DD25">
        <v>584.83199999999999</v>
      </c>
      <c r="DE25">
        <v>600.00149999999996</v>
      </c>
      <c r="DF25">
        <v>21.114350000000002</v>
      </c>
      <c r="DG25">
        <v>19.409800000000001</v>
      </c>
      <c r="DH25">
        <v>581.74699999999996</v>
      </c>
      <c r="DI25">
        <v>21.120550000000001</v>
      </c>
      <c r="DJ25">
        <v>500.005</v>
      </c>
      <c r="DK25">
        <v>95.263249999999999</v>
      </c>
      <c r="DL25">
        <v>9.9938700000000005E-2</v>
      </c>
      <c r="DM25">
        <v>24.642749999999999</v>
      </c>
      <c r="DN25">
        <v>24.994399999999999</v>
      </c>
      <c r="DO25">
        <v>999.9</v>
      </c>
      <c r="DP25">
        <v>0</v>
      </c>
      <c r="DQ25">
        <v>0</v>
      </c>
      <c r="DR25">
        <v>10013.1</v>
      </c>
      <c r="DS25">
        <v>0</v>
      </c>
      <c r="DT25">
        <v>363.41899999999998</v>
      </c>
      <c r="DU25">
        <v>-15.16905</v>
      </c>
      <c r="DV25">
        <v>597.44650000000001</v>
      </c>
      <c r="DW25">
        <v>611.87800000000004</v>
      </c>
      <c r="DX25">
        <v>1.704575</v>
      </c>
      <c r="DY25">
        <v>600.00149999999996</v>
      </c>
      <c r="DZ25">
        <v>19.409800000000001</v>
      </c>
      <c r="EA25">
        <v>2.0114299999999998</v>
      </c>
      <c r="EB25">
        <v>1.84904</v>
      </c>
      <c r="EC25">
        <v>17.534600000000001</v>
      </c>
      <c r="ED25">
        <v>16.207650000000001</v>
      </c>
      <c r="EE25">
        <v>1800.03</v>
      </c>
      <c r="EF25">
        <v>0.97799849999999999</v>
      </c>
      <c r="EG25">
        <v>2.2001050000000001E-2</v>
      </c>
      <c r="EH25">
        <v>0</v>
      </c>
      <c r="EI25">
        <v>265.0215</v>
      </c>
      <c r="EJ25">
        <v>5.0006000000000004</v>
      </c>
      <c r="EK25">
        <v>5066.72</v>
      </c>
      <c r="EL25">
        <v>18194.2</v>
      </c>
      <c r="EM25">
        <v>49.125</v>
      </c>
      <c r="EN25">
        <v>48.843499999999999</v>
      </c>
      <c r="EO25">
        <v>49.5</v>
      </c>
      <c r="EP25">
        <v>48.25</v>
      </c>
      <c r="EQ25">
        <v>50.436999999999998</v>
      </c>
      <c r="ER25">
        <v>1755.54</v>
      </c>
      <c r="ES25">
        <v>39.49</v>
      </c>
      <c r="ET25">
        <v>0</v>
      </c>
      <c r="EU25">
        <v>149.5</v>
      </c>
      <c r="EV25">
        <v>0</v>
      </c>
      <c r="EW25">
        <v>264.86596153846199</v>
      </c>
      <c r="EX25">
        <v>0.890495738123807</v>
      </c>
      <c r="EY25">
        <v>17.187008559050899</v>
      </c>
      <c r="EZ25">
        <v>5064.9492307692299</v>
      </c>
      <c r="FA25">
        <v>15</v>
      </c>
      <c r="FB25">
        <v>1742549075</v>
      </c>
      <c r="FC25" t="s">
        <v>456</v>
      </c>
      <c r="FD25">
        <v>1742549067</v>
      </c>
      <c r="FE25">
        <v>1742549075</v>
      </c>
      <c r="FF25">
        <v>78</v>
      </c>
      <c r="FG25">
        <v>1.081</v>
      </c>
      <c r="FH25">
        <v>1E-3</v>
      </c>
      <c r="FI25">
        <v>3.085</v>
      </c>
      <c r="FJ25">
        <v>-6.0000000000000001E-3</v>
      </c>
      <c r="FK25">
        <v>600</v>
      </c>
      <c r="FL25">
        <v>19</v>
      </c>
      <c r="FM25">
        <v>7.0000000000000007E-2</v>
      </c>
      <c r="FN25">
        <v>0.1</v>
      </c>
      <c r="FO25">
        <v>-15.2238619047619</v>
      </c>
      <c r="FP25">
        <v>1.1096103896107899E-2</v>
      </c>
      <c r="FQ25">
        <v>4.2643220598807298E-2</v>
      </c>
      <c r="FR25">
        <v>1</v>
      </c>
      <c r="FS25">
        <v>264.80867647058801</v>
      </c>
      <c r="FT25">
        <v>0.94192513853021498</v>
      </c>
      <c r="FU25">
        <v>0.20461466231578501</v>
      </c>
      <c r="FV25">
        <v>1</v>
      </c>
      <c r="FW25">
        <v>1.71800857142857</v>
      </c>
      <c r="FX25">
        <v>-6.5020519480519706E-2</v>
      </c>
      <c r="FY25">
        <v>7.6983283811452004E-3</v>
      </c>
      <c r="FZ25">
        <v>1</v>
      </c>
      <c r="GA25">
        <v>3</v>
      </c>
      <c r="GB25">
        <v>3</v>
      </c>
      <c r="GC25" t="s">
        <v>420</v>
      </c>
      <c r="GD25">
        <v>3.1419700000000002</v>
      </c>
      <c r="GE25">
        <v>2.7468300000000001</v>
      </c>
      <c r="GF25">
        <v>0.112049</v>
      </c>
      <c r="GG25">
        <v>0.11735</v>
      </c>
      <c r="GH25">
        <v>0.10041</v>
      </c>
      <c r="GI25">
        <v>9.7078499999999998E-2</v>
      </c>
      <c r="GJ25">
        <v>23537.599999999999</v>
      </c>
      <c r="GK25">
        <v>29370.7</v>
      </c>
      <c r="GL25">
        <v>27011.200000000001</v>
      </c>
      <c r="GM25">
        <v>31391.7</v>
      </c>
      <c r="GN25">
        <v>34262.9</v>
      </c>
      <c r="GO25">
        <v>37786.400000000001</v>
      </c>
      <c r="GP25">
        <v>41667.9</v>
      </c>
      <c r="GQ25">
        <v>45529.1</v>
      </c>
      <c r="GR25">
        <v>1.7424999999999999</v>
      </c>
      <c r="GS25">
        <v>1.97438</v>
      </c>
      <c r="GT25">
        <v>0.13836799999999999</v>
      </c>
      <c r="GU25">
        <v>0</v>
      </c>
      <c r="GV25">
        <v>22.721399999999999</v>
      </c>
      <c r="GW25">
        <v>999.9</v>
      </c>
      <c r="GX25">
        <v>52.301000000000002</v>
      </c>
      <c r="GY25">
        <v>31.481000000000002</v>
      </c>
      <c r="GZ25">
        <v>25.457699999999999</v>
      </c>
      <c r="HA25">
        <v>60.244</v>
      </c>
      <c r="HB25">
        <v>18.4495</v>
      </c>
      <c r="HC25">
        <v>1</v>
      </c>
      <c r="HD25">
        <v>0.237813</v>
      </c>
      <c r="HE25">
        <v>2.84</v>
      </c>
      <c r="HF25">
        <v>20.166799999999999</v>
      </c>
      <c r="HG25">
        <v>5.2238800000000003</v>
      </c>
      <c r="HH25">
        <v>11.9793</v>
      </c>
      <c r="HI25">
        <v>4.9534500000000001</v>
      </c>
      <c r="HJ25">
        <v>3.2850000000000001</v>
      </c>
      <c r="HK25">
        <v>9999</v>
      </c>
      <c r="HL25">
        <v>9999</v>
      </c>
      <c r="HM25">
        <v>999.9</v>
      </c>
      <c r="HN25">
        <v>9999</v>
      </c>
      <c r="HO25">
        <v>1.8594599999999999</v>
      </c>
      <c r="HP25">
        <v>1.8602000000000001</v>
      </c>
      <c r="HQ25">
        <v>1.8557300000000001</v>
      </c>
      <c r="HR25">
        <v>1.8585199999999999</v>
      </c>
      <c r="HS25">
        <v>1.86263</v>
      </c>
      <c r="HT25">
        <v>1.8580700000000001</v>
      </c>
      <c r="HU25">
        <v>1.85501</v>
      </c>
      <c r="HV25">
        <v>1.86249</v>
      </c>
      <c r="HW25">
        <v>5</v>
      </c>
      <c r="HX25">
        <v>0</v>
      </c>
      <c r="HY25">
        <v>0</v>
      </c>
      <c r="HZ25">
        <v>0</v>
      </c>
      <c r="IA25" t="s">
        <v>421</v>
      </c>
      <c r="IB25" t="s">
        <v>422</v>
      </c>
      <c r="IC25" t="s">
        <v>423</v>
      </c>
      <c r="ID25" t="s">
        <v>423</v>
      </c>
      <c r="IE25" t="s">
        <v>423</v>
      </c>
      <c r="IF25" t="s">
        <v>423</v>
      </c>
      <c r="IG25">
        <v>0</v>
      </c>
      <c r="IH25">
        <v>100</v>
      </c>
      <c r="II25">
        <v>100</v>
      </c>
      <c r="IJ25">
        <v>3.085</v>
      </c>
      <c r="IK25">
        <v>-6.1999999999999998E-3</v>
      </c>
      <c r="IL25">
        <v>3.0851999999999902</v>
      </c>
      <c r="IM25">
        <v>0</v>
      </c>
      <c r="IN25">
        <v>0</v>
      </c>
      <c r="IO25">
        <v>0</v>
      </c>
      <c r="IP25">
        <v>-6.1999999999997604E-3</v>
      </c>
      <c r="IQ25">
        <v>0</v>
      </c>
      <c r="IR25">
        <v>0</v>
      </c>
      <c r="IS25">
        <v>0</v>
      </c>
      <c r="IT25">
        <v>-1</v>
      </c>
      <c r="IU25">
        <v>-1</v>
      </c>
      <c r="IV25">
        <v>-1</v>
      </c>
      <c r="IW25">
        <v>-1</v>
      </c>
      <c r="IX25">
        <v>1.4</v>
      </c>
      <c r="IY25">
        <v>1.3</v>
      </c>
      <c r="IZ25">
        <v>1.4416500000000001</v>
      </c>
      <c r="JA25">
        <v>2.7734399999999999</v>
      </c>
      <c r="JB25">
        <v>1.69678</v>
      </c>
      <c r="JC25">
        <v>2.3754900000000001</v>
      </c>
      <c r="JD25">
        <v>1.4978</v>
      </c>
      <c r="JE25">
        <v>2.36938</v>
      </c>
      <c r="JF25">
        <v>35.267099999999999</v>
      </c>
      <c r="JG25">
        <v>14.097</v>
      </c>
      <c r="JH25">
        <v>18</v>
      </c>
      <c r="JI25">
        <v>381.31299999999999</v>
      </c>
      <c r="JJ25">
        <v>531.30399999999997</v>
      </c>
      <c r="JK25">
        <v>18.794499999999999</v>
      </c>
      <c r="JL25">
        <v>30.002700000000001</v>
      </c>
      <c r="JM25">
        <v>29.9998</v>
      </c>
      <c r="JN25">
        <v>30.227399999999999</v>
      </c>
      <c r="JO25">
        <v>30.253299999999999</v>
      </c>
      <c r="JP25">
        <v>28.869900000000001</v>
      </c>
      <c r="JQ25">
        <v>100</v>
      </c>
      <c r="JR25">
        <v>100</v>
      </c>
      <c r="JS25">
        <v>18.795100000000001</v>
      </c>
      <c r="JT25">
        <v>600</v>
      </c>
      <c r="JU25">
        <v>0</v>
      </c>
      <c r="JV25">
        <v>102.90300000000001</v>
      </c>
      <c r="JW25">
        <v>101.06399999999999</v>
      </c>
    </row>
    <row r="26" spans="1:283" x14ac:dyDescent="0.25">
      <c r="A26">
        <v>14</v>
      </c>
      <c r="B26">
        <v>1742549306</v>
      </c>
      <c r="C26">
        <v>1695.9000000953699</v>
      </c>
      <c r="D26" t="s">
        <v>457</v>
      </c>
      <c r="E26" t="s">
        <v>458</v>
      </c>
      <c r="F26">
        <v>2</v>
      </c>
      <c r="H26">
        <v>1742549304.5</v>
      </c>
      <c r="I26">
        <f t="shared" si="0"/>
        <v>3.2173549658445345E-3</v>
      </c>
      <c r="J26">
        <f t="shared" si="1"/>
        <v>3.2173549658445344</v>
      </c>
      <c r="K26">
        <f t="shared" si="2"/>
        <v>44.256971881176362</v>
      </c>
      <c r="L26">
        <f t="shared" si="3"/>
        <v>782.33199999999999</v>
      </c>
      <c r="M26">
        <f t="shared" si="4"/>
        <v>484.46419629286993</v>
      </c>
      <c r="N26">
        <f t="shared" si="5"/>
        <v>46.198315824299918</v>
      </c>
      <c r="O26">
        <f t="shared" si="6"/>
        <v>74.602872806739398</v>
      </c>
      <c r="P26">
        <f t="shared" si="7"/>
        <v>0.25883309846935626</v>
      </c>
      <c r="Q26">
        <f t="shared" si="8"/>
        <v>3.0040470487822217</v>
      </c>
      <c r="R26">
        <f t="shared" si="9"/>
        <v>0.2470510043055516</v>
      </c>
      <c r="S26">
        <f t="shared" si="10"/>
        <v>0.1554207531711696</v>
      </c>
      <c r="T26">
        <f t="shared" si="11"/>
        <v>289.56967494038935</v>
      </c>
      <c r="U26">
        <f t="shared" si="12"/>
        <v>25.479764159670378</v>
      </c>
      <c r="V26">
        <f t="shared" si="13"/>
        <v>25.025200000000002</v>
      </c>
      <c r="W26">
        <f t="shared" si="14"/>
        <v>3.184457878205869</v>
      </c>
      <c r="X26">
        <f t="shared" si="15"/>
        <v>63.547726324596709</v>
      </c>
      <c r="Y26">
        <f t="shared" si="16"/>
        <v>1.9761896033322224</v>
      </c>
      <c r="Z26">
        <f t="shared" si="17"/>
        <v>3.1097723201582443</v>
      </c>
      <c r="AA26">
        <f t="shared" si="18"/>
        <v>1.2082682748736466</v>
      </c>
      <c r="AB26">
        <f t="shared" si="19"/>
        <v>-141.88535399374396</v>
      </c>
      <c r="AC26">
        <f t="shared" si="20"/>
        <v>-64.38488604556909</v>
      </c>
      <c r="AD26">
        <f t="shared" si="21"/>
        <v>-4.5256221118410531</v>
      </c>
      <c r="AE26">
        <f t="shared" si="22"/>
        <v>78.773812789235222</v>
      </c>
      <c r="AF26">
        <v>0</v>
      </c>
      <c r="AG26">
        <v>0</v>
      </c>
      <c r="AH26">
        <f t="shared" si="23"/>
        <v>1</v>
      </c>
      <c r="AI26">
        <f t="shared" si="24"/>
        <v>0</v>
      </c>
      <c r="AJ26">
        <f t="shared" si="25"/>
        <v>50810.32845854148</v>
      </c>
      <c r="AK26" t="s">
        <v>415</v>
      </c>
      <c r="AL26">
        <v>10180.200000000001</v>
      </c>
      <c r="AM26">
        <v>191.60769230769199</v>
      </c>
      <c r="AN26">
        <v>979.671341309485</v>
      </c>
      <c r="AO26">
        <f t="shared" si="26"/>
        <v>0.80441635451785476</v>
      </c>
      <c r="AP26">
        <v>-2.5320139233462702</v>
      </c>
      <c r="AQ26" t="s">
        <v>459</v>
      </c>
      <c r="AR26">
        <v>10123.700000000001</v>
      </c>
      <c r="AS26">
        <v>266.30253846153801</v>
      </c>
      <c r="AT26">
        <v>405.68893245171398</v>
      </c>
      <c r="AU26">
        <f t="shared" si="27"/>
        <v>0.34357948378778136</v>
      </c>
      <c r="AV26">
        <v>0.5</v>
      </c>
      <c r="AW26">
        <f t="shared" si="28"/>
        <v>1513.2015061867301</v>
      </c>
      <c r="AX26">
        <f t="shared" si="29"/>
        <v>44.256971881176362</v>
      </c>
      <c r="AY26">
        <f t="shared" si="30"/>
        <v>259.95249618126496</v>
      </c>
      <c r="AZ26">
        <f t="shared" si="31"/>
        <v>3.0920525530291693E-2</v>
      </c>
      <c r="BA26">
        <f t="shared" si="32"/>
        <v>1.4148337875253418</v>
      </c>
      <c r="BB26">
        <f t="shared" si="33"/>
        <v>150.07827867467481</v>
      </c>
      <c r="BC26" t="s">
        <v>417</v>
      </c>
      <c r="BD26">
        <v>0</v>
      </c>
      <c r="BE26">
        <f t="shared" si="34"/>
        <v>150.07827867467481</v>
      </c>
      <c r="BF26">
        <f t="shared" si="35"/>
        <v>0.63006563238562729</v>
      </c>
      <c r="BG26">
        <f t="shared" si="36"/>
        <v>0.54530745072839637</v>
      </c>
      <c r="BH26">
        <f t="shared" si="37"/>
        <v>0.69188429208265945</v>
      </c>
      <c r="BI26">
        <f t="shared" si="38"/>
        <v>0.65109111800924047</v>
      </c>
      <c r="BJ26">
        <f t="shared" si="39"/>
        <v>0.72834524163728442</v>
      </c>
      <c r="BK26">
        <f t="shared" si="40"/>
        <v>0.30731514624901979</v>
      </c>
      <c r="BL26">
        <f t="shared" si="41"/>
        <v>0.69268485375098021</v>
      </c>
      <c r="BM26">
        <v>1766</v>
      </c>
      <c r="BN26">
        <v>290</v>
      </c>
      <c r="BO26">
        <v>367.12</v>
      </c>
      <c r="BP26">
        <v>215</v>
      </c>
      <c r="BQ26">
        <v>10123.700000000001</v>
      </c>
      <c r="BR26">
        <v>366.43</v>
      </c>
      <c r="BS26">
        <v>0.69</v>
      </c>
      <c r="BT26">
        <v>300</v>
      </c>
      <c r="BU26">
        <v>24.2</v>
      </c>
      <c r="BV26">
        <v>405.68893245171398</v>
      </c>
      <c r="BW26">
        <v>1.64132033612914</v>
      </c>
      <c r="BX26">
        <v>-39.745513874963997</v>
      </c>
      <c r="BY26">
        <v>1.47927566918722</v>
      </c>
      <c r="BZ26">
        <v>0.96266176790650504</v>
      </c>
      <c r="CA26">
        <v>-6.8792771968854303E-3</v>
      </c>
      <c r="CB26">
        <v>290</v>
      </c>
      <c r="CC26">
        <v>366.54</v>
      </c>
      <c r="CD26">
        <v>725</v>
      </c>
      <c r="CE26">
        <v>10091.9</v>
      </c>
      <c r="CF26">
        <v>366.31</v>
      </c>
      <c r="CG26">
        <v>0.23</v>
      </c>
      <c r="CU26">
        <f t="shared" si="42"/>
        <v>1800.02</v>
      </c>
      <c r="CV26">
        <f t="shared" si="43"/>
        <v>1513.2015061867301</v>
      </c>
      <c r="CW26">
        <f t="shared" si="44"/>
        <v>0.84065816279081906</v>
      </c>
      <c r="CX26">
        <f t="shared" si="45"/>
        <v>0.1608702541862809</v>
      </c>
      <c r="CY26">
        <v>1.9</v>
      </c>
      <c r="CZ26">
        <v>0.5</v>
      </c>
      <c r="DA26" t="s">
        <v>418</v>
      </c>
      <c r="DB26">
        <v>2</v>
      </c>
      <c r="DC26">
        <v>1742549304.5</v>
      </c>
      <c r="DD26">
        <v>782.33199999999999</v>
      </c>
      <c r="DE26">
        <v>800.10599999999999</v>
      </c>
      <c r="DF26">
        <v>20.723549999999999</v>
      </c>
      <c r="DG26">
        <v>19.526299999999999</v>
      </c>
      <c r="DH26">
        <v>778.76300000000003</v>
      </c>
      <c r="DI26">
        <v>20.728449999999999</v>
      </c>
      <c r="DJ26">
        <v>500.00349999999997</v>
      </c>
      <c r="DK26">
        <v>95.259649999999993</v>
      </c>
      <c r="DL26">
        <v>9.9957950000000004E-2</v>
      </c>
      <c r="DM26">
        <v>24.627649999999999</v>
      </c>
      <c r="DN26">
        <v>25.025200000000002</v>
      </c>
      <c r="DO26">
        <v>999.9</v>
      </c>
      <c r="DP26">
        <v>0</v>
      </c>
      <c r="DQ26">
        <v>0</v>
      </c>
      <c r="DR26">
        <v>10007.85</v>
      </c>
      <c r="DS26">
        <v>0</v>
      </c>
      <c r="DT26">
        <v>359.36450000000002</v>
      </c>
      <c r="DU26">
        <v>-17.773949999999999</v>
      </c>
      <c r="DV26">
        <v>798.88750000000005</v>
      </c>
      <c r="DW26">
        <v>816.04</v>
      </c>
      <c r="DX26">
        <v>1.1972050000000001</v>
      </c>
      <c r="DY26">
        <v>800.10599999999999</v>
      </c>
      <c r="DZ26">
        <v>19.526299999999999</v>
      </c>
      <c r="EA26">
        <v>1.9741150000000001</v>
      </c>
      <c r="EB26">
        <v>1.8600699999999999</v>
      </c>
      <c r="EC26">
        <v>17.238250000000001</v>
      </c>
      <c r="ED26">
        <v>16.30095</v>
      </c>
      <c r="EE26">
        <v>1800.02</v>
      </c>
      <c r="EF26">
        <v>0.97799700000000001</v>
      </c>
      <c r="EG26">
        <v>2.2002500000000001E-2</v>
      </c>
      <c r="EH26">
        <v>0</v>
      </c>
      <c r="EI26">
        <v>266.37349999999998</v>
      </c>
      <c r="EJ26">
        <v>5.0006000000000004</v>
      </c>
      <c r="EK26">
        <v>5091.82</v>
      </c>
      <c r="EL26">
        <v>18194.099999999999</v>
      </c>
      <c r="EM26">
        <v>49</v>
      </c>
      <c r="EN26">
        <v>48.686999999999998</v>
      </c>
      <c r="EO26">
        <v>49.375</v>
      </c>
      <c r="EP26">
        <v>48.155999999999999</v>
      </c>
      <c r="EQ26">
        <v>50.311999999999998</v>
      </c>
      <c r="ER26">
        <v>1755.52</v>
      </c>
      <c r="ES26">
        <v>39.49</v>
      </c>
      <c r="ET26">
        <v>0</v>
      </c>
      <c r="EU26">
        <v>151.90000009536701</v>
      </c>
      <c r="EV26">
        <v>0</v>
      </c>
      <c r="EW26">
        <v>266.30253846153801</v>
      </c>
      <c r="EX26">
        <v>0.96239316238737804</v>
      </c>
      <c r="EY26">
        <v>15.2793162330321</v>
      </c>
      <c r="EZ26">
        <v>5090.1723076923099</v>
      </c>
      <c r="FA26">
        <v>15</v>
      </c>
      <c r="FB26">
        <v>1742549224</v>
      </c>
      <c r="FC26" t="s">
        <v>460</v>
      </c>
      <c r="FD26">
        <v>1742549222</v>
      </c>
      <c r="FE26">
        <v>1742549224</v>
      </c>
      <c r="FF26">
        <v>79</v>
      </c>
      <c r="FG26">
        <v>0.48399999999999999</v>
      </c>
      <c r="FH26">
        <v>1E-3</v>
      </c>
      <c r="FI26">
        <v>3.569</v>
      </c>
      <c r="FJ26">
        <v>-5.0000000000000001E-3</v>
      </c>
      <c r="FK26">
        <v>800</v>
      </c>
      <c r="FL26">
        <v>19</v>
      </c>
      <c r="FM26">
        <v>0.2</v>
      </c>
      <c r="FN26">
        <v>0.14000000000000001</v>
      </c>
      <c r="FO26">
        <v>-17.716944999999999</v>
      </c>
      <c r="FP26">
        <v>-0.15024812030078299</v>
      </c>
      <c r="FQ26">
        <v>3.04019320932074E-2</v>
      </c>
      <c r="FR26">
        <v>1</v>
      </c>
      <c r="FS26">
        <v>266.23008823529398</v>
      </c>
      <c r="FT26">
        <v>0.76411000954255004</v>
      </c>
      <c r="FU26">
        <v>0.22849126224084601</v>
      </c>
      <c r="FV26">
        <v>1</v>
      </c>
      <c r="FW26">
        <v>1.2327055</v>
      </c>
      <c r="FX26">
        <v>-0.24469669172932401</v>
      </c>
      <c r="FY26">
        <v>2.3777716979348499E-2</v>
      </c>
      <c r="FZ26">
        <v>0</v>
      </c>
      <c r="GA26">
        <v>2</v>
      </c>
      <c r="GB26">
        <v>3</v>
      </c>
      <c r="GC26" t="s">
        <v>461</v>
      </c>
      <c r="GD26">
        <v>3.1419999999999999</v>
      </c>
      <c r="GE26">
        <v>2.7469800000000002</v>
      </c>
      <c r="GF26">
        <v>0.13686200000000001</v>
      </c>
      <c r="GG26">
        <v>0.14271300000000001</v>
      </c>
      <c r="GH26">
        <v>9.9091700000000005E-2</v>
      </c>
      <c r="GI26">
        <v>9.7514299999999998E-2</v>
      </c>
      <c r="GJ26">
        <v>22884.400000000001</v>
      </c>
      <c r="GK26">
        <v>28534.1</v>
      </c>
      <c r="GL26">
        <v>27016.400000000001</v>
      </c>
      <c r="GM26">
        <v>31399.9</v>
      </c>
      <c r="GN26">
        <v>34320</v>
      </c>
      <c r="GO26">
        <v>37777.5</v>
      </c>
      <c r="GP26">
        <v>41675.9</v>
      </c>
      <c r="GQ26">
        <v>45540.6</v>
      </c>
      <c r="GR26">
        <v>1.7431000000000001</v>
      </c>
      <c r="GS26">
        <v>1.9775499999999999</v>
      </c>
      <c r="GT26">
        <v>0.13555200000000001</v>
      </c>
      <c r="GU26">
        <v>0</v>
      </c>
      <c r="GV26">
        <v>22.798200000000001</v>
      </c>
      <c r="GW26">
        <v>999.9</v>
      </c>
      <c r="GX26">
        <v>52.423000000000002</v>
      </c>
      <c r="GY26">
        <v>31.401</v>
      </c>
      <c r="GZ26">
        <v>25.3964</v>
      </c>
      <c r="HA26">
        <v>60.094000000000001</v>
      </c>
      <c r="HB26">
        <v>18.4175</v>
      </c>
      <c r="HC26">
        <v>1</v>
      </c>
      <c r="HD26">
        <v>0.23091999999999999</v>
      </c>
      <c r="HE26">
        <v>3.3574600000000001</v>
      </c>
      <c r="HF26">
        <v>20.156099999999999</v>
      </c>
      <c r="HG26">
        <v>5.22403</v>
      </c>
      <c r="HH26">
        <v>11.98</v>
      </c>
      <c r="HI26">
        <v>4.9527999999999999</v>
      </c>
      <c r="HJ26">
        <v>3.28505</v>
      </c>
      <c r="HK26">
        <v>9999</v>
      </c>
      <c r="HL26">
        <v>9999</v>
      </c>
      <c r="HM26">
        <v>999.9</v>
      </c>
      <c r="HN26">
        <v>9999</v>
      </c>
      <c r="HO26">
        <v>1.8594599999999999</v>
      </c>
      <c r="HP26">
        <v>1.8602000000000001</v>
      </c>
      <c r="HQ26">
        <v>1.8556699999999999</v>
      </c>
      <c r="HR26">
        <v>1.8585199999999999</v>
      </c>
      <c r="HS26">
        <v>1.8626400000000001</v>
      </c>
      <c r="HT26">
        <v>1.85806</v>
      </c>
      <c r="HU26">
        <v>1.85501</v>
      </c>
      <c r="HV26">
        <v>1.86249</v>
      </c>
      <c r="HW26">
        <v>5</v>
      </c>
      <c r="HX26">
        <v>0</v>
      </c>
      <c r="HY26">
        <v>0</v>
      </c>
      <c r="HZ26">
        <v>0</v>
      </c>
      <c r="IA26" t="s">
        <v>421</v>
      </c>
      <c r="IB26" t="s">
        <v>422</v>
      </c>
      <c r="IC26" t="s">
        <v>423</v>
      </c>
      <c r="ID26" t="s">
        <v>423</v>
      </c>
      <c r="IE26" t="s">
        <v>423</v>
      </c>
      <c r="IF26" t="s">
        <v>423</v>
      </c>
      <c r="IG26">
        <v>0</v>
      </c>
      <c r="IH26">
        <v>100</v>
      </c>
      <c r="II26">
        <v>100</v>
      </c>
      <c r="IJ26">
        <v>3.569</v>
      </c>
      <c r="IK26">
        <v>-5.0000000000000001E-3</v>
      </c>
      <c r="IL26">
        <v>3.5690909090907299</v>
      </c>
      <c r="IM26">
        <v>0</v>
      </c>
      <c r="IN26">
        <v>0</v>
      </c>
      <c r="IO26">
        <v>0</v>
      </c>
      <c r="IP26">
        <v>-4.9272727272722198E-3</v>
      </c>
      <c r="IQ26">
        <v>0</v>
      </c>
      <c r="IR26">
        <v>0</v>
      </c>
      <c r="IS26">
        <v>0</v>
      </c>
      <c r="IT26">
        <v>-1</v>
      </c>
      <c r="IU26">
        <v>-1</v>
      </c>
      <c r="IV26">
        <v>-1</v>
      </c>
      <c r="IW26">
        <v>-1</v>
      </c>
      <c r="IX26">
        <v>1.4</v>
      </c>
      <c r="IY26">
        <v>1.4</v>
      </c>
      <c r="IZ26">
        <v>1.8200700000000001</v>
      </c>
      <c r="JA26">
        <v>2.7563499999999999</v>
      </c>
      <c r="JB26">
        <v>1.69678</v>
      </c>
      <c r="JC26">
        <v>2.3754900000000001</v>
      </c>
      <c r="JD26">
        <v>1.4978</v>
      </c>
      <c r="JE26">
        <v>2.4108900000000002</v>
      </c>
      <c r="JF26">
        <v>35.197800000000001</v>
      </c>
      <c r="JG26">
        <v>14.0707</v>
      </c>
      <c r="JH26">
        <v>18</v>
      </c>
      <c r="JI26">
        <v>381.01799999999997</v>
      </c>
      <c r="JJ26">
        <v>532.52700000000004</v>
      </c>
      <c r="JK26">
        <v>18.3491</v>
      </c>
      <c r="JL26">
        <v>29.8979</v>
      </c>
      <c r="JM26">
        <v>29.9998</v>
      </c>
      <c r="JN26">
        <v>30.117899999999999</v>
      </c>
      <c r="JO26">
        <v>30.1447</v>
      </c>
      <c r="JP26">
        <v>36.434399999999997</v>
      </c>
      <c r="JQ26">
        <v>100</v>
      </c>
      <c r="JR26">
        <v>100</v>
      </c>
      <c r="JS26">
        <v>18.3367</v>
      </c>
      <c r="JT26">
        <v>800</v>
      </c>
      <c r="JU26">
        <v>0</v>
      </c>
      <c r="JV26">
        <v>102.922</v>
      </c>
      <c r="JW26">
        <v>101.089</v>
      </c>
    </row>
    <row r="27" spans="1:283" x14ac:dyDescent="0.25">
      <c r="A27">
        <v>15</v>
      </c>
      <c r="B27">
        <v>1742549429</v>
      </c>
      <c r="C27">
        <v>1818.9000000953699</v>
      </c>
      <c r="D27" t="s">
        <v>462</v>
      </c>
      <c r="E27" t="s">
        <v>463</v>
      </c>
      <c r="F27">
        <v>2</v>
      </c>
      <c r="H27">
        <v>1742549427</v>
      </c>
      <c r="I27">
        <f t="shared" si="0"/>
        <v>3.2873775091476253E-3</v>
      </c>
      <c r="J27">
        <f t="shared" si="1"/>
        <v>3.2873775091476252</v>
      </c>
      <c r="K27">
        <f t="shared" si="2"/>
        <v>46.974297066348704</v>
      </c>
      <c r="L27">
        <f t="shared" si="3"/>
        <v>980.94666666666706</v>
      </c>
      <c r="M27">
        <f t="shared" si="4"/>
        <v>670.45612638541104</v>
      </c>
      <c r="N27">
        <f t="shared" si="5"/>
        <v>63.934271589899446</v>
      </c>
      <c r="O27">
        <f t="shared" si="6"/>
        <v>93.54245286711118</v>
      </c>
      <c r="P27">
        <f t="shared" si="7"/>
        <v>0.26683677552119633</v>
      </c>
      <c r="Q27">
        <f t="shared" si="8"/>
        <v>3.003949307708174</v>
      </c>
      <c r="R27">
        <f t="shared" si="9"/>
        <v>0.25433328716390019</v>
      </c>
      <c r="S27">
        <f t="shared" si="10"/>
        <v>0.16003286032981878</v>
      </c>
      <c r="T27">
        <f t="shared" si="11"/>
        <v>289.5750292376714</v>
      </c>
      <c r="U27">
        <f t="shared" si="12"/>
        <v>25.397422154319234</v>
      </c>
      <c r="V27">
        <f t="shared" si="13"/>
        <v>25.004733333333299</v>
      </c>
      <c r="W27">
        <f t="shared" si="14"/>
        <v>3.1805749961998329</v>
      </c>
      <c r="X27">
        <f t="shared" si="15"/>
        <v>63.961006007568713</v>
      </c>
      <c r="Y27">
        <f t="shared" si="16"/>
        <v>1.9813705633088867</v>
      </c>
      <c r="Z27">
        <f t="shared" si="17"/>
        <v>3.0977789234184727</v>
      </c>
      <c r="AA27">
        <f t="shared" si="18"/>
        <v>1.1992044328909461</v>
      </c>
      <c r="AB27">
        <f t="shared" si="19"/>
        <v>-144.97334815341029</v>
      </c>
      <c r="AC27">
        <f t="shared" si="20"/>
        <v>-71.532835789582506</v>
      </c>
      <c r="AD27">
        <f t="shared" si="21"/>
        <v>-5.0260621754504351</v>
      </c>
      <c r="AE27">
        <f t="shared" si="22"/>
        <v>68.04278311922819</v>
      </c>
      <c r="AF27">
        <v>0</v>
      </c>
      <c r="AG27">
        <v>0</v>
      </c>
      <c r="AH27">
        <f t="shared" si="23"/>
        <v>1</v>
      </c>
      <c r="AI27">
        <f t="shared" si="24"/>
        <v>0</v>
      </c>
      <c r="AJ27">
        <f t="shared" si="25"/>
        <v>50818.585943873986</v>
      </c>
      <c r="AK27" t="s">
        <v>415</v>
      </c>
      <c r="AL27">
        <v>10180.200000000001</v>
      </c>
      <c r="AM27">
        <v>191.60769230769199</v>
      </c>
      <c r="AN27">
        <v>979.671341309485</v>
      </c>
      <c r="AO27">
        <f t="shared" si="26"/>
        <v>0.80441635451785476</v>
      </c>
      <c r="AP27">
        <v>-2.5320139233462702</v>
      </c>
      <c r="AQ27" t="s">
        <v>464</v>
      </c>
      <c r="AR27">
        <v>10129.1</v>
      </c>
      <c r="AS27">
        <v>262.43936000000002</v>
      </c>
      <c r="AT27">
        <v>401.843576877141</v>
      </c>
      <c r="AU27">
        <f t="shared" si="27"/>
        <v>0.34691164646825301</v>
      </c>
      <c r="AV27">
        <v>0.5</v>
      </c>
      <c r="AW27">
        <f t="shared" si="28"/>
        <v>1513.2269996050109</v>
      </c>
      <c r="AX27">
        <f t="shared" si="29"/>
        <v>46.974297066348704</v>
      </c>
      <c r="AY27">
        <f t="shared" si="30"/>
        <v>262.4780349565944</v>
      </c>
      <c r="AZ27">
        <f t="shared" si="31"/>
        <v>3.2715720115103236E-2</v>
      </c>
      <c r="BA27">
        <f t="shared" si="32"/>
        <v>1.437942019436603</v>
      </c>
      <c r="BB27">
        <f t="shared" si="33"/>
        <v>149.54887457177404</v>
      </c>
      <c r="BC27" t="s">
        <v>417</v>
      </c>
      <c r="BD27">
        <v>0</v>
      </c>
      <c r="BE27">
        <f t="shared" si="34"/>
        <v>149.54887457177404</v>
      </c>
      <c r="BF27">
        <f t="shared" si="35"/>
        <v>0.62784306337812423</v>
      </c>
      <c r="BG27">
        <f t="shared" si="36"/>
        <v>0.55254516089050476</v>
      </c>
      <c r="BH27">
        <f t="shared" si="37"/>
        <v>0.69607532332324762</v>
      </c>
      <c r="BI27">
        <f t="shared" si="38"/>
        <v>0.66308478765474688</v>
      </c>
      <c r="BJ27">
        <f t="shared" si="39"/>
        <v>0.73322474036742347</v>
      </c>
      <c r="BK27">
        <f t="shared" si="40"/>
        <v>0.31486323911647551</v>
      </c>
      <c r="BL27">
        <f t="shared" si="41"/>
        <v>0.68513676088352449</v>
      </c>
      <c r="BM27">
        <v>1767</v>
      </c>
      <c r="BN27">
        <v>290</v>
      </c>
      <c r="BO27">
        <v>362.43</v>
      </c>
      <c r="BP27">
        <v>185</v>
      </c>
      <c r="BQ27">
        <v>10129.1</v>
      </c>
      <c r="BR27">
        <v>361.97</v>
      </c>
      <c r="BS27">
        <v>0.46</v>
      </c>
      <c r="BT27">
        <v>300</v>
      </c>
      <c r="BU27">
        <v>24.2</v>
      </c>
      <c r="BV27">
        <v>401.843576877141</v>
      </c>
      <c r="BW27">
        <v>1.3034145517797799</v>
      </c>
      <c r="BX27">
        <v>-40.384791089660801</v>
      </c>
      <c r="BY27">
        <v>1.1747490335123201</v>
      </c>
      <c r="BZ27">
        <v>0.97685575685863302</v>
      </c>
      <c r="CA27">
        <v>-6.8792769744160098E-3</v>
      </c>
      <c r="CB27">
        <v>290</v>
      </c>
      <c r="CC27">
        <v>362.82</v>
      </c>
      <c r="CD27">
        <v>675</v>
      </c>
      <c r="CE27">
        <v>10095.799999999999</v>
      </c>
      <c r="CF27">
        <v>361.84</v>
      </c>
      <c r="CG27">
        <v>0.98</v>
      </c>
      <c r="CU27">
        <f t="shared" si="42"/>
        <v>1800.05</v>
      </c>
      <c r="CV27">
        <f t="shared" si="43"/>
        <v>1513.2269996050109</v>
      </c>
      <c r="CW27">
        <f t="shared" si="44"/>
        <v>0.84065831482737197</v>
      </c>
      <c r="CX27">
        <f t="shared" si="45"/>
        <v>0.16087054761682809</v>
      </c>
      <c r="CY27">
        <v>1.9</v>
      </c>
      <c r="CZ27">
        <v>0.5</v>
      </c>
      <c r="DA27" t="s">
        <v>418</v>
      </c>
      <c r="DB27">
        <v>2</v>
      </c>
      <c r="DC27">
        <v>1742549427</v>
      </c>
      <c r="DD27">
        <v>980.94666666666706</v>
      </c>
      <c r="DE27">
        <v>1000.02</v>
      </c>
      <c r="DF27">
        <v>20.777933333333301</v>
      </c>
      <c r="DG27">
        <v>19.554833333333299</v>
      </c>
      <c r="DH27">
        <v>976.77533333333304</v>
      </c>
      <c r="DI27">
        <v>20.780733333333298</v>
      </c>
      <c r="DJ27">
        <v>500.06033333333301</v>
      </c>
      <c r="DK27">
        <v>95.259466666666697</v>
      </c>
      <c r="DL27">
        <v>9.9900000000000003E-2</v>
      </c>
      <c r="DM27">
        <v>24.563033333333301</v>
      </c>
      <c r="DN27">
        <v>25.004733333333299</v>
      </c>
      <c r="DO27">
        <v>999.9</v>
      </c>
      <c r="DP27">
        <v>0</v>
      </c>
      <c r="DQ27">
        <v>0</v>
      </c>
      <c r="DR27">
        <v>10007.299999999999</v>
      </c>
      <c r="DS27">
        <v>0</v>
      </c>
      <c r="DT27">
        <v>257.62299999999999</v>
      </c>
      <c r="DU27">
        <v>-19.075233333333301</v>
      </c>
      <c r="DV27">
        <v>1001.76</v>
      </c>
      <c r="DW27">
        <v>1019.97</v>
      </c>
      <c r="DX27">
        <v>1.2231066666666699</v>
      </c>
      <c r="DY27">
        <v>1000.02</v>
      </c>
      <c r="DZ27">
        <v>19.554833333333299</v>
      </c>
      <c r="EA27">
        <v>1.97929333333333</v>
      </c>
      <c r="EB27">
        <v>1.8627833333333299</v>
      </c>
      <c r="EC27">
        <v>17.279666666666699</v>
      </c>
      <c r="ED27">
        <v>16.323799999999999</v>
      </c>
      <c r="EE27">
        <v>1800.05</v>
      </c>
      <c r="EF27">
        <v>0.97799700000000001</v>
      </c>
      <c r="EG27">
        <v>2.2002500000000001E-2</v>
      </c>
      <c r="EH27">
        <v>0</v>
      </c>
      <c r="EI27">
        <v>262.54500000000002</v>
      </c>
      <c r="EJ27">
        <v>5.0006000000000004</v>
      </c>
      <c r="EK27">
        <v>5023.6000000000004</v>
      </c>
      <c r="EL27">
        <v>18194.400000000001</v>
      </c>
      <c r="EM27">
        <v>49</v>
      </c>
      <c r="EN27">
        <v>48.625</v>
      </c>
      <c r="EO27">
        <v>49.311999999999998</v>
      </c>
      <c r="EP27">
        <v>48.125</v>
      </c>
      <c r="EQ27">
        <v>50.311999999999998</v>
      </c>
      <c r="ER27">
        <v>1755.55</v>
      </c>
      <c r="ES27">
        <v>39.5</v>
      </c>
      <c r="ET27">
        <v>0</v>
      </c>
      <c r="EU27">
        <v>121.700000047684</v>
      </c>
      <c r="EV27">
        <v>0</v>
      </c>
      <c r="EW27">
        <v>262.43936000000002</v>
      </c>
      <c r="EX27">
        <v>0.88469230709948699</v>
      </c>
      <c r="EY27">
        <v>13.5930769171514</v>
      </c>
      <c r="EZ27">
        <v>5022.1304</v>
      </c>
      <c r="FA27">
        <v>15</v>
      </c>
      <c r="FB27">
        <v>1742549382</v>
      </c>
      <c r="FC27" t="s">
        <v>465</v>
      </c>
      <c r="FD27">
        <v>1742549382</v>
      </c>
      <c r="FE27">
        <v>1742549369</v>
      </c>
      <c r="FF27">
        <v>80</v>
      </c>
      <c r="FG27">
        <v>0.60299999999999998</v>
      </c>
      <c r="FH27">
        <v>2E-3</v>
      </c>
      <c r="FI27">
        <v>4.1719999999999997</v>
      </c>
      <c r="FJ27">
        <v>-3.0000000000000001E-3</v>
      </c>
      <c r="FK27">
        <v>1000</v>
      </c>
      <c r="FL27">
        <v>20</v>
      </c>
      <c r="FM27">
        <v>0.16</v>
      </c>
      <c r="FN27">
        <v>0.19</v>
      </c>
      <c r="FO27">
        <v>-19.134233333333299</v>
      </c>
      <c r="FP27">
        <v>0.111381818181797</v>
      </c>
      <c r="FQ27">
        <v>5.68487159743871E-2</v>
      </c>
      <c r="FR27">
        <v>1</v>
      </c>
      <c r="FS27">
        <v>262.432205882353</v>
      </c>
      <c r="FT27">
        <v>0.22650878720645401</v>
      </c>
      <c r="FU27">
        <v>0.20990526986795299</v>
      </c>
      <c r="FV27">
        <v>1</v>
      </c>
      <c r="FW27">
        <v>1.21292523809524</v>
      </c>
      <c r="FX27">
        <v>9.4981558441559102E-2</v>
      </c>
      <c r="FY27">
        <v>1.0048691750456499E-2</v>
      </c>
      <c r="FZ27">
        <v>1</v>
      </c>
      <c r="GA27">
        <v>3</v>
      </c>
      <c r="GB27">
        <v>3</v>
      </c>
      <c r="GC27" t="s">
        <v>420</v>
      </c>
      <c r="GD27">
        <v>3.1419700000000002</v>
      </c>
      <c r="GE27">
        <v>2.74688</v>
      </c>
      <c r="GF27">
        <v>0.158634</v>
      </c>
      <c r="GG27">
        <v>0.16486700000000001</v>
      </c>
      <c r="GH27">
        <v>9.9293199999999998E-2</v>
      </c>
      <c r="GI27">
        <v>9.7624699999999995E-2</v>
      </c>
      <c r="GJ27">
        <v>22310.1</v>
      </c>
      <c r="GK27">
        <v>27800.1</v>
      </c>
      <c r="GL27">
        <v>27020.1</v>
      </c>
      <c r="GM27">
        <v>31404.1</v>
      </c>
      <c r="GN27">
        <v>34316.5</v>
      </c>
      <c r="GO27">
        <v>37778.6</v>
      </c>
      <c r="GP27">
        <v>41681.300000000003</v>
      </c>
      <c r="GQ27">
        <v>45547.6</v>
      </c>
      <c r="GR27">
        <v>1.7437</v>
      </c>
      <c r="GS27">
        <v>1.9797499999999999</v>
      </c>
      <c r="GT27">
        <v>0.135601</v>
      </c>
      <c r="GU27">
        <v>0</v>
      </c>
      <c r="GV27">
        <v>22.7685</v>
      </c>
      <c r="GW27">
        <v>999.9</v>
      </c>
      <c r="GX27">
        <v>52.497</v>
      </c>
      <c r="GY27">
        <v>31.31</v>
      </c>
      <c r="GZ27">
        <v>25.304500000000001</v>
      </c>
      <c r="HA27">
        <v>60.154000000000003</v>
      </c>
      <c r="HB27">
        <v>18.465499999999999</v>
      </c>
      <c r="HC27">
        <v>1</v>
      </c>
      <c r="HD27">
        <v>0.22470499999999999</v>
      </c>
      <c r="HE27">
        <v>3.4103699999999999</v>
      </c>
      <c r="HF27">
        <v>20.1553</v>
      </c>
      <c r="HG27">
        <v>5.2231300000000003</v>
      </c>
      <c r="HH27">
        <v>11.979100000000001</v>
      </c>
      <c r="HI27">
        <v>4.9528499999999998</v>
      </c>
      <c r="HJ27">
        <v>3.2851300000000001</v>
      </c>
      <c r="HK27">
        <v>9999</v>
      </c>
      <c r="HL27">
        <v>9999</v>
      </c>
      <c r="HM27">
        <v>999.9</v>
      </c>
      <c r="HN27">
        <v>9999</v>
      </c>
      <c r="HO27">
        <v>1.8594900000000001</v>
      </c>
      <c r="HP27">
        <v>1.8602000000000001</v>
      </c>
      <c r="HQ27">
        <v>1.8556999999999999</v>
      </c>
      <c r="HR27">
        <v>1.8585199999999999</v>
      </c>
      <c r="HS27">
        <v>1.8626199999999999</v>
      </c>
      <c r="HT27">
        <v>1.85806</v>
      </c>
      <c r="HU27">
        <v>1.85501</v>
      </c>
      <c r="HV27">
        <v>1.86249</v>
      </c>
      <c r="HW27">
        <v>5</v>
      </c>
      <c r="HX27">
        <v>0</v>
      </c>
      <c r="HY27">
        <v>0</v>
      </c>
      <c r="HZ27">
        <v>0</v>
      </c>
      <c r="IA27" t="s">
        <v>421</v>
      </c>
      <c r="IB27" t="s">
        <v>422</v>
      </c>
      <c r="IC27" t="s">
        <v>423</v>
      </c>
      <c r="ID27" t="s">
        <v>423</v>
      </c>
      <c r="IE27" t="s">
        <v>423</v>
      </c>
      <c r="IF27" t="s">
        <v>423</v>
      </c>
      <c r="IG27">
        <v>0</v>
      </c>
      <c r="IH27">
        <v>100</v>
      </c>
      <c r="II27">
        <v>100</v>
      </c>
      <c r="IJ27">
        <v>4.1719999999999997</v>
      </c>
      <c r="IK27">
        <v>-2.8E-3</v>
      </c>
      <c r="IL27">
        <v>4.1717272727273702</v>
      </c>
      <c r="IM27">
        <v>0</v>
      </c>
      <c r="IN27">
        <v>0</v>
      </c>
      <c r="IO27">
        <v>0</v>
      </c>
      <c r="IP27">
        <v>-2.7799999999977799E-3</v>
      </c>
      <c r="IQ27">
        <v>0</v>
      </c>
      <c r="IR27">
        <v>0</v>
      </c>
      <c r="IS27">
        <v>0</v>
      </c>
      <c r="IT27">
        <v>-1</v>
      </c>
      <c r="IU27">
        <v>-1</v>
      </c>
      <c r="IV27">
        <v>-1</v>
      </c>
      <c r="IW27">
        <v>-1</v>
      </c>
      <c r="IX27">
        <v>0.8</v>
      </c>
      <c r="IY27">
        <v>1</v>
      </c>
      <c r="IZ27">
        <v>2.1814</v>
      </c>
      <c r="JA27">
        <v>2.7526899999999999</v>
      </c>
      <c r="JB27">
        <v>1.69678</v>
      </c>
      <c r="JC27">
        <v>2.3754900000000001</v>
      </c>
      <c r="JD27">
        <v>1.4978</v>
      </c>
      <c r="JE27">
        <v>2.4145500000000002</v>
      </c>
      <c r="JF27">
        <v>35.128599999999999</v>
      </c>
      <c r="JG27">
        <v>14.0357</v>
      </c>
      <c r="JH27">
        <v>18</v>
      </c>
      <c r="JI27">
        <v>380.9</v>
      </c>
      <c r="JJ27">
        <v>533.35199999999998</v>
      </c>
      <c r="JK27">
        <v>18.334</v>
      </c>
      <c r="JL27">
        <v>29.828399999999998</v>
      </c>
      <c r="JM27">
        <v>30.000499999999999</v>
      </c>
      <c r="JN27">
        <v>30.041399999999999</v>
      </c>
      <c r="JO27">
        <v>30.0669</v>
      </c>
      <c r="JP27">
        <v>43.6464</v>
      </c>
      <c r="JQ27">
        <v>100</v>
      </c>
      <c r="JR27">
        <v>100</v>
      </c>
      <c r="JS27">
        <v>18.304400000000001</v>
      </c>
      <c r="JT27">
        <v>1000</v>
      </c>
      <c r="JU27">
        <v>0</v>
      </c>
      <c r="JV27">
        <v>102.93600000000001</v>
      </c>
      <c r="JW27">
        <v>101.104</v>
      </c>
    </row>
    <row r="28" spans="1:283" x14ac:dyDescent="0.25">
      <c r="A28">
        <v>16</v>
      </c>
      <c r="B28">
        <v>1742549554</v>
      </c>
      <c r="C28">
        <v>1943.9000000953699</v>
      </c>
      <c r="D28" t="s">
        <v>466</v>
      </c>
      <c r="E28" t="s">
        <v>467</v>
      </c>
      <c r="F28">
        <v>2</v>
      </c>
      <c r="H28">
        <v>1742549552</v>
      </c>
      <c r="I28">
        <f t="shared" si="0"/>
        <v>3.1564662602677871E-3</v>
      </c>
      <c r="J28">
        <f t="shared" si="1"/>
        <v>3.1564662602677869</v>
      </c>
      <c r="K28">
        <f t="shared" si="2"/>
        <v>47.676664875013032</v>
      </c>
      <c r="L28">
        <f t="shared" si="3"/>
        <v>1180.4733333333299</v>
      </c>
      <c r="M28">
        <f t="shared" si="4"/>
        <v>848.79202472621807</v>
      </c>
      <c r="N28">
        <f t="shared" si="5"/>
        <v>80.938599684956614</v>
      </c>
      <c r="O28">
        <f t="shared" si="6"/>
        <v>112.56686653747897</v>
      </c>
      <c r="P28">
        <f t="shared" si="7"/>
        <v>0.25533570170608538</v>
      </c>
      <c r="Q28">
        <f t="shared" si="8"/>
        <v>3.002229269630817</v>
      </c>
      <c r="R28">
        <f t="shared" si="9"/>
        <v>0.24385566369153025</v>
      </c>
      <c r="S28">
        <f t="shared" si="10"/>
        <v>0.15339820898139286</v>
      </c>
      <c r="T28">
        <f t="shared" si="11"/>
        <v>289.56917723765531</v>
      </c>
      <c r="U28">
        <f t="shared" si="12"/>
        <v>25.401815852482478</v>
      </c>
      <c r="V28">
        <f t="shared" si="13"/>
        <v>24.993266666666699</v>
      </c>
      <c r="W28">
        <f t="shared" si="14"/>
        <v>3.1784013792936427</v>
      </c>
      <c r="X28">
        <f t="shared" si="15"/>
        <v>63.947156564089468</v>
      </c>
      <c r="Y28">
        <f t="shared" si="16"/>
        <v>1.9774645239488593</v>
      </c>
      <c r="Z28">
        <f t="shared" si="17"/>
        <v>3.0923415992187144</v>
      </c>
      <c r="AA28">
        <f t="shared" si="18"/>
        <v>1.2009368553447834</v>
      </c>
      <c r="AB28">
        <f t="shared" si="19"/>
        <v>-139.20016207780941</v>
      </c>
      <c r="AC28">
        <f t="shared" si="20"/>
        <v>-74.389102343040818</v>
      </c>
      <c r="AD28">
        <f t="shared" si="21"/>
        <v>-5.2286691946747563</v>
      </c>
      <c r="AE28">
        <f t="shared" si="22"/>
        <v>70.751243622130332</v>
      </c>
      <c r="AF28">
        <v>0</v>
      </c>
      <c r="AG28">
        <v>0</v>
      </c>
      <c r="AH28">
        <f t="shared" si="23"/>
        <v>1</v>
      </c>
      <c r="AI28">
        <f t="shared" si="24"/>
        <v>0</v>
      </c>
      <c r="AJ28">
        <f t="shared" si="25"/>
        <v>50774.783320680843</v>
      </c>
      <c r="AK28" t="s">
        <v>415</v>
      </c>
      <c r="AL28">
        <v>10180.200000000001</v>
      </c>
      <c r="AM28">
        <v>191.60769230769199</v>
      </c>
      <c r="AN28">
        <v>979.671341309485</v>
      </c>
      <c r="AO28">
        <f t="shared" si="26"/>
        <v>0.80441635451785476</v>
      </c>
      <c r="AP28">
        <v>-2.5320139233462702</v>
      </c>
      <c r="AQ28" t="s">
        <v>468</v>
      </c>
      <c r="AR28">
        <v>10118.200000000001</v>
      </c>
      <c r="AS28">
        <v>257.84379999999999</v>
      </c>
      <c r="AT28">
        <v>394.29251307139401</v>
      </c>
      <c r="AU28">
        <f t="shared" si="27"/>
        <v>0.34605960942171743</v>
      </c>
      <c r="AV28">
        <v>0.5</v>
      </c>
      <c r="AW28">
        <f t="shared" si="28"/>
        <v>1513.1961996050002</v>
      </c>
      <c r="AX28">
        <f t="shared" si="29"/>
        <v>47.676664875013032</v>
      </c>
      <c r="AY28">
        <f t="shared" si="30"/>
        <v>261.82804290686676</v>
      </c>
      <c r="AZ28">
        <f t="shared" si="31"/>
        <v>3.3180547777919088E-2</v>
      </c>
      <c r="BA28">
        <f t="shared" si="32"/>
        <v>1.4846308484992645</v>
      </c>
      <c r="BB28">
        <f t="shared" si="33"/>
        <v>148.49056049172464</v>
      </c>
      <c r="BC28" t="s">
        <v>417</v>
      </c>
      <c r="BD28">
        <v>0</v>
      </c>
      <c r="BE28">
        <f t="shared" si="34"/>
        <v>148.49056049172464</v>
      </c>
      <c r="BF28">
        <f t="shared" si="35"/>
        <v>0.62339999982490757</v>
      </c>
      <c r="BG28">
        <f t="shared" si="36"/>
        <v>0.55511647340217218</v>
      </c>
      <c r="BH28">
        <f t="shared" si="37"/>
        <v>0.70427377743523356</v>
      </c>
      <c r="BI28">
        <f t="shared" si="38"/>
        <v>0.67320637311301834</v>
      </c>
      <c r="BJ28">
        <f t="shared" si="39"/>
        <v>0.74280653470004065</v>
      </c>
      <c r="BK28">
        <f t="shared" si="40"/>
        <v>0.31968795167337011</v>
      </c>
      <c r="BL28">
        <f t="shared" si="41"/>
        <v>0.68031204832662984</v>
      </c>
      <c r="BM28">
        <v>1768</v>
      </c>
      <c r="BN28">
        <v>290</v>
      </c>
      <c r="BO28">
        <v>353.16</v>
      </c>
      <c r="BP28">
        <v>255</v>
      </c>
      <c r="BQ28">
        <v>10118.200000000001</v>
      </c>
      <c r="BR28">
        <v>353.13</v>
      </c>
      <c r="BS28">
        <v>0.03</v>
      </c>
      <c r="BT28">
        <v>300</v>
      </c>
      <c r="BU28">
        <v>24.2</v>
      </c>
      <c r="BV28">
        <v>394.29251307139401</v>
      </c>
      <c r="BW28">
        <v>1.62803312333289</v>
      </c>
      <c r="BX28">
        <v>-41.646120839751397</v>
      </c>
      <c r="BY28">
        <v>1.4673767382115499</v>
      </c>
      <c r="BZ28">
        <v>0.96640674145147498</v>
      </c>
      <c r="CA28">
        <v>-6.8794765294771998E-3</v>
      </c>
      <c r="CB28">
        <v>290</v>
      </c>
      <c r="CC28">
        <v>353.02</v>
      </c>
      <c r="CD28">
        <v>845</v>
      </c>
      <c r="CE28">
        <v>10085.9</v>
      </c>
      <c r="CF28">
        <v>353</v>
      </c>
      <c r="CG28">
        <v>0.02</v>
      </c>
      <c r="CU28">
        <f t="shared" si="42"/>
        <v>1800.0133333333299</v>
      </c>
      <c r="CV28">
        <f t="shared" si="43"/>
        <v>1513.1961996050002</v>
      </c>
      <c r="CW28">
        <f t="shared" si="44"/>
        <v>0.84065832823738518</v>
      </c>
      <c r="CX28">
        <f t="shared" si="45"/>
        <v>0.16087057349815329</v>
      </c>
      <c r="CY28">
        <v>1.9</v>
      </c>
      <c r="CZ28">
        <v>0.5</v>
      </c>
      <c r="DA28" t="s">
        <v>418</v>
      </c>
      <c r="DB28">
        <v>2</v>
      </c>
      <c r="DC28">
        <v>1742549552</v>
      </c>
      <c r="DD28">
        <v>1180.4733333333299</v>
      </c>
      <c r="DE28">
        <v>1200.0066666666701</v>
      </c>
      <c r="DF28">
        <v>20.737400000000001</v>
      </c>
      <c r="DG28">
        <v>19.562799999999999</v>
      </c>
      <c r="DH28">
        <v>1175.59666666667</v>
      </c>
      <c r="DI28">
        <v>20.733066666666701</v>
      </c>
      <c r="DJ28">
        <v>499.99299999999999</v>
      </c>
      <c r="DK28">
        <v>95.257433333333296</v>
      </c>
      <c r="DL28">
        <v>9.99655666666667E-2</v>
      </c>
      <c r="DM28">
        <v>24.533666666666701</v>
      </c>
      <c r="DN28">
        <v>24.993266666666699</v>
      </c>
      <c r="DO28">
        <v>999.9</v>
      </c>
      <c r="DP28">
        <v>0</v>
      </c>
      <c r="DQ28">
        <v>0</v>
      </c>
      <c r="DR28">
        <v>9997.5</v>
      </c>
      <c r="DS28">
        <v>0</v>
      </c>
      <c r="DT28">
        <v>320.56</v>
      </c>
      <c r="DU28">
        <v>-19.5363333333333</v>
      </c>
      <c r="DV28">
        <v>1205.47</v>
      </c>
      <c r="DW28">
        <v>1223.95</v>
      </c>
      <c r="DX28">
        <v>1.1746099999999999</v>
      </c>
      <c r="DY28">
        <v>1200.0066666666701</v>
      </c>
      <c r="DZ28">
        <v>19.562799999999999</v>
      </c>
      <c r="EA28">
        <v>1.97539333333333</v>
      </c>
      <c r="EB28">
        <v>1.86350333333333</v>
      </c>
      <c r="EC28">
        <v>17.248466666666701</v>
      </c>
      <c r="ED28">
        <v>16.3298666666667</v>
      </c>
      <c r="EE28">
        <v>1800.0133333333299</v>
      </c>
      <c r="EF28">
        <v>0.97799633333333302</v>
      </c>
      <c r="EG28">
        <v>2.20034666666667E-2</v>
      </c>
      <c r="EH28">
        <v>0</v>
      </c>
      <c r="EI28">
        <v>257.88</v>
      </c>
      <c r="EJ28">
        <v>5.0006000000000004</v>
      </c>
      <c r="EK28">
        <v>4938.4799999999996</v>
      </c>
      <c r="EL28">
        <v>18194.066666666698</v>
      </c>
      <c r="EM28">
        <v>48.936999999999998</v>
      </c>
      <c r="EN28">
        <v>48.561999999999998</v>
      </c>
      <c r="EO28">
        <v>49.25</v>
      </c>
      <c r="EP28">
        <v>48.125</v>
      </c>
      <c r="EQ28">
        <v>50.311999999999998</v>
      </c>
      <c r="ER28">
        <v>1755.5133333333299</v>
      </c>
      <c r="ES28">
        <v>39.5</v>
      </c>
      <c r="ET28">
        <v>0</v>
      </c>
      <c r="EU28">
        <v>123.90000009536701</v>
      </c>
      <c r="EV28">
        <v>0</v>
      </c>
      <c r="EW28">
        <v>257.84379999999999</v>
      </c>
      <c r="EX28">
        <v>1.59023077582453</v>
      </c>
      <c r="EY28">
        <v>11.467692291077899</v>
      </c>
      <c r="EZ28">
        <v>4937.5508</v>
      </c>
      <c r="FA28">
        <v>15</v>
      </c>
      <c r="FB28">
        <v>1742549499</v>
      </c>
      <c r="FC28" t="s">
        <v>469</v>
      </c>
      <c r="FD28">
        <v>1742549491</v>
      </c>
      <c r="FE28">
        <v>1742549499</v>
      </c>
      <c r="FF28">
        <v>81</v>
      </c>
      <c r="FG28">
        <v>0.69799999999999995</v>
      </c>
      <c r="FH28">
        <v>7.0000000000000001E-3</v>
      </c>
      <c r="FI28">
        <v>4.8719999999999999</v>
      </c>
      <c r="FJ28">
        <v>4.0000000000000001E-3</v>
      </c>
      <c r="FK28">
        <v>1200</v>
      </c>
      <c r="FL28">
        <v>20</v>
      </c>
      <c r="FM28">
        <v>0.15</v>
      </c>
      <c r="FN28">
        <v>0.23</v>
      </c>
      <c r="FO28">
        <v>-19.508299999999998</v>
      </c>
      <c r="FP28">
        <v>0.204739849624058</v>
      </c>
      <c r="FQ28">
        <v>7.7201988316363698E-2</v>
      </c>
      <c r="FR28">
        <v>1</v>
      </c>
      <c r="FS28">
        <v>257.77635294117601</v>
      </c>
      <c r="FT28">
        <v>0.76149732770636402</v>
      </c>
      <c r="FU28">
        <v>0.19693442957027801</v>
      </c>
      <c r="FV28">
        <v>1</v>
      </c>
      <c r="FW28">
        <v>1.1620625</v>
      </c>
      <c r="FX28">
        <v>9.4992631578946607E-2</v>
      </c>
      <c r="FY28">
        <v>9.3796406514322205E-3</v>
      </c>
      <c r="FZ28">
        <v>1</v>
      </c>
      <c r="GA28">
        <v>3</v>
      </c>
      <c r="GB28">
        <v>3</v>
      </c>
      <c r="GC28" t="s">
        <v>420</v>
      </c>
      <c r="GD28">
        <v>3.1420300000000001</v>
      </c>
      <c r="GE28">
        <v>2.7468499999999998</v>
      </c>
      <c r="GF28">
        <v>0.178198</v>
      </c>
      <c r="GG28">
        <v>0.18471000000000001</v>
      </c>
      <c r="GH28">
        <v>9.9149299999999996E-2</v>
      </c>
      <c r="GI28">
        <v>9.7679100000000005E-2</v>
      </c>
      <c r="GJ28">
        <v>21793.1</v>
      </c>
      <c r="GK28">
        <v>27143.9</v>
      </c>
      <c r="GL28">
        <v>27022.6</v>
      </c>
      <c r="GM28">
        <v>31409.7</v>
      </c>
      <c r="GN28">
        <v>34325.300000000003</v>
      </c>
      <c r="GO28">
        <v>37782.9</v>
      </c>
      <c r="GP28">
        <v>41685.4</v>
      </c>
      <c r="GQ28">
        <v>45555.6</v>
      </c>
      <c r="GR28">
        <v>1.7444500000000001</v>
      </c>
      <c r="GS28">
        <v>1.98197</v>
      </c>
      <c r="GT28">
        <v>0.13660600000000001</v>
      </c>
      <c r="GU28">
        <v>0</v>
      </c>
      <c r="GV28">
        <v>22.7425</v>
      </c>
      <c r="GW28">
        <v>999.9</v>
      </c>
      <c r="GX28">
        <v>52.521000000000001</v>
      </c>
      <c r="GY28">
        <v>31.228999999999999</v>
      </c>
      <c r="GZ28">
        <v>25.203600000000002</v>
      </c>
      <c r="HA28">
        <v>60.283999999999999</v>
      </c>
      <c r="HB28">
        <v>18.4816</v>
      </c>
      <c r="HC28">
        <v>1</v>
      </c>
      <c r="HD28">
        <v>0.21879100000000001</v>
      </c>
      <c r="HE28">
        <v>3.1705100000000002</v>
      </c>
      <c r="HF28">
        <v>20.160699999999999</v>
      </c>
      <c r="HG28">
        <v>5.2231300000000003</v>
      </c>
      <c r="HH28">
        <v>11.979799999999999</v>
      </c>
      <c r="HI28">
        <v>4.9531499999999999</v>
      </c>
      <c r="HJ28">
        <v>3.2850299999999999</v>
      </c>
      <c r="HK28">
        <v>9999</v>
      </c>
      <c r="HL28">
        <v>9999</v>
      </c>
      <c r="HM28">
        <v>999.9</v>
      </c>
      <c r="HN28">
        <v>9999</v>
      </c>
      <c r="HO28">
        <v>1.85945</v>
      </c>
      <c r="HP28">
        <v>1.8602000000000001</v>
      </c>
      <c r="HQ28">
        <v>1.8557300000000001</v>
      </c>
      <c r="HR28">
        <v>1.8585199999999999</v>
      </c>
      <c r="HS28">
        <v>1.8626199999999999</v>
      </c>
      <c r="HT28">
        <v>1.85806</v>
      </c>
      <c r="HU28">
        <v>1.855</v>
      </c>
      <c r="HV28">
        <v>1.86249</v>
      </c>
      <c r="HW28">
        <v>5</v>
      </c>
      <c r="HX28">
        <v>0</v>
      </c>
      <c r="HY28">
        <v>0</v>
      </c>
      <c r="HZ28">
        <v>0</v>
      </c>
      <c r="IA28" t="s">
        <v>421</v>
      </c>
      <c r="IB28" t="s">
        <v>422</v>
      </c>
      <c r="IC28" t="s">
        <v>423</v>
      </c>
      <c r="ID28" t="s">
        <v>423</v>
      </c>
      <c r="IE28" t="s">
        <v>423</v>
      </c>
      <c r="IF28" t="s">
        <v>423</v>
      </c>
      <c r="IG28">
        <v>0</v>
      </c>
      <c r="IH28">
        <v>100</v>
      </c>
      <c r="II28">
        <v>100</v>
      </c>
      <c r="IJ28">
        <v>4.87</v>
      </c>
      <c r="IK28">
        <v>4.4000000000000003E-3</v>
      </c>
      <c r="IL28">
        <v>4.8720000000000701</v>
      </c>
      <c r="IM28">
        <v>0</v>
      </c>
      <c r="IN28">
        <v>0</v>
      </c>
      <c r="IO28">
        <v>0</v>
      </c>
      <c r="IP28">
        <v>4.3800000000011599E-3</v>
      </c>
      <c r="IQ28">
        <v>0</v>
      </c>
      <c r="IR28">
        <v>0</v>
      </c>
      <c r="IS28">
        <v>0</v>
      </c>
      <c r="IT28">
        <v>-1</v>
      </c>
      <c r="IU28">
        <v>-1</v>
      </c>
      <c r="IV28">
        <v>-1</v>
      </c>
      <c r="IW28">
        <v>-1</v>
      </c>
      <c r="IX28">
        <v>1.1000000000000001</v>
      </c>
      <c r="IY28">
        <v>0.9</v>
      </c>
      <c r="IZ28">
        <v>2.5268600000000001</v>
      </c>
      <c r="JA28">
        <v>2.7502399999999998</v>
      </c>
      <c r="JB28">
        <v>1.69678</v>
      </c>
      <c r="JC28">
        <v>2.3754900000000001</v>
      </c>
      <c r="JD28">
        <v>1.4978</v>
      </c>
      <c r="JE28">
        <v>2.36816</v>
      </c>
      <c r="JF28">
        <v>35.059399999999997</v>
      </c>
      <c r="JG28">
        <v>14.0182</v>
      </c>
      <c r="JH28">
        <v>18</v>
      </c>
      <c r="JI28">
        <v>380.90100000000001</v>
      </c>
      <c r="JJ28">
        <v>534.26599999999996</v>
      </c>
      <c r="JK28">
        <v>18.314299999999999</v>
      </c>
      <c r="JL28">
        <v>29.767399999999999</v>
      </c>
      <c r="JM28">
        <v>29.9999</v>
      </c>
      <c r="JN28">
        <v>29.972799999999999</v>
      </c>
      <c r="JO28">
        <v>29.997399999999999</v>
      </c>
      <c r="JP28">
        <v>50.569099999999999</v>
      </c>
      <c r="JQ28">
        <v>100</v>
      </c>
      <c r="JR28">
        <v>100</v>
      </c>
      <c r="JS28">
        <v>18.3139</v>
      </c>
      <c r="JT28">
        <v>1200</v>
      </c>
      <c r="JU28">
        <v>0</v>
      </c>
      <c r="JV28">
        <v>102.946</v>
      </c>
      <c r="JW28">
        <v>101.122</v>
      </c>
    </row>
    <row r="29" spans="1:283" x14ac:dyDescent="0.25">
      <c r="A29">
        <v>17</v>
      </c>
      <c r="B29">
        <v>1742549677</v>
      </c>
      <c r="C29">
        <v>2066.9000000953702</v>
      </c>
      <c r="D29" t="s">
        <v>470</v>
      </c>
      <c r="E29" t="s">
        <v>471</v>
      </c>
      <c r="F29">
        <v>2</v>
      </c>
      <c r="H29">
        <v>1742549675.5</v>
      </c>
      <c r="I29">
        <f t="shared" si="0"/>
        <v>2.9924022980328583E-3</v>
      </c>
      <c r="J29">
        <f t="shared" si="1"/>
        <v>2.9924022980328582</v>
      </c>
      <c r="K29">
        <f t="shared" si="2"/>
        <v>47.132162581113896</v>
      </c>
      <c r="L29">
        <f t="shared" si="3"/>
        <v>1480.37</v>
      </c>
      <c r="M29">
        <f t="shared" si="4"/>
        <v>1127.4425618548912</v>
      </c>
      <c r="N29">
        <f t="shared" si="5"/>
        <v>107.50989720636768</v>
      </c>
      <c r="O29">
        <f t="shared" si="6"/>
        <v>141.164110627105</v>
      </c>
      <c r="P29">
        <f t="shared" si="7"/>
        <v>0.24014157968103936</v>
      </c>
      <c r="Q29">
        <f t="shared" si="8"/>
        <v>3.0017972171472271</v>
      </c>
      <c r="R29">
        <f t="shared" si="9"/>
        <v>0.22995647588140852</v>
      </c>
      <c r="S29">
        <f t="shared" si="10"/>
        <v>0.1446018904078456</v>
      </c>
      <c r="T29">
        <f t="shared" si="11"/>
        <v>289.55747323762483</v>
      </c>
      <c r="U29">
        <f t="shared" si="12"/>
        <v>25.402500981698307</v>
      </c>
      <c r="V29">
        <f t="shared" si="13"/>
        <v>24.988949999999999</v>
      </c>
      <c r="W29">
        <f t="shared" si="14"/>
        <v>3.1775834500111184</v>
      </c>
      <c r="X29">
        <f t="shared" si="15"/>
        <v>63.869418414772007</v>
      </c>
      <c r="Y29">
        <f t="shared" si="16"/>
        <v>1.9702013555356248</v>
      </c>
      <c r="Z29">
        <f t="shared" si="17"/>
        <v>3.0847335147801309</v>
      </c>
      <c r="AA29">
        <f t="shared" si="18"/>
        <v>1.2073820944754936</v>
      </c>
      <c r="AB29">
        <f t="shared" si="19"/>
        <v>-131.96494134324905</v>
      </c>
      <c r="AC29">
        <f t="shared" si="20"/>
        <v>-80.341939020344057</v>
      </c>
      <c r="AD29">
        <f t="shared" si="21"/>
        <v>-5.6466021958660724</v>
      </c>
      <c r="AE29">
        <f t="shared" si="22"/>
        <v>71.603990678165644</v>
      </c>
      <c r="AF29">
        <v>0</v>
      </c>
      <c r="AG29">
        <v>0</v>
      </c>
      <c r="AH29">
        <f t="shared" si="23"/>
        <v>1</v>
      </c>
      <c r="AI29">
        <f t="shared" si="24"/>
        <v>0</v>
      </c>
      <c r="AJ29">
        <f t="shared" si="25"/>
        <v>50769.557604574817</v>
      </c>
      <c r="AK29" t="s">
        <v>415</v>
      </c>
      <c r="AL29">
        <v>10180.200000000001</v>
      </c>
      <c r="AM29">
        <v>191.60769230769199</v>
      </c>
      <c r="AN29">
        <v>979.671341309485</v>
      </c>
      <c r="AO29">
        <f t="shared" si="26"/>
        <v>0.80441635451785476</v>
      </c>
      <c r="AP29">
        <v>-2.5320139233462702</v>
      </c>
      <c r="AQ29" t="s">
        <v>472</v>
      </c>
      <c r="AR29">
        <v>10128</v>
      </c>
      <c r="AS29">
        <v>252.72452000000001</v>
      </c>
      <c r="AT29">
        <v>377.37387411365899</v>
      </c>
      <c r="AU29">
        <f t="shared" si="27"/>
        <v>0.33030732296035037</v>
      </c>
      <c r="AV29">
        <v>0.5</v>
      </c>
      <c r="AW29">
        <f t="shared" si="28"/>
        <v>1513.134599604987</v>
      </c>
      <c r="AX29">
        <f t="shared" si="29"/>
        <v>47.132162581113896</v>
      </c>
      <c r="AY29">
        <f t="shared" si="30"/>
        <v>249.89971943710245</v>
      </c>
      <c r="AZ29">
        <f t="shared" si="31"/>
        <v>3.2822048030244834E-2</v>
      </c>
      <c r="BA29">
        <f t="shared" si="32"/>
        <v>1.5960232239458729</v>
      </c>
      <c r="BB29">
        <f t="shared" si="33"/>
        <v>146.02508116893677</v>
      </c>
      <c r="BC29" t="s">
        <v>417</v>
      </c>
      <c r="BD29">
        <v>0</v>
      </c>
      <c r="BE29">
        <f t="shared" si="34"/>
        <v>146.02508116893677</v>
      </c>
      <c r="BF29">
        <f t="shared" si="35"/>
        <v>0.61304930948941005</v>
      </c>
      <c r="BG29">
        <f t="shared" si="36"/>
        <v>0.53879405432403671</v>
      </c>
      <c r="BH29">
        <f t="shared" si="37"/>
        <v>0.72248565847855162</v>
      </c>
      <c r="BI29">
        <f t="shared" si="38"/>
        <v>0.67100132490129649</v>
      </c>
      <c r="BJ29">
        <f t="shared" si="39"/>
        <v>0.76427515462581075</v>
      </c>
      <c r="BK29">
        <f t="shared" si="40"/>
        <v>0.31131702422862639</v>
      </c>
      <c r="BL29">
        <f t="shared" si="41"/>
        <v>0.68868297577137361</v>
      </c>
      <c r="BM29">
        <v>1769</v>
      </c>
      <c r="BN29">
        <v>290</v>
      </c>
      <c r="BO29">
        <v>341.01</v>
      </c>
      <c r="BP29">
        <v>195</v>
      </c>
      <c r="BQ29">
        <v>10128</v>
      </c>
      <c r="BR29">
        <v>340.77</v>
      </c>
      <c r="BS29">
        <v>0.24</v>
      </c>
      <c r="BT29">
        <v>300</v>
      </c>
      <c r="BU29">
        <v>24.2</v>
      </c>
      <c r="BV29">
        <v>377.37387411365899</v>
      </c>
      <c r="BW29">
        <v>1.1700414260900101</v>
      </c>
      <c r="BX29">
        <v>-37.073194522435202</v>
      </c>
      <c r="BY29">
        <v>1.0546260400541601</v>
      </c>
      <c r="BZ29">
        <v>0.97784334094275505</v>
      </c>
      <c r="CA29">
        <v>-6.8797481646273697E-3</v>
      </c>
      <c r="CB29">
        <v>290</v>
      </c>
      <c r="CC29">
        <v>340.4</v>
      </c>
      <c r="CD29">
        <v>645</v>
      </c>
      <c r="CE29">
        <v>10099.1</v>
      </c>
      <c r="CF29">
        <v>340.66</v>
      </c>
      <c r="CG29">
        <v>-0.26</v>
      </c>
      <c r="CU29">
        <f t="shared" si="42"/>
        <v>1799.94</v>
      </c>
      <c r="CV29">
        <f t="shared" si="43"/>
        <v>1513.134599604987</v>
      </c>
      <c r="CW29">
        <f t="shared" si="44"/>
        <v>0.84065835505905029</v>
      </c>
      <c r="CX29">
        <f t="shared" si="45"/>
        <v>0.16087062526396703</v>
      </c>
      <c r="CY29">
        <v>1.9</v>
      </c>
      <c r="CZ29">
        <v>0.5</v>
      </c>
      <c r="DA29" t="s">
        <v>418</v>
      </c>
      <c r="DB29">
        <v>2</v>
      </c>
      <c r="DC29">
        <v>1742549675.5</v>
      </c>
      <c r="DD29">
        <v>1480.37</v>
      </c>
      <c r="DE29">
        <v>1499.9649999999999</v>
      </c>
      <c r="DF29">
        <v>20.661249999999999</v>
      </c>
      <c r="DG29">
        <v>19.547550000000001</v>
      </c>
      <c r="DH29">
        <v>1474.5650000000001</v>
      </c>
      <c r="DI29">
        <v>20.654150000000001</v>
      </c>
      <c r="DJ29">
        <v>499.96350000000001</v>
      </c>
      <c r="DK29">
        <v>95.257300000000001</v>
      </c>
      <c r="DL29">
        <v>0.10001649999999999</v>
      </c>
      <c r="DM29">
        <v>24.4925</v>
      </c>
      <c r="DN29">
        <v>24.988949999999999</v>
      </c>
      <c r="DO29">
        <v>999.9</v>
      </c>
      <c r="DP29">
        <v>0</v>
      </c>
      <c r="DQ29">
        <v>0</v>
      </c>
      <c r="DR29">
        <v>9995</v>
      </c>
      <c r="DS29">
        <v>0</v>
      </c>
      <c r="DT29">
        <v>265.8535</v>
      </c>
      <c r="DU29">
        <v>-19.595649999999999</v>
      </c>
      <c r="DV29">
        <v>1511.6</v>
      </c>
      <c r="DW29">
        <v>1529.87</v>
      </c>
      <c r="DX29">
        <v>1.113685</v>
      </c>
      <c r="DY29">
        <v>1499.9649999999999</v>
      </c>
      <c r="DZ29">
        <v>19.547550000000001</v>
      </c>
      <c r="EA29">
        <v>1.968135</v>
      </c>
      <c r="EB29">
        <v>1.86205</v>
      </c>
      <c r="EC29">
        <v>17.190300000000001</v>
      </c>
      <c r="ED29">
        <v>16.31765</v>
      </c>
      <c r="EE29">
        <v>1799.94</v>
      </c>
      <c r="EF29">
        <v>0.97799499999999995</v>
      </c>
      <c r="EG29">
        <v>2.200535E-2</v>
      </c>
      <c r="EH29">
        <v>0</v>
      </c>
      <c r="EI29">
        <v>252.6865</v>
      </c>
      <c r="EJ29">
        <v>5.0006000000000004</v>
      </c>
      <c r="EK29">
        <v>4844.2650000000003</v>
      </c>
      <c r="EL29">
        <v>18193.25</v>
      </c>
      <c r="EM29">
        <v>48.875</v>
      </c>
      <c r="EN29">
        <v>48.5</v>
      </c>
      <c r="EO29">
        <v>49.186999999999998</v>
      </c>
      <c r="EP29">
        <v>48.061999999999998</v>
      </c>
      <c r="EQ29">
        <v>50.25</v>
      </c>
      <c r="ER29">
        <v>1755.44</v>
      </c>
      <c r="ES29">
        <v>39.5</v>
      </c>
      <c r="ET29">
        <v>0</v>
      </c>
      <c r="EU29">
        <v>121.700000047684</v>
      </c>
      <c r="EV29">
        <v>0</v>
      </c>
      <c r="EW29">
        <v>252.72452000000001</v>
      </c>
      <c r="EX29">
        <v>0.31130769347513898</v>
      </c>
      <c r="EY29">
        <v>9.8784615473830204</v>
      </c>
      <c r="EZ29">
        <v>4843.3256000000001</v>
      </c>
      <c r="FA29">
        <v>15</v>
      </c>
      <c r="FB29">
        <v>1742549629</v>
      </c>
      <c r="FC29" t="s">
        <v>473</v>
      </c>
      <c r="FD29">
        <v>1742549629</v>
      </c>
      <c r="FE29">
        <v>1742549620</v>
      </c>
      <c r="FF29">
        <v>82</v>
      </c>
      <c r="FG29">
        <v>0.93600000000000005</v>
      </c>
      <c r="FH29">
        <v>3.0000000000000001E-3</v>
      </c>
      <c r="FI29">
        <v>5.806</v>
      </c>
      <c r="FJ29">
        <v>7.0000000000000001E-3</v>
      </c>
      <c r="FK29">
        <v>1500</v>
      </c>
      <c r="FL29">
        <v>20</v>
      </c>
      <c r="FM29">
        <v>0.13</v>
      </c>
      <c r="FN29">
        <v>0.14000000000000001</v>
      </c>
      <c r="FO29">
        <v>-19.617547619047599</v>
      </c>
      <c r="FP29">
        <v>0.32896363636359399</v>
      </c>
      <c r="FQ29">
        <v>7.9875144349210905E-2</v>
      </c>
      <c r="FR29">
        <v>1</v>
      </c>
      <c r="FS29">
        <v>252.70152941176499</v>
      </c>
      <c r="FT29">
        <v>0.31492742339750701</v>
      </c>
      <c r="FU29">
        <v>0.18177154946187499</v>
      </c>
      <c r="FV29">
        <v>1</v>
      </c>
      <c r="FW29">
        <v>1.1116857142857099</v>
      </c>
      <c r="FX29">
        <v>3.9911688311704699E-3</v>
      </c>
      <c r="FY29">
        <v>2.5311178998871698E-3</v>
      </c>
      <c r="FZ29">
        <v>1</v>
      </c>
      <c r="GA29">
        <v>3</v>
      </c>
      <c r="GB29">
        <v>3</v>
      </c>
      <c r="GC29" t="s">
        <v>420</v>
      </c>
      <c r="GD29">
        <v>3.1419999999999999</v>
      </c>
      <c r="GE29">
        <v>2.7467600000000001</v>
      </c>
      <c r="GF29">
        <v>0.204373</v>
      </c>
      <c r="GG29">
        <v>0.21122299999999999</v>
      </c>
      <c r="GH29">
        <v>9.8907900000000007E-2</v>
      </c>
      <c r="GI29">
        <v>9.7618899999999995E-2</v>
      </c>
      <c r="GJ29">
        <v>21100.7</v>
      </c>
      <c r="GK29">
        <v>26263.4</v>
      </c>
      <c r="GL29">
        <v>27025.7</v>
      </c>
      <c r="GM29">
        <v>31413.599999999999</v>
      </c>
      <c r="GN29">
        <v>34337.800000000003</v>
      </c>
      <c r="GO29">
        <v>37790.1</v>
      </c>
      <c r="GP29">
        <v>41689.4</v>
      </c>
      <c r="GQ29">
        <v>45561.4</v>
      </c>
      <c r="GR29">
        <v>1.74492</v>
      </c>
      <c r="GS29">
        <v>1.9840500000000001</v>
      </c>
      <c r="GT29">
        <v>0.13966100000000001</v>
      </c>
      <c r="GU29">
        <v>0</v>
      </c>
      <c r="GV29">
        <v>22.689900000000002</v>
      </c>
      <c r="GW29">
        <v>999.9</v>
      </c>
      <c r="GX29">
        <v>52.57</v>
      </c>
      <c r="GY29">
        <v>31.138999999999999</v>
      </c>
      <c r="GZ29">
        <v>25.094899999999999</v>
      </c>
      <c r="HA29">
        <v>60.283999999999999</v>
      </c>
      <c r="HB29">
        <v>18.385400000000001</v>
      </c>
      <c r="HC29">
        <v>1</v>
      </c>
      <c r="HD29">
        <v>0.213201</v>
      </c>
      <c r="HE29">
        <v>3.1084299999999998</v>
      </c>
      <c r="HF29">
        <v>20.161999999999999</v>
      </c>
      <c r="HG29">
        <v>5.2214799999999997</v>
      </c>
      <c r="HH29">
        <v>11.9796</v>
      </c>
      <c r="HI29">
        <v>4.9513499999999997</v>
      </c>
      <c r="HJ29">
        <v>3.2850299999999999</v>
      </c>
      <c r="HK29">
        <v>9999</v>
      </c>
      <c r="HL29">
        <v>9999</v>
      </c>
      <c r="HM29">
        <v>999.9</v>
      </c>
      <c r="HN29">
        <v>9999</v>
      </c>
      <c r="HO29">
        <v>1.85945</v>
      </c>
      <c r="HP29">
        <v>1.8602000000000001</v>
      </c>
      <c r="HQ29">
        <v>1.8557300000000001</v>
      </c>
      <c r="HR29">
        <v>1.8585199999999999</v>
      </c>
      <c r="HS29">
        <v>1.86263</v>
      </c>
      <c r="HT29">
        <v>1.85806</v>
      </c>
      <c r="HU29">
        <v>1.855</v>
      </c>
      <c r="HV29">
        <v>1.86249</v>
      </c>
      <c r="HW29">
        <v>5</v>
      </c>
      <c r="HX29">
        <v>0</v>
      </c>
      <c r="HY29">
        <v>0</v>
      </c>
      <c r="HZ29">
        <v>0</v>
      </c>
      <c r="IA29" t="s">
        <v>421</v>
      </c>
      <c r="IB29" t="s">
        <v>422</v>
      </c>
      <c r="IC29" t="s">
        <v>423</v>
      </c>
      <c r="ID29" t="s">
        <v>423</v>
      </c>
      <c r="IE29" t="s">
        <v>423</v>
      </c>
      <c r="IF29" t="s">
        <v>423</v>
      </c>
      <c r="IG29">
        <v>0</v>
      </c>
      <c r="IH29">
        <v>100</v>
      </c>
      <c r="II29">
        <v>100</v>
      </c>
      <c r="IJ29">
        <v>5.81</v>
      </c>
      <c r="IK29">
        <v>7.1000000000000004E-3</v>
      </c>
      <c r="IL29">
        <v>5.8063636363638098</v>
      </c>
      <c r="IM29">
        <v>0</v>
      </c>
      <c r="IN29">
        <v>0</v>
      </c>
      <c r="IO29">
        <v>0</v>
      </c>
      <c r="IP29">
        <v>7.0999999999976603E-3</v>
      </c>
      <c r="IQ29">
        <v>0</v>
      </c>
      <c r="IR29">
        <v>0</v>
      </c>
      <c r="IS29">
        <v>0</v>
      </c>
      <c r="IT29">
        <v>-1</v>
      </c>
      <c r="IU29">
        <v>-1</v>
      </c>
      <c r="IV29">
        <v>-1</v>
      </c>
      <c r="IW29">
        <v>-1</v>
      </c>
      <c r="IX29">
        <v>0.8</v>
      </c>
      <c r="IY29">
        <v>0.9</v>
      </c>
      <c r="IZ29">
        <v>3.0224600000000001</v>
      </c>
      <c r="JA29">
        <v>2.7453599999999998</v>
      </c>
      <c r="JB29">
        <v>1.69678</v>
      </c>
      <c r="JC29">
        <v>2.3754900000000001</v>
      </c>
      <c r="JD29">
        <v>1.4978</v>
      </c>
      <c r="JE29">
        <v>2.3901400000000002</v>
      </c>
      <c r="JF29">
        <v>34.990400000000001</v>
      </c>
      <c r="JG29">
        <v>14.0007</v>
      </c>
      <c r="JH29">
        <v>18</v>
      </c>
      <c r="JI29">
        <v>380.76400000000001</v>
      </c>
      <c r="JJ29">
        <v>535.07500000000005</v>
      </c>
      <c r="JK29">
        <v>18.303899999999999</v>
      </c>
      <c r="JL29">
        <v>29.7014</v>
      </c>
      <c r="JM29">
        <v>29.9998</v>
      </c>
      <c r="JN29">
        <v>29.904299999999999</v>
      </c>
      <c r="JO29">
        <v>29.927700000000002</v>
      </c>
      <c r="JP29">
        <v>60.461399999999998</v>
      </c>
      <c r="JQ29">
        <v>100</v>
      </c>
      <c r="JR29">
        <v>100</v>
      </c>
      <c r="JS29">
        <v>18.304600000000001</v>
      </c>
      <c r="JT29">
        <v>1500</v>
      </c>
      <c r="JU29">
        <v>0</v>
      </c>
      <c r="JV29">
        <v>102.956</v>
      </c>
      <c r="JW29">
        <v>101.13500000000001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2025-03-23T17:39:19Z</dcterms:created>
  <dcterms:modified xsi:type="dcterms:W3CDTF">2025-03-25T08:35:46Z</dcterms:modified>
</cp:coreProperties>
</file>